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0dfeaae7a6381f0/Documents/Ashwani/wealthcompare/"/>
    </mc:Choice>
  </mc:AlternateContent>
  <xr:revisionPtr revIDLastSave="2341" documentId="8_{43DD9D9E-2085-42BF-962A-634A7BDEB4BB}" xr6:coauthVersionLast="47" xr6:coauthVersionMax="47" xr10:uidLastSave="{4E68C160-0F90-4618-9601-7F8AF6499408}"/>
  <bookViews>
    <workbookView xWindow="28680" yWindow="-120" windowWidth="29040" windowHeight="15720" tabRatio="850" activeTab="3" xr2:uid="{0022E151-A667-45A9-8598-3A4268045E5D}"/>
  </bookViews>
  <sheets>
    <sheet name="Cover" sheetId="5" r:id="rId1"/>
    <sheet name="Common Assumptions" sheetId="20" r:id="rId2"/>
    <sheet name="Rent vs Buy" sheetId="4" r:id="rId3"/>
    <sheet name="Home Loan Analysis" sheetId="1" r:id="rId4"/>
    <sheet name="EMI Calculator" sheetId="2" r:id="rId5"/>
    <sheet name="SIP Growth" sheetId="3" r:id="rId6"/>
    <sheet name="Expense Ratio Impact" sheetId="6" r:id="rId7"/>
    <sheet name="Loan Prepayment" sheetId="7" r:id="rId8"/>
    <sheet name="Prepayment Engine" sheetId="9" state="hidden" r:id="rId9"/>
    <sheet name="Step-Up SIP Goal" sheetId="10" r:id="rId10"/>
    <sheet name="Prepay vs Invest" sheetId="11" r:id="rId11"/>
    <sheet name="Retirement SWP" sheetId="13" r:id="rId12"/>
    <sheet name="Emergency Fund" sheetId="14" r:id="rId13"/>
    <sheet name="PVI Engine" sheetId="12" state="hidden" r:id="rId14"/>
    <sheet name="Net Worth &amp; Cash Flow" sheetId="15" r:id="rId15"/>
    <sheet name="Term Insurance" sheetId="16" r:id="rId16"/>
    <sheet name="Asset Allocation" sheetId="17" r:id="rId17"/>
    <sheet name="Goal Dashboard" sheetId="18" r:id="rId18"/>
    <sheet name="Rent Buy Sensitivity" sheetId="19" state="hidden"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M2" i="9" l="1"/>
  <c r="O2" i="9"/>
  <c r="A48" i="1"/>
  <c r="C42" i="1"/>
  <c r="C41" i="1"/>
  <c r="A17" i="3"/>
  <c r="B17" i="3"/>
  <c r="C17" i="3"/>
  <c r="D17" i="3"/>
  <c r="A18" i="3"/>
  <c r="C18" i="3"/>
  <c r="D18" i="3"/>
  <c r="A19" i="3"/>
  <c r="A20" i="3"/>
  <c r="C20" i="3"/>
  <c r="A21" i="3"/>
  <c r="A22" i="3"/>
  <c r="A23" i="3"/>
  <c r="A24" i="3"/>
  <c r="A25" i="3"/>
  <c r="A26" i="3"/>
  <c r="A27" i="3"/>
  <c r="A28" i="3"/>
  <c r="A29" i="3"/>
  <c r="A30" i="3"/>
  <c r="A31" i="3"/>
  <c r="A32" i="3"/>
  <c r="A33" i="3"/>
  <c r="A34" i="3"/>
  <c r="A35" i="3"/>
  <c r="A36" i="3"/>
  <c r="A37" i="3"/>
  <c r="A38" i="3"/>
  <c r="F38" i="3"/>
  <c r="G38" i="3"/>
  <c r="H38" i="3"/>
  <c r="I38" i="3"/>
  <c r="A39" i="3"/>
  <c r="E39" i="3"/>
  <c r="F39" i="3"/>
  <c r="G39" i="3"/>
  <c r="H39" i="3"/>
  <c r="I39" i="3"/>
  <c r="A40" i="3"/>
  <c r="G40" i="3"/>
  <c r="H40" i="3"/>
  <c r="I40" i="3"/>
  <c r="A41" i="3"/>
  <c r="B41" i="3"/>
  <c r="C41" i="3"/>
  <c r="D41" i="3"/>
  <c r="E41" i="3"/>
  <c r="F41" i="3"/>
  <c r="G41" i="3"/>
  <c r="H41" i="3"/>
  <c r="I41" i="3"/>
  <c r="A42" i="3"/>
  <c r="D42" i="3"/>
  <c r="E42" i="3"/>
  <c r="F42" i="3"/>
  <c r="G42" i="3"/>
  <c r="H42" i="3"/>
  <c r="I42" i="3"/>
  <c r="A43" i="3"/>
  <c r="D43" i="3"/>
  <c r="E43" i="3"/>
  <c r="F43" i="3"/>
  <c r="G43" i="3"/>
  <c r="H43" i="3"/>
  <c r="I43" i="3"/>
  <c r="A44" i="3"/>
  <c r="B44" i="3" s="1"/>
  <c r="C44" i="3"/>
  <c r="D44" i="3"/>
  <c r="E44" i="3"/>
  <c r="F44" i="3"/>
  <c r="G44" i="3"/>
  <c r="H44" i="3"/>
  <c r="I44" i="3"/>
  <c r="A45" i="3"/>
  <c r="B45" i="3"/>
  <c r="C45" i="3"/>
  <c r="D45" i="3"/>
  <c r="E45" i="3"/>
  <c r="F45" i="3"/>
  <c r="G45" i="3"/>
  <c r="H45" i="3"/>
  <c r="I45" i="3"/>
  <c r="A46" i="3"/>
  <c r="F46" i="3"/>
  <c r="G46" i="3"/>
  <c r="H46" i="3"/>
  <c r="I46" i="3"/>
  <c r="A47" i="3"/>
  <c r="E47" i="3"/>
  <c r="F47" i="3"/>
  <c r="G47" i="3"/>
  <c r="H47" i="3"/>
  <c r="I47" i="3"/>
  <c r="A48" i="3"/>
  <c r="B48" i="3" s="1"/>
  <c r="C48" i="3"/>
  <c r="D48" i="3"/>
  <c r="E48" i="3"/>
  <c r="F48" i="3"/>
  <c r="G48" i="3"/>
  <c r="H48" i="3"/>
  <c r="I48" i="3"/>
  <c r="A49" i="3"/>
  <c r="F49" i="3"/>
  <c r="G49" i="3"/>
  <c r="H49" i="3"/>
  <c r="I49" i="3"/>
  <c r="A50" i="3"/>
  <c r="A51" i="3"/>
  <c r="B51" i="3"/>
  <c r="C51" i="3"/>
  <c r="D51" i="3"/>
  <c r="E51" i="3"/>
  <c r="F51" i="3"/>
  <c r="G51" i="3"/>
  <c r="H51" i="3"/>
  <c r="I51" i="3"/>
  <c r="A52" i="3"/>
  <c r="B52" i="3"/>
  <c r="C52" i="3"/>
  <c r="D52" i="3"/>
  <c r="E52" i="3"/>
  <c r="F52" i="3"/>
  <c r="G52" i="3"/>
  <c r="H52" i="3"/>
  <c r="I52" i="3"/>
  <c r="A53" i="3"/>
  <c r="B53" i="3"/>
  <c r="C53" i="3"/>
  <c r="D53" i="3"/>
  <c r="E53" i="3"/>
  <c r="F53" i="3"/>
  <c r="G53" i="3"/>
  <c r="H53" i="3"/>
  <c r="I53" i="3"/>
  <c r="A54" i="3"/>
  <c r="B54" i="3"/>
  <c r="C54" i="3"/>
  <c r="D54" i="3"/>
  <c r="E54" i="3"/>
  <c r="F54" i="3"/>
  <c r="G54" i="3"/>
  <c r="H54" i="3"/>
  <c r="I54" i="3"/>
  <c r="A55" i="3"/>
  <c r="B55" i="3"/>
  <c r="C55" i="3"/>
  <c r="D55" i="3"/>
  <c r="E55" i="3"/>
  <c r="F55" i="3"/>
  <c r="G55" i="3"/>
  <c r="H55" i="3"/>
  <c r="I55" i="3"/>
  <c r="A56" i="3"/>
  <c r="B56" i="3"/>
  <c r="C56" i="3"/>
  <c r="D56" i="3"/>
  <c r="E56" i="3"/>
  <c r="F56" i="3"/>
  <c r="G56" i="3"/>
  <c r="H56" i="3"/>
  <c r="I56" i="3"/>
  <c r="B10" i="10"/>
  <c r="B20" i="14"/>
  <c r="B9" i="13"/>
  <c r="B17" i="4"/>
  <c r="E17" i="4" s="1"/>
  <c r="P16" i="18"/>
  <c r="P15" i="18"/>
  <c r="P14" i="18"/>
  <c r="P13" i="18"/>
  <c r="P12" i="18"/>
  <c r="P11" i="18"/>
  <c r="L6" i="18"/>
  <c r="L5" i="18"/>
  <c r="E5" i="16"/>
  <c r="E24" i="15"/>
  <c r="E23" i="15"/>
  <c r="E6" i="14"/>
  <c r="E7" i="14" s="1"/>
  <c r="E6" i="13"/>
  <c r="H5" i="7"/>
  <c r="B6" i="7"/>
  <c r="E8" i="7"/>
  <c r="H36"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s="1"/>
  <c r="AG362" i="9"/>
  <c r="AG363" i="9" s="1"/>
  <c r="Y362" i="9"/>
  <c r="Y363" i="9" s="1"/>
  <c r="Y364" i="9" s="1"/>
  <c r="Q362" i="9"/>
  <c r="Q363" i="9" s="1"/>
  <c r="Q364" i="9" s="1"/>
  <c r="Q365" i="9" s="1"/>
  <c r="Q366" i="9" s="1"/>
  <c r="Q367" i="9" s="1"/>
  <c r="Q368" i="9" s="1"/>
  <c r="Q369" i="9" s="1"/>
  <c r="Q370" i="9" s="1"/>
  <c r="Q371" i="9" s="1"/>
  <c r="Q372" i="9" s="1"/>
  <c r="Q373" i="9" s="1"/>
  <c r="Q374" i="9" s="1"/>
  <c r="Q375" i="9" s="1"/>
  <c r="Q376" i="9" s="1"/>
  <c r="Q377" i="9" s="1"/>
  <c r="Q378" i="9" s="1"/>
  <c r="Q379" i="9" s="1"/>
  <c r="Q380" i="9" s="1"/>
  <c r="Q381" i="9" s="1"/>
  <c r="Q382" i="9" s="1"/>
  <c r="Q383" i="9" s="1"/>
  <c r="Q384" i="9" s="1"/>
  <c r="Q385" i="9" s="1"/>
  <c r="Q386" i="9" s="1"/>
  <c r="Q387" i="9" s="1"/>
  <c r="Q388" i="9" s="1"/>
  <c r="Q389" i="9" s="1"/>
  <c r="Q390" i="9" s="1"/>
  <c r="Q391" i="9" s="1"/>
  <c r="Q392" i="9" s="1"/>
  <c r="Q393" i="9" s="1"/>
  <c r="Q394" i="9" s="1"/>
  <c r="Q395" i="9" s="1"/>
  <c r="Q396" i="9" s="1"/>
  <c r="Q397" i="9" s="1"/>
  <c r="Q398" i="9" s="1"/>
  <c r="Q399" i="9" s="1"/>
  <c r="Q400" i="9" s="1"/>
  <c r="Q401" i="9" s="1"/>
  <c r="Q402" i="9" s="1"/>
  <c r="Q403" i="9" s="1"/>
  <c r="Q404" i="9" s="1"/>
  <c r="Q405" i="9" s="1"/>
  <c r="Q406" i="9" s="1"/>
  <c r="Q407" i="9" s="1"/>
  <c r="Q408" i="9" s="1"/>
  <c r="Q409" i="9" s="1"/>
  <c r="Q410" i="9" s="1"/>
  <c r="Q411" i="9" s="1"/>
  <c r="Q412" i="9" s="1"/>
  <c r="Q413" i="9" s="1"/>
  <c r="Q414" i="9" s="1"/>
  <c r="Q415" i="9" s="1"/>
  <c r="Q416" i="9" s="1"/>
  <c r="Q417" i="9" s="1"/>
  <c r="Q418" i="9" s="1"/>
  <c r="Q419" i="9" s="1"/>
  <c r="Q420" i="9" s="1"/>
  <c r="Q421" i="9" s="1"/>
  <c r="Q422" i="9" s="1"/>
  <c r="Q423" i="9" s="1"/>
  <c r="Q424" i="9" s="1"/>
  <c r="Q425" i="9" s="1"/>
  <c r="Q426" i="9" s="1"/>
  <c r="Q427" i="9" s="1"/>
  <c r="Q428" i="9" s="1"/>
  <c r="Q429" i="9" s="1"/>
  <c r="Q430" i="9" s="1"/>
  <c r="Q431" i="9" s="1"/>
  <c r="Q432" i="9" s="1"/>
  <c r="Q433" i="9" s="1"/>
  <c r="Q434" i="9" s="1"/>
  <c r="Q435" i="9" s="1"/>
  <c r="Q436" i="9" s="1"/>
  <c r="Q437" i="9" s="1"/>
  <c r="Q438" i="9" s="1"/>
  <c r="Q439" i="9" s="1"/>
  <c r="Q440" i="9" s="1"/>
  <c r="Q441" i="9" s="1"/>
  <c r="Q442" i="9" s="1"/>
  <c r="Q443" i="9" s="1"/>
  <c r="Q444" i="9" s="1"/>
  <c r="Q445" i="9" s="1"/>
  <c r="Q446" i="9" s="1"/>
  <c r="Q447" i="9" s="1"/>
  <c r="Q448" i="9" s="1"/>
  <c r="Q449" i="9" s="1"/>
  <c r="Q450" i="9" s="1"/>
  <c r="Q451" i="9" s="1"/>
  <c r="Q452" i="9" s="1"/>
  <c r="Q453" i="9" s="1"/>
  <c r="Q454" i="9" s="1"/>
  <c r="Q455" i="9" s="1"/>
  <c r="Q456" i="9" s="1"/>
  <c r="Q457" i="9" s="1"/>
  <c r="Q458" i="9" s="1"/>
  <c r="Q459" i="9" s="1"/>
  <c r="Q460" i="9" s="1"/>
  <c r="Q461" i="9" s="1"/>
  <c r="Q462" i="9" s="1"/>
  <c r="Q463" i="9" s="1"/>
  <c r="Q464" i="9" s="1"/>
  <c r="Q465" i="9" s="1"/>
  <c r="Q466" i="9" s="1"/>
  <c r="Q467" i="9" s="1"/>
  <c r="Q468" i="9" s="1"/>
  <c r="Q469" i="9" s="1"/>
  <c r="Q470" i="9" s="1"/>
  <c r="Q471" i="9" s="1"/>
  <c r="Q472" i="9" s="1"/>
  <c r="Q473" i="9" s="1"/>
  <c r="Q474" i="9" s="1"/>
  <c r="Q475" i="9" s="1"/>
  <c r="Q476" i="9" s="1"/>
  <c r="Q477" i="9" s="1"/>
  <c r="Q478" i="9" s="1"/>
  <c r="Q479" i="9" s="1"/>
  <c r="Q480" i="9" s="1"/>
  <c r="Q481" i="9" s="1"/>
  <c r="I362" i="9"/>
  <c r="I363" i="9" s="1"/>
  <c r="I364" i="9" s="1"/>
  <c r="I365" i="9" s="1"/>
  <c r="I366" i="9" s="1"/>
  <c r="I367" i="9" s="1"/>
  <c r="I368" i="9" s="1"/>
  <c r="I369" i="9" s="1"/>
  <c r="I370" i="9" s="1"/>
  <c r="I371" i="9" s="1"/>
  <c r="I372" i="9" s="1"/>
  <c r="I373" i="9" s="1"/>
  <c r="I374" i="9" s="1"/>
  <c r="I375" i="9" s="1"/>
  <c r="I376" i="9" s="1"/>
  <c r="I377" i="9" s="1"/>
  <c r="I378" i="9" s="1"/>
  <c r="I379" i="9" s="1"/>
  <c r="I380" i="9" s="1"/>
  <c r="I381" i="9" s="1"/>
  <c r="I382" i="9" s="1"/>
  <c r="I383" i="9" s="1"/>
  <c r="I384" i="9" s="1"/>
  <c r="I385" i="9" s="1"/>
  <c r="I386" i="9" s="1"/>
  <c r="I387" i="9" s="1"/>
  <c r="I388" i="9" s="1"/>
  <c r="I389" i="9" s="1"/>
  <c r="I390" i="9" s="1"/>
  <c r="I391" i="9" s="1"/>
  <c r="I392" i="9" s="1"/>
  <c r="I393" i="9" s="1"/>
  <c r="I394" i="9" s="1"/>
  <c r="I395" i="9" s="1"/>
  <c r="I396" i="9" s="1"/>
  <c r="I397" i="9" s="1"/>
  <c r="I398" i="9" s="1"/>
  <c r="I399" i="9" s="1"/>
  <c r="I400" i="9" s="1"/>
  <c r="I401" i="9" s="1"/>
  <c r="I402" i="9" s="1"/>
  <c r="I403" i="9" s="1"/>
  <c r="I404" i="9" s="1"/>
  <c r="I405" i="9" s="1"/>
  <c r="I406" i="9" s="1"/>
  <c r="I407" i="9" s="1"/>
  <c r="I408" i="9" s="1"/>
  <c r="I409" i="9" s="1"/>
  <c r="I410" i="9" s="1"/>
  <c r="I411" i="9" s="1"/>
  <c r="I412" i="9" s="1"/>
  <c r="I413" i="9" s="1"/>
  <c r="I414" i="9" s="1"/>
  <c r="I415" i="9" s="1"/>
  <c r="I416" i="9" s="1"/>
  <c r="I417" i="9" s="1"/>
  <c r="I418" i="9" s="1"/>
  <c r="I419" i="9" s="1"/>
  <c r="I420" i="9" s="1"/>
  <c r="I421" i="9" s="1"/>
  <c r="I422" i="9" s="1"/>
  <c r="I423" i="9" s="1"/>
  <c r="I424" i="9" s="1"/>
  <c r="I425" i="9" s="1"/>
  <c r="I426" i="9" s="1"/>
  <c r="I427" i="9" s="1"/>
  <c r="I428" i="9" s="1"/>
  <c r="I429" i="9" s="1"/>
  <c r="I430" i="9" s="1"/>
  <c r="I431" i="9" s="1"/>
  <c r="I432" i="9" s="1"/>
  <c r="I433" i="9" s="1"/>
  <c r="I434" i="9" s="1"/>
  <c r="I435" i="9" s="1"/>
  <c r="I436" i="9" s="1"/>
  <c r="I437" i="9" s="1"/>
  <c r="I438" i="9" s="1"/>
  <c r="I439" i="9" s="1"/>
  <c r="I440" i="9" s="1"/>
  <c r="I441" i="9" s="1"/>
  <c r="I442" i="9" s="1"/>
  <c r="I443" i="9" s="1"/>
  <c r="I444" i="9" s="1"/>
  <c r="I445" i="9" s="1"/>
  <c r="I446" i="9" s="1"/>
  <c r="I447" i="9" s="1"/>
  <c r="I448" i="9" s="1"/>
  <c r="I449" i="9" s="1"/>
  <c r="I450" i="9" s="1"/>
  <c r="I451" i="9" s="1"/>
  <c r="I452" i="9" s="1"/>
  <c r="I453" i="9" s="1"/>
  <c r="I454" i="9" s="1"/>
  <c r="I455" i="9" s="1"/>
  <c r="I456" i="9" s="1"/>
  <c r="I457" i="9" s="1"/>
  <c r="I458" i="9" s="1"/>
  <c r="I459" i="9" s="1"/>
  <c r="I460" i="9" s="1"/>
  <c r="I461" i="9" s="1"/>
  <c r="I462" i="9" s="1"/>
  <c r="I463" i="9" s="1"/>
  <c r="I464" i="9" s="1"/>
  <c r="I465" i="9" s="1"/>
  <c r="I466" i="9" s="1"/>
  <c r="I467" i="9" s="1"/>
  <c r="I468" i="9" s="1"/>
  <c r="I469" i="9" s="1"/>
  <c r="I470" i="9" s="1"/>
  <c r="I471" i="9" s="1"/>
  <c r="I472" i="9" s="1"/>
  <c r="I473" i="9" s="1"/>
  <c r="I474" i="9" s="1"/>
  <c r="I475" i="9" s="1"/>
  <c r="I476" i="9" s="1"/>
  <c r="I477" i="9" s="1"/>
  <c r="I478" i="9" s="1"/>
  <c r="I479" i="9" s="1"/>
  <c r="I480" i="9" s="1"/>
  <c r="I481" i="9" s="1"/>
  <c r="A362" i="9"/>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C30" i="1"/>
  <c r="A30" i="1"/>
  <c r="G16" i="18"/>
  <c r="G15" i="18"/>
  <c r="G14" i="18"/>
  <c r="G13" i="18"/>
  <c r="G12" i="18"/>
  <c r="G11" i="18"/>
  <c r="F16" i="18"/>
  <c r="F15" i="18"/>
  <c r="F14" i="18"/>
  <c r="F13" i="18"/>
  <c r="F12" i="18"/>
  <c r="D22" i="16"/>
  <c r="D21" i="16"/>
  <c r="D20" i="16"/>
  <c r="D19" i="16"/>
  <c r="D18" i="16"/>
  <c r="B16" i="13"/>
  <c r="B15" i="13"/>
  <c r="B14" i="13"/>
  <c r="B13" i="13"/>
  <c r="B12" i="13"/>
  <c r="B17" i="11"/>
  <c r="B16" i="11"/>
  <c r="B15" i="11"/>
  <c r="B14" i="11"/>
  <c r="B13" i="11"/>
  <c r="B6" i="11"/>
  <c r="B13" i="10"/>
  <c r="B12" i="10"/>
  <c r="B11" i="10"/>
  <c r="E6" i="10"/>
  <c r="B8" i="10"/>
  <c r="E5" i="10" s="1"/>
  <c r="B13" i="6"/>
  <c r="B12" i="6"/>
  <c r="B11" i="6"/>
  <c r="B9" i="6"/>
  <c r="B8" i="6"/>
  <c r="H7" i="6" s="1"/>
  <c r="B7" i="6"/>
  <c r="B11" i="3"/>
  <c r="G72" i="3" s="1"/>
  <c r="B10" i="3"/>
  <c r="B9" i="3"/>
  <c r="B7" i="3"/>
  <c r="E17" i="3" s="1"/>
  <c r="B6" i="2"/>
  <c r="B8" i="1"/>
  <c r="B7" i="1"/>
  <c r="B6" i="1"/>
  <c r="B18" i="1" s="1"/>
  <c r="B5" i="1"/>
  <c r="B16" i="1" s="1"/>
  <c r="B17" i="1" s="1"/>
  <c r="B3" i="1"/>
  <c r="B16" i="4"/>
  <c r="B15" i="4"/>
  <c r="B14" i="4"/>
  <c r="B12" i="4"/>
  <c r="B11" i="4"/>
  <c r="B10" i="4"/>
  <c r="B9" i="4"/>
  <c r="B7" i="4"/>
  <c r="A82" i="19"/>
  <c r="B82" i="19"/>
  <c r="C82" i="19"/>
  <c r="F82" i="19"/>
  <c r="A83" i="19"/>
  <c r="B83" i="19"/>
  <c r="C83" i="19"/>
  <c r="F83" i="19"/>
  <c r="A84" i="19"/>
  <c r="B84" i="19"/>
  <c r="C84" i="19"/>
  <c r="F84" i="19"/>
  <c r="A85" i="19"/>
  <c r="B85" i="19"/>
  <c r="C85" i="19"/>
  <c r="F85" i="19"/>
  <c r="A86" i="19"/>
  <c r="B86" i="19"/>
  <c r="C86" i="19"/>
  <c r="F86" i="19"/>
  <c r="A87" i="19"/>
  <c r="B87" i="19"/>
  <c r="C87" i="19"/>
  <c r="F87" i="19"/>
  <c r="A88" i="19"/>
  <c r="B88" i="19"/>
  <c r="C88" i="19"/>
  <c r="F88" i="19"/>
  <c r="A89" i="19"/>
  <c r="B89" i="19"/>
  <c r="C89" i="19"/>
  <c r="F89" i="19"/>
  <c r="A90" i="19"/>
  <c r="B90" i="19"/>
  <c r="C90" i="19"/>
  <c r="F90" i="19"/>
  <c r="A91" i="19"/>
  <c r="B91" i="19"/>
  <c r="C91" i="19"/>
  <c r="F91" i="19"/>
  <c r="A92" i="19"/>
  <c r="B92" i="19"/>
  <c r="C92" i="19"/>
  <c r="F92" i="19"/>
  <c r="A93" i="19"/>
  <c r="B93" i="19"/>
  <c r="C93" i="19"/>
  <c r="F93" i="19"/>
  <c r="A94" i="19"/>
  <c r="B94" i="19"/>
  <c r="C94" i="19"/>
  <c r="F94" i="19"/>
  <c r="A95" i="19"/>
  <c r="B95" i="19"/>
  <c r="C95" i="19"/>
  <c r="F95" i="19"/>
  <c r="A96" i="19"/>
  <c r="B96" i="19"/>
  <c r="C96" i="19"/>
  <c r="F96" i="19"/>
  <c r="A97" i="19"/>
  <c r="B97" i="19"/>
  <c r="C97" i="19"/>
  <c r="F97" i="19"/>
  <c r="A98" i="19"/>
  <c r="B98" i="19"/>
  <c r="C98" i="19"/>
  <c r="F98" i="19"/>
  <c r="A99" i="19"/>
  <c r="B99" i="19"/>
  <c r="C99" i="19"/>
  <c r="F99" i="19"/>
  <c r="A100" i="19"/>
  <c r="B100" i="19"/>
  <c r="C100" i="19"/>
  <c r="F100" i="19"/>
  <c r="A101" i="19"/>
  <c r="B101" i="19"/>
  <c r="C101" i="19"/>
  <c r="F101" i="19"/>
  <c r="H101" i="19" s="1"/>
  <c r="G101" i="19"/>
  <c r="A62" i="19"/>
  <c r="B62" i="19"/>
  <c r="C62" i="19"/>
  <c r="F62" i="19"/>
  <c r="A63" i="19"/>
  <c r="B63" i="19"/>
  <c r="C63" i="19"/>
  <c r="F63" i="19"/>
  <c r="A64" i="19"/>
  <c r="B64" i="19"/>
  <c r="C64" i="19"/>
  <c r="F64" i="19"/>
  <c r="A65" i="19"/>
  <c r="B65" i="19"/>
  <c r="C65" i="19"/>
  <c r="F65" i="19"/>
  <c r="A66" i="19"/>
  <c r="B66" i="19"/>
  <c r="C66" i="19"/>
  <c r="F66" i="19"/>
  <c r="A67" i="19"/>
  <c r="B67" i="19"/>
  <c r="C67" i="19"/>
  <c r="F67" i="19"/>
  <c r="A68" i="19"/>
  <c r="B68" i="19"/>
  <c r="C68" i="19"/>
  <c r="F68" i="19"/>
  <c r="A69" i="19"/>
  <c r="B69" i="19"/>
  <c r="C69" i="19"/>
  <c r="F69" i="19"/>
  <c r="A70" i="19"/>
  <c r="B70" i="19"/>
  <c r="C70" i="19"/>
  <c r="F70" i="19"/>
  <c r="A71" i="19"/>
  <c r="B71" i="19"/>
  <c r="C71" i="19"/>
  <c r="F71" i="19"/>
  <c r="A72" i="19"/>
  <c r="B72" i="19"/>
  <c r="C72" i="19"/>
  <c r="F72" i="19"/>
  <c r="A73" i="19"/>
  <c r="B73" i="19"/>
  <c r="C73" i="19"/>
  <c r="F73" i="19"/>
  <c r="A74" i="19"/>
  <c r="B74" i="19"/>
  <c r="C74" i="19"/>
  <c r="F74" i="19"/>
  <c r="A75" i="19"/>
  <c r="B75" i="19"/>
  <c r="C75" i="19"/>
  <c r="F75" i="19"/>
  <c r="A76" i="19"/>
  <c r="B76" i="19"/>
  <c r="C76" i="19"/>
  <c r="F76" i="19"/>
  <c r="A77" i="19"/>
  <c r="B77" i="19"/>
  <c r="C77" i="19" s="1"/>
  <c r="F77" i="19"/>
  <c r="A78" i="19"/>
  <c r="B78" i="19"/>
  <c r="C78" i="19"/>
  <c r="F78" i="19"/>
  <c r="A79" i="19"/>
  <c r="B79" i="19"/>
  <c r="C79" i="19"/>
  <c r="F79" i="19"/>
  <c r="A80" i="19"/>
  <c r="B80" i="19"/>
  <c r="C80" i="19"/>
  <c r="F80" i="19"/>
  <c r="A81" i="19"/>
  <c r="B81" i="19"/>
  <c r="C81" i="19"/>
  <c r="F81" i="19"/>
  <c r="H81" i="19" s="1"/>
  <c r="G81" i="19"/>
  <c r="A42" i="19"/>
  <c r="B42" i="19"/>
  <c r="C42" i="19"/>
  <c r="F42" i="19"/>
  <c r="A43" i="19"/>
  <c r="B43" i="19"/>
  <c r="C43" i="19"/>
  <c r="F43" i="19"/>
  <c r="A44" i="19"/>
  <c r="B44" i="19"/>
  <c r="C44" i="19"/>
  <c r="F44" i="19"/>
  <c r="A45" i="19"/>
  <c r="B45" i="19"/>
  <c r="C45" i="19"/>
  <c r="F45" i="19"/>
  <c r="A46" i="19"/>
  <c r="B46" i="19"/>
  <c r="C46" i="19"/>
  <c r="F46" i="19"/>
  <c r="A47" i="19"/>
  <c r="B47" i="19"/>
  <c r="C47" i="19"/>
  <c r="F47" i="19"/>
  <c r="A48" i="19"/>
  <c r="B48" i="19"/>
  <c r="C48" i="19"/>
  <c r="F48" i="19"/>
  <c r="A49" i="19"/>
  <c r="B49" i="19"/>
  <c r="C49" i="19"/>
  <c r="F49" i="19"/>
  <c r="A50" i="19"/>
  <c r="B50" i="19"/>
  <c r="C50" i="19"/>
  <c r="F50" i="19"/>
  <c r="A51" i="19"/>
  <c r="B51" i="19"/>
  <c r="C51" i="19"/>
  <c r="F51" i="19"/>
  <c r="A52" i="19"/>
  <c r="B52" i="19"/>
  <c r="C52" i="19"/>
  <c r="F52" i="19"/>
  <c r="A53" i="19"/>
  <c r="B53" i="19"/>
  <c r="C53" i="19"/>
  <c r="F53" i="19"/>
  <c r="A54" i="19"/>
  <c r="B54" i="19"/>
  <c r="C54" i="19"/>
  <c r="F54" i="19"/>
  <c r="A55" i="19"/>
  <c r="B55" i="19"/>
  <c r="C55" i="19"/>
  <c r="F55" i="19"/>
  <c r="A56" i="19"/>
  <c r="B56" i="19"/>
  <c r="C56" i="19"/>
  <c r="F56" i="19"/>
  <c r="A57" i="19"/>
  <c r="B57" i="19"/>
  <c r="C57" i="19"/>
  <c r="F57" i="19"/>
  <c r="A58" i="19"/>
  <c r="B58" i="19"/>
  <c r="C58" i="19"/>
  <c r="F58" i="19"/>
  <c r="A59" i="19"/>
  <c r="B59" i="19"/>
  <c r="C59" i="19"/>
  <c r="F59" i="19"/>
  <c r="A60" i="19"/>
  <c r="B60" i="19"/>
  <c r="C60" i="19"/>
  <c r="F60" i="19"/>
  <c r="A61" i="19"/>
  <c r="B61" i="19"/>
  <c r="C61" i="19"/>
  <c r="F61" i="19"/>
  <c r="H61" i="19" s="1"/>
  <c r="G61" i="19"/>
  <c r="A22" i="19"/>
  <c r="B22" i="19"/>
  <c r="C22" i="19"/>
  <c r="F22" i="19"/>
  <c r="A23" i="19"/>
  <c r="B23" i="19"/>
  <c r="C23" i="19"/>
  <c r="F23" i="19"/>
  <c r="A24" i="19"/>
  <c r="B24" i="19"/>
  <c r="C24" i="19"/>
  <c r="F24" i="19"/>
  <c r="A25" i="19"/>
  <c r="B25" i="19"/>
  <c r="C25" i="19"/>
  <c r="F25" i="19"/>
  <c r="A26" i="19"/>
  <c r="B26" i="19"/>
  <c r="C26" i="19"/>
  <c r="F26" i="19"/>
  <c r="A27" i="19"/>
  <c r="B27" i="19"/>
  <c r="C27" i="19"/>
  <c r="F27" i="19"/>
  <c r="A28" i="19"/>
  <c r="B28" i="19"/>
  <c r="C28" i="19"/>
  <c r="F28" i="19"/>
  <c r="A29" i="19"/>
  <c r="B29" i="19"/>
  <c r="C29" i="19"/>
  <c r="F29" i="19"/>
  <c r="A30" i="19"/>
  <c r="B30" i="19"/>
  <c r="C30" i="19"/>
  <c r="F30" i="19"/>
  <c r="A31" i="19"/>
  <c r="B31" i="19"/>
  <c r="C31" i="19"/>
  <c r="F31" i="19"/>
  <c r="A32" i="19"/>
  <c r="B32" i="19"/>
  <c r="C32" i="19"/>
  <c r="F32" i="19"/>
  <c r="A33" i="19"/>
  <c r="B33" i="19"/>
  <c r="C33" i="19"/>
  <c r="F33" i="19"/>
  <c r="A34" i="19"/>
  <c r="B34" i="19"/>
  <c r="C34" i="19"/>
  <c r="F34" i="19"/>
  <c r="A35" i="19"/>
  <c r="B35" i="19"/>
  <c r="C35" i="19"/>
  <c r="F35" i="19"/>
  <c r="A36" i="19"/>
  <c r="B36" i="19"/>
  <c r="C36" i="19"/>
  <c r="F36" i="19"/>
  <c r="A37" i="19"/>
  <c r="B37" i="19"/>
  <c r="C37" i="19"/>
  <c r="F37" i="19"/>
  <c r="A38" i="19"/>
  <c r="B38" i="19"/>
  <c r="C38" i="19"/>
  <c r="F38" i="19"/>
  <c r="A39" i="19"/>
  <c r="B39" i="19"/>
  <c r="C39" i="19"/>
  <c r="F39" i="19"/>
  <c r="A40" i="19"/>
  <c r="B40" i="19"/>
  <c r="C40" i="19"/>
  <c r="F40" i="19"/>
  <c r="A41" i="19"/>
  <c r="B41" i="19"/>
  <c r="C41" i="19"/>
  <c r="F41" i="19"/>
  <c r="H41" i="19" s="1"/>
  <c r="G41" i="19"/>
  <c r="A2" i="19"/>
  <c r="B2" i="19"/>
  <c r="C2" i="19"/>
  <c r="F2" i="19"/>
  <c r="A3" i="19"/>
  <c r="B3" i="19"/>
  <c r="C3" i="19"/>
  <c r="F3" i="19"/>
  <c r="A4" i="19"/>
  <c r="B4" i="19"/>
  <c r="C4" i="19"/>
  <c r="F4" i="19"/>
  <c r="A5" i="19"/>
  <c r="B5" i="19"/>
  <c r="C5" i="19"/>
  <c r="F5" i="19"/>
  <c r="A6" i="19"/>
  <c r="B6" i="19"/>
  <c r="C6" i="19"/>
  <c r="F6" i="19"/>
  <c r="A7" i="19"/>
  <c r="B7" i="19"/>
  <c r="C7" i="19"/>
  <c r="F7" i="19"/>
  <c r="A8" i="19"/>
  <c r="B8" i="19"/>
  <c r="C8" i="19"/>
  <c r="F8" i="19"/>
  <c r="A9" i="19"/>
  <c r="B9" i="19"/>
  <c r="C9" i="19"/>
  <c r="F9" i="19"/>
  <c r="A10" i="19"/>
  <c r="B10" i="19"/>
  <c r="C10" i="19"/>
  <c r="F10" i="19"/>
  <c r="A11" i="19"/>
  <c r="B11" i="19"/>
  <c r="C11" i="19"/>
  <c r="F11" i="19"/>
  <c r="A12" i="19"/>
  <c r="B12" i="19"/>
  <c r="C12" i="19"/>
  <c r="F12" i="19"/>
  <c r="A13" i="19"/>
  <c r="B13" i="19"/>
  <c r="C13" i="19"/>
  <c r="F13" i="19"/>
  <c r="A14" i="19"/>
  <c r="B14" i="19"/>
  <c r="C14" i="19"/>
  <c r="F14" i="19"/>
  <c r="A15" i="19"/>
  <c r="B15" i="19"/>
  <c r="C15" i="19"/>
  <c r="F15" i="19"/>
  <c r="A16" i="19"/>
  <c r="B16" i="19"/>
  <c r="C16" i="19"/>
  <c r="F16" i="19"/>
  <c r="A17" i="19"/>
  <c r="B17" i="19"/>
  <c r="C17" i="19"/>
  <c r="F17" i="19"/>
  <c r="A18" i="19"/>
  <c r="B18" i="19"/>
  <c r="C18" i="19"/>
  <c r="F18" i="19"/>
  <c r="A19" i="19"/>
  <c r="B19" i="19"/>
  <c r="C19" i="19"/>
  <c r="F19" i="19"/>
  <c r="A20" i="19"/>
  <c r="B20" i="19"/>
  <c r="C20" i="19"/>
  <c r="F20" i="19"/>
  <c r="A21" i="19"/>
  <c r="B21" i="19"/>
  <c r="C21" i="19"/>
  <c r="F21" i="19"/>
  <c r="H21" i="19" s="1"/>
  <c r="G21" i="19"/>
  <c r="O47" i="10"/>
  <c r="O46" i="10"/>
  <c r="O45" i="10"/>
  <c r="O44" i="10"/>
  <c r="O43" i="10"/>
  <c r="O42" i="10"/>
  <c r="O41" i="10"/>
  <c r="O40" i="10"/>
  <c r="O39" i="10"/>
  <c r="O38" i="10"/>
  <c r="P47" i="10"/>
  <c r="P46" i="10"/>
  <c r="P45" i="10"/>
  <c r="P44" i="10"/>
  <c r="P43" i="10"/>
  <c r="P42" i="10"/>
  <c r="P41" i="10"/>
  <c r="P40" i="10"/>
  <c r="P39" i="10"/>
  <c r="P38" i="10"/>
  <c r="N47" i="10"/>
  <c r="N46" i="10"/>
  <c r="N45" i="10"/>
  <c r="N44" i="10"/>
  <c r="N43" i="10"/>
  <c r="N42" i="10"/>
  <c r="N41" i="10"/>
  <c r="N40" i="10"/>
  <c r="N39" i="10"/>
  <c r="N38" i="10"/>
  <c r="N37" i="10"/>
  <c r="N36" i="10"/>
  <c r="N35" i="10"/>
  <c r="N34" i="10"/>
  <c r="N33" i="10"/>
  <c r="N32" i="10"/>
  <c r="N31" i="10"/>
  <c r="N30" i="10"/>
  <c r="N29" i="10"/>
  <c r="N28" i="10"/>
  <c r="N27" i="10"/>
  <c r="N26" i="10"/>
  <c r="N25" i="10"/>
  <c r="N24" i="10"/>
  <c r="N23" i="10"/>
  <c r="N22" i="10"/>
  <c r="N21" i="10"/>
  <c r="N20" i="10"/>
  <c r="N19" i="10"/>
  <c r="N18" i="10"/>
  <c r="B9" i="17"/>
  <c r="I11" i="18"/>
  <c r="H12" i="18"/>
  <c r="I12" i="18"/>
  <c r="H13" i="18"/>
  <c r="I13" i="18"/>
  <c r="J13" i="18"/>
  <c r="H14" i="18"/>
  <c r="I14" i="18"/>
  <c r="H15" i="18"/>
  <c r="I15" i="18"/>
  <c r="H16" i="18"/>
  <c r="I16" i="18"/>
  <c r="I6" i="18"/>
  <c r="I7" i="18"/>
  <c r="E9" i="17"/>
  <c r="B10" i="17"/>
  <c r="E18" i="16"/>
  <c r="E19" i="16"/>
  <c r="E20" i="16"/>
  <c r="E21" i="16"/>
  <c r="E22" i="16"/>
  <c r="E6" i="16"/>
  <c r="E8" i="16"/>
  <c r="E10" i="16"/>
  <c r="E11" i="16"/>
  <c r="I9" i="15"/>
  <c r="E12" i="15"/>
  <c r="E21" i="15" s="1"/>
  <c r="E20" i="15"/>
  <c r="E22" i="15" s="1"/>
  <c r="B9" i="15"/>
  <c r="B21" i="15"/>
  <c r="E25" i="15" s="1"/>
  <c r="B24" i="15"/>
  <c r="A25" i="14"/>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E5" i="14"/>
  <c r="E9" i="14"/>
  <c r="E11" i="14"/>
  <c r="B25" i="14" s="1"/>
  <c r="E15" i="14"/>
  <c r="E5" i="13"/>
  <c r="E10" i="13" s="1"/>
  <c r="X2" i="12"/>
  <c r="M2" i="12"/>
  <c r="H2" i="12"/>
  <c r="B2" i="12"/>
  <c r="A3" i="12"/>
  <c r="H54" i="11"/>
  <c r="G54" i="11" a="1"/>
  <c r="F54" i="11" a="1"/>
  <c r="E54" i="11" a="1"/>
  <c r="D54" i="11" a="1"/>
  <c r="C54" i="11" a="1"/>
  <c r="B54" i="11" a="1"/>
  <c r="H53" i="11"/>
  <c r="G53" i="11" a="1"/>
  <c r="F53" i="11" a="1"/>
  <c r="E53" i="11" a="1"/>
  <c r="D53" i="11" a="1"/>
  <c r="C53" i="11" a="1"/>
  <c r="B53" i="11" a="1"/>
  <c r="H52" i="11"/>
  <c r="G52" i="11" a="1"/>
  <c r="F52" i="11" a="1"/>
  <c r="E52" i="11" a="1"/>
  <c r="D52" i="11" a="1"/>
  <c r="C52" i="11" a="1"/>
  <c r="B52" i="11" a="1"/>
  <c r="H51" i="11"/>
  <c r="G51" i="11" a="1"/>
  <c r="F51" i="11" a="1"/>
  <c r="E51" i="11" a="1"/>
  <c r="D51" i="11" a="1"/>
  <c r="C51" i="11" a="1"/>
  <c r="B51" i="11" a="1"/>
  <c r="H50" i="11"/>
  <c r="G50" i="11" a="1"/>
  <c r="F50" i="11" a="1"/>
  <c r="E50" i="11" a="1"/>
  <c r="D50" i="11" a="1"/>
  <c r="C50" i="11" a="1"/>
  <c r="B50" i="11" a="1"/>
  <c r="H49" i="11"/>
  <c r="G49" i="11" a="1"/>
  <c r="F49" i="11" a="1"/>
  <c r="E49" i="11" a="1"/>
  <c r="D49" i="11" a="1"/>
  <c r="C49" i="11" a="1"/>
  <c r="B49" i="11" a="1"/>
  <c r="H48" i="11"/>
  <c r="G48" i="11" a="1"/>
  <c r="F48" i="11" a="1"/>
  <c r="E48" i="11" a="1"/>
  <c r="D48" i="11" a="1"/>
  <c r="C48" i="11" a="1"/>
  <c r="B48" i="11" a="1"/>
  <c r="H47" i="11"/>
  <c r="G47" i="11" a="1"/>
  <c r="F47" i="11" a="1"/>
  <c r="E47" i="11" a="1"/>
  <c r="D47" i="11" a="1"/>
  <c r="C47" i="11" a="1"/>
  <c r="B47" i="11" a="1"/>
  <c r="H46" i="11"/>
  <c r="G46" i="11" a="1"/>
  <c r="F46" i="11" a="1"/>
  <c r="E46" i="11" a="1"/>
  <c r="D46" i="11" a="1"/>
  <c r="C46" i="11" a="1"/>
  <c r="B46" i="11" a="1"/>
  <c r="H45" i="11"/>
  <c r="G45" i="11" a="1"/>
  <c r="F45" i="11" a="1"/>
  <c r="E45" i="11" a="1"/>
  <c r="D45" i="11" a="1"/>
  <c r="C45" i="11" a="1"/>
  <c r="B45" i="11" a="1"/>
  <c r="E14" i="11"/>
  <c r="E6" i="11"/>
  <c r="E5" i="11"/>
  <c r="A12" i="2"/>
  <c r="A13" i="2" s="1"/>
  <c r="B12" i="2"/>
  <c r="D12" i="2"/>
  <c r="E12" i="2"/>
  <c r="F12" i="2"/>
  <c r="B13" i="2" s="1"/>
  <c r="A21" i="4"/>
  <c r="K18" i="10"/>
  <c r="B18" i="10"/>
  <c r="A19" i="10"/>
  <c r="AH2" i="9"/>
  <c r="AI2" i="9"/>
  <c r="AI3" i="9"/>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Z2" i="9"/>
  <c r="AA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S189" i="9"/>
  <c r="S190" i="9"/>
  <c r="S191" i="9"/>
  <c r="S192" i="9"/>
  <c r="S193" i="9"/>
  <c r="S194" i="9"/>
  <c r="S195" i="9"/>
  <c r="S196" i="9"/>
  <c r="S197" i="9"/>
  <c r="S198" i="9"/>
  <c r="S199" i="9"/>
  <c r="S200" i="9"/>
  <c r="S201" i="9"/>
  <c r="S202" i="9"/>
  <c r="S203" i="9"/>
  <c r="S204" i="9"/>
  <c r="S205" i="9"/>
  <c r="S206" i="9"/>
  <c r="S207" i="9"/>
  <c r="S208" i="9"/>
  <c r="S209" i="9"/>
  <c r="S210" i="9"/>
  <c r="S211" i="9"/>
  <c r="S212" i="9"/>
  <c r="S213" i="9"/>
  <c r="S214" i="9"/>
  <c r="S215" i="9"/>
  <c r="S216" i="9"/>
  <c r="S217" i="9"/>
  <c r="S218" i="9"/>
  <c r="S219" i="9"/>
  <c r="S220" i="9"/>
  <c r="S221" i="9"/>
  <c r="S222" i="9"/>
  <c r="S223" i="9"/>
  <c r="S224" i="9"/>
  <c r="S225" i="9"/>
  <c r="S226" i="9"/>
  <c r="S227" i="9"/>
  <c r="S228" i="9"/>
  <c r="S229" i="9"/>
  <c r="S230" i="9"/>
  <c r="S231" i="9"/>
  <c r="S232" i="9"/>
  <c r="S233" i="9"/>
  <c r="S234" i="9"/>
  <c r="S235" i="9"/>
  <c r="S236" i="9"/>
  <c r="S237" i="9"/>
  <c r="S238" i="9"/>
  <c r="S239" i="9"/>
  <c r="S240" i="9"/>
  <c r="S241" i="9"/>
  <c r="S242" i="9"/>
  <c r="S243" i="9"/>
  <c r="S244" i="9"/>
  <c r="S245" i="9"/>
  <c r="S246" i="9"/>
  <c r="S247" i="9"/>
  <c r="S248" i="9"/>
  <c r="S249" i="9"/>
  <c r="S250" i="9"/>
  <c r="S251" i="9"/>
  <c r="S252" i="9"/>
  <c r="S253" i="9"/>
  <c r="S254" i="9"/>
  <c r="S255" i="9"/>
  <c r="S256" i="9"/>
  <c r="S257" i="9"/>
  <c r="S258" i="9"/>
  <c r="S259" i="9"/>
  <c r="S260" i="9"/>
  <c r="S261" i="9"/>
  <c r="S262" i="9"/>
  <c r="S263" i="9"/>
  <c r="S264" i="9"/>
  <c r="S265" i="9"/>
  <c r="S266" i="9"/>
  <c r="S267" i="9"/>
  <c r="S268" i="9"/>
  <c r="S269" i="9"/>
  <c r="S270" i="9"/>
  <c r="S271" i="9"/>
  <c r="S272" i="9"/>
  <c r="S273" i="9"/>
  <c r="S274" i="9"/>
  <c r="S275" i="9"/>
  <c r="S276" i="9"/>
  <c r="S277" i="9"/>
  <c r="S278" i="9"/>
  <c r="S279" i="9"/>
  <c r="S280" i="9"/>
  <c r="S281" i="9"/>
  <c r="S282" i="9"/>
  <c r="S283" i="9"/>
  <c r="S284" i="9"/>
  <c r="S285" i="9"/>
  <c r="S286" i="9"/>
  <c r="S287" i="9"/>
  <c r="S288" i="9"/>
  <c r="S289" i="9"/>
  <c r="S290" i="9"/>
  <c r="S291" i="9"/>
  <c r="S292" i="9"/>
  <c r="S293" i="9"/>
  <c r="S294" i="9"/>
  <c r="S295" i="9"/>
  <c r="S296" i="9"/>
  <c r="S297" i="9"/>
  <c r="S298" i="9"/>
  <c r="S299" i="9"/>
  <c r="S300" i="9"/>
  <c r="S301" i="9"/>
  <c r="S302" i="9"/>
  <c r="S303" i="9"/>
  <c r="S304" i="9"/>
  <c r="S305" i="9"/>
  <c r="S306" i="9"/>
  <c r="S307" i="9"/>
  <c r="S308" i="9"/>
  <c r="S309" i="9"/>
  <c r="S310" i="9"/>
  <c r="S311" i="9"/>
  <c r="S312" i="9"/>
  <c r="S313" i="9"/>
  <c r="S314" i="9"/>
  <c r="S315" i="9"/>
  <c r="S316" i="9"/>
  <c r="S317" i="9"/>
  <c r="S318" i="9"/>
  <c r="S319" i="9"/>
  <c r="S320" i="9"/>
  <c r="S321" i="9"/>
  <c r="S322" i="9"/>
  <c r="S323" i="9"/>
  <c r="S324" i="9"/>
  <c r="S325" i="9"/>
  <c r="S326" i="9"/>
  <c r="S327" i="9"/>
  <c r="S328" i="9"/>
  <c r="S329" i="9"/>
  <c r="S330" i="9"/>
  <c r="S331" i="9"/>
  <c r="S332" i="9"/>
  <c r="S333" i="9"/>
  <c r="S334" i="9"/>
  <c r="S335" i="9"/>
  <c r="S336" i="9"/>
  <c r="S337" i="9"/>
  <c r="S338" i="9"/>
  <c r="S339" i="9"/>
  <c r="S340" i="9"/>
  <c r="S341" i="9"/>
  <c r="S342" i="9"/>
  <c r="S343" i="9"/>
  <c r="S344" i="9"/>
  <c r="S345" i="9"/>
  <c r="S346" i="9"/>
  <c r="S347" i="9"/>
  <c r="S348" i="9"/>
  <c r="S349" i="9"/>
  <c r="S350" i="9"/>
  <c r="S351" i="9"/>
  <c r="S352" i="9"/>
  <c r="S353" i="9"/>
  <c r="S354" i="9"/>
  <c r="S355" i="9"/>
  <c r="S356" i="9"/>
  <c r="S357" i="9"/>
  <c r="S358" i="9"/>
  <c r="S359" i="9"/>
  <c r="S360" i="9"/>
  <c r="S361" i="9"/>
  <c r="R2" i="9"/>
  <c r="S2" i="9"/>
  <c r="U2" i="9" s="1"/>
  <c r="T2" i="9" s="1"/>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J2"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B2"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E7" i="6"/>
  <c r="G71" i="3"/>
  <c r="G70" i="3"/>
  <c r="G69" i="3"/>
  <c r="G67" i="3"/>
  <c r="G66" i="3"/>
  <c r="E5" i="3"/>
  <c r="F43" i="2"/>
  <c r="F41" i="2"/>
  <c r="E8" i="2"/>
  <c r="B15" i="1"/>
  <c r="C15" i="1" s="1"/>
  <c r="B12" i="1"/>
  <c r="B25" i="1" s="1"/>
  <c r="B11" i="1"/>
  <c r="B24" i="1" s="1"/>
  <c r="B27" i="1" s="1"/>
  <c r="G8" i="4"/>
  <c r="E8" i="4"/>
  <c r="E7" i="13" l="1"/>
  <c r="B35" i="1"/>
  <c r="K476" i="9"/>
  <c r="C366" i="9"/>
  <c r="K365" i="9"/>
  <c r="S364" i="9"/>
  <c r="C364" i="9"/>
  <c r="S363" i="9"/>
  <c r="C363" i="9"/>
  <c r="K362" i="9"/>
  <c r="C390" i="9"/>
  <c r="C376" i="9"/>
  <c r="S374" i="9"/>
  <c r="S373" i="9"/>
  <c r="C373" i="9"/>
  <c r="K372" i="9"/>
  <c r="S371" i="9"/>
  <c r="S370" i="9"/>
  <c r="K370" i="9"/>
  <c r="K369" i="9"/>
  <c r="S368" i="9"/>
  <c r="S367" i="9"/>
  <c r="E12" i="7"/>
  <c r="C367" i="9"/>
  <c r="K366" i="9"/>
  <c r="S365" i="9"/>
  <c r="C365" i="9"/>
  <c r="K364" i="9"/>
  <c r="K363" i="9"/>
  <c r="S362" i="9"/>
  <c r="C362" i="9"/>
  <c r="S481" i="9"/>
  <c r="K481" i="9"/>
  <c r="C481" i="9"/>
  <c r="S480" i="9"/>
  <c r="K480" i="9"/>
  <c r="C480" i="9"/>
  <c r="S479" i="9"/>
  <c r="K479" i="9"/>
  <c r="C479" i="9"/>
  <c r="S478" i="9"/>
  <c r="K478" i="9"/>
  <c r="C478" i="9"/>
  <c r="S477" i="9"/>
  <c r="K477" i="9"/>
  <c r="C477" i="9"/>
  <c r="S476" i="9"/>
  <c r="C461" i="9"/>
  <c r="C476" i="9"/>
  <c r="S475" i="9"/>
  <c r="K475" i="9"/>
  <c r="C475" i="9"/>
  <c r="S474" i="9"/>
  <c r="K474" i="9"/>
  <c r="C474" i="9"/>
  <c r="S473" i="9"/>
  <c r="K473" i="9"/>
  <c r="C473" i="9"/>
  <c r="S472" i="9"/>
  <c r="K472" i="9"/>
  <c r="C472" i="9"/>
  <c r="S471" i="9"/>
  <c r="K471" i="9"/>
  <c r="C471" i="9"/>
  <c r="S470" i="9"/>
  <c r="K470" i="9"/>
  <c r="C470" i="9"/>
  <c r="S469" i="9"/>
  <c r="K469" i="9"/>
  <c r="C469" i="9"/>
  <c r="S468" i="9"/>
  <c r="K468" i="9"/>
  <c r="C468" i="9"/>
  <c r="S467" i="9"/>
  <c r="K467" i="9"/>
  <c r="C467" i="9"/>
  <c r="S466" i="9"/>
  <c r="K466" i="9"/>
  <c r="C466" i="9"/>
  <c r="S465" i="9"/>
  <c r="K465" i="9"/>
  <c r="C465" i="9"/>
  <c r="S464" i="9"/>
  <c r="K464" i="9"/>
  <c r="C464" i="9"/>
  <c r="S463" i="9"/>
  <c r="K463" i="9"/>
  <c r="C463" i="9"/>
  <c r="S462" i="9"/>
  <c r="K462" i="9"/>
  <c r="C462" i="9"/>
  <c r="S461" i="9"/>
  <c r="K461" i="9"/>
  <c r="S75" i="9"/>
  <c r="S460" i="9"/>
  <c r="K460" i="9"/>
  <c r="C460" i="9"/>
  <c r="S459" i="9"/>
  <c r="K459" i="9"/>
  <c r="C459" i="9"/>
  <c r="S458" i="9"/>
  <c r="K458" i="9"/>
  <c r="C458" i="9"/>
  <c r="S457" i="9"/>
  <c r="K457" i="9"/>
  <c r="C457" i="9"/>
  <c r="S456" i="9"/>
  <c r="K456" i="9"/>
  <c r="C456" i="9"/>
  <c r="S455" i="9"/>
  <c r="K455" i="9"/>
  <c r="C455" i="9"/>
  <c r="S454" i="9"/>
  <c r="K454" i="9"/>
  <c r="C454" i="9"/>
  <c r="S453" i="9"/>
  <c r="K453" i="9"/>
  <c r="C453" i="9"/>
  <c r="S452" i="9"/>
  <c r="K452" i="9"/>
  <c r="C452" i="9"/>
  <c r="S451" i="9"/>
  <c r="K451" i="9"/>
  <c r="C451" i="9"/>
  <c r="S450" i="9"/>
  <c r="K450" i="9"/>
  <c r="C450" i="9"/>
  <c r="S449" i="9"/>
  <c r="K449" i="9"/>
  <c r="C449" i="9"/>
  <c r="S448" i="9"/>
  <c r="K448" i="9"/>
  <c r="C448" i="9"/>
  <c r="S447" i="9"/>
  <c r="K447" i="9"/>
  <c r="C447" i="9"/>
  <c r="S446" i="9"/>
  <c r="K446" i="9"/>
  <c r="C446" i="9"/>
  <c r="S445" i="9"/>
  <c r="K445" i="9"/>
  <c r="C445" i="9"/>
  <c r="S444" i="9"/>
  <c r="K444" i="9"/>
  <c r="C444" i="9"/>
  <c r="S443" i="9"/>
  <c r="K443" i="9"/>
  <c r="C443" i="9"/>
  <c r="S442" i="9"/>
  <c r="K442" i="9"/>
  <c r="C442" i="9"/>
  <c r="S441" i="9"/>
  <c r="K441" i="9"/>
  <c r="C441" i="9"/>
  <c r="S440" i="9"/>
  <c r="K440" i="9"/>
  <c r="C440" i="9"/>
  <c r="S439" i="9"/>
  <c r="K439" i="9"/>
  <c r="C439" i="9"/>
  <c r="S438" i="9"/>
  <c r="K438" i="9"/>
  <c r="C438" i="9"/>
  <c r="S437" i="9"/>
  <c r="K437" i="9"/>
  <c r="C437" i="9"/>
  <c r="S436" i="9"/>
  <c r="K436" i="9"/>
  <c r="C436" i="9"/>
  <c r="S435" i="9"/>
  <c r="K435" i="9"/>
  <c r="C435" i="9"/>
  <c r="S434" i="9"/>
  <c r="K434" i="9"/>
  <c r="C434" i="9"/>
  <c r="S433" i="9"/>
  <c r="K433" i="9"/>
  <c r="C433" i="9"/>
  <c r="S432" i="9"/>
  <c r="K432" i="9"/>
  <c r="C432" i="9"/>
  <c r="S431" i="9"/>
  <c r="K431" i="9"/>
  <c r="C431" i="9"/>
  <c r="S430" i="9"/>
  <c r="K430" i="9"/>
  <c r="C430" i="9"/>
  <c r="S429" i="9"/>
  <c r="K429" i="9"/>
  <c r="C429" i="9"/>
  <c r="S428" i="9"/>
  <c r="K428" i="9"/>
  <c r="C428" i="9"/>
  <c r="S427" i="9"/>
  <c r="K427" i="9"/>
  <c r="C427" i="9"/>
  <c r="S426" i="9"/>
  <c r="K426" i="9"/>
  <c r="C426" i="9"/>
  <c r="S425" i="9"/>
  <c r="K425" i="9"/>
  <c r="C425" i="9"/>
  <c r="S424" i="9"/>
  <c r="K424" i="9"/>
  <c r="C424" i="9"/>
  <c r="S423" i="9"/>
  <c r="K423" i="9"/>
  <c r="C423" i="9"/>
  <c r="S422" i="9"/>
  <c r="K422" i="9"/>
  <c r="C422" i="9"/>
  <c r="S421" i="9"/>
  <c r="K421" i="9"/>
  <c r="C421" i="9"/>
  <c r="S420" i="9"/>
  <c r="K420" i="9"/>
  <c r="C420" i="9"/>
  <c r="S419" i="9"/>
  <c r="K419" i="9"/>
  <c r="C419" i="9"/>
  <c r="S418" i="9"/>
  <c r="K418" i="9"/>
  <c r="C418" i="9"/>
  <c r="S417" i="9"/>
  <c r="K417" i="9"/>
  <c r="C417" i="9"/>
  <c r="S416" i="9"/>
  <c r="K416" i="9"/>
  <c r="C416" i="9"/>
  <c r="S415" i="9"/>
  <c r="K415" i="9"/>
  <c r="C415" i="9"/>
  <c r="S414" i="9"/>
  <c r="K414" i="9"/>
  <c r="C414" i="9"/>
  <c r="S413" i="9"/>
  <c r="K413" i="9"/>
  <c r="C413" i="9"/>
  <c r="S412" i="9"/>
  <c r="K412" i="9"/>
  <c r="C412" i="9"/>
  <c r="S411" i="9"/>
  <c r="K411" i="9"/>
  <c r="C411" i="9"/>
  <c r="S410" i="9"/>
  <c r="K410" i="9"/>
  <c r="C410" i="9"/>
  <c r="S409" i="9"/>
  <c r="K409" i="9"/>
  <c r="C409" i="9"/>
  <c r="S408" i="9"/>
  <c r="K408" i="9"/>
  <c r="C408" i="9"/>
  <c r="S407" i="9"/>
  <c r="K407" i="9"/>
  <c r="C407" i="9"/>
  <c r="S406" i="9"/>
  <c r="K406" i="9"/>
  <c r="C406" i="9"/>
  <c r="S405" i="9"/>
  <c r="K405" i="9"/>
  <c r="C405" i="9"/>
  <c r="S404" i="9"/>
  <c r="K404" i="9"/>
  <c r="C404" i="9"/>
  <c r="S403" i="9"/>
  <c r="K403" i="9"/>
  <c r="C403" i="9"/>
  <c r="S402" i="9"/>
  <c r="K402" i="9"/>
  <c r="K393" i="9"/>
  <c r="C393" i="9"/>
  <c r="S392" i="9"/>
  <c r="K392" i="9"/>
  <c r="C392" i="9"/>
  <c r="S391" i="9"/>
  <c r="K391" i="9"/>
  <c r="C391" i="9"/>
  <c r="S390" i="9"/>
  <c r="K390" i="9"/>
  <c r="S389" i="9"/>
  <c r="K389" i="9"/>
  <c r="C389" i="9"/>
  <c r="S388" i="9"/>
  <c r="K388" i="9"/>
  <c r="C388" i="9"/>
  <c r="S387" i="9"/>
  <c r="K387" i="9"/>
  <c r="C387" i="9"/>
  <c r="S386" i="9"/>
  <c r="K386" i="9"/>
  <c r="C386" i="9"/>
  <c r="S385" i="9"/>
  <c r="K385" i="9"/>
  <c r="C385" i="9"/>
  <c r="S384" i="9"/>
  <c r="K384" i="9"/>
  <c r="C384" i="9"/>
  <c r="S383" i="9"/>
  <c r="K383" i="9"/>
  <c r="C383" i="9"/>
  <c r="S382" i="9"/>
  <c r="K382" i="9"/>
  <c r="C382" i="9"/>
  <c r="S381" i="9"/>
  <c r="K381" i="9"/>
  <c r="C381" i="9"/>
  <c r="S380" i="9"/>
  <c r="K380" i="9"/>
  <c r="C380" i="9"/>
  <c r="S379" i="9"/>
  <c r="K379" i="9"/>
  <c r="C379" i="9"/>
  <c r="S378" i="9"/>
  <c r="K378" i="9"/>
  <c r="C378" i="9"/>
  <c r="S377" i="9"/>
  <c r="K377" i="9"/>
  <c r="C377" i="9"/>
  <c r="S376" i="9"/>
  <c r="K376" i="9"/>
  <c r="S375" i="9"/>
  <c r="K375" i="9"/>
  <c r="C375" i="9"/>
  <c r="K374" i="9"/>
  <c r="C374" i="9"/>
  <c r="K373" i="9"/>
  <c r="S372" i="9"/>
  <c r="C372" i="9"/>
  <c r="K371" i="9"/>
  <c r="C371" i="9"/>
  <c r="C370" i="9"/>
  <c r="S369" i="9"/>
  <c r="C369" i="9"/>
  <c r="K368" i="9"/>
  <c r="C368" i="9"/>
  <c r="K367" i="9"/>
  <c r="S366" i="9"/>
  <c r="E18" i="3"/>
  <c r="B18" i="3"/>
  <c r="F17" i="3"/>
  <c r="G17" i="3" s="1"/>
  <c r="H17" i="3" s="1"/>
  <c r="I17" i="3" s="1"/>
  <c r="B41" i="1"/>
  <c r="B42" i="1" s="1"/>
  <c r="B21" i="1"/>
  <c r="O12" i="18"/>
  <c r="K12" i="18"/>
  <c r="J12" i="18"/>
  <c r="O13" i="18"/>
  <c r="K13" i="18"/>
  <c r="O14" i="18"/>
  <c r="K14" i="18"/>
  <c r="J15" i="18"/>
  <c r="O15" i="18"/>
  <c r="K15" i="18"/>
  <c r="E27" i="15"/>
  <c r="B22" i="15"/>
  <c r="B25" i="15" s="1"/>
  <c r="A22" i="4"/>
  <c r="B21" i="4"/>
  <c r="V2" i="9"/>
  <c r="B38" i="7"/>
  <c r="F18" i="3"/>
  <c r="G18" i="3" s="1"/>
  <c r="H18" i="3" s="1"/>
  <c r="I18" i="3" s="1"/>
  <c r="B19" i="3"/>
  <c r="C19" i="3"/>
  <c r="D19" i="3"/>
  <c r="D20" i="3" s="1"/>
  <c r="E19" i="3"/>
  <c r="C21" i="3"/>
  <c r="D21" i="3"/>
  <c r="C22" i="3"/>
  <c r="D22" i="3" s="1"/>
  <c r="C23" i="3"/>
  <c r="C24" i="3"/>
  <c r="C25" i="3"/>
  <c r="C26" i="3"/>
  <c r="C27" i="3"/>
  <c r="C28" i="3"/>
  <c r="C29" i="3"/>
  <c r="C30" i="3"/>
  <c r="C31" i="3"/>
  <c r="C32" i="3"/>
  <c r="C33" i="3"/>
  <c r="C34" i="3"/>
  <c r="C35" i="3"/>
  <c r="C36" i="3"/>
  <c r="I37" i="3"/>
  <c r="D37" i="3"/>
  <c r="B37" i="3"/>
  <c r="F37" i="3"/>
  <c r="H37" i="3"/>
  <c r="G37" i="3"/>
  <c r="C37" i="3"/>
  <c r="E37" i="3"/>
  <c r="C38" i="3"/>
  <c r="E38" i="3"/>
  <c r="B38" i="3"/>
  <c r="D38" i="3"/>
  <c r="C39" i="3"/>
  <c r="D39" i="3"/>
  <c r="B39" i="3"/>
  <c r="B40" i="3"/>
  <c r="C40" i="3"/>
  <c r="D40" i="3"/>
  <c r="F40" i="3"/>
  <c r="E40" i="3"/>
  <c r="B42" i="3"/>
  <c r="C42" i="3"/>
  <c r="B43" i="3"/>
  <c r="C43" i="3"/>
  <c r="C46" i="3"/>
  <c r="D46" i="3"/>
  <c r="E46" i="3"/>
  <c r="B46" i="3"/>
  <c r="B47" i="3"/>
  <c r="C47" i="3"/>
  <c r="D47" i="3"/>
  <c r="D49" i="3"/>
  <c r="B49" i="3"/>
  <c r="C49" i="3"/>
  <c r="E49" i="3"/>
  <c r="E50" i="3"/>
  <c r="F50" i="3"/>
  <c r="D50" i="3"/>
  <c r="C50" i="3"/>
  <c r="G50" i="3"/>
  <c r="H50" i="3"/>
  <c r="I50" i="3"/>
  <c r="B50" i="3"/>
  <c r="J16" i="18"/>
  <c r="K16" i="18" s="1"/>
  <c r="O16" i="18"/>
  <c r="F8" i="17"/>
  <c r="J8" i="17" s="1"/>
  <c r="F7" i="17"/>
  <c r="J7" i="17" s="1"/>
  <c r="F6" i="17"/>
  <c r="F5" i="17"/>
  <c r="E8" i="14"/>
  <c r="J5" i="15"/>
  <c r="E9" i="13"/>
  <c r="E11" i="13" s="1"/>
  <c r="E12" i="13" s="1"/>
  <c r="H5" i="14"/>
  <c r="A96" i="7"/>
  <c r="E5" i="7"/>
  <c r="C402" i="9"/>
  <c r="S401" i="9"/>
  <c r="K401" i="9"/>
  <c r="C401" i="9"/>
  <c r="S400" i="9"/>
  <c r="K400" i="9"/>
  <c r="C400" i="9"/>
  <c r="S399" i="9"/>
  <c r="K399" i="9"/>
  <c r="C399" i="9"/>
  <c r="S398" i="9"/>
  <c r="K398" i="9"/>
  <c r="C398" i="9"/>
  <c r="S397" i="9"/>
  <c r="K397" i="9"/>
  <c r="C397" i="9"/>
  <c r="S396" i="9"/>
  <c r="K396" i="9"/>
  <c r="C396" i="9"/>
  <c r="S395" i="9"/>
  <c r="K395" i="9"/>
  <c r="C395" i="9"/>
  <c r="S394" i="9"/>
  <c r="K394" i="9"/>
  <c r="C394" i="9"/>
  <c r="S393" i="9"/>
  <c r="AG364" i="9"/>
  <c r="Y365" i="9"/>
  <c r="E7" i="16"/>
  <c r="C56" i="6"/>
  <c r="C23" i="6" s="1" a="1"/>
  <c r="C55" i="6"/>
  <c r="G54" i="6"/>
  <c r="G53" i="6"/>
  <c r="C52" i="6"/>
  <c r="C51" i="6"/>
  <c r="C22" i="6" s="1" a="1"/>
  <c r="G50" i="6"/>
  <c r="C49" i="6"/>
  <c r="G48" i="6"/>
  <c r="C47" i="6"/>
  <c r="C46" i="6"/>
  <c r="G45" i="6"/>
  <c r="C44" i="6"/>
  <c r="C43" i="6"/>
  <c r="G42" i="6"/>
  <c r="C41" i="6"/>
  <c r="C20" i="6" s="1" a="1"/>
  <c r="C40" i="6"/>
  <c r="G39" i="6"/>
  <c r="C38" i="6"/>
  <c r="C37" i="6"/>
  <c r="G36" i="6"/>
  <c r="D19" i="6" s="1" a="1"/>
  <c r="C35" i="6"/>
  <c r="C34" i="6"/>
  <c r="G33" i="6"/>
  <c r="C32" i="6"/>
  <c r="C31" i="6"/>
  <c r="C18" i="6" s="1" a="1"/>
  <c r="G30" i="6"/>
  <c r="C29" i="6"/>
  <c r="C28" i="6"/>
  <c r="G27" i="6"/>
  <c r="E6" i="6"/>
  <c r="E5" i="6"/>
  <c r="A115" i="3"/>
  <c r="G68" i="3"/>
  <c r="E6" i="3"/>
  <c r="F42" i="2"/>
  <c r="E5" i="2"/>
  <c r="E6" i="2" s="1"/>
  <c r="E7" i="2" s="1"/>
  <c r="A36" i="2" s="1"/>
  <c r="J14" i="18"/>
  <c r="E23" i="16"/>
  <c r="O37" i="10"/>
  <c r="P37" i="10"/>
  <c r="O36" i="10"/>
  <c r="P36" i="10"/>
  <c r="P35" i="10"/>
  <c r="O35" i="10"/>
  <c r="O34" i="10"/>
  <c r="P34" i="10"/>
  <c r="O33" i="10"/>
  <c r="P33" i="10"/>
  <c r="O32" i="10"/>
  <c r="P32" i="10"/>
  <c r="O31" i="10"/>
  <c r="P31" i="10"/>
  <c r="O30" i="10"/>
  <c r="P30" i="10"/>
  <c r="O29" i="10"/>
  <c r="P29" i="10"/>
  <c r="O28" i="10"/>
  <c r="P28" i="10"/>
  <c r="O27" i="10"/>
  <c r="P27" i="10"/>
  <c r="O26" i="10"/>
  <c r="P26" i="10"/>
  <c r="O25" i="10"/>
  <c r="P25" i="10"/>
  <c r="O24" i="10"/>
  <c r="P24" i="10"/>
  <c r="O23" i="10"/>
  <c r="P23" i="10"/>
  <c r="O22" i="10"/>
  <c r="P22" i="10"/>
  <c r="O21" i="10"/>
  <c r="P21" i="10"/>
  <c r="O20" i="10"/>
  <c r="P20" i="10"/>
  <c r="O19" i="10"/>
  <c r="P19" i="10"/>
  <c r="O18" i="10"/>
  <c r="N49" i="10" s="1"/>
  <c r="P18" i="10"/>
  <c r="N50" i="10" s="1"/>
  <c r="G5" i="17"/>
  <c r="H5" i="17" s="1"/>
  <c r="G6" i="17"/>
  <c r="H6" i="17" s="1"/>
  <c r="I6" i="17" s="1"/>
  <c r="E28" i="15"/>
  <c r="B23" i="15"/>
  <c r="H13" i="15"/>
  <c r="E29" i="15"/>
  <c r="D25" i="14"/>
  <c r="A60" i="13"/>
  <c r="A59" i="13"/>
  <c r="A58" i="13"/>
  <c r="A57" i="13"/>
  <c r="F57" i="13" s="1"/>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B27" i="13" s="1"/>
  <c r="A26" i="13"/>
  <c r="A25" i="13"/>
  <c r="B25" i="13" s="1"/>
  <c r="A24" i="13"/>
  <c r="A23" i="13"/>
  <c r="A22" i="13"/>
  <c r="A21" i="13"/>
  <c r="Y2" i="12"/>
  <c r="N2" i="12"/>
  <c r="J2" i="12"/>
  <c r="I2" i="12"/>
  <c r="C2" i="12"/>
  <c r="H3" i="12"/>
  <c r="A4" i="12"/>
  <c r="A14" i="2"/>
  <c r="E13" i="2"/>
  <c r="D13" i="2"/>
  <c r="A23" i="4"/>
  <c r="A24" i="4" s="1"/>
  <c r="A25" i="4" s="1"/>
  <c r="A26" i="4" s="1"/>
  <c r="A27" i="4" s="1"/>
  <c r="A28" i="4" s="1"/>
  <c r="B22" i="4"/>
  <c r="A34" i="2"/>
  <c r="C23" i="2"/>
  <c r="C22" i="2"/>
  <c r="C14" i="2"/>
  <c r="H7" i="17"/>
  <c r="I7" i="17" s="1"/>
  <c r="H8" i="17"/>
  <c r="I8" i="17" s="1"/>
  <c r="E9" i="16"/>
  <c r="E12" i="16" s="1"/>
  <c r="E13" i="16" s="1"/>
  <c r="H5" i="16" s="1"/>
  <c r="I10" i="15"/>
  <c r="J10" i="15" s="1"/>
  <c r="J9" i="15"/>
  <c r="C58" i="13"/>
  <c r="G58" i="13"/>
  <c r="B58" i="13"/>
  <c r="D58" i="13"/>
  <c r="E58" i="13"/>
  <c r="F58" i="13"/>
  <c r="H58" i="13"/>
  <c r="I58" i="13"/>
  <c r="J58" i="13"/>
  <c r="I57" i="13"/>
  <c r="H57" i="13"/>
  <c r="G57" i="13"/>
  <c r="E57" i="13"/>
  <c r="D57" i="13"/>
  <c r="C57" i="13"/>
  <c r="B57" i="13"/>
  <c r="J57" i="13"/>
  <c r="I56" i="13"/>
  <c r="H56" i="13"/>
  <c r="C56" i="13"/>
  <c r="F56" i="13"/>
  <c r="B56" i="13"/>
  <c r="G56" i="13"/>
  <c r="D56" i="13"/>
  <c r="E56" i="13"/>
  <c r="J56" i="13"/>
  <c r="C55" i="13"/>
  <c r="I55" i="13"/>
  <c r="H55" i="13"/>
  <c r="E55" i="13"/>
  <c r="J55" i="13"/>
  <c r="G55" i="13"/>
  <c r="B55" i="13"/>
  <c r="D55" i="13"/>
  <c r="F55" i="13"/>
  <c r="B54" i="13"/>
  <c r="C54" i="13"/>
  <c r="D54" i="13"/>
  <c r="E54" i="13"/>
  <c r="F54" i="13"/>
  <c r="H54" i="13"/>
  <c r="I54" i="13"/>
  <c r="J54" i="13"/>
  <c r="G54" i="13"/>
  <c r="B53" i="13"/>
  <c r="F53" i="13"/>
  <c r="J53" i="13"/>
  <c r="I53" i="13"/>
  <c r="H53" i="13"/>
  <c r="G53" i="13"/>
  <c r="E53" i="13"/>
  <c r="D53" i="13"/>
  <c r="C53" i="13"/>
  <c r="J52" i="13"/>
  <c r="H52" i="13"/>
  <c r="F52" i="13"/>
  <c r="C52" i="13"/>
  <c r="E52" i="13"/>
  <c r="D52" i="13"/>
  <c r="B52" i="13"/>
  <c r="I52" i="13"/>
  <c r="G52" i="13"/>
  <c r="I51" i="13"/>
  <c r="H51" i="13"/>
  <c r="G51" i="13"/>
  <c r="E51" i="13"/>
  <c r="J51" i="13"/>
  <c r="F51" i="13"/>
  <c r="D51" i="13"/>
  <c r="B51" i="13"/>
  <c r="C51" i="13"/>
  <c r="B50" i="13"/>
  <c r="B49" i="13"/>
  <c r="B48" i="13"/>
  <c r="B47" i="13"/>
  <c r="B46" i="13"/>
  <c r="B45" i="13"/>
  <c r="B44" i="13"/>
  <c r="B43" i="13"/>
  <c r="B42" i="13"/>
  <c r="B41" i="13"/>
  <c r="B40" i="13"/>
  <c r="B39" i="13"/>
  <c r="B38" i="13"/>
  <c r="B37" i="13"/>
  <c r="B36" i="13"/>
  <c r="B35" i="13"/>
  <c r="B34" i="13"/>
  <c r="B33" i="13"/>
  <c r="B32" i="13"/>
  <c r="B31" i="13"/>
  <c r="B30" i="13"/>
  <c r="B29" i="13"/>
  <c r="B28" i="13"/>
  <c r="B26" i="13"/>
  <c r="B24" i="13"/>
  <c r="B23" i="13"/>
  <c r="B22" i="13"/>
  <c r="C20" i="2"/>
  <c r="C21" i="2"/>
  <c r="C24" i="2"/>
  <c r="C25" i="2"/>
  <c r="C12" i="2"/>
  <c r="C26" i="2"/>
  <c r="C15" i="2"/>
  <c r="C27" i="2"/>
  <c r="C16" i="2"/>
  <c r="C28" i="2"/>
  <c r="C17" i="2"/>
  <c r="C29" i="2"/>
  <c r="F13" i="2"/>
  <c r="B14" i="2" s="1"/>
  <c r="C18" i="2"/>
  <c r="C30" i="2"/>
  <c r="C13" i="2"/>
  <c r="C19" i="2"/>
  <c r="C31" i="2"/>
  <c r="B27" i="4"/>
  <c r="B24" i="4"/>
  <c r="E27" i="4"/>
  <c r="B26" i="4"/>
  <c r="B25" i="4"/>
  <c r="E28" i="4"/>
  <c r="B23" i="4"/>
  <c r="E26" i="4"/>
  <c r="E25" i="4"/>
  <c r="E24" i="4"/>
  <c r="E23" i="4"/>
  <c r="E22" i="4"/>
  <c r="E21" i="4"/>
  <c r="K19" i="10"/>
  <c r="AK2" i="9"/>
  <c r="A20" i="10"/>
  <c r="AC2" i="9"/>
  <c r="E6" i="4"/>
  <c r="M2" i="9"/>
  <c r="E2" i="9"/>
  <c r="B13" i="1"/>
  <c r="B14" i="1" s="1"/>
  <c r="B20" i="1" s="1"/>
  <c r="E5" i="4"/>
  <c r="B26" i="1"/>
  <c r="B27" i="6"/>
  <c r="B28" i="6"/>
  <c r="B29" i="6"/>
  <c r="B30" i="6"/>
  <c r="B31" i="6"/>
  <c r="B18" i="6" s="1" a="1"/>
  <c r="B32" i="6"/>
  <c r="B33" i="6"/>
  <c r="B34" i="6"/>
  <c r="B35" i="6"/>
  <c r="B36" i="6"/>
  <c r="B19" i="6" s="1" a="1"/>
  <c r="B37" i="6"/>
  <c r="B38" i="6"/>
  <c r="B39" i="6"/>
  <c r="B40" i="6"/>
  <c r="B41" i="6"/>
  <c r="B20" i="6" s="1" a="1"/>
  <c r="B42" i="6"/>
  <c r="B43" i="6"/>
  <c r="B44" i="6"/>
  <c r="B45" i="6"/>
  <c r="B46" i="6"/>
  <c r="B21" i="6" s="1" a="1"/>
  <c r="B47" i="6"/>
  <c r="B48" i="6"/>
  <c r="B49" i="6"/>
  <c r="B50" i="6"/>
  <c r="B51" i="6"/>
  <c r="B22" i="6" s="1" a="1"/>
  <c r="B52" i="6"/>
  <c r="B53" i="6"/>
  <c r="B54" i="6"/>
  <c r="B55" i="6"/>
  <c r="B56" i="6"/>
  <c r="B23" i="6" s="1" a="1"/>
  <c r="B19" i="1"/>
  <c r="G7" i="4"/>
  <c r="A37" i="2"/>
  <c r="C27" i="6"/>
  <c r="C30" i="6"/>
  <c r="C33" i="6"/>
  <c r="C36" i="6"/>
  <c r="C39" i="6"/>
  <c r="C42" i="6"/>
  <c r="C45" i="6"/>
  <c r="C48" i="6"/>
  <c r="C50" i="6"/>
  <c r="C53" i="6"/>
  <c r="C54" i="6"/>
  <c r="G28" i="6"/>
  <c r="G29" i="6"/>
  <c r="G31" i="6"/>
  <c r="G32" i="6"/>
  <c r="G34" i="6"/>
  <c r="G35" i="6"/>
  <c r="G37" i="6"/>
  <c r="G38" i="6"/>
  <c r="G40" i="6"/>
  <c r="G41" i="6"/>
  <c r="G43" i="6"/>
  <c r="G44" i="6"/>
  <c r="G46" i="6"/>
  <c r="G47" i="6"/>
  <c r="G49" i="6"/>
  <c r="G51" i="6"/>
  <c r="G52" i="6"/>
  <c r="G55" i="6"/>
  <c r="G56" i="6"/>
  <c r="W2" i="9" l="1"/>
  <c r="X2" i="9"/>
  <c r="AI201" i="9"/>
  <c r="AI199" i="9"/>
  <c r="AI198" i="9"/>
  <c r="AI197" i="9"/>
  <c r="AI195" i="9"/>
  <c r="AA188" i="9"/>
  <c r="AA187" i="9"/>
  <c r="AA186" i="9"/>
  <c r="AA185" i="9"/>
  <c r="AA184" i="9"/>
  <c r="AA183" i="9"/>
  <c r="AA182" i="9"/>
  <c r="AA181" i="9"/>
  <c r="AA180" i="9"/>
  <c r="AA179" i="9"/>
  <c r="AA178" i="9"/>
  <c r="AA177" i="9"/>
  <c r="AA176" i="9"/>
  <c r="AA175" i="9"/>
  <c r="AA174" i="9"/>
  <c r="AA173" i="9"/>
  <c r="AA172" i="9"/>
  <c r="AA171" i="9"/>
  <c r="AA170" i="9"/>
  <c r="AA169" i="9"/>
  <c r="AA168" i="9"/>
  <c r="AA167" i="9"/>
  <c r="AA166" i="9"/>
  <c r="AA165" i="9"/>
  <c r="AA164" i="9"/>
  <c r="AA163" i="9"/>
  <c r="AA162" i="9"/>
  <c r="AA161" i="9"/>
  <c r="AA160" i="9"/>
  <c r="AA159" i="9"/>
  <c r="AA158" i="9"/>
  <c r="AA157" i="9"/>
  <c r="AA156" i="9"/>
  <c r="AA155" i="9"/>
  <c r="AA154" i="9"/>
  <c r="AA153" i="9"/>
  <c r="AA152" i="9"/>
  <c r="AA151" i="9"/>
  <c r="AA150" i="9"/>
  <c r="AA149" i="9"/>
  <c r="AA148" i="9"/>
  <c r="AA147" i="9"/>
  <c r="AA146" i="9"/>
  <c r="AA145" i="9"/>
  <c r="AA144" i="9"/>
  <c r="AA143" i="9"/>
  <c r="AA142" i="9"/>
  <c r="AA141" i="9"/>
  <c r="AA140" i="9"/>
  <c r="AA139" i="9"/>
  <c r="AA138" i="9"/>
  <c r="AA137" i="9"/>
  <c r="AA136" i="9"/>
  <c r="AA135" i="9"/>
  <c r="AA134" i="9"/>
  <c r="AA133" i="9"/>
  <c r="AA132" i="9"/>
  <c r="AA131" i="9"/>
  <c r="AA130" i="9"/>
  <c r="AA129" i="9"/>
  <c r="AA128" i="9"/>
  <c r="AA127" i="9"/>
  <c r="AA126" i="9"/>
  <c r="AA125" i="9"/>
  <c r="AA124" i="9"/>
  <c r="AA123" i="9"/>
  <c r="AA122" i="9"/>
  <c r="AA121" i="9"/>
  <c r="AA120" i="9"/>
  <c r="AA119" i="9"/>
  <c r="AA118" i="9"/>
  <c r="AA117" i="9"/>
  <c r="AA116" i="9"/>
  <c r="AA115" i="9"/>
  <c r="AA114" i="9"/>
  <c r="AA113" i="9"/>
  <c r="AA112" i="9"/>
  <c r="AA111" i="9"/>
  <c r="AA110" i="9"/>
  <c r="AA109" i="9"/>
  <c r="AA108" i="9"/>
  <c r="AA107" i="9"/>
  <c r="AA106" i="9"/>
  <c r="AA105" i="9"/>
  <c r="AA104" i="9"/>
  <c r="AA103" i="9"/>
  <c r="AA102" i="9"/>
  <c r="AA101" i="9"/>
  <c r="AA100" i="9"/>
  <c r="AA99" i="9"/>
  <c r="AA98" i="9"/>
  <c r="AA97" i="9"/>
  <c r="AA96" i="9"/>
  <c r="AA95" i="9"/>
  <c r="AA94" i="9"/>
  <c r="AA93" i="9"/>
  <c r="AA92" i="9"/>
  <c r="AA91" i="9"/>
  <c r="AA90" i="9"/>
  <c r="AA89" i="9"/>
  <c r="AA88" i="9"/>
  <c r="AA87" i="9"/>
  <c r="AA86" i="9"/>
  <c r="AA85" i="9"/>
  <c r="AA84" i="9"/>
  <c r="AA83" i="9"/>
  <c r="AA82" i="9"/>
  <c r="AA81" i="9"/>
  <c r="AA80" i="9"/>
  <c r="AA79" i="9"/>
  <c r="AA78" i="9"/>
  <c r="AA77" i="9"/>
  <c r="AA76" i="9"/>
  <c r="AA75" i="9"/>
  <c r="AA74" i="9"/>
  <c r="AA73" i="9"/>
  <c r="AA72" i="9"/>
  <c r="AA71" i="9"/>
  <c r="AA70" i="9"/>
  <c r="AA69" i="9"/>
  <c r="AA68" i="9"/>
  <c r="AA67" i="9"/>
  <c r="AA66" i="9"/>
  <c r="AA65" i="9"/>
  <c r="AA64" i="9"/>
  <c r="AA63" i="9"/>
  <c r="AA62" i="9"/>
  <c r="AA361" i="9"/>
  <c r="AA360" i="9"/>
  <c r="AA359" i="9"/>
  <c r="AA358" i="9"/>
  <c r="AA357" i="9"/>
  <c r="AA356" i="9"/>
  <c r="AA355" i="9"/>
  <c r="AA354" i="9"/>
  <c r="AA353" i="9"/>
  <c r="AA352" i="9"/>
  <c r="AA351" i="9"/>
  <c r="AA350" i="9"/>
  <c r="AA349" i="9"/>
  <c r="AA348" i="9"/>
  <c r="AA347" i="9"/>
  <c r="AA346" i="9"/>
  <c r="AA345" i="9"/>
  <c r="AA344" i="9"/>
  <c r="AA343" i="9"/>
  <c r="AA342" i="9"/>
  <c r="AA341" i="9"/>
  <c r="AA340" i="9"/>
  <c r="AA339" i="9"/>
  <c r="AA338" i="9"/>
  <c r="AA337" i="9"/>
  <c r="AA336" i="9"/>
  <c r="AA335" i="9"/>
  <c r="AA334" i="9"/>
  <c r="AA333" i="9"/>
  <c r="AA332" i="9"/>
  <c r="AA331" i="9"/>
  <c r="AA330" i="9"/>
  <c r="AA329" i="9"/>
  <c r="AA328" i="9"/>
  <c r="AA327" i="9"/>
  <c r="AA326" i="9"/>
  <c r="AA325" i="9"/>
  <c r="AA324" i="9"/>
  <c r="AA323" i="9"/>
  <c r="AA322" i="9"/>
  <c r="AA321" i="9"/>
  <c r="AA320" i="9"/>
  <c r="AA319" i="9"/>
  <c r="AA318" i="9"/>
  <c r="AA317" i="9"/>
  <c r="AA316" i="9"/>
  <c r="AA315" i="9"/>
  <c r="AA314" i="9"/>
  <c r="AA313" i="9"/>
  <c r="AA312" i="9"/>
  <c r="AA311" i="9"/>
  <c r="AA310" i="9"/>
  <c r="AA309" i="9"/>
  <c r="AA308" i="9"/>
  <c r="AA307" i="9"/>
  <c r="AA306" i="9"/>
  <c r="AA305" i="9"/>
  <c r="AA304" i="9"/>
  <c r="AA303" i="9"/>
  <c r="AA302" i="9"/>
  <c r="AA301" i="9"/>
  <c r="AA300" i="9"/>
  <c r="AA299" i="9"/>
  <c r="AA298" i="9"/>
  <c r="AA297" i="9"/>
  <c r="AA296" i="9"/>
  <c r="AA295" i="9"/>
  <c r="AA294" i="9"/>
  <c r="AA293" i="9"/>
  <c r="AA292" i="9"/>
  <c r="AA291" i="9"/>
  <c r="AA290" i="9"/>
  <c r="AA289" i="9"/>
  <c r="AA288" i="9"/>
  <c r="AA287" i="9"/>
  <c r="AA286" i="9"/>
  <c r="AA285" i="9"/>
  <c r="AA284" i="9"/>
  <c r="AA283" i="9"/>
  <c r="AA282" i="9"/>
  <c r="AA281" i="9"/>
  <c r="AA280" i="9"/>
  <c r="AA279" i="9"/>
  <c r="AA278" i="9"/>
  <c r="AA277" i="9"/>
  <c r="AA276" i="9"/>
  <c r="AA275" i="9"/>
  <c r="AA274" i="9"/>
  <c r="AA273" i="9"/>
  <c r="AA272" i="9"/>
  <c r="AA271" i="9"/>
  <c r="AA270" i="9"/>
  <c r="AA269" i="9"/>
  <c r="AA268" i="9"/>
  <c r="AA267" i="9"/>
  <c r="AA266" i="9"/>
  <c r="AA265" i="9"/>
  <c r="AA264" i="9"/>
  <c r="AA263" i="9"/>
  <c r="AA262" i="9"/>
  <c r="AA261" i="9"/>
  <c r="AA260" i="9"/>
  <c r="AA259" i="9"/>
  <c r="AA258" i="9"/>
  <c r="AA257" i="9"/>
  <c r="AA256" i="9"/>
  <c r="AA255" i="9"/>
  <c r="AA254" i="9"/>
  <c r="AA253" i="9"/>
  <c r="AA252" i="9"/>
  <c r="AA251" i="9"/>
  <c r="AA250" i="9"/>
  <c r="AA249" i="9"/>
  <c r="AA248" i="9"/>
  <c r="AA247" i="9"/>
  <c r="AA246" i="9"/>
  <c r="AA245" i="9"/>
  <c r="AA244" i="9"/>
  <c r="AA243" i="9"/>
  <c r="AA242" i="9"/>
  <c r="AA241" i="9"/>
  <c r="AA240" i="9"/>
  <c r="AA239" i="9"/>
  <c r="AA238" i="9"/>
  <c r="AA237" i="9"/>
  <c r="AA236" i="9"/>
  <c r="AA235" i="9"/>
  <c r="AA234" i="9"/>
  <c r="AA233" i="9"/>
  <c r="AA232" i="9"/>
  <c r="AA231" i="9"/>
  <c r="AA230" i="9"/>
  <c r="AA229" i="9"/>
  <c r="AA228" i="9"/>
  <c r="AA227" i="9"/>
  <c r="AA226" i="9"/>
  <c r="AA225" i="9"/>
  <c r="AA224" i="9"/>
  <c r="AA223" i="9"/>
  <c r="AA222" i="9"/>
  <c r="AA221" i="9"/>
  <c r="AA220" i="9"/>
  <c r="AA219" i="9"/>
  <c r="AA218" i="9"/>
  <c r="AA217" i="9"/>
  <c r="AA216" i="9"/>
  <c r="AA215" i="9"/>
  <c r="AA214" i="9"/>
  <c r="AA213" i="9"/>
  <c r="AA212" i="9"/>
  <c r="AA211" i="9"/>
  <c r="AA210" i="9"/>
  <c r="AA209" i="9"/>
  <c r="AA208" i="9"/>
  <c r="AA207" i="9"/>
  <c r="AA206" i="9"/>
  <c r="AA205" i="9"/>
  <c r="AA204" i="9"/>
  <c r="AA203" i="9"/>
  <c r="AA202" i="9"/>
  <c r="AA201" i="9"/>
  <c r="AA200" i="9"/>
  <c r="AA199" i="9"/>
  <c r="AA198" i="9"/>
  <c r="AA197" i="9"/>
  <c r="AA196" i="9"/>
  <c r="AA195" i="9"/>
  <c r="AA194" i="9"/>
  <c r="AA193" i="9"/>
  <c r="AA192" i="9"/>
  <c r="AA191" i="9"/>
  <c r="AA190" i="9"/>
  <c r="AA189" i="9"/>
  <c r="AI188" i="9"/>
  <c r="AI187" i="9"/>
  <c r="AI186" i="9"/>
  <c r="AI185" i="9"/>
  <c r="AI184" i="9"/>
  <c r="AI183" i="9"/>
  <c r="AI182" i="9"/>
  <c r="AI181" i="9"/>
  <c r="AI180" i="9"/>
  <c r="AI179" i="9"/>
  <c r="AI178" i="9"/>
  <c r="AI177" i="9"/>
  <c r="AI176" i="9"/>
  <c r="AI175" i="9"/>
  <c r="AI174" i="9"/>
  <c r="AI173" i="9"/>
  <c r="AI172" i="9"/>
  <c r="AI171" i="9"/>
  <c r="AI170" i="9"/>
  <c r="AI169" i="9"/>
  <c r="AI168" i="9"/>
  <c r="AI167" i="9"/>
  <c r="AI166" i="9"/>
  <c r="AI165" i="9"/>
  <c r="AI164" i="9"/>
  <c r="AI163" i="9"/>
  <c r="AI162" i="9"/>
  <c r="AI161" i="9"/>
  <c r="AI160" i="9"/>
  <c r="AI159" i="9"/>
  <c r="AI158" i="9"/>
  <c r="AI157" i="9"/>
  <c r="AI156" i="9"/>
  <c r="AI155" i="9"/>
  <c r="AI154" i="9"/>
  <c r="AI153" i="9"/>
  <c r="AI152" i="9"/>
  <c r="AI151" i="9"/>
  <c r="AI150" i="9"/>
  <c r="AI149" i="9"/>
  <c r="AI148" i="9"/>
  <c r="AI147" i="9"/>
  <c r="AI146" i="9"/>
  <c r="AI145" i="9"/>
  <c r="AI144" i="9"/>
  <c r="AI143" i="9"/>
  <c r="AI142" i="9"/>
  <c r="AI141" i="9"/>
  <c r="AI140" i="9"/>
  <c r="AI139" i="9"/>
  <c r="AI138" i="9"/>
  <c r="AI137" i="9"/>
  <c r="AI136" i="9"/>
  <c r="AI135" i="9"/>
  <c r="AI134" i="9"/>
  <c r="AI133" i="9"/>
  <c r="AI132" i="9"/>
  <c r="AI131" i="9"/>
  <c r="AI130" i="9"/>
  <c r="AI129" i="9"/>
  <c r="AI128" i="9"/>
  <c r="AI127" i="9"/>
  <c r="AI126" i="9"/>
  <c r="AI125" i="9"/>
  <c r="AI124" i="9"/>
  <c r="AI123" i="9"/>
  <c r="AI122" i="9"/>
  <c r="AI121" i="9"/>
  <c r="AI120" i="9"/>
  <c r="AI119" i="9"/>
  <c r="AI118" i="9"/>
  <c r="AI117" i="9"/>
  <c r="AI116" i="9"/>
  <c r="AI115" i="9"/>
  <c r="AI114" i="9"/>
  <c r="AI113" i="9"/>
  <c r="AI112" i="9"/>
  <c r="AI111" i="9"/>
  <c r="AI110" i="9"/>
  <c r="AI109" i="9"/>
  <c r="AI108" i="9"/>
  <c r="AI107" i="9"/>
  <c r="AI106" i="9"/>
  <c r="AI105" i="9"/>
  <c r="AI104" i="9"/>
  <c r="AI103" i="9"/>
  <c r="AI102" i="9"/>
  <c r="AI101" i="9"/>
  <c r="AI100" i="9"/>
  <c r="AI99" i="9"/>
  <c r="AI98" i="9"/>
  <c r="AI97" i="9"/>
  <c r="AI96" i="9"/>
  <c r="AI95" i="9"/>
  <c r="AI94" i="9"/>
  <c r="AI93" i="9"/>
  <c r="AI92" i="9"/>
  <c r="AI91" i="9"/>
  <c r="AI90" i="9"/>
  <c r="AI89" i="9"/>
  <c r="AI88" i="9"/>
  <c r="AI87" i="9"/>
  <c r="AI86" i="9"/>
  <c r="AI85" i="9"/>
  <c r="AI84" i="9"/>
  <c r="AI261" i="9"/>
  <c r="AI260" i="9"/>
  <c r="AI259" i="9"/>
  <c r="AI258" i="9"/>
  <c r="AI257" i="9"/>
  <c r="AI256" i="9"/>
  <c r="AI255" i="9"/>
  <c r="AI254" i="9"/>
  <c r="AI253" i="9"/>
  <c r="AI252" i="9"/>
  <c r="AI251" i="9"/>
  <c r="AI250" i="9"/>
  <c r="AI249" i="9"/>
  <c r="AI248" i="9"/>
  <c r="AI247" i="9"/>
  <c r="AI246" i="9"/>
  <c r="AI245" i="9"/>
  <c r="AI244" i="9"/>
  <c r="AI243" i="9"/>
  <c r="AI242" i="9"/>
  <c r="AI241" i="9"/>
  <c r="AI240" i="9"/>
  <c r="AI239" i="9"/>
  <c r="AI238" i="9"/>
  <c r="AI237" i="9"/>
  <c r="AI236" i="9"/>
  <c r="AI235" i="9"/>
  <c r="AI234" i="9"/>
  <c r="AI233" i="9"/>
  <c r="AI232" i="9"/>
  <c r="AI231" i="9"/>
  <c r="AI230" i="9"/>
  <c r="AI229" i="9"/>
  <c r="AI228" i="9"/>
  <c r="AI227" i="9"/>
  <c r="AI226" i="9"/>
  <c r="AI225" i="9"/>
  <c r="AI224" i="9"/>
  <c r="AI223" i="9"/>
  <c r="AI222" i="9"/>
  <c r="AI221" i="9"/>
  <c r="AI219" i="9"/>
  <c r="AI218" i="9"/>
  <c r="AI217" i="9"/>
  <c r="AI216" i="9"/>
  <c r="AI215" i="9"/>
  <c r="AI214" i="9"/>
  <c r="AI213" i="9"/>
  <c r="AI212" i="9"/>
  <c r="AI211" i="9"/>
  <c r="AI210" i="9"/>
  <c r="AI209" i="9"/>
  <c r="AI208" i="9"/>
  <c r="AI207" i="9"/>
  <c r="AI206" i="9"/>
  <c r="AI205" i="9"/>
  <c r="AI204" i="9"/>
  <c r="AI203" i="9"/>
  <c r="AI202" i="9"/>
  <c r="AI200" i="9"/>
  <c r="AI196" i="9"/>
  <c r="AI220" i="9"/>
  <c r="AA362" i="9"/>
  <c r="AI362" i="9"/>
  <c r="D23" i="3"/>
  <c r="D24" i="3" s="1"/>
  <c r="D25" i="3" s="1"/>
  <c r="D26" i="3" s="1"/>
  <c r="D27" i="3" s="1"/>
  <c r="D28" i="3" s="1"/>
  <c r="D29" i="3" s="1"/>
  <c r="D30" i="3" s="1"/>
  <c r="D31" i="3" s="1"/>
  <c r="D32" i="3" s="1"/>
  <c r="D33" i="3" s="1"/>
  <c r="D34" i="3" s="1"/>
  <c r="D35" i="3" s="1"/>
  <c r="D36" i="3" s="1"/>
  <c r="J6" i="17"/>
  <c r="H5" i="13"/>
  <c r="E8" i="13"/>
  <c r="AA363" i="9"/>
  <c r="AI189" i="9"/>
  <c r="AI190" i="9"/>
  <c r="AI191" i="9"/>
  <c r="AI192" i="9"/>
  <c r="AI193" i="9"/>
  <c r="AI194" i="9"/>
  <c r="AI363" i="9"/>
  <c r="AA364"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62" i="9"/>
  <c r="AI63" i="9"/>
  <c r="AI64" i="9"/>
  <c r="AI65" i="9"/>
  <c r="AI66" i="9"/>
  <c r="AI67" i="9"/>
  <c r="AI68" i="9"/>
  <c r="AI69" i="9"/>
  <c r="AI70" i="9"/>
  <c r="AI71" i="9"/>
  <c r="AI72" i="9"/>
  <c r="AI73" i="9"/>
  <c r="AI74" i="9"/>
  <c r="AI75" i="9"/>
  <c r="AI76" i="9"/>
  <c r="AI77" i="9"/>
  <c r="AI78" i="9"/>
  <c r="AI79" i="9"/>
  <c r="AI80" i="9"/>
  <c r="AI81" i="9"/>
  <c r="AI82" i="9"/>
  <c r="AI83" i="9"/>
  <c r="E20" i="3"/>
  <c r="B20" i="3"/>
  <c r="F19" i="3"/>
  <c r="G19" i="3" s="1"/>
  <c r="H19" i="3"/>
  <c r="I19" i="3" s="1"/>
  <c r="J3" i="12"/>
  <c r="D13" i="17"/>
  <c r="C11" i="18"/>
  <c r="F75" i="14"/>
  <c r="F63" i="14"/>
  <c r="F60" i="14"/>
  <c r="F56" i="14"/>
  <c r="F53" i="14"/>
  <c r="F52" i="14"/>
  <c r="F49" i="14"/>
  <c r="F48" i="14"/>
  <c r="F46" i="14"/>
  <c r="F45" i="14"/>
  <c r="F43" i="14"/>
  <c r="F41" i="14"/>
  <c r="F38" i="14"/>
  <c r="F37" i="14"/>
  <c r="F34" i="14"/>
  <c r="F33" i="14"/>
  <c r="F31" i="14"/>
  <c r="F28" i="14"/>
  <c r="F26" i="14"/>
  <c r="E13" i="14"/>
  <c r="F82" i="14"/>
  <c r="F81" i="14"/>
  <c r="F79" i="14"/>
  <c r="F78" i="14"/>
  <c r="F77" i="14"/>
  <c r="F76" i="14"/>
  <c r="F74" i="14"/>
  <c r="F73" i="14"/>
  <c r="F72" i="14"/>
  <c r="F71" i="14"/>
  <c r="F70" i="14"/>
  <c r="F69" i="14"/>
  <c r="F68" i="14"/>
  <c r="F67" i="14"/>
  <c r="F66" i="14"/>
  <c r="F65" i="14"/>
  <c r="F64" i="14"/>
  <c r="F62" i="14"/>
  <c r="F61" i="14"/>
  <c r="F59" i="14"/>
  <c r="F58" i="14"/>
  <c r="F57" i="14"/>
  <c r="F55" i="14"/>
  <c r="F54" i="14"/>
  <c r="F51" i="14"/>
  <c r="F50" i="14"/>
  <c r="F47" i="14"/>
  <c r="F44" i="14"/>
  <c r="F42" i="14"/>
  <c r="F40" i="14"/>
  <c r="F39" i="14"/>
  <c r="F36" i="14"/>
  <c r="F35" i="14"/>
  <c r="F32" i="14"/>
  <c r="F29" i="14"/>
  <c r="F27" i="14"/>
  <c r="F83" i="14"/>
  <c r="E12" i="14"/>
  <c r="E10" i="14"/>
  <c r="F80" i="14"/>
  <c r="F30" i="14"/>
  <c r="F84" i="14"/>
  <c r="F25" i="14"/>
  <c r="C25" i="14"/>
  <c r="E25" i="14" s="1"/>
  <c r="H11" i="18"/>
  <c r="I17" i="18"/>
  <c r="E14" i="14"/>
  <c r="H9" i="14" s="1"/>
  <c r="H7" i="14"/>
  <c r="A97" i="7"/>
  <c r="AJ2" i="9"/>
  <c r="AB2" i="9"/>
  <c r="AI364" i="9"/>
  <c r="AG365" i="9"/>
  <c r="Y366" i="9"/>
  <c r="AA365" i="9"/>
  <c r="E15" i="13"/>
  <c r="H9" i="13" s="1"/>
  <c r="E13" i="13"/>
  <c r="H11" i="13" s="1"/>
  <c r="K2" i="12"/>
  <c r="L2" i="12" s="1"/>
  <c r="G3" i="12"/>
  <c r="I3" i="12" s="1"/>
  <c r="H27" i="6"/>
  <c r="I27" i="6" s="1"/>
  <c r="J27" i="6" s="1"/>
  <c r="H30" i="6"/>
  <c r="I30" i="6" s="1"/>
  <c r="J30" i="6" s="1"/>
  <c r="H39" i="6"/>
  <c r="I39" i="6" s="1"/>
  <c r="J39" i="6" s="1"/>
  <c r="H42" i="6"/>
  <c r="I42" i="6" s="1"/>
  <c r="J42" i="6" s="1"/>
  <c r="H33" i="6"/>
  <c r="I33" i="6" s="1"/>
  <c r="J33" i="6" s="1"/>
  <c r="D32" i="6"/>
  <c r="E32" i="6" s="1"/>
  <c r="F32" i="6" s="1"/>
  <c r="D28" i="6"/>
  <c r="E28" i="6" s="1"/>
  <c r="F28" i="6" s="1"/>
  <c r="D34" i="6"/>
  <c r="E34" i="6" s="1"/>
  <c r="F34" i="6" s="1"/>
  <c r="D35" i="6"/>
  <c r="E35" i="6" s="1"/>
  <c r="F35" i="6" s="1"/>
  <c r="D37" i="6"/>
  <c r="E37" i="6" s="1"/>
  <c r="F37" i="6" s="1"/>
  <c r="D38" i="6"/>
  <c r="E38" i="6" s="1"/>
  <c r="F38" i="6" s="1"/>
  <c r="D40" i="6"/>
  <c r="E40" i="6" s="1"/>
  <c r="F40" i="6" s="1"/>
  <c r="D29" i="6"/>
  <c r="E29" i="6" s="1"/>
  <c r="F29" i="6" s="1"/>
  <c r="C21" i="6" a="1"/>
  <c r="E8" i="6" a="1"/>
  <c r="D43" i="6"/>
  <c r="E43" i="6" s="1"/>
  <c r="F43" i="6" s="1"/>
  <c r="D44" i="6"/>
  <c r="E44" i="6" s="1"/>
  <c r="F44" i="6" s="1"/>
  <c r="H45" i="6"/>
  <c r="I45" i="6" s="1"/>
  <c r="J45" i="6" s="1"/>
  <c r="D47" i="6"/>
  <c r="E47" i="6" s="1"/>
  <c r="F47" i="6" s="1"/>
  <c r="H48" i="6"/>
  <c r="I48" i="6" s="1"/>
  <c r="J48" i="6" s="1"/>
  <c r="D49" i="6"/>
  <c r="E49" i="6" s="1"/>
  <c r="F49" i="6" s="1"/>
  <c r="H50" i="6"/>
  <c r="I50" i="6" s="1"/>
  <c r="J50" i="6" s="1"/>
  <c r="D52" i="6"/>
  <c r="E52" i="6" s="1"/>
  <c r="F52" i="6" s="1"/>
  <c r="H53" i="6"/>
  <c r="I53" i="6" s="1"/>
  <c r="J53" i="6" s="1"/>
  <c r="H54" i="6"/>
  <c r="I54" i="6" s="1"/>
  <c r="J54" i="6" s="1"/>
  <c r="D55" i="6"/>
  <c r="E55" i="6" s="1"/>
  <c r="F55" i="6" s="1"/>
  <c r="K29" i="6"/>
  <c r="K31" i="6"/>
  <c r="K32" i="6"/>
  <c r="K34" i="6"/>
  <c r="K37" i="6"/>
  <c r="K38" i="6"/>
  <c r="K44" i="6"/>
  <c r="K46" i="6"/>
  <c r="K47" i="6"/>
  <c r="K51" i="6"/>
  <c r="K56" i="6"/>
  <c r="E7" i="3"/>
  <c r="A59" i="3"/>
  <c r="B26" i="14"/>
  <c r="G25" i="14"/>
  <c r="D21" i="13"/>
  <c r="C21" i="13"/>
  <c r="B21" i="13"/>
  <c r="H4" i="12"/>
  <c r="J4" i="12" s="1"/>
  <c r="A5" i="12"/>
  <c r="D14" i="2"/>
  <c r="F14" i="2" s="1"/>
  <c r="B15" i="2" s="1"/>
  <c r="E14" i="2"/>
  <c r="A15" i="2"/>
  <c r="A29" i="4"/>
  <c r="B28" i="4"/>
  <c r="G9" i="17"/>
  <c r="N53" i="10"/>
  <c r="N51" i="10"/>
  <c r="N52" i="10" s="1"/>
  <c r="G60" i="13"/>
  <c r="J60" i="13"/>
  <c r="H60" i="13"/>
  <c r="I60" i="13"/>
  <c r="C60" i="13"/>
  <c r="B60" i="13"/>
  <c r="D60" i="13"/>
  <c r="E60" i="13"/>
  <c r="F60" i="13"/>
  <c r="C59" i="13"/>
  <c r="B59" i="13"/>
  <c r="F59" i="13"/>
  <c r="J59" i="13"/>
  <c r="I59" i="13"/>
  <c r="H59" i="13"/>
  <c r="G59" i="13"/>
  <c r="E59" i="13"/>
  <c r="D59" i="13"/>
  <c r="Z2" i="12"/>
  <c r="O2" i="12"/>
  <c r="P2" i="12" s="1"/>
  <c r="Q2" i="12" s="1"/>
  <c r="M3" i="12" s="1"/>
  <c r="D2" i="12"/>
  <c r="F27" i="4"/>
  <c r="G27" i="4" s="1"/>
  <c r="H27" i="4" s="1"/>
  <c r="D83" i="19"/>
  <c r="G83" i="19"/>
  <c r="H83" i="19" s="1"/>
  <c r="D84" i="19"/>
  <c r="G84" i="19"/>
  <c r="H84" i="19" s="1"/>
  <c r="D85" i="19"/>
  <c r="G85" i="19"/>
  <c r="H85" i="19" s="1"/>
  <c r="D86" i="19"/>
  <c r="G86" i="19"/>
  <c r="H86" i="19" s="1"/>
  <c r="D87" i="19"/>
  <c r="G87" i="19"/>
  <c r="H87" i="19" s="1"/>
  <c r="D88" i="19"/>
  <c r="G88" i="19"/>
  <c r="H88" i="19" s="1"/>
  <c r="D89" i="19"/>
  <c r="G89" i="19"/>
  <c r="H89" i="19" s="1"/>
  <c r="D90" i="19"/>
  <c r="G90" i="19"/>
  <c r="H90" i="19" s="1"/>
  <c r="D91" i="19"/>
  <c r="G91" i="19"/>
  <c r="H91" i="19" s="1"/>
  <c r="D92" i="19"/>
  <c r="G92" i="19"/>
  <c r="H92" i="19" s="1"/>
  <c r="D93" i="19"/>
  <c r="G93" i="19"/>
  <c r="H93" i="19" s="1"/>
  <c r="D94" i="19"/>
  <c r="G94" i="19"/>
  <c r="H94" i="19" s="1"/>
  <c r="D95" i="19"/>
  <c r="G95" i="19"/>
  <c r="H95" i="19" s="1"/>
  <c r="D96" i="19"/>
  <c r="G96" i="19"/>
  <c r="H96" i="19" s="1"/>
  <c r="D97" i="19"/>
  <c r="G97" i="19"/>
  <c r="H97" i="19" s="1"/>
  <c r="D98" i="19"/>
  <c r="G98" i="19"/>
  <c r="H98" i="19" s="1"/>
  <c r="D99" i="19"/>
  <c r="G99" i="19"/>
  <c r="H99" i="19" s="1"/>
  <c r="D100" i="19"/>
  <c r="G100" i="19"/>
  <c r="H100" i="19" s="1"/>
  <c r="D101" i="19"/>
  <c r="D62" i="19"/>
  <c r="G62" i="19"/>
  <c r="H62" i="19" s="1"/>
  <c r="D63" i="19"/>
  <c r="G63" i="19"/>
  <c r="H63" i="19" s="1"/>
  <c r="D64" i="19"/>
  <c r="G64" i="19"/>
  <c r="H64" i="19" s="1"/>
  <c r="D65" i="19"/>
  <c r="G65" i="19"/>
  <c r="H65" i="19" s="1"/>
  <c r="D66" i="19"/>
  <c r="G66" i="19"/>
  <c r="H66" i="19" s="1"/>
  <c r="D67" i="19"/>
  <c r="G67" i="19"/>
  <c r="H67" i="19" s="1"/>
  <c r="D68" i="19"/>
  <c r="G68" i="19"/>
  <c r="H68" i="19" s="1"/>
  <c r="D69" i="19"/>
  <c r="G69" i="19"/>
  <c r="H69" i="19" s="1"/>
  <c r="D70" i="19"/>
  <c r="G70" i="19"/>
  <c r="H70" i="19" s="1"/>
  <c r="D71" i="19"/>
  <c r="G71" i="19"/>
  <c r="H71" i="19" s="1"/>
  <c r="D72" i="19"/>
  <c r="G72" i="19"/>
  <c r="H72" i="19" s="1"/>
  <c r="D73" i="19"/>
  <c r="G73" i="19"/>
  <c r="H73" i="19" s="1"/>
  <c r="D74" i="19"/>
  <c r="G74" i="19"/>
  <c r="H74" i="19" s="1"/>
  <c r="D75" i="19"/>
  <c r="G75" i="19"/>
  <c r="H75" i="19" s="1"/>
  <c r="D76" i="19"/>
  <c r="G76" i="19"/>
  <c r="H76" i="19" s="1"/>
  <c r="D77" i="19"/>
  <c r="G77" i="19"/>
  <c r="H77" i="19" s="1"/>
  <c r="D78" i="19"/>
  <c r="G78" i="19"/>
  <c r="H78" i="19" s="1"/>
  <c r="D79" i="19"/>
  <c r="G79" i="19"/>
  <c r="H79" i="19" s="1"/>
  <c r="D80" i="19"/>
  <c r="G80" i="19"/>
  <c r="H80" i="19" s="1"/>
  <c r="D81" i="19"/>
  <c r="D42" i="19"/>
  <c r="G42" i="19"/>
  <c r="H42" i="19" s="1"/>
  <c r="D43" i="19"/>
  <c r="G43" i="19"/>
  <c r="H43" i="19" s="1"/>
  <c r="D44" i="19"/>
  <c r="G44" i="19"/>
  <c r="H44" i="19" s="1"/>
  <c r="D45" i="19"/>
  <c r="G45" i="19"/>
  <c r="H45" i="19" s="1"/>
  <c r="D46" i="19"/>
  <c r="G46" i="19"/>
  <c r="H46" i="19" s="1"/>
  <c r="D47" i="19"/>
  <c r="G47" i="19"/>
  <c r="H47" i="19" s="1"/>
  <c r="D48" i="19"/>
  <c r="G48" i="19"/>
  <c r="H48" i="19" s="1"/>
  <c r="D49" i="19"/>
  <c r="G49" i="19"/>
  <c r="H49" i="19" s="1"/>
  <c r="D50" i="19"/>
  <c r="G50" i="19"/>
  <c r="H50" i="19" s="1"/>
  <c r="D51" i="19"/>
  <c r="G51" i="19"/>
  <c r="H51" i="19" s="1"/>
  <c r="D52" i="19"/>
  <c r="G52" i="19"/>
  <c r="H52" i="19" s="1"/>
  <c r="D53" i="19"/>
  <c r="G53" i="19"/>
  <c r="H53" i="19" s="1"/>
  <c r="D54" i="19"/>
  <c r="G54" i="19"/>
  <c r="H54" i="19" s="1"/>
  <c r="D55" i="19"/>
  <c r="G55" i="19"/>
  <c r="H55" i="19" s="1"/>
  <c r="D56" i="19"/>
  <c r="G56" i="19"/>
  <c r="H56" i="19" s="1"/>
  <c r="D57" i="19"/>
  <c r="G57" i="19"/>
  <c r="H57" i="19" s="1"/>
  <c r="D58" i="19"/>
  <c r="G58" i="19"/>
  <c r="H58" i="19" s="1"/>
  <c r="D59" i="19"/>
  <c r="G59" i="19"/>
  <c r="H59" i="19" s="1"/>
  <c r="D60" i="19"/>
  <c r="G60" i="19"/>
  <c r="H60" i="19" s="1"/>
  <c r="D61" i="19"/>
  <c r="D22" i="19"/>
  <c r="G22" i="19"/>
  <c r="H22" i="19" s="1"/>
  <c r="D23" i="19"/>
  <c r="G23" i="19"/>
  <c r="H23" i="19" s="1"/>
  <c r="D24" i="19"/>
  <c r="G24" i="19"/>
  <c r="H24" i="19" s="1"/>
  <c r="D25" i="19"/>
  <c r="G25" i="19"/>
  <c r="H25" i="19" s="1"/>
  <c r="D26" i="19"/>
  <c r="G26" i="19"/>
  <c r="H26" i="19" s="1"/>
  <c r="D27" i="19"/>
  <c r="G27" i="19"/>
  <c r="H27" i="19" s="1"/>
  <c r="D28" i="19"/>
  <c r="G28" i="19"/>
  <c r="H28" i="19" s="1"/>
  <c r="D29" i="19"/>
  <c r="G29" i="19"/>
  <c r="H29" i="19" s="1"/>
  <c r="D30" i="19"/>
  <c r="G30" i="19"/>
  <c r="H30" i="19" s="1"/>
  <c r="D31" i="19"/>
  <c r="G31" i="19"/>
  <c r="H31" i="19" s="1"/>
  <c r="D32" i="19"/>
  <c r="G32" i="19"/>
  <c r="H32" i="19" s="1"/>
  <c r="D33" i="19"/>
  <c r="G33" i="19"/>
  <c r="H33" i="19" s="1"/>
  <c r="D82" i="19"/>
  <c r="G34" i="19"/>
  <c r="H34" i="19" s="1"/>
  <c r="D35" i="19"/>
  <c r="G35" i="19"/>
  <c r="H35" i="19" s="1"/>
  <c r="D36" i="19"/>
  <c r="G36" i="19"/>
  <c r="H36" i="19" s="1"/>
  <c r="D37" i="19"/>
  <c r="G37" i="19"/>
  <c r="H37" i="19" s="1"/>
  <c r="D38" i="19"/>
  <c r="G38" i="19"/>
  <c r="H38" i="19" s="1"/>
  <c r="D39" i="19"/>
  <c r="G39" i="19"/>
  <c r="H39" i="19" s="1"/>
  <c r="D40" i="19"/>
  <c r="G40" i="19"/>
  <c r="H40" i="19" s="1"/>
  <c r="D41" i="19"/>
  <c r="D2" i="19"/>
  <c r="G2" i="19"/>
  <c r="H2" i="19" s="1"/>
  <c r="D3" i="19"/>
  <c r="G3" i="19"/>
  <c r="H3" i="19" s="1"/>
  <c r="D4" i="19"/>
  <c r="G4" i="19"/>
  <c r="H4" i="19" s="1"/>
  <c r="D5" i="19"/>
  <c r="G5" i="19"/>
  <c r="H5" i="19" s="1"/>
  <c r="D6" i="19"/>
  <c r="G6" i="19"/>
  <c r="H6" i="19" s="1"/>
  <c r="D7" i="19"/>
  <c r="G7" i="19"/>
  <c r="H7" i="19" s="1"/>
  <c r="D8" i="19"/>
  <c r="D34" i="19"/>
  <c r="D9" i="19"/>
  <c r="G9" i="19"/>
  <c r="H9" i="19" s="1"/>
  <c r="D10" i="19"/>
  <c r="G10" i="19"/>
  <c r="H10" i="19" s="1"/>
  <c r="D11" i="19"/>
  <c r="G11" i="19"/>
  <c r="H11" i="19" s="1"/>
  <c r="D12" i="19"/>
  <c r="G12" i="19"/>
  <c r="H12" i="19" s="1"/>
  <c r="D13" i="19"/>
  <c r="G13" i="19"/>
  <c r="H13" i="19" s="1"/>
  <c r="D14" i="19"/>
  <c r="G14" i="19"/>
  <c r="H14" i="19" s="1"/>
  <c r="D15" i="19"/>
  <c r="G15" i="19"/>
  <c r="H15" i="19" s="1"/>
  <c r="D16" i="19"/>
  <c r="G16" i="19"/>
  <c r="H16" i="19" s="1"/>
  <c r="D17" i="19"/>
  <c r="G17" i="19"/>
  <c r="H17" i="19" s="1"/>
  <c r="D18" i="19"/>
  <c r="G18" i="19"/>
  <c r="H18" i="19" s="1"/>
  <c r="D19" i="19"/>
  <c r="G19" i="19"/>
  <c r="H19" i="19" s="1"/>
  <c r="D20" i="19"/>
  <c r="G20" i="19"/>
  <c r="H20" i="19" s="1"/>
  <c r="D21" i="19"/>
  <c r="G82" i="19"/>
  <c r="H82" i="19" s="1"/>
  <c r="G8" i="19"/>
  <c r="H8" i="19" s="1"/>
  <c r="K3" i="12"/>
  <c r="L3" i="12" s="1"/>
  <c r="G4" i="12"/>
  <c r="I4" i="12" s="1"/>
  <c r="F9" i="17"/>
  <c r="H9" i="17"/>
  <c r="I5" i="17"/>
  <c r="J5" i="17" s="1"/>
  <c r="E14" i="16"/>
  <c r="F28" i="4"/>
  <c r="G28" i="4" s="1"/>
  <c r="H28" i="4" s="1"/>
  <c r="C25" i="4"/>
  <c r="C26" i="4"/>
  <c r="F21" i="4"/>
  <c r="G21" i="4" s="1"/>
  <c r="H21" i="4" s="1"/>
  <c r="C23" i="4"/>
  <c r="F22" i="4"/>
  <c r="G22" i="4" s="1"/>
  <c r="H22" i="4" s="1"/>
  <c r="C24" i="4"/>
  <c r="C27" i="4"/>
  <c r="F25" i="4"/>
  <c r="G25" i="4" s="1"/>
  <c r="H25" i="4" s="1"/>
  <c r="C28" i="4"/>
  <c r="F24" i="4"/>
  <c r="G24" i="4" s="1"/>
  <c r="H24" i="4" s="1"/>
  <c r="C22" i="4"/>
  <c r="F29" i="4"/>
  <c r="F26" i="4"/>
  <c r="G26" i="4" s="1"/>
  <c r="H26" i="4" s="1"/>
  <c r="C21" i="4"/>
  <c r="C29" i="4"/>
  <c r="F23" i="4"/>
  <c r="G23" i="4" s="1"/>
  <c r="H23" i="4" s="1"/>
  <c r="B40" i="1"/>
  <c r="K20" i="10"/>
  <c r="E7" i="4"/>
  <c r="A21" i="10"/>
  <c r="A35" i="2"/>
  <c r="D51" i="6"/>
  <c r="E51" i="6" s="1"/>
  <c r="F51" i="6" s="1"/>
  <c r="F22" i="6" s="1" a="1"/>
  <c r="D56" i="6"/>
  <c r="E56" i="6" s="1"/>
  <c r="F56" i="6" s="1"/>
  <c r="F23" i="6" s="1" a="1"/>
  <c r="L2" i="9"/>
  <c r="B37" i="7" s="1"/>
  <c r="R3" i="9"/>
  <c r="U3" i="9" s="1"/>
  <c r="D2" i="9"/>
  <c r="B36" i="7" s="1"/>
  <c r="H28" i="6"/>
  <c r="I28" i="6" s="1"/>
  <c r="J28" i="6" s="1"/>
  <c r="H41" i="6"/>
  <c r="I41" i="6" s="1"/>
  <c r="J41" i="6" s="1"/>
  <c r="G20" i="6" s="1" a="1"/>
  <c r="D20" i="6" a="1"/>
  <c r="E20" i="6" s="1"/>
  <c r="H40" i="6"/>
  <c r="I40" i="6" s="1"/>
  <c r="J40" i="6" s="1"/>
  <c r="D41" i="6"/>
  <c r="E41" i="6" s="1"/>
  <c r="F41" i="6" s="1"/>
  <c r="H38" i="6"/>
  <c r="I38" i="6" s="1"/>
  <c r="J38" i="6" s="1"/>
  <c r="K50" i="6"/>
  <c r="D50" i="6"/>
  <c r="E50" i="6" s="1"/>
  <c r="F50" i="6" s="1"/>
  <c r="B43" i="1"/>
  <c r="K41" i="6"/>
  <c r="D31" i="6"/>
  <c r="E31" i="6" s="1"/>
  <c r="F31" i="6" s="1"/>
  <c r="K27" i="6"/>
  <c r="D27" i="6"/>
  <c r="E27" i="6" s="1"/>
  <c r="F27" i="6" s="1"/>
  <c r="L27" i="6" s="1"/>
  <c r="C40" i="1"/>
  <c r="H36" i="6"/>
  <c r="I36" i="6" s="1"/>
  <c r="J36" i="6" s="1"/>
  <c r="G19" i="6" s="1" a="1"/>
  <c r="H37" i="6"/>
  <c r="I37" i="6" s="1"/>
  <c r="J37" i="6" s="1"/>
  <c r="B29" i="1"/>
  <c r="B30" i="1" s="1"/>
  <c r="B28" i="1"/>
  <c r="K30" i="6"/>
  <c r="D30" i="6"/>
  <c r="E30" i="6" s="1"/>
  <c r="F30" i="6" s="1"/>
  <c r="L30" i="6" s="1"/>
  <c r="H44" i="6"/>
  <c r="I44" i="6" s="1"/>
  <c r="J44" i="6" s="1"/>
  <c r="H56" i="6"/>
  <c r="I56" i="6" s="1"/>
  <c r="J56" i="6" s="1"/>
  <c r="D23" i="6" a="1"/>
  <c r="E23" i="6" s="1"/>
  <c r="H35" i="6"/>
  <c r="I35" i="6" s="1"/>
  <c r="J35" i="6" s="1"/>
  <c r="L35" i="6" s="1"/>
  <c r="K45" i="6"/>
  <c r="D45" i="6"/>
  <c r="E45" i="6" s="1"/>
  <c r="F45" i="6" s="1"/>
  <c r="H52" i="6"/>
  <c r="I52" i="6" s="1"/>
  <c r="J52" i="6" s="1"/>
  <c r="H34" i="6"/>
  <c r="I34" i="6" s="1"/>
  <c r="J34" i="6" s="1"/>
  <c r="L34" i="6" s="1"/>
  <c r="K42" i="6"/>
  <c r="D42" i="6"/>
  <c r="E42" i="6" s="1"/>
  <c r="F42" i="6" s="1"/>
  <c r="L42" i="6" s="1"/>
  <c r="K52" i="6"/>
  <c r="H46" i="6"/>
  <c r="I46" i="6" s="1"/>
  <c r="J46" i="6" s="1"/>
  <c r="E9" i="6" a="1"/>
  <c r="E10" i="6" s="1"/>
  <c r="H5" i="6" s="1"/>
  <c r="D21" i="6" a="1"/>
  <c r="E21" i="6" s="1"/>
  <c r="K35" i="6"/>
  <c r="H43" i="6"/>
  <c r="I43" i="6" s="1"/>
  <c r="J43" i="6" s="1"/>
  <c r="K54" i="6"/>
  <c r="D54" i="6"/>
  <c r="E54" i="6" s="1"/>
  <c r="F54" i="6" s="1"/>
  <c r="K53" i="6"/>
  <c r="D53" i="6"/>
  <c r="E53" i="6" s="1"/>
  <c r="F53" i="6" s="1"/>
  <c r="H55" i="6"/>
  <c r="I55" i="6" s="1"/>
  <c r="J55" i="6" s="1"/>
  <c r="H51" i="6"/>
  <c r="I51" i="6" s="1"/>
  <c r="J51" i="6" s="1"/>
  <c r="D22" i="6" a="1"/>
  <c r="E22" i="6" s="1"/>
  <c r="H32" i="6"/>
  <c r="I32" i="6" s="1"/>
  <c r="J32" i="6" s="1"/>
  <c r="K39" i="6"/>
  <c r="D39" i="6"/>
  <c r="E39" i="6" s="1"/>
  <c r="F39" i="6" s="1"/>
  <c r="L39" i="6" s="1"/>
  <c r="H49" i="6"/>
  <c r="I49" i="6" s="1"/>
  <c r="J49" i="6" s="1"/>
  <c r="H31" i="6"/>
  <c r="I31" i="6" s="1"/>
  <c r="J31" i="6" s="1"/>
  <c r="G18" i="6" s="1" a="1"/>
  <c r="D18" i="6" a="1"/>
  <c r="E18" i="6" s="1"/>
  <c r="K36" i="6"/>
  <c r="C19" i="6" a="1"/>
  <c r="E19" i="6" s="1"/>
  <c r="D36" i="6"/>
  <c r="E36" i="6" s="1"/>
  <c r="F36" i="6" s="1"/>
  <c r="K43" i="6"/>
  <c r="K28" i="6"/>
  <c r="K48" i="6"/>
  <c r="D48" i="6"/>
  <c r="E48" i="6" s="1"/>
  <c r="F48" i="6" s="1"/>
  <c r="L48" i="6" s="1"/>
  <c r="H47" i="6"/>
  <c r="I47" i="6" s="1"/>
  <c r="J47" i="6" s="1"/>
  <c r="H29" i="6"/>
  <c r="I29" i="6" s="1"/>
  <c r="J29" i="6" s="1"/>
  <c r="K33" i="6"/>
  <c r="D33" i="6"/>
  <c r="E33" i="6" s="1"/>
  <c r="F33" i="6" s="1"/>
  <c r="L33" i="6" s="1"/>
  <c r="K40" i="6"/>
  <c r="D46" i="6"/>
  <c r="E46" i="6" s="1"/>
  <c r="F46" i="6" s="1"/>
  <c r="K49" i="6"/>
  <c r="K55" i="6"/>
  <c r="E14" i="13" l="1"/>
  <c r="H7" i="13"/>
  <c r="H21" i="13"/>
  <c r="B21" i="3"/>
  <c r="E21" i="3"/>
  <c r="F20" i="3"/>
  <c r="G20" i="3" s="1"/>
  <c r="H20" i="3" s="1"/>
  <c r="I20" i="3" s="1"/>
  <c r="K11" i="18"/>
  <c r="O11" i="18"/>
  <c r="I5" i="18"/>
  <c r="J11" i="18"/>
  <c r="A98" i="7"/>
  <c r="B40" i="7"/>
  <c r="AL2" i="9"/>
  <c r="B39" i="7"/>
  <c r="AD2" i="9"/>
  <c r="AI365" i="9"/>
  <c r="AG366" i="9"/>
  <c r="Y367" i="9"/>
  <c r="AA366" i="9"/>
  <c r="E7" i="10"/>
  <c r="L43" i="6"/>
  <c r="L28" i="6"/>
  <c r="L37" i="6"/>
  <c r="L45" i="6"/>
  <c r="L54" i="6"/>
  <c r="L53" i="6"/>
  <c r="L50" i="6"/>
  <c r="L40" i="6"/>
  <c r="L44" i="6"/>
  <c r="L38" i="6"/>
  <c r="L52" i="6"/>
  <c r="L55" i="6"/>
  <c r="L32" i="6"/>
  <c r="L49" i="6"/>
  <c r="L47" i="6"/>
  <c r="L29" i="6"/>
  <c r="E8" i="3"/>
  <c r="A49" i="1"/>
  <c r="D26" i="14"/>
  <c r="C26" i="14"/>
  <c r="E26" i="14" s="1"/>
  <c r="H5" i="12"/>
  <c r="J5" i="12" s="1"/>
  <c r="A6" i="12"/>
  <c r="D15" i="2"/>
  <c r="F15" i="2" s="1"/>
  <c r="B16" i="2" s="1"/>
  <c r="A16" i="2"/>
  <c r="E15" i="2"/>
  <c r="E29" i="4"/>
  <c r="G29" i="4" s="1"/>
  <c r="H29" i="4" s="1"/>
  <c r="B29" i="4"/>
  <c r="A30" i="4"/>
  <c r="I62" i="19"/>
  <c r="E62" i="19"/>
  <c r="E63" i="19" s="1"/>
  <c r="E64" i="19" s="1"/>
  <c r="E65" i="19" s="1"/>
  <c r="E66" i="19" s="1"/>
  <c r="E67" i="19" s="1"/>
  <c r="E68" i="19" s="1"/>
  <c r="E69" i="19" s="1"/>
  <c r="E70" i="19" s="1"/>
  <c r="E71" i="19" s="1"/>
  <c r="E72" i="19" s="1"/>
  <c r="E73" i="19" s="1"/>
  <c r="E74" i="19" s="1"/>
  <c r="E75" i="19" s="1"/>
  <c r="E76" i="19" s="1"/>
  <c r="E77" i="19" s="1"/>
  <c r="E78" i="19" s="1"/>
  <c r="E79" i="19" s="1"/>
  <c r="E80" i="19" s="1"/>
  <c r="E81" i="19" s="1"/>
  <c r="I42" i="19"/>
  <c r="E42" i="19"/>
  <c r="E43" i="19" s="1"/>
  <c r="E44" i="19" s="1"/>
  <c r="E45" i="19" s="1"/>
  <c r="E46" i="19" s="1"/>
  <c r="E47" i="19" s="1"/>
  <c r="E48" i="19" s="1"/>
  <c r="I22" i="19"/>
  <c r="E22" i="19"/>
  <c r="E23" i="19" s="1"/>
  <c r="E24" i="19" s="1"/>
  <c r="E25" i="19" s="1"/>
  <c r="E26" i="19" s="1"/>
  <c r="E27" i="19" s="1"/>
  <c r="E28" i="19" s="1"/>
  <c r="E29" i="19" s="1"/>
  <c r="E30" i="19" s="1"/>
  <c r="E31" i="19" s="1"/>
  <c r="E32" i="19" s="1"/>
  <c r="E33" i="19" s="1"/>
  <c r="E34" i="19" s="1"/>
  <c r="E35" i="19" s="1"/>
  <c r="E36" i="19" s="1"/>
  <c r="E37" i="19" s="1"/>
  <c r="E38" i="19" s="1"/>
  <c r="E39" i="19" s="1"/>
  <c r="E40" i="19" s="1"/>
  <c r="E41" i="19" s="1"/>
  <c r="I82" i="19"/>
  <c r="E82" i="19"/>
  <c r="E83" i="19" s="1"/>
  <c r="E84" i="19" s="1"/>
  <c r="E85" i="19" s="1"/>
  <c r="E86" i="19" s="1"/>
  <c r="E87" i="19" s="1"/>
  <c r="E88" i="19" s="1"/>
  <c r="E89" i="19" s="1"/>
  <c r="E90" i="19" s="1"/>
  <c r="E91" i="19" s="1"/>
  <c r="E92" i="19" s="1"/>
  <c r="E93" i="19" s="1"/>
  <c r="E94" i="19" s="1"/>
  <c r="E95" i="19" s="1"/>
  <c r="E96" i="19" s="1"/>
  <c r="E97" i="19" s="1"/>
  <c r="E98" i="19" s="1"/>
  <c r="E99" i="19" s="1"/>
  <c r="E100" i="19" s="1"/>
  <c r="E101" i="19" s="1"/>
  <c r="I2" i="19"/>
  <c r="E2" i="19"/>
  <c r="E3" i="19" s="1"/>
  <c r="E4" i="19" s="1"/>
  <c r="E5" i="19" s="1"/>
  <c r="E6" i="19" s="1"/>
  <c r="E7" i="19" s="1"/>
  <c r="E8" i="19" s="1"/>
  <c r="E9" i="19" s="1"/>
  <c r="E10" i="19" s="1"/>
  <c r="E11" i="19" s="1"/>
  <c r="E12" i="19" s="1"/>
  <c r="E13" i="19" s="1"/>
  <c r="E14" i="19" s="1"/>
  <c r="E15" i="19" s="1"/>
  <c r="E16" i="19" s="1"/>
  <c r="E17" i="19" s="1"/>
  <c r="E18" i="19" s="1"/>
  <c r="E19" i="19" s="1"/>
  <c r="E20" i="19" s="1"/>
  <c r="E21" i="19" s="1"/>
  <c r="S2" i="12"/>
  <c r="D22" i="13"/>
  <c r="I21" i="13"/>
  <c r="E21" i="13"/>
  <c r="AA2" i="12"/>
  <c r="N3" i="12"/>
  <c r="O3" i="12" s="1"/>
  <c r="E2" i="12"/>
  <c r="F2" i="12"/>
  <c r="B3" i="12" s="1"/>
  <c r="K4" i="12"/>
  <c r="L4" i="12" s="1"/>
  <c r="G5" i="12"/>
  <c r="I9" i="17"/>
  <c r="D21" i="4"/>
  <c r="D22" i="4" s="1"/>
  <c r="D23" i="4" s="1"/>
  <c r="D24" i="4" s="1"/>
  <c r="D25" i="4" s="1"/>
  <c r="D26" i="4" s="1"/>
  <c r="D27" i="4" s="1"/>
  <c r="D28" i="4" s="1"/>
  <c r="D29" i="4" s="1"/>
  <c r="I21" i="4"/>
  <c r="K21" i="10"/>
  <c r="A22" i="10"/>
  <c r="T3" i="9"/>
  <c r="V3" i="9" s="1"/>
  <c r="W3" i="9" s="1"/>
  <c r="F2" i="9"/>
  <c r="H2" i="9" s="1"/>
  <c r="N2" i="9"/>
  <c r="G23" i="6" a="1"/>
  <c r="H23" i="6" s="1"/>
  <c r="L56" i="6"/>
  <c r="G21" i="6" a="1"/>
  <c r="E12" i="6" a="1"/>
  <c r="G22" i="6" a="1"/>
  <c r="H22" i="6" s="1"/>
  <c r="L51" i="6"/>
  <c r="F18" i="6" a="1"/>
  <c r="H18" i="6" s="1"/>
  <c r="L31" i="6"/>
  <c r="B31" i="1"/>
  <c r="B32" i="1" s="1"/>
  <c r="B33" i="1" s="1"/>
  <c r="B34" i="1" s="1"/>
  <c r="C43" i="1" s="1"/>
  <c r="B44" i="1" s="1"/>
  <c r="F20" i="6" a="1"/>
  <c r="H20" i="6" s="1"/>
  <c r="L41" i="6"/>
  <c r="F21" i="6" a="1"/>
  <c r="E11" i="6" a="1"/>
  <c r="L46" i="6"/>
  <c r="F19" i="6" a="1"/>
  <c r="H19" i="6" s="1"/>
  <c r="L36" i="6"/>
  <c r="J21" i="13" l="1"/>
  <c r="H22" i="13" s="1"/>
  <c r="F21" i="3"/>
  <c r="G21" i="3" s="1"/>
  <c r="H21" i="3" s="1"/>
  <c r="I21" i="3" s="1"/>
  <c r="E22" i="3"/>
  <c r="B22" i="3"/>
  <c r="E9" i="3"/>
  <c r="A60" i="3"/>
  <c r="C18" i="10"/>
  <c r="C19" i="10"/>
  <c r="D19" i="10" s="1"/>
  <c r="C21" i="10"/>
  <c r="D21" i="10" s="1"/>
  <c r="E9" i="10"/>
  <c r="E8" i="10"/>
  <c r="C20" i="10"/>
  <c r="D20" i="10" s="1"/>
  <c r="B6" i="18"/>
  <c r="B9" i="18" s="1"/>
  <c r="A20" i="18" s="1"/>
  <c r="L11" i="18" a="1"/>
  <c r="L12" i="18" a="1"/>
  <c r="L13" i="18" a="1"/>
  <c r="L14" i="18" a="1"/>
  <c r="L15" i="18" a="1"/>
  <c r="N15" i="18" s="1"/>
  <c r="L16" i="18" a="1"/>
  <c r="N16" i="18" s="1"/>
  <c r="A99" i="7"/>
  <c r="AN2" i="9"/>
  <c r="AH3" i="9" s="1"/>
  <c r="AE2" i="9"/>
  <c r="AF2" i="9" s="1"/>
  <c r="Z3" i="9" s="1"/>
  <c r="AG367" i="9"/>
  <c r="AI366" i="9"/>
  <c r="Y368" i="9"/>
  <c r="AA367" i="9"/>
  <c r="AD2" i="12"/>
  <c r="AB2" i="12"/>
  <c r="X3" i="12" s="1"/>
  <c r="Y3" i="12" s="1"/>
  <c r="Z3" i="12" s="1"/>
  <c r="B27" i="14"/>
  <c r="G26" i="14"/>
  <c r="H6" i="12"/>
  <c r="J6" i="12" s="1"/>
  <c r="A7" i="12"/>
  <c r="D16" i="2"/>
  <c r="F16" i="2" s="1"/>
  <c r="B17" i="2" s="1"/>
  <c r="E16" i="2"/>
  <c r="A17" i="2"/>
  <c r="C30" i="4"/>
  <c r="D30" i="4" s="1"/>
  <c r="B30" i="4"/>
  <c r="E30" i="4"/>
  <c r="F30" i="4"/>
  <c r="G30" i="4" s="1"/>
  <c r="A31" i="4"/>
  <c r="I63" i="19"/>
  <c r="J62" i="19"/>
  <c r="K62" i="19" s="1"/>
  <c r="L62" i="19" s="1"/>
  <c r="I43" i="19"/>
  <c r="J42" i="19"/>
  <c r="K42" i="19" s="1"/>
  <c r="L42" i="19" s="1"/>
  <c r="I23" i="19"/>
  <c r="J22" i="19"/>
  <c r="K22" i="19" s="1"/>
  <c r="L22" i="19" s="1"/>
  <c r="J82" i="19"/>
  <c r="K82" i="19" s="1"/>
  <c r="L82" i="19" s="1"/>
  <c r="I83" i="19"/>
  <c r="J2" i="19"/>
  <c r="K2" i="19" s="1"/>
  <c r="L2" i="19" s="1"/>
  <c r="I3" i="19"/>
  <c r="T2" i="12"/>
  <c r="U2" i="12"/>
  <c r="I22" i="13"/>
  <c r="D23" i="13"/>
  <c r="C3" i="12"/>
  <c r="D3" i="12"/>
  <c r="E3" i="12" s="1"/>
  <c r="I5" i="12"/>
  <c r="F21" i="13"/>
  <c r="G21" i="13" s="1"/>
  <c r="C22" i="13" s="1"/>
  <c r="P3" i="12"/>
  <c r="E49" i="19"/>
  <c r="J21" i="4"/>
  <c r="K21" i="4" s="1"/>
  <c r="I22" i="4"/>
  <c r="K22" i="10"/>
  <c r="A23" i="10"/>
  <c r="C22" i="10"/>
  <c r="D22" i="10" s="1"/>
  <c r="E13" i="6"/>
  <c r="H6" i="6" s="1"/>
  <c r="X3" i="9"/>
  <c r="H21" i="6"/>
  <c r="B3" i="9"/>
  <c r="A45" i="1"/>
  <c r="C44" i="1"/>
  <c r="A47" i="1"/>
  <c r="J22" i="13" l="1"/>
  <c r="H23" i="13" s="1"/>
  <c r="E10" i="3"/>
  <c r="A111" i="3"/>
  <c r="A110" i="3"/>
  <c r="N14" i="18"/>
  <c r="M14" i="18"/>
  <c r="E23" i="3"/>
  <c r="F22" i="3"/>
  <c r="G22" i="3" s="1"/>
  <c r="H22" i="3" s="1"/>
  <c r="I22" i="3" s="1"/>
  <c r="B23" i="3"/>
  <c r="E11" i="3"/>
  <c r="A62" i="3" s="1"/>
  <c r="A61" i="3"/>
  <c r="AE2" i="12"/>
  <c r="AF2" i="12"/>
  <c r="Q3" i="12"/>
  <c r="M4" i="12" s="1"/>
  <c r="S3" i="12"/>
  <c r="F18" i="10"/>
  <c r="D18" i="10"/>
  <c r="M12" i="18"/>
  <c r="N12" i="18"/>
  <c r="M13" i="18"/>
  <c r="N13" i="18"/>
  <c r="N11" i="18"/>
  <c r="M11" i="18"/>
  <c r="M15" i="18"/>
  <c r="A100" i="7"/>
  <c r="AI367" i="9"/>
  <c r="AG368" i="9"/>
  <c r="Y369" i="9"/>
  <c r="AA368" i="9"/>
  <c r="K5" i="12"/>
  <c r="L5" i="12" s="1"/>
  <c r="G6" i="12"/>
  <c r="I6" i="12" s="1"/>
  <c r="U3" i="12"/>
  <c r="C27" i="14"/>
  <c r="D27" i="14"/>
  <c r="H7" i="12"/>
  <c r="J7" i="12" s="1"/>
  <c r="A8" i="12"/>
  <c r="A18" i="2"/>
  <c r="D17" i="2"/>
  <c r="F17" i="2" s="1"/>
  <c r="B18" i="2" s="1"/>
  <c r="E17" i="2"/>
  <c r="E31" i="4"/>
  <c r="F31" i="4"/>
  <c r="G31" i="4" s="1"/>
  <c r="C31" i="4"/>
  <c r="D31" i="4" s="1"/>
  <c r="A32" i="4"/>
  <c r="B31" i="4"/>
  <c r="I64" i="19"/>
  <c r="J63" i="19"/>
  <c r="K63" i="19" s="1"/>
  <c r="L63" i="19" s="1"/>
  <c r="J43" i="19"/>
  <c r="K43" i="19" s="1"/>
  <c r="L43" i="19" s="1"/>
  <c r="I44" i="19"/>
  <c r="J23" i="19"/>
  <c r="K23" i="19" s="1"/>
  <c r="L23" i="19" s="1"/>
  <c r="I24" i="19"/>
  <c r="J83" i="19"/>
  <c r="K83" i="19" s="1"/>
  <c r="L83" i="19" s="1"/>
  <c r="I84" i="19"/>
  <c r="J3" i="19"/>
  <c r="K3" i="19" s="1"/>
  <c r="L3" i="19" s="1"/>
  <c r="I4" i="19"/>
  <c r="V2" i="12"/>
  <c r="W2" i="12" s="1"/>
  <c r="R3" i="12"/>
  <c r="I23" i="13"/>
  <c r="J23" i="13" s="1"/>
  <c r="H24" i="13" s="1"/>
  <c r="D24" i="13"/>
  <c r="AA3" i="12"/>
  <c r="B19" i="10"/>
  <c r="F19" i="10" s="1"/>
  <c r="E22" i="13"/>
  <c r="H30" i="4"/>
  <c r="F3" i="12"/>
  <c r="B4" i="12" s="1"/>
  <c r="E50" i="19"/>
  <c r="I23" i="4"/>
  <c r="J22" i="4"/>
  <c r="K22" i="4" s="1"/>
  <c r="K23" i="10"/>
  <c r="A24" i="10"/>
  <c r="C23" i="10"/>
  <c r="D23" i="10" s="1"/>
  <c r="AC3" i="9"/>
  <c r="P2" i="9"/>
  <c r="E3" i="9"/>
  <c r="AK3" i="9"/>
  <c r="R4" i="9"/>
  <c r="G23" i="10" l="1"/>
  <c r="E24" i="3"/>
  <c r="B24" i="3"/>
  <c r="F23" i="3"/>
  <c r="G23" i="3" s="1"/>
  <c r="H23" i="3" s="1"/>
  <c r="I23" i="3" s="1"/>
  <c r="T3" i="12"/>
  <c r="AC3" i="12"/>
  <c r="AG2" i="12"/>
  <c r="AH2" i="12" s="1"/>
  <c r="N4" i="12"/>
  <c r="O4" i="12"/>
  <c r="G22" i="10"/>
  <c r="G19" i="10"/>
  <c r="H19" i="10" s="1"/>
  <c r="I19" i="10" s="1"/>
  <c r="G20" i="10"/>
  <c r="G21" i="10"/>
  <c r="E18" i="10"/>
  <c r="G18" i="10"/>
  <c r="H18" i="10" s="1"/>
  <c r="I18" i="10" s="1"/>
  <c r="I8" i="18"/>
  <c r="M16" i="18"/>
  <c r="B7" i="18"/>
  <c r="E27" i="14"/>
  <c r="A101" i="7"/>
  <c r="AJ3" i="9"/>
  <c r="AL3" i="9" s="1"/>
  <c r="AM3" i="9" s="1"/>
  <c r="AG369" i="9"/>
  <c r="AI368" i="9"/>
  <c r="Y370" i="9"/>
  <c r="AA369" i="9"/>
  <c r="K6" i="12"/>
  <c r="L6" i="12" s="1"/>
  <c r="G7" i="12"/>
  <c r="I7" i="12" s="1"/>
  <c r="H8" i="12"/>
  <c r="J8" i="12" s="1"/>
  <c r="A9" i="12"/>
  <c r="E18" i="2"/>
  <c r="A19" i="2"/>
  <c r="D18" i="2"/>
  <c r="F18" i="2" s="1"/>
  <c r="B19" i="2" s="1"/>
  <c r="E32" i="4"/>
  <c r="F32" i="4"/>
  <c r="G32" i="4" s="1"/>
  <c r="A33" i="4"/>
  <c r="C32" i="4"/>
  <c r="D32" i="4" s="1"/>
  <c r="B32" i="4"/>
  <c r="I65" i="19"/>
  <c r="J64" i="19"/>
  <c r="K64" i="19" s="1"/>
  <c r="L64" i="19" s="1"/>
  <c r="I45" i="19"/>
  <c r="J44" i="19"/>
  <c r="K44" i="19" s="1"/>
  <c r="L44" i="19" s="1"/>
  <c r="J24" i="19"/>
  <c r="K24" i="19" s="1"/>
  <c r="L24" i="19" s="1"/>
  <c r="I25" i="19"/>
  <c r="J84" i="19"/>
  <c r="K84" i="19" s="1"/>
  <c r="L84" i="19" s="1"/>
  <c r="I85" i="19"/>
  <c r="I5" i="19"/>
  <c r="J4" i="19"/>
  <c r="K4" i="19" s="1"/>
  <c r="L4" i="19" s="1"/>
  <c r="D25" i="13"/>
  <c r="I24" i="13"/>
  <c r="J24" i="13" s="1"/>
  <c r="H25" i="13" s="1"/>
  <c r="B20" i="10"/>
  <c r="F20" i="10" s="1"/>
  <c r="E19" i="10"/>
  <c r="C4" i="12"/>
  <c r="D4" i="12" s="1"/>
  <c r="H31" i="4"/>
  <c r="AD3" i="12"/>
  <c r="AB3" i="12"/>
  <c r="X4" i="12" s="1"/>
  <c r="F22" i="13"/>
  <c r="G22" i="13" s="1"/>
  <c r="C23" i="13" s="1"/>
  <c r="E51" i="19"/>
  <c r="I24" i="4"/>
  <c r="J23" i="4"/>
  <c r="K23" i="4" s="1"/>
  <c r="K24" i="10"/>
  <c r="A25" i="10"/>
  <c r="C24" i="10"/>
  <c r="D24" i="10" s="1"/>
  <c r="AB3" i="9"/>
  <c r="AD3" i="9" s="1"/>
  <c r="J3" i="9"/>
  <c r="U4" i="9"/>
  <c r="D3" i="9"/>
  <c r="F3" i="9" s="1"/>
  <c r="H3" i="9" s="1"/>
  <c r="P4" i="12" l="1"/>
  <c r="B25" i="3"/>
  <c r="F24" i="3"/>
  <c r="G24" i="3" s="1"/>
  <c r="H24" i="3" s="1"/>
  <c r="I24" i="3" s="1"/>
  <c r="E25" i="3"/>
  <c r="R4" i="12"/>
  <c r="V3" i="12"/>
  <c r="W3" i="12" s="1"/>
  <c r="L18" i="10"/>
  <c r="J18" i="10"/>
  <c r="G27" i="14"/>
  <c r="B28" i="14"/>
  <c r="B8" i="18"/>
  <c r="I9" i="18"/>
  <c r="A102" i="7"/>
  <c r="T4" i="9"/>
  <c r="V4" i="9" s="1"/>
  <c r="AI369" i="9"/>
  <c r="AG370" i="9"/>
  <c r="Y371" i="9"/>
  <c r="AA370" i="9"/>
  <c r="G8" i="12"/>
  <c r="I8" i="12" s="1"/>
  <c r="K7" i="12"/>
  <c r="L7" i="12" s="1"/>
  <c r="F4" i="12"/>
  <c r="B5" i="12" s="1"/>
  <c r="C5" i="12" s="1"/>
  <c r="E4" i="12"/>
  <c r="AE3" i="12"/>
  <c r="AF3" i="12"/>
  <c r="H9" i="12"/>
  <c r="J9" i="12" s="1"/>
  <c r="A10" i="12"/>
  <c r="D19" i="2"/>
  <c r="F19" i="2" s="1"/>
  <c r="B20" i="2" s="1"/>
  <c r="A20" i="2"/>
  <c r="E19" i="2"/>
  <c r="B33" i="4"/>
  <c r="F33" i="4"/>
  <c r="E33" i="4"/>
  <c r="A34" i="4"/>
  <c r="C33" i="4"/>
  <c r="D33" i="4" s="1"/>
  <c r="J65" i="19"/>
  <c r="K65" i="19" s="1"/>
  <c r="L65" i="19" s="1"/>
  <c r="I66" i="19"/>
  <c r="J45" i="19"/>
  <c r="K45" i="19" s="1"/>
  <c r="L45" i="19" s="1"/>
  <c r="I46" i="19"/>
  <c r="J25" i="19"/>
  <c r="K25" i="19" s="1"/>
  <c r="L25" i="19" s="1"/>
  <c r="I26" i="19"/>
  <c r="J85" i="19"/>
  <c r="K85" i="19" s="1"/>
  <c r="L85" i="19" s="1"/>
  <c r="I86" i="19"/>
  <c r="I6" i="19"/>
  <c r="J5" i="19"/>
  <c r="K5" i="19" s="1"/>
  <c r="L5" i="19" s="1"/>
  <c r="I25" i="13"/>
  <c r="J25" i="13" s="1"/>
  <c r="H26" i="13" s="1"/>
  <c r="D26" i="13"/>
  <c r="H20" i="10"/>
  <c r="I20" i="10" s="1"/>
  <c r="B21" i="10"/>
  <c r="F21" i="10" s="1"/>
  <c r="E20" i="10"/>
  <c r="J19" i="10"/>
  <c r="L19" i="10"/>
  <c r="Y4" i="12"/>
  <c r="Z4" i="12" s="1"/>
  <c r="E23" i="13"/>
  <c r="F23" i="13" s="1"/>
  <c r="G23" i="13" s="1"/>
  <c r="C24" i="13" s="1"/>
  <c r="H32" i="4"/>
  <c r="Q4" i="12"/>
  <c r="S4" i="12"/>
  <c r="G24" i="10"/>
  <c r="E52" i="19"/>
  <c r="M5" i="12"/>
  <c r="J24" i="4"/>
  <c r="K24" i="4" s="1"/>
  <c r="I25" i="4"/>
  <c r="K25" i="10"/>
  <c r="A26" i="10"/>
  <c r="C25" i="10"/>
  <c r="D25" i="10" s="1"/>
  <c r="B4" i="9"/>
  <c r="E4" i="9" s="1"/>
  <c r="AN3" i="9"/>
  <c r="M3" i="9"/>
  <c r="AE3" i="9"/>
  <c r="G33" i="4" l="1"/>
  <c r="H33" i="4" s="1"/>
  <c r="B26" i="3"/>
  <c r="E26" i="3"/>
  <c r="F25" i="3"/>
  <c r="G25" i="3" s="1"/>
  <c r="H25" i="3" s="1"/>
  <c r="I25" i="3" s="1"/>
  <c r="W4" i="9"/>
  <c r="X4" i="9" s="1"/>
  <c r="R5" i="9" s="1"/>
  <c r="D28" i="14"/>
  <c r="C28" i="14"/>
  <c r="E28" i="14" s="1"/>
  <c r="A103" i="7"/>
  <c r="AG371" i="9"/>
  <c r="AI370" i="9"/>
  <c r="Y372" i="9"/>
  <c r="AA371" i="9"/>
  <c r="K8" i="12"/>
  <c r="L8" i="12" s="1"/>
  <c r="G9" i="12"/>
  <c r="I9" i="12" s="1"/>
  <c r="AG3" i="12"/>
  <c r="AH3" i="12" s="1"/>
  <c r="AC4" i="12"/>
  <c r="H10" i="12"/>
  <c r="J10" i="12" s="1"/>
  <c r="A11" i="12"/>
  <c r="D20" i="2"/>
  <c r="F20" i="2" s="1"/>
  <c r="B21" i="2" s="1"/>
  <c r="A21" i="2"/>
  <c r="E20" i="2"/>
  <c r="F34" i="4"/>
  <c r="B34" i="4"/>
  <c r="A35" i="4"/>
  <c r="C34" i="4"/>
  <c r="D34" i="4" s="1"/>
  <c r="E34" i="4"/>
  <c r="I67" i="19"/>
  <c r="J66" i="19"/>
  <c r="K66" i="19" s="1"/>
  <c r="L66" i="19" s="1"/>
  <c r="J46" i="19"/>
  <c r="K46" i="19" s="1"/>
  <c r="L46" i="19" s="1"/>
  <c r="I47" i="19"/>
  <c r="I27" i="19"/>
  <c r="J26" i="19"/>
  <c r="K26" i="19" s="1"/>
  <c r="L26" i="19" s="1"/>
  <c r="J86" i="19"/>
  <c r="K86" i="19" s="1"/>
  <c r="L86" i="19" s="1"/>
  <c r="I87" i="19"/>
  <c r="I7" i="19"/>
  <c r="J6" i="19"/>
  <c r="K6" i="19" s="1"/>
  <c r="L6" i="19" s="1"/>
  <c r="D27" i="13"/>
  <c r="I26" i="13"/>
  <c r="J26" i="13" s="1"/>
  <c r="H27" i="13" s="1"/>
  <c r="J20" i="10"/>
  <c r="L20" i="10"/>
  <c r="E21" i="10"/>
  <c r="H21" i="10"/>
  <c r="I21" i="10" s="1"/>
  <c r="B22" i="10"/>
  <c r="F22" i="10" s="1"/>
  <c r="E24" i="13"/>
  <c r="F24" i="13" s="1"/>
  <c r="G24" i="13" s="1"/>
  <c r="C25" i="13" s="1"/>
  <c r="E25" i="13" s="1"/>
  <c r="T4" i="12"/>
  <c r="U4" i="12"/>
  <c r="AA4" i="12"/>
  <c r="D5" i="12"/>
  <c r="G25" i="10"/>
  <c r="E53" i="19"/>
  <c r="N5" i="12"/>
  <c r="O5" i="12"/>
  <c r="P5" i="12" s="1"/>
  <c r="I26" i="4"/>
  <c r="J25" i="4"/>
  <c r="K25" i="4" s="1"/>
  <c r="K26" i="10"/>
  <c r="A27" i="10"/>
  <c r="C26" i="10"/>
  <c r="D26" i="10" s="1"/>
  <c r="D4" i="9"/>
  <c r="F4" i="9" s="1"/>
  <c r="H4" i="9" s="1"/>
  <c r="AF3" i="9"/>
  <c r="L3" i="9"/>
  <c r="N3" i="9" s="1"/>
  <c r="O3" i="9" s="1"/>
  <c r="AH4" i="9"/>
  <c r="G34" i="4" l="1"/>
  <c r="H34" i="4" s="1"/>
  <c r="E27" i="3"/>
  <c r="B27" i="3"/>
  <c r="F26" i="3"/>
  <c r="G26" i="3" s="1"/>
  <c r="H26" i="3" s="1"/>
  <c r="I26" i="3" s="1"/>
  <c r="G28" i="14"/>
  <c r="B29" i="14"/>
  <c r="A104" i="7"/>
  <c r="AI371" i="9"/>
  <c r="AG372" i="9"/>
  <c r="Y373" i="9"/>
  <c r="AA372" i="9"/>
  <c r="S5" i="12"/>
  <c r="U5" i="12" s="1"/>
  <c r="C29" i="14"/>
  <c r="D29" i="14"/>
  <c r="H11" i="12"/>
  <c r="J11" i="12" s="1"/>
  <c r="A12" i="12"/>
  <c r="A22" i="2"/>
  <c r="D21" i="2"/>
  <c r="F21" i="2" s="1"/>
  <c r="B22" i="2" s="1"/>
  <c r="E21" i="2"/>
  <c r="B35" i="4"/>
  <c r="C35" i="4"/>
  <c r="D35" i="4" s="1"/>
  <c r="E35" i="4"/>
  <c r="A36" i="4"/>
  <c r="F35" i="4"/>
  <c r="G35" i="4" s="1"/>
  <c r="J67" i="19"/>
  <c r="K67" i="19" s="1"/>
  <c r="L67" i="19" s="1"/>
  <c r="I68" i="19"/>
  <c r="J47" i="19"/>
  <c r="K47" i="19" s="1"/>
  <c r="L47" i="19" s="1"/>
  <c r="I48" i="19"/>
  <c r="J27" i="19"/>
  <c r="K27" i="19" s="1"/>
  <c r="L27" i="19" s="1"/>
  <c r="I28" i="19"/>
  <c r="J87" i="19"/>
  <c r="K87" i="19" s="1"/>
  <c r="L87" i="19" s="1"/>
  <c r="I88" i="19"/>
  <c r="I8" i="19"/>
  <c r="J7" i="19"/>
  <c r="K7" i="19" s="1"/>
  <c r="L7" i="19" s="1"/>
  <c r="D28" i="13"/>
  <c r="I27" i="13"/>
  <c r="J27" i="13" s="1"/>
  <c r="H28" i="13" s="1"/>
  <c r="J21" i="10"/>
  <c r="L21" i="10"/>
  <c r="E22" i="10"/>
  <c r="H22" i="10"/>
  <c r="I22" i="10" s="1"/>
  <c r="B23" i="10"/>
  <c r="F23" i="10" s="1"/>
  <c r="V4" i="12"/>
  <c r="W4" i="12" s="1"/>
  <c r="R5" i="12"/>
  <c r="AD4" i="12"/>
  <c r="AB4" i="12"/>
  <c r="X5" i="12" s="1"/>
  <c r="Q5" i="12"/>
  <c r="M6" i="12" s="1"/>
  <c r="K9" i="12"/>
  <c r="L9" i="12" s="1"/>
  <c r="G10" i="12"/>
  <c r="I10" i="12" s="1"/>
  <c r="E5" i="12"/>
  <c r="F5" i="12"/>
  <c r="B6" i="12" s="1"/>
  <c r="G26" i="10"/>
  <c r="E54" i="19"/>
  <c r="F25" i="13"/>
  <c r="G25" i="13" s="1"/>
  <c r="I27" i="4"/>
  <c r="J26" i="4"/>
  <c r="K26" i="4" s="1"/>
  <c r="K27" i="10"/>
  <c r="A28" i="10"/>
  <c r="C27" i="10"/>
  <c r="D27" i="10" s="1"/>
  <c r="G27" i="10" s="1"/>
  <c r="AK4" i="9"/>
  <c r="U5" i="9"/>
  <c r="Z4" i="9"/>
  <c r="B5" i="9"/>
  <c r="B28" i="3" l="1"/>
  <c r="F27" i="3"/>
  <c r="G27" i="3" s="1"/>
  <c r="E28" i="3"/>
  <c r="H27" i="3"/>
  <c r="I27" i="3" s="1"/>
  <c r="T5" i="12"/>
  <c r="AJ4" i="9"/>
  <c r="AL4" i="9" s="1"/>
  <c r="AM4" i="9" s="1"/>
  <c r="P3" i="9"/>
  <c r="J4" i="9" s="1"/>
  <c r="AG373" i="9"/>
  <c r="AI372" i="9"/>
  <c r="Y374" i="9"/>
  <c r="AA373" i="9"/>
  <c r="K10" i="12"/>
  <c r="L10" i="12" s="1"/>
  <c r="G11" i="12"/>
  <c r="I11" i="12" s="1"/>
  <c r="H12" i="12"/>
  <c r="J12" i="12" s="1"/>
  <c r="A13" i="12"/>
  <c r="A23" i="2"/>
  <c r="D22" i="2"/>
  <c r="F22" i="2" s="1"/>
  <c r="B23" i="2" s="1"/>
  <c r="E22" i="2"/>
  <c r="B36" i="4"/>
  <c r="A37" i="4"/>
  <c r="E36" i="4"/>
  <c r="C36" i="4"/>
  <c r="D36" i="4" s="1"/>
  <c r="F36" i="4"/>
  <c r="G36" i="4" s="1"/>
  <c r="J68" i="19"/>
  <c r="K68" i="19" s="1"/>
  <c r="L68" i="19" s="1"/>
  <c r="I69" i="19"/>
  <c r="J48" i="19"/>
  <c r="K48" i="19" s="1"/>
  <c r="L48" i="19" s="1"/>
  <c r="I49" i="19"/>
  <c r="I29" i="19"/>
  <c r="J28" i="19"/>
  <c r="K28" i="19" s="1"/>
  <c r="L28" i="19" s="1"/>
  <c r="J88" i="19"/>
  <c r="K88" i="19" s="1"/>
  <c r="L88" i="19" s="1"/>
  <c r="I89" i="19"/>
  <c r="J8" i="19"/>
  <c r="K8" i="19" s="1"/>
  <c r="L8" i="19" s="1"/>
  <c r="I9" i="19"/>
  <c r="D29" i="13"/>
  <c r="I28" i="13"/>
  <c r="J28" i="13" s="1"/>
  <c r="H29" i="13" s="1"/>
  <c r="J22" i="10"/>
  <c r="L22" i="10"/>
  <c r="B24" i="10"/>
  <c r="F24" i="10" s="1"/>
  <c r="E23" i="10"/>
  <c r="H23" i="10"/>
  <c r="I23" i="10" s="1"/>
  <c r="AE4" i="12"/>
  <c r="AF4" i="12"/>
  <c r="Y5" i="12"/>
  <c r="Z5" i="12" s="1"/>
  <c r="C6" i="12"/>
  <c r="D6" i="12" s="1"/>
  <c r="E29" i="14"/>
  <c r="H35" i="4"/>
  <c r="E55" i="19"/>
  <c r="C26" i="13"/>
  <c r="N6" i="12"/>
  <c r="O6" i="12"/>
  <c r="J27" i="4"/>
  <c r="K27" i="4" s="1"/>
  <c r="I28" i="4"/>
  <c r="K28" i="10"/>
  <c r="A29" i="10"/>
  <c r="C28" i="10"/>
  <c r="D28" i="10" s="1"/>
  <c r="G28" i="10" s="1"/>
  <c r="E5" i="9"/>
  <c r="AC4" i="9"/>
  <c r="T5" i="9"/>
  <c r="V5" i="9" s="1"/>
  <c r="W5" i="9" s="1"/>
  <c r="E29" i="3" l="1"/>
  <c r="B29" i="3"/>
  <c r="F28" i="3"/>
  <c r="G28" i="3" s="1"/>
  <c r="H28" i="3" s="1"/>
  <c r="I28" i="3" s="1"/>
  <c r="R6" i="12"/>
  <c r="V5" i="12"/>
  <c r="W5" i="12" s="1"/>
  <c r="AN4" i="9"/>
  <c r="AH5" i="9" s="1"/>
  <c r="AB4" i="9"/>
  <c r="AD4" i="9" s="1"/>
  <c r="AE4" i="9" s="1"/>
  <c r="AI373" i="9"/>
  <c r="AG374" i="9"/>
  <c r="Y375" i="9"/>
  <c r="AA374" i="9"/>
  <c r="K11" i="12"/>
  <c r="L11" i="12" s="1"/>
  <c r="G12" i="12"/>
  <c r="I12" i="12" s="1"/>
  <c r="G13" i="12" s="1"/>
  <c r="H13" i="12"/>
  <c r="J13" i="12" s="1"/>
  <c r="A14" i="12"/>
  <c r="D23" i="2"/>
  <c r="F23" i="2" s="1"/>
  <c r="B24" i="2" s="1"/>
  <c r="A24" i="2"/>
  <c r="E23" i="2"/>
  <c r="A38" i="4"/>
  <c r="C37" i="4"/>
  <c r="D37" i="4" s="1"/>
  <c r="E37" i="4"/>
  <c r="B37" i="4"/>
  <c r="F37" i="4"/>
  <c r="G37" i="4" s="1"/>
  <c r="J69" i="19"/>
  <c r="K69" i="19" s="1"/>
  <c r="L69" i="19" s="1"/>
  <c r="I70" i="19"/>
  <c r="J49" i="19"/>
  <c r="K49" i="19" s="1"/>
  <c r="L49" i="19" s="1"/>
  <c r="I50" i="19"/>
  <c r="I30" i="19"/>
  <c r="J29" i="19"/>
  <c r="K29" i="19" s="1"/>
  <c r="L29" i="19" s="1"/>
  <c r="J89" i="19"/>
  <c r="K89" i="19" s="1"/>
  <c r="L89" i="19" s="1"/>
  <c r="I90" i="19"/>
  <c r="I10" i="19"/>
  <c r="J9" i="19"/>
  <c r="K9" i="19" s="1"/>
  <c r="L9" i="19" s="1"/>
  <c r="D30" i="13"/>
  <c r="I29" i="13"/>
  <c r="J29" i="13" s="1"/>
  <c r="H30" i="13" s="1"/>
  <c r="E24" i="10"/>
  <c r="H24" i="10"/>
  <c r="I24" i="10" s="1"/>
  <c r="B25" i="10"/>
  <c r="F25" i="10" s="1"/>
  <c r="J23" i="10"/>
  <c r="L23" i="10"/>
  <c r="AG4" i="12"/>
  <c r="AH4" i="12" s="1"/>
  <c r="AC5" i="12"/>
  <c r="AA5" i="12"/>
  <c r="G29" i="14"/>
  <c r="B30" i="14"/>
  <c r="H36" i="4"/>
  <c r="E6" i="12"/>
  <c r="F6" i="12"/>
  <c r="B7" i="12" s="1"/>
  <c r="P6" i="12"/>
  <c r="Q6" i="12" s="1"/>
  <c r="M7" i="12" s="1"/>
  <c r="S6" i="12"/>
  <c r="E56" i="19"/>
  <c r="K12" i="12"/>
  <c r="L12" i="12" s="1"/>
  <c r="E26" i="13"/>
  <c r="F26" i="13" s="1"/>
  <c r="G26" i="13" s="1"/>
  <c r="J28" i="4"/>
  <c r="K28" i="4" s="1"/>
  <c r="I29" i="4"/>
  <c r="K29" i="10"/>
  <c r="A30" i="10"/>
  <c r="C29" i="10"/>
  <c r="D29" i="10" s="1"/>
  <c r="G29" i="10" s="1"/>
  <c r="M4" i="9"/>
  <c r="D5" i="9"/>
  <c r="F5" i="9" s="1"/>
  <c r="H5" i="9" s="1"/>
  <c r="X5" i="9"/>
  <c r="I13" i="12" l="1"/>
  <c r="B30" i="3"/>
  <c r="E30" i="3"/>
  <c r="F29" i="3"/>
  <c r="G29" i="3" s="1"/>
  <c r="H29" i="3" s="1"/>
  <c r="I29" i="3" s="1"/>
  <c r="L4" i="9"/>
  <c r="N4" i="9" s="1"/>
  <c r="O4" i="9" s="1"/>
  <c r="AG375" i="9"/>
  <c r="AI374" i="9"/>
  <c r="Y376" i="9"/>
  <c r="AA375" i="9"/>
  <c r="H14" i="12"/>
  <c r="J14" i="12" s="1"/>
  <c r="A15" i="12"/>
  <c r="E24" i="2"/>
  <c r="D24" i="2"/>
  <c r="F24" i="2" s="1"/>
  <c r="B25" i="2" s="1"/>
  <c r="A25" i="2"/>
  <c r="B38" i="4"/>
  <c r="F38" i="4"/>
  <c r="A39" i="4"/>
  <c r="E38" i="4"/>
  <c r="C38" i="4"/>
  <c r="D38" i="4" s="1"/>
  <c r="I71" i="19"/>
  <c r="J70" i="19"/>
  <c r="K70" i="19" s="1"/>
  <c r="L70" i="19" s="1"/>
  <c r="J50" i="19"/>
  <c r="K50" i="19" s="1"/>
  <c r="L50" i="19" s="1"/>
  <c r="I51" i="19"/>
  <c r="I31" i="19"/>
  <c r="J30" i="19"/>
  <c r="K30" i="19" s="1"/>
  <c r="L30" i="19" s="1"/>
  <c r="J90" i="19"/>
  <c r="K90" i="19" s="1"/>
  <c r="L90" i="19" s="1"/>
  <c r="I91" i="19"/>
  <c r="J10" i="19"/>
  <c r="K10" i="19" s="1"/>
  <c r="L10" i="19" s="1"/>
  <c r="I11" i="19"/>
  <c r="I30" i="13"/>
  <c r="J30" i="13" s="1"/>
  <c r="H31" i="13" s="1"/>
  <c r="D31" i="13"/>
  <c r="J24" i="10"/>
  <c r="L24" i="10"/>
  <c r="H25" i="10"/>
  <c r="I25" i="10" s="1"/>
  <c r="B26" i="10"/>
  <c r="F26" i="10" s="1"/>
  <c r="E25" i="10"/>
  <c r="C30" i="14"/>
  <c r="D30" i="14"/>
  <c r="C7" i="12"/>
  <c r="D7" i="12"/>
  <c r="T6" i="12"/>
  <c r="U6" i="12"/>
  <c r="H37" i="4"/>
  <c r="AD5" i="12"/>
  <c r="AB5" i="12"/>
  <c r="X6" i="12" s="1"/>
  <c r="E57" i="19"/>
  <c r="C27" i="13"/>
  <c r="N7" i="12"/>
  <c r="O7" i="12"/>
  <c r="P7" i="12"/>
  <c r="I30" i="4"/>
  <c r="J29" i="4"/>
  <c r="K29" i="4" s="1"/>
  <c r="K30" i="10"/>
  <c r="A31" i="10"/>
  <c r="C30" i="10"/>
  <c r="D30" i="10" s="1"/>
  <c r="G30" i="10" s="1"/>
  <c r="B6" i="9"/>
  <c r="R6" i="9"/>
  <c r="AF4" i="9"/>
  <c r="AK5" i="9"/>
  <c r="G38" i="4" l="1"/>
  <c r="H38" i="4" s="1"/>
  <c r="G14" i="12"/>
  <c r="I14" i="12" s="1"/>
  <c r="K13" i="12"/>
  <c r="L13" i="12" s="1"/>
  <c r="C25" i="11" s="1" a="1"/>
  <c r="B31" i="3"/>
  <c r="E31" i="3"/>
  <c r="F30" i="3"/>
  <c r="G30" i="3" s="1"/>
  <c r="H30" i="3" s="1"/>
  <c r="I30" i="3" s="1"/>
  <c r="E30" i="14"/>
  <c r="P4" i="9"/>
  <c r="AJ5" i="9"/>
  <c r="AL5" i="9" s="1"/>
  <c r="AM5" i="9" s="1"/>
  <c r="AI375" i="9"/>
  <c r="AG376" i="9"/>
  <c r="Y377" i="9"/>
  <c r="AA376" i="9"/>
  <c r="S7" i="12"/>
  <c r="U7" i="12" s="1"/>
  <c r="H15" i="12"/>
  <c r="J15" i="12" s="1"/>
  <c r="A16" i="12"/>
  <c r="A26" i="2"/>
  <c r="E25" i="2"/>
  <c r="D25" i="2"/>
  <c r="F25" i="2" s="1"/>
  <c r="B26" i="2" s="1"/>
  <c r="A40" i="4"/>
  <c r="C39" i="4"/>
  <c r="D39" i="4" s="1"/>
  <c r="E39" i="4"/>
  <c r="B39" i="4"/>
  <c r="F39" i="4"/>
  <c r="G39" i="4" s="1"/>
  <c r="J71" i="19"/>
  <c r="K71" i="19" s="1"/>
  <c r="L71" i="19" s="1"/>
  <c r="I72" i="19"/>
  <c r="J51" i="19"/>
  <c r="K51" i="19" s="1"/>
  <c r="L51" i="19" s="1"/>
  <c r="I52" i="19"/>
  <c r="J31" i="19"/>
  <c r="K31" i="19" s="1"/>
  <c r="L31" i="19" s="1"/>
  <c r="I32" i="19"/>
  <c r="J91" i="19"/>
  <c r="K91" i="19" s="1"/>
  <c r="L91" i="19" s="1"/>
  <c r="I92" i="19"/>
  <c r="J11" i="19"/>
  <c r="K11" i="19" s="1"/>
  <c r="L11" i="19" s="1"/>
  <c r="I12" i="19"/>
  <c r="D32" i="13"/>
  <c r="I31" i="13"/>
  <c r="J31" i="13" s="1"/>
  <c r="H32" i="13" s="1"/>
  <c r="J25" i="10"/>
  <c r="L25" i="10"/>
  <c r="H26" i="10"/>
  <c r="I26" i="10" s="1"/>
  <c r="B27" i="10"/>
  <c r="F27" i="10" s="1"/>
  <c r="E26" i="10"/>
  <c r="V6" i="12"/>
  <c r="W6" i="12" s="1"/>
  <c r="R7" i="12"/>
  <c r="AE5" i="12"/>
  <c r="AF5" i="12"/>
  <c r="Y6" i="12"/>
  <c r="Z6" i="12"/>
  <c r="AA6" i="12" s="1"/>
  <c r="Q7" i="12"/>
  <c r="M8" i="12" s="1"/>
  <c r="N8" i="12" s="1"/>
  <c r="E7" i="12"/>
  <c r="F7" i="12"/>
  <c r="B8" i="12" s="1"/>
  <c r="E58" i="19"/>
  <c r="E27" i="13"/>
  <c r="J30" i="4"/>
  <c r="K30" i="4" s="1"/>
  <c r="I31" i="4"/>
  <c r="K31" i="10"/>
  <c r="A32" i="10"/>
  <c r="C31" i="10"/>
  <c r="D31" i="10" s="1"/>
  <c r="G31" i="10" s="1"/>
  <c r="E6" i="9"/>
  <c r="D6" i="9" s="1"/>
  <c r="F6" i="9" s="1"/>
  <c r="H6" i="9" s="1"/>
  <c r="Z5" i="9"/>
  <c r="U6" i="9"/>
  <c r="B32" i="3" l="1"/>
  <c r="F31" i="3"/>
  <c r="G31" i="3" s="1"/>
  <c r="H31" i="3" s="1"/>
  <c r="I31" i="3" s="1"/>
  <c r="E32" i="3"/>
  <c r="G30" i="14"/>
  <c r="B31" i="14"/>
  <c r="AN5" i="9"/>
  <c r="AH6" i="9" s="1"/>
  <c r="J5" i="9"/>
  <c r="T6" i="9"/>
  <c r="V6" i="9" s="1"/>
  <c r="W6" i="9" s="1"/>
  <c r="AG377" i="9"/>
  <c r="AI376" i="9"/>
  <c r="Y378" i="9"/>
  <c r="AA377" i="9"/>
  <c r="K14" i="12"/>
  <c r="L14" i="12" s="1"/>
  <c r="G15" i="12"/>
  <c r="I15" i="12" s="1"/>
  <c r="T7" i="12"/>
  <c r="H16" i="12"/>
  <c r="J16" i="12" s="1"/>
  <c r="A17" i="12"/>
  <c r="D26" i="2"/>
  <c r="F26" i="2" s="1"/>
  <c r="B27" i="2" s="1"/>
  <c r="E26" i="2"/>
  <c r="A27" i="2"/>
  <c r="C40" i="4"/>
  <c r="D40" i="4" s="1"/>
  <c r="F40" i="4"/>
  <c r="B40" i="4"/>
  <c r="E40" i="4"/>
  <c r="I73" i="19"/>
  <c r="J72" i="19"/>
  <c r="K72" i="19" s="1"/>
  <c r="L72" i="19" s="1"/>
  <c r="J52" i="19"/>
  <c r="K52" i="19" s="1"/>
  <c r="L52" i="19" s="1"/>
  <c r="I53" i="19"/>
  <c r="J32" i="19"/>
  <c r="K32" i="19" s="1"/>
  <c r="L32" i="19" s="1"/>
  <c r="I33" i="19"/>
  <c r="J92" i="19"/>
  <c r="K92" i="19" s="1"/>
  <c r="L92" i="19" s="1"/>
  <c r="I93" i="19"/>
  <c r="J12" i="19"/>
  <c r="K12" i="19" s="1"/>
  <c r="L12" i="19" s="1"/>
  <c r="I13" i="19"/>
  <c r="D33" i="13"/>
  <c r="I32" i="13"/>
  <c r="J32" i="13" s="1"/>
  <c r="H33" i="13" s="1"/>
  <c r="J26" i="10"/>
  <c r="L26" i="10"/>
  <c r="H27" i="10"/>
  <c r="I27" i="10" s="1"/>
  <c r="B28" i="10"/>
  <c r="F28" i="10" s="1"/>
  <c r="E27" i="10"/>
  <c r="AC6" i="12"/>
  <c r="AG5" i="12"/>
  <c r="AH5" i="12" s="1"/>
  <c r="C8" i="12"/>
  <c r="D8" i="12"/>
  <c r="H39" i="4"/>
  <c r="AD6" i="12"/>
  <c r="AF6" i="12" s="1"/>
  <c r="AB6" i="12"/>
  <c r="X7" i="12" s="1"/>
  <c r="E59" i="19"/>
  <c r="F27" i="13"/>
  <c r="G27" i="13" s="1"/>
  <c r="C28" i="13" s="1"/>
  <c r="O8" i="12"/>
  <c r="J31" i="4"/>
  <c r="K31" i="4" s="1"/>
  <c r="I32" i="4"/>
  <c r="K32" i="10"/>
  <c r="A33" i="10"/>
  <c r="C32" i="10"/>
  <c r="D32" i="10" s="1"/>
  <c r="G32" i="10" s="1"/>
  <c r="AC5" i="9"/>
  <c r="B7" i="9"/>
  <c r="G40" i="4" l="1"/>
  <c r="H40" i="4" s="1"/>
  <c r="E9" i="4" s="1" a="1"/>
  <c r="B33" i="3"/>
  <c r="F32" i="3"/>
  <c r="G32" i="3" s="1"/>
  <c r="E33" i="3"/>
  <c r="H32" i="3"/>
  <c r="I32" i="3" s="1"/>
  <c r="M5" i="9"/>
  <c r="L5" i="9" s="1"/>
  <c r="N5" i="9" s="1"/>
  <c r="O5" i="9" s="1"/>
  <c r="D31" i="14"/>
  <c r="C31" i="14"/>
  <c r="E31" i="14" s="1"/>
  <c r="X6" i="9"/>
  <c r="R7" i="9" s="1"/>
  <c r="AB5" i="9"/>
  <c r="AD5" i="9" s="1"/>
  <c r="AE5" i="9" s="1"/>
  <c r="AG378" i="9"/>
  <c r="AI377" i="9"/>
  <c r="Y379" i="9"/>
  <c r="AA378" i="9"/>
  <c r="R8" i="12"/>
  <c r="V7" i="12"/>
  <c r="W7" i="12" s="1"/>
  <c r="H17" i="12"/>
  <c r="J17" i="12" s="1"/>
  <c r="A18" i="12"/>
  <c r="A28" i="2"/>
  <c r="D27" i="2"/>
  <c r="F27" i="2" s="1"/>
  <c r="B28" i="2" s="1"/>
  <c r="E27" i="2"/>
  <c r="I74" i="19"/>
  <c r="J73" i="19"/>
  <c r="K73" i="19" s="1"/>
  <c r="L73" i="19" s="1"/>
  <c r="J53" i="19"/>
  <c r="K53" i="19" s="1"/>
  <c r="L53" i="19" s="1"/>
  <c r="I54" i="19"/>
  <c r="J33" i="19"/>
  <c r="K33" i="19" s="1"/>
  <c r="L33" i="19" s="1"/>
  <c r="I34" i="19"/>
  <c r="J93" i="19"/>
  <c r="K93" i="19" s="1"/>
  <c r="L93" i="19" s="1"/>
  <c r="I94" i="19"/>
  <c r="I14" i="19"/>
  <c r="J13" i="19"/>
  <c r="K13" i="19" s="1"/>
  <c r="L13" i="19" s="1"/>
  <c r="I33" i="13"/>
  <c r="J33" i="13" s="1"/>
  <c r="H34" i="13" s="1"/>
  <c r="D34" i="13"/>
  <c r="J27" i="10"/>
  <c r="L27" i="10"/>
  <c r="H28" i="10"/>
  <c r="I28" i="10" s="1"/>
  <c r="B29" i="10"/>
  <c r="F29" i="10" s="1"/>
  <c r="E28" i="10"/>
  <c r="Y7" i="12"/>
  <c r="Z7" i="12" s="1"/>
  <c r="AA7" i="12" s="1"/>
  <c r="AE6" i="12"/>
  <c r="E8" i="12"/>
  <c r="F8" i="12"/>
  <c r="B9" i="12" s="1"/>
  <c r="K15" i="12"/>
  <c r="L15" i="12" s="1"/>
  <c r="G16" i="12"/>
  <c r="I16" i="12" s="1"/>
  <c r="E60" i="19"/>
  <c r="E28" i="13"/>
  <c r="F28" i="13" s="1"/>
  <c r="P8" i="12"/>
  <c r="I33" i="4"/>
  <c r="J32" i="4"/>
  <c r="K32" i="4" s="1"/>
  <c r="K33" i="10"/>
  <c r="A34" i="10"/>
  <c r="C33" i="10"/>
  <c r="D33" i="10" s="1"/>
  <c r="G33" i="10" s="1"/>
  <c r="E7" i="9"/>
  <c r="D7" i="9" s="1"/>
  <c r="F7" i="9" s="1"/>
  <c r="H7" i="9" s="1"/>
  <c r="AK6" i="9"/>
  <c r="AJ6" i="9" s="1"/>
  <c r="AL6" i="9" s="1"/>
  <c r="AM6" i="9" s="1"/>
  <c r="B34" i="3" l="1"/>
  <c r="E34" i="3"/>
  <c r="F33" i="3"/>
  <c r="G33" i="3" s="1"/>
  <c r="H33" i="3" s="1"/>
  <c r="I33" i="3" s="1"/>
  <c r="P5" i="9"/>
  <c r="J6" i="9" s="1"/>
  <c r="G31" i="14"/>
  <c r="B32" i="14"/>
  <c r="AF5" i="9"/>
  <c r="Z6" i="9" s="1"/>
  <c r="AC6" i="9" s="1"/>
  <c r="AB6" i="9" s="1"/>
  <c r="AD6" i="9" s="1"/>
  <c r="AE6" i="9" s="1"/>
  <c r="B8" i="9"/>
  <c r="E8" i="9" s="1"/>
  <c r="D8" i="9" s="1"/>
  <c r="F8" i="9" s="1"/>
  <c r="H8" i="9" s="1"/>
  <c r="AI378" i="9"/>
  <c r="AG379" i="9"/>
  <c r="Y380" i="9"/>
  <c r="AA379" i="9"/>
  <c r="K16" i="12"/>
  <c r="L16" i="12" s="1"/>
  <c r="G17" i="12"/>
  <c r="I17" i="12" s="1"/>
  <c r="H18" i="12"/>
  <c r="J18" i="12" s="1"/>
  <c r="A19" i="12"/>
  <c r="E28" i="2"/>
  <c r="D28" i="2"/>
  <c r="F28" i="2" s="1"/>
  <c r="B29" i="2" s="1"/>
  <c r="A29" i="2"/>
  <c r="I75" i="19"/>
  <c r="J74" i="19"/>
  <c r="K74" i="19" s="1"/>
  <c r="L74" i="19" s="1"/>
  <c r="J54" i="19"/>
  <c r="K54" i="19" s="1"/>
  <c r="L54" i="19" s="1"/>
  <c r="I55" i="19"/>
  <c r="I35" i="19"/>
  <c r="J34" i="19"/>
  <c r="K34" i="19" s="1"/>
  <c r="L34" i="19" s="1"/>
  <c r="J94" i="19"/>
  <c r="K94" i="19" s="1"/>
  <c r="L94" i="19" s="1"/>
  <c r="I95" i="19"/>
  <c r="J14" i="19"/>
  <c r="K14" i="19" s="1"/>
  <c r="L14" i="19" s="1"/>
  <c r="I15" i="19"/>
  <c r="D35" i="13"/>
  <c r="I34" i="13"/>
  <c r="J34" i="13" s="1"/>
  <c r="H35" i="13" s="1"/>
  <c r="J28" i="10"/>
  <c r="L28" i="10"/>
  <c r="H29" i="10"/>
  <c r="I29" i="10" s="1"/>
  <c r="E29" i="10"/>
  <c r="B30" i="10"/>
  <c r="F30" i="10" s="1"/>
  <c r="AG6" i="12"/>
  <c r="AH6" i="12" s="1"/>
  <c r="AC7" i="12"/>
  <c r="C9" i="12"/>
  <c r="G28" i="13"/>
  <c r="C29" i="13" s="1"/>
  <c r="E29" i="13" s="1"/>
  <c r="AD7" i="12"/>
  <c r="AF7" i="12" s="1"/>
  <c r="AB7" i="12"/>
  <c r="X8" i="12" s="1"/>
  <c r="Q8" i="12"/>
  <c r="M9" i="12" s="1"/>
  <c r="S8" i="12"/>
  <c r="E61" i="19"/>
  <c r="I34" i="4"/>
  <c r="J33" i="4"/>
  <c r="K33" i="4" s="1"/>
  <c r="K34" i="10"/>
  <c r="A35" i="10"/>
  <c r="C34" i="10"/>
  <c r="D34" i="10" s="1"/>
  <c r="G34" i="10" s="1"/>
  <c r="AN6" i="9"/>
  <c r="U7" i="9"/>
  <c r="T7" i="9" s="1"/>
  <c r="V7" i="9" s="1"/>
  <c r="W7" i="9" s="1"/>
  <c r="X7" i="9" s="1"/>
  <c r="M6" i="9" l="1"/>
  <c r="L6" i="9" s="1"/>
  <c r="N6" i="9" s="1"/>
  <c r="O6" i="9"/>
  <c r="P6" i="9" s="1"/>
  <c r="J7" i="9" s="1"/>
  <c r="F34" i="3"/>
  <c r="G34" i="3" s="1"/>
  <c r="B35" i="3"/>
  <c r="H34" i="3"/>
  <c r="I34" i="3" s="1"/>
  <c r="E35" i="3"/>
  <c r="N9" i="12"/>
  <c r="O9" i="12"/>
  <c r="B9" i="9"/>
  <c r="E9" i="9" s="1"/>
  <c r="D9" i="9" s="1"/>
  <c r="F9" i="9" s="1"/>
  <c r="H9" i="9" s="1"/>
  <c r="B10" i="9" s="1"/>
  <c r="E10" i="9" s="1"/>
  <c r="D10" i="9" s="1"/>
  <c r="F10" i="9" s="1"/>
  <c r="H10" i="9" s="1"/>
  <c r="D32" i="14"/>
  <c r="C32" i="14"/>
  <c r="E32" i="14" s="1"/>
  <c r="R8" i="9"/>
  <c r="U8" i="9" s="1"/>
  <c r="T8" i="9" s="1"/>
  <c r="V8" i="9" s="1"/>
  <c r="W8" i="9" s="1"/>
  <c r="AG380" i="9"/>
  <c r="AI379" i="9"/>
  <c r="Y381" i="9"/>
  <c r="AA380" i="9"/>
  <c r="H19" i="12"/>
  <c r="J19" i="12" s="1"/>
  <c r="A20" i="12"/>
  <c r="A30" i="2"/>
  <c r="D29" i="2"/>
  <c r="F29" i="2" s="1"/>
  <c r="B30" i="2" s="1"/>
  <c r="E29" i="2"/>
  <c r="J75" i="19"/>
  <c r="K75" i="19" s="1"/>
  <c r="L75" i="19" s="1"/>
  <c r="I76" i="19"/>
  <c r="J55" i="19"/>
  <c r="K55" i="19" s="1"/>
  <c r="L55" i="19" s="1"/>
  <c r="I56" i="19"/>
  <c r="J35" i="19"/>
  <c r="K35" i="19" s="1"/>
  <c r="L35" i="19" s="1"/>
  <c r="I36" i="19"/>
  <c r="J95" i="19"/>
  <c r="K95" i="19" s="1"/>
  <c r="L95" i="19" s="1"/>
  <c r="I96" i="19"/>
  <c r="J15" i="19"/>
  <c r="K15" i="19" s="1"/>
  <c r="L15" i="19" s="1"/>
  <c r="I16" i="19"/>
  <c r="D36" i="13"/>
  <c r="I35" i="13"/>
  <c r="J35" i="13" s="1"/>
  <c r="H36" i="13" s="1"/>
  <c r="J29" i="10"/>
  <c r="L29" i="10"/>
  <c r="E30" i="10"/>
  <c r="H30" i="10"/>
  <c r="I30" i="10" s="1"/>
  <c r="B31" i="10"/>
  <c r="F31" i="10" s="1"/>
  <c r="Y8" i="12"/>
  <c r="Z8" i="12" s="1"/>
  <c r="U8" i="12"/>
  <c r="T8" i="12"/>
  <c r="AE7" i="12"/>
  <c r="D9" i="12"/>
  <c r="K17" i="12"/>
  <c r="L17" i="12" s="1"/>
  <c r="G18" i="12"/>
  <c r="I18" i="12" s="1"/>
  <c r="F29" i="13"/>
  <c r="G29" i="13" s="1"/>
  <c r="C30" i="13" s="1"/>
  <c r="P9" i="12"/>
  <c r="J34" i="4"/>
  <c r="K34" i="4" s="1"/>
  <c r="I35" i="4"/>
  <c r="K35" i="10"/>
  <c r="A36" i="10"/>
  <c r="C35" i="10"/>
  <c r="D35" i="10" s="1"/>
  <c r="G35" i="10" s="1"/>
  <c r="AH7" i="9"/>
  <c r="AF6" i="9"/>
  <c r="F35" i="3" l="1"/>
  <c r="G35" i="3" s="1"/>
  <c r="H35" i="3" s="1"/>
  <c r="I35" i="3" s="1"/>
  <c r="E36" i="3"/>
  <c r="B36" i="3"/>
  <c r="G32" i="14"/>
  <c r="B33" i="14"/>
  <c r="B11" i="9"/>
  <c r="E11" i="9" s="1"/>
  <c r="D11" i="9" s="1"/>
  <c r="F11" i="9" s="1"/>
  <c r="H11" i="9" s="1"/>
  <c r="AI380" i="9"/>
  <c r="AG381" i="9"/>
  <c r="Y382" i="9"/>
  <c r="AA381" i="9"/>
  <c r="K18" i="12"/>
  <c r="L18" i="12" s="1"/>
  <c r="G19" i="12"/>
  <c r="I19" i="12" s="1"/>
  <c r="AA8" i="12"/>
  <c r="H20" i="12"/>
  <c r="J20" i="12" s="1"/>
  <c r="A21" i="12"/>
  <c r="E30" i="2"/>
  <c r="A31" i="2"/>
  <c r="D30" i="2"/>
  <c r="F30" i="2" s="1"/>
  <c r="B31" i="2" s="1"/>
  <c r="J76" i="19"/>
  <c r="K76" i="19" s="1"/>
  <c r="L76" i="19" s="1"/>
  <c r="I77" i="19"/>
  <c r="J56" i="19"/>
  <c r="K56" i="19" s="1"/>
  <c r="L56" i="19" s="1"/>
  <c r="I57" i="19"/>
  <c r="I37" i="19"/>
  <c r="J36" i="19"/>
  <c r="K36" i="19" s="1"/>
  <c r="L36" i="19" s="1"/>
  <c r="J96" i="19"/>
  <c r="K96" i="19" s="1"/>
  <c r="L96" i="19" s="1"/>
  <c r="I97" i="19"/>
  <c r="J16" i="19"/>
  <c r="K16" i="19" s="1"/>
  <c r="L16" i="19" s="1"/>
  <c r="I17" i="19"/>
  <c r="I36" i="13"/>
  <c r="J36" i="13" s="1"/>
  <c r="H37" i="13" s="1"/>
  <c r="D37" i="13"/>
  <c r="J30" i="10"/>
  <c r="L30" i="10"/>
  <c r="B32" i="10"/>
  <c r="F32" i="10" s="1"/>
  <c r="E31" i="10"/>
  <c r="H31" i="10"/>
  <c r="I31" i="10" s="1"/>
  <c r="V8" i="12"/>
  <c r="W8" i="12" s="1"/>
  <c r="R9" i="12"/>
  <c r="AC8" i="12"/>
  <c r="AG7" i="12"/>
  <c r="AH7" i="12" s="1"/>
  <c r="E9" i="12"/>
  <c r="F9" i="12"/>
  <c r="B10" i="12" s="1"/>
  <c r="Q9" i="12"/>
  <c r="M10" i="12" s="1"/>
  <c r="N10" i="12" s="1"/>
  <c r="S9" i="12"/>
  <c r="U9" i="12" s="1"/>
  <c r="E30" i="13"/>
  <c r="F30" i="13" s="1"/>
  <c r="G30" i="13" s="1"/>
  <c r="C31" i="13" s="1"/>
  <c r="J35" i="4"/>
  <c r="K35" i="4" s="1"/>
  <c r="I36" i="4"/>
  <c r="K36" i="10"/>
  <c r="A37" i="10"/>
  <c r="C36" i="10"/>
  <c r="D36" i="10" s="1"/>
  <c r="G36" i="10" s="1"/>
  <c r="Z7" i="9"/>
  <c r="AK7" i="9"/>
  <c r="AJ7" i="9" s="1"/>
  <c r="AL7" i="9" s="1"/>
  <c r="AM7" i="9" s="1"/>
  <c r="AN7" i="9" s="1"/>
  <c r="M7" i="9"/>
  <c r="L7" i="9" s="1"/>
  <c r="N7" i="9" s="1"/>
  <c r="O7" i="9" s="1"/>
  <c r="X8" i="9"/>
  <c r="F36" i="3" l="1"/>
  <c r="G36" i="3" s="1"/>
  <c r="H36" i="3"/>
  <c r="I36" i="3" s="1"/>
  <c r="B12" i="9"/>
  <c r="E12" i="9" s="1"/>
  <c r="D12" i="9" s="1"/>
  <c r="F12" i="9" s="1"/>
  <c r="H12" i="9" s="1"/>
  <c r="B13" i="9" s="1"/>
  <c r="E13" i="9" s="1"/>
  <c r="D13" i="9" s="1"/>
  <c r="F13" i="9" s="1"/>
  <c r="H13" i="9" s="1"/>
  <c r="C33" i="14"/>
  <c r="D33" i="14"/>
  <c r="AH8" i="9"/>
  <c r="R9" i="9"/>
  <c r="U9" i="9" s="1"/>
  <c r="T9" i="9" s="1"/>
  <c r="V9" i="9" s="1"/>
  <c r="W9" i="9" s="1"/>
  <c r="AG382" i="9"/>
  <c r="AI381" i="9"/>
  <c r="Y383" i="9"/>
  <c r="AA382" i="9"/>
  <c r="AB8" i="12"/>
  <c r="X9" i="12" s="1"/>
  <c r="Y9" i="12" s="1"/>
  <c r="Z9" i="12" s="1"/>
  <c r="AA9" i="12" s="1"/>
  <c r="AB9" i="12" s="1"/>
  <c r="X10" i="12" s="1"/>
  <c r="AD8" i="12"/>
  <c r="H21" i="12"/>
  <c r="J21" i="12" s="1"/>
  <c r="A22" i="12"/>
  <c r="D31" i="2"/>
  <c r="F31" i="2" s="1"/>
  <c r="E31" i="2"/>
  <c r="I78" i="19"/>
  <c r="J77" i="19"/>
  <c r="K77" i="19" s="1"/>
  <c r="L77" i="19" s="1"/>
  <c r="J57" i="19"/>
  <c r="K57" i="19" s="1"/>
  <c r="L57" i="19" s="1"/>
  <c r="I58" i="19"/>
  <c r="J37" i="19"/>
  <c r="K37" i="19" s="1"/>
  <c r="L37" i="19" s="1"/>
  <c r="I38" i="19"/>
  <c r="J97" i="19"/>
  <c r="K97" i="19" s="1"/>
  <c r="L97" i="19" s="1"/>
  <c r="I98" i="19"/>
  <c r="I18" i="19"/>
  <c r="J17" i="19"/>
  <c r="K17" i="19" s="1"/>
  <c r="L17" i="19" s="1"/>
  <c r="I37" i="13"/>
  <c r="J37" i="13" s="1"/>
  <c r="H38" i="13" s="1"/>
  <c r="D38" i="13"/>
  <c r="E32" i="10"/>
  <c r="H32" i="10"/>
  <c r="I32" i="10" s="1"/>
  <c r="B33" i="10"/>
  <c r="F33" i="10" s="1"/>
  <c r="J31" i="10"/>
  <c r="L31" i="10"/>
  <c r="C10" i="12"/>
  <c r="D10" i="12" s="1"/>
  <c r="E10" i="12" s="1"/>
  <c r="T9" i="12"/>
  <c r="K19" i="12"/>
  <c r="L19" i="12" s="1"/>
  <c r="G20" i="12"/>
  <c r="I20" i="12" s="1"/>
  <c r="E31" i="13"/>
  <c r="F31" i="13" s="1"/>
  <c r="G31" i="13" s="1"/>
  <c r="C32" i="13" s="1"/>
  <c r="O10" i="12"/>
  <c r="J36" i="4"/>
  <c r="K36" i="4" s="1"/>
  <c r="I37" i="4"/>
  <c r="K37" i="10"/>
  <c r="A38" i="10"/>
  <c r="C37" i="10"/>
  <c r="D37" i="10" s="1"/>
  <c r="G37" i="10" s="1"/>
  <c r="P7" i="9"/>
  <c r="AC7" i="9"/>
  <c r="AB7" i="9" s="1"/>
  <c r="AD7" i="9" s="1"/>
  <c r="AE7" i="9" s="1"/>
  <c r="AF7" i="9" s="1"/>
  <c r="AK8" i="9" l="1"/>
  <c r="AJ8" i="9" s="1"/>
  <c r="AL8" i="9" s="1"/>
  <c r="AM8" i="9"/>
  <c r="AN8" i="9" s="1"/>
  <c r="AH9" i="9" s="1"/>
  <c r="E33" i="14"/>
  <c r="L38" i="10"/>
  <c r="F38" i="10"/>
  <c r="AF8" i="12"/>
  <c r="AE8" i="12"/>
  <c r="B14" i="9"/>
  <c r="E14" i="9" s="1"/>
  <c r="D14" i="9" s="1"/>
  <c r="F14" i="9" s="1"/>
  <c r="H14" i="9" s="1"/>
  <c r="J8" i="9"/>
  <c r="Z8" i="9"/>
  <c r="AC8" i="9" s="1"/>
  <c r="AB8" i="9" s="1"/>
  <c r="AD8" i="9" s="1"/>
  <c r="AE8" i="9" s="1"/>
  <c r="AF8" i="9" s="1"/>
  <c r="Z9" i="9" s="1"/>
  <c r="AG383" i="9"/>
  <c r="AI382" i="9"/>
  <c r="Y384" i="9"/>
  <c r="AA383" i="9"/>
  <c r="F10" i="12"/>
  <c r="B11" i="12" s="1"/>
  <c r="H22" i="12"/>
  <c r="J22" i="12" s="1"/>
  <c r="A23" i="12"/>
  <c r="I79" i="19"/>
  <c r="J78" i="19"/>
  <c r="K78" i="19" s="1"/>
  <c r="L78" i="19" s="1"/>
  <c r="J58" i="19"/>
  <c r="K58" i="19" s="1"/>
  <c r="L58" i="19" s="1"/>
  <c r="I59" i="19"/>
  <c r="J38" i="19"/>
  <c r="K38" i="19" s="1"/>
  <c r="L38" i="19" s="1"/>
  <c r="I39" i="19"/>
  <c r="J98" i="19"/>
  <c r="K98" i="19" s="1"/>
  <c r="L98" i="19" s="1"/>
  <c r="I99" i="19"/>
  <c r="J18" i="19"/>
  <c r="K18" i="19" s="1"/>
  <c r="L18" i="19" s="1"/>
  <c r="I19" i="19"/>
  <c r="D39" i="13"/>
  <c r="I38" i="13"/>
  <c r="J38" i="13" s="1"/>
  <c r="H39" i="13" s="1"/>
  <c r="J32" i="10"/>
  <c r="L32" i="10"/>
  <c r="E33" i="10"/>
  <c r="B34" i="10"/>
  <c r="F34" i="10" s="1"/>
  <c r="H33" i="10"/>
  <c r="I33" i="10" s="1"/>
  <c r="G33" i="14"/>
  <c r="B34" i="14"/>
  <c r="V9" i="12"/>
  <c r="W9" i="12" s="1"/>
  <c r="R10" i="12"/>
  <c r="AD9" i="12"/>
  <c r="AF9" i="12" s="1"/>
  <c r="K20" i="12"/>
  <c r="L20" i="12" s="1"/>
  <c r="G21" i="12"/>
  <c r="I21" i="12" s="1"/>
  <c r="Y10" i="12"/>
  <c r="Z10" i="12"/>
  <c r="E32" i="13"/>
  <c r="F32" i="13" s="1"/>
  <c r="G32" i="13" s="1"/>
  <c r="C33" i="13" s="1"/>
  <c r="P10" i="12"/>
  <c r="I38" i="4"/>
  <c r="J37" i="4"/>
  <c r="K37" i="4" s="1"/>
  <c r="K38" i="10"/>
  <c r="A39" i="10"/>
  <c r="B38" i="10"/>
  <c r="I38" i="10"/>
  <c r="G38" i="10"/>
  <c r="D38" i="10"/>
  <c r="J38" i="10"/>
  <c r="H38" i="10"/>
  <c r="E38" i="10"/>
  <c r="C38" i="10"/>
  <c r="X9" i="9"/>
  <c r="AK9" i="9" l="1"/>
  <c r="AJ9" i="9" s="1"/>
  <c r="AL9" i="9" s="1"/>
  <c r="M8" i="9"/>
  <c r="L8" i="9" s="1"/>
  <c r="N8" i="9" s="1"/>
  <c r="O8" i="9"/>
  <c r="P8" i="9" s="1"/>
  <c r="J9" i="9" s="1"/>
  <c r="M9" i="9" s="1"/>
  <c r="L9" i="9" s="1"/>
  <c r="N9" i="9" s="1"/>
  <c r="L39" i="10"/>
  <c r="F39" i="10"/>
  <c r="AA10" i="12"/>
  <c r="AB10" i="12" s="1"/>
  <c r="X11" i="12" s="1"/>
  <c r="Y11" i="12" s="1"/>
  <c r="Z11" i="12" s="1"/>
  <c r="AG8" i="12"/>
  <c r="AH8" i="12"/>
  <c r="AC9" i="12"/>
  <c r="AE9" i="12" s="1"/>
  <c r="B15" i="9"/>
  <c r="E15" i="9" s="1"/>
  <c r="D15" i="9" s="1"/>
  <c r="F15" i="9" s="1"/>
  <c r="H15" i="9" s="1"/>
  <c r="B16" i="9" s="1"/>
  <c r="E16" i="9" s="1"/>
  <c r="D16" i="9" s="1"/>
  <c r="F16" i="9" s="1"/>
  <c r="H16" i="9" s="1"/>
  <c r="B17" i="9" s="1"/>
  <c r="E17" i="9" s="1"/>
  <c r="D17" i="9" s="1"/>
  <c r="F17" i="9" s="1"/>
  <c r="H17" i="9" s="1"/>
  <c r="R10" i="9"/>
  <c r="U10" i="9" s="1"/>
  <c r="T10" i="9" s="1"/>
  <c r="V10" i="9" s="1"/>
  <c r="AI383" i="9"/>
  <c r="AG384" i="9"/>
  <c r="Y385" i="9"/>
  <c r="AA384" i="9"/>
  <c r="K21" i="12"/>
  <c r="L21" i="12" s="1"/>
  <c r="G22" i="12"/>
  <c r="C11" i="12"/>
  <c r="D11" i="12" s="1"/>
  <c r="H23" i="12"/>
  <c r="J23" i="12" s="1"/>
  <c r="A24" i="12"/>
  <c r="I80" i="19"/>
  <c r="J79" i="19"/>
  <c r="K79" i="19" s="1"/>
  <c r="L79" i="19" s="1"/>
  <c r="J59" i="19"/>
  <c r="K59" i="19" s="1"/>
  <c r="L59" i="19" s="1"/>
  <c r="I60" i="19"/>
  <c r="J39" i="19"/>
  <c r="K39" i="19" s="1"/>
  <c r="L39" i="19" s="1"/>
  <c r="I40" i="19"/>
  <c r="J99" i="19"/>
  <c r="K99" i="19" s="1"/>
  <c r="L99" i="19" s="1"/>
  <c r="I100" i="19"/>
  <c r="J19" i="19"/>
  <c r="K19" i="19" s="1"/>
  <c r="L19" i="19" s="1"/>
  <c r="I20" i="19"/>
  <c r="D40" i="13"/>
  <c r="I39" i="13"/>
  <c r="J39" i="13" s="1"/>
  <c r="H40" i="13" s="1"/>
  <c r="E34" i="10"/>
  <c r="H34" i="10"/>
  <c r="I34" i="10" s="1"/>
  <c r="B35" i="10"/>
  <c r="F35" i="10" s="1"/>
  <c r="J33" i="10"/>
  <c r="L33" i="10"/>
  <c r="C34" i="14"/>
  <c r="D34" i="14"/>
  <c r="AD10" i="12"/>
  <c r="AF10" i="12" s="1"/>
  <c r="I22" i="12"/>
  <c r="Q10" i="12"/>
  <c r="M11" i="12" s="1"/>
  <c r="S10" i="12"/>
  <c r="E33" i="13"/>
  <c r="F33" i="13" s="1"/>
  <c r="G33" i="13" s="1"/>
  <c r="C34" i="13" s="1"/>
  <c r="I39" i="4"/>
  <c r="J38" i="4"/>
  <c r="K38" i="4" s="1"/>
  <c r="K39" i="10"/>
  <c r="A40" i="10"/>
  <c r="I39" i="10"/>
  <c r="G39" i="10"/>
  <c r="D39" i="10"/>
  <c r="B39" i="10"/>
  <c r="J39" i="10"/>
  <c r="H39" i="10"/>
  <c r="E39" i="10"/>
  <c r="C39" i="10"/>
  <c r="AC9" i="9"/>
  <c r="AB9" i="9" s="1"/>
  <c r="AD9" i="9" s="1"/>
  <c r="AE9" i="9" s="1"/>
  <c r="AF9" i="9" s="1"/>
  <c r="AM9" i="9" l="1"/>
  <c r="AN9" i="9" s="1"/>
  <c r="AH10" i="9" s="1"/>
  <c r="O9" i="9"/>
  <c r="P9" i="9" s="1"/>
  <c r="J10" i="9" s="1"/>
  <c r="G23" i="12"/>
  <c r="I23" i="12" s="1"/>
  <c r="K22" i="12"/>
  <c r="L22" i="12" s="1"/>
  <c r="L40" i="10"/>
  <c r="F40" i="10"/>
  <c r="B18" i="9"/>
  <c r="E18" i="9" s="1"/>
  <c r="D18" i="9" s="1"/>
  <c r="F18" i="9" s="1"/>
  <c r="H18" i="9" s="1"/>
  <c r="Z10" i="9"/>
  <c r="AG385" i="9"/>
  <c r="AI384" i="9"/>
  <c r="Y386" i="9"/>
  <c r="AA385" i="9"/>
  <c r="E34" i="14"/>
  <c r="E11" i="12"/>
  <c r="F11" i="12"/>
  <c r="B12" i="12" s="1"/>
  <c r="N11" i="12"/>
  <c r="O11" i="12"/>
  <c r="H24" i="12"/>
  <c r="J24" i="12" s="1"/>
  <c r="A25" i="12"/>
  <c r="J80" i="19"/>
  <c r="K80" i="19" s="1"/>
  <c r="L80" i="19" s="1"/>
  <c r="I81" i="19"/>
  <c r="J81" i="19" s="1"/>
  <c r="K81" i="19" s="1"/>
  <c r="L81" i="19" s="1"/>
  <c r="J60" i="19"/>
  <c r="K60" i="19" s="1"/>
  <c r="L60" i="19" s="1"/>
  <c r="I61" i="19"/>
  <c r="J61" i="19" s="1"/>
  <c r="K61" i="19" s="1"/>
  <c r="L61" i="19" s="1"/>
  <c r="I41" i="19"/>
  <c r="J40" i="19"/>
  <c r="K40" i="19" s="1"/>
  <c r="L40" i="19" s="1"/>
  <c r="J100" i="19"/>
  <c r="K100" i="19" s="1"/>
  <c r="L100" i="19" s="1"/>
  <c r="I101" i="19"/>
  <c r="J101" i="19" s="1"/>
  <c r="K101" i="19" s="1"/>
  <c r="L101" i="19" s="1"/>
  <c r="I21" i="19"/>
  <c r="J21" i="19" s="1"/>
  <c r="K21" i="19" s="1"/>
  <c r="L21" i="19" s="1"/>
  <c r="J20" i="19"/>
  <c r="K20" i="19" s="1"/>
  <c r="L20" i="19" s="1"/>
  <c r="D41" i="13"/>
  <c r="I40" i="13"/>
  <c r="J40" i="13" s="1"/>
  <c r="H41" i="13" s="1"/>
  <c r="J34" i="10"/>
  <c r="L34" i="10"/>
  <c r="H35" i="10"/>
  <c r="I35" i="10" s="1"/>
  <c r="E35" i="10"/>
  <c r="B36" i="10"/>
  <c r="F36" i="10" s="1"/>
  <c r="AG9" i="12"/>
  <c r="AH9" i="12" s="1"/>
  <c r="AC10" i="12"/>
  <c r="AE10" i="12" s="1"/>
  <c r="T10" i="12"/>
  <c r="U10" i="12"/>
  <c r="AA11" i="12"/>
  <c r="K23" i="12"/>
  <c r="L23" i="12" s="1"/>
  <c r="G24" i="12"/>
  <c r="E34" i="13"/>
  <c r="F34" i="13" s="1"/>
  <c r="G34" i="13" s="1"/>
  <c r="C35" i="13" s="1"/>
  <c r="J39" i="4"/>
  <c r="K39" i="4" s="1"/>
  <c r="I40" i="4"/>
  <c r="J40" i="4" s="1"/>
  <c r="K40" i="4" s="1"/>
  <c r="E10" i="4" s="1" a="1"/>
  <c r="K40" i="10"/>
  <c r="A41" i="10"/>
  <c r="J40" i="10"/>
  <c r="I40" i="10"/>
  <c r="G40" i="10"/>
  <c r="D40" i="10"/>
  <c r="B40" i="10"/>
  <c r="E40" i="10"/>
  <c r="C40" i="10"/>
  <c r="H40" i="10"/>
  <c r="W10" i="9"/>
  <c r="X10" i="9" s="1"/>
  <c r="AK10" i="9" l="1"/>
  <c r="AJ10" i="9" s="1"/>
  <c r="AL10" i="9" s="1"/>
  <c r="AM10" i="9" s="1"/>
  <c r="AN10" i="9" s="1"/>
  <c r="AH11" i="9" s="1"/>
  <c r="M10" i="9"/>
  <c r="L10" i="9" s="1"/>
  <c r="N10" i="9" s="1"/>
  <c r="O10" i="9" s="1"/>
  <c r="P10" i="9" s="1"/>
  <c r="J11" i="9" s="1"/>
  <c r="L41" i="10"/>
  <c r="F41" i="10"/>
  <c r="P11" i="12"/>
  <c r="Q11" i="12" s="1"/>
  <c r="M12" i="12" s="1"/>
  <c r="N12" i="12" s="1"/>
  <c r="AD11" i="12"/>
  <c r="AF11" i="12" s="1"/>
  <c r="AB11" i="12"/>
  <c r="X12" i="12" s="1"/>
  <c r="AC10" i="9"/>
  <c r="AB10" i="9"/>
  <c r="AD10" i="9" s="1"/>
  <c r="B19" i="9"/>
  <c r="E19" i="9" s="1"/>
  <c r="D19" i="9" s="1"/>
  <c r="F19" i="9" s="1"/>
  <c r="H19" i="9" s="1"/>
  <c r="R11" i="9"/>
  <c r="U11" i="9" s="1"/>
  <c r="T11" i="9" s="1"/>
  <c r="V11" i="9" s="1"/>
  <c r="W11" i="9" s="1"/>
  <c r="AI385" i="9"/>
  <c r="AG386" i="9"/>
  <c r="Y387" i="9"/>
  <c r="AA386" i="9"/>
  <c r="G34" i="14"/>
  <c r="B35" i="14"/>
  <c r="C12" i="12"/>
  <c r="D12" i="12"/>
  <c r="E12" i="12" s="1"/>
  <c r="S11" i="12"/>
  <c r="U11" i="12" s="1"/>
  <c r="H25" i="12"/>
  <c r="J25" i="12" s="1"/>
  <c r="A26" i="12"/>
  <c r="N9" i="4"/>
  <c r="O9" i="4"/>
  <c r="N8" i="4"/>
  <c r="O8" i="4"/>
  <c r="J41" i="19"/>
  <c r="K41" i="19" s="1"/>
  <c r="L41" i="19" s="1"/>
  <c r="O10" i="4"/>
  <c r="N10" i="4"/>
  <c r="N6" i="4"/>
  <c r="O6" i="4"/>
  <c r="D42" i="13"/>
  <c r="I41" i="13"/>
  <c r="J41" i="13" s="1"/>
  <c r="H42" i="13" s="1"/>
  <c r="J35" i="10"/>
  <c r="L35" i="10"/>
  <c r="B37" i="10"/>
  <c r="F37" i="10" s="1"/>
  <c r="H36" i="10"/>
  <c r="I36" i="10" s="1"/>
  <c r="E36" i="10"/>
  <c r="AC11" i="12"/>
  <c r="AG10" i="12"/>
  <c r="AH10" i="12" s="1"/>
  <c r="R11" i="12"/>
  <c r="V10" i="12"/>
  <c r="W10" i="12" s="1"/>
  <c r="I24" i="12"/>
  <c r="K24" i="12"/>
  <c r="L24" i="12" s="1"/>
  <c r="G25" i="12"/>
  <c r="E35" i="13"/>
  <c r="F35" i="13" s="1"/>
  <c r="G35" i="13" s="1"/>
  <c r="C36" i="13" s="1"/>
  <c r="E11" i="4"/>
  <c r="G5" i="4"/>
  <c r="K41" i="10"/>
  <c r="A42" i="10"/>
  <c r="I41" i="10"/>
  <c r="G41" i="10"/>
  <c r="D41" i="10"/>
  <c r="B41" i="10"/>
  <c r="H41" i="10"/>
  <c r="E41" i="10"/>
  <c r="J41" i="10"/>
  <c r="C41" i="10"/>
  <c r="AK11" i="9" l="1"/>
  <c r="AJ11" i="9" s="1"/>
  <c r="AL11" i="9" s="1"/>
  <c r="AM11" i="9" s="1"/>
  <c r="AN11" i="9" s="1"/>
  <c r="AH12" i="9" s="1"/>
  <c r="M11" i="9"/>
  <c r="L11" i="9" s="1"/>
  <c r="N11" i="9" s="1"/>
  <c r="AE11" i="12"/>
  <c r="F12" i="12"/>
  <c r="B13" i="12" s="1"/>
  <c r="C13" i="12" s="1"/>
  <c r="D13" i="12" s="1"/>
  <c r="L42" i="10"/>
  <c r="F42" i="10"/>
  <c r="I25" i="12"/>
  <c r="Y12" i="12"/>
  <c r="Z12" i="12"/>
  <c r="C35" i="14"/>
  <c r="D35" i="14"/>
  <c r="E35" i="14" s="1"/>
  <c r="AE10" i="9"/>
  <c r="AF10" i="9" s="1"/>
  <c r="Z11" i="9" s="1"/>
  <c r="AC11" i="9" s="1"/>
  <c r="AB11" i="9" s="1"/>
  <c r="AD11" i="9" s="1"/>
  <c r="AE11" i="9" s="1"/>
  <c r="AF11" i="9" s="1"/>
  <c r="Z12" i="9" s="1"/>
  <c r="B20" i="9"/>
  <c r="E20" i="9" s="1"/>
  <c r="D20" i="9" s="1"/>
  <c r="F20" i="9" s="1"/>
  <c r="H20" i="9" s="1"/>
  <c r="AG387" i="9"/>
  <c r="AI386" i="9"/>
  <c r="Y388" i="9"/>
  <c r="AA387" i="9"/>
  <c r="T11" i="12"/>
  <c r="O12" i="12"/>
  <c r="P12" i="12" s="1"/>
  <c r="H26" i="12"/>
  <c r="J26" i="12" s="1"/>
  <c r="A27" i="12"/>
  <c r="N7" i="4"/>
  <c r="O7" i="4"/>
  <c r="I42" i="13"/>
  <c r="J42" i="13" s="1"/>
  <c r="H43" i="13" s="1"/>
  <c r="D43" i="13"/>
  <c r="E11" i="10" a="1"/>
  <c r="H37" i="10"/>
  <c r="I37" i="10" s="1"/>
  <c r="E37" i="10"/>
  <c r="J36" i="10"/>
  <c r="L36" i="10"/>
  <c r="E36" i="13"/>
  <c r="G6" i="4"/>
  <c r="E12" i="4"/>
  <c r="K42" i="10"/>
  <c r="A43" i="10"/>
  <c r="J42" i="10"/>
  <c r="H42" i="10"/>
  <c r="E42" i="10"/>
  <c r="C42" i="10"/>
  <c r="I42" i="10"/>
  <c r="G42" i="10"/>
  <c r="D42" i="10"/>
  <c r="B42" i="10"/>
  <c r="X11" i="9"/>
  <c r="AK12" i="9" l="1"/>
  <c r="AJ12" i="9" s="1"/>
  <c r="AL12" i="9" s="1"/>
  <c r="O11" i="9"/>
  <c r="P11" i="9" s="1"/>
  <c r="J12" i="9" s="1"/>
  <c r="AA12" i="12"/>
  <c r="AC12" i="12"/>
  <c r="AG11" i="12"/>
  <c r="AH11" i="12" s="1"/>
  <c r="L43" i="10"/>
  <c r="F43" i="10"/>
  <c r="K25" i="12"/>
  <c r="L25" i="12" s="1"/>
  <c r="C26" i="11" s="1" a="1"/>
  <c r="G26" i="12"/>
  <c r="I26" i="12" s="1"/>
  <c r="B21" i="9"/>
  <c r="E21" i="9" s="1"/>
  <c r="D21" i="9" s="1"/>
  <c r="F21" i="9" s="1"/>
  <c r="H21" i="9" s="1"/>
  <c r="B22" i="9" s="1"/>
  <c r="E22" i="9" s="1"/>
  <c r="D22" i="9" s="1"/>
  <c r="F22" i="9" s="1"/>
  <c r="H22" i="9" s="1"/>
  <c r="B23" i="9" s="1"/>
  <c r="E23" i="9" s="1"/>
  <c r="D23" i="9" s="1"/>
  <c r="F23" i="9" s="1"/>
  <c r="H23" i="9" s="1"/>
  <c r="B24" i="9" s="1"/>
  <c r="E24" i="9" s="1"/>
  <c r="D24" i="9" s="1"/>
  <c r="F24" i="9" s="1"/>
  <c r="H24" i="9" s="1"/>
  <c r="B25" i="9" s="1"/>
  <c r="E25" i="9" s="1"/>
  <c r="D25" i="9" s="1"/>
  <c r="F25" i="9" s="1"/>
  <c r="H25" i="9" s="1"/>
  <c r="B26" i="9" s="1"/>
  <c r="E26" i="9" s="1"/>
  <c r="D26" i="9" s="1"/>
  <c r="F26" i="9" s="1"/>
  <c r="H26" i="9" s="1"/>
  <c r="B27" i="9" s="1"/>
  <c r="B36" i="14"/>
  <c r="G35" i="14"/>
  <c r="R12" i="9"/>
  <c r="U12" i="9" s="1"/>
  <c r="T12" i="9" s="1"/>
  <c r="V12" i="9" s="1"/>
  <c r="W12" i="9" s="1"/>
  <c r="AI387" i="9"/>
  <c r="AG388" i="9"/>
  <c r="Y389" i="9"/>
  <c r="AA388" i="9"/>
  <c r="R12" i="12"/>
  <c r="V11" i="12"/>
  <c r="W11" i="12" s="1"/>
  <c r="Q12" i="12"/>
  <c r="M13" i="12" s="1"/>
  <c r="S12" i="12"/>
  <c r="H27" i="12"/>
  <c r="J27" i="12" s="1"/>
  <c r="A28" i="12"/>
  <c r="I43" i="13"/>
  <c r="J43" i="13" s="1"/>
  <c r="H44" i="13" s="1"/>
  <c r="D44" i="13"/>
  <c r="J37" i="10"/>
  <c r="L37" i="10"/>
  <c r="F13" i="12"/>
  <c r="E13" i="12"/>
  <c r="F36" i="13"/>
  <c r="G36" i="13" s="1"/>
  <c r="C37" i="13" s="1"/>
  <c r="K43" i="10"/>
  <c r="A44" i="10"/>
  <c r="J43" i="10"/>
  <c r="H43" i="10"/>
  <c r="E43" i="10"/>
  <c r="C43" i="10"/>
  <c r="I43" i="10"/>
  <c r="G43" i="10"/>
  <c r="D43" i="10"/>
  <c r="B43" i="10"/>
  <c r="AC12" i="9"/>
  <c r="AB12" i="9" s="1"/>
  <c r="AD12" i="9" s="1"/>
  <c r="AE12" i="9" s="1"/>
  <c r="AF12" i="9" s="1"/>
  <c r="AM12" i="9" l="1"/>
  <c r="AN12" i="9" s="1"/>
  <c r="AH13" i="9" s="1"/>
  <c r="M12" i="9"/>
  <c r="L12" i="9" s="1"/>
  <c r="N12" i="9" s="1"/>
  <c r="O12" i="9" s="1"/>
  <c r="P12" i="9" s="1"/>
  <c r="J13" i="9" s="1"/>
  <c r="AB12" i="12"/>
  <c r="X13" i="12" s="1"/>
  <c r="AD12" i="12"/>
  <c r="L44" i="10"/>
  <c r="F44" i="10"/>
  <c r="G27" i="12"/>
  <c r="I27" i="12" s="1"/>
  <c r="K26" i="12"/>
  <c r="L26" i="12" s="1"/>
  <c r="C36" i="14"/>
  <c r="D36" i="14"/>
  <c r="E27" i="9"/>
  <c r="D27" i="9" s="1"/>
  <c r="F27" i="9" s="1"/>
  <c r="H27" i="9" s="1"/>
  <c r="Z13" i="9"/>
  <c r="AC13" i="9" s="1"/>
  <c r="AB13" i="9" s="1"/>
  <c r="AD13" i="9" s="1"/>
  <c r="AE13" i="9" s="1"/>
  <c r="AF13" i="9" s="1"/>
  <c r="Z14" i="9" s="1"/>
  <c r="AI388" i="9"/>
  <c r="AG389" i="9"/>
  <c r="Y390" i="9"/>
  <c r="AA389" i="9"/>
  <c r="N13" i="12"/>
  <c r="O13" i="12" s="1"/>
  <c r="T12" i="12"/>
  <c r="U12" i="12"/>
  <c r="H28" i="12"/>
  <c r="J28" i="12" s="1"/>
  <c r="A29" i="12"/>
  <c r="D45" i="13"/>
  <c r="I44" i="13"/>
  <c r="J44" i="13" s="1"/>
  <c r="H45" i="13" s="1"/>
  <c r="B14" i="12"/>
  <c r="B25" i="11" a="1"/>
  <c r="E37" i="13"/>
  <c r="K44" i="10"/>
  <c r="A45" i="10"/>
  <c r="J44" i="10"/>
  <c r="H44" i="10"/>
  <c r="E44" i="10"/>
  <c r="C44" i="10"/>
  <c r="D44" i="10"/>
  <c r="B44" i="10"/>
  <c r="I44" i="10"/>
  <c r="G44" i="10"/>
  <c r="X12" i="9"/>
  <c r="AK13" i="9" l="1"/>
  <c r="AJ13" i="9" s="1"/>
  <c r="AL13" i="9" s="1"/>
  <c r="AM13" i="9" s="1"/>
  <c r="AN13" i="9" s="1"/>
  <c r="AH14" i="9" s="1"/>
  <c r="M13" i="9"/>
  <c r="L13" i="9" s="1"/>
  <c r="N13" i="9" s="1"/>
  <c r="Y13" i="12"/>
  <c r="Z13" i="12" s="1"/>
  <c r="E36" i="14"/>
  <c r="AE12" i="12"/>
  <c r="AF12" i="12"/>
  <c r="L45" i="10"/>
  <c r="F45" i="10"/>
  <c r="B37" i="14"/>
  <c r="G36" i="14"/>
  <c r="B28" i="9"/>
  <c r="R13" i="9"/>
  <c r="U13" i="9" s="1"/>
  <c r="T13" i="9" s="1"/>
  <c r="V13" i="9" s="1"/>
  <c r="W13" i="9" s="1"/>
  <c r="X13" i="9" s="1"/>
  <c r="R14" i="9" s="1"/>
  <c r="AI389" i="9"/>
  <c r="AG390" i="9"/>
  <c r="Y391" i="9"/>
  <c r="AA390" i="9"/>
  <c r="K27" i="12"/>
  <c r="L27" i="12" s="1"/>
  <c r="G28" i="12"/>
  <c r="I28" i="12" s="1"/>
  <c r="R13" i="12"/>
  <c r="V12" i="12"/>
  <c r="W12" i="12" s="1"/>
  <c r="P13" i="12"/>
  <c r="Q13" i="12" s="1"/>
  <c r="S13" i="12"/>
  <c r="U13" i="12" s="1"/>
  <c r="H29" i="12"/>
  <c r="J29" i="12" s="1"/>
  <c r="A30" i="12"/>
  <c r="I45" i="13"/>
  <c r="J45" i="13" s="1"/>
  <c r="H46" i="13" s="1"/>
  <c r="D46" i="13"/>
  <c r="C14" i="12"/>
  <c r="D14" i="12" s="1"/>
  <c r="F37" i="13"/>
  <c r="G37" i="13" s="1"/>
  <c r="C38" i="13" s="1"/>
  <c r="K45" i="10"/>
  <c r="A46" i="10"/>
  <c r="J45" i="10"/>
  <c r="H45" i="10"/>
  <c r="E45" i="10"/>
  <c r="C45" i="10"/>
  <c r="D45" i="10"/>
  <c r="B45" i="10"/>
  <c r="I45" i="10"/>
  <c r="G45" i="10"/>
  <c r="AC14" i="9"/>
  <c r="AB14" i="9" s="1"/>
  <c r="AD14" i="9" s="1"/>
  <c r="AE14" i="9" s="1"/>
  <c r="AK14" i="9" l="1"/>
  <c r="AJ14" i="9" s="1"/>
  <c r="AL14" i="9" s="1"/>
  <c r="O13" i="9"/>
  <c r="P13" i="9" s="1"/>
  <c r="J14" i="9" s="1"/>
  <c r="AA13" i="12"/>
  <c r="AG12" i="12"/>
  <c r="AH12" i="12" s="1"/>
  <c r="AC13" i="12"/>
  <c r="G29" i="12"/>
  <c r="K28" i="12"/>
  <c r="L28" i="12" s="1"/>
  <c r="L46" i="10"/>
  <c r="F46" i="10"/>
  <c r="I29" i="12"/>
  <c r="C37" i="14"/>
  <c r="E37" i="14" s="1"/>
  <c r="D37" i="14"/>
  <c r="E28" i="9"/>
  <c r="D28" i="9" s="1"/>
  <c r="F28" i="9" s="1"/>
  <c r="H28" i="9" s="1"/>
  <c r="AG391" i="9"/>
  <c r="AI390" i="9"/>
  <c r="Y392" i="9"/>
  <c r="AA391" i="9"/>
  <c r="M14" i="12"/>
  <c r="D25" i="11" a="1"/>
  <c r="T13" i="12"/>
  <c r="F14" i="12"/>
  <c r="B15" i="12" s="1"/>
  <c r="E14" i="12"/>
  <c r="H30" i="12"/>
  <c r="J30" i="12" s="1"/>
  <c r="A31" i="12"/>
  <c r="D47" i="13"/>
  <c r="I46" i="13"/>
  <c r="J46" i="13" s="1"/>
  <c r="H47" i="13" s="1"/>
  <c r="E38" i="13"/>
  <c r="K46" i="10"/>
  <c r="A47" i="10"/>
  <c r="J46" i="10"/>
  <c r="H46" i="10"/>
  <c r="E46" i="10"/>
  <c r="C46" i="10"/>
  <c r="I46" i="10"/>
  <c r="G46" i="10"/>
  <c r="D46" i="10"/>
  <c r="B46" i="10"/>
  <c r="U14" i="9"/>
  <c r="T14" i="9" s="1"/>
  <c r="V14" i="9" s="1"/>
  <c r="W14" i="9" s="1"/>
  <c r="X14" i="9" s="1"/>
  <c r="AF14" i="9"/>
  <c r="AM14" i="9" l="1"/>
  <c r="AN14" i="9" s="1"/>
  <c r="AH15" i="9" s="1"/>
  <c r="AB13" i="12"/>
  <c r="AD13" i="12"/>
  <c r="K29" i="12"/>
  <c r="L29" i="12" s="1"/>
  <c r="G30" i="12"/>
  <c r="I30" i="12" s="1"/>
  <c r="L47" i="10"/>
  <c r="F47" i="10"/>
  <c r="M14" i="9"/>
  <c r="L14" i="9" s="1"/>
  <c r="N14" i="9" s="1"/>
  <c r="O14" i="9" s="1"/>
  <c r="B29" i="9"/>
  <c r="E29" i="9" s="1"/>
  <c r="D29" i="9" s="1"/>
  <c r="F29" i="9" s="1"/>
  <c r="H29" i="9" s="1"/>
  <c r="R15" i="9"/>
  <c r="U15" i="9" s="1"/>
  <c r="T15" i="9" s="1"/>
  <c r="V15" i="9" s="1"/>
  <c r="W15" i="9" s="1"/>
  <c r="X15" i="9" s="1"/>
  <c r="Z15" i="9"/>
  <c r="AC15" i="9" s="1"/>
  <c r="AB15" i="9" s="1"/>
  <c r="AD15" i="9" s="1"/>
  <c r="AG392" i="9"/>
  <c r="AI391" i="9"/>
  <c r="Y393" i="9"/>
  <c r="AA392" i="9"/>
  <c r="N14" i="12"/>
  <c r="R14" i="12"/>
  <c r="V13" i="12"/>
  <c r="W13" i="12" s="1"/>
  <c r="E25" i="11" s="1" a="1"/>
  <c r="C15" i="12"/>
  <c r="D15" i="12"/>
  <c r="H31" i="12"/>
  <c r="J31" i="12" s="1"/>
  <c r="A32" i="12"/>
  <c r="I47" i="13"/>
  <c r="J47" i="13" s="1"/>
  <c r="H48" i="13" s="1"/>
  <c r="D48" i="13"/>
  <c r="G37" i="14"/>
  <c r="B38" i="14"/>
  <c r="F38" i="13"/>
  <c r="G38" i="13" s="1"/>
  <c r="C39" i="13" s="1"/>
  <c r="K47" i="10"/>
  <c r="J47" i="10"/>
  <c r="H47" i="10"/>
  <c r="E47" i="10"/>
  <c r="C47" i="10"/>
  <c r="G47" i="10"/>
  <c r="D47" i="10"/>
  <c r="E10" i="10" s="1"/>
  <c r="E12" i="10" s="1"/>
  <c r="E13" i="10" s="1"/>
  <c r="E14" i="10" s="1"/>
  <c r="B47" i="10"/>
  <c r="I47" i="10"/>
  <c r="AK15" i="9" l="1"/>
  <c r="AJ15" i="9" s="1"/>
  <c r="AL15" i="9" s="1"/>
  <c r="X14" i="12"/>
  <c r="F25" i="11" a="1"/>
  <c r="AE13" i="12"/>
  <c r="AF13" i="12"/>
  <c r="P14" i="9"/>
  <c r="J15" i="9" s="1"/>
  <c r="B30" i="9"/>
  <c r="E30" i="9" s="1"/>
  <c r="D30" i="9" s="1"/>
  <c r="F30" i="9" s="1"/>
  <c r="H30" i="9" s="1"/>
  <c r="R16" i="9"/>
  <c r="U16" i="9" s="1"/>
  <c r="T16" i="9" s="1"/>
  <c r="V16" i="9" s="1"/>
  <c r="W16" i="9" s="1"/>
  <c r="X16" i="9" s="1"/>
  <c r="AG393" i="9"/>
  <c r="AI392" i="9"/>
  <c r="Y394" i="9"/>
  <c r="AA393" i="9"/>
  <c r="K30" i="12"/>
  <c r="L30" i="12" s="1"/>
  <c r="G31" i="12"/>
  <c r="I31" i="12" s="1"/>
  <c r="O14" i="12"/>
  <c r="P14" i="12" s="1"/>
  <c r="E15" i="12"/>
  <c r="F15" i="12"/>
  <c r="B16" i="12" s="1"/>
  <c r="H32" i="12"/>
  <c r="J32" i="12" s="1"/>
  <c r="A33" i="12"/>
  <c r="D49" i="13"/>
  <c r="I48" i="13"/>
  <c r="J48" i="13" s="1"/>
  <c r="H49" i="13" s="1"/>
  <c r="C38" i="14"/>
  <c r="D38" i="14"/>
  <c r="E39" i="13"/>
  <c r="F39" i="13" s="1"/>
  <c r="AE15" i="9"/>
  <c r="AF15" i="9" s="1"/>
  <c r="AM15" i="9" l="1"/>
  <c r="AN15" i="9" s="1"/>
  <c r="AH16" i="9" s="1"/>
  <c r="M15" i="9"/>
  <c r="L15" i="9" s="1"/>
  <c r="N15" i="9" s="1"/>
  <c r="O15" i="9"/>
  <c r="P15" i="9" s="1"/>
  <c r="J16" i="9" s="1"/>
  <c r="Y14" i="12"/>
  <c r="AG13" i="12"/>
  <c r="AH13" i="12" s="1"/>
  <c r="G25" i="11" s="1" a="1"/>
  <c r="H25" i="11" s="1"/>
  <c r="AC14" i="12"/>
  <c r="B31" i="9"/>
  <c r="E31" i="9" s="1"/>
  <c r="D31" i="9" s="1"/>
  <c r="F31" i="9" s="1"/>
  <c r="H31" i="9" s="1"/>
  <c r="B32" i="9" s="1"/>
  <c r="E32" i="9" s="1"/>
  <c r="D32" i="9" s="1"/>
  <c r="F32" i="9" s="1"/>
  <c r="H32" i="9" s="1"/>
  <c r="B33" i="9" s="1"/>
  <c r="E33" i="9" s="1"/>
  <c r="D33" i="9" s="1"/>
  <c r="F33" i="9" s="1"/>
  <c r="H33" i="9" s="1"/>
  <c r="R17" i="9"/>
  <c r="U17" i="9" s="1"/>
  <c r="T17" i="9" s="1"/>
  <c r="V17" i="9" s="1"/>
  <c r="W17" i="9" s="1"/>
  <c r="X17" i="9" s="1"/>
  <c r="R18" i="9" s="1"/>
  <c r="Z16" i="9"/>
  <c r="AC16" i="9" s="1"/>
  <c r="AB16" i="9" s="1"/>
  <c r="AD16" i="9" s="1"/>
  <c r="AI393" i="9"/>
  <c r="AG394" i="9"/>
  <c r="Y395" i="9"/>
  <c r="AA394" i="9"/>
  <c r="Q14" i="12"/>
  <c r="M15" i="12" s="1"/>
  <c r="S14" i="12"/>
  <c r="C16" i="12"/>
  <c r="D16" i="12"/>
  <c r="E16" i="12" s="1"/>
  <c r="H33" i="12"/>
  <c r="J33" i="12" s="1"/>
  <c r="A34" i="12"/>
  <c r="I49" i="13"/>
  <c r="J49" i="13" s="1"/>
  <c r="H50" i="13" s="1"/>
  <c r="D50" i="13"/>
  <c r="I50" i="13" s="1"/>
  <c r="E38" i="14"/>
  <c r="G39" i="13"/>
  <c r="C40" i="13" s="1"/>
  <c r="E40" i="13" s="1"/>
  <c r="K31" i="12"/>
  <c r="L31" i="12" s="1"/>
  <c r="G32" i="12"/>
  <c r="I32" i="12" s="1"/>
  <c r="M16" i="9" l="1"/>
  <c r="L16" i="9" s="1"/>
  <c r="N16" i="9" s="1"/>
  <c r="O16" i="9" s="1"/>
  <c r="Z14" i="12"/>
  <c r="F16" i="12"/>
  <c r="B17" i="12" s="1"/>
  <c r="C17" i="12" s="1"/>
  <c r="D17" i="12" s="1"/>
  <c r="E17" i="12" s="1"/>
  <c r="B34" i="9"/>
  <c r="E34" i="9" s="1"/>
  <c r="D34" i="9" s="1"/>
  <c r="F34" i="9" s="1"/>
  <c r="H34" i="9" s="1"/>
  <c r="B35" i="9" s="1"/>
  <c r="E35" i="9" s="1"/>
  <c r="D35" i="9" s="1"/>
  <c r="F35" i="9" s="1"/>
  <c r="H35" i="9" s="1"/>
  <c r="AK16" i="9"/>
  <c r="AJ16" i="9"/>
  <c r="AL16" i="9" s="1"/>
  <c r="AM16" i="9" s="1"/>
  <c r="AN16" i="9" s="1"/>
  <c r="AH17" i="9" s="1"/>
  <c r="AG395" i="9"/>
  <c r="AI394" i="9"/>
  <c r="Y396" i="9"/>
  <c r="AA395" i="9"/>
  <c r="J50" i="13"/>
  <c r="K32" i="12"/>
  <c r="L32" i="12" s="1"/>
  <c r="G33" i="12"/>
  <c r="I33" i="12" s="1"/>
  <c r="N15" i="12"/>
  <c r="T14" i="12"/>
  <c r="U14" i="12"/>
  <c r="H34" i="12"/>
  <c r="J34" i="12" s="1"/>
  <c r="A35" i="12"/>
  <c r="G38" i="14"/>
  <c r="B39" i="14"/>
  <c r="F40" i="13"/>
  <c r="G40" i="13" s="1"/>
  <c r="C41" i="13" s="1"/>
  <c r="U18" i="9"/>
  <c r="T18" i="9" s="1"/>
  <c r="V18" i="9" s="1"/>
  <c r="W18" i="9" s="1"/>
  <c r="X18" i="9" s="1"/>
  <c r="AE16" i="9"/>
  <c r="AF16" i="9" s="1"/>
  <c r="AK17" i="9" l="1"/>
  <c r="AJ17" i="9" s="1"/>
  <c r="AL17" i="9" s="1"/>
  <c r="AM17" i="9" s="1"/>
  <c r="AN17" i="9" s="1"/>
  <c r="AH18" i="9" s="1"/>
  <c r="P16" i="9"/>
  <c r="J17" i="9" s="1"/>
  <c r="AA14" i="12"/>
  <c r="B36" i="9"/>
  <c r="E36" i="9" s="1"/>
  <c r="D36" i="9" s="1"/>
  <c r="F36" i="9" s="1"/>
  <c r="H36" i="9" s="1"/>
  <c r="R19" i="9"/>
  <c r="U19" i="9" s="1"/>
  <c r="T19" i="9" s="1"/>
  <c r="V19" i="9" s="1"/>
  <c r="W19" i="9" s="1"/>
  <c r="Z17" i="9"/>
  <c r="AC17" i="9" s="1"/>
  <c r="AB17" i="9" s="1"/>
  <c r="AD17" i="9" s="1"/>
  <c r="AE17" i="9" s="1"/>
  <c r="AF17" i="9" s="1"/>
  <c r="Z18" i="9" s="1"/>
  <c r="AG396" i="9"/>
  <c r="AI395" i="9"/>
  <c r="Y397" i="9"/>
  <c r="AA396" i="9"/>
  <c r="G34" i="12"/>
  <c r="I34" i="12" s="1"/>
  <c r="K33" i="12"/>
  <c r="L33" i="12" s="1"/>
  <c r="V14" i="12"/>
  <c r="W14" i="12" s="1"/>
  <c r="R15" i="12"/>
  <c r="F17" i="12"/>
  <c r="B18" i="12" s="1"/>
  <c r="O15" i="12"/>
  <c r="P15" i="12" s="1"/>
  <c r="Q15" i="12" s="1"/>
  <c r="M16" i="12" s="1"/>
  <c r="H35" i="12"/>
  <c r="J35" i="12" s="1"/>
  <c r="A36" i="12"/>
  <c r="D39" i="14"/>
  <c r="C39" i="14"/>
  <c r="E39" i="14" s="1"/>
  <c r="E41" i="13"/>
  <c r="AK18" i="9" l="1"/>
  <c r="AJ18" i="9" s="1"/>
  <c r="AL18" i="9" s="1"/>
  <c r="AM18" i="9" s="1"/>
  <c r="AN18" i="9" s="1"/>
  <c r="AH19" i="9" s="1"/>
  <c r="M17" i="9"/>
  <c r="L17" i="9" s="1"/>
  <c r="N17" i="9" s="1"/>
  <c r="O17" i="9" s="1"/>
  <c r="P17" i="9" s="1"/>
  <c r="J18" i="9" s="1"/>
  <c r="AB14" i="12"/>
  <c r="X15" i="12" s="1"/>
  <c r="AD14" i="12"/>
  <c r="C18" i="12"/>
  <c r="D18" i="12"/>
  <c r="B37" i="9"/>
  <c r="AG397" i="9"/>
  <c r="AI396" i="9"/>
  <c r="Y398" i="9"/>
  <c r="AA397" i="9"/>
  <c r="G35" i="12"/>
  <c r="I35" i="12" s="1"/>
  <c r="K34" i="12"/>
  <c r="L34" i="12" s="1"/>
  <c r="N16" i="12"/>
  <c r="S15" i="12"/>
  <c r="H36" i="12"/>
  <c r="J36" i="12" s="1"/>
  <c r="A37" i="12"/>
  <c r="B40" i="14"/>
  <c r="G39" i="14"/>
  <c r="F41" i="13"/>
  <c r="G41" i="13" s="1"/>
  <c r="C42" i="13" s="1"/>
  <c r="AC18" i="9"/>
  <c r="AB18" i="9" s="1"/>
  <c r="AD18" i="9" s="1"/>
  <c r="X19" i="9"/>
  <c r="AK19" i="9" l="1"/>
  <c r="AJ19" i="9" s="1"/>
  <c r="AL19" i="9" s="1"/>
  <c r="AM19" i="9"/>
  <c r="M18" i="9"/>
  <c r="L18" i="9" s="1"/>
  <c r="N18" i="9" s="1"/>
  <c r="O18" i="9" s="1"/>
  <c r="P18" i="9" s="1"/>
  <c r="J19" i="9" s="1"/>
  <c r="Y15" i="12"/>
  <c r="AA15" i="12" s="1"/>
  <c r="Z15" i="12"/>
  <c r="AF14" i="12"/>
  <c r="AE14" i="12"/>
  <c r="E18" i="12"/>
  <c r="F18" i="12"/>
  <c r="B19" i="12" s="1"/>
  <c r="C19" i="12" s="1"/>
  <c r="D19" i="12" s="1"/>
  <c r="E37" i="9"/>
  <c r="D37" i="9"/>
  <c r="F37" i="9" s="1"/>
  <c r="H37" i="9" s="1"/>
  <c r="R20" i="9"/>
  <c r="AI397" i="9"/>
  <c r="AG398" i="9"/>
  <c r="Y399" i="9"/>
  <c r="AA398" i="9"/>
  <c r="T15" i="12"/>
  <c r="U15" i="12"/>
  <c r="O16" i="12"/>
  <c r="P16" i="12" s="1"/>
  <c r="H37" i="12"/>
  <c r="J37" i="12" s="1"/>
  <c r="A38" i="12"/>
  <c r="D40" i="14"/>
  <c r="C40" i="14"/>
  <c r="K35" i="12"/>
  <c r="L35" i="12" s="1"/>
  <c r="G36" i="12"/>
  <c r="I36" i="12" s="1"/>
  <c r="E42" i="13"/>
  <c r="F42" i="13" s="1"/>
  <c r="G42" i="13" s="1"/>
  <c r="C43" i="13" s="1"/>
  <c r="AE18" i="9"/>
  <c r="AF18" i="9" s="1"/>
  <c r="AN19" i="9" l="1"/>
  <c r="AH20" i="9" s="1"/>
  <c r="AG14" i="12"/>
  <c r="AH14" i="12" s="1"/>
  <c r="AC15" i="12"/>
  <c r="AB15" i="12"/>
  <c r="X16" i="12" s="1"/>
  <c r="AD15" i="12"/>
  <c r="AF15" i="12" s="1"/>
  <c r="G37" i="12"/>
  <c r="K36" i="12"/>
  <c r="L36" i="12" s="1"/>
  <c r="M19" i="9"/>
  <c r="L19" i="9"/>
  <c r="N19" i="9" s="1"/>
  <c r="O19" i="9" s="1"/>
  <c r="P19" i="9" s="1"/>
  <c r="U20" i="9"/>
  <c r="T20" i="9"/>
  <c r="V20" i="9" s="1"/>
  <c r="W20" i="9" s="1"/>
  <c r="X20" i="9" s="1"/>
  <c r="R21" i="9" s="1"/>
  <c r="E40" i="14"/>
  <c r="B38" i="9"/>
  <c r="E38" i="9" s="1"/>
  <c r="D38" i="9" s="1"/>
  <c r="F38" i="9" s="1"/>
  <c r="H38" i="9" s="1"/>
  <c r="Z19" i="9"/>
  <c r="AC19" i="9" s="1"/>
  <c r="AB19" i="9" s="1"/>
  <c r="AD19" i="9" s="1"/>
  <c r="AE19" i="9" s="1"/>
  <c r="AF19" i="9" s="1"/>
  <c r="Z20" i="9" s="1"/>
  <c r="AG399" i="9"/>
  <c r="AI398" i="9"/>
  <c r="Y400" i="9"/>
  <c r="AA399" i="9"/>
  <c r="V15" i="12"/>
  <c r="W15" i="12" s="1"/>
  <c r="R16" i="12"/>
  <c r="T16" i="12" s="1"/>
  <c r="Q16" i="12"/>
  <c r="M17" i="12" s="1"/>
  <c r="S16" i="12"/>
  <c r="U16" i="12" s="1"/>
  <c r="F19" i="12"/>
  <c r="B20" i="12" s="1"/>
  <c r="E19" i="12"/>
  <c r="H38" i="12"/>
  <c r="J38" i="12" s="1"/>
  <c r="A39" i="12"/>
  <c r="C20" i="12"/>
  <c r="I37" i="12"/>
  <c r="E43" i="13"/>
  <c r="AK20" i="9" l="1"/>
  <c r="AJ20" i="9" s="1"/>
  <c r="AL20" i="9" s="1"/>
  <c r="AM20" i="9" s="1"/>
  <c r="AN20" i="9" s="1"/>
  <c r="AH21" i="9" s="1"/>
  <c r="Y16" i="12"/>
  <c r="Z16" i="12"/>
  <c r="AE15" i="12"/>
  <c r="U21" i="9"/>
  <c r="T21" i="9" s="1"/>
  <c r="V21" i="9" s="1"/>
  <c r="G40" i="14"/>
  <c r="B41" i="14"/>
  <c r="C41" i="14" s="1"/>
  <c r="B39" i="9"/>
  <c r="E39" i="9" s="1"/>
  <c r="D39" i="9" s="1"/>
  <c r="F39" i="9" s="1"/>
  <c r="H39" i="9" s="1"/>
  <c r="J20" i="9"/>
  <c r="AG400" i="9"/>
  <c r="AI399" i="9"/>
  <c r="Y401" i="9"/>
  <c r="AA400" i="9"/>
  <c r="R17" i="12"/>
  <c r="V16" i="12"/>
  <c r="W16" i="12" s="1"/>
  <c r="N17" i="12"/>
  <c r="O17" i="12" s="1"/>
  <c r="H39" i="12"/>
  <c r="J39" i="12" s="1"/>
  <c r="A40" i="12"/>
  <c r="D41" i="14"/>
  <c r="D20" i="12"/>
  <c r="K37" i="12"/>
  <c r="L37" i="12" s="1"/>
  <c r="C27" i="11" s="1" a="1"/>
  <c r="G38" i="12"/>
  <c r="I38" i="12" s="1"/>
  <c r="F43" i="13"/>
  <c r="G43" i="13" s="1"/>
  <c r="C44" i="13" s="1"/>
  <c r="AC20" i="9"/>
  <c r="AB20" i="9" s="1"/>
  <c r="AD20" i="9" s="1"/>
  <c r="AE20" i="9" s="1"/>
  <c r="M20" i="9" l="1"/>
  <c r="L20" i="9" s="1"/>
  <c r="N20" i="9" s="1"/>
  <c r="O20" i="9"/>
  <c r="P20" i="9" s="1"/>
  <c r="AG15" i="12"/>
  <c r="AH15" i="12" s="1"/>
  <c r="AC16" i="12"/>
  <c r="AA16" i="12"/>
  <c r="AK21" i="9"/>
  <c r="AJ21" i="9"/>
  <c r="AL21" i="9" s="1"/>
  <c r="AM21" i="9" s="1"/>
  <c r="AN21" i="9" s="1"/>
  <c r="W21" i="9"/>
  <c r="X21" i="9" s="1"/>
  <c r="R22" i="9" s="1"/>
  <c r="B40" i="9"/>
  <c r="E40" i="9" s="1"/>
  <c r="D40" i="9" s="1"/>
  <c r="F40" i="9" s="1"/>
  <c r="H40" i="9" s="1"/>
  <c r="AI400" i="9"/>
  <c r="AG401" i="9"/>
  <c r="Y402" i="9"/>
  <c r="AA401" i="9"/>
  <c r="E41" i="14"/>
  <c r="P17" i="12"/>
  <c r="H40" i="12"/>
  <c r="J40" i="12" s="1"/>
  <c r="A41" i="12"/>
  <c r="E20" i="12"/>
  <c r="F20" i="12"/>
  <c r="B21" i="12" s="1"/>
  <c r="K38" i="12"/>
  <c r="L38" i="12" s="1"/>
  <c r="G39" i="12"/>
  <c r="I39" i="12" s="1"/>
  <c r="E44" i="13"/>
  <c r="F44" i="13" s="1"/>
  <c r="G44" i="13" s="1"/>
  <c r="C45" i="13" s="1"/>
  <c r="AF20" i="9"/>
  <c r="AB16" i="12" l="1"/>
  <c r="X17" i="12" s="1"/>
  <c r="AD16" i="12"/>
  <c r="U22" i="9"/>
  <c r="T22" i="9" s="1"/>
  <c r="V22" i="9" s="1"/>
  <c r="W22" i="9" s="1"/>
  <c r="X22" i="9" s="1"/>
  <c r="R23" i="9" s="1"/>
  <c r="U23" i="9" s="1"/>
  <c r="T23" i="9" s="1"/>
  <c r="V23" i="9" s="1"/>
  <c r="W23" i="9" s="1"/>
  <c r="X23" i="9" s="1"/>
  <c r="R24" i="9" s="1"/>
  <c r="B41" i="9"/>
  <c r="E41" i="9" s="1"/>
  <c r="D41" i="9" s="1"/>
  <c r="F41" i="9" s="1"/>
  <c r="H41" i="9" s="1"/>
  <c r="B42" i="9" s="1"/>
  <c r="E42" i="9" s="1"/>
  <c r="D42" i="9" s="1"/>
  <c r="F42" i="9" s="1"/>
  <c r="H42" i="9" s="1"/>
  <c r="G41" i="14"/>
  <c r="B42" i="14"/>
  <c r="AH22" i="9"/>
  <c r="Z21" i="9"/>
  <c r="AC21" i="9" s="1"/>
  <c r="AB21" i="9" s="1"/>
  <c r="AD21" i="9" s="1"/>
  <c r="J21" i="9"/>
  <c r="AG402" i="9"/>
  <c r="AI401" i="9"/>
  <c r="Y403" i="9"/>
  <c r="AA402" i="9"/>
  <c r="G40" i="12"/>
  <c r="I40" i="12" s="1"/>
  <c r="K39" i="12"/>
  <c r="L39" i="12" s="1"/>
  <c r="S17" i="12"/>
  <c r="Q17" i="12"/>
  <c r="M18" i="12" s="1"/>
  <c r="H41" i="12"/>
  <c r="J41" i="12" s="1"/>
  <c r="A42" i="12"/>
  <c r="D42" i="14"/>
  <c r="C42" i="14"/>
  <c r="E42" i="14" s="1"/>
  <c r="C21" i="12"/>
  <c r="D21" i="12"/>
  <c r="E21" i="12" s="1"/>
  <c r="E45" i="13"/>
  <c r="F45" i="13" s="1"/>
  <c r="G45" i="13" s="1"/>
  <c r="C46" i="13" s="1"/>
  <c r="Y17" i="12" l="1"/>
  <c r="Z17" i="12"/>
  <c r="AA17" i="12"/>
  <c r="AB17" i="12" s="1"/>
  <c r="X18" i="12" s="1"/>
  <c r="AE16" i="12"/>
  <c r="AF16" i="12"/>
  <c r="AK22" i="9"/>
  <c r="AJ22" i="9"/>
  <c r="AL22" i="9" s="1"/>
  <c r="AM22" i="9" s="1"/>
  <c r="AN22" i="9" s="1"/>
  <c r="AH23" i="9" s="1"/>
  <c r="M21" i="9"/>
  <c r="L21" i="9" s="1"/>
  <c r="N21" i="9" s="1"/>
  <c r="B43" i="9"/>
  <c r="E43" i="9" s="1"/>
  <c r="D43" i="9" s="1"/>
  <c r="F43" i="9" s="1"/>
  <c r="H43" i="9" s="1"/>
  <c r="AG403" i="9"/>
  <c r="AI402" i="9"/>
  <c r="Y404" i="9"/>
  <c r="AA403" i="9"/>
  <c r="K40" i="12"/>
  <c r="L40" i="12" s="1"/>
  <c r="G41" i="12"/>
  <c r="I41" i="12" s="1"/>
  <c r="U17" i="12"/>
  <c r="T17" i="12"/>
  <c r="N18" i="12"/>
  <c r="O18" i="12"/>
  <c r="P18" i="12" s="1"/>
  <c r="H42" i="12"/>
  <c r="J42" i="12" s="1"/>
  <c r="A43" i="12"/>
  <c r="B43" i="14"/>
  <c r="G42" i="14"/>
  <c r="F21" i="12"/>
  <c r="B22" i="12" s="1"/>
  <c r="E46" i="13"/>
  <c r="F46" i="13" s="1"/>
  <c r="AE21" i="9"/>
  <c r="AF21" i="9" s="1"/>
  <c r="U24" i="9"/>
  <c r="T24" i="9" s="1"/>
  <c r="V24" i="9" s="1"/>
  <c r="W24" i="9" s="1"/>
  <c r="AK23" i="9" l="1"/>
  <c r="AJ23" i="9" s="1"/>
  <c r="AL23" i="9" s="1"/>
  <c r="O21" i="9"/>
  <c r="P21" i="9"/>
  <c r="J22" i="9" s="1"/>
  <c r="Y18" i="12"/>
  <c r="AG16" i="12"/>
  <c r="AH16" i="12" s="1"/>
  <c r="AC17" i="12"/>
  <c r="AD17" i="12"/>
  <c r="AF17" i="12" s="1"/>
  <c r="Z22" i="9"/>
  <c r="AC22" i="9" s="1"/>
  <c r="AB22" i="9" s="1"/>
  <c r="AD22" i="9" s="1"/>
  <c r="AE22" i="9" s="1"/>
  <c r="AF22" i="9" s="1"/>
  <c r="B44" i="9"/>
  <c r="E44" i="9" s="1"/>
  <c r="D44" i="9" s="1"/>
  <c r="F44" i="9" s="1"/>
  <c r="H44" i="9" s="1"/>
  <c r="AI403" i="9"/>
  <c r="AG404" i="9"/>
  <c r="Y405" i="9"/>
  <c r="AA404" i="9"/>
  <c r="K41" i="12"/>
  <c r="L41" i="12" s="1"/>
  <c r="G42" i="12"/>
  <c r="I42" i="12" s="1"/>
  <c r="R18" i="12"/>
  <c r="V17" i="12"/>
  <c r="W17" i="12" s="1"/>
  <c r="Q18" i="12"/>
  <c r="M19" i="12" s="1"/>
  <c r="S18" i="12"/>
  <c r="U18" i="12" s="1"/>
  <c r="H43" i="12"/>
  <c r="J43" i="12" s="1"/>
  <c r="A44" i="12"/>
  <c r="D43" i="14"/>
  <c r="C43" i="14"/>
  <c r="C22" i="12"/>
  <c r="D22" i="12"/>
  <c r="G46" i="13"/>
  <c r="C47" i="13" s="1"/>
  <c r="X24" i="9"/>
  <c r="AM23" i="9" l="1"/>
  <c r="AN23" i="9" s="1"/>
  <c r="AH24" i="9" s="1"/>
  <c r="M22" i="9"/>
  <c r="L22" i="9" s="1"/>
  <c r="N22" i="9" s="1"/>
  <c r="AE17" i="12"/>
  <c r="Z18" i="12"/>
  <c r="AA18" i="12" s="1"/>
  <c r="Z23" i="9"/>
  <c r="AC23" i="9" s="1"/>
  <c r="AB23" i="9" s="1"/>
  <c r="AD23" i="9" s="1"/>
  <c r="AE23" i="9" s="1"/>
  <c r="AF23" i="9" s="1"/>
  <c r="Z24" i="9" s="1"/>
  <c r="R25" i="9"/>
  <c r="U25" i="9" s="1"/>
  <c r="T25" i="9" s="1"/>
  <c r="V25" i="9" s="1"/>
  <c r="B45" i="9"/>
  <c r="E45" i="9" s="1"/>
  <c r="D45" i="9" s="1"/>
  <c r="F45" i="9" s="1"/>
  <c r="H45" i="9" s="1"/>
  <c r="AG405" i="9"/>
  <c r="AI404" i="9"/>
  <c r="Y406" i="9"/>
  <c r="AA405" i="9"/>
  <c r="E47" i="13"/>
  <c r="F47" i="13" s="1"/>
  <c r="G47" i="13" s="1"/>
  <c r="C48" i="13" s="1"/>
  <c r="G43" i="12"/>
  <c r="I43" i="12" s="1"/>
  <c r="K42" i="12"/>
  <c r="L42" i="12" s="1"/>
  <c r="N19" i="12"/>
  <c r="T18" i="12"/>
  <c r="H44" i="12"/>
  <c r="J44" i="12" s="1"/>
  <c r="A45" i="12"/>
  <c r="E43" i="14"/>
  <c r="E22" i="12"/>
  <c r="F22" i="12"/>
  <c r="B23" i="12" s="1"/>
  <c r="AK24" i="9" l="1"/>
  <c r="AJ24" i="9" s="1"/>
  <c r="AL24" i="9" s="1"/>
  <c r="O22" i="9"/>
  <c r="P22" i="9" s="1"/>
  <c r="J23" i="9" s="1"/>
  <c r="AG17" i="12"/>
  <c r="AH17" i="12" s="1"/>
  <c r="AC18" i="12"/>
  <c r="AB18" i="12"/>
  <c r="X19" i="12" s="1"/>
  <c r="AD18" i="12"/>
  <c r="AF18" i="12" s="1"/>
  <c r="B46" i="9"/>
  <c r="E46" i="9" s="1"/>
  <c r="D46" i="9" s="1"/>
  <c r="F46" i="9" s="1"/>
  <c r="H46" i="9" s="1"/>
  <c r="AG406" i="9"/>
  <c r="AI405" i="9"/>
  <c r="Y407" i="9"/>
  <c r="AA406" i="9"/>
  <c r="R19" i="12"/>
  <c r="V18" i="12"/>
  <c r="W18" i="12" s="1"/>
  <c r="O19" i="12"/>
  <c r="P19" i="12" s="1"/>
  <c r="H45" i="12"/>
  <c r="J45" i="12" s="1"/>
  <c r="A46" i="12"/>
  <c r="B44" i="14"/>
  <c r="G43" i="14"/>
  <c r="C23" i="12"/>
  <c r="D23" i="12"/>
  <c r="E23" i="12" s="1"/>
  <c r="K43" i="12"/>
  <c r="L43" i="12" s="1"/>
  <c r="G44" i="12"/>
  <c r="I44" i="12" s="1"/>
  <c r="E48" i="13"/>
  <c r="F48" i="13" s="1"/>
  <c r="AC24" i="9"/>
  <c r="AB24" i="9" s="1"/>
  <c r="AD24" i="9" s="1"/>
  <c r="AE24" i="9" s="1"/>
  <c r="AF24" i="9" s="1"/>
  <c r="W25" i="9"/>
  <c r="X25" i="9" s="1"/>
  <c r="AM24" i="9" l="1"/>
  <c r="AN24" i="9" s="1"/>
  <c r="AH25" i="9" s="1"/>
  <c r="M23" i="9"/>
  <c r="L23" i="9" s="1"/>
  <c r="N23" i="9" s="1"/>
  <c r="Y19" i="12"/>
  <c r="AE18" i="12"/>
  <c r="K44" i="12"/>
  <c r="L44" i="12" s="1"/>
  <c r="G45" i="12"/>
  <c r="I45" i="12" s="1"/>
  <c r="Z25" i="9"/>
  <c r="AC25" i="9" s="1"/>
  <c r="AB25" i="9" s="1"/>
  <c r="AD25" i="9" s="1"/>
  <c r="AE25" i="9" s="1"/>
  <c r="AF25" i="9" s="1"/>
  <c r="Z26" i="9" s="1"/>
  <c r="AC26" i="9" s="1"/>
  <c r="R26" i="9"/>
  <c r="U26" i="9" s="1"/>
  <c r="T26" i="9" s="1"/>
  <c r="V26" i="9" s="1"/>
  <c r="B47" i="9"/>
  <c r="E47" i="9" s="1"/>
  <c r="D47" i="9" s="1"/>
  <c r="F47" i="9" s="1"/>
  <c r="H47" i="9" s="1"/>
  <c r="AG407" i="9"/>
  <c r="AI406" i="9"/>
  <c r="Y408" i="9"/>
  <c r="AA407" i="9"/>
  <c r="Q19" i="12"/>
  <c r="M20" i="12" s="1"/>
  <c r="S19" i="12"/>
  <c r="H46" i="12"/>
  <c r="J46" i="12" s="1"/>
  <c r="A47" i="12"/>
  <c r="C44" i="14"/>
  <c r="D44" i="14"/>
  <c r="F23" i="12"/>
  <c r="B24" i="12" s="1"/>
  <c r="G48" i="13"/>
  <c r="C49" i="13" s="1"/>
  <c r="E49" i="13" s="1"/>
  <c r="F49" i="13" s="1"/>
  <c r="G49" i="13" s="1"/>
  <c r="C50" i="13" s="1"/>
  <c r="E50" i="13" s="1"/>
  <c r="AK25" i="9" l="1"/>
  <c r="AJ25" i="9" s="1"/>
  <c r="AL25" i="9" s="1"/>
  <c r="O23" i="9"/>
  <c r="P23" i="9" s="1"/>
  <c r="J24" i="9" s="1"/>
  <c r="AC19" i="12"/>
  <c r="AG18" i="12"/>
  <c r="AH18" i="12" s="1"/>
  <c r="AA19" i="12"/>
  <c r="AB19" i="12" s="1"/>
  <c r="X20" i="12" s="1"/>
  <c r="Z19" i="12"/>
  <c r="K45" i="12"/>
  <c r="L45" i="12" s="1"/>
  <c r="G46" i="12"/>
  <c r="B48" i="9"/>
  <c r="E44" i="14"/>
  <c r="AG408" i="9"/>
  <c r="AI407" i="9"/>
  <c r="Y409" i="9"/>
  <c r="AA408" i="9"/>
  <c r="N20" i="12"/>
  <c r="T19" i="12"/>
  <c r="U19" i="12"/>
  <c r="H47" i="12"/>
  <c r="J47" i="12" s="1"/>
  <c r="A48" i="12"/>
  <c r="C24" i="12"/>
  <c r="D24" i="12"/>
  <c r="I46" i="12"/>
  <c r="F50" i="13"/>
  <c r="G50" i="13" s="1"/>
  <c r="E16" i="13" s="1"/>
  <c r="AB26" i="9"/>
  <c r="AD26" i="9" s="1"/>
  <c r="AE26" i="9" s="1"/>
  <c r="W26" i="9"/>
  <c r="X26" i="9" s="1"/>
  <c r="AM25" i="9" l="1"/>
  <c r="AN25" i="9" s="1"/>
  <c r="AH26" i="9" s="1"/>
  <c r="M24" i="9"/>
  <c r="L24" i="9" s="1"/>
  <c r="N24" i="9" s="1"/>
  <c r="Z20" i="12"/>
  <c r="Y20" i="12"/>
  <c r="AD19" i="12"/>
  <c r="E48" i="9"/>
  <c r="D48" i="9"/>
  <c r="F48" i="9" s="1"/>
  <c r="H48" i="9" s="1"/>
  <c r="B49" i="9" s="1"/>
  <c r="E49" i="9" s="1"/>
  <c r="D49" i="9" s="1"/>
  <c r="F49" i="9" s="1"/>
  <c r="H49" i="9" s="1"/>
  <c r="G44" i="14"/>
  <c r="B45" i="14"/>
  <c r="R27" i="9"/>
  <c r="AG409" i="9"/>
  <c r="AI408" i="9"/>
  <c r="Y410" i="9"/>
  <c r="AA409" i="9"/>
  <c r="G47" i="12"/>
  <c r="I47" i="12" s="1"/>
  <c r="K46" i="12"/>
  <c r="L46" i="12" s="1"/>
  <c r="R20" i="12"/>
  <c r="V19" i="12"/>
  <c r="W19" i="12" s="1"/>
  <c r="O20" i="12"/>
  <c r="P20" i="12" s="1"/>
  <c r="H48" i="12"/>
  <c r="J48" i="12" s="1"/>
  <c r="A49" i="12"/>
  <c r="E24" i="12"/>
  <c r="F24" i="12"/>
  <c r="B25" i="12" s="1"/>
  <c r="AF26" i="9"/>
  <c r="AK26" i="9" l="1"/>
  <c r="AJ26" i="9" s="1"/>
  <c r="AL26" i="9" s="1"/>
  <c r="O24" i="9"/>
  <c r="P24" i="9"/>
  <c r="J25" i="9" s="1"/>
  <c r="AE19" i="12"/>
  <c r="AF19" i="12"/>
  <c r="AA20" i="12"/>
  <c r="U27" i="9"/>
  <c r="T27" i="9"/>
  <c r="V27" i="9" s="1"/>
  <c r="W27" i="9" s="1"/>
  <c r="X27" i="9" s="1"/>
  <c r="B50" i="9"/>
  <c r="E50" i="9" s="1"/>
  <c r="D50" i="9" s="1"/>
  <c r="F50" i="9" s="1"/>
  <c r="H50" i="9" s="1"/>
  <c r="C45" i="14"/>
  <c r="D45" i="14"/>
  <c r="Z27" i="9"/>
  <c r="AI409" i="9"/>
  <c r="AG410" i="9"/>
  <c r="Y411" i="9"/>
  <c r="AA410" i="9"/>
  <c r="G48" i="12"/>
  <c r="I48" i="12" s="1"/>
  <c r="K47" i="12"/>
  <c r="L47" i="12" s="1"/>
  <c r="S20" i="12"/>
  <c r="Q20" i="12"/>
  <c r="M21" i="12" s="1"/>
  <c r="H49" i="12"/>
  <c r="J49" i="12" s="1"/>
  <c r="A50" i="12"/>
  <c r="C25" i="12"/>
  <c r="D25" i="12"/>
  <c r="AM26" i="9" l="1"/>
  <c r="AN26" i="9" s="1"/>
  <c r="AH27" i="9" s="1"/>
  <c r="M25" i="9"/>
  <c r="L25" i="9" s="1"/>
  <c r="N25" i="9" s="1"/>
  <c r="O25" i="9" s="1"/>
  <c r="AG19" i="12"/>
  <c r="AH19" i="12" s="1"/>
  <c r="AC20" i="12"/>
  <c r="AD20" i="12"/>
  <c r="AF20" i="12" s="1"/>
  <c r="AB20" i="12"/>
  <c r="X21" i="12" s="1"/>
  <c r="E45" i="14"/>
  <c r="AC27" i="9"/>
  <c r="AB27" i="9" s="1"/>
  <c r="AD27" i="9" s="1"/>
  <c r="AE27" i="9" s="1"/>
  <c r="AF27" i="9" s="1"/>
  <c r="Z28" i="9" s="1"/>
  <c r="AC28" i="9" s="1"/>
  <c r="AB28" i="9" s="1"/>
  <c r="AD28" i="9" s="1"/>
  <c r="AE28" i="9" s="1"/>
  <c r="AF28" i="9" s="1"/>
  <c r="R28" i="9"/>
  <c r="U28" i="9" s="1"/>
  <c r="T28" i="9" s="1"/>
  <c r="V28" i="9" s="1"/>
  <c r="B51" i="9"/>
  <c r="E51" i="9" s="1"/>
  <c r="D51" i="9" s="1"/>
  <c r="F51" i="9" s="1"/>
  <c r="H51" i="9" s="1"/>
  <c r="AG411" i="9"/>
  <c r="AI410" i="9"/>
  <c r="Y412" i="9"/>
  <c r="AA411" i="9"/>
  <c r="K48" i="12"/>
  <c r="L48" i="12" s="1"/>
  <c r="G49" i="12"/>
  <c r="T20" i="12"/>
  <c r="U20" i="12"/>
  <c r="N21" i="12"/>
  <c r="H50" i="12"/>
  <c r="J50" i="12" s="1"/>
  <c r="A51" i="12"/>
  <c r="I49" i="12"/>
  <c r="E25" i="12"/>
  <c r="F25" i="12"/>
  <c r="AK27" i="9" l="1"/>
  <c r="AJ27" i="9" s="1"/>
  <c r="AL27" i="9" s="1"/>
  <c r="Y21" i="12"/>
  <c r="Z21" i="12"/>
  <c r="AE20" i="12"/>
  <c r="B52" i="9"/>
  <c r="E52" i="9" s="1"/>
  <c r="D52" i="9" s="1"/>
  <c r="F52" i="9" s="1"/>
  <c r="H52" i="9" s="1"/>
  <c r="G45" i="14"/>
  <c r="B46" i="14"/>
  <c r="Z29" i="9"/>
  <c r="AC29" i="9" s="1"/>
  <c r="AB29" i="9" s="1"/>
  <c r="AD29" i="9" s="1"/>
  <c r="AE29" i="9" s="1"/>
  <c r="AG412" i="9"/>
  <c r="AI411" i="9"/>
  <c r="Y413" i="9"/>
  <c r="AA412" i="9"/>
  <c r="K49" i="12"/>
  <c r="L49" i="12" s="1"/>
  <c r="C28" i="11" s="1" a="1"/>
  <c r="G50" i="12"/>
  <c r="I50" i="12" s="1"/>
  <c r="V20" i="12"/>
  <c r="W20" i="12" s="1"/>
  <c r="R21" i="12"/>
  <c r="O21" i="12"/>
  <c r="P21" i="12" s="1"/>
  <c r="H51" i="12"/>
  <c r="J51" i="12" s="1"/>
  <c r="A52" i="12"/>
  <c r="B26" i="11" a="1"/>
  <c r="B26" i="12"/>
  <c r="W28" i="9"/>
  <c r="X28" i="9" s="1"/>
  <c r="P25" i="9"/>
  <c r="AM27" i="9" l="1"/>
  <c r="AN27" i="9" s="1"/>
  <c r="AH28" i="9" s="1"/>
  <c r="AC21" i="12"/>
  <c r="AG20" i="12"/>
  <c r="AH20" i="12" s="1"/>
  <c r="AA21" i="12"/>
  <c r="AD21" i="12" s="1"/>
  <c r="AF21" i="12" s="1"/>
  <c r="AB21" i="12"/>
  <c r="X22" i="12" s="1"/>
  <c r="D46" i="14"/>
  <c r="C46" i="14"/>
  <c r="E46" i="14" s="1"/>
  <c r="R29" i="9"/>
  <c r="U29" i="9" s="1"/>
  <c r="T29" i="9" s="1"/>
  <c r="V29" i="9" s="1"/>
  <c r="J26" i="9"/>
  <c r="B53" i="9"/>
  <c r="E53" i="9" s="1"/>
  <c r="D53" i="9" s="1"/>
  <c r="F53" i="9" s="1"/>
  <c r="H53" i="9" s="1"/>
  <c r="AG413" i="9"/>
  <c r="AI412" i="9"/>
  <c r="Y414" i="9"/>
  <c r="AA413" i="9"/>
  <c r="Q21" i="12"/>
  <c r="M22" i="12" s="1"/>
  <c r="S21" i="12"/>
  <c r="H52" i="12"/>
  <c r="J52" i="12" s="1"/>
  <c r="A53" i="12"/>
  <c r="C26" i="12"/>
  <c r="D26" i="12"/>
  <c r="E26" i="12" s="1"/>
  <c r="K50" i="12"/>
  <c r="L50" i="12" s="1"/>
  <c r="G51" i="12"/>
  <c r="I51" i="12" s="1"/>
  <c r="AF29" i="9"/>
  <c r="AK28" i="9" l="1"/>
  <c r="AJ28" i="9" s="1"/>
  <c r="AL28" i="9" s="1"/>
  <c r="M26" i="9"/>
  <c r="L26" i="9" s="1"/>
  <c r="N26" i="9" s="1"/>
  <c r="O26" i="9"/>
  <c r="P26" i="9" s="1"/>
  <c r="Y22" i="12"/>
  <c r="Z22" i="12" s="1"/>
  <c r="AE21" i="12"/>
  <c r="B47" i="14"/>
  <c r="G46" i="14"/>
  <c r="Z30" i="9"/>
  <c r="AC30" i="9" s="1"/>
  <c r="AB30" i="9" s="1"/>
  <c r="AD30" i="9" s="1"/>
  <c r="B54" i="9"/>
  <c r="E54" i="9" s="1"/>
  <c r="D54" i="9" s="1"/>
  <c r="F54" i="9" s="1"/>
  <c r="H54" i="9" s="1"/>
  <c r="AG414" i="9"/>
  <c r="AI413" i="9"/>
  <c r="Y415" i="9"/>
  <c r="AA414" i="9"/>
  <c r="K51" i="12"/>
  <c r="L51" i="12" s="1"/>
  <c r="G52" i="12"/>
  <c r="I52" i="12" s="1"/>
  <c r="N22" i="12"/>
  <c r="T21" i="12"/>
  <c r="U21" i="12"/>
  <c r="F26" i="12"/>
  <c r="B27" i="12" s="1"/>
  <c r="C27" i="12" s="1"/>
  <c r="H53" i="12"/>
  <c r="J53" i="12" s="1"/>
  <c r="A54" i="12"/>
  <c r="W29" i="9"/>
  <c r="X29" i="9" s="1"/>
  <c r="AM28" i="9" l="1"/>
  <c r="AN28" i="9" s="1"/>
  <c r="AH29" i="9" s="1"/>
  <c r="AG21" i="12"/>
  <c r="AH21" i="12" s="1"/>
  <c r="AC22" i="12"/>
  <c r="D27" i="12"/>
  <c r="E27" i="12" s="1"/>
  <c r="AA22" i="12"/>
  <c r="AB22" i="12" s="1"/>
  <c r="X23" i="12" s="1"/>
  <c r="AD22" i="12"/>
  <c r="AF22" i="12" s="1"/>
  <c r="C47" i="14"/>
  <c r="D47" i="14"/>
  <c r="O22" i="12"/>
  <c r="R30" i="9"/>
  <c r="U30" i="9" s="1"/>
  <c r="T30" i="9" s="1"/>
  <c r="V30" i="9" s="1"/>
  <c r="J27" i="9"/>
  <c r="B55" i="9"/>
  <c r="AI414" i="9"/>
  <c r="AG415" i="9"/>
  <c r="Y416" i="9"/>
  <c r="AA415" i="9"/>
  <c r="R22" i="12"/>
  <c r="V21" i="12"/>
  <c r="W21" i="12" s="1"/>
  <c r="H54" i="12"/>
  <c r="J54" i="12" s="1"/>
  <c r="A55" i="12"/>
  <c r="E47" i="14"/>
  <c r="F27" i="12"/>
  <c r="B28" i="12" s="1"/>
  <c r="K52" i="12"/>
  <c r="L52" i="12" s="1"/>
  <c r="G53" i="12"/>
  <c r="I53" i="12" s="1"/>
  <c r="AE30" i="9"/>
  <c r="AF30" i="9" s="1"/>
  <c r="E55" i="9"/>
  <c r="D55" i="9" s="1"/>
  <c r="F55" i="9" s="1"/>
  <c r="H55" i="9" s="1"/>
  <c r="M27" i="9" l="1"/>
  <c r="L27" i="9" s="1"/>
  <c r="N27" i="9" s="1"/>
  <c r="O27" i="9"/>
  <c r="Y23" i="12"/>
  <c r="AE22" i="12"/>
  <c r="P22" i="12"/>
  <c r="Q22" i="12" s="1"/>
  <c r="M23" i="12" s="1"/>
  <c r="S22" i="12"/>
  <c r="B56" i="9"/>
  <c r="E56" i="9" s="1"/>
  <c r="D56" i="9" s="1"/>
  <c r="F56" i="9" s="1"/>
  <c r="H56" i="9" s="1"/>
  <c r="AK29" i="9"/>
  <c r="AJ29" i="9" s="1"/>
  <c r="AL29" i="9" s="1"/>
  <c r="AM29" i="9" s="1"/>
  <c r="AN29" i="9" s="1"/>
  <c r="AH30" i="9" s="1"/>
  <c r="Z31" i="9"/>
  <c r="AC31" i="9" s="1"/>
  <c r="AB31" i="9" s="1"/>
  <c r="AD31" i="9" s="1"/>
  <c r="AG416" i="9"/>
  <c r="AI415" i="9"/>
  <c r="Y417" i="9"/>
  <c r="AA416" i="9"/>
  <c r="H55" i="12"/>
  <c r="J55" i="12" s="1"/>
  <c r="A56" i="12"/>
  <c r="G47" i="14"/>
  <c r="B48" i="14"/>
  <c r="C28" i="12"/>
  <c r="D28" i="12"/>
  <c r="K53" i="12"/>
  <c r="L53" i="12" s="1"/>
  <c r="G54" i="12"/>
  <c r="I54" i="12" s="1"/>
  <c r="W30" i="9"/>
  <c r="X30" i="9" s="1"/>
  <c r="P27" i="9"/>
  <c r="AK30" i="9" l="1"/>
  <c r="AJ30" i="9" s="1"/>
  <c r="AL30" i="9" s="1"/>
  <c r="AG22" i="12"/>
  <c r="AH22" i="12" s="1"/>
  <c r="AC23" i="12"/>
  <c r="Z23" i="12"/>
  <c r="AA23" i="12" s="1"/>
  <c r="N23" i="12"/>
  <c r="U22" i="12"/>
  <c r="T22" i="12"/>
  <c r="R31" i="9"/>
  <c r="U31" i="9" s="1"/>
  <c r="T31" i="9" s="1"/>
  <c r="V31" i="9" s="1"/>
  <c r="J28" i="9"/>
  <c r="B57" i="9"/>
  <c r="E57" i="9" s="1"/>
  <c r="D57" i="9" s="1"/>
  <c r="F57" i="9" s="1"/>
  <c r="H57" i="9" s="1"/>
  <c r="AI416" i="9"/>
  <c r="AG417" i="9"/>
  <c r="Y418" i="9"/>
  <c r="AA417" i="9"/>
  <c r="H56" i="12"/>
  <c r="J56" i="12" s="1"/>
  <c r="A57" i="12"/>
  <c r="C48" i="14"/>
  <c r="D48" i="14"/>
  <c r="E28" i="12"/>
  <c r="F28" i="12"/>
  <c r="B29" i="12" s="1"/>
  <c r="K54" i="12"/>
  <c r="L54" i="12" s="1"/>
  <c r="G55" i="12"/>
  <c r="I55" i="12" s="1"/>
  <c r="AE31" i="9"/>
  <c r="AF31" i="9" s="1"/>
  <c r="AM30" i="9" l="1"/>
  <c r="AN30" i="9" s="1"/>
  <c r="AH31" i="9" s="1"/>
  <c r="M28" i="9"/>
  <c r="L28" i="9" s="1"/>
  <c r="N28" i="9" s="1"/>
  <c r="O28" i="9"/>
  <c r="P28" i="9" s="1"/>
  <c r="AB23" i="12"/>
  <c r="X24" i="12" s="1"/>
  <c r="AD23" i="12"/>
  <c r="O23" i="12"/>
  <c r="R23" i="12"/>
  <c r="V22" i="12"/>
  <c r="W22" i="12" s="1"/>
  <c r="B58" i="9"/>
  <c r="E58" i="9" s="1"/>
  <c r="D58" i="9" s="1"/>
  <c r="F58" i="9" s="1"/>
  <c r="H58" i="9" s="1"/>
  <c r="E48" i="14"/>
  <c r="Z32" i="9"/>
  <c r="AC32" i="9" s="1"/>
  <c r="AB32" i="9" s="1"/>
  <c r="AD32" i="9" s="1"/>
  <c r="J29" i="9"/>
  <c r="AG418" i="9"/>
  <c r="AI417" i="9"/>
  <c r="Y419" i="9"/>
  <c r="AA418" i="9"/>
  <c r="H57" i="12"/>
  <c r="J57" i="12" s="1"/>
  <c r="A58" i="12"/>
  <c r="C29" i="12"/>
  <c r="D29" i="12" s="1"/>
  <c r="E29" i="12" s="1"/>
  <c r="K55" i="12"/>
  <c r="L55" i="12" s="1"/>
  <c r="G56" i="12"/>
  <c r="I56" i="12" s="1"/>
  <c r="W31" i="9"/>
  <c r="X31" i="9" s="1"/>
  <c r="AK31" i="9" l="1"/>
  <c r="AJ31" i="9" s="1"/>
  <c r="AL31" i="9" s="1"/>
  <c r="M29" i="9"/>
  <c r="L29" i="9" s="1"/>
  <c r="N29" i="9" s="1"/>
  <c r="O29" i="9"/>
  <c r="P29" i="9" s="1"/>
  <c r="Y24" i="12"/>
  <c r="AE23" i="12"/>
  <c r="AF23" i="12"/>
  <c r="P23" i="12"/>
  <c r="G48" i="14"/>
  <c r="B49" i="14"/>
  <c r="R32" i="9"/>
  <c r="B59" i="9"/>
  <c r="E59" i="9" s="1"/>
  <c r="D59" i="9" s="1"/>
  <c r="F59" i="9" s="1"/>
  <c r="H59" i="9" s="1"/>
  <c r="AG419" i="9"/>
  <c r="AI418" i="9"/>
  <c r="Y420" i="9"/>
  <c r="AA419" i="9"/>
  <c r="G57" i="12"/>
  <c r="I57" i="12" s="1"/>
  <c r="K56" i="12"/>
  <c r="L56" i="12" s="1"/>
  <c r="O24" i="12"/>
  <c r="P24" i="12" s="1"/>
  <c r="H58" i="12"/>
  <c r="J58" i="12" s="1"/>
  <c r="A59" i="12"/>
  <c r="F29" i="12"/>
  <c r="B30" i="12" s="1"/>
  <c r="AE32" i="9"/>
  <c r="AF32" i="9" s="1"/>
  <c r="AM31" i="9" l="1"/>
  <c r="AN31" i="9" s="1"/>
  <c r="AH32" i="9" s="1"/>
  <c r="Z24" i="12"/>
  <c r="AG23" i="12"/>
  <c r="AH23" i="12" s="1"/>
  <c r="AC24" i="12"/>
  <c r="Q23" i="12"/>
  <c r="M24" i="12" s="1"/>
  <c r="N24" i="12" s="1"/>
  <c r="S23" i="12"/>
  <c r="U32" i="9"/>
  <c r="T32" i="9"/>
  <c r="V32" i="9" s="1"/>
  <c r="W32" i="9" s="1"/>
  <c r="X32" i="9" s="1"/>
  <c r="B60" i="9"/>
  <c r="E60" i="9" s="1"/>
  <c r="D60" i="9" s="1"/>
  <c r="F60" i="9" s="1"/>
  <c r="H60" i="9" s="1"/>
  <c r="D49" i="14"/>
  <c r="C49" i="14"/>
  <c r="Z33" i="9"/>
  <c r="AC33" i="9" s="1"/>
  <c r="AB33" i="9" s="1"/>
  <c r="AD33" i="9" s="1"/>
  <c r="J30" i="9"/>
  <c r="AG420" i="9"/>
  <c r="AI419" i="9"/>
  <c r="Y421" i="9"/>
  <c r="AA420" i="9"/>
  <c r="S24" i="12"/>
  <c r="Q24" i="12"/>
  <c r="M25" i="12" s="1"/>
  <c r="H59" i="12"/>
  <c r="J59" i="12" s="1"/>
  <c r="A60" i="12"/>
  <c r="C30" i="12"/>
  <c r="D30" i="12"/>
  <c r="K57" i="12"/>
  <c r="L57" i="12" s="1"/>
  <c r="G58" i="12"/>
  <c r="I58" i="12" s="1"/>
  <c r="K58" i="12"/>
  <c r="L58" i="12" s="1"/>
  <c r="G59" i="12"/>
  <c r="AK32" i="9" l="1"/>
  <c r="AJ32" i="9" s="1"/>
  <c r="AL32" i="9" s="1"/>
  <c r="M30" i="9"/>
  <c r="L30" i="9" s="1"/>
  <c r="N30" i="9" s="1"/>
  <c r="O30" i="9"/>
  <c r="P30" i="9" s="1"/>
  <c r="AA24" i="12"/>
  <c r="AB24" i="12" s="1"/>
  <c r="X25" i="12" s="1"/>
  <c r="AD24" i="12"/>
  <c r="E49" i="14"/>
  <c r="Y25" i="12"/>
  <c r="T23" i="12"/>
  <c r="V23" i="12" s="1"/>
  <c r="W23" i="12" s="1"/>
  <c r="U23" i="12"/>
  <c r="U24" i="12" s="1"/>
  <c r="R24" i="12"/>
  <c r="T24" i="12" s="1"/>
  <c r="I59" i="12"/>
  <c r="E30" i="12"/>
  <c r="F30" i="12"/>
  <c r="B31" i="12" s="1"/>
  <c r="B50" i="14"/>
  <c r="G49" i="14"/>
  <c r="R33" i="9"/>
  <c r="B61" i="9"/>
  <c r="E61" i="9" s="1"/>
  <c r="D61" i="9" s="1"/>
  <c r="F61" i="9" s="1"/>
  <c r="H61" i="9" s="1"/>
  <c r="AG421" i="9"/>
  <c r="AI420" i="9"/>
  <c r="Y422" i="9"/>
  <c r="AA421" i="9"/>
  <c r="N25" i="12"/>
  <c r="H60" i="12"/>
  <c r="J60" i="12" s="1"/>
  <c r="A61" i="12"/>
  <c r="AE33" i="9"/>
  <c r="AF33" i="9" s="1"/>
  <c r="AM32" i="9" l="1"/>
  <c r="AN32" i="9" s="1"/>
  <c r="AH33" i="9" s="1"/>
  <c r="AE24" i="12"/>
  <c r="AF24" i="12"/>
  <c r="Z25" i="12"/>
  <c r="K59" i="12"/>
  <c r="L59" i="12" s="1"/>
  <c r="G60" i="12"/>
  <c r="I60" i="12" s="1"/>
  <c r="C31" i="12"/>
  <c r="D31" i="12"/>
  <c r="T33" i="9"/>
  <c r="V33" i="9" s="1"/>
  <c r="W33" i="9" s="1"/>
  <c r="X33" i="9" s="1"/>
  <c r="R34" i="9" s="1"/>
  <c r="U33" i="9"/>
  <c r="B62" i="9"/>
  <c r="E62" i="9" s="1"/>
  <c r="D62" i="9" s="1"/>
  <c r="F62" i="9" s="1"/>
  <c r="H62" i="9" s="1"/>
  <c r="D50" i="14"/>
  <c r="C50" i="14"/>
  <c r="E50" i="14" s="1"/>
  <c r="Z34" i="9"/>
  <c r="AC34" i="9" s="1"/>
  <c r="AB34" i="9" s="1"/>
  <c r="AD34" i="9" s="1"/>
  <c r="AE34" i="9" s="1"/>
  <c r="AF34" i="9" s="1"/>
  <c r="J31" i="9"/>
  <c r="AI421" i="9"/>
  <c r="AG422" i="9"/>
  <c r="Y423" i="9"/>
  <c r="AA422" i="9"/>
  <c r="V24" i="12"/>
  <c r="W24" i="12" s="1"/>
  <c r="R25" i="12"/>
  <c r="O25" i="12"/>
  <c r="P25" i="12" s="1"/>
  <c r="H61" i="12"/>
  <c r="J61" i="12" s="1"/>
  <c r="A62" i="12"/>
  <c r="AK33" i="9" l="1"/>
  <c r="AJ33" i="9" s="1"/>
  <c r="AL33" i="9" s="1"/>
  <c r="M31" i="9"/>
  <c r="L31" i="9" s="1"/>
  <c r="N31" i="9" s="1"/>
  <c r="O31" i="9"/>
  <c r="P31" i="9" s="1"/>
  <c r="AC25" i="12"/>
  <c r="AG24" i="12"/>
  <c r="AH24" i="12" s="1"/>
  <c r="AA25" i="12"/>
  <c r="K60" i="12"/>
  <c r="L60" i="12" s="1"/>
  <c r="G61" i="12"/>
  <c r="I61" i="12"/>
  <c r="E31" i="12"/>
  <c r="F31" i="12"/>
  <c r="B32" i="12" s="1"/>
  <c r="C32" i="12" s="1"/>
  <c r="D32" i="12" s="1"/>
  <c r="U34" i="9"/>
  <c r="T34" i="9"/>
  <c r="V34" i="9" s="1"/>
  <c r="W34" i="9" s="1"/>
  <c r="X34" i="9" s="1"/>
  <c r="R35" i="9" s="1"/>
  <c r="U35" i="9" s="1"/>
  <c r="T35" i="9" s="1"/>
  <c r="V35" i="9" s="1"/>
  <c r="W35" i="9" s="1"/>
  <c r="X35" i="9" s="1"/>
  <c r="Z35" i="9"/>
  <c r="AC35" i="9" s="1"/>
  <c r="AB35" i="9" s="1"/>
  <c r="AD35" i="9" s="1"/>
  <c r="B63" i="9"/>
  <c r="E63" i="9" s="1"/>
  <c r="D63" i="9" s="1"/>
  <c r="AG423" i="9"/>
  <c r="AI422" i="9"/>
  <c r="Y424" i="9"/>
  <c r="AA423" i="9"/>
  <c r="S25" i="12"/>
  <c r="Q25" i="12"/>
  <c r="H62" i="12"/>
  <c r="J62" i="12" s="1"/>
  <c r="A63" i="12"/>
  <c r="G50" i="14"/>
  <c r="B51" i="14"/>
  <c r="AM33" i="9" l="1"/>
  <c r="AN33" i="9" s="1"/>
  <c r="AH34" i="9" s="1"/>
  <c r="AB25" i="12"/>
  <c r="AD25" i="12"/>
  <c r="K61" i="12"/>
  <c r="L61" i="12" s="1"/>
  <c r="C29" i="11" s="1" a="1"/>
  <c r="G62" i="12"/>
  <c r="I62" i="12" s="1"/>
  <c r="J32" i="9"/>
  <c r="R36" i="9"/>
  <c r="U36" i="9" s="1"/>
  <c r="T36" i="9" s="1"/>
  <c r="V36" i="9" s="1"/>
  <c r="AI423" i="9"/>
  <c r="AG424" i="9"/>
  <c r="Y425" i="9"/>
  <c r="AA424" i="9"/>
  <c r="T25" i="12"/>
  <c r="U25" i="12"/>
  <c r="M26" i="12"/>
  <c r="D26" i="11" a="1"/>
  <c r="H63" i="12"/>
  <c r="J63" i="12" s="1"/>
  <c r="A64" i="12"/>
  <c r="D51" i="14"/>
  <c r="C51" i="14"/>
  <c r="E51" i="14" s="1"/>
  <c r="E32" i="12"/>
  <c r="F32" i="12"/>
  <c r="B33" i="12" s="1"/>
  <c r="AE35" i="9"/>
  <c r="AF35" i="9" s="1"/>
  <c r="F63" i="9"/>
  <c r="H63" i="9" s="1"/>
  <c r="AK34" i="9" l="1"/>
  <c r="AJ34" i="9" s="1"/>
  <c r="AL34" i="9" s="1"/>
  <c r="X26" i="12"/>
  <c r="Y26" i="12" s="1"/>
  <c r="Z26" i="12" s="1"/>
  <c r="AA26" i="12" s="1"/>
  <c r="AB26" i="12" s="1"/>
  <c r="X27" i="12" s="1"/>
  <c r="F26" i="11" a="1"/>
  <c r="AE25" i="12"/>
  <c r="AF25" i="12"/>
  <c r="Y27" i="12"/>
  <c r="AD26" i="12"/>
  <c r="K62" i="12"/>
  <c r="L62" i="12" s="1"/>
  <c r="G63" i="12"/>
  <c r="I63" i="12" s="1"/>
  <c r="M32" i="9"/>
  <c r="L32" i="9" s="1"/>
  <c r="N32" i="9" s="1"/>
  <c r="O32" i="9" s="1"/>
  <c r="P32" i="9" s="1"/>
  <c r="J33" i="9" s="1"/>
  <c r="Z36" i="9"/>
  <c r="AC36" i="9" s="1"/>
  <c r="AB36" i="9" s="1"/>
  <c r="AD36" i="9" s="1"/>
  <c r="B64" i="9"/>
  <c r="E64" i="9" s="1"/>
  <c r="D64" i="9" s="1"/>
  <c r="AG425" i="9"/>
  <c r="AI424" i="9"/>
  <c r="Y426" i="9"/>
  <c r="AA425" i="9"/>
  <c r="R26" i="12"/>
  <c r="V25" i="12"/>
  <c r="W25" i="12" s="1"/>
  <c r="E26" i="11" s="1" a="1"/>
  <c r="N26" i="12"/>
  <c r="H64" i="12"/>
  <c r="J64" i="12" s="1"/>
  <c r="A65" i="12"/>
  <c r="G51" i="14"/>
  <c r="B52" i="14"/>
  <c r="C33" i="12"/>
  <c r="W36" i="9"/>
  <c r="X36" i="9" s="1"/>
  <c r="AM34" i="9" l="1"/>
  <c r="AN34" i="9" s="1"/>
  <c r="AH35" i="9" s="1"/>
  <c r="M33" i="9"/>
  <c r="L33" i="9" s="1"/>
  <c r="N33" i="9" s="1"/>
  <c r="AC26" i="12"/>
  <c r="AG25" i="12"/>
  <c r="AH25" i="12" s="1"/>
  <c r="G26" i="11" s="1" a="1"/>
  <c r="H26" i="11" s="1"/>
  <c r="AE26" i="12"/>
  <c r="AF26" i="12"/>
  <c r="Z27" i="12"/>
  <c r="AA27" i="12"/>
  <c r="R37" i="9"/>
  <c r="U37" i="9" s="1"/>
  <c r="T37" i="9" s="1"/>
  <c r="V37" i="9" s="1"/>
  <c r="AI425" i="9"/>
  <c r="AG426" i="9"/>
  <c r="Y427" i="9"/>
  <c r="AA426" i="9"/>
  <c r="O26" i="12"/>
  <c r="P26" i="12" s="1"/>
  <c r="D33" i="12"/>
  <c r="H65" i="12"/>
  <c r="J65" i="12" s="1"/>
  <c r="A66" i="12"/>
  <c r="C52" i="14"/>
  <c r="D52" i="14"/>
  <c r="E52" i="14"/>
  <c r="K63" i="12"/>
  <c r="L63" i="12" s="1"/>
  <c r="G64" i="12"/>
  <c r="I64" i="12" s="1"/>
  <c r="AE36" i="9"/>
  <c r="AF36" i="9" s="1"/>
  <c r="F64" i="9"/>
  <c r="H64" i="9" s="1"/>
  <c r="AK35" i="9" l="1"/>
  <c r="AJ35" i="9" s="1"/>
  <c r="AL35" i="9" s="1"/>
  <c r="O33" i="9"/>
  <c r="P33" i="9" s="1"/>
  <c r="J34" i="9" s="1"/>
  <c r="AG26" i="12"/>
  <c r="AH26" i="12" s="1"/>
  <c r="AC27" i="12"/>
  <c r="AE27" i="12" s="1"/>
  <c r="AD27" i="12"/>
  <c r="AF27" i="12" s="1"/>
  <c r="AB27" i="12"/>
  <c r="X28" i="12" s="1"/>
  <c r="Z37" i="9"/>
  <c r="AC37" i="9" s="1"/>
  <c r="AB37" i="9" s="1"/>
  <c r="AD37" i="9" s="1"/>
  <c r="B65" i="9"/>
  <c r="AG427" i="9"/>
  <c r="AI426" i="9"/>
  <c r="Y428" i="9"/>
  <c r="AA427" i="9"/>
  <c r="S26" i="12"/>
  <c r="Q26" i="12"/>
  <c r="M27" i="12" s="1"/>
  <c r="E33" i="12"/>
  <c r="F33" i="12"/>
  <c r="B34" i="12" s="1"/>
  <c r="H66" i="12"/>
  <c r="J66" i="12" s="1"/>
  <c r="A67" i="12"/>
  <c r="B53" i="14"/>
  <c r="G52" i="14"/>
  <c r="K64" i="12"/>
  <c r="L64" i="12" s="1"/>
  <c r="G65" i="12"/>
  <c r="I65" i="12" s="1"/>
  <c r="W37" i="9"/>
  <c r="X37" i="9" s="1"/>
  <c r="E65" i="9"/>
  <c r="D65" i="9" s="1"/>
  <c r="AM35" i="9" l="1"/>
  <c r="AN35" i="9" s="1"/>
  <c r="AH36" i="9" s="1"/>
  <c r="M34" i="9"/>
  <c r="L34" i="9" s="1"/>
  <c r="N34" i="9" s="1"/>
  <c r="AG27" i="12"/>
  <c r="AH27" i="12" s="1"/>
  <c r="AC28" i="12"/>
  <c r="Y28" i="12"/>
  <c r="R38" i="9"/>
  <c r="AG428" i="9"/>
  <c r="AI427" i="9"/>
  <c r="Y429" i="9"/>
  <c r="AA428" i="9"/>
  <c r="K65" i="12"/>
  <c r="L65" i="12" s="1"/>
  <c r="G66" i="12"/>
  <c r="I66" i="12" s="1"/>
  <c r="U26" i="12"/>
  <c r="T26" i="12"/>
  <c r="N27" i="12"/>
  <c r="C34" i="12"/>
  <c r="D34" i="12"/>
  <c r="E34" i="12" s="1"/>
  <c r="H67" i="12"/>
  <c r="J67" i="12" s="1"/>
  <c r="A68" i="12"/>
  <c r="D53" i="14"/>
  <c r="C53" i="14"/>
  <c r="AE37" i="9"/>
  <c r="AF37" i="9" s="1"/>
  <c r="F65" i="9"/>
  <c r="H65" i="9" s="1"/>
  <c r="AK36" i="9" l="1"/>
  <c r="AJ36" i="9" s="1"/>
  <c r="AL36" i="9" s="1"/>
  <c r="O34" i="9"/>
  <c r="P34" i="9" s="1"/>
  <c r="J35" i="9" s="1"/>
  <c r="Z28" i="12"/>
  <c r="U38" i="9"/>
  <c r="T38" i="9"/>
  <c r="V38" i="9" s="1"/>
  <c r="Z38" i="9"/>
  <c r="AC38" i="9" s="1"/>
  <c r="AB38" i="9" s="1"/>
  <c r="AD38" i="9" s="1"/>
  <c r="B66" i="9"/>
  <c r="E66" i="9" s="1"/>
  <c r="D66" i="9" s="1"/>
  <c r="AI428" i="9"/>
  <c r="AG429" i="9"/>
  <c r="Y430" i="9"/>
  <c r="AA429" i="9"/>
  <c r="V26" i="12"/>
  <c r="W26" i="12" s="1"/>
  <c r="R27" i="12"/>
  <c r="F34" i="12"/>
  <c r="B35" i="12" s="1"/>
  <c r="O27" i="12"/>
  <c r="H68" i="12"/>
  <c r="J68" i="12" s="1"/>
  <c r="A69" i="12"/>
  <c r="E53" i="14"/>
  <c r="K66" i="12"/>
  <c r="L66" i="12" s="1"/>
  <c r="G67" i="12"/>
  <c r="I67" i="12" s="1"/>
  <c r="AM36" i="9" l="1"/>
  <c r="AN36" i="9" s="1"/>
  <c r="AH37" i="9" s="1"/>
  <c r="M35" i="9"/>
  <c r="L35" i="9" s="1"/>
  <c r="N35" i="9" s="1"/>
  <c r="G68" i="12"/>
  <c r="K67" i="12"/>
  <c r="L67" i="12" s="1"/>
  <c r="AA28" i="12"/>
  <c r="W38" i="9"/>
  <c r="X38" i="9"/>
  <c r="R39" i="9"/>
  <c r="AG430" i="9"/>
  <c r="AI429" i="9"/>
  <c r="Y431" i="9"/>
  <c r="AA430" i="9"/>
  <c r="C35" i="12"/>
  <c r="D35" i="12"/>
  <c r="P27" i="12"/>
  <c r="H69" i="12"/>
  <c r="J69" i="12" s="1"/>
  <c r="A70" i="12"/>
  <c r="G53" i="14"/>
  <c r="B54" i="14"/>
  <c r="I68" i="12"/>
  <c r="AE38" i="9"/>
  <c r="AF38" i="9" s="1"/>
  <c r="F66" i="9"/>
  <c r="H66" i="9" s="1"/>
  <c r="AK37" i="9" l="1"/>
  <c r="AJ37" i="9" s="1"/>
  <c r="AL37" i="9" s="1"/>
  <c r="O35" i="9"/>
  <c r="P35" i="9" s="1"/>
  <c r="J36" i="9" s="1"/>
  <c r="AD28" i="12"/>
  <c r="AB28" i="12"/>
  <c r="X29" i="12" s="1"/>
  <c r="E35" i="12"/>
  <c r="F35" i="12"/>
  <c r="B36" i="12" s="1"/>
  <c r="U39" i="9"/>
  <c r="T39" i="9" s="1"/>
  <c r="V39" i="9" s="1"/>
  <c r="W39" i="9" s="1"/>
  <c r="X39" i="9" s="1"/>
  <c r="R40" i="9" s="1"/>
  <c r="U40" i="9" s="1"/>
  <c r="T40" i="9" s="1"/>
  <c r="V40" i="9" s="1"/>
  <c r="Z39" i="9"/>
  <c r="AC39" i="9" s="1"/>
  <c r="AB39" i="9" s="1"/>
  <c r="AD39" i="9" s="1"/>
  <c r="B67" i="9"/>
  <c r="E67" i="9" s="1"/>
  <c r="D67" i="9" s="1"/>
  <c r="AI430" i="9"/>
  <c r="AG431" i="9"/>
  <c r="Y432" i="9"/>
  <c r="AA431" i="9"/>
  <c r="G69" i="12"/>
  <c r="I69" i="12" s="1"/>
  <c r="K68" i="12"/>
  <c r="L68" i="12" s="1"/>
  <c r="S27" i="12"/>
  <c r="Q27" i="12"/>
  <c r="M28" i="12" s="1"/>
  <c r="H70" i="12"/>
  <c r="J70" i="12" s="1"/>
  <c r="A71" i="12"/>
  <c r="D54" i="14"/>
  <c r="C54" i="14"/>
  <c r="AM37" i="9" l="1"/>
  <c r="AN37" i="9" s="1"/>
  <c r="AH38" i="9" s="1"/>
  <c r="E54" i="14"/>
  <c r="AE28" i="12"/>
  <c r="AF28" i="12"/>
  <c r="Y29" i="12"/>
  <c r="Z29" i="12"/>
  <c r="AA29" i="12" s="1"/>
  <c r="AB29" i="12" s="1"/>
  <c r="X30" i="12" s="1"/>
  <c r="C36" i="12"/>
  <c r="D36" i="12" s="1"/>
  <c r="K69" i="12"/>
  <c r="L69" i="12" s="1"/>
  <c r="G70" i="12"/>
  <c r="I70" i="12" s="1"/>
  <c r="M36" i="9"/>
  <c r="L36" i="9" s="1"/>
  <c r="N36" i="9" s="1"/>
  <c r="O36" i="9" s="1"/>
  <c r="P36" i="9" s="1"/>
  <c r="AG432" i="9"/>
  <c r="AI431" i="9"/>
  <c r="Y433" i="9"/>
  <c r="AA432" i="9"/>
  <c r="U27" i="12"/>
  <c r="T27" i="12"/>
  <c r="N28" i="12"/>
  <c r="O28" i="12" s="1"/>
  <c r="H71" i="12"/>
  <c r="J71" i="12" s="1"/>
  <c r="A72" i="12"/>
  <c r="AE39" i="9"/>
  <c r="AF39" i="9" s="1"/>
  <c r="W40" i="9"/>
  <c r="X40" i="9" s="1"/>
  <c r="F67" i="9"/>
  <c r="H67" i="9" s="1"/>
  <c r="AK38" i="9" l="1"/>
  <c r="AJ38" i="9" s="1"/>
  <c r="AL38" i="9" s="1"/>
  <c r="B55" i="14"/>
  <c r="C55" i="14" s="1"/>
  <c r="E55" i="14" s="1"/>
  <c r="G54" i="14"/>
  <c r="AG28" i="12"/>
  <c r="AH28" i="12" s="1"/>
  <c r="AC29" i="12"/>
  <c r="AE29" i="12" s="1"/>
  <c r="Y30" i="12"/>
  <c r="Z30" i="12" s="1"/>
  <c r="AD29" i="12"/>
  <c r="AF29" i="12" s="1"/>
  <c r="E36" i="12"/>
  <c r="F36" i="12"/>
  <c r="B37" i="12" s="1"/>
  <c r="K70" i="12"/>
  <c r="L70" i="12" s="1"/>
  <c r="G71" i="12"/>
  <c r="I71" i="12" s="1"/>
  <c r="Z40" i="9"/>
  <c r="AC40" i="9" s="1"/>
  <c r="AB40" i="9" s="1"/>
  <c r="AD40" i="9" s="1"/>
  <c r="AE40" i="9" s="1"/>
  <c r="AF40" i="9" s="1"/>
  <c r="Z41" i="9" s="1"/>
  <c r="R41" i="9"/>
  <c r="U41" i="9" s="1"/>
  <c r="T41" i="9" s="1"/>
  <c r="V41" i="9" s="1"/>
  <c r="B68" i="9"/>
  <c r="E68" i="9" s="1"/>
  <c r="D68" i="9" s="1"/>
  <c r="AI432" i="9"/>
  <c r="AG433" i="9"/>
  <c r="Y434" i="9"/>
  <c r="AA433" i="9"/>
  <c r="V27" i="12"/>
  <c r="W27" i="12" s="1"/>
  <c r="R28" i="12"/>
  <c r="P28" i="12"/>
  <c r="H72" i="12"/>
  <c r="J72" i="12" s="1"/>
  <c r="A73" i="12"/>
  <c r="D55" i="14"/>
  <c r="J37" i="9"/>
  <c r="AM38" i="9" l="1"/>
  <c r="AN38" i="9" s="1"/>
  <c r="AH39" i="9" s="1"/>
  <c r="S28" i="12"/>
  <c r="U28" i="12" s="1"/>
  <c r="Q28" i="12"/>
  <c r="M29" i="12" s="1"/>
  <c r="AC30" i="12"/>
  <c r="AG29" i="12"/>
  <c r="AH29" i="12" s="1"/>
  <c r="C37" i="12"/>
  <c r="T28" i="12"/>
  <c r="AA30" i="12"/>
  <c r="AG434" i="9"/>
  <c r="AI433" i="9"/>
  <c r="Y435" i="9"/>
  <c r="AA434" i="9"/>
  <c r="K71" i="12"/>
  <c r="L71" i="12" s="1"/>
  <c r="G72" i="12"/>
  <c r="I72" i="12" s="1"/>
  <c r="N29" i="12"/>
  <c r="O29" i="12" s="1"/>
  <c r="P29" i="12" s="1"/>
  <c r="Q29" i="12" s="1"/>
  <c r="M30" i="12" s="1"/>
  <c r="H73" i="12"/>
  <c r="J73" i="12" s="1"/>
  <c r="A74" i="12"/>
  <c r="B56" i="14"/>
  <c r="G55" i="14"/>
  <c r="AC41" i="9"/>
  <c r="AB41" i="9" s="1"/>
  <c r="AD41" i="9" s="1"/>
  <c r="W41" i="9"/>
  <c r="X41" i="9" s="1"/>
  <c r="M37" i="9"/>
  <c r="F68" i="9"/>
  <c r="H68" i="9" s="1"/>
  <c r="AK39" i="9" l="1"/>
  <c r="AJ39" i="9" s="1"/>
  <c r="AL39" i="9" s="1"/>
  <c r="D37" i="12"/>
  <c r="E37" i="12" s="1"/>
  <c r="F37" i="12"/>
  <c r="V28" i="12"/>
  <c r="W28" i="12" s="1"/>
  <c r="R29" i="12"/>
  <c r="AD30" i="12"/>
  <c r="AB30" i="12"/>
  <c r="X31" i="12" s="1"/>
  <c r="R42" i="9"/>
  <c r="U42" i="9" s="1"/>
  <c r="T42" i="9" s="1"/>
  <c r="V42" i="9" s="1"/>
  <c r="B69" i="9"/>
  <c r="E69" i="9" s="1"/>
  <c r="D69" i="9" s="1"/>
  <c r="AI434" i="9"/>
  <c r="AG435" i="9"/>
  <c r="Y436" i="9"/>
  <c r="AA435" i="9"/>
  <c r="N30" i="12"/>
  <c r="S29" i="12"/>
  <c r="H74" i="12"/>
  <c r="J74" i="12" s="1"/>
  <c r="A75" i="12"/>
  <c r="D56" i="14"/>
  <c r="C56" i="14"/>
  <c r="K72" i="12"/>
  <c r="L72" i="12" s="1"/>
  <c r="G73" i="12"/>
  <c r="I73" i="12" s="1"/>
  <c r="AE41" i="9"/>
  <c r="AF41" i="9" s="1"/>
  <c r="L37" i="9"/>
  <c r="N37" i="9" s="1"/>
  <c r="O37" i="9" s="1"/>
  <c r="AM39" i="9" l="1"/>
  <c r="AN39" i="9" s="1"/>
  <c r="AH40" i="9" s="1"/>
  <c r="B38" i="12"/>
  <c r="B27" i="11" a="1"/>
  <c r="AE30" i="12"/>
  <c r="AF30" i="12"/>
  <c r="Y31" i="12"/>
  <c r="Z31" i="12" s="1"/>
  <c r="Z42" i="9"/>
  <c r="AC42" i="9" s="1"/>
  <c r="AB42" i="9" s="1"/>
  <c r="AD42" i="9" s="1"/>
  <c r="AG436" i="9"/>
  <c r="AI435" i="9"/>
  <c r="Y437" i="9"/>
  <c r="AA436" i="9"/>
  <c r="E56" i="14"/>
  <c r="T29" i="12"/>
  <c r="U29" i="12"/>
  <c r="O30" i="12"/>
  <c r="P30" i="12" s="1"/>
  <c r="H75" i="12"/>
  <c r="J75" i="12" s="1"/>
  <c r="A76" i="12"/>
  <c r="K73" i="12"/>
  <c r="L73" i="12" s="1"/>
  <c r="C30" i="11" s="1" a="1"/>
  <c r="G74" i="12"/>
  <c r="I74" i="12" s="1"/>
  <c r="W42" i="9"/>
  <c r="X42" i="9" s="1"/>
  <c r="P37" i="9"/>
  <c r="F69" i="9"/>
  <c r="H69" i="9" s="1"/>
  <c r="AK40" i="9" l="1"/>
  <c r="AJ40" i="9" s="1"/>
  <c r="AL40" i="9" s="1"/>
  <c r="G56" i="14"/>
  <c r="B57" i="14"/>
  <c r="C38" i="12"/>
  <c r="AC31" i="12"/>
  <c r="AG30" i="12"/>
  <c r="AH30" i="12" s="1"/>
  <c r="AA31" i="12"/>
  <c r="R43" i="9"/>
  <c r="B70" i="9"/>
  <c r="E70" i="9" s="1"/>
  <c r="D70" i="9" s="1"/>
  <c r="F70" i="9" s="1"/>
  <c r="H70" i="9" s="1"/>
  <c r="AG437" i="9"/>
  <c r="AI436" i="9"/>
  <c r="Y438" i="9"/>
  <c r="AA437" i="9"/>
  <c r="R30" i="12"/>
  <c r="V29" i="12"/>
  <c r="W29" i="12" s="1"/>
  <c r="S30" i="12"/>
  <c r="U30" i="12" s="1"/>
  <c r="Q30" i="12"/>
  <c r="M31" i="12" s="1"/>
  <c r="H76" i="12"/>
  <c r="J76" i="12" s="1"/>
  <c r="A77" i="12"/>
  <c r="K74" i="12"/>
  <c r="L74" i="12" s="1"/>
  <c r="G75" i="12"/>
  <c r="I75" i="12" s="1"/>
  <c r="AE42" i="9"/>
  <c r="AF42" i="9" s="1"/>
  <c r="J38" i="9"/>
  <c r="AM40" i="9" l="1"/>
  <c r="AN40" i="9" s="1"/>
  <c r="AH41" i="9" s="1"/>
  <c r="D57" i="14"/>
  <c r="C57" i="14"/>
  <c r="E57" i="14" s="1"/>
  <c r="D38" i="12"/>
  <c r="AD31" i="12"/>
  <c r="AB31" i="12"/>
  <c r="X32" i="12" s="1"/>
  <c r="U43" i="9"/>
  <c r="T43" i="9"/>
  <c r="V43" i="9" s="1"/>
  <c r="W43" i="9" s="1"/>
  <c r="X43" i="9" s="1"/>
  <c r="B71" i="9"/>
  <c r="E71" i="9" s="1"/>
  <c r="D71" i="9" s="1"/>
  <c r="F71" i="9" s="1"/>
  <c r="H71" i="9" s="1"/>
  <c r="Z43" i="9"/>
  <c r="AC43" i="9" s="1"/>
  <c r="AB43" i="9" s="1"/>
  <c r="AD43" i="9" s="1"/>
  <c r="AE43" i="9" s="1"/>
  <c r="AG438" i="9"/>
  <c r="AI437" i="9"/>
  <c r="Y439" i="9"/>
  <c r="AA438" i="9"/>
  <c r="G76" i="12"/>
  <c r="K75" i="12"/>
  <c r="L75" i="12" s="1"/>
  <c r="N31" i="12"/>
  <c r="T30" i="12"/>
  <c r="H77" i="12"/>
  <c r="J77" i="12" s="1"/>
  <c r="A78" i="12"/>
  <c r="I76" i="12"/>
  <c r="M38" i="9"/>
  <c r="B58" i="14" l="1"/>
  <c r="G57" i="14"/>
  <c r="E38" i="12"/>
  <c r="F38" i="12"/>
  <c r="B39" i="12" s="1"/>
  <c r="AF31" i="12"/>
  <c r="AE31" i="12"/>
  <c r="C39" i="12"/>
  <c r="D39" i="12"/>
  <c r="Y32" i="12"/>
  <c r="Z32" i="12" s="1"/>
  <c r="AA32" i="12" s="1"/>
  <c r="AK41" i="9"/>
  <c r="AJ41" i="9"/>
  <c r="AL41" i="9" s="1"/>
  <c r="AM41" i="9" s="1"/>
  <c r="AN41" i="9" s="1"/>
  <c r="AH42" i="9" s="1"/>
  <c r="R44" i="9"/>
  <c r="U44" i="9" s="1"/>
  <c r="T44" i="9" s="1"/>
  <c r="V44" i="9" s="1"/>
  <c r="B72" i="9"/>
  <c r="E72" i="9" s="1"/>
  <c r="D72" i="9" s="1"/>
  <c r="F72" i="9" s="1"/>
  <c r="H72" i="9" s="1"/>
  <c r="AG439" i="9"/>
  <c r="AI438" i="9"/>
  <c r="Y440" i="9"/>
  <c r="AA439" i="9"/>
  <c r="K76" i="12"/>
  <c r="L76" i="12" s="1"/>
  <c r="G77" i="12"/>
  <c r="I77" i="12" s="1"/>
  <c r="R31" i="12"/>
  <c r="V30" i="12"/>
  <c r="W30" i="12" s="1"/>
  <c r="O31" i="12"/>
  <c r="H78" i="12"/>
  <c r="J78" i="12" s="1"/>
  <c r="A79" i="12"/>
  <c r="AF43" i="9"/>
  <c r="L38" i="9"/>
  <c r="AK42" i="9" l="1"/>
  <c r="AJ42" i="9" s="1"/>
  <c r="AL42" i="9" s="1"/>
  <c r="AG31" i="12"/>
  <c r="AH31" i="12" s="1"/>
  <c r="AC32" i="12"/>
  <c r="C58" i="14"/>
  <c r="D58" i="14"/>
  <c r="E39" i="12"/>
  <c r="F39" i="12"/>
  <c r="B40" i="12" s="1"/>
  <c r="AD32" i="12"/>
  <c r="AB32" i="12"/>
  <c r="X33" i="12" s="1"/>
  <c r="B73" i="9"/>
  <c r="E73" i="9" s="1"/>
  <c r="D73" i="9" s="1"/>
  <c r="F73" i="9" s="1"/>
  <c r="H73" i="9" s="1"/>
  <c r="Z44" i="9"/>
  <c r="AG440" i="9"/>
  <c r="AI439" i="9"/>
  <c r="Y441" i="9"/>
  <c r="AA440" i="9"/>
  <c r="E58" i="14"/>
  <c r="P31" i="12"/>
  <c r="H79" i="12"/>
  <c r="J79" i="12" s="1"/>
  <c r="A80" i="12"/>
  <c r="K77" i="12"/>
  <c r="L77" i="12" s="1"/>
  <c r="G78" i="12"/>
  <c r="I78" i="12" s="1"/>
  <c r="W44" i="9"/>
  <c r="X44" i="9" s="1"/>
  <c r="N38" i="9"/>
  <c r="O38" i="9" s="1"/>
  <c r="AM42" i="9" l="1"/>
  <c r="AN42" i="9" s="1"/>
  <c r="AH43" i="9" s="1"/>
  <c r="C40" i="12"/>
  <c r="D40" i="12"/>
  <c r="AF32" i="12"/>
  <c r="AE32" i="12"/>
  <c r="Y33" i="12"/>
  <c r="Z33" i="12" s="1"/>
  <c r="AC44" i="9"/>
  <c r="AB44" i="9" s="1"/>
  <c r="AD44" i="9" s="1"/>
  <c r="AE44" i="9" s="1"/>
  <c r="AF44" i="9" s="1"/>
  <c r="Z45" i="9" s="1"/>
  <c r="AC45" i="9" s="1"/>
  <c r="AB45" i="9" s="1"/>
  <c r="AD45" i="9" s="1"/>
  <c r="AE45" i="9" s="1"/>
  <c r="AF45" i="9" s="1"/>
  <c r="R45" i="9"/>
  <c r="B74" i="9"/>
  <c r="E74" i="9" s="1"/>
  <c r="D74" i="9" s="1"/>
  <c r="AG441" i="9"/>
  <c r="AI440" i="9"/>
  <c r="Y442" i="9"/>
  <c r="AA441" i="9"/>
  <c r="G58" i="14"/>
  <c r="B59" i="14"/>
  <c r="S31" i="12"/>
  <c r="Q31" i="12"/>
  <c r="M32" i="12" s="1"/>
  <c r="H80" i="12"/>
  <c r="J80" i="12" s="1"/>
  <c r="A81" i="12"/>
  <c r="K78" i="12"/>
  <c r="L78" i="12" s="1"/>
  <c r="G79" i="12"/>
  <c r="I79" i="12" s="1"/>
  <c r="P38" i="9"/>
  <c r="AK43" i="9" l="1"/>
  <c r="AJ43" i="9" s="1"/>
  <c r="AL43" i="9" s="1"/>
  <c r="AG32" i="12"/>
  <c r="AH32" i="12" s="1"/>
  <c r="AC33" i="12"/>
  <c r="AA33" i="12"/>
  <c r="E40" i="12"/>
  <c r="F40" i="12"/>
  <c r="B41" i="12" s="1"/>
  <c r="U45" i="9"/>
  <c r="T45" i="9"/>
  <c r="V45" i="9" s="1"/>
  <c r="W45" i="9" s="1"/>
  <c r="X45" i="9" s="1"/>
  <c r="R46" i="9" s="1"/>
  <c r="U46" i="9" s="1"/>
  <c r="T46" i="9" s="1"/>
  <c r="V46" i="9" s="1"/>
  <c r="W46" i="9" s="1"/>
  <c r="X46" i="9" s="1"/>
  <c r="D59" i="14"/>
  <c r="C59" i="14"/>
  <c r="Z46" i="9"/>
  <c r="AC46" i="9" s="1"/>
  <c r="AB46" i="9" s="1"/>
  <c r="AD46" i="9" s="1"/>
  <c r="AG442" i="9"/>
  <c r="AI441" i="9"/>
  <c r="Y443" i="9"/>
  <c r="AA442" i="9"/>
  <c r="K79" i="12"/>
  <c r="L79" i="12" s="1"/>
  <c r="G80" i="12"/>
  <c r="I80" i="12" s="1"/>
  <c r="U31" i="12"/>
  <c r="T31" i="12"/>
  <c r="N32" i="12"/>
  <c r="O32" i="12"/>
  <c r="P32" i="12"/>
  <c r="Q32" i="12" s="1"/>
  <c r="M33" i="12" s="1"/>
  <c r="H81" i="12"/>
  <c r="J81" i="12" s="1"/>
  <c r="A82" i="12"/>
  <c r="J39" i="9"/>
  <c r="F74" i="9"/>
  <c r="H74" i="9" s="1"/>
  <c r="AM43" i="9" l="1"/>
  <c r="AN43" i="9" s="1"/>
  <c r="AH44" i="9" s="1"/>
  <c r="E59" i="14"/>
  <c r="G81" i="12"/>
  <c r="I81" i="12" s="1"/>
  <c r="K80" i="12"/>
  <c r="L80" i="12" s="1"/>
  <c r="AD33" i="12"/>
  <c r="AB33" i="12"/>
  <c r="X34" i="12" s="1"/>
  <c r="C41" i="12"/>
  <c r="D41" i="12"/>
  <c r="E41" i="12" s="1"/>
  <c r="F41" i="12"/>
  <c r="B42" i="12" s="1"/>
  <c r="C42" i="12" s="1"/>
  <c r="R47" i="9"/>
  <c r="B75" i="9"/>
  <c r="E75" i="9" s="1"/>
  <c r="D75" i="9" s="1"/>
  <c r="AG443" i="9"/>
  <c r="AI442" i="9"/>
  <c r="Y444" i="9"/>
  <c r="AA443" i="9"/>
  <c r="R32" i="12"/>
  <c r="V31" i="12"/>
  <c r="W31" i="12" s="1"/>
  <c r="N33" i="12"/>
  <c r="O33" i="12" s="1"/>
  <c r="S32" i="12"/>
  <c r="U32" i="12" s="1"/>
  <c r="H82" i="12"/>
  <c r="J82" i="12" s="1"/>
  <c r="A83" i="12"/>
  <c r="AE46" i="9"/>
  <c r="AF46" i="9" s="1"/>
  <c r="M39" i="9"/>
  <c r="L39" i="9" s="1"/>
  <c r="AK44" i="9" l="1"/>
  <c r="AJ44" i="9" s="1"/>
  <c r="AL44" i="9" s="1"/>
  <c r="B60" i="14"/>
  <c r="G59" i="14"/>
  <c r="AE33" i="12"/>
  <c r="AF33" i="12"/>
  <c r="Y34" i="12"/>
  <c r="Z34" i="12"/>
  <c r="D42" i="12"/>
  <c r="U47" i="9"/>
  <c r="T47" i="9"/>
  <c r="V47" i="9" s="1"/>
  <c r="W47" i="9" s="1"/>
  <c r="X47" i="9" s="1"/>
  <c r="R48" i="9" s="1"/>
  <c r="U48" i="9" s="1"/>
  <c r="T48" i="9" s="1"/>
  <c r="V48" i="9" s="1"/>
  <c r="Z47" i="9"/>
  <c r="AC47" i="9" s="1"/>
  <c r="AB47" i="9" s="1"/>
  <c r="AD47" i="9" s="1"/>
  <c r="AG444" i="9"/>
  <c r="AI443" i="9"/>
  <c r="Y445" i="9"/>
  <c r="AA444" i="9"/>
  <c r="K81" i="12"/>
  <c r="L81" i="12" s="1"/>
  <c r="G82" i="12"/>
  <c r="I82" i="12" s="1"/>
  <c r="T32" i="12"/>
  <c r="P33" i="12"/>
  <c r="H83" i="12"/>
  <c r="J83" i="12" s="1"/>
  <c r="A84" i="12"/>
  <c r="N39" i="9"/>
  <c r="O39" i="9" s="1"/>
  <c r="F75" i="9"/>
  <c r="H75" i="9" s="1"/>
  <c r="AM44" i="9" l="1"/>
  <c r="AN44" i="9" s="1"/>
  <c r="AH45" i="9" s="1"/>
  <c r="AA34" i="12"/>
  <c r="D60" i="14"/>
  <c r="C60" i="14"/>
  <c r="E60" i="14" s="1"/>
  <c r="E42" i="12"/>
  <c r="F42" i="12"/>
  <c r="B43" i="12" s="1"/>
  <c r="AG33" i="12"/>
  <c r="AH33" i="12" s="1"/>
  <c r="AC34" i="12"/>
  <c r="G83" i="12"/>
  <c r="I83" i="12" s="1"/>
  <c r="K82" i="12"/>
  <c r="L82" i="12" s="1"/>
  <c r="B76" i="9"/>
  <c r="E76" i="9" s="1"/>
  <c r="D76" i="9" s="1"/>
  <c r="AG445" i="9"/>
  <c r="AI444" i="9"/>
  <c r="Y446" i="9"/>
  <c r="AA445" i="9"/>
  <c r="V32" i="12"/>
  <c r="W32" i="12" s="1"/>
  <c r="R33" i="12"/>
  <c r="S33" i="12"/>
  <c r="U33" i="12" s="1"/>
  <c r="Q33" i="12"/>
  <c r="M34" i="12" s="1"/>
  <c r="H84" i="12"/>
  <c r="J84" i="12" s="1"/>
  <c r="A85" i="12"/>
  <c r="AE47" i="9"/>
  <c r="AF47" i="9" s="1"/>
  <c r="W48" i="9"/>
  <c r="X48" i="9" s="1"/>
  <c r="P39" i="9"/>
  <c r="AK45" i="9" l="1"/>
  <c r="AJ45" i="9" s="1"/>
  <c r="AL45" i="9" s="1"/>
  <c r="AD34" i="12"/>
  <c r="AF34" i="12" s="1"/>
  <c r="AB34" i="12"/>
  <c r="X35" i="12" s="1"/>
  <c r="B61" i="14"/>
  <c r="G60" i="14"/>
  <c r="C43" i="12"/>
  <c r="D43" i="12" s="1"/>
  <c r="E43" i="12" s="1"/>
  <c r="F43" i="12"/>
  <c r="B44" i="12" s="1"/>
  <c r="C44" i="12" s="1"/>
  <c r="D44" i="12" s="1"/>
  <c r="E44" i="12" s="1"/>
  <c r="Y35" i="12"/>
  <c r="Z35" i="12"/>
  <c r="AA35" i="12" s="1"/>
  <c r="AB35" i="12" s="1"/>
  <c r="X36" i="12" s="1"/>
  <c r="T33" i="12"/>
  <c r="AE34" i="12"/>
  <c r="Z48" i="9"/>
  <c r="AC48" i="9" s="1"/>
  <c r="AB48" i="9" s="1"/>
  <c r="AD48" i="9" s="1"/>
  <c r="R49" i="9"/>
  <c r="U49" i="9" s="1"/>
  <c r="T49" i="9" s="1"/>
  <c r="V49" i="9" s="1"/>
  <c r="AG446" i="9"/>
  <c r="AI445" i="9"/>
  <c r="Y447" i="9"/>
  <c r="AA446" i="9"/>
  <c r="N34" i="12"/>
  <c r="O34" i="12" s="1"/>
  <c r="H85" i="12"/>
  <c r="J85" i="12" s="1"/>
  <c r="A86" i="12"/>
  <c r="K83" i="12"/>
  <c r="L83" i="12" s="1"/>
  <c r="G84" i="12"/>
  <c r="I84" i="12" s="1"/>
  <c r="J40" i="9"/>
  <c r="F76" i="9"/>
  <c r="H76" i="9" s="1"/>
  <c r="AM45" i="9" l="1"/>
  <c r="AN45" i="9" s="1"/>
  <c r="AH46" i="9" s="1"/>
  <c r="AD35" i="12"/>
  <c r="AF35" i="12" s="1"/>
  <c r="D61" i="14"/>
  <c r="C61" i="14"/>
  <c r="Y36" i="12"/>
  <c r="Z36" i="12" s="1"/>
  <c r="AA36" i="12" s="1"/>
  <c r="AG34" i="12"/>
  <c r="AH34" i="12" s="1"/>
  <c r="AC35" i="12"/>
  <c r="AE35" i="12" s="1"/>
  <c r="V33" i="12"/>
  <c r="W33" i="12" s="1"/>
  <c r="R34" i="12"/>
  <c r="B77" i="9"/>
  <c r="E77" i="9" s="1"/>
  <c r="D77" i="9" s="1"/>
  <c r="AG447" i="9"/>
  <c r="AI446" i="9"/>
  <c r="Y448" i="9"/>
  <c r="AA447" i="9"/>
  <c r="E61" i="14"/>
  <c r="K84" i="12"/>
  <c r="L84" i="12" s="1"/>
  <c r="G85" i="12"/>
  <c r="I85" i="12" s="1"/>
  <c r="P34" i="12"/>
  <c r="H86" i="12"/>
  <c r="J86" i="12" s="1"/>
  <c r="A87" i="12"/>
  <c r="F44" i="12"/>
  <c r="B45" i="12" s="1"/>
  <c r="AE48" i="9"/>
  <c r="AF48" i="9" s="1"/>
  <c r="W49" i="9"/>
  <c r="X49" i="9" s="1"/>
  <c r="M40" i="9"/>
  <c r="L40" i="9"/>
  <c r="AK46" i="9" l="1"/>
  <c r="AJ46" i="9" s="1"/>
  <c r="AL46" i="9" s="1"/>
  <c r="AC36" i="12"/>
  <c r="AG35" i="12"/>
  <c r="AH35" i="12" s="1"/>
  <c r="AD36" i="12"/>
  <c r="AF36" i="12" s="1"/>
  <c r="AB36" i="12"/>
  <c r="X37" i="12" s="1"/>
  <c r="Z49" i="9"/>
  <c r="AC49" i="9" s="1"/>
  <c r="AB49" i="9" s="1"/>
  <c r="AD49" i="9" s="1"/>
  <c r="R50" i="9"/>
  <c r="AG448" i="9"/>
  <c r="AI447" i="9"/>
  <c r="Y449" i="9"/>
  <c r="AA448" i="9"/>
  <c r="G61" i="14"/>
  <c r="B62" i="14"/>
  <c r="K85" i="12"/>
  <c r="L85" i="12" s="1"/>
  <c r="C31" i="11" s="1" a="1"/>
  <c r="G86" i="12"/>
  <c r="I86" i="12" s="1"/>
  <c r="S34" i="12"/>
  <c r="Q34" i="12"/>
  <c r="M35" i="12" s="1"/>
  <c r="H87" i="12"/>
  <c r="J87" i="12" s="1"/>
  <c r="A88" i="12"/>
  <c r="C45" i="12"/>
  <c r="D45" i="12"/>
  <c r="N40" i="9"/>
  <c r="O40" i="9" s="1"/>
  <c r="F77" i="9"/>
  <c r="H77" i="9" s="1"/>
  <c r="AM46" i="9" l="1"/>
  <c r="AN46" i="9"/>
  <c r="AH47" i="9" s="1"/>
  <c r="Y37" i="12"/>
  <c r="AE36" i="12"/>
  <c r="U50" i="9"/>
  <c r="T50" i="9"/>
  <c r="V50" i="9" s="1"/>
  <c r="W50" i="9" s="1"/>
  <c r="X50" i="9" s="1"/>
  <c r="D62" i="14"/>
  <c r="C62" i="14"/>
  <c r="E62" i="14" s="1"/>
  <c r="B78" i="9"/>
  <c r="E78" i="9" s="1"/>
  <c r="D78" i="9" s="1"/>
  <c r="AG449" i="9"/>
  <c r="AI448" i="9"/>
  <c r="Y450" i="9"/>
  <c r="AA449" i="9"/>
  <c r="K86" i="12"/>
  <c r="L86" i="12" s="1"/>
  <c r="G87" i="12"/>
  <c r="U34" i="12"/>
  <c r="T34" i="12"/>
  <c r="N35" i="12"/>
  <c r="E45" i="12"/>
  <c r="F45" i="12"/>
  <c r="B46" i="12" s="1"/>
  <c r="H88" i="12"/>
  <c r="J88" i="12" s="1"/>
  <c r="A89" i="12"/>
  <c r="I87" i="12"/>
  <c r="AE49" i="9"/>
  <c r="AF49" i="9" s="1"/>
  <c r="P40" i="9"/>
  <c r="AK47" i="9" l="1"/>
  <c r="AJ47" i="9" s="1"/>
  <c r="AL47" i="9" s="1"/>
  <c r="AM47" i="9" s="1"/>
  <c r="AN47" i="9" s="1"/>
  <c r="AC37" i="12"/>
  <c r="AG36" i="12"/>
  <c r="AH36" i="12" s="1"/>
  <c r="Z37" i="12"/>
  <c r="AA37" i="12" s="1"/>
  <c r="R51" i="9"/>
  <c r="U51" i="9" s="1"/>
  <c r="T51" i="9" s="1"/>
  <c r="V51" i="9" s="1"/>
  <c r="Z50" i="9"/>
  <c r="AC50" i="9" s="1"/>
  <c r="AB50" i="9" s="1"/>
  <c r="AD50" i="9" s="1"/>
  <c r="AG450" i="9"/>
  <c r="AI449" i="9"/>
  <c r="Y451" i="9"/>
  <c r="AA450" i="9"/>
  <c r="V34" i="12"/>
  <c r="W34" i="12" s="1"/>
  <c r="R35" i="12"/>
  <c r="O35" i="12"/>
  <c r="C46" i="12"/>
  <c r="D46" i="12" s="1"/>
  <c r="E46" i="12" s="1"/>
  <c r="H89" i="12"/>
  <c r="J89" i="12" s="1"/>
  <c r="A90" i="12"/>
  <c r="G62" i="14"/>
  <c r="B63" i="14"/>
  <c r="K87" i="12"/>
  <c r="L87" i="12" s="1"/>
  <c r="G88" i="12"/>
  <c r="I88" i="12" s="1"/>
  <c r="J41" i="9"/>
  <c r="F78" i="9"/>
  <c r="H78" i="9" s="1"/>
  <c r="F46" i="12" l="1"/>
  <c r="B47" i="12" s="1"/>
  <c r="AD37" i="12"/>
  <c r="AB37" i="12"/>
  <c r="AH48" i="9"/>
  <c r="B79" i="9"/>
  <c r="E79" i="9" s="1"/>
  <c r="D79" i="9" s="1"/>
  <c r="F79" i="9" s="1"/>
  <c r="H79" i="9" s="1"/>
  <c r="AG451" i="9"/>
  <c r="AI450" i="9"/>
  <c r="Y452" i="9"/>
  <c r="AA451" i="9"/>
  <c r="P35" i="12"/>
  <c r="H90" i="12"/>
  <c r="J90" i="12" s="1"/>
  <c r="A91" i="12"/>
  <c r="D63" i="14"/>
  <c r="C63" i="14"/>
  <c r="K88" i="12"/>
  <c r="L88" i="12" s="1"/>
  <c r="G89" i="12"/>
  <c r="I89" i="12" s="1"/>
  <c r="W51" i="9"/>
  <c r="X51" i="9" s="1"/>
  <c r="AE50" i="9"/>
  <c r="AF50" i="9" s="1"/>
  <c r="M41" i="9"/>
  <c r="L41" i="9" s="1"/>
  <c r="AK48" i="9" l="1"/>
  <c r="AJ48" i="9" s="1"/>
  <c r="AL48" i="9" s="1"/>
  <c r="AM48" i="9"/>
  <c r="AN48" i="9" s="1"/>
  <c r="AE37" i="12"/>
  <c r="AF37" i="12"/>
  <c r="F27" i="11" a="1"/>
  <c r="X38" i="12"/>
  <c r="C47" i="12"/>
  <c r="F47" i="12" s="1"/>
  <c r="B48" i="12" s="1"/>
  <c r="D47" i="12"/>
  <c r="E47" i="12" s="1"/>
  <c r="B80" i="9"/>
  <c r="E80" i="9" s="1"/>
  <c r="D80" i="9" s="1"/>
  <c r="F80" i="9" s="1"/>
  <c r="H80" i="9" s="1"/>
  <c r="R52" i="9"/>
  <c r="U52" i="9" s="1"/>
  <c r="T52" i="9" s="1"/>
  <c r="V52" i="9" s="1"/>
  <c r="W52" i="9" s="1"/>
  <c r="X52" i="9" s="1"/>
  <c r="Z51" i="9"/>
  <c r="AC51" i="9" s="1"/>
  <c r="AB51" i="9" s="1"/>
  <c r="AD51" i="9" s="1"/>
  <c r="AG452" i="9"/>
  <c r="AI451" i="9"/>
  <c r="Y453" i="9"/>
  <c r="AA452" i="9"/>
  <c r="E63" i="14"/>
  <c r="S35" i="12"/>
  <c r="Q35" i="12"/>
  <c r="M36" i="12" s="1"/>
  <c r="H91" i="12"/>
  <c r="J91" i="12" s="1"/>
  <c r="A92" i="12"/>
  <c r="K89" i="12"/>
  <c r="L89" i="12" s="1"/>
  <c r="G90" i="12"/>
  <c r="I90" i="12" s="1"/>
  <c r="N41" i="9"/>
  <c r="O41" i="9" s="1"/>
  <c r="K90" i="12" l="1"/>
  <c r="L90" i="12" s="1"/>
  <c r="G91" i="12"/>
  <c r="I91" i="12" s="1"/>
  <c r="AC38" i="12"/>
  <c r="AG37" i="12"/>
  <c r="AH37" i="12" s="1"/>
  <c r="G27" i="11" s="1" a="1"/>
  <c r="Y38" i="12"/>
  <c r="R53" i="9"/>
  <c r="AH49" i="9"/>
  <c r="B81" i="9"/>
  <c r="E81" i="9" s="1"/>
  <c r="D81" i="9" s="1"/>
  <c r="F81" i="9" s="1"/>
  <c r="H81" i="9" s="1"/>
  <c r="AG453" i="9"/>
  <c r="AI452" i="9"/>
  <c r="Y454" i="9"/>
  <c r="AA453" i="9"/>
  <c r="B64" i="14"/>
  <c r="G63" i="14"/>
  <c r="U35" i="12"/>
  <c r="T35" i="12"/>
  <c r="N36" i="12"/>
  <c r="O36" i="12"/>
  <c r="P36" i="12" s="1"/>
  <c r="Q36" i="12" s="1"/>
  <c r="M37" i="12" s="1"/>
  <c r="H92" i="12"/>
  <c r="J92" i="12" s="1"/>
  <c r="A93" i="12"/>
  <c r="C48" i="12"/>
  <c r="D48" i="12"/>
  <c r="E48" i="12" s="1"/>
  <c r="AE51" i="9"/>
  <c r="AF51" i="9" s="1"/>
  <c r="P41" i="9"/>
  <c r="Z38" i="12" l="1"/>
  <c r="AA38" i="12"/>
  <c r="AB38" i="12" s="1"/>
  <c r="X39" i="12" s="1"/>
  <c r="Z39" i="12"/>
  <c r="AA39" i="12" s="1"/>
  <c r="Y39" i="12"/>
  <c r="AD38" i="12"/>
  <c r="U53" i="9"/>
  <c r="T53" i="9" s="1"/>
  <c r="V53" i="9" s="1"/>
  <c r="W53" i="9" s="1"/>
  <c r="X53" i="9" s="1"/>
  <c r="R54" i="9" s="1"/>
  <c r="U54" i="9" s="1"/>
  <c r="T54" i="9" s="1"/>
  <c r="V54" i="9" s="1"/>
  <c r="B82" i="9"/>
  <c r="E82" i="9" s="1"/>
  <c r="D82" i="9" s="1"/>
  <c r="F82" i="9" s="1"/>
  <c r="H82" i="9" s="1"/>
  <c r="D64" i="14"/>
  <c r="C64" i="14"/>
  <c r="E64" i="14"/>
  <c r="AK49" i="9"/>
  <c r="AJ49" i="9" s="1"/>
  <c r="AL49" i="9" s="1"/>
  <c r="AM49" i="9" s="1"/>
  <c r="AN49" i="9" s="1"/>
  <c r="AH50" i="9" s="1"/>
  <c r="Z52" i="9"/>
  <c r="AC52" i="9" s="1"/>
  <c r="AB52" i="9" s="1"/>
  <c r="AD52" i="9" s="1"/>
  <c r="AE52" i="9" s="1"/>
  <c r="AG454" i="9"/>
  <c r="AI453" i="9"/>
  <c r="Y455" i="9"/>
  <c r="AA454" i="9"/>
  <c r="K91" i="12"/>
  <c r="L91" i="12" s="1"/>
  <c r="G92" i="12"/>
  <c r="I92" i="12" s="1"/>
  <c r="V35" i="12"/>
  <c r="W35" i="12" s="1"/>
  <c r="R36" i="12"/>
  <c r="N37" i="12"/>
  <c r="O37" i="12" s="1"/>
  <c r="S36" i="12"/>
  <c r="U36" i="12" s="1"/>
  <c r="H93" i="12"/>
  <c r="J93" i="12" s="1"/>
  <c r="A94" i="12"/>
  <c r="F48" i="12"/>
  <c r="B49" i="12" s="1"/>
  <c r="K92" i="12"/>
  <c r="L92" i="12" s="1"/>
  <c r="G93" i="12"/>
  <c r="J42" i="9"/>
  <c r="AK50" i="9" l="1"/>
  <c r="AJ50" i="9" s="1"/>
  <c r="AL50" i="9" s="1"/>
  <c r="AE38" i="12"/>
  <c r="AF38" i="12"/>
  <c r="AD39" i="12"/>
  <c r="AB39" i="12"/>
  <c r="X40" i="12" s="1"/>
  <c r="G64" i="14"/>
  <c r="B65" i="14"/>
  <c r="B83" i="9"/>
  <c r="E83" i="9" s="1"/>
  <c r="D83" i="9" s="1"/>
  <c r="F83" i="9" s="1"/>
  <c r="H83" i="9" s="1"/>
  <c r="AG455" i="9"/>
  <c r="AI454" i="9"/>
  <c r="Y456" i="9"/>
  <c r="AA455" i="9"/>
  <c r="T36" i="12"/>
  <c r="P37" i="12"/>
  <c r="H94" i="12"/>
  <c r="J94" i="12" s="1"/>
  <c r="A95" i="12"/>
  <c r="C49" i="12"/>
  <c r="D49" i="12"/>
  <c r="I93" i="12"/>
  <c r="AF52" i="9"/>
  <c r="W54" i="9"/>
  <c r="X54" i="9" s="1"/>
  <c r="M42" i="9"/>
  <c r="L42" i="9" s="1"/>
  <c r="AM50" i="9" l="1"/>
  <c r="AN50" i="9" s="1"/>
  <c r="AH51" i="9" s="1"/>
  <c r="AF39" i="12"/>
  <c r="AG38" i="12"/>
  <c r="AH38" i="12" s="1"/>
  <c r="AC39" i="12"/>
  <c r="AE39" i="12" s="1"/>
  <c r="Y40" i="12"/>
  <c r="Z40" i="12"/>
  <c r="AA40" i="12" s="1"/>
  <c r="AB40" i="12" s="1"/>
  <c r="X41" i="12" s="1"/>
  <c r="D65" i="14"/>
  <c r="C65" i="14"/>
  <c r="E65" i="14" s="1"/>
  <c r="Z53" i="9"/>
  <c r="AC53" i="9" s="1"/>
  <c r="AB53" i="9" s="1"/>
  <c r="AD53" i="9" s="1"/>
  <c r="R55" i="9"/>
  <c r="U55" i="9" s="1"/>
  <c r="T55" i="9" s="1"/>
  <c r="V55" i="9" s="1"/>
  <c r="W55" i="9" s="1"/>
  <c r="B84" i="9"/>
  <c r="E84" i="9" s="1"/>
  <c r="D84" i="9" s="1"/>
  <c r="F84" i="9" s="1"/>
  <c r="H84" i="9" s="1"/>
  <c r="AG456" i="9"/>
  <c r="AI455" i="9"/>
  <c r="Y457" i="9"/>
  <c r="AA456" i="9"/>
  <c r="V36" i="12"/>
  <c r="W36" i="12" s="1"/>
  <c r="R37" i="12"/>
  <c r="S37" i="12"/>
  <c r="U37" i="12" s="1"/>
  <c r="Q37" i="12"/>
  <c r="H95" i="12"/>
  <c r="J95" i="12" s="1"/>
  <c r="A96" i="12"/>
  <c r="E49" i="12"/>
  <c r="F49" i="12"/>
  <c r="K93" i="12"/>
  <c r="L93" i="12" s="1"/>
  <c r="G94" i="12"/>
  <c r="I94" i="12" s="1"/>
  <c r="K94" i="12"/>
  <c r="L94" i="12" s="1"/>
  <c r="G95" i="12"/>
  <c r="N42" i="9"/>
  <c r="O42" i="9" s="1"/>
  <c r="AK51" i="9" l="1"/>
  <c r="AJ51" i="9" s="1"/>
  <c r="AL51" i="9" s="1"/>
  <c r="AG39" i="12"/>
  <c r="AH39" i="12" s="1"/>
  <c r="AC40" i="12"/>
  <c r="Y41" i="12"/>
  <c r="Z41" i="12"/>
  <c r="I95" i="12"/>
  <c r="AD40" i="12"/>
  <c r="AF40" i="12" s="1"/>
  <c r="T37" i="12"/>
  <c r="B85" i="9"/>
  <c r="E85" i="9" s="1"/>
  <c r="D85" i="9" s="1"/>
  <c r="F85" i="9" s="1"/>
  <c r="H85" i="9" s="1"/>
  <c r="G65" i="14"/>
  <c r="B66" i="14"/>
  <c r="AG457" i="9"/>
  <c r="AI456" i="9"/>
  <c r="Y458" i="9"/>
  <c r="AA457" i="9"/>
  <c r="D27" i="11" a="1"/>
  <c r="M38" i="12"/>
  <c r="H96" i="12"/>
  <c r="J96" i="12" s="1"/>
  <c r="A97" i="12"/>
  <c r="B28" i="11" a="1"/>
  <c r="B50" i="12"/>
  <c r="AE53" i="9"/>
  <c r="AF53" i="9" s="1"/>
  <c r="X55" i="9"/>
  <c r="P42" i="9"/>
  <c r="AM51" i="9" l="1"/>
  <c r="AN51" i="9"/>
  <c r="AH52" i="9" s="1"/>
  <c r="D66" i="14"/>
  <c r="C66" i="14"/>
  <c r="AE40" i="12"/>
  <c r="AA41" i="12"/>
  <c r="G96" i="12"/>
  <c r="I96" i="12" s="1"/>
  <c r="K95" i="12"/>
  <c r="L95" i="12" s="1"/>
  <c r="V37" i="12"/>
  <c r="W37" i="12" s="1"/>
  <c r="E27" i="11" s="1" a="1"/>
  <c r="H27" i="11" s="1"/>
  <c r="R38" i="12"/>
  <c r="Z54" i="9"/>
  <c r="AC54" i="9" s="1"/>
  <c r="AB54" i="9" s="1"/>
  <c r="AD54" i="9" s="1"/>
  <c r="AE54" i="9" s="1"/>
  <c r="AF54" i="9" s="1"/>
  <c r="Z55" i="9" s="1"/>
  <c r="R56" i="9"/>
  <c r="U56" i="9" s="1"/>
  <c r="T56" i="9" s="1"/>
  <c r="V56" i="9" s="1"/>
  <c r="W56" i="9" s="1"/>
  <c r="B86" i="9"/>
  <c r="E86" i="9" s="1"/>
  <c r="D86" i="9" s="1"/>
  <c r="AG458" i="9"/>
  <c r="AI457" i="9"/>
  <c r="Y459" i="9"/>
  <c r="AA458" i="9"/>
  <c r="E66" i="14"/>
  <c r="N38" i="12"/>
  <c r="H97" i="12"/>
  <c r="J97" i="12" s="1"/>
  <c r="A98" i="12"/>
  <c r="C50" i="12"/>
  <c r="D50" i="12" s="1"/>
  <c r="E50" i="12" s="1"/>
  <c r="J43" i="9"/>
  <c r="AK52" i="9" l="1"/>
  <c r="AJ52" i="9" s="1"/>
  <c r="AL52" i="9" s="1"/>
  <c r="AG40" i="12"/>
  <c r="AH40" i="12" s="1"/>
  <c r="AC41" i="12"/>
  <c r="AD41" i="12"/>
  <c r="AF41" i="12" s="1"/>
  <c r="AB41" i="12"/>
  <c r="X42" i="12" s="1"/>
  <c r="K96" i="12"/>
  <c r="L96" i="12" s="1"/>
  <c r="G97" i="12"/>
  <c r="I97" i="12" s="1"/>
  <c r="B67" i="14"/>
  <c r="G66" i="14"/>
  <c r="AG459" i="9"/>
  <c r="AI458" i="9"/>
  <c r="Y460" i="9"/>
  <c r="AA459" i="9"/>
  <c r="F50" i="12"/>
  <c r="B51" i="12" s="1"/>
  <c r="O38" i="12"/>
  <c r="P38" i="12" s="1"/>
  <c r="H98" i="12"/>
  <c r="J98" i="12" s="1"/>
  <c r="A99" i="12"/>
  <c r="D67" i="14"/>
  <c r="C67" i="14"/>
  <c r="E67" i="14" s="1"/>
  <c r="AC55" i="9"/>
  <c r="AB55" i="9" s="1"/>
  <c r="AD55" i="9" s="1"/>
  <c r="X56" i="9"/>
  <c r="M43" i="9"/>
  <c r="L43" i="9" s="1"/>
  <c r="N43" i="9" s="1"/>
  <c r="O43" i="9" s="1"/>
  <c r="F86" i="9"/>
  <c r="H86" i="9" s="1"/>
  <c r="AM52" i="9" l="1"/>
  <c r="AN52" i="9" s="1"/>
  <c r="AH53" i="9" s="1"/>
  <c r="AE41" i="12"/>
  <c r="AC42" i="12" s="1"/>
  <c r="AG41" i="12"/>
  <c r="AH41" i="12" s="1"/>
  <c r="Y42" i="12"/>
  <c r="Z42" i="12"/>
  <c r="K97" i="12"/>
  <c r="L97" i="12" s="1"/>
  <c r="C32" i="11" s="1" a="1"/>
  <c r="G98" i="12"/>
  <c r="I98" i="12" s="1"/>
  <c r="R57" i="9"/>
  <c r="U57" i="9" s="1"/>
  <c r="T57" i="9" s="1"/>
  <c r="V57" i="9" s="1"/>
  <c r="W57" i="9" s="1"/>
  <c r="B87" i="9"/>
  <c r="E87" i="9" s="1"/>
  <c r="D87" i="9" s="1"/>
  <c r="AG460" i="9"/>
  <c r="AI459" i="9"/>
  <c r="Y461" i="9"/>
  <c r="AA460" i="9"/>
  <c r="C51" i="12"/>
  <c r="D51" i="12" s="1"/>
  <c r="S38" i="12"/>
  <c r="Q38" i="12"/>
  <c r="M39" i="12" s="1"/>
  <c r="H99" i="12"/>
  <c r="J99" i="12" s="1"/>
  <c r="A100" i="12"/>
  <c r="B68" i="14"/>
  <c r="G67" i="14"/>
  <c r="AE55" i="9"/>
  <c r="AF55" i="9" s="1"/>
  <c r="P43" i="9"/>
  <c r="AK53" i="9" l="1"/>
  <c r="AJ53" i="9" s="1"/>
  <c r="AL53" i="9" s="1"/>
  <c r="K98" i="12"/>
  <c r="L98" i="12" s="1"/>
  <c r="G99" i="12"/>
  <c r="I99" i="12" s="1"/>
  <c r="AA42" i="12"/>
  <c r="Z56" i="9"/>
  <c r="AC56" i="9" s="1"/>
  <c r="AB56" i="9" s="1"/>
  <c r="AD56" i="9" s="1"/>
  <c r="J44" i="9"/>
  <c r="AG461" i="9"/>
  <c r="AI460" i="9"/>
  <c r="Y462" i="9"/>
  <c r="AA461" i="9"/>
  <c r="T38" i="12"/>
  <c r="U38" i="12"/>
  <c r="N39" i="12"/>
  <c r="F51" i="12"/>
  <c r="B52" i="12" s="1"/>
  <c r="E51" i="12"/>
  <c r="H100" i="12"/>
  <c r="J100" i="12" s="1"/>
  <c r="A101" i="12"/>
  <c r="D68" i="14"/>
  <c r="C68" i="14"/>
  <c r="E68" i="14" s="1"/>
  <c r="C52" i="12"/>
  <c r="D52" i="12"/>
  <c r="X57" i="9"/>
  <c r="F87" i="9"/>
  <c r="H87" i="9" s="1"/>
  <c r="AM53" i="9" l="1"/>
  <c r="AN53" i="9" s="1"/>
  <c r="AH54" i="9" s="1"/>
  <c r="M44" i="9"/>
  <c r="L44" i="9" s="1"/>
  <c r="N44" i="9" s="1"/>
  <c r="O44" i="9"/>
  <c r="P44" i="9" s="1"/>
  <c r="AB42" i="12"/>
  <c r="X43" i="12" s="1"/>
  <c r="AD42" i="12"/>
  <c r="E52" i="12"/>
  <c r="F52" i="12"/>
  <c r="B53" i="12" s="1"/>
  <c r="R58" i="9"/>
  <c r="U58" i="9" s="1"/>
  <c r="T58" i="9" s="1"/>
  <c r="V58" i="9" s="1"/>
  <c r="B88" i="9"/>
  <c r="E88" i="9" s="1"/>
  <c r="D88" i="9" s="1"/>
  <c r="AG462" i="9"/>
  <c r="AI461" i="9"/>
  <c r="Y463" i="9"/>
  <c r="AA462" i="9"/>
  <c r="R39" i="12"/>
  <c r="V38" i="12"/>
  <c r="W38" i="12" s="1"/>
  <c r="O39" i="12"/>
  <c r="H101" i="12"/>
  <c r="J101" i="12" s="1"/>
  <c r="A102" i="12"/>
  <c r="B69" i="14"/>
  <c r="G68" i="14"/>
  <c r="K99" i="12"/>
  <c r="L99" i="12" s="1"/>
  <c r="G100" i="12"/>
  <c r="I100" i="12" s="1"/>
  <c r="AE56" i="9"/>
  <c r="AF56" i="9" s="1"/>
  <c r="AK54" i="9" l="1"/>
  <c r="AJ54" i="9" s="1"/>
  <c r="AL54" i="9" s="1"/>
  <c r="Y43" i="12"/>
  <c r="Z43" i="12" s="1"/>
  <c r="AF42" i="12"/>
  <c r="AE42" i="12"/>
  <c r="C53" i="12"/>
  <c r="D53" i="12"/>
  <c r="E53" i="12" s="1"/>
  <c r="P39" i="12"/>
  <c r="K100" i="12"/>
  <c r="L100" i="12" s="1"/>
  <c r="G101" i="12"/>
  <c r="I101" i="12" s="1"/>
  <c r="Z57" i="9"/>
  <c r="J45" i="9"/>
  <c r="AG463" i="9"/>
  <c r="AI462" i="9"/>
  <c r="Y464" i="9"/>
  <c r="AA463" i="9"/>
  <c r="H102" i="12"/>
  <c r="J102" i="12" s="1"/>
  <c r="A103" i="12"/>
  <c r="D69" i="14"/>
  <c r="C69" i="14"/>
  <c r="E69" i="14" s="1"/>
  <c r="W58" i="9"/>
  <c r="X58" i="9" s="1"/>
  <c r="F88" i="9"/>
  <c r="H88" i="9" s="1"/>
  <c r="AM54" i="9" l="1"/>
  <c r="AN54" i="9" s="1"/>
  <c r="AH55" i="9" s="1"/>
  <c r="M45" i="9"/>
  <c r="L45" i="9" s="1"/>
  <c r="N45" i="9" s="1"/>
  <c r="O45" i="9"/>
  <c r="P45" i="9" s="1"/>
  <c r="F53" i="12"/>
  <c r="B54" i="12" s="1"/>
  <c r="AG42" i="12"/>
  <c r="AH42" i="12" s="1"/>
  <c r="AC43" i="12"/>
  <c r="AA43" i="12"/>
  <c r="S39" i="12"/>
  <c r="Q39" i="12"/>
  <c r="M40" i="12" s="1"/>
  <c r="AC57" i="9"/>
  <c r="AB57" i="9" s="1"/>
  <c r="AD57" i="9" s="1"/>
  <c r="AE57" i="9" s="1"/>
  <c r="AF57" i="9" s="1"/>
  <c r="Z58" i="9" s="1"/>
  <c r="AC58" i="9" s="1"/>
  <c r="AB58" i="9" s="1"/>
  <c r="AD58" i="9" s="1"/>
  <c r="R59" i="9"/>
  <c r="U59" i="9" s="1"/>
  <c r="T59" i="9" s="1"/>
  <c r="V59" i="9" s="1"/>
  <c r="B89" i="9"/>
  <c r="E89" i="9" s="1"/>
  <c r="D89" i="9" s="1"/>
  <c r="AG464" i="9"/>
  <c r="AI463" i="9"/>
  <c r="Y465" i="9"/>
  <c r="AA464" i="9"/>
  <c r="K101" i="12"/>
  <c r="L101" i="12" s="1"/>
  <c r="G102" i="12"/>
  <c r="I102" i="12" s="1"/>
  <c r="H103" i="12"/>
  <c r="J103" i="12" s="1"/>
  <c r="A104" i="12"/>
  <c r="B70" i="14"/>
  <c r="G69" i="14"/>
  <c r="AK55" i="9" l="1"/>
  <c r="AJ55" i="9" s="1"/>
  <c r="AL55" i="9" s="1"/>
  <c r="D54" i="12"/>
  <c r="E54" i="12" s="1"/>
  <c r="C54" i="12"/>
  <c r="F54" i="12" s="1"/>
  <c r="B55" i="12" s="1"/>
  <c r="AD43" i="12"/>
  <c r="AB43" i="12"/>
  <c r="X44" i="12" s="1"/>
  <c r="Z44" i="12"/>
  <c r="Y44" i="12"/>
  <c r="T39" i="12"/>
  <c r="U39" i="12"/>
  <c r="N40" i="12"/>
  <c r="O40" i="12" s="1"/>
  <c r="P40" i="12" s="1"/>
  <c r="J46" i="9"/>
  <c r="AI464" i="9"/>
  <c r="AG465" i="9"/>
  <c r="Y466" i="9"/>
  <c r="AA465" i="9"/>
  <c r="H104" i="12"/>
  <c r="J104" i="12" s="1"/>
  <c r="A105" i="12"/>
  <c r="D70" i="14"/>
  <c r="C70" i="14"/>
  <c r="E70" i="14" s="1"/>
  <c r="K102" i="12"/>
  <c r="L102" i="12" s="1"/>
  <c r="G103" i="12"/>
  <c r="I103" i="12" s="1"/>
  <c r="W59" i="9"/>
  <c r="X59" i="9" s="1"/>
  <c r="AE58" i="9"/>
  <c r="AF58" i="9" s="1"/>
  <c r="F89" i="9"/>
  <c r="H89" i="9" s="1"/>
  <c r="AM55" i="9" l="1"/>
  <c r="AN55" i="9" s="1"/>
  <c r="AH56" i="9" s="1"/>
  <c r="M46" i="9"/>
  <c r="L46" i="9" s="1"/>
  <c r="N46" i="9" s="1"/>
  <c r="O46" i="9"/>
  <c r="P46" i="9" s="1"/>
  <c r="AE43" i="12"/>
  <c r="AF43" i="12"/>
  <c r="AA44" i="12"/>
  <c r="AD44" i="12" s="1"/>
  <c r="AF44" i="12" s="1"/>
  <c r="R40" i="12"/>
  <c r="V39" i="12"/>
  <c r="W39" i="12" s="1"/>
  <c r="S40" i="12"/>
  <c r="Q40" i="12"/>
  <c r="M41" i="12" s="1"/>
  <c r="K103" i="12"/>
  <c r="L103" i="12" s="1"/>
  <c r="G104" i="12"/>
  <c r="I104" i="12" s="1"/>
  <c r="AB44" i="12"/>
  <c r="X45" i="12" s="1"/>
  <c r="R60" i="9"/>
  <c r="Z59" i="9"/>
  <c r="B90" i="9"/>
  <c r="E90" i="9" s="1"/>
  <c r="D90" i="9" s="1"/>
  <c r="AG466" i="9"/>
  <c r="AI465" i="9"/>
  <c r="Y467" i="9"/>
  <c r="AA466" i="9"/>
  <c r="C55" i="12"/>
  <c r="D55" i="12" s="1"/>
  <c r="E55" i="12" s="1"/>
  <c r="H105" i="12"/>
  <c r="J105" i="12" s="1"/>
  <c r="A106" i="12"/>
  <c r="B71" i="14"/>
  <c r="G70" i="14"/>
  <c r="AK56" i="9" l="1"/>
  <c r="AJ56" i="9" s="1"/>
  <c r="AL56" i="9" s="1"/>
  <c r="AC44" i="12"/>
  <c r="AE44" i="12" s="1"/>
  <c r="AG43" i="12"/>
  <c r="AH43" i="12" s="1"/>
  <c r="AG44" i="12"/>
  <c r="AH44" i="12" s="1"/>
  <c r="AC45" i="12"/>
  <c r="T40" i="12"/>
  <c r="U40" i="12"/>
  <c r="Y45" i="12"/>
  <c r="Z45" i="12" s="1"/>
  <c r="F55" i="12"/>
  <c r="B56" i="12" s="1"/>
  <c r="C56" i="12" s="1"/>
  <c r="D56" i="12" s="1"/>
  <c r="N41" i="12"/>
  <c r="U60" i="9"/>
  <c r="T60" i="9" s="1"/>
  <c r="V60" i="9" s="1"/>
  <c r="W60" i="9" s="1"/>
  <c r="X60" i="9" s="1"/>
  <c r="R61" i="9" s="1"/>
  <c r="U61" i="9" s="1"/>
  <c r="T61" i="9" s="1"/>
  <c r="V61" i="9" s="1"/>
  <c r="AC59" i="9"/>
  <c r="AB59" i="9" s="1"/>
  <c r="AD59" i="9" s="1"/>
  <c r="AE59" i="9" s="1"/>
  <c r="AF59" i="9" s="1"/>
  <c r="Z60" i="9" s="1"/>
  <c r="AC60" i="9" s="1"/>
  <c r="AB60" i="9" s="1"/>
  <c r="AD60" i="9" s="1"/>
  <c r="J47" i="9"/>
  <c r="AG467" i="9"/>
  <c r="AI466" i="9"/>
  <c r="Y468" i="9"/>
  <c r="AA467" i="9"/>
  <c r="K104" i="12"/>
  <c r="L104" i="12" s="1"/>
  <c r="G105" i="12"/>
  <c r="I105" i="12" s="1"/>
  <c r="H106" i="12"/>
  <c r="J106" i="12" s="1"/>
  <c r="A107" i="12"/>
  <c r="D71" i="14"/>
  <c r="C71" i="14"/>
  <c r="E71" i="14" s="1"/>
  <c r="F90" i="9"/>
  <c r="H90" i="9" s="1"/>
  <c r="AM56" i="9" l="1"/>
  <c r="AN56" i="9" s="1"/>
  <c r="AH57" i="9" s="1"/>
  <c r="M47" i="9"/>
  <c r="L47" i="9" s="1"/>
  <c r="N47" i="9" s="1"/>
  <c r="O47" i="9"/>
  <c r="P47" i="9" s="1"/>
  <c r="V40" i="12"/>
  <c r="W40" i="12" s="1"/>
  <c r="R41" i="12"/>
  <c r="AA45" i="12"/>
  <c r="O41" i="12"/>
  <c r="P41" i="12" s="1"/>
  <c r="B91" i="9"/>
  <c r="E91" i="9" s="1"/>
  <c r="D91" i="9" s="1"/>
  <c r="F91" i="9" s="1"/>
  <c r="H91" i="9" s="1"/>
  <c r="AG468" i="9"/>
  <c r="AI467" i="9"/>
  <c r="Y469" i="9"/>
  <c r="AA468" i="9"/>
  <c r="H107" i="12"/>
  <c r="J107" i="12" s="1"/>
  <c r="A108" i="12"/>
  <c r="B72" i="14"/>
  <c r="G71" i="14"/>
  <c r="E56" i="12"/>
  <c r="F56" i="12"/>
  <c r="B57" i="12" s="1"/>
  <c r="K105" i="12"/>
  <c r="L105" i="12" s="1"/>
  <c r="G106" i="12"/>
  <c r="I106" i="12" s="1"/>
  <c r="K106" i="12"/>
  <c r="L106" i="12" s="1"/>
  <c r="G107" i="12"/>
  <c r="AE60" i="9"/>
  <c r="AF60" i="9" s="1"/>
  <c r="W61" i="9"/>
  <c r="X61" i="9" s="1"/>
  <c r="AK57" i="9" l="1"/>
  <c r="AJ57" i="9" s="1"/>
  <c r="AL57" i="9" s="1"/>
  <c r="AB45" i="12"/>
  <c r="X46" i="12" s="1"/>
  <c r="AD45" i="12"/>
  <c r="Y46" i="12"/>
  <c r="S41" i="12"/>
  <c r="Q41" i="12"/>
  <c r="M42" i="12" s="1"/>
  <c r="Z61" i="9"/>
  <c r="AC61" i="9" s="1"/>
  <c r="AB61" i="9" s="1"/>
  <c r="AD61" i="9" s="1"/>
  <c r="R62" i="9"/>
  <c r="U62" i="9" s="1"/>
  <c r="T62" i="9" s="1"/>
  <c r="V62" i="9" s="1"/>
  <c r="J48" i="9"/>
  <c r="B92" i="9"/>
  <c r="E92" i="9" s="1"/>
  <c r="D92" i="9" s="1"/>
  <c r="F92" i="9" s="1"/>
  <c r="H92" i="9" s="1"/>
  <c r="AG469" i="9"/>
  <c r="AI468" i="9"/>
  <c r="Y470" i="9"/>
  <c r="AA469" i="9"/>
  <c r="H108" i="12"/>
  <c r="J108" i="12" s="1"/>
  <c r="A109" i="12"/>
  <c r="D72" i="14"/>
  <c r="C72" i="14"/>
  <c r="E72" i="14" s="1"/>
  <c r="C57" i="12"/>
  <c r="D57" i="12" s="1"/>
  <c r="I107" i="12"/>
  <c r="K107" i="12"/>
  <c r="L107" i="12" s="1"/>
  <c r="G108" i="12"/>
  <c r="AM57" i="9" l="1"/>
  <c r="AN57" i="9" s="1"/>
  <c r="AH58" i="9" s="1"/>
  <c r="M48" i="9"/>
  <c r="L48" i="9" s="1"/>
  <c r="N48" i="9" s="1"/>
  <c r="O48" i="9"/>
  <c r="AE45" i="12"/>
  <c r="AF45" i="12"/>
  <c r="AC46" i="12"/>
  <c r="AG45" i="12"/>
  <c r="AH45" i="12" s="1"/>
  <c r="Z46" i="12"/>
  <c r="AA46" i="12" s="1"/>
  <c r="U41" i="12"/>
  <c r="T41" i="12"/>
  <c r="N42" i="12"/>
  <c r="B93" i="9"/>
  <c r="E93" i="9" s="1"/>
  <c r="D93" i="9" s="1"/>
  <c r="F93" i="9" s="1"/>
  <c r="H93" i="9" s="1"/>
  <c r="AG470" i="9"/>
  <c r="AI469" i="9"/>
  <c r="Y471" i="9"/>
  <c r="AA470" i="9"/>
  <c r="H109" i="12"/>
  <c r="J109" i="12" s="1"/>
  <c r="A110" i="12"/>
  <c r="B73" i="14"/>
  <c r="G72" i="14"/>
  <c r="I108" i="12"/>
  <c r="F57" i="12"/>
  <c r="B58" i="12" s="1"/>
  <c r="E57" i="12"/>
  <c r="AE61" i="9"/>
  <c r="AF61" i="9" s="1"/>
  <c r="W62" i="9"/>
  <c r="X62" i="9" s="1"/>
  <c r="P48" i="9"/>
  <c r="AK58" i="9" l="1"/>
  <c r="AJ58" i="9" s="1"/>
  <c r="AL58" i="9" s="1"/>
  <c r="AD46" i="12"/>
  <c r="AB46" i="12"/>
  <c r="X47" i="12" s="1"/>
  <c r="R42" i="12"/>
  <c r="V41" i="12"/>
  <c r="W41" i="12" s="1"/>
  <c r="O42" i="12"/>
  <c r="P42" i="12"/>
  <c r="Z62" i="9"/>
  <c r="AC62" i="9" s="1"/>
  <c r="AB62" i="9" s="1"/>
  <c r="C39" i="7" s="1" a="1"/>
  <c r="R63" i="9"/>
  <c r="U63" i="9" s="1"/>
  <c r="T63" i="9" s="1"/>
  <c r="V63" i="9" s="1"/>
  <c r="J49" i="9"/>
  <c r="B94" i="9"/>
  <c r="E94" i="9" s="1"/>
  <c r="D94" i="9" s="1"/>
  <c r="F94" i="9" s="1"/>
  <c r="H94" i="9" s="1"/>
  <c r="AG471" i="9"/>
  <c r="AI470" i="9"/>
  <c r="Y472" i="9"/>
  <c r="AA471" i="9"/>
  <c r="H110" i="12"/>
  <c r="J110" i="12" s="1"/>
  <c r="A111" i="12"/>
  <c r="D73" i="14"/>
  <c r="C73" i="14"/>
  <c r="E73" i="14" s="1"/>
  <c r="C58" i="12"/>
  <c r="D58" i="12" s="1"/>
  <c r="K108" i="12"/>
  <c r="L108" i="12" s="1"/>
  <c r="G109" i="12"/>
  <c r="I109" i="12" s="1"/>
  <c r="AM58" i="9" l="1"/>
  <c r="AN58" i="9" s="1"/>
  <c r="AH59" i="9" s="1"/>
  <c r="M49" i="9"/>
  <c r="AE46" i="12"/>
  <c r="AF46" i="12"/>
  <c r="Y47" i="12"/>
  <c r="S42" i="12"/>
  <c r="Q42" i="12"/>
  <c r="M43" i="12" s="1"/>
  <c r="E58" i="12"/>
  <c r="F58" i="12"/>
  <c r="B59" i="12" s="1"/>
  <c r="B95" i="9"/>
  <c r="AG472" i="9"/>
  <c r="AI471" i="9"/>
  <c r="Y473" i="9"/>
  <c r="AA472" i="9"/>
  <c r="K109" i="12"/>
  <c r="L109" i="12" s="1"/>
  <c r="C33" i="11" s="1" a="1"/>
  <c r="G110" i="12"/>
  <c r="I110" i="12" s="1"/>
  <c r="H111" i="12"/>
  <c r="J111" i="12" s="1"/>
  <c r="A112" i="12"/>
  <c r="B74" i="14"/>
  <c r="G73" i="14"/>
  <c r="AD62" i="9"/>
  <c r="AE62" i="9" s="1"/>
  <c r="W63" i="9"/>
  <c r="X63" i="9" s="1"/>
  <c r="L49" i="9"/>
  <c r="N49" i="9" s="1"/>
  <c r="O49" i="9" s="1"/>
  <c r="E95" i="9"/>
  <c r="D95" i="9" s="1"/>
  <c r="F95" i="9" s="1"/>
  <c r="H95" i="9" s="1"/>
  <c r="AK59" i="9" l="1"/>
  <c r="AJ59" i="9" s="1"/>
  <c r="AL59" i="9" s="1"/>
  <c r="AG46" i="12"/>
  <c r="AH46" i="12" s="1"/>
  <c r="AC47" i="12"/>
  <c r="Z47" i="12"/>
  <c r="T42" i="12"/>
  <c r="R43" i="12" s="1"/>
  <c r="U42" i="12"/>
  <c r="N43" i="12"/>
  <c r="C59" i="12"/>
  <c r="D59" i="12"/>
  <c r="E59" i="12" s="1"/>
  <c r="R64" i="9"/>
  <c r="B96" i="9"/>
  <c r="AG473" i="9"/>
  <c r="AI472" i="9"/>
  <c r="Y474" i="9"/>
  <c r="AA473" i="9"/>
  <c r="G111" i="12"/>
  <c r="I111" i="12" s="1"/>
  <c r="K110" i="12"/>
  <c r="L110" i="12" s="1"/>
  <c r="V42" i="12"/>
  <c r="W42" i="12" s="1"/>
  <c r="H112" i="12"/>
  <c r="J112" i="12" s="1"/>
  <c r="A113" i="12"/>
  <c r="D74" i="14"/>
  <c r="C74" i="14"/>
  <c r="E74" i="14" s="1"/>
  <c r="F59" i="12"/>
  <c r="B60" i="12" s="1"/>
  <c r="K111" i="12"/>
  <c r="L111" i="12" s="1"/>
  <c r="G112" i="12"/>
  <c r="AF62" i="9"/>
  <c r="U64" i="9"/>
  <c r="T64" i="9" s="1"/>
  <c r="V64" i="9" s="1"/>
  <c r="P49" i="9"/>
  <c r="E96" i="9"/>
  <c r="D96" i="9" s="1"/>
  <c r="F96" i="9" s="1"/>
  <c r="H96" i="9" s="1"/>
  <c r="AM59" i="9" l="1"/>
  <c r="AN59" i="9" s="1"/>
  <c r="AH60" i="9" s="1"/>
  <c r="AA47" i="12"/>
  <c r="O43" i="12"/>
  <c r="P43" i="12" s="1"/>
  <c r="B97" i="9"/>
  <c r="E97" i="9" s="1"/>
  <c r="D97" i="9" s="1"/>
  <c r="F97" i="9" s="1"/>
  <c r="H97" i="9" s="1"/>
  <c r="Z63" i="9"/>
  <c r="J50" i="9"/>
  <c r="AG474" i="9"/>
  <c r="AI473" i="9"/>
  <c r="Y475" i="9"/>
  <c r="AA474" i="9"/>
  <c r="H113" i="12"/>
  <c r="J113" i="12" s="1"/>
  <c r="A114" i="12"/>
  <c r="B75" i="14"/>
  <c r="G74" i="14"/>
  <c r="C60" i="12"/>
  <c r="D60" i="12" s="1"/>
  <c r="I112" i="12"/>
  <c r="W64" i="9"/>
  <c r="X64" i="9" s="1"/>
  <c r="AK60" i="9" l="1"/>
  <c r="AJ60" i="9" s="1"/>
  <c r="AL60" i="9" s="1"/>
  <c r="M50" i="9"/>
  <c r="L50" i="9" s="1"/>
  <c r="N50" i="9" s="1"/>
  <c r="O50" i="9"/>
  <c r="P50" i="9" s="1"/>
  <c r="AD47" i="12"/>
  <c r="AB47" i="12"/>
  <c r="X48" i="12" s="1"/>
  <c r="Q43" i="12"/>
  <c r="M44" i="12" s="1"/>
  <c r="N44" i="12" s="1"/>
  <c r="S43" i="12"/>
  <c r="AC63" i="9"/>
  <c r="AB63" i="9"/>
  <c r="AD63" i="9" s="1"/>
  <c r="AE63" i="9" s="1"/>
  <c r="AF63" i="9" s="1"/>
  <c r="Z64" i="9" s="1"/>
  <c r="R65" i="9"/>
  <c r="U65" i="9" s="1"/>
  <c r="T65" i="9" s="1"/>
  <c r="V65" i="9" s="1"/>
  <c r="W65" i="9" s="1"/>
  <c r="X65" i="9" s="1"/>
  <c r="B98" i="9"/>
  <c r="E98" i="9" s="1"/>
  <c r="D98" i="9" s="1"/>
  <c r="AG475" i="9"/>
  <c r="AI474" i="9"/>
  <c r="Y476" i="9"/>
  <c r="AA475" i="9"/>
  <c r="K112" i="12"/>
  <c r="L112" i="12" s="1"/>
  <c r="G113" i="12"/>
  <c r="I113" i="12" s="1"/>
  <c r="H114" i="12"/>
  <c r="J114" i="12" s="1"/>
  <c r="A115" i="12"/>
  <c r="D75" i="14"/>
  <c r="C75" i="14"/>
  <c r="E75" i="14" s="1"/>
  <c r="F60" i="12"/>
  <c r="B61" i="12" s="1"/>
  <c r="E60" i="12"/>
  <c r="AM60" i="9" l="1"/>
  <c r="AN60" i="9" s="1"/>
  <c r="AH61" i="9" s="1"/>
  <c r="AF47" i="12"/>
  <c r="AE47" i="12"/>
  <c r="Y48" i="12"/>
  <c r="Z48" i="12" s="1"/>
  <c r="T43" i="12"/>
  <c r="U43" i="12"/>
  <c r="AC64" i="9"/>
  <c r="AB64" i="9"/>
  <c r="AD64" i="9" s="1"/>
  <c r="AE64" i="9" s="1"/>
  <c r="AF64" i="9" s="1"/>
  <c r="Z65" i="9" s="1"/>
  <c r="AC65" i="9" s="1"/>
  <c r="AB65" i="9" s="1"/>
  <c r="AD65" i="9" s="1"/>
  <c r="AE65" i="9" s="1"/>
  <c r="AF65" i="9" s="1"/>
  <c r="Z66" i="9" s="1"/>
  <c r="R66" i="9"/>
  <c r="U66" i="9" s="1"/>
  <c r="T66" i="9" s="1"/>
  <c r="V66" i="9" s="1"/>
  <c r="AG476" i="9"/>
  <c r="AI475" i="9"/>
  <c r="Y477" i="9"/>
  <c r="AA476" i="9"/>
  <c r="K113" i="12"/>
  <c r="L113" i="12" s="1"/>
  <c r="G114" i="12"/>
  <c r="I114" i="12" s="1"/>
  <c r="O44" i="12"/>
  <c r="H115" i="12"/>
  <c r="J115" i="12" s="1"/>
  <c r="A116" i="12"/>
  <c r="B76" i="14"/>
  <c r="G75" i="14"/>
  <c r="C61" i="12"/>
  <c r="D61" i="12"/>
  <c r="E61" i="12" s="1"/>
  <c r="J51" i="9"/>
  <c r="F98" i="9"/>
  <c r="H98" i="9" s="1"/>
  <c r="AK61" i="9" l="1"/>
  <c r="AJ61" i="9" s="1"/>
  <c r="AL61" i="9" s="1"/>
  <c r="R44" i="12"/>
  <c r="V43" i="12"/>
  <c r="W43" i="12" s="1"/>
  <c r="AG47" i="12"/>
  <c r="AH47" i="12" s="1"/>
  <c r="AC48" i="12"/>
  <c r="F61" i="12"/>
  <c r="AA48" i="12"/>
  <c r="B99" i="9"/>
  <c r="E99" i="9" s="1"/>
  <c r="D99" i="9" s="1"/>
  <c r="AG477" i="9"/>
  <c r="AI476" i="9"/>
  <c r="Y478" i="9"/>
  <c r="AA477" i="9"/>
  <c r="P44" i="12"/>
  <c r="H116" i="12"/>
  <c r="J116" i="12" s="1"/>
  <c r="A117" i="12"/>
  <c r="D76" i="14"/>
  <c r="C76" i="14"/>
  <c r="B29" i="11" a="1"/>
  <c r="B62" i="12"/>
  <c r="K114" i="12"/>
  <c r="L114" i="12" s="1"/>
  <c r="G115" i="12"/>
  <c r="I115" i="12" s="1"/>
  <c r="AC66" i="9"/>
  <c r="AB66" i="9" s="1"/>
  <c r="AD66" i="9" s="1"/>
  <c r="AE66" i="9" s="1"/>
  <c r="W66" i="9"/>
  <c r="X66" i="9" s="1"/>
  <c r="M51" i="9"/>
  <c r="L51" i="9" s="1"/>
  <c r="N51" i="9" s="1"/>
  <c r="O51" i="9" s="1"/>
  <c r="AM61" i="9" l="1"/>
  <c r="AN61" i="9" s="1"/>
  <c r="AH62" i="9" s="1"/>
  <c r="AB48" i="12"/>
  <c r="X49" i="12" s="1"/>
  <c r="AD48" i="12"/>
  <c r="S44" i="12"/>
  <c r="Q44" i="12"/>
  <c r="M45" i="12" s="1"/>
  <c r="N45" i="12" s="1"/>
  <c r="Y49" i="12"/>
  <c r="AA49" i="12" s="1"/>
  <c r="AB49" i="12" s="1"/>
  <c r="Z49" i="12"/>
  <c r="G116" i="12"/>
  <c r="I116" i="12" s="1"/>
  <c r="K115" i="12"/>
  <c r="L115" i="12" s="1"/>
  <c r="R67" i="9"/>
  <c r="U67" i="9" s="1"/>
  <c r="T67" i="9" s="1"/>
  <c r="V67" i="9" s="1"/>
  <c r="AG478" i="9"/>
  <c r="AI477" i="9"/>
  <c r="Y479" i="9"/>
  <c r="AA478" i="9"/>
  <c r="T44" i="12"/>
  <c r="U44" i="12"/>
  <c r="H117" i="12"/>
  <c r="J117" i="12" s="1"/>
  <c r="A118" i="12"/>
  <c r="C62" i="12"/>
  <c r="E76" i="14"/>
  <c r="AF66" i="9"/>
  <c r="P51" i="9"/>
  <c r="F99" i="9"/>
  <c r="H99" i="9" s="1"/>
  <c r="AK62" i="9" l="1"/>
  <c r="AJ62" i="9" s="1"/>
  <c r="AE48" i="12"/>
  <c r="AF48" i="12"/>
  <c r="F28" i="11" a="1"/>
  <c r="X50" i="12"/>
  <c r="AD49" i="12"/>
  <c r="Z67" i="9"/>
  <c r="AC67" i="9" s="1"/>
  <c r="AB67" i="9" s="1"/>
  <c r="AD67" i="9" s="1"/>
  <c r="B100" i="9"/>
  <c r="E100" i="9" s="1"/>
  <c r="D100" i="9" s="1"/>
  <c r="AG479" i="9"/>
  <c r="AI478" i="9"/>
  <c r="Y480" i="9"/>
  <c r="AA479" i="9"/>
  <c r="K116" i="12"/>
  <c r="L116" i="12" s="1"/>
  <c r="G117" i="12"/>
  <c r="I117" i="12" s="1"/>
  <c r="V44" i="12"/>
  <c r="W44" i="12" s="1"/>
  <c r="R45" i="12"/>
  <c r="O45" i="12"/>
  <c r="P45" i="12"/>
  <c r="S45" i="12" s="1"/>
  <c r="U45" i="12" s="1"/>
  <c r="H118" i="12"/>
  <c r="J118" i="12" s="1"/>
  <c r="A119" i="12"/>
  <c r="G76" i="14"/>
  <c r="B77" i="14"/>
  <c r="D62" i="12"/>
  <c r="W67" i="9"/>
  <c r="X67" i="9" s="1"/>
  <c r="J52" i="9"/>
  <c r="C40" i="7" l="1" a="1"/>
  <c r="H11" i="7" s="1"/>
  <c r="AL62" i="9"/>
  <c r="AC49" i="12"/>
  <c r="AG48" i="12"/>
  <c r="AH48" i="12" s="1"/>
  <c r="Y50" i="12"/>
  <c r="AE49" i="12"/>
  <c r="AF49" i="12"/>
  <c r="R68" i="9"/>
  <c r="U68" i="9" s="1"/>
  <c r="T68" i="9" s="1"/>
  <c r="V68" i="9" s="1"/>
  <c r="AG480" i="9"/>
  <c r="AI479" i="9"/>
  <c r="Y481" i="9"/>
  <c r="AA481" i="9" s="1"/>
  <c r="AA480" i="9"/>
  <c r="G118" i="12"/>
  <c r="I118" i="12" s="1"/>
  <c r="G119" i="12" s="1"/>
  <c r="K117" i="12"/>
  <c r="L117" i="12" s="1"/>
  <c r="T45" i="12"/>
  <c r="Q45" i="12"/>
  <c r="M46" i="12" s="1"/>
  <c r="H119" i="12"/>
  <c r="J119" i="12" s="1"/>
  <c r="A120" i="12"/>
  <c r="D77" i="14"/>
  <c r="C77" i="14"/>
  <c r="E77" i="14" s="1"/>
  <c r="E62" i="12"/>
  <c r="F62" i="12"/>
  <c r="B63" i="12" s="1"/>
  <c r="K118" i="12"/>
  <c r="L118" i="12" s="1"/>
  <c r="AE67" i="9"/>
  <c r="AF67" i="9" s="1"/>
  <c r="M52" i="9"/>
  <c r="L52" i="9" s="1"/>
  <c r="N52" i="9" s="1"/>
  <c r="O52" i="9" s="1"/>
  <c r="P52" i="9" s="1"/>
  <c r="F100" i="9"/>
  <c r="H100" i="9" s="1"/>
  <c r="AM62" i="9" l="1"/>
  <c r="AN62" i="9" s="1"/>
  <c r="AH63" i="9" s="1"/>
  <c r="AG49" i="12"/>
  <c r="AH49" i="12" s="1"/>
  <c r="G28" i="11" s="1" a="1"/>
  <c r="AC50" i="12"/>
  <c r="Z50" i="12"/>
  <c r="Z68" i="9"/>
  <c r="AC68" i="9" s="1"/>
  <c r="AB68" i="9" s="1"/>
  <c r="AD68" i="9" s="1"/>
  <c r="AE68" i="9" s="1"/>
  <c r="AF68" i="9" s="1"/>
  <c r="Z69" i="9" s="1"/>
  <c r="B101" i="9"/>
  <c r="AG481" i="9"/>
  <c r="AI481" i="9" s="1"/>
  <c r="AI480" i="9"/>
  <c r="V45" i="12"/>
  <c r="W45" i="12" s="1"/>
  <c r="R46" i="12"/>
  <c r="N46" i="12"/>
  <c r="H120" i="12"/>
  <c r="J120" i="12" s="1"/>
  <c r="A121" i="12"/>
  <c r="G77" i="14"/>
  <c r="B78" i="14"/>
  <c r="C63" i="12"/>
  <c r="D63" i="12" s="1"/>
  <c r="E63" i="12" s="1"/>
  <c r="I119" i="12"/>
  <c r="W68" i="9"/>
  <c r="X68" i="9" s="1"/>
  <c r="J53" i="9"/>
  <c r="E101" i="9"/>
  <c r="D101" i="9" s="1"/>
  <c r="AK63" i="9" l="1"/>
  <c r="AJ63" i="9" s="1"/>
  <c r="AL63" i="9" s="1"/>
  <c r="AM63" i="9" s="1"/>
  <c r="AN63" i="9" s="1"/>
  <c r="AH64" i="9" s="1"/>
  <c r="G120" i="12"/>
  <c r="K119" i="12"/>
  <c r="L119" i="12" s="1"/>
  <c r="AA50" i="12"/>
  <c r="AB50" i="12" s="1"/>
  <c r="X51" i="12" s="1"/>
  <c r="AD50" i="12"/>
  <c r="R69" i="9"/>
  <c r="U69" i="9" s="1"/>
  <c r="T69" i="9" s="1"/>
  <c r="V69" i="9" s="1"/>
  <c r="W69" i="9" s="1"/>
  <c r="X69" i="9" s="1"/>
  <c r="R70" i="9" s="1"/>
  <c r="F63" i="12"/>
  <c r="B64" i="12" s="1"/>
  <c r="O46" i="12"/>
  <c r="P46" i="12" s="1"/>
  <c r="H121" i="12"/>
  <c r="J121" i="12" s="1"/>
  <c r="A122" i="12"/>
  <c r="C78" i="14"/>
  <c r="D78" i="14"/>
  <c r="C64" i="12"/>
  <c r="D64" i="12"/>
  <c r="E64" i="12" s="1"/>
  <c r="I120" i="12"/>
  <c r="AC69" i="9"/>
  <c r="AB69" i="9" s="1"/>
  <c r="AD69" i="9" s="1"/>
  <c r="AE69" i="9" s="1"/>
  <c r="AF69" i="9" s="1"/>
  <c r="M53" i="9"/>
  <c r="L53" i="9" s="1"/>
  <c r="N53" i="9" s="1"/>
  <c r="O53" i="9" s="1"/>
  <c r="F101" i="9"/>
  <c r="H101" i="9" s="1"/>
  <c r="AK64" i="9" l="1"/>
  <c r="AJ64" i="9" s="1"/>
  <c r="AL64" i="9" s="1"/>
  <c r="Y51" i="12"/>
  <c r="AE50" i="12"/>
  <c r="AF50" i="12"/>
  <c r="K120" i="12"/>
  <c r="L120" i="12" s="1"/>
  <c r="G121" i="12"/>
  <c r="I121" i="12" s="1"/>
  <c r="E78" i="14"/>
  <c r="Z70" i="9"/>
  <c r="B102" i="9"/>
  <c r="E102" i="9" s="1"/>
  <c r="D102" i="9" s="1"/>
  <c r="F64" i="12"/>
  <c r="B65" i="12" s="1"/>
  <c r="Q46" i="12"/>
  <c r="M47" i="12" s="1"/>
  <c r="S46" i="12"/>
  <c r="H122" i="12"/>
  <c r="J122" i="12" s="1"/>
  <c r="A123" i="12"/>
  <c r="U70" i="9"/>
  <c r="T70" i="9"/>
  <c r="V70" i="9" s="1"/>
  <c r="W70" i="9" s="1"/>
  <c r="P53" i="9"/>
  <c r="AM64" i="9" l="1"/>
  <c r="AN64" i="9" s="1"/>
  <c r="AH65" i="9" s="1"/>
  <c r="C65" i="12"/>
  <c r="D65" i="12" s="1"/>
  <c r="AC51" i="12"/>
  <c r="AG50" i="12"/>
  <c r="AH50" i="12" s="1"/>
  <c r="Z51" i="12"/>
  <c r="AA51" i="12" s="1"/>
  <c r="AB51" i="12" s="1"/>
  <c r="X52" i="12" s="1"/>
  <c r="B79" i="14"/>
  <c r="G78" i="14"/>
  <c r="AC70" i="9"/>
  <c r="AB70" i="9"/>
  <c r="AD70" i="9" s="1"/>
  <c r="N47" i="12"/>
  <c r="U46" i="12"/>
  <c r="T46" i="12"/>
  <c r="H123" i="12"/>
  <c r="J123" i="12" s="1"/>
  <c r="A124" i="12"/>
  <c r="K121" i="12"/>
  <c r="L121" i="12" s="1"/>
  <c r="C34" i="11" s="1" a="1"/>
  <c r="G122" i="12"/>
  <c r="I122" i="12" s="1"/>
  <c r="X70" i="9"/>
  <c r="J54" i="9"/>
  <c r="F102" i="9"/>
  <c r="H102" i="9" s="1"/>
  <c r="F65" i="12" l="1"/>
  <c r="B66" i="12" s="1"/>
  <c r="C66" i="12" s="1"/>
  <c r="E65" i="12"/>
  <c r="Y52" i="12"/>
  <c r="Z52" i="12" s="1"/>
  <c r="AA52" i="12" s="1"/>
  <c r="AD51" i="12"/>
  <c r="D79" i="14"/>
  <c r="C79" i="14"/>
  <c r="E79" i="14" s="1"/>
  <c r="G79" i="14" s="1"/>
  <c r="AE70" i="9"/>
  <c r="AF70" i="9" s="1"/>
  <c r="Z71" i="9" s="1"/>
  <c r="AC71" i="9" s="1"/>
  <c r="AB71" i="9" s="1"/>
  <c r="AD71" i="9" s="1"/>
  <c r="AE71" i="9" s="1"/>
  <c r="AF71" i="9" s="1"/>
  <c r="Z72" i="9" s="1"/>
  <c r="AK65" i="9"/>
  <c r="AJ65" i="9"/>
  <c r="AL65" i="9" s="1"/>
  <c r="AM65" i="9" s="1"/>
  <c r="AN65" i="9" s="1"/>
  <c r="AH66" i="9" s="1"/>
  <c r="R71" i="9"/>
  <c r="U71" i="9" s="1"/>
  <c r="T71" i="9" s="1"/>
  <c r="V71" i="9" s="1"/>
  <c r="W71" i="9" s="1"/>
  <c r="X71" i="9" s="1"/>
  <c r="R72" i="9" s="1"/>
  <c r="U72" i="9" s="1"/>
  <c r="T72" i="9" s="1"/>
  <c r="V72" i="9" s="1"/>
  <c r="B103" i="9"/>
  <c r="E103" i="9" s="1"/>
  <c r="D103" i="9" s="1"/>
  <c r="F103" i="9" s="1"/>
  <c r="H103" i="9" s="1"/>
  <c r="V46" i="12"/>
  <c r="W46" i="12" s="1"/>
  <c r="R47" i="12"/>
  <c r="O47" i="12"/>
  <c r="P47" i="12" s="1"/>
  <c r="H124" i="12"/>
  <c r="J124" i="12" s="1"/>
  <c r="A125" i="12"/>
  <c r="B80" i="14"/>
  <c r="D66" i="12"/>
  <c r="K122" i="12"/>
  <c r="L122" i="12" s="1"/>
  <c r="G123" i="12"/>
  <c r="I123" i="12" s="1"/>
  <c r="M54" i="9"/>
  <c r="L54" i="9" s="1"/>
  <c r="N54" i="9" s="1"/>
  <c r="O54" i="9" s="1"/>
  <c r="AK66" i="9" l="1"/>
  <c r="AJ66" i="9" s="1"/>
  <c r="AL66" i="9" s="1"/>
  <c r="AM66" i="9" s="1"/>
  <c r="AN66" i="9" s="1"/>
  <c r="AE51" i="12"/>
  <c r="AF51" i="12"/>
  <c r="AB52" i="12"/>
  <c r="X53" i="12" s="1"/>
  <c r="AD52" i="12"/>
  <c r="AF52" i="12" s="1"/>
  <c r="B104" i="9"/>
  <c r="E104" i="9" s="1"/>
  <c r="D104" i="9" s="1"/>
  <c r="F104" i="9" s="1"/>
  <c r="H104" i="9" s="1"/>
  <c r="S47" i="12"/>
  <c r="Q47" i="12"/>
  <c r="M48" i="12" s="1"/>
  <c r="H125" i="12"/>
  <c r="J125" i="12" s="1"/>
  <c r="A126" i="12"/>
  <c r="D80" i="14"/>
  <c r="C80" i="14"/>
  <c r="E80" i="14" s="1"/>
  <c r="E66" i="12"/>
  <c r="F66" i="12"/>
  <c r="B67" i="12" s="1"/>
  <c r="K123" i="12"/>
  <c r="L123" i="12" s="1"/>
  <c r="G124" i="12"/>
  <c r="I124" i="12" s="1"/>
  <c r="AC72" i="9"/>
  <c r="AB72" i="9" s="1"/>
  <c r="AD72" i="9" s="1"/>
  <c r="AE72" i="9" s="1"/>
  <c r="W72" i="9"/>
  <c r="X72" i="9" s="1"/>
  <c r="P54" i="9"/>
  <c r="AG51" i="12" l="1"/>
  <c r="AH51" i="12" s="1"/>
  <c r="AC52" i="12"/>
  <c r="AE52" i="12" s="1"/>
  <c r="Y53" i="12"/>
  <c r="Z53" i="12"/>
  <c r="AH67" i="9"/>
  <c r="R73" i="9"/>
  <c r="U73" i="9" s="1"/>
  <c r="T73" i="9" s="1"/>
  <c r="V73" i="9" s="1"/>
  <c r="B105" i="9"/>
  <c r="E105" i="9" s="1"/>
  <c r="D105" i="9" s="1"/>
  <c r="F105" i="9" s="1"/>
  <c r="H105" i="9" s="1"/>
  <c r="T47" i="12"/>
  <c r="U47" i="12"/>
  <c r="N48" i="12"/>
  <c r="H126" i="12"/>
  <c r="J126" i="12" s="1"/>
  <c r="A127" i="12"/>
  <c r="B81" i="14"/>
  <c r="G80" i="14"/>
  <c r="C67" i="12"/>
  <c r="D67" i="12"/>
  <c r="E67" i="12" s="1"/>
  <c r="K124" i="12"/>
  <c r="L124" i="12" s="1"/>
  <c r="G125" i="12"/>
  <c r="I125" i="12" s="1"/>
  <c r="AF72" i="9"/>
  <c r="J55" i="9"/>
  <c r="AK67" i="9" l="1"/>
  <c r="AJ67" i="9" s="1"/>
  <c r="AL67" i="9" s="1"/>
  <c r="AM67" i="9"/>
  <c r="AN67" i="9" s="1"/>
  <c r="AG52" i="12"/>
  <c r="AH52" i="12" s="1"/>
  <c r="AC53" i="12"/>
  <c r="AA53" i="12"/>
  <c r="Z73" i="9"/>
  <c r="B106" i="9"/>
  <c r="E106" i="9" s="1"/>
  <c r="D106" i="9" s="1"/>
  <c r="F106" i="9" s="1"/>
  <c r="H106" i="9" s="1"/>
  <c r="R48" i="12"/>
  <c r="V47" i="12"/>
  <c r="W47" i="12" s="1"/>
  <c r="F67" i="12"/>
  <c r="B68" i="12" s="1"/>
  <c r="O48" i="12"/>
  <c r="P48" i="12" s="1"/>
  <c r="H127" i="12"/>
  <c r="J127" i="12" s="1"/>
  <c r="A128" i="12"/>
  <c r="D81" i="14"/>
  <c r="C81" i="14"/>
  <c r="E81" i="14" s="1"/>
  <c r="K125" i="12"/>
  <c r="L125" i="12" s="1"/>
  <c r="G126" i="12"/>
  <c r="I126" i="12" s="1"/>
  <c r="W73" i="9"/>
  <c r="X73" i="9" s="1"/>
  <c r="M55" i="9"/>
  <c r="L55" i="9" s="1"/>
  <c r="N55" i="9" s="1"/>
  <c r="O55" i="9" s="1"/>
  <c r="AD53" i="12" l="1"/>
  <c r="AB53" i="12"/>
  <c r="X54" i="12" s="1"/>
  <c r="C68" i="12"/>
  <c r="D68" i="12"/>
  <c r="B107" i="9"/>
  <c r="E107" i="9" s="1"/>
  <c r="D107" i="9" s="1"/>
  <c r="F107" i="9" s="1"/>
  <c r="H107" i="9" s="1"/>
  <c r="AC73" i="9"/>
  <c r="AB73" i="9" s="1"/>
  <c r="AD73" i="9" s="1"/>
  <c r="AE73" i="9" s="1"/>
  <c r="AF73" i="9" s="1"/>
  <c r="Z74" i="9" s="1"/>
  <c r="AH68" i="9"/>
  <c r="R74" i="9"/>
  <c r="Q48" i="12"/>
  <c r="M49" i="12" s="1"/>
  <c r="S48" i="12"/>
  <c r="H128" i="12"/>
  <c r="J128" i="12" s="1"/>
  <c r="A129" i="12"/>
  <c r="B82" i="14"/>
  <c r="G81" i="14"/>
  <c r="G127" i="12"/>
  <c r="I127" i="12" s="1"/>
  <c r="K126" i="12"/>
  <c r="L126" i="12" s="1"/>
  <c r="P55" i="9"/>
  <c r="AK68" i="9" l="1"/>
  <c r="AJ68" i="9" s="1"/>
  <c r="AL68" i="9" s="1"/>
  <c r="AM68" i="9"/>
  <c r="AN68" i="9" s="1"/>
  <c r="AH69" i="9" s="1"/>
  <c r="E68" i="12"/>
  <c r="F68" i="12"/>
  <c r="B69" i="12" s="1"/>
  <c r="AE53" i="12"/>
  <c r="AF53" i="12"/>
  <c r="Y54" i="12"/>
  <c r="Z54" i="12" s="1"/>
  <c r="U74" i="9"/>
  <c r="T74" i="9"/>
  <c r="V74" i="9" s="1"/>
  <c r="W74" i="9" s="1"/>
  <c r="X74" i="9" s="1"/>
  <c r="AC74" i="9"/>
  <c r="AB74" i="9"/>
  <c r="AD74" i="9" s="1"/>
  <c r="J56" i="9"/>
  <c r="B108" i="9"/>
  <c r="E108" i="9" s="1"/>
  <c r="D108" i="9" s="1"/>
  <c r="F108" i="9" s="1"/>
  <c r="H108" i="9" s="1"/>
  <c r="N49" i="12"/>
  <c r="O49" i="12"/>
  <c r="P49" i="12" s="1"/>
  <c r="Q49" i="12" s="1"/>
  <c r="T48" i="12"/>
  <c r="U48" i="12"/>
  <c r="H129" i="12"/>
  <c r="J129" i="12" s="1"/>
  <c r="A130" i="12"/>
  <c r="C82" i="14"/>
  <c r="D82" i="14"/>
  <c r="K127" i="12"/>
  <c r="L127" i="12" s="1"/>
  <c r="G128" i="12"/>
  <c r="I128" i="12" s="1"/>
  <c r="AK69" i="9" l="1"/>
  <c r="AJ69" i="9" s="1"/>
  <c r="AL69" i="9" s="1"/>
  <c r="M56" i="9"/>
  <c r="L56" i="9" s="1"/>
  <c r="N56" i="9" s="1"/>
  <c r="O56" i="9"/>
  <c r="P56" i="9" s="1"/>
  <c r="C69" i="12"/>
  <c r="D69" i="12" s="1"/>
  <c r="E69" i="12" s="1"/>
  <c r="F69" i="12"/>
  <c r="B70" i="12" s="1"/>
  <c r="C70" i="12" s="1"/>
  <c r="D70" i="12" s="1"/>
  <c r="AG53" i="12"/>
  <c r="AH53" i="12" s="1"/>
  <c r="AC54" i="12"/>
  <c r="AA54" i="12"/>
  <c r="AD54" i="12" s="1"/>
  <c r="AF54" i="12" s="1"/>
  <c r="AB54" i="12"/>
  <c r="X55" i="12" s="1"/>
  <c r="B109" i="9"/>
  <c r="E109" i="9" s="1"/>
  <c r="D109" i="9" s="1"/>
  <c r="F109" i="9" s="1"/>
  <c r="H109" i="9" s="1"/>
  <c r="AE74" i="9"/>
  <c r="AF74" i="9"/>
  <c r="Z75" i="9" s="1"/>
  <c r="AC75" i="9" s="1"/>
  <c r="AB75" i="9" s="1"/>
  <c r="AD75" i="9" s="1"/>
  <c r="AE75" i="9" s="1"/>
  <c r="R75" i="9"/>
  <c r="E82" i="14"/>
  <c r="K128" i="12"/>
  <c r="L128" i="12" s="1"/>
  <c r="G129" i="12"/>
  <c r="I129" i="12" s="1"/>
  <c r="M50" i="12"/>
  <c r="D28" i="11" a="1"/>
  <c r="V48" i="12"/>
  <c r="W48" i="12" s="1"/>
  <c r="R49" i="12"/>
  <c r="S49" i="12"/>
  <c r="U49" i="12" s="1"/>
  <c r="H130" i="12"/>
  <c r="J130" i="12" s="1"/>
  <c r="A131" i="12"/>
  <c r="AM69" i="9" l="1"/>
  <c r="AN69" i="9" s="1"/>
  <c r="AH70" i="9" s="1"/>
  <c r="AE54" i="12"/>
  <c r="AC55" i="12"/>
  <c r="AG54" i="12"/>
  <c r="AH54" i="12" s="1"/>
  <c r="Y55" i="12"/>
  <c r="Z55" i="12" s="1"/>
  <c r="U75" i="9"/>
  <c r="T75" i="9"/>
  <c r="V75" i="9" s="1"/>
  <c r="W75" i="9" s="1"/>
  <c r="X75" i="9" s="1"/>
  <c r="J57" i="9"/>
  <c r="B110" i="9"/>
  <c r="E110" i="9" s="1"/>
  <c r="D110" i="9" s="1"/>
  <c r="G82" i="14"/>
  <c r="B83" i="14"/>
  <c r="G130" i="12"/>
  <c r="I130" i="12" s="1"/>
  <c r="K129" i="12"/>
  <c r="L129" i="12" s="1"/>
  <c r="N50" i="12"/>
  <c r="T49" i="12"/>
  <c r="H131" i="12"/>
  <c r="J131" i="12" s="1"/>
  <c r="A132" i="12"/>
  <c r="F70" i="12"/>
  <c r="B71" i="12" s="1"/>
  <c r="E70" i="12"/>
  <c r="AF75" i="9"/>
  <c r="AK70" i="9" l="1"/>
  <c r="AJ70" i="9" s="1"/>
  <c r="AL70" i="9" s="1"/>
  <c r="AA55" i="12"/>
  <c r="AD55" i="12" s="1"/>
  <c r="AB55" i="12"/>
  <c r="X56" i="12" s="1"/>
  <c r="M57" i="9"/>
  <c r="L57" i="9" s="1"/>
  <c r="N57" i="9" s="1"/>
  <c r="O57" i="9" s="1"/>
  <c r="P57" i="9" s="1"/>
  <c r="J58" i="9" s="1"/>
  <c r="Z76" i="9"/>
  <c r="AC76" i="9" s="1"/>
  <c r="AB76" i="9" s="1"/>
  <c r="AD76" i="9" s="1"/>
  <c r="R76" i="9"/>
  <c r="D83" i="14"/>
  <c r="C83" i="14"/>
  <c r="E83" i="14" s="1"/>
  <c r="K130" i="12"/>
  <c r="L130" i="12" s="1"/>
  <c r="G131" i="12"/>
  <c r="I131" i="12" s="1"/>
  <c r="R50" i="12"/>
  <c r="V49" i="12"/>
  <c r="W49" i="12" s="1"/>
  <c r="E28" i="11" s="1" a="1"/>
  <c r="H28" i="11" s="1"/>
  <c r="O50" i="12"/>
  <c r="H132" i="12"/>
  <c r="J132" i="12" s="1"/>
  <c r="A133" i="12"/>
  <c r="C71" i="12"/>
  <c r="D71" i="12"/>
  <c r="E71" i="12" s="1"/>
  <c r="F110" i="9"/>
  <c r="H110" i="9" s="1"/>
  <c r="AM70" i="9" l="1"/>
  <c r="AN70" i="9" s="1"/>
  <c r="AH71" i="9" s="1"/>
  <c r="M58" i="9"/>
  <c r="L58" i="9" s="1"/>
  <c r="N58" i="9" s="1"/>
  <c r="AE55" i="12"/>
  <c r="AF55" i="12"/>
  <c r="Y56" i="12"/>
  <c r="U76" i="9"/>
  <c r="T76" i="9"/>
  <c r="V76" i="9" s="1"/>
  <c r="W76" i="9" s="1"/>
  <c r="X76" i="9" s="1"/>
  <c r="B84" i="14"/>
  <c r="G83" i="14"/>
  <c r="B111" i="9"/>
  <c r="E111" i="9" s="1"/>
  <c r="D111" i="9" s="1"/>
  <c r="K131" i="12"/>
  <c r="L131" i="12" s="1"/>
  <c r="G132" i="12"/>
  <c r="I132" i="12" s="1"/>
  <c r="F71" i="12"/>
  <c r="B72" i="12" s="1"/>
  <c r="P50" i="12"/>
  <c r="H133" i="12"/>
  <c r="J133" i="12" s="1"/>
  <c r="A134" i="12"/>
  <c r="C72" i="12"/>
  <c r="D72" i="12" s="1"/>
  <c r="AE76" i="9"/>
  <c r="AF76" i="9" s="1"/>
  <c r="AK71" i="9" l="1"/>
  <c r="AJ71" i="9" s="1"/>
  <c r="AL71" i="9" s="1"/>
  <c r="O58" i="9"/>
  <c r="P58" i="9" s="1"/>
  <c r="J59" i="9" s="1"/>
  <c r="Z56" i="12"/>
  <c r="AA56" i="12"/>
  <c r="AC56" i="12"/>
  <c r="AG55" i="12"/>
  <c r="AH55" i="12" s="1"/>
  <c r="D84" i="14"/>
  <c r="C84" i="14"/>
  <c r="E84" i="14"/>
  <c r="G84" i="14" s="1"/>
  <c r="Z77" i="9"/>
  <c r="AC77" i="9" s="1"/>
  <c r="AB77" i="9" s="1"/>
  <c r="AD77" i="9" s="1"/>
  <c r="AE77" i="9" s="1"/>
  <c r="AF77" i="9" s="1"/>
  <c r="R77" i="9"/>
  <c r="U77" i="9" s="1"/>
  <c r="T77" i="9" s="1"/>
  <c r="V77" i="9" s="1"/>
  <c r="G133" i="12"/>
  <c r="I133" i="12" s="1"/>
  <c r="K132" i="12"/>
  <c r="L132" i="12" s="1"/>
  <c r="S50" i="12"/>
  <c r="Q50" i="12"/>
  <c r="M51" i="12" s="1"/>
  <c r="H134" i="12"/>
  <c r="J134" i="12" s="1"/>
  <c r="A135" i="12"/>
  <c r="F72" i="12"/>
  <c r="B73" i="12" s="1"/>
  <c r="E72" i="12"/>
  <c r="F111" i="9"/>
  <c r="H111" i="9" s="1"/>
  <c r="AM71" i="9" l="1"/>
  <c r="AN71" i="9" s="1"/>
  <c r="AH72" i="9" s="1"/>
  <c r="M59" i="9"/>
  <c r="L59" i="9" s="1"/>
  <c r="N59" i="9" s="1"/>
  <c r="AB56" i="12"/>
  <c r="X57" i="12" s="1"/>
  <c r="Y57" i="12" s="1"/>
  <c r="AA57" i="12" s="1"/>
  <c r="AD56" i="12"/>
  <c r="AF56" i="12" s="1"/>
  <c r="AE56" i="12"/>
  <c r="Z57" i="12"/>
  <c r="Z78" i="9"/>
  <c r="AC78" i="9" s="1"/>
  <c r="AB78" i="9" s="1"/>
  <c r="AD78" i="9" s="1"/>
  <c r="AE78" i="9" s="1"/>
  <c r="AF78" i="9" s="1"/>
  <c r="Z79" i="9" s="1"/>
  <c r="B112" i="9"/>
  <c r="E112" i="9" s="1"/>
  <c r="D112" i="9" s="1"/>
  <c r="K133" i="12"/>
  <c r="L133" i="12" s="1"/>
  <c r="C35" i="11" s="1" a="1"/>
  <c r="G134" i="12"/>
  <c r="I134" i="12" s="1"/>
  <c r="U50" i="12"/>
  <c r="T50" i="12"/>
  <c r="N51" i="12"/>
  <c r="H135" i="12"/>
  <c r="J135" i="12" s="1"/>
  <c r="A136" i="12"/>
  <c r="C73" i="12"/>
  <c r="D73" i="12"/>
  <c r="W77" i="9"/>
  <c r="X77" i="9" s="1"/>
  <c r="AK72" i="9" l="1"/>
  <c r="AJ72" i="9" s="1"/>
  <c r="AL72" i="9" s="1"/>
  <c r="AM72" i="9" s="1"/>
  <c r="AN72" i="9" s="1"/>
  <c r="AH73" i="9" s="1"/>
  <c r="O59" i="9"/>
  <c r="P59" i="9"/>
  <c r="AC57" i="12"/>
  <c r="AG56" i="12"/>
  <c r="AH56" i="12" s="1"/>
  <c r="AD57" i="12"/>
  <c r="AF57" i="12" s="1"/>
  <c r="AB57" i="12"/>
  <c r="X58" i="12" s="1"/>
  <c r="G135" i="12"/>
  <c r="I135" i="12" s="1"/>
  <c r="K134" i="12"/>
  <c r="L134" i="12" s="1"/>
  <c r="R78" i="9"/>
  <c r="U78" i="9" s="1"/>
  <c r="T78" i="9" s="1"/>
  <c r="V78" i="9" s="1"/>
  <c r="J60" i="9"/>
  <c r="V50" i="12"/>
  <c r="W50" i="12" s="1"/>
  <c r="R51" i="12"/>
  <c r="O51" i="12"/>
  <c r="P51" i="12" s="1"/>
  <c r="Q51" i="12" s="1"/>
  <c r="M52" i="12" s="1"/>
  <c r="H136" i="12"/>
  <c r="J136" i="12" s="1"/>
  <c r="A137" i="12"/>
  <c r="E73" i="12"/>
  <c r="F73" i="12"/>
  <c r="AC79" i="9"/>
  <c r="AB79" i="9" s="1"/>
  <c r="AD79" i="9" s="1"/>
  <c r="F112" i="9"/>
  <c r="H112" i="9" s="1"/>
  <c r="AK73" i="9" l="1"/>
  <c r="AJ73" i="9" s="1"/>
  <c r="AL73" i="9" s="1"/>
  <c r="M60" i="9"/>
  <c r="L60" i="9" s="1"/>
  <c r="N60" i="9" s="1"/>
  <c r="O60" i="9"/>
  <c r="P60" i="9" s="1"/>
  <c r="AE57" i="12"/>
  <c r="AC58" i="12" s="1"/>
  <c r="AG57" i="12"/>
  <c r="AH57" i="12" s="1"/>
  <c r="AA58" i="12"/>
  <c r="AB58" i="12" s="1"/>
  <c r="X59" i="12" s="1"/>
  <c r="Y58" i="12"/>
  <c r="Z58" i="12" s="1"/>
  <c r="B113" i="9"/>
  <c r="E113" i="9" s="1"/>
  <c r="D113" i="9" s="1"/>
  <c r="K135" i="12"/>
  <c r="L135" i="12" s="1"/>
  <c r="G136" i="12"/>
  <c r="I136" i="12" s="1"/>
  <c r="N52" i="12"/>
  <c r="O52" i="12"/>
  <c r="S51" i="12"/>
  <c r="H137" i="12"/>
  <c r="J137" i="12" s="1"/>
  <c r="A138" i="12"/>
  <c r="B30" i="11" a="1"/>
  <c r="B74" i="12"/>
  <c r="AE79" i="9"/>
  <c r="AF79" i="9" s="1"/>
  <c r="W78" i="9"/>
  <c r="X78" i="9" s="1"/>
  <c r="AM73" i="9" l="1"/>
  <c r="AN73" i="9" s="1"/>
  <c r="AH74" i="9" s="1"/>
  <c r="Y59" i="12"/>
  <c r="Z59" i="12" s="1"/>
  <c r="AD58" i="12"/>
  <c r="P52" i="12"/>
  <c r="Z80" i="9"/>
  <c r="AC80" i="9" s="1"/>
  <c r="AB80" i="9" s="1"/>
  <c r="AD80" i="9" s="1"/>
  <c r="R79" i="9"/>
  <c r="U79" i="9" s="1"/>
  <c r="T79" i="9" s="1"/>
  <c r="V79" i="9" s="1"/>
  <c r="J61" i="9"/>
  <c r="K136" i="12"/>
  <c r="L136" i="12" s="1"/>
  <c r="G137" i="12"/>
  <c r="I137" i="12" s="1"/>
  <c r="T51" i="12"/>
  <c r="U51" i="12"/>
  <c r="H138" i="12"/>
  <c r="J138" i="12" s="1"/>
  <c r="A139" i="12"/>
  <c r="C74" i="12"/>
  <c r="F113" i="9"/>
  <c r="H113" i="9" s="1"/>
  <c r="AK74" i="9" l="1"/>
  <c r="AJ74" i="9" s="1"/>
  <c r="AL74" i="9" s="1"/>
  <c r="AM74" i="9" s="1"/>
  <c r="AN74" i="9" s="1"/>
  <c r="M61" i="9"/>
  <c r="O61" i="9"/>
  <c r="AE58" i="12"/>
  <c r="AF58" i="12"/>
  <c r="AA59" i="12"/>
  <c r="AB59" i="12" s="1"/>
  <c r="X60" i="12" s="1"/>
  <c r="AD59" i="12"/>
  <c r="Q52" i="12"/>
  <c r="M53" i="12" s="1"/>
  <c r="S52" i="12"/>
  <c r="U52" i="12" s="1"/>
  <c r="B114" i="9"/>
  <c r="E114" i="9" s="1"/>
  <c r="D114" i="9" s="1"/>
  <c r="V51" i="12"/>
  <c r="W51" i="12" s="1"/>
  <c r="R52" i="12"/>
  <c r="H139" i="12"/>
  <c r="J139" i="12" s="1"/>
  <c r="A140" i="12"/>
  <c r="D74" i="12"/>
  <c r="K137" i="12"/>
  <c r="L137" i="12" s="1"/>
  <c r="G138" i="12"/>
  <c r="I138" i="12" s="1"/>
  <c r="AE80" i="9"/>
  <c r="AF80" i="9" s="1"/>
  <c r="W79" i="9"/>
  <c r="X79" i="9" s="1"/>
  <c r="L61" i="9"/>
  <c r="N61" i="9" s="1"/>
  <c r="AC59" i="12" l="1"/>
  <c r="AE59" i="12" s="1"/>
  <c r="AG58" i="12"/>
  <c r="AH58" i="12" s="1"/>
  <c r="Y60" i="12"/>
  <c r="Z60" i="12"/>
  <c r="AF59" i="12"/>
  <c r="T52" i="12"/>
  <c r="N53" i="12"/>
  <c r="O53" i="12"/>
  <c r="AH75" i="9"/>
  <c r="Z81" i="9"/>
  <c r="AC81" i="9" s="1"/>
  <c r="AB81" i="9" s="1"/>
  <c r="AD81" i="9" s="1"/>
  <c r="R80" i="9"/>
  <c r="U80" i="9" s="1"/>
  <c r="T80" i="9" s="1"/>
  <c r="V80" i="9" s="1"/>
  <c r="H140" i="12"/>
  <c r="J140" i="12" s="1"/>
  <c r="A141" i="12"/>
  <c r="E74" i="12"/>
  <c r="F74" i="12"/>
  <c r="B75" i="12" s="1"/>
  <c r="K138" i="12"/>
  <c r="L138" i="12" s="1"/>
  <c r="G139" i="12"/>
  <c r="I139" i="12" s="1"/>
  <c r="P61" i="9"/>
  <c r="F114" i="9"/>
  <c r="H114" i="9" s="1"/>
  <c r="AK75" i="9" l="1"/>
  <c r="AJ75" i="9" s="1"/>
  <c r="AL75" i="9" s="1"/>
  <c r="AM75" i="9"/>
  <c r="AN75" i="9" s="1"/>
  <c r="P53" i="12"/>
  <c r="AC60" i="12"/>
  <c r="AG59" i="12"/>
  <c r="AH59" i="12" s="1"/>
  <c r="AA60" i="12"/>
  <c r="R53" i="12"/>
  <c r="V52" i="12"/>
  <c r="W52" i="12" s="1"/>
  <c r="J62" i="9"/>
  <c r="B115" i="9"/>
  <c r="E115" i="9" s="1"/>
  <c r="D115" i="9" s="1"/>
  <c r="F115" i="9" s="1"/>
  <c r="H115" i="9" s="1"/>
  <c r="H141" i="12"/>
  <c r="J141" i="12" s="1"/>
  <c r="A142" i="12"/>
  <c r="C75" i="12"/>
  <c r="D75" i="12" s="1"/>
  <c r="K139" i="12"/>
  <c r="L139" i="12" s="1"/>
  <c r="G140" i="12"/>
  <c r="I140" i="12" s="1"/>
  <c r="AE81" i="9"/>
  <c r="AF81" i="9" s="1"/>
  <c r="W80" i="9"/>
  <c r="X80" i="9" s="1"/>
  <c r="M62" i="9" l="1"/>
  <c r="L62" i="9" s="1"/>
  <c r="N62" i="9" s="1"/>
  <c r="O62" i="9"/>
  <c r="P62" i="9" s="1"/>
  <c r="Q53" i="12"/>
  <c r="M54" i="12" s="1"/>
  <c r="S53" i="12"/>
  <c r="AB60" i="12"/>
  <c r="X61" i="12" s="1"/>
  <c r="AD60" i="12"/>
  <c r="U53" i="12"/>
  <c r="T53" i="12"/>
  <c r="B116" i="9"/>
  <c r="E116" i="9" s="1"/>
  <c r="D116" i="9" s="1"/>
  <c r="F116" i="9" s="1"/>
  <c r="H116" i="9" s="1"/>
  <c r="AH76" i="9"/>
  <c r="Z82" i="9"/>
  <c r="AC82" i="9" s="1"/>
  <c r="AB82" i="9" s="1"/>
  <c r="AD82" i="9" s="1"/>
  <c r="R81" i="9"/>
  <c r="U81" i="9" s="1"/>
  <c r="T81" i="9" s="1"/>
  <c r="V81" i="9" s="1"/>
  <c r="W81" i="9" s="1"/>
  <c r="X81" i="9" s="1"/>
  <c r="R82" i="9" s="1"/>
  <c r="G141" i="12"/>
  <c r="K140" i="12"/>
  <c r="L140" i="12" s="1"/>
  <c r="F75" i="12"/>
  <c r="B76" i="12" s="1"/>
  <c r="C76" i="12" s="1"/>
  <c r="D76" i="12" s="1"/>
  <c r="E75" i="12"/>
  <c r="H142" i="12"/>
  <c r="J142" i="12" s="1"/>
  <c r="A143" i="12"/>
  <c r="I141" i="12"/>
  <c r="AK76" i="9" l="1"/>
  <c r="AJ76" i="9" s="1"/>
  <c r="AL76" i="9" s="1"/>
  <c r="AM76" i="9"/>
  <c r="AN76" i="9" s="1"/>
  <c r="O54" i="12"/>
  <c r="N54" i="12"/>
  <c r="K141" i="12"/>
  <c r="L141" i="12" s="1"/>
  <c r="G142" i="12"/>
  <c r="Y61" i="12"/>
  <c r="AE60" i="12"/>
  <c r="AF60" i="12"/>
  <c r="V53" i="12"/>
  <c r="W53" i="12" s="1"/>
  <c r="R54" i="12"/>
  <c r="B117" i="9"/>
  <c r="F76" i="12"/>
  <c r="B77" i="12" s="1"/>
  <c r="E76" i="12"/>
  <c r="H143" i="12"/>
  <c r="J143" i="12" s="1"/>
  <c r="A144" i="12"/>
  <c r="C77" i="12"/>
  <c r="I142" i="12"/>
  <c r="AE82" i="9"/>
  <c r="AF82" i="9" s="1"/>
  <c r="U82" i="9"/>
  <c r="T82" i="9" s="1"/>
  <c r="V82" i="9" s="1"/>
  <c r="J63" i="9"/>
  <c r="P54" i="12" l="1"/>
  <c r="AG60" i="12"/>
  <c r="AH60" i="12" s="1"/>
  <c r="AC61" i="12"/>
  <c r="Z61" i="12"/>
  <c r="E117" i="9"/>
  <c r="D117" i="9"/>
  <c r="F117" i="9" s="1"/>
  <c r="H117" i="9" s="1"/>
  <c r="B118" i="9" s="1"/>
  <c r="E118" i="9" s="1"/>
  <c r="D118" i="9" s="1"/>
  <c r="F118" i="9" s="1"/>
  <c r="H118" i="9" s="1"/>
  <c r="Z83" i="9"/>
  <c r="AH77" i="9"/>
  <c r="K142" i="12"/>
  <c r="L142" i="12" s="1"/>
  <c r="G143" i="12"/>
  <c r="I143" i="12" s="1"/>
  <c r="G144" i="12" s="1"/>
  <c r="H144" i="12"/>
  <c r="J144" i="12" s="1"/>
  <c r="A145" i="12"/>
  <c r="D77" i="12"/>
  <c r="K143" i="12"/>
  <c r="L143" i="12" s="1"/>
  <c r="W82" i="9"/>
  <c r="X82" i="9" s="1"/>
  <c r="M63" i="9"/>
  <c r="L63" i="9" s="1"/>
  <c r="N63" i="9" s="1"/>
  <c r="O63" i="9" s="1"/>
  <c r="AK77" i="9" l="1"/>
  <c r="AJ77" i="9" s="1"/>
  <c r="AL77" i="9" s="1"/>
  <c r="AM77" i="9"/>
  <c r="AN77" i="9" s="1"/>
  <c r="I144" i="12"/>
  <c r="Q54" i="12"/>
  <c r="M55" i="12" s="1"/>
  <c r="S54" i="12"/>
  <c r="AA61" i="12"/>
  <c r="AD61" i="12" s="1"/>
  <c r="AB61" i="12"/>
  <c r="B119" i="9"/>
  <c r="E119" i="9" s="1"/>
  <c r="D119" i="9" s="1"/>
  <c r="F119" i="9" s="1"/>
  <c r="H119" i="9" s="1"/>
  <c r="AC83" i="9"/>
  <c r="AB83" i="9" s="1"/>
  <c r="AD83" i="9" s="1"/>
  <c r="AE83" i="9" s="1"/>
  <c r="AF83" i="9" s="1"/>
  <c r="Z84" i="9" s="1"/>
  <c r="AC84" i="9" s="1"/>
  <c r="AB84" i="9" s="1"/>
  <c r="AD84" i="9" s="1"/>
  <c r="R83" i="9"/>
  <c r="U83" i="9" s="1"/>
  <c r="T83" i="9" s="1"/>
  <c r="V83" i="9" s="1"/>
  <c r="W83" i="9" s="1"/>
  <c r="H145" i="12"/>
  <c r="J145" i="12" s="1"/>
  <c r="A146" i="12"/>
  <c r="E77" i="12"/>
  <c r="F77" i="12"/>
  <c r="B78" i="12" s="1"/>
  <c r="K144" i="12"/>
  <c r="L144" i="12" s="1"/>
  <c r="G145" i="12"/>
  <c r="P63" i="9"/>
  <c r="N55" i="12" l="1"/>
  <c r="O55" i="12"/>
  <c r="U54" i="12"/>
  <c r="T54" i="12"/>
  <c r="AE61" i="12"/>
  <c r="AF61" i="12"/>
  <c r="X62" i="12"/>
  <c r="F29" i="11" a="1"/>
  <c r="AH78" i="9"/>
  <c r="B120" i="9"/>
  <c r="H146" i="12"/>
  <c r="J146" i="12" s="1"/>
  <c r="A147" i="12"/>
  <c r="C78" i="12"/>
  <c r="I145" i="12"/>
  <c r="X83" i="9"/>
  <c r="AE84" i="9"/>
  <c r="AF84" i="9" s="1"/>
  <c r="J64" i="9"/>
  <c r="AK78" i="9" l="1"/>
  <c r="AJ78" i="9" s="1"/>
  <c r="AL78" i="9" s="1"/>
  <c r="AM78" i="9"/>
  <c r="AN78" i="9" s="1"/>
  <c r="P55" i="12"/>
  <c r="V54" i="12"/>
  <c r="W54" i="12" s="1"/>
  <c r="R55" i="12"/>
  <c r="AG61" i="12"/>
  <c r="AH61" i="12" s="1"/>
  <c r="G29" i="11" s="1" a="1"/>
  <c r="AC62" i="12"/>
  <c r="Y62" i="12"/>
  <c r="E120" i="9"/>
  <c r="D120" i="9"/>
  <c r="F120" i="9" s="1"/>
  <c r="H120" i="9" s="1"/>
  <c r="B121" i="9" s="1"/>
  <c r="R84" i="9"/>
  <c r="Z85" i="9"/>
  <c r="AC85" i="9" s="1"/>
  <c r="AB85" i="9" s="1"/>
  <c r="AD85" i="9" s="1"/>
  <c r="AE85" i="9" s="1"/>
  <c r="AF85" i="9" s="1"/>
  <c r="Z86" i="9" s="1"/>
  <c r="H147" i="12"/>
  <c r="J147" i="12" s="1"/>
  <c r="A148" i="12"/>
  <c r="D78" i="12"/>
  <c r="K145" i="12"/>
  <c r="L145" i="12" s="1"/>
  <c r="C36" i="11" s="1" a="1"/>
  <c r="G146" i="12"/>
  <c r="I146" i="12" s="1"/>
  <c r="M64" i="9"/>
  <c r="L64" i="9" s="1"/>
  <c r="N64" i="9" s="1"/>
  <c r="O64" i="9" s="1"/>
  <c r="P64" i="9" s="1"/>
  <c r="Q55" i="12" l="1"/>
  <c r="M56" i="12" s="1"/>
  <c r="S55" i="12"/>
  <c r="Z62" i="12"/>
  <c r="AA62" i="12" s="1"/>
  <c r="U84" i="9"/>
  <c r="T84" i="9" s="1"/>
  <c r="V84" i="9" s="1"/>
  <c r="W84" i="9" s="1"/>
  <c r="X84" i="9" s="1"/>
  <c r="R85" i="9" s="1"/>
  <c r="U85" i="9" s="1"/>
  <c r="T85" i="9" s="1"/>
  <c r="V85" i="9" s="1"/>
  <c r="E121" i="9"/>
  <c r="D121" i="9"/>
  <c r="F121" i="9" s="1"/>
  <c r="H121" i="9" s="1"/>
  <c r="AH79" i="9"/>
  <c r="H148" i="12"/>
  <c r="J148" i="12" s="1"/>
  <c r="A149" i="12"/>
  <c r="E78" i="12"/>
  <c r="F78" i="12"/>
  <c r="B79" i="12" s="1"/>
  <c r="K146" i="12"/>
  <c r="L146" i="12" s="1"/>
  <c r="G147" i="12"/>
  <c r="I147" i="12" s="1"/>
  <c r="AC86" i="9"/>
  <c r="AB86" i="9" s="1"/>
  <c r="AD86" i="9" s="1"/>
  <c r="J65" i="9"/>
  <c r="AK79" i="9" l="1"/>
  <c r="AJ79" i="9" s="1"/>
  <c r="AL79" i="9" s="1"/>
  <c r="AM79" i="9"/>
  <c r="AN79" i="9" s="1"/>
  <c r="N56" i="12"/>
  <c r="O56" i="12"/>
  <c r="T55" i="12"/>
  <c r="U55" i="12"/>
  <c r="AD62" i="12"/>
  <c r="AB62" i="12"/>
  <c r="X63" i="12" s="1"/>
  <c r="B122" i="9"/>
  <c r="E122" i="9" s="1"/>
  <c r="D122" i="9" s="1"/>
  <c r="F122" i="9" s="1"/>
  <c r="H122" i="9" s="1"/>
  <c r="H149" i="12"/>
  <c r="J149" i="12" s="1"/>
  <c r="A150" i="12"/>
  <c r="C79" i="12"/>
  <c r="K147" i="12"/>
  <c r="L147" i="12" s="1"/>
  <c r="G148" i="12"/>
  <c r="I148" i="12" s="1"/>
  <c r="AE86" i="9"/>
  <c r="AF86" i="9" s="1"/>
  <c r="W85" i="9"/>
  <c r="X85" i="9" s="1"/>
  <c r="M65" i="9"/>
  <c r="L65" i="9" s="1"/>
  <c r="N65" i="9" s="1"/>
  <c r="O65" i="9" s="1"/>
  <c r="P56" i="12" l="1"/>
  <c r="V55" i="12"/>
  <c r="W55" i="12" s="1"/>
  <c r="R56" i="12"/>
  <c r="K148" i="12"/>
  <c r="L148" i="12" s="1"/>
  <c r="G149" i="12"/>
  <c r="I149" i="12" s="1"/>
  <c r="AF62" i="12"/>
  <c r="AE62" i="12"/>
  <c r="Y63" i="12"/>
  <c r="AH80" i="9"/>
  <c r="Z87" i="9"/>
  <c r="AC87" i="9" s="1"/>
  <c r="AB87" i="9" s="1"/>
  <c r="AD87" i="9" s="1"/>
  <c r="R86" i="9"/>
  <c r="U86" i="9" s="1"/>
  <c r="T86" i="9" s="1"/>
  <c r="V86" i="9" s="1"/>
  <c r="W86" i="9" s="1"/>
  <c r="B123" i="9"/>
  <c r="E123" i="9" s="1"/>
  <c r="D123" i="9" s="1"/>
  <c r="H150" i="12"/>
  <c r="J150" i="12" s="1"/>
  <c r="A151" i="12"/>
  <c r="D79" i="12"/>
  <c r="P65" i="9"/>
  <c r="AK80" i="9" l="1"/>
  <c r="AJ80" i="9" s="1"/>
  <c r="AL80" i="9" s="1"/>
  <c r="AM80" i="9"/>
  <c r="AN80" i="9" s="1"/>
  <c r="S56" i="12"/>
  <c r="Q56" i="12"/>
  <c r="M57" i="12" s="1"/>
  <c r="G150" i="12"/>
  <c r="K149" i="12"/>
  <c r="L149" i="12" s="1"/>
  <c r="AG62" i="12"/>
  <c r="AH62" i="12" s="1"/>
  <c r="AC63" i="12"/>
  <c r="Z63" i="12"/>
  <c r="AA63" i="12" s="1"/>
  <c r="H151" i="12"/>
  <c r="J151" i="12" s="1"/>
  <c r="A152" i="12"/>
  <c r="I150" i="12"/>
  <c r="E79" i="12"/>
  <c r="F79" i="12"/>
  <c r="B80" i="12" s="1"/>
  <c r="X86" i="9"/>
  <c r="AE87" i="9"/>
  <c r="AF87" i="9" s="1"/>
  <c r="J66" i="9"/>
  <c r="F123" i="9"/>
  <c r="H123" i="9" s="1"/>
  <c r="T56" i="12" l="1"/>
  <c r="U56" i="12"/>
  <c r="N57" i="12"/>
  <c r="O57" i="12"/>
  <c r="P57" i="12" s="1"/>
  <c r="S57" i="12" s="1"/>
  <c r="AD63" i="12"/>
  <c r="AB63" i="12"/>
  <c r="X64" i="12" s="1"/>
  <c r="R87" i="9"/>
  <c r="AH81" i="9"/>
  <c r="Z88" i="9"/>
  <c r="AC88" i="9" s="1"/>
  <c r="AB88" i="9" s="1"/>
  <c r="AD88" i="9" s="1"/>
  <c r="AE88" i="9" s="1"/>
  <c r="AF88" i="9" s="1"/>
  <c r="Z89" i="9" s="1"/>
  <c r="B124" i="9"/>
  <c r="E124" i="9" s="1"/>
  <c r="D124" i="9" s="1"/>
  <c r="H152" i="12"/>
  <c r="J152" i="12" s="1"/>
  <c r="A153" i="12"/>
  <c r="C80" i="12"/>
  <c r="D80" i="12" s="1"/>
  <c r="K150" i="12"/>
  <c r="L150" i="12" s="1"/>
  <c r="G151" i="12"/>
  <c r="I151" i="12" s="1"/>
  <c r="M66" i="9"/>
  <c r="L66" i="9"/>
  <c r="N66" i="9" s="1"/>
  <c r="O66" i="9" s="1"/>
  <c r="AK81" i="9" l="1"/>
  <c r="AJ81" i="9" s="1"/>
  <c r="AL81" i="9" s="1"/>
  <c r="AM81" i="9"/>
  <c r="AN81" i="9" s="1"/>
  <c r="V56" i="12"/>
  <c r="W56" i="12" s="1"/>
  <c r="R57" i="12"/>
  <c r="T57" i="12" s="1"/>
  <c r="U57" i="12"/>
  <c r="Q57" i="12"/>
  <c r="M58" i="12" s="1"/>
  <c r="AE63" i="12"/>
  <c r="AF63" i="12"/>
  <c r="Y64" i="12"/>
  <c r="Z64" i="12" s="1"/>
  <c r="U87" i="9"/>
  <c r="T87" i="9" s="1"/>
  <c r="V87" i="9" s="1"/>
  <c r="W87" i="9" s="1"/>
  <c r="X87" i="9" s="1"/>
  <c r="R88" i="9" s="1"/>
  <c r="U88" i="9" s="1"/>
  <c r="T88" i="9" s="1"/>
  <c r="V88" i="9" s="1"/>
  <c r="F80" i="12"/>
  <c r="B81" i="12" s="1"/>
  <c r="C81" i="12" s="1"/>
  <c r="D81" i="12" s="1"/>
  <c r="E80" i="12"/>
  <c r="H153" i="12"/>
  <c r="J153" i="12" s="1"/>
  <c r="A154" i="12"/>
  <c r="K151" i="12"/>
  <c r="L151" i="12" s="1"/>
  <c r="G152" i="12"/>
  <c r="I152" i="12" s="1"/>
  <c r="P66" i="9"/>
  <c r="AC89" i="9"/>
  <c r="AB89" i="9" s="1"/>
  <c r="AD89" i="9" s="1"/>
  <c r="F124" i="9"/>
  <c r="H124" i="9" s="1"/>
  <c r="V57" i="12" l="1"/>
  <c r="W57" i="12" s="1"/>
  <c r="R58" i="12"/>
  <c r="N58" i="12"/>
  <c r="AG63" i="12"/>
  <c r="AH63" i="12" s="1"/>
  <c r="AC64" i="12"/>
  <c r="AA64" i="12"/>
  <c r="J67" i="9"/>
  <c r="AH82" i="9"/>
  <c r="B125" i="9"/>
  <c r="E125" i="9" s="1"/>
  <c r="D125" i="9" s="1"/>
  <c r="K152" i="12"/>
  <c r="L152" i="12" s="1"/>
  <c r="G153" i="12"/>
  <c r="I153" i="12" s="1"/>
  <c r="F81" i="12"/>
  <c r="B82" i="12" s="1"/>
  <c r="C82" i="12" s="1"/>
  <c r="E81" i="12"/>
  <c r="H154" i="12"/>
  <c r="J154" i="12" s="1"/>
  <c r="A155" i="12"/>
  <c r="AE89" i="9"/>
  <c r="AF89" i="9" s="1"/>
  <c r="W88" i="9"/>
  <c r="X88" i="9" s="1"/>
  <c r="AK82" i="9" l="1"/>
  <c r="AJ82" i="9" s="1"/>
  <c r="AL82" i="9" s="1"/>
  <c r="AM82" i="9"/>
  <c r="AN82" i="9" s="1"/>
  <c r="M67" i="9"/>
  <c r="L67" i="9" s="1"/>
  <c r="N67" i="9" s="1"/>
  <c r="O67" i="9"/>
  <c r="P67" i="9" s="1"/>
  <c r="O58" i="12"/>
  <c r="P58" i="12"/>
  <c r="S58" i="12" s="1"/>
  <c r="AD64" i="12"/>
  <c r="AB64" i="12"/>
  <c r="X65" i="12" s="1"/>
  <c r="Z90" i="9"/>
  <c r="AC90" i="9" s="1"/>
  <c r="AB90" i="9" s="1"/>
  <c r="AD90" i="9" s="1"/>
  <c r="R89" i="9"/>
  <c r="U89" i="9" s="1"/>
  <c r="T89" i="9" s="1"/>
  <c r="V89" i="9" s="1"/>
  <c r="K153" i="12"/>
  <c r="L153" i="12" s="1"/>
  <c r="G154" i="12"/>
  <c r="I154" i="12" s="1"/>
  <c r="H155" i="12"/>
  <c r="J155" i="12" s="1"/>
  <c r="A156" i="12"/>
  <c r="D82" i="12"/>
  <c r="F125" i="9"/>
  <c r="H125" i="9" s="1"/>
  <c r="T58" i="12" l="1"/>
  <c r="U58" i="12"/>
  <c r="Q58" i="12"/>
  <c r="M59" i="12" s="1"/>
  <c r="AE64" i="12"/>
  <c r="AF64" i="12"/>
  <c r="Y65" i="12"/>
  <c r="Z65" i="12"/>
  <c r="AH83" i="9"/>
  <c r="J68" i="9"/>
  <c r="B126" i="9"/>
  <c r="E126" i="9" s="1"/>
  <c r="D126" i="9" s="1"/>
  <c r="K154" i="12"/>
  <c r="L154" i="12" s="1"/>
  <c r="G155" i="12"/>
  <c r="I155" i="12" s="1"/>
  <c r="H156" i="12"/>
  <c r="J156" i="12" s="1"/>
  <c r="A157" i="12"/>
  <c r="E82" i="12"/>
  <c r="F82" i="12"/>
  <c r="B83" i="12" s="1"/>
  <c r="AE90" i="9"/>
  <c r="AF90" i="9" s="1"/>
  <c r="W89" i="9"/>
  <c r="X89" i="9" s="1"/>
  <c r="AK83" i="9" l="1"/>
  <c r="AJ83" i="9" s="1"/>
  <c r="AL83" i="9" s="1"/>
  <c r="AM83" i="9"/>
  <c r="AN83" i="9" s="1"/>
  <c r="M68" i="9"/>
  <c r="L68" i="9" s="1"/>
  <c r="N68" i="9" s="1"/>
  <c r="O68" i="9"/>
  <c r="P68" i="9" s="1"/>
  <c r="R59" i="12"/>
  <c r="V58" i="12"/>
  <c r="W58" i="12" s="1"/>
  <c r="O59" i="12"/>
  <c r="N59" i="12"/>
  <c r="P59" i="12" s="1"/>
  <c r="Q59" i="12" s="1"/>
  <c r="M60" i="12" s="1"/>
  <c r="AG64" i="12"/>
  <c r="AH64" i="12" s="1"/>
  <c r="AC65" i="12"/>
  <c r="AA65" i="12"/>
  <c r="Z91" i="9"/>
  <c r="AC91" i="9" s="1"/>
  <c r="AB91" i="9" s="1"/>
  <c r="AD91" i="9" s="1"/>
  <c r="R90" i="9"/>
  <c r="U90" i="9" s="1"/>
  <c r="T90" i="9" s="1"/>
  <c r="V90" i="9" s="1"/>
  <c r="G156" i="12"/>
  <c r="I156" i="12" s="1"/>
  <c r="K155" i="12"/>
  <c r="L155" i="12" s="1"/>
  <c r="H157" i="12"/>
  <c r="J157" i="12" s="1"/>
  <c r="A158" i="12"/>
  <c r="C83" i="12"/>
  <c r="F126" i="9"/>
  <c r="H126" i="9" s="1"/>
  <c r="P60" i="12" l="1"/>
  <c r="N60" i="12"/>
  <c r="O60" i="12"/>
  <c r="S59" i="12"/>
  <c r="AD65" i="12"/>
  <c r="AB65" i="12"/>
  <c r="X66" i="12" s="1"/>
  <c r="AH84" i="9"/>
  <c r="J69" i="9"/>
  <c r="B127" i="9"/>
  <c r="E127" i="9" s="1"/>
  <c r="D127" i="9" s="1"/>
  <c r="F127" i="9" s="1"/>
  <c r="H127" i="9" s="1"/>
  <c r="H158" i="12"/>
  <c r="J158" i="12" s="1"/>
  <c r="A159" i="12"/>
  <c r="D83" i="12"/>
  <c r="K156" i="12"/>
  <c r="L156" i="12" s="1"/>
  <c r="G157" i="12"/>
  <c r="I157" i="12" s="1"/>
  <c r="AE91" i="9"/>
  <c r="AF91" i="9" s="1"/>
  <c r="W90" i="9"/>
  <c r="X90" i="9" s="1"/>
  <c r="AK84" i="9" l="1"/>
  <c r="AJ84" i="9" s="1"/>
  <c r="AL84" i="9" s="1"/>
  <c r="AM84" i="9"/>
  <c r="AN84" i="9" s="1"/>
  <c r="M69" i="9"/>
  <c r="L69" i="9" s="1"/>
  <c r="N69" i="9" s="1"/>
  <c r="O69" i="9"/>
  <c r="P69" i="9" s="1"/>
  <c r="T59" i="12"/>
  <c r="U59" i="12"/>
  <c r="U60" i="12" s="1"/>
  <c r="S60" i="12"/>
  <c r="Q60" i="12"/>
  <c r="M61" i="12" s="1"/>
  <c r="AE65" i="12"/>
  <c r="AF65" i="12"/>
  <c r="Z66" i="12"/>
  <c r="Y66" i="12"/>
  <c r="AA66" i="12" s="1"/>
  <c r="AB66" i="12" s="1"/>
  <c r="X67" i="12" s="1"/>
  <c r="B128" i="9"/>
  <c r="E128" i="9" s="1"/>
  <c r="D128" i="9" s="1"/>
  <c r="F128" i="9" s="1"/>
  <c r="H128" i="9" s="1"/>
  <c r="Z92" i="9"/>
  <c r="R91" i="9"/>
  <c r="U91" i="9" s="1"/>
  <c r="T91" i="9" s="1"/>
  <c r="V91" i="9" s="1"/>
  <c r="H159" i="12"/>
  <c r="J159" i="12" s="1"/>
  <c r="A160" i="12"/>
  <c r="E83" i="12"/>
  <c r="F83" i="12"/>
  <c r="B84" i="12" s="1"/>
  <c r="K157" i="12"/>
  <c r="L157" i="12" s="1"/>
  <c r="C37" i="11" s="1" a="1"/>
  <c r="G158" i="12"/>
  <c r="I158" i="12" s="1"/>
  <c r="V59" i="12" l="1"/>
  <c r="W59" i="12" s="1"/>
  <c r="R60" i="12"/>
  <c r="T60" i="12" s="1"/>
  <c r="N61" i="12"/>
  <c r="O61" i="12" s="1"/>
  <c r="AC66" i="12"/>
  <c r="AG65" i="12"/>
  <c r="AH65" i="12" s="1"/>
  <c r="Y67" i="12"/>
  <c r="AA67" i="12" s="1"/>
  <c r="AB67" i="12" s="1"/>
  <c r="X68" i="12" s="1"/>
  <c r="Z67" i="12"/>
  <c r="AD66" i="12"/>
  <c r="AF66" i="12" s="1"/>
  <c r="AC92" i="9"/>
  <c r="AB92" i="9" s="1"/>
  <c r="AD92" i="9" s="1"/>
  <c r="AE92" i="9" s="1"/>
  <c r="AF92" i="9" s="1"/>
  <c r="Z93" i="9" s="1"/>
  <c r="AC93" i="9" s="1"/>
  <c r="AB93" i="9" s="1"/>
  <c r="AD93" i="9" s="1"/>
  <c r="AE93" i="9" s="1"/>
  <c r="AF93" i="9" s="1"/>
  <c r="AH85" i="9"/>
  <c r="J70" i="9"/>
  <c r="B129" i="9"/>
  <c r="E129" i="9" s="1"/>
  <c r="D129" i="9" s="1"/>
  <c r="F129" i="9" s="1"/>
  <c r="H129" i="9" s="1"/>
  <c r="G159" i="12"/>
  <c r="I159" i="12" s="1"/>
  <c r="K158" i="12"/>
  <c r="L158" i="12" s="1"/>
  <c r="H160" i="12"/>
  <c r="J160" i="12" s="1"/>
  <c r="A161" i="12"/>
  <c r="C84" i="12"/>
  <c r="D84" i="12" s="1"/>
  <c r="K159" i="12"/>
  <c r="L159" i="12" s="1"/>
  <c r="G160" i="12"/>
  <c r="W91" i="9"/>
  <c r="X91" i="9" s="1"/>
  <c r="AK85" i="9" l="1"/>
  <c r="AJ85" i="9" s="1"/>
  <c r="AL85" i="9" s="1"/>
  <c r="AM85" i="9"/>
  <c r="AN85" i="9" s="1"/>
  <c r="AH86" i="9" s="1"/>
  <c r="M70" i="9"/>
  <c r="L70" i="9" s="1"/>
  <c r="N70" i="9" s="1"/>
  <c r="O70" i="9"/>
  <c r="P70" i="9" s="1"/>
  <c r="R61" i="12"/>
  <c r="V60" i="12"/>
  <c r="W60" i="12" s="1"/>
  <c r="AE66" i="12"/>
  <c r="P61" i="12"/>
  <c r="Q61" i="12" s="1"/>
  <c r="S61" i="12"/>
  <c r="U61" i="12" s="1"/>
  <c r="AG66" i="12"/>
  <c r="AH66" i="12" s="1"/>
  <c r="AC67" i="12"/>
  <c r="Z68" i="12"/>
  <c r="Y68" i="12"/>
  <c r="AD67" i="12"/>
  <c r="AF67" i="12" s="1"/>
  <c r="B130" i="9"/>
  <c r="E130" i="9" s="1"/>
  <c r="D130" i="9" s="1"/>
  <c r="F130" i="9" s="1"/>
  <c r="H130" i="9" s="1"/>
  <c r="Z94" i="9"/>
  <c r="AC94" i="9" s="1"/>
  <c r="AB94" i="9" s="1"/>
  <c r="AD94" i="9" s="1"/>
  <c r="R92" i="9"/>
  <c r="U92" i="9" s="1"/>
  <c r="T92" i="9" s="1"/>
  <c r="V92" i="9" s="1"/>
  <c r="H161" i="12"/>
  <c r="J161" i="12" s="1"/>
  <c r="A162" i="12"/>
  <c r="I160" i="12"/>
  <c r="F84" i="12"/>
  <c r="B85" i="12" s="1"/>
  <c r="E84" i="12"/>
  <c r="AK86" i="9" l="1"/>
  <c r="AJ86" i="9" s="1"/>
  <c r="AL86" i="9" s="1"/>
  <c r="D29" i="11" a="1"/>
  <c r="M62" i="12"/>
  <c r="T61" i="12"/>
  <c r="AE67" i="12"/>
  <c r="AA68" i="12"/>
  <c r="K160" i="12"/>
  <c r="L160" i="12" s="1"/>
  <c r="G161" i="12"/>
  <c r="I161" i="12" s="1"/>
  <c r="J71" i="9"/>
  <c r="B131" i="9"/>
  <c r="E131" i="9" s="1"/>
  <c r="D131" i="9" s="1"/>
  <c r="F131" i="9" s="1"/>
  <c r="H131" i="9" s="1"/>
  <c r="H162" i="12"/>
  <c r="J162" i="12" s="1"/>
  <c r="A163" i="12"/>
  <c r="C85" i="12"/>
  <c r="D85" i="12"/>
  <c r="AE94" i="9"/>
  <c r="AF94" i="9" s="1"/>
  <c r="W92" i="9"/>
  <c r="X92" i="9" s="1"/>
  <c r="AM86" i="9" l="1"/>
  <c r="AN86" i="9" s="1"/>
  <c r="AH87" i="9" s="1"/>
  <c r="M71" i="9"/>
  <c r="L71" i="9" s="1"/>
  <c r="N71" i="9" s="1"/>
  <c r="O71" i="9"/>
  <c r="P71" i="9" s="1"/>
  <c r="N62" i="12"/>
  <c r="O62" i="12" s="1"/>
  <c r="V61" i="12"/>
  <c r="W61" i="12" s="1"/>
  <c r="E29" i="11" s="1" a="1"/>
  <c r="H29" i="11" s="1"/>
  <c r="R62" i="12"/>
  <c r="AC68" i="12"/>
  <c r="AG67" i="12"/>
  <c r="AH67" i="12" s="1"/>
  <c r="AD68" i="12"/>
  <c r="AF68" i="12" s="1"/>
  <c r="AB68" i="12"/>
  <c r="X69" i="12" s="1"/>
  <c r="Z95" i="9"/>
  <c r="AC95" i="9" s="1"/>
  <c r="AB95" i="9" s="1"/>
  <c r="AD95" i="9" s="1"/>
  <c r="R93" i="9"/>
  <c r="U93" i="9" s="1"/>
  <c r="T93" i="9" s="1"/>
  <c r="V93" i="9" s="1"/>
  <c r="W93" i="9" s="1"/>
  <c r="B132" i="9"/>
  <c r="K161" i="12"/>
  <c r="L161" i="12" s="1"/>
  <c r="G162" i="12"/>
  <c r="H163" i="12"/>
  <c r="J163" i="12" s="1"/>
  <c r="A164" i="12"/>
  <c r="I162" i="12"/>
  <c r="E85" i="12"/>
  <c r="F85" i="12"/>
  <c r="AK87" i="9" l="1"/>
  <c r="AJ87" i="9" s="1"/>
  <c r="AL87" i="9" s="1"/>
  <c r="P62" i="12"/>
  <c r="AE68" i="12"/>
  <c r="AC69" i="12"/>
  <c r="AG68" i="12"/>
  <c r="AH68" i="12" s="1"/>
  <c r="Y69" i="12"/>
  <c r="E132" i="9"/>
  <c r="D132" i="9"/>
  <c r="F132" i="9" s="1"/>
  <c r="H132" i="9" s="1"/>
  <c r="J72" i="9"/>
  <c r="H164" i="12"/>
  <c r="J164" i="12" s="1"/>
  <c r="A165" i="12"/>
  <c r="B31" i="11" a="1"/>
  <c r="B86" i="12"/>
  <c r="K162" i="12"/>
  <c r="L162" i="12" s="1"/>
  <c r="G163" i="12"/>
  <c r="I163" i="12" s="1"/>
  <c r="AE95" i="9"/>
  <c r="AF95" i="9" s="1"/>
  <c r="X93" i="9"/>
  <c r="AM87" i="9" l="1"/>
  <c r="AN87" i="9" s="1"/>
  <c r="AH88" i="9" s="1"/>
  <c r="M72" i="9"/>
  <c r="L72" i="9" s="1"/>
  <c r="N72" i="9" s="1"/>
  <c r="O72" i="9"/>
  <c r="P72" i="9" s="1"/>
  <c r="Q62" i="12"/>
  <c r="M63" i="12" s="1"/>
  <c r="S62" i="12"/>
  <c r="Z69" i="12"/>
  <c r="B133" i="9"/>
  <c r="E133" i="9" s="1"/>
  <c r="D133" i="9" s="1"/>
  <c r="F133" i="9" s="1"/>
  <c r="H133" i="9" s="1"/>
  <c r="Z96" i="9"/>
  <c r="AC96" i="9" s="1"/>
  <c r="AB96" i="9" s="1"/>
  <c r="AD96" i="9" s="1"/>
  <c r="R94" i="9"/>
  <c r="U94" i="9" s="1"/>
  <c r="T94" i="9" s="1"/>
  <c r="V94" i="9" s="1"/>
  <c r="K163" i="12"/>
  <c r="L163" i="12" s="1"/>
  <c r="G164" i="12"/>
  <c r="H165" i="12"/>
  <c r="J165" i="12" s="1"/>
  <c r="A166" i="12"/>
  <c r="C86" i="12"/>
  <c r="D86" i="12"/>
  <c r="E86" i="12" s="1"/>
  <c r="I164" i="12"/>
  <c r="AK88" i="9" l="1"/>
  <c r="AJ88" i="9" s="1"/>
  <c r="AL88" i="9" s="1"/>
  <c r="O63" i="12"/>
  <c r="N63" i="12"/>
  <c r="U62" i="12"/>
  <c r="T62" i="12"/>
  <c r="AA69" i="12"/>
  <c r="B134" i="9"/>
  <c r="E134" i="9" s="1"/>
  <c r="D134" i="9" s="1"/>
  <c r="F134" i="9" s="1"/>
  <c r="H134" i="9" s="1"/>
  <c r="J73" i="9"/>
  <c r="F86" i="12"/>
  <c r="B87" i="12" s="1"/>
  <c r="H166" i="12"/>
  <c r="J166" i="12" s="1"/>
  <c r="A167" i="12"/>
  <c r="K164" i="12"/>
  <c r="L164" i="12" s="1"/>
  <c r="G165" i="12"/>
  <c r="I165" i="12" s="1"/>
  <c r="W94" i="9"/>
  <c r="X94" i="9" s="1"/>
  <c r="AE96" i="9"/>
  <c r="AF96" i="9" s="1"/>
  <c r="AM88" i="9" l="1"/>
  <c r="AN88" i="9" s="1"/>
  <c r="AH89" i="9" s="1"/>
  <c r="M73" i="9"/>
  <c r="O73" i="9"/>
  <c r="P63" i="12"/>
  <c r="V62" i="12"/>
  <c r="W62" i="12" s="1"/>
  <c r="R63" i="12"/>
  <c r="AD69" i="12"/>
  <c r="AB69" i="12"/>
  <c r="X70" i="12" s="1"/>
  <c r="R95" i="9"/>
  <c r="U95" i="9" s="1"/>
  <c r="T95" i="9" s="1"/>
  <c r="V95" i="9" s="1"/>
  <c r="W95" i="9" s="1"/>
  <c r="X95" i="9" s="1"/>
  <c r="Z97" i="9"/>
  <c r="AC97" i="9" s="1"/>
  <c r="AB97" i="9" s="1"/>
  <c r="AD97" i="9" s="1"/>
  <c r="B135" i="9"/>
  <c r="E135" i="9" s="1"/>
  <c r="D135" i="9" s="1"/>
  <c r="C87" i="12"/>
  <c r="D87" i="12"/>
  <c r="E87" i="12" s="1"/>
  <c r="H167" i="12"/>
  <c r="J167" i="12" s="1"/>
  <c r="A168" i="12"/>
  <c r="K165" i="12"/>
  <c r="L165" i="12" s="1"/>
  <c r="G166" i="12"/>
  <c r="I166" i="12" s="1"/>
  <c r="L73" i="9"/>
  <c r="N73" i="9" s="1"/>
  <c r="Q63" i="12" l="1"/>
  <c r="M64" i="12" s="1"/>
  <c r="S63" i="12"/>
  <c r="AE69" i="12"/>
  <c r="AF69" i="12"/>
  <c r="Y70" i="12"/>
  <c r="AK89" i="9"/>
  <c r="AJ89" i="9" s="1"/>
  <c r="AL89" i="9" s="1"/>
  <c r="AM89" i="9" s="1"/>
  <c r="R96" i="9"/>
  <c r="K166" i="12"/>
  <c r="L166" i="12" s="1"/>
  <c r="G167" i="12"/>
  <c r="I167" i="12" s="1"/>
  <c r="F87" i="12"/>
  <c r="B88" i="12" s="1"/>
  <c r="H168" i="12"/>
  <c r="J168" i="12" s="1"/>
  <c r="A169" i="12"/>
  <c r="AE97" i="9"/>
  <c r="AF97" i="9" s="1"/>
  <c r="P73" i="9"/>
  <c r="F135" i="9"/>
  <c r="H135" i="9" s="1"/>
  <c r="N64" i="12" l="1"/>
  <c r="T63" i="12"/>
  <c r="U63" i="12"/>
  <c r="AC70" i="12"/>
  <c r="AG69" i="12"/>
  <c r="AH69" i="12" s="1"/>
  <c r="Z70" i="12"/>
  <c r="AA70" i="12"/>
  <c r="U96" i="9"/>
  <c r="T96" i="9" s="1"/>
  <c r="V96" i="9" s="1"/>
  <c r="W96" i="9" s="1"/>
  <c r="X96" i="9" s="1"/>
  <c r="R97" i="9" s="1"/>
  <c r="U97" i="9" s="1"/>
  <c r="T97" i="9" s="1"/>
  <c r="V97" i="9" s="1"/>
  <c r="AN89" i="9"/>
  <c r="AH90" i="9" s="1"/>
  <c r="Z98" i="9"/>
  <c r="AC98" i="9" s="1"/>
  <c r="AB98" i="9" s="1"/>
  <c r="AD98" i="9" s="1"/>
  <c r="J74" i="9"/>
  <c r="B136" i="9"/>
  <c r="E136" i="9" s="1"/>
  <c r="D136" i="9" s="1"/>
  <c r="C88" i="12"/>
  <c r="D88" i="12" s="1"/>
  <c r="H169" i="12"/>
  <c r="J169" i="12" s="1"/>
  <c r="A170" i="12"/>
  <c r="K167" i="12"/>
  <c r="L167" i="12" s="1"/>
  <c r="G168" i="12"/>
  <c r="I168" i="12" s="1"/>
  <c r="M74" i="9" l="1"/>
  <c r="L74" i="9" s="1"/>
  <c r="N74" i="9" s="1"/>
  <c r="O74" i="9"/>
  <c r="P74" i="9" s="1"/>
  <c r="V63" i="12"/>
  <c r="W63" i="12" s="1"/>
  <c r="R64" i="12"/>
  <c r="O64" i="12"/>
  <c r="P64" i="12"/>
  <c r="AD70" i="12"/>
  <c r="AF70" i="12" s="1"/>
  <c r="AB70" i="12"/>
  <c r="X71" i="12" s="1"/>
  <c r="Y71" i="12"/>
  <c r="Z71" i="12" s="1"/>
  <c r="AE70" i="12"/>
  <c r="AK90" i="9"/>
  <c r="AJ90" i="9" s="1"/>
  <c r="AL90" i="9" s="1"/>
  <c r="AM90" i="9" s="1"/>
  <c r="AN90" i="9" s="1"/>
  <c r="AH91" i="9" s="1"/>
  <c r="F88" i="12"/>
  <c r="B89" i="12" s="1"/>
  <c r="E88" i="12"/>
  <c r="H170" i="12"/>
  <c r="J170" i="12" s="1"/>
  <c r="A171" i="12"/>
  <c r="G169" i="12"/>
  <c r="I169" i="12" s="1"/>
  <c r="K168" i="12"/>
  <c r="L168" i="12" s="1"/>
  <c r="AE98" i="9"/>
  <c r="AF98" i="9" s="1"/>
  <c r="W97" i="9"/>
  <c r="X97" i="9" s="1"/>
  <c r="F136" i="9"/>
  <c r="H136" i="9" s="1"/>
  <c r="AK91" i="9" l="1"/>
  <c r="AJ91" i="9" s="1"/>
  <c r="AL91" i="9" s="1"/>
  <c r="Q64" i="12"/>
  <c r="M65" i="12" s="1"/>
  <c r="S64" i="12"/>
  <c r="AG70" i="12"/>
  <c r="AH70" i="12" s="1"/>
  <c r="AC71" i="12"/>
  <c r="AA71" i="12"/>
  <c r="Z99" i="9"/>
  <c r="AC99" i="9" s="1"/>
  <c r="AB99" i="9" s="1"/>
  <c r="AD99" i="9" s="1"/>
  <c r="R98" i="9"/>
  <c r="U98" i="9" s="1"/>
  <c r="T98" i="9" s="1"/>
  <c r="V98" i="9" s="1"/>
  <c r="B137" i="9"/>
  <c r="E137" i="9" s="1"/>
  <c r="D137" i="9" s="1"/>
  <c r="G170" i="12"/>
  <c r="I170" i="12" s="1"/>
  <c r="K169" i="12"/>
  <c r="L169" i="12" s="1"/>
  <c r="C38" i="11" s="1" a="1"/>
  <c r="C89" i="12"/>
  <c r="D89" i="12"/>
  <c r="E89" i="12" s="1"/>
  <c r="H171" i="12"/>
  <c r="J171" i="12" s="1"/>
  <c r="A172" i="12"/>
  <c r="J75" i="9"/>
  <c r="AM91" i="9" l="1"/>
  <c r="AN91" i="9" s="1"/>
  <c r="AH92" i="9" s="1"/>
  <c r="N65" i="12"/>
  <c r="O65" i="12" s="1"/>
  <c r="T64" i="12"/>
  <c r="U64" i="12"/>
  <c r="AB71" i="12"/>
  <c r="X72" i="12" s="1"/>
  <c r="AD71" i="12"/>
  <c r="AF71" i="12" s="1"/>
  <c r="Y72" i="12"/>
  <c r="Z72" i="12"/>
  <c r="AA72" i="12" s="1"/>
  <c r="AE71" i="12"/>
  <c r="K170" i="12"/>
  <c r="L170" i="12" s="1"/>
  <c r="G171" i="12"/>
  <c r="I171" i="12" s="1"/>
  <c r="F89" i="12"/>
  <c r="B90" i="12" s="1"/>
  <c r="H172" i="12"/>
  <c r="J172" i="12" s="1"/>
  <c r="A173" i="12"/>
  <c r="AE99" i="9"/>
  <c r="AF99" i="9" s="1"/>
  <c r="W98" i="9"/>
  <c r="X98" i="9" s="1"/>
  <c r="M75" i="9"/>
  <c r="L75" i="9" s="1"/>
  <c r="N75" i="9" s="1"/>
  <c r="O75" i="9" s="1"/>
  <c r="F137" i="9"/>
  <c r="H137" i="9" s="1"/>
  <c r="AK92" i="9" l="1"/>
  <c r="AJ92" i="9" s="1"/>
  <c r="AL92" i="9" s="1"/>
  <c r="AM92" i="9" s="1"/>
  <c r="AN92" i="9" s="1"/>
  <c r="AH93" i="9" s="1"/>
  <c r="P65" i="12"/>
  <c r="V64" i="12"/>
  <c r="W64" i="12" s="1"/>
  <c r="R65" i="12"/>
  <c r="AG71" i="12"/>
  <c r="AH71" i="12" s="1"/>
  <c r="AC72" i="12"/>
  <c r="AD72" i="12"/>
  <c r="AF72" i="12" s="1"/>
  <c r="AB72" i="12"/>
  <c r="X73" i="12" s="1"/>
  <c r="O66" i="12"/>
  <c r="Z100" i="9"/>
  <c r="AC100" i="9" s="1"/>
  <c r="AB100" i="9" s="1"/>
  <c r="AD100" i="9" s="1"/>
  <c r="R99" i="9"/>
  <c r="U99" i="9" s="1"/>
  <c r="T99" i="9" s="1"/>
  <c r="V99" i="9" s="1"/>
  <c r="B138" i="9"/>
  <c r="E138" i="9" s="1"/>
  <c r="D138" i="9" s="1"/>
  <c r="G172" i="12"/>
  <c r="I172" i="12" s="1"/>
  <c r="K171" i="12"/>
  <c r="L171" i="12" s="1"/>
  <c r="D90" i="12"/>
  <c r="E90" i="12" s="1"/>
  <c r="C90" i="12"/>
  <c r="H173" i="12"/>
  <c r="J173" i="12" s="1"/>
  <c r="A174" i="12"/>
  <c r="P75" i="9"/>
  <c r="AK93" i="9" l="1"/>
  <c r="AJ93" i="9" s="1"/>
  <c r="AL93" i="9" s="1"/>
  <c r="AE72" i="12"/>
  <c r="Q65" i="12"/>
  <c r="M66" i="12" s="1"/>
  <c r="N66" i="12" s="1"/>
  <c r="S65" i="12"/>
  <c r="AG72" i="12"/>
  <c r="AH72" i="12" s="1"/>
  <c r="AC73" i="12"/>
  <c r="Y73" i="12"/>
  <c r="Z73" i="12" s="1"/>
  <c r="P66" i="12"/>
  <c r="K172" i="12"/>
  <c r="L172" i="12" s="1"/>
  <c r="G173" i="12"/>
  <c r="I173" i="12" s="1"/>
  <c r="F90" i="12"/>
  <c r="B91" i="12" s="1"/>
  <c r="H174" i="12"/>
  <c r="J174" i="12" s="1"/>
  <c r="A175" i="12"/>
  <c r="AE100" i="9"/>
  <c r="AF100" i="9" s="1"/>
  <c r="W99" i="9"/>
  <c r="X99" i="9" s="1"/>
  <c r="J76" i="9"/>
  <c r="F138" i="9"/>
  <c r="H138" i="9" s="1"/>
  <c r="AM93" i="9" l="1"/>
  <c r="AN93" i="9" s="1"/>
  <c r="AH94" i="9" s="1"/>
  <c r="T65" i="12"/>
  <c r="U65" i="12"/>
  <c r="U66" i="12" s="1"/>
  <c r="S66" i="12"/>
  <c r="Q66" i="12"/>
  <c r="M67" i="12" s="1"/>
  <c r="AA73" i="12"/>
  <c r="Z101" i="9"/>
  <c r="R100" i="9"/>
  <c r="B139" i="9"/>
  <c r="E139" i="9" s="1"/>
  <c r="D139" i="9" s="1"/>
  <c r="F139" i="9" s="1"/>
  <c r="H139" i="9" s="1"/>
  <c r="K173" i="12"/>
  <c r="L173" i="12" s="1"/>
  <c r="G174" i="12"/>
  <c r="I174" i="12" s="1"/>
  <c r="C91" i="12"/>
  <c r="D91" i="12"/>
  <c r="E91" i="12" s="1"/>
  <c r="H175" i="12"/>
  <c r="J175" i="12" s="1"/>
  <c r="A176" i="12"/>
  <c r="M76" i="9"/>
  <c r="L76" i="9" s="1"/>
  <c r="N76" i="9" s="1"/>
  <c r="O76" i="9" s="1"/>
  <c r="P76" i="9" s="1"/>
  <c r="AK94" i="9" l="1"/>
  <c r="AJ94" i="9" s="1"/>
  <c r="AL94" i="9" s="1"/>
  <c r="V65" i="12"/>
  <c r="W65" i="12" s="1"/>
  <c r="R66" i="12"/>
  <c r="T66" i="12" s="1"/>
  <c r="V66" i="12" s="1"/>
  <c r="W66" i="12" s="1"/>
  <c r="N67" i="12"/>
  <c r="P67" i="12" s="1"/>
  <c r="O67" i="12"/>
  <c r="R67" i="12"/>
  <c r="AD73" i="12"/>
  <c r="AB73" i="12"/>
  <c r="U100" i="9"/>
  <c r="T100" i="9"/>
  <c r="V100" i="9" s="1"/>
  <c r="W100" i="9" s="1"/>
  <c r="X100" i="9" s="1"/>
  <c r="B140" i="9"/>
  <c r="E140" i="9" s="1"/>
  <c r="D140" i="9" s="1"/>
  <c r="F140" i="9" s="1"/>
  <c r="H140" i="9" s="1"/>
  <c r="AC101" i="9"/>
  <c r="AB101" i="9" s="1"/>
  <c r="AD101" i="9" s="1"/>
  <c r="AE101" i="9" s="1"/>
  <c r="AF101" i="9" s="1"/>
  <c r="Z102" i="9" s="1"/>
  <c r="AC102" i="9" s="1"/>
  <c r="AB102" i="9" s="1"/>
  <c r="AD102" i="9" s="1"/>
  <c r="AE102" i="9" s="1"/>
  <c r="G175" i="12"/>
  <c r="I175" i="12" s="1"/>
  <c r="K174" i="12"/>
  <c r="L174" i="12" s="1"/>
  <c r="F91" i="12"/>
  <c r="B92" i="12" s="1"/>
  <c r="H176" i="12"/>
  <c r="J176" i="12" s="1"/>
  <c r="A177" i="12"/>
  <c r="J77" i="9"/>
  <c r="AM94" i="9" l="1"/>
  <c r="AN94" i="9" s="1"/>
  <c r="AH95" i="9" s="1"/>
  <c r="G176" i="12"/>
  <c r="K175" i="12"/>
  <c r="L175" i="12" s="1"/>
  <c r="AF73" i="12"/>
  <c r="AE73" i="12"/>
  <c r="F30" i="11" a="1"/>
  <c r="X74" i="12"/>
  <c r="Q67" i="12"/>
  <c r="M68" i="12" s="1"/>
  <c r="S67" i="12"/>
  <c r="R101" i="9"/>
  <c r="U101" i="9" s="1"/>
  <c r="T101" i="9" s="1"/>
  <c r="V101" i="9" s="1"/>
  <c r="B141" i="9"/>
  <c r="E141" i="9" s="1"/>
  <c r="D141" i="9" s="1"/>
  <c r="F141" i="9" s="1"/>
  <c r="H141" i="9" s="1"/>
  <c r="C92" i="12"/>
  <c r="H177" i="12"/>
  <c r="J177" i="12" s="1"/>
  <c r="A178" i="12"/>
  <c r="I176" i="12"/>
  <c r="AF102" i="9"/>
  <c r="M77" i="9"/>
  <c r="L77" i="9" s="1"/>
  <c r="N77" i="9" s="1"/>
  <c r="O77" i="9" s="1"/>
  <c r="AK95" i="9" l="1"/>
  <c r="AJ95" i="9" s="1"/>
  <c r="AL95" i="9" s="1"/>
  <c r="D92" i="12"/>
  <c r="AC74" i="12"/>
  <c r="AG73" i="12"/>
  <c r="AH73" i="12" s="1"/>
  <c r="G30" i="11" s="1" a="1"/>
  <c r="Y74" i="12"/>
  <c r="N68" i="12"/>
  <c r="O68" i="12" s="1"/>
  <c r="T67" i="12"/>
  <c r="U67" i="12"/>
  <c r="B142" i="9"/>
  <c r="Z103" i="9"/>
  <c r="AC103" i="9" s="1"/>
  <c r="AB103" i="9" s="1"/>
  <c r="AD103" i="9" s="1"/>
  <c r="K176" i="12"/>
  <c r="L176" i="12" s="1"/>
  <c r="G177" i="12"/>
  <c r="I177" i="12" s="1"/>
  <c r="H178" i="12"/>
  <c r="J178" i="12" s="1"/>
  <c r="A179" i="12"/>
  <c r="W101" i="9"/>
  <c r="X101" i="9" s="1"/>
  <c r="P77" i="9"/>
  <c r="E142" i="9"/>
  <c r="D142" i="9" s="1"/>
  <c r="F142" i="9" s="1"/>
  <c r="H142" i="9" s="1"/>
  <c r="AM95" i="9" l="1"/>
  <c r="AN95" i="9" s="1"/>
  <c r="AH96" i="9" s="1"/>
  <c r="E92" i="12"/>
  <c r="F92" i="12"/>
  <c r="B93" i="12" s="1"/>
  <c r="R68" i="12"/>
  <c r="V67" i="12"/>
  <c r="W67" i="12" s="1"/>
  <c r="Z74" i="12"/>
  <c r="P68" i="12"/>
  <c r="Q68" i="12" s="1"/>
  <c r="M69" i="12" s="1"/>
  <c r="S68" i="12"/>
  <c r="U68" i="12" s="1"/>
  <c r="R102" i="9"/>
  <c r="U102" i="9" s="1"/>
  <c r="T102" i="9" s="1"/>
  <c r="V102" i="9" s="1"/>
  <c r="B143" i="9"/>
  <c r="E143" i="9" s="1"/>
  <c r="D143" i="9" s="1"/>
  <c r="F143" i="9" s="1"/>
  <c r="H143" i="9" s="1"/>
  <c r="G178" i="12"/>
  <c r="I178" i="12" s="1"/>
  <c r="K177" i="12"/>
  <c r="L177" i="12" s="1"/>
  <c r="H179" i="12"/>
  <c r="J179" i="12" s="1"/>
  <c r="A180" i="12"/>
  <c r="AE103" i="9"/>
  <c r="AF103" i="9" s="1"/>
  <c r="J78" i="9"/>
  <c r="AK96" i="9" l="1"/>
  <c r="AJ96" i="9" s="1"/>
  <c r="AL96" i="9" s="1"/>
  <c r="C93" i="12"/>
  <c r="D93" i="12"/>
  <c r="E93" i="12" s="1"/>
  <c r="G179" i="12"/>
  <c r="K178" i="12"/>
  <c r="L178" i="12" s="1"/>
  <c r="N69" i="12"/>
  <c r="O69" i="12"/>
  <c r="T68" i="12"/>
  <c r="AA74" i="12"/>
  <c r="AD74" i="12" s="1"/>
  <c r="AB74" i="12"/>
  <c r="X75" i="12" s="1"/>
  <c r="B144" i="9"/>
  <c r="Z104" i="9"/>
  <c r="H180" i="12"/>
  <c r="J180" i="12" s="1"/>
  <c r="A181" i="12"/>
  <c r="I179" i="12"/>
  <c r="W102" i="9"/>
  <c r="X102" i="9" s="1"/>
  <c r="M78" i="9"/>
  <c r="L78" i="9"/>
  <c r="N78" i="9" s="1"/>
  <c r="O78" i="9" s="1"/>
  <c r="AM96" i="9" l="1"/>
  <c r="AN96" i="9" s="1"/>
  <c r="AH97" i="9" s="1"/>
  <c r="F93" i="12"/>
  <c r="B94" i="12" s="1"/>
  <c r="K179" i="12"/>
  <c r="L179" i="12" s="1"/>
  <c r="G180" i="12"/>
  <c r="I180" i="12" s="1"/>
  <c r="P69" i="12"/>
  <c r="V68" i="12"/>
  <c r="W68" i="12" s="1"/>
  <c r="R69" i="12"/>
  <c r="AF74" i="12"/>
  <c r="AE74" i="12"/>
  <c r="Y75" i="12"/>
  <c r="Z75" i="12" s="1"/>
  <c r="E144" i="9"/>
  <c r="D144" i="9"/>
  <c r="F144" i="9" s="1"/>
  <c r="H144" i="9" s="1"/>
  <c r="B145" i="9" s="1"/>
  <c r="E145" i="9" s="1"/>
  <c r="D145" i="9" s="1"/>
  <c r="F145" i="9" s="1"/>
  <c r="H145" i="9" s="1"/>
  <c r="AC104" i="9"/>
  <c r="AB104" i="9" s="1"/>
  <c r="AD104" i="9" s="1"/>
  <c r="AE104" i="9" s="1"/>
  <c r="AF104" i="9" s="1"/>
  <c r="Z105" i="9" s="1"/>
  <c r="AC105" i="9" s="1"/>
  <c r="AB105" i="9" s="1"/>
  <c r="AD105" i="9" s="1"/>
  <c r="AE105" i="9" s="1"/>
  <c r="R103" i="9"/>
  <c r="U103" i="9" s="1"/>
  <c r="T103" i="9" s="1"/>
  <c r="V103" i="9" s="1"/>
  <c r="W103" i="9" s="1"/>
  <c r="X103" i="9" s="1"/>
  <c r="H181" i="12"/>
  <c r="J181" i="12" s="1"/>
  <c r="A182" i="12"/>
  <c r="P78" i="9"/>
  <c r="AK97" i="9" l="1"/>
  <c r="AJ97" i="9" s="1"/>
  <c r="AL97" i="9" s="1"/>
  <c r="AM97" i="9" s="1"/>
  <c r="AN97" i="9" s="1"/>
  <c r="AH98" i="9" s="1"/>
  <c r="C94" i="12"/>
  <c r="F94" i="12" s="1"/>
  <c r="B95" i="12" s="1"/>
  <c r="D94" i="12"/>
  <c r="E94" i="12" s="1"/>
  <c r="AG74" i="12"/>
  <c r="AH74" i="12" s="1"/>
  <c r="AC75" i="12"/>
  <c r="Q69" i="12"/>
  <c r="M70" i="12" s="1"/>
  <c r="N70" i="12" s="1"/>
  <c r="O70" i="12" s="1"/>
  <c r="S69" i="12"/>
  <c r="AA75" i="12"/>
  <c r="C95" i="12"/>
  <c r="D95" i="12"/>
  <c r="E95" i="12" s="1"/>
  <c r="B146" i="9"/>
  <c r="E146" i="9" s="1"/>
  <c r="D146" i="9" s="1"/>
  <c r="R104" i="9"/>
  <c r="U104" i="9" s="1"/>
  <c r="T104" i="9" s="1"/>
  <c r="V104" i="9" s="1"/>
  <c r="W104" i="9" s="1"/>
  <c r="H182" i="12"/>
  <c r="J182" i="12" s="1"/>
  <c r="A183" i="12"/>
  <c r="K180" i="12"/>
  <c r="L180" i="12" s="1"/>
  <c r="G181" i="12"/>
  <c r="I181" i="12" s="1"/>
  <c r="AF105" i="9"/>
  <c r="J79" i="9"/>
  <c r="AK98" i="9" l="1"/>
  <c r="AJ98" i="9" s="1"/>
  <c r="AL98" i="9" s="1"/>
  <c r="T69" i="12"/>
  <c r="U69" i="12"/>
  <c r="F95" i="12"/>
  <c r="B96" i="12" s="1"/>
  <c r="P70" i="12"/>
  <c r="AB75" i="12"/>
  <c r="X76" i="12" s="1"/>
  <c r="AD75" i="12"/>
  <c r="K181" i="12"/>
  <c r="L181" i="12" s="1"/>
  <c r="C39" i="11" s="1" a="1"/>
  <c r="G182" i="12"/>
  <c r="I182" i="12" s="1"/>
  <c r="Z106" i="9"/>
  <c r="H183" i="12"/>
  <c r="J183" i="12" s="1"/>
  <c r="A184" i="12"/>
  <c r="X104" i="9"/>
  <c r="M79" i="9"/>
  <c r="L79" i="9" s="1"/>
  <c r="N79" i="9" s="1"/>
  <c r="O79" i="9" s="1"/>
  <c r="F146" i="9"/>
  <c r="H146" i="9" s="1"/>
  <c r="AM98" i="9" l="1"/>
  <c r="AN98" i="9" s="1"/>
  <c r="AH99" i="9" s="1"/>
  <c r="K182" i="12"/>
  <c r="L182" i="12" s="1"/>
  <c r="G183" i="12"/>
  <c r="I183" i="12" s="1"/>
  <c r="R70" i="12"/>
  <c r="T70" i="12" s="1"/>
  <c r="V69" i="12"/>
  <c r="W69" i="12" s="1"/>
  <c r="D96" i="12"/>
  <c r="E96" i="12" s="1"/>
  <c r="C96" i="12"/>
  <c r="Y76" i="12"/>
  <c r="AE75" i="12"/>
  <c r="AF75" i="12"/>
  <c r="S70" i="12"/>
  <c r="U70" i="12" s="1"/>
  <c r="Q70" i="12"/>
  <c r="M71" i="12" s="1"/>
  <c r="AC106" i="9"/>
  <c r="AB106" i="9"/>
  <c r="AD106" i="9" s="1"/>
  <c r="R105" i="9"/>
  <c r="B147" i="9"/>
  <c r="E147" i="9" s="1"/>
  <c r="D147" i="9" s="1"/>
  <c r="H184" i="12"/>
  <c r="J184" i="12" s="1"/>
  <c r="A185" i="12"/>
  <c r="P79" i="9"/>
  <c r="AK99" i="9" l="1"/>
  <c r="AJ99" i="9" s="1"/>
  <c r="AL99" i="9" s="1"/>
  <c r="V70" i="12"/>
  <c r="W70" i="12" s="1"/>
  <c r="R71" i="12"/>
  <c r="AG75" i="12"/>
  <c r="AH75" i="12" s="1"/>
  <c r="AC76" i="12"/>
  <c r="N71" i="12"/>
  <c r="O71" i="12" s="1"/>
  <c r="F96" i="12"/>
  <c r="B97" i="12" s="1"/>
  <c r="Z76" i="12"/>
  <c r="AA76" i="12"/>
  <c r="AE106" i="9"/>
  <c r="AF106" i="9"/>
  <c r="Z107" i="9" s="1"/>
  <c r="U105" i="9"/>
  <c r="T105" i="9" s="1"/>
  <c r="V105" i="9" s="1"/>
  <c r="W105" i="9" s="1"/>
  <c r="X105" i="9" s="1"/>
  <c r="R106" i="9" s="1"/>
  <c r="U106" i="9" s="1"/>
  <c r="T106" i="9" s="1"/>
  <c r="V106" i="9" s="1"/>
  <c r="J80" i="9"/>
  <c r="H185" i="12"/>
  <c r="J185" i="12" s="1"/>
  <c r="A186" i="12"/>
  <c r="K183" i="12"/>
  <c r="L183" i="12" s="1"/>
  <c r="G184" i="12"/>
  <c r="I184" i="12" s="1"/>
  <c r="F147" i="9"/>
  <c r="H147" i="9" s="1"/>
  <c r="AM99" i="9" l="1"/>
  <c r="AN99" i="9" s="1"/>
  <c r="AH100" i="9" s="1"/>
  <c r="M80" i="9"/>
  <c r="L80" i="9" s="1"/>
  <c r="N80" i="9" s="1"/>
  <c r="O80" i="9"/>
  <c r="P80" i="9" s="1"/>
  <c r="D97" i="12"/>
  <c r="E97" i="12" s="1"/>
  <c r="C97" i="12"/>
  <c r="AD76" i="12"/>
  <c r="AB76" i="12"/>
  <c r="X77" i="12" s="1"/>
  <c r="P71" i="12"/>
  <c r="Q71" i="12" s="1"/>
  <c r="M72" i="12" s="1"/>
  <c r="S71" i="12"/>
  <c r="AC107" i="9"/>
  <c r="AB107" i="9" s="1"/>
  <c r="AD107" i="9" s="1"/>
  <c r="AE107" i="9" s="1"/>
  <c r="AF107" i="9" s="1"/>
  <c r="Z108" i="9" s="1"/>
  <c r="B148" i="9"/>
  <c r="E148" i="9" s="1"/>
  <c r="D148" i="9" s="1"/>
  <c r="K184" i="12"/>
  <c r="L184" i="12" s="1"/>
  <c r="G185" i="12"/>
  <c r="I185" i="12" s="1"/>
  <c r="H186" i="12"/>
  <c r="J186" i="12" s="1"/>
  <c r="A187" i="12"/>
  <c r="W106" i="9"/>
  <c r="X106" i="9" s="1"/>
  <c r="AK100" i="9" l="1"/>
  <c r="AJ100" i="9" s="1"/>
  <c r="AL100" i="9" s="1"/>
  <c r="F97" i="12"/>
  <c r="K185" i="12"/>
  <c r="L185" i="12" s="1"/>
  <c r="G186" i="12"/>
  <c r="I186" i="12" s="1"/>
  <c r="B98" i="12"/>
  <c r="B32" i="11" a="1"/>
  <c r="AE76" i="12"/>
  <c r="AF76" i="12"/>
  <c r="Y77" i="12"/>
  <c r="Z77" i="12" s="1"/>
  <c r="AA77" i="12" s="1"/>
  <c r="N72" i="12"/>
  <c r="T71" i="12"/>
  <c r="U71" i="12"/>
  <c r="AC108" i="9"/>
  <c r="AB108" i="9" s="1"/>
  <c r="AD108" i="9" s="1"/>
  <c r="AE108" i="9" s="1"/>
  <c r="AF108" i="9" s="1"/>
  <c r="Z109" i="9" s="1"/>
  <c r="AC109" i="9" s="1"/>
  <c r="AB109" i="9" s="1"/>
  <c r="AD109" i="9" s="1"/>
  <c r="J81" i="9"/>
  <c r="R107" i="9"/>
  <c r="U107" i="9" s="1"/>
  <c r="T107" i="9" s="1"/>
  <c r="V107" i="9" s="1"/>
  <c r="H187" i="12"/>
  <c r="J187" i="12" s="1"/>
  <c r="A188" i="12"/>
  <c r="F148" i="9"/>
  <c r="H148" i="9" s="1"/>
  <c r="AM100" i="9" l="1"/>
  <c r="AN100" i="9" s="1"/>
  <c r="AH101" i="9" s="1"/>
  <c r="K186" i="12"/>
  <c r="L186" i="12" s="1"/>
  <c r="G187" i="12"/>
  <c r="I187" i="12" s="1"/>
  <c r="O72" i="12"/>
  <c r="P72" i="12"/>
  <c r="C98" i="12"/>
  <c r="D98" i="12" s="1"/>
  <c r="AC77" i="12"/>
  <c r="AG76" i="12"/>
  <c r="AH76" i="12" s="1"/>
  <c r="V71" i="12"/>
  <c r="W71" i="12" s="1"/>
  <c r="R72" i="12"/>
  <c r="AD77" i="12"/>
  <c r="AF77" i="12" s="1"/>
  <c r="AB77" i="12"/>
  <c r="X78" i="12" s="1"/>
  <c r="M81" i="9"/>
  <c r="L81" i="9" s="1"/>
  <c r="N81" i="9" s="1"/>
  <c r="O81" i="9" s="1"/>
  <c r="P81" i="9" s="1"/>
  <c r="B149" i="9"/>
  <c r="E149" i="9" s="1"/>
  <c r="D149" i="9" s="1"/>
  <c r="H188" i="12"/>
  <c r="J188" i="12" s="1"/>
  <c r="A189" i="12"/>
  <c r="W107" i="9"/>
  <c r="X107" i="9" s="1"/>
  <c r="AE109" i="9"/>
  <c r="AF109" i="9" s="1"/>
  <c r="AK101" i="9" l="1"/>
  <c r="AJ101" i="9" s="1"/>
  <c r="AL101" i="9" s="1"/>
  <c r="AE77" i="12"/>
  <c r="G188" i="12"/>
  <c r="I188" i="12" s="1"/>
  <c r="K187" i="12"/>
  <c r="L187" i="12" s="1"/>
  <c r="Q72" i="12"/>
  <c r="M73" i="12" s="1"/>
  <c r="S72" i="12"/>
  <c r="AC78" i="12"/>
  <c r="AG77" i="12"/>
  <c r="AH77" i="12" s="1"/>
  <c r="O73" i="12"/>
  <c r="N73" i="12"/>
  <c r="Y78" i="12"/>
  <c r="Z78" i="12" s="1"/>
  <c r="AA78" i="12" s="1"/>
  <c r="AB78" i="12" s="1"/>
  <c r="X79" i="12" s="1"/>
  <c r="F98" i="12"/>
  <c r="B99" i="12" s="1"/>
  <c r="E98" i="12"/>
  <c r="J82" i="9"/>
  <c r="R108" i="9"/>
  <c r="Z110" i="9"/>
  <c r="AC110" i="9" s="1"/>
  <c r="AB110" i="9" s="1"/>
  <c r="AD110" i="9" s="1"/>
  <c r="H189" i="12"/>
  <c r="J189" i="12" s="1"/>
  <c r="A190" i="12"/>
  <c r="F149" i="9"/>
  <c r="H149" i="9" s="1"/>
  <c r="AM101" i="9" l="1"/>
  <c r="AN101" i="9" s="1"/>
  <c r="AH102" i="9" s="1"/>
  <c r="T72" i="12"/>
  <c r="U72" i="12"/>
  <c r="Y79" i="12"/>
  <c r="Z79" i="12"/>
  <c r="AD78" i="12"/>
  <c r="P73" i="12"/>
  <c r="C99" i="12"/>
  <c r="D99" i="12"/>
  <c r="U108" i="9"/>
  <c r="T108" i="9" s="1"/>
  <c r="V108" i="9" s="1"/>
  <c r="W108" i="9" s="1"/>
  <c r="X108" i="9" s="1"/>
  <c r="R109" i="9" s="1"/>
  <c r="M82" i="9"/>
  <c r="L82" i="9" s="1"/>
  <c r="N82" i="9" s="1"/>
  <c r="O82" i="9" s="1"/>
  <c r="P82" i="9" s="1"/>
  <c r="B150" i="9"/>
  <c r="E150" i="9" s="1"/>
  <c r="D150" i="9" s="1"/>
  <c r="K188" i="12"/>
  <c r="L188" i="12" s="1"/>
  <c r="G189" i="12"/>
  <c r="I189" i="12" s="1"/>
  <c r="H190" i="12"/>
  <c r="J190" i="12" s="1"/>
  <c r="A191" i="12"/>
  <c r="AE110" i="9"/>
  <c r="AF110" i="9" s="1"/>
  <c r="AK102" i="9" l="1"/>
  <c r="AJ102" i="9" s="1"/>
  <c r="AL102" i="9" s="1"/>
  <c r="AM102" i="9" s="1"/>
  <c r="AN102" i="9" s="1"/>
  <c r="AH103" i="9" s="1"/>
  <c r="V72" i="12"/>
  <c r="W72" i="12" s="1"/>
  <c r="R73" i="12"/>
  <c r="AE78" i="12"/>
  <c r="AF78" i="12"/>
  <c r="AA79" i="12"/>
  <c r="S73" i="12"/>
  <c r="Q73" i="12"/>
  <c r="E99" i="12"/>
  <c r="F99" i="12"/>
  <c r="B100" i="12" s="1"/>
  <c r="C100" i="12" s="1"/>
  <c r="U109" i="9"/>
  <c r="T109" i="9" s="1"/>
  <c r="V109" i="9" s="1"/>
  <c r="W109" i="9" s="1"/>
  <c r="X109" i="9" s="1"/>
  <c r="R110" i="9" s="1"/>
  <c r="U110" i="9" s="1"/>
  <c r="T110" i="9" s="1"/>
  <c r="V110" i="9" s="1"/>
  <c r="J83" i="9"/>
  <c r="Z111" i="9"/>
  <c r="AC111" i="9" s="1"/>
  <c r="AB111" i="9" s="1"/>
  <c r="AD111" i="9" s="1"/>
  <c r="AE111" i="9" s="1"/>
  <c r="AF111" i="9" s="1"/>
  <c r="G190" i="12"/>
  <c r="I190" i="12" s="1"/>
  <c r="K189" i="12"/>
  <c r="L189" i="12" s="1"/>
  <c r="H191" i="12"/>
  <c r="J191" i="12" s="1"/>
  <c r="A192" i="12"/>
  <c r="F150" i="9"/>
  <c r="H150" i="9" s="1"/>
  <c r="AK103" i="9" l="1"/>
  <c r="AJ103" i="9" s="1"/>
  <c r="AL103" i="9" s="1"/>
  <c r="AG78" i="12"/>
  <c r="AH78" i="12" s="1"/>
  <c r="AC79" i="12"/>
  <c r="AE79" i="12" s="1"/>
  <c r="U73" i="12"/>
  <c r="T73" i="12"/>
  <c r="M74" i="12"/>
  <c r="D30" i="11" a="1"/>
  <c r="AD79" i="12"/>
  <c r="AF79" i="12" s="1"/>
  <c r="AB79" i="12"/>
  <c r="X80" i="12" s="1"/>
  <c r="M83" i="9"/>
  <c r="L83" i="9" s="1"/>
  <c r="N83" i="9" s="1"/>
  <c r="O83" i="9" s="1"/>
  <c r="P83" i="9" s="1"/>
  <c r="Z112" i="9"/>
  <c r="AC112" i="9" s="1"/>
  <c r="AB112" i="9" s="1"/>
  <c r="AD112" i="9" s="1"/>
  <c r="B151" i="9"/>
  <c r="E151" i="9" s="1"/>
  <c r="D151" i="9" s="1"/>
  <c r="F151" i="9" s="1"/>
  <c r="H151" i="9" s="1"/>
  <c r="K190" i="12"/>
  <c r="L190" i="12" s="1"/>
  <c r="G191" i="12"/>
  <c r="D100" i="12"/>
  <c r="H192" i="12"/>
  <c r="J192" i="12" s="1"/>
  <c r="A193" i="12"/>
  <c r="I191" i="12"/>
  <c r="W110" i="9"/>
  <c r="X110" i="9" s="1"/>
  <c r="AM103" i="9" l="1"/>
  <c r="AN103" i="9" s="1"/>
  <c r="AH104" i="9" s="1"/>
  <c r="AG79" i="12"/>
  <c r="AH79" i="12" s="1"/>
  <c r="AC80" i="12"/>
  <c r="V73" i="12"/>
  <c r="W73" i="12" s="1"/>
  <c r="E30" i="11" s="1" a="1"/>
  <c r="H30" i="11" s="1"/>
  <c r="R74" i="12"/>
  <c r="N74" i="12"/>
  <c r="O74" i="12" s="1"/>
  <c r="Y80" i="12"/>
  <c r="B152" i="9"/>
  <c r="E152" i="9" s="1"/>
  <c r="D152" i="9" s="1"/>
  <c r="F152" i="9" s="1"/>
  <c r="H152" i="9" s="1"/>
  <c r="J84" i="9"/>
  <c r="R111" i="9"/>
  <c r="U111" i="9" s="1"/>
  <c r="T111" i="9" s="1"/>
  <c r="V111" i="9" s="1"/>
  <c r="W111" i="9" s="1"/>
  <c r="K191" i="12"/>
  <c r="L191" i="12" s="1"/>
  <c r="G192" i="12"/>
  <c r="I192" i="12" s="1"/>
  <c r="E100" i="12"/>
  <c r="F100" i="12"/>
  <c r="B101" i="12" s="1"/>
  <c r="H193" i="12"/>
  <c r="J193" i="12" s="1"/>
  <c r="A194" i="12"/>
  <c r="AE112" i="9"/>
  <c r="AF112" i="9" s="1"/>
  <c r="AK104" i="9" l="1"/>
  <c r="AJ104" i="9" s="1"/>
  <c r="AL104" i="9" s="1"/>
  <c r="P74" i="12"/>
  <c r="Z80" i="12"/>
  <c r="M84" i="9"/>
  <c r="L84" i="9" s="1"/>
  <c r="N84" i="9" s="1"/>
  <c r="O84" i="9" s="1"/>
  <c r="P84" i="9" s="1"/>
  <c r="Z113" i="9"/>
  <c r="AC113" i="9" s="1"/>
  <c r="AB113" i="9" s="1"/>
  <c r="AD113" i="9" s="1"/>
  <c r="AE113" i="9" s="1"/>
  <c r="AF113" i="9" s="1"/>
  <c r="B153" i="9"/>
  <c r="E153" i="9" s="1"/>
  <c r="D153" i="9" s="1"/>
  <c r="F153" i="9" s="1"/>
  <c r="H153" i="9" s="1"/>
  <c r="K192" i="12"/>
  <c r="L192" i="12" s="1"/>
  <c r="G193" i="12"/>
  <c r="I193" i="12" s="1"/>
  <c r="D101" i="12"/>
  <c r="E101" i="12" s="1"/>
  <c r="C101" i="12"/>
  <c r="H194" i="12"/>
  <c r="J194" i="12" s="1"/>
  <c r="A195" i="12"/>
  <c r="X111" i="9"/>
  <c r="AM104" i="9" l="1"/>
  <c r="AN104" i="9" s="1"/>
  <c r="AH105" i="9" s="1"/>
  <c r="AA80" i="12"/>
  <c r="F101" i="12"/>
  <c r="B102" i="12" s="1"/>
  <c r="C102" i="12" s="1"/>
  <c r="S74" i="12"/>
  <c r="Q74" i="12"/>
  <c r="M75" i="12" s="1"/>
  <c r="B154" i="9"/>
  <c r="E154" i="9" s="1"/>
  <c r="D154" i="9" s="1"/>
  <c r="F154" i="9" s="1"/>
  <c r="H154" i="9" s="1"/>
  <c r="J85" i="9"/>
  <c r="Z114" i="9"/>
  <c r="AC114" i="9" s="1"/>
  <c r="AB114" i="9" s="1"/>
  <c r="AD114" i="9" s="1"/>
  <c r="R112" i="9"/>
  <c r="U112" i="9" s="1"/>
  <c r="T112" i="9" s="1"/>
  <c r="V112" i="9" s="1"/>
  <c r="W112" i="9" s="1"/>
  <c r="X112" i="9" s="1"/>
  <c r="R113" i="9" s="1"/>
  <c r="U113" i="9" s="1"/>
  <c r="T113" i="9" s="1"/>
  <c r="V113" i="9" s="1"/>
  <c r="K193" i="12"/>
  <c r="L193" i="12" s="1"/>
  <c r="C40" i="11" s="1" a="1"/>
  <c r="G194" i="12"/>
  <c r="I194" i="12" s="1"/>
  <c r="H195" i="12"/>
  <c r="J195" i="12" s="1"/>
  <c r="A196" i="12"/>
  <c r="AK105" i="9" l="1"/>
  <c r="AJ105" i="9" s="1"/>
  <c r="AL105" i="9" s="1"/>
  <c r="AD80" i="12"/>
  <c r="AB80" i="12"/>
  <c r="X81" i="12" s="1"/>
  <c r="U74" i="12"/>
  <c r="T74" i="12"/>
  <c r="N75" i="12"/>
  <c r="M85" i="9"/>
  <c r="L85" i="9" s="1"/>
  <c r="N85" i="9" s="1"/>
  <c r="O85" i="9" s="1"/>
  <c r="P85" i="9" s="1"/>
  <c r="B155" i="9"/>
  <c r="E155" i="9" s="1"/>
  <c r="D155" i="9" s="1"/>
  <c r="F155" i="9" s="1"/>
  <c r="H155" i="9" s="1"/>
  <c r="K194" i="12"/>
  <c r="L194" i="12" s="1"/>
  <c r="G195" i="12"/>
  <c r="I195" i="12" s="1"/>
  <c r="D102" i="12"/>
  <c r="H196" i="12"/>
  <c r="J196" i="12" s="1"/>
  <c r="A197" i="12"/>
  <c r="AE114" i="9"/>
  <c r="AF114" i="9" s="1"/>
  <c r="W113" i="9"/>
  <c r="X113" i="9" s="1"/>
  <c r="AM105" i="9" l="1"/>
  <c r="AN105" i="9" s="1"/>
  <c r="AH106" i="9" s="1"/>
  <c r="AF80" i="12"/>
  <c r="AE80" i="12"/>
  <c r="Y81" i="12"/>
  <c r="Z81" i="12" s="1"/>
  <c r="AA81" i="12"/>
  <c r="AB81" i="12" s="1"/>
  <c r="X82" i="12" s="1"/>
  <c r="V74" i="12"/>
  <c r="W74" i="12" s="1"/>
  <c r="R75" i="12"/>
  <c r="O75" i="12"/>
  <c r="E102" i="12"/>
  <c r="F102" i="12"/>
  <c r="B103" i="12" s="1"/>
  <c r="C103" i="12" s="1"/>
  <c r="D103" i="12" s="1"/>
  <c r="B156" i="9"/>
  <c r="E156" i="9" s="1"/>
  <c r="D156" i="9" s="1"/>
  <c r="F156" i="9" s="1"/>
  <c r="H156" i="9" s="1"/>
  <c r="J86" i="9"/>
  <c r="Z115" i="9"/>
  <c r="AC115" i="9" s="1"/>
  <c r="AB115" i="9" s="1"/>
  <c r="AD115" i="9" s="1"/>
  <c r="R114" i="9"/>
  <c r="U114" i="9" s="1"/>
  <c r="T114" i="9" s="1"/>
  <c r="V114" i="9" s="1"/>
  <c r="K195" i="12"/>
  <c r="L195" i="12" s="1"/>
  <c r="G196" i="12"/>
  <c r="I196" i="12" s="1"/>
  <c r="H197" i="12"/>
  <c r="J197" i="12" s="1"/>
  <c r="A198" i="12"/>
  <c r="AK106" i="9" l="1"/>
  <c r="AJ106" i="9" s="1"/>
  <c r="AL106" i="9" s="1"/>
  <c r="M86" i="9"/>
  <c r="L86" i="9" s="1"/>
  <c r="N86" i="9" s="1"/>
  <c r="O86" i="9"/>
  <c r="P86" i="9" s="1"/>
  <c r="AG80" i="12"/>
  <c r="AH80" i="12" s="1"/>
  <c r="AC81" i="12"/>
  <c r="AE81" i="12" s="1"/>
  <c r="Y82" i="12"/>
  <c r="Z82" i="12" s="1"/>
  <c r="AD81" i="12"/>
  <c r="AF81" i="12" s="1"/>
  <c r="P75" i="12"/>
  <c r="F103" i="12"/>
  <c r="B104" i="12" s="1"/>
  <c r="E103" i="12"/>
  <c r="B157" i="9"/>
  <c r="H198" i="12"/>
  <c r="J198" i="12" s="1"/>
  <c r="A199" i="12"/>
  <c r="K196" i="12"/>
  <c r="L196" i="12" s="1"/>
  <c r="G197" i="12"/>
  <c r="I197" i="12" s="1"/>
  <c r="AE115" i="9"/>
  <c r="AF115" i="9" s="1"/>
  <c r="W114" i="9"/>
  <c r="X114" i="9" s="1"/>
  <c r="AM106" i="9" l="1"/>
  <c r="AN106" i="9" s="1"/>
  <c r="AH107" i="9" s="1"/>
  <c r="AG81" i="12"/>
  <c r="AH81" i="12" s="1"/>
  <c r="AC82" i="12"/>
  <c r="AA82" i="12"/>
  <c r="Q75" i="12"/>
  <c r="M76" i="12" s="1"/>
  <c r="S75" i="12"/>
  <c r="C104" i="12"/>
  <c r="D104" i="12" s="1"/>
  <c r="E104" i="12" s="1"/>
  <c r="E157" i="9"/>
  <c r="D157" i="9"/>
  <c r="F157" i="9" s="1"/>
  <c r="H157" i="9" s="1"/>
  <c r="B158" i="9" s="1"/>
  <c r="E158" i="9" s="1"/>
  <c r="D158" i="9" s="1"/>
  <c r="Z116" i="9"/>
  <c r="AC116" i="9" s="1"/>
  <c r="AB116" i="9" s="1"/>
  <c r="AD116" i="9" s="1"/>
  <c r="R115" i="9"/>
  <c r="U115" i="9" s="1"/>
  <c r="T115" i="9" s="1"/>
  <c r="V115" i="9" s="1"/>
  <c r="W115" i="9" s="1"/>
  <c r="X115" i="9" s="1"/>
  <c r="R116" i="9" s="1"/>
  <c r="H199" i="12"/>
  <c r="J199" i="12" s="1"/>
  <c r="A200" i="12"/>
  <c r="K197" i="12"/>
  <c r="L197" i="12" s="1"/>
  <c r="G198" i="12"/>
  <c r="I198" i="12" s="1"/>
  <c r="J87" i="9"/>
  <c r="AK107" i="9" l="1"/>
  <c r="AJ107" i="9" s="1"/>
  <c r="AL107" i="9" s="1"/>
  <c r="AM107" i="9" s="1"/>
  <c r="AN107" i="9" s="1"/>
  <c r="AD82" i="12"/>
  <c r="AB82" i="12"/>
  <c r="X83" i="12" s="1"/>
  <c r="N76" i="12"/>
  <c r="O76" i="12" s="1"/>
  <c r="P76" i="12" s="1"/>
  <c r="Q76" i="12" s="1"/>
  <c r="M77" i="12" s="1"/>
  <c r="U75" i="12"/>
  <c r="T75" i="12"/>
  <c r="F104" i="12"/>
  <c r="B105" i="12" s="1"/>
  <c r="K198" i="12"/>
  <c r="L198" i="12" s="1"/>
  <c r="G199" i="12"/>
  <c r="I199" i="12" s="1"/>
  <c r="H200" i="12"/>
  <c r="J200" i="12" s="1"/>
  <c r="A201" i="12"/>
  <c r="AE116" i="9"/>
  <c r="AF116" i="9" s="1"/>
  <c r="U116" i="9"/>
  <c r="T116" i="9"/>
  <c r="V116" i="9" s="1"/>
  <c r="W116" i="9" s="1"/>
  <c r="X116" i="9" s="1"/>
  <c r="M87" i="9"/>
  <c r="L87" i="9" s="1"/>
  <c r="N87" i="9" s="1"/>
  <c r="O87" i="9" s="1"/>
  <c r="F158" i="9"/>
  <c r="H158" i="9" s="1"/>
  <c r="AE82" i="12" l="1"/>
  <c r="AF82" i="12"/>
  <c r="Y83" i="12"/>
  <c r="Z83" i="12"/>
  <c r="AA83" i="12" s="1"/>
  <c r="AD83" i="12" s="1"/>
  <c r="AF83" i="12" s="1"/>
  <c r="N77" i="12"/>
  <c r="O77" i="12" s="1"/>
  <c r="V75" i="12"/>
  <c r="W75" i="12" s="1"/>
  <c r="R76" i="12"/>
  <c r="S76" i="12"/>
  <c r="U76" i="12" s="1"/>
  <c r="C105" i="12"/>
  <c r="D105" i="12"/>
  <c r="AH108" i="9"/>
  <c r="Z117" i="9"/>
  <c r="R117" i="9"/>
  <c r="B159" i="9"/>
  <c r="E159" i="9" s="1"/>
  <c r="D159" i="9" s="1"/>
  <c r="K199" i="12"/>
  <c r="L199" i="12" s="1"/>
  <c r="G200" i="12"/>
  <c r="I200" i="12" s="1"/>
  <c r="H201" i="12"/>
  <c r="J201" i="12" s="1"/>
  <c r="A202" i="12"/>
  <c r="AC117" i="9"/>
  <c r="AB117" i="9" s="1"/>
  <c r="AD117" i="9" s="1"/>
  <c r="AE117" i="9" s="1"/>
  <c r="AF117" i="9" s="1"/>
  <c r="Z118" i="9" s="1"/>
  <c r="P87" i="9"/>
  <c r="AK108" i="9" l="1"/>
  <c r="AJ108" i="9" s="1"/>
  <c r="AL108" i="9" s="1"/>
  <c r="AM108" i="9"/>
  <c r="AN108" i="9" s="1"/>
  <c r="AC83" i="12"/>
  <c r="AE83" i="12" s="1"/>
  <c r="AG82" i="12"/>
  <c r="AH82" i="12" s="1"/>
  <c r="AB83" i="12"/>
  <c r="X84" i="12" s="1"/>
  <c r="T76" i="12"/>
  <c r="P77" i="12"/>
  <c r="Q77" i="12" s="1"/>
  <c r="M78" i="12" s="1"/>
  <c r="S77" i="12"/>
  <c r="U77" i="12" s="1"/>
  <c r="F105" i="12"/>
  <c r="B106" i="12" s="1"/>
  <c r="C106" i="12" s="1"/>
  <c r="D106" i="12" s="1"/>
  <c r="E106" i="12" s="1"/>
  <c r="E105" i="12"/>
  <c r="U117" i="9"/>
  <c r="T117" i="9"/>
  <c r="V117" i="9" s="1"/>
  <c r="W117" i="9" s="1"/>
  <c r="X117" i="9" s="1"/>
  <c r="R118" i="9" s="1"/>
  <c r="U118" i="9" s="1"/>
  <c r="T118" i="9" s="1"/>
  <c r="V118" i="9" s="1"/>
  <c r="H202" i="12"/>
  <c r="J202" i="12" s="1"/>
  <c r="A203" i="12"/>
  <c r="K200" i="12"/>
  <c r="L200" i="12" s="1"/>
  <c r="G201" i="12"/>
  <c r="I201" i="12" s="1"/>
  <c r="AC118" i="9"/>
  <c r="AB118" i="9" s="1"/>
  <c r="AD118" i="9" s="1"/>
  <c r="AE118" i="9" s="1"/>
  <c r="J88" i="9"/>
  <c r="F159" i="9"/>
  <c r="H159" i="9" s="1"/>
  <c r="AC84" i="12" l="1"/>
  <c r="AG83" i="12"/>
  <c r="AH83" i="12" s="1"/>
  <c r="Y84" i="12"/>
  <c r="Z84" i="12"/>
  <c r="V76" i="12"/>
  <c r="W76" i="12" s="1"/>
  <c r="R77" i="12"/>
  <c r="T77" i="12" s="1"/>
  <c r="N78" i="12"/>
  <c r="O78" i="12"/>
  <c r="P78" i="12" s="1"/>
  <c r="AH109" i="9"/>
  <c r="B160" i="9"/>
  <c r="E160" i="9" s="1"/>
  <c r="D160" i="9" s="1"/>
  <c r="K201" i="12"/>
  <c r="L201" i="12" s="1"/>
  <c r="G202" i="12"/>
  <c r="I202" i="12" s="1"/>
  <c r="F106" i="12"/>
  <c r="B107" i="12" s="1"/>
  <c r="H203" i="12"/>
  <c r="J203" i="12" s="1"/>
  <c r="A204" i="12"/>
  <c r="W118" i="9"/>
  <c r="X118" i="9" s="1"/>
  <c r="AF118" i="9"/>
  <c r="M88" i="9"/>
  <c r="L88" i="9" s="1"/>
  <c r="N88" i="9" s="1"/>
  <c r="O88" i="9" s="1"/>
  <c r="P88" i="9" s="1"/>
  <c r="AK109" i="9" l="1"/>
  <c r="AJ109" i="9" s="1"/>
  <c r="AL109" i="9" s="1"/>
  <c r="AM109" i="9"/>
  <c r="AN109" i="9" s="1"/>
  <c r="AA84" i="12"/>
  <c r="AD84" i="12" s="1"/>
  <c r="AB84" i="12"/>
  <c r="X85" i="12" s="1"/>
  <c r="V77" i="12"/>
  <c r="W77" i="12" s="1"/>
  <c r="R78" i="12"/>
  <c r="S78" i="12"/>
  <c r="U78" i="12" s="1"/>
  <c r="Q78" i="12"/>
  <c r="M79" i="12" s="1"/>
  <c r="Y85" i="12"/>
  <c r="Z85" i="12" s="1"/>
  <c r="AA85" i="12" s="1"/>
  <c r="AB85" i="12" s="1"/>
  <c r="AE84" i="12"/>
  <c r="AF84" i="12"/>
  <c r="R119" i="9"/>
  <c r="U119" i="9" s="1"/>
  <c r="T119" i="9" s="1"/>
  <c r="V119" i="9" s="1"/>
  <c r="W119" i="9" s="1"/>
  <c r="X119" i="9" s="1"/>
  <c r="Z119" i="9"/>
  <c r="G203" i="12"/>
  <c r="I203" i="12" s="1"/>
  <c r="K202" i="12"/>
  <c r="L202" i="12" s="1"/>
  <c r="C107" i="12"/>
  <c r="D107" i="12"/>
  <c r="H204" i="12"/>
  <c r="J204" i="12" s="1"/>
  <c r="A205" i="12"/>
  <c r="J89" i="9"/>
  <c r="F160" i="9"/>
  <c r="H160" i="9" s="1"/>
  <c r="T78" i="12" l="1"/>
  <c r="V78" i="12"/>
  <c r="W78" i="12" s="1"/>
  <c r="R79" i="12"/>
  <c r="N79" i="12"/>
  <c r="F31" i="11" a="1"/>
  <c r="X86" i="12"/>
  <c r="AG84" i="12"/>
  <c r="AH84" i="12" s="1"/>
  <c r="AC85" i="12"/>
  <c r="AD85" i="12"/>
  <c r="AF85" i="12" s="1"/>
  <c r="AC119" i="9"/>
  <c r="AB119" i="9" s="1"/>
  <c r="AD119" i="9" s="1"/>
  <c r="R120" i="9"/>
  <c r="AH110" i="9"/>
  <c r="B161" i="9"/>
  <c r="E161" i="9" s="1"/>
  <c r="D161" i="9" s="1"/>
  <c r="G204" i="12"/>
  <c r="I204" i="12" s="1"/>
  <c r="K203" i="12"/>
  <c r="L203" i="12" s="1"/>
  <c r="E107" i="12"/>
  <c r="F107" i="12"/>
  <c r="B108" i="12" s="1"/>
  <c r="H205" i="12"/>
  <c r="J205" i="12" s="1"/>
  <c r="A206" i="12"/>
  <c r="M89" i="9"/>
  <c r="L89" i="9" s="1"/>
  <c r="N89" i="9" s="1"/>
  <c r="O89" i="9" s="1"/>
  <c r="AE85" i="12" l="1"/>
  <c r="AG85" i="12" s="1"/>
  <c r="AH85" i="12" s="1"/>
  <c r="G31" i="11" s="1" a="1"/>
  <c r="Y86" i="12"/>
  <c r="AC86" i="12"/>
  <c r="O79" i="12"/>
  <c r="P79" i="12"/>
  <c r="G205" i="12"/>
  <c r="I205" i="12" s="1"/>
  <c r="K204" i="12"/>
  <c r="L204" i="12" s="1"/>
  <c r="U120" i="9"/>
  <c r="T120" i="9" s="1"/>
  <c r="V120" i="9" s="1"/>
  <c r="W120" i="9" s="1"/>
  <c r="X120" i="9" s="1"/>
  <c r="R121" i="9" s="1"/>
  <c r="U121" i="9" s="1"/>
  <c r="T121" i="9" s="1"/>
  <c r="V121" i="9" s="1"/>
  <c r="AK110" i="9"/>
  <c r="AJ110" i="9"/>
  <c r="AL110" i="9" s="1"/>
  <c r="AM110" i="9" s="1"/>
  <c r="AN110" i="9" s="1"/>
  <c r="AE119" i="9"/>
  <c r="AF119" i="9" s="1"/>
  <c r="Z120" i="9" s="1"/>
  <c r="C108" i="12"/>
  <c r="D108" i="12"/>
  <c r="E108" i="12" s="1"/>
  <c r="H206" i="12"/>
  <c r="J206" i="12" s="1"/>
  <c r="A207" i="12"/>
  <c r="P89" i="9"/>
  <c r="F161" i="9"/>
  <c r="H161" i="9" s="1"/>
  <c r="S79" i="12" l="1"/>
  <c r="Q79" i="12"/>
  <c r="M80" i="12" s="1"/>
  <c r="Z86" i="12"/>
  <c r="AC120" i="9"/>
  <c r="AB120" i="9" s="1"/>
  <c r="AD120" i="9" s="1"/>
  <c r="AE120" i="9" s="1"/>
  <c r="AF120" i="9" s="1"/>
  <c r="Z121" i="9" s="1"/>
  <c r="AC121" i="9" s="1"/>
  <c r="AB121" i="9" s="1"/>
  <c r="AD121" i="9" s="1"/>
  <c r="AH111" i="9"/>
  <c r="B162" i="9"/>
  <c r="E162" i="9" s="1"/>
  <c r="D162" i="9" s="1"/>
  <c r="K205" i="12"/>
  <c r="L205" i="12" s="1"/>
  <c r="C41" i="11" s="1" a="1"/>
  <c r="G206" i="12"/>
  <c r="I206" i="12" s="1"/>
  <c r="F108" i="12"/>
  <c r="B109" i="12" s="1"/>
  <c r="H207" i="12"/>
  <c r="J207" i="12" s="1"/>
  <c r="A208" i="12"/>
  <c r="W121" i="9"/>
  <c r="X121" i="9" s="1"/>
  <c r="J90" i="9"/>
  <c r="T79" i="12" l="1"/>
  <c r="U79" i="12"/>
  <c r="N80" i="12"/>
  <c r="AA86" i="12"/>
  <c r="AK111" i="9"/>
  <c r="AJ111" i="9"/>
  <c r="AL111" i="9" s="1"/>
  <c r="AM111" i="9" s="1"/>
  <c r="AN111" i="9" s="1"/>
  <c r="AH112" i="9" s="1"/>
  <c r="R122" i="9"/>
  <c r="U122" i="9" s="1"/>
  <c r="T122" i="9" s="1"/>
  <c r="V122" i="9" s="1"/>
  <c r="K206" i="12"/>
  <c r="L206" i="12" s="1"/>
  <c r="G207" i="12"/>
  <c r="I207" i="12" s="1"/>
  <c r="C109" i="12"/>
  <c r="D109" i="12"/>
  <c r="H208" i="12"/>
  <c r="J208" i="12" s="1"/>
  <c r="A209" i="12"/>
  <c r="AE121" i="9"/>
  <c r="AF121" i="9" s="1"/>
  <c r="M90" i="9"/>
  <c r="L90" i="9" s="1"/>
  <c r="N90" i="9" s="1"/>
  <c r="O90" i="9" s="1"/>
  <c r="P90" i="9" s="1"/>
  <c r="F162" i="9"/>
  <c r="H162" i="9" s="1"/>
  <c r="AK112" i="9" l="1"/>
  <c r="AJ112" i="9" s="1"/>
  <c r="AL112" i="9" s="1"/>
  <c r="R80" i="12"/>
  <c r="V79" i="12"/>
  <c r="W79" i="12" s="1"/>
  <c r="O80" i="12"/>
  <c r="P80" i="12" s="1"/>
  <c r="Q80" i="12" s="1"/>
  <c r="M81" i="12" s="1"/>
  <c r="AD86" i="12"/>
  <c r="AB86" i="12"/>
  <c r="X87" i="12" s="1"/>
  <c r="E109" i="12"/>
  <c r="F109" i="12"/>
  <c r="Z122" i="9"/>
  <c r="AC122" i="9" s="1"/>
  <c r="AB122" i="9" s="1"/>
  <c r="AD122" i="9" s="1"/>
  <c r="AE122" i="9" s="1"/>
  <c r="B163" i="9"/>
  <c r="E163" i="9" s="1"/>
  <c r="D163" i="9" s="1"/>
  <c r="F163" i="9" s="1"/>
  <c r="H163" i="9" s="1"/>
  <c r="K207" i="12"/>
  <c r="L207" i="12" s="1"/>
  <c r="G208" i="12"/>
  <c r="I208" i="12" s="1"/>
  <c r="B33" i="11" a="1"/>
  <c r="B110" i="12"/>
  <c r="H209" i="12"/>
  <c r="J209" i="12" s="1"/>
  <c r="A210" i="12"/>
  <c r="W122" i="9"/>
  <c r="X122" i="9" s="1"/>
  <c r="J91" i="9"/>
  <c r="AM112" i="9" l="1"/>
  <c r="AN112" i="9" s="1"/>
  <c r="AH113" i="9" s="1"/>
  <c r="N81" i="12"/>
  <c r="O81" i="12" s="1"/>
  <c r="AE86" i="12"/>
  <c r="AF86" i="12"/>
  <c r="Y87" i="12"/>
  <c r="Z87" i="12"/>
  <c r="S80" i="12"/>
  <c r="B164" i="9"/>
  <c r="E164" i="9" s="1"/>
  <c r="D164" i="9" s="1"/>
  <c r="F164" i="9" s="1"/>
  <c r="H164" i="9" s="1"/>
  <c r="R123" i="9"/>
  <c r="G209" i="12"/>
  <c r="K208" i="12"/>
  <c r="L208" i="12" s="1"/>
  <c r="C110" i="12"/>
  <c r="D110" i="12"/>
  <c r="E110" i="12" s="1"/>
  <c r="H210" i="12"/>
  <c r="J210" i="12" s="1"/>
  <c r="A211" i="12"/>
  <c r="I209" i="12"/>
  <c r="AF122" i="9"/>
  <c r="M91" i="9"/>
  <c r="L91" i="9" s="1"/>
  <c r="N91" i="9" s="1"/>
  <c r="O91" i="9" s="1"/>
  <c r="AG86" i="12" l="1"/>
  <c r="AH86" i="12" s="1"/>
  <c r="AC87" i="12"/>
  <c r="T80" i="12"/>
  <c r="U80" i="12"/>
  <c r="P81" i="12"/>
  <c r="Q81" i="12" s="1"/>
  <c r="M82" i="12" s="1"/>
  <c r="S81" i="12"/>
  <c r="U81" i="12" s="1"/>
  <c r="AA87" i="12"/>
  <c r="U123" i="9"/>
  <c r="T123" i="9"/>
  <c r="V123" i="9" s="1"/>
  <c r="W123" i="9" s="1"/>
  <c r="X123" i="9" s="1"/>
  <c r="AK113" i="9"/>
  <c r="AJ113" i="9"/>
  <c r="AL113" i="9" s="1"/>
  <c r="AM113" i="9" s="1"/>
  <c r="AN113" i="9" s="1"/>
  <c r="AH114" i="9" s="1"/>
  <c r="Z123" i="9"/>
  <c r="AC123" i="9" s="1"/>
  <c r="AB123" i="9" s="1"/>
  <c r="AD123" i="9" s="1"/>
  <c r="AE123" i="9" s="1"/>
  <c r="B165" i="9"/>
  <c r="E165" i="9" s="1"/>
  <c r="D165" i="9" s="1"/>
  <c r="F165" i="9" s="1"/>
  <c r="H165" i="9" s="1"/>
  <c r="K209" i="12"/>
  <c r="L209" i="12" s="1"/>
  <c r="G210" i="12"/>
  <c r="I210" i="12" s="1"/>
  <c r="F110" i="12"/>
  <c r="B111" i="12" s="1"/>
  <c r="H211" i="12"/>
  <c r="J211" i="12" s="1"/>
  <c r="A212" i="12"/>
  <c r="P91" i="9"/>
  <c r="AK114" i="9" l="1"/>
  <c r="AJ114" i="9" s="1"/>
  <c r="AL114" i="9" s="1"/>
  <c r="R81" i="12"/>
  <c r="T81" i="12" s="1"/>
  <c r="V80" i="12"/>
  <c r="W80" i="12" s="1"/>
  <c r="N82" i="12"/>
  <c r="O82" i="12"/>
  <c r="AD87" i="12"/>
  <c r="AB87" i="12"/>
  <c r="X88" i="12" s="1"/>
  <c r="R124" i="9"/>
  <c r="U124" i="9" s="1"/>
  <c r="T124" i="9" s="1"/>
  <c r="V124" i="9" s="1"/>
  <c r="J92" i="9"/>
  <c r="B166" i="9"/>
  <c r="E166" i="9" s="1"/>
  <c r="D166" i="9" s="1"/>
  <c r="F166" i="9" s="1"/>
  <c r="H166" i="9" s="1"/>
  <c r="C111" i="12"/>
  <c r="H212" i="12"/>
  <c r="J212" i="12" s="1"/>
  <c r="A213" i="12"/>
  <c r="K210" i="12"/>
  <c r="L210" i="12" s="1"/>
  <c r="G211" i="12"/>
  <c r="I211" i="12" s="1"/>
  <c r="AF123" i="9"/>
  <c r="AM114" i="9" l="1"/>
  <c r="AN114" i="9" s="1"/>
  <c r="AH115" i="9" s="1"/>
  <c r="M92" i="9"/>
  <c r="L92" i="9" s="1"/>
  <c r="N92" i="9" s="1"/>
  <c r="O92" i="9"/>
  <c r="P92" i="9" s="1"/>
  <c r="AF87" i="12"/>
  <c r="AE87" i="12"/>
  <c r="D111" i="12"/>
  <c r="E111" i="12" s="1"/>
  <c r="F111" i="12"/>
  <c r="B112" i="12" s="1"/>
  <c r="C112" i="12" s="1"/>
  <c r="R82" i="12"/>
  <c r="V81" i="12"/>
  <c r="W81" i="12" s="1"/>
  <c r="Y88" i="12"/>
  <c r="P82" i="12"/>
  <c r="Z124" i="9"/>
  <c r="AC124" i="9" s="1"/>
  <c r="AB124" i="9" s="1"/>
  <c r="AD124" i="9" s="1"/>
  <c r="B167" i="9"/>
  <c r="E167" i="9" s="1"/>
  <c r="D167" i="9" s="1"/>
  <c r="F167" i="9" s="1"/>
  <c r="H167" i="9" s="1"/>
  <c r="K211" i="12"/>
  <c r="L211" i="12" s="1"/>
  <c r="G212" i="12"/>
  <c r="I212" i="12" s="1"/>
  <c r="H213" i="12"/>
  <c r="J213" i="12" s="1"/>
  <c r="A214" i="12"/>
  <c r="W124" i="9"/>
  <c r="X124" i="9" s="1"/>
  <c r="AK115" i="9" l="1"/>
  <c r="AJ115" i="9" s="1"/>
  <c r="AL115" i="9" s="1"/>
  <c r="AG87" i="12"/>
  <c r="AH87" i="12" s="1"/>
  <c r="AC88" i="12"/>
  <c r="Z88" i="12"/>
  <c r="S82" i="12"/>
  <c r="Q82" i="12"/>
  <c r="M83" i="12" s="1"/>
  <c r="B168" i="9"/>
  <c r="R125" i="9"/>
  <c r="U125" i="9" s="1"/>
  <c r="T125" i="9" s="1"/>
  <c r="V125" i="9" s="1"/>
  <c r="J93" i="9"/>
  <c r="K212" i="12"/>
  <c r="L212" i="12" s="1"/>
  <c r="G213" i="12"/>
  <c r="I213" i="12" s="1"/>
  <c r="D112" i="12"/>
  <c r="H214" i="12"/>
  <c r="J214" i="12" s="1"/>
  <c r="A215" i="12"/>
  <c r="AE124" i="9"/>
  <c r="AF124" i="9" s="1"/>
  <c r="AM115" i="9" l="1"/>
  <c r="AN115" i="9" s="1"/>
  <c r="AH116" i="9" s="1"/>
  <c r="M93" i="9"/>
  <c r="L93" i="9" s="1"/>
  <c r="N93" i="9" s="1"/>
  <c r="O93" i="9"/>
  <c r="P93" i="9" s="1"/>
  <c r="AA88" i="12"/>
  <c r="T82" i="12"/>
  <c r="U82" i="12"/>
  <c r="N83" i="12"/>
  <c r="O83" i="12" s="1"/>
  <c r="E168" i="9"/>
  <c r="D168" i="9"/>
  <c r="F168" i="9" s="1"/>
  <c r="H168" i="9" s="1"/>
  <c r="B169" i="9" s="1"/>
  <c r="E169" i="9" s="1"/>
  <c r="D169" i="9" s="1"/>
  <c r="F169" i="9" s="1"/>
  <c r="H169" i="9" s="1"/>
  <c r="B170" i="9" s="1"/>
  <c r="Z125" i="9"/>
  <c r="AC125" i="9" s="1"/>
  <c r="AB125" i="9" s="1"/>
  <c r="AD125" i="9" s="1"/>
  <c r="AE125" i="9" s="1"/>
  <c r="E112" i="12"/>
  <c r="F112" i="12"/>
  <c r="B113" i="12" s="1"/>
  <c r="H215" i="12"/>
  <c r="J215" i="12" s="1"/>
  <c r="A216" i="12"/>
  <c r="K213" i="12"/>
  <c r="L213" i="12" s="1"/>
  <c r="G214" i="12"/>
  <c r="I214" i="12" s="1"/>
  <c r="W125" i="9"/>
  <c r="X125" i="9" s="1"/>
  <c r="AK116" i="9" l="1"/>
  <c r="AJ116" i="9" s="1"/>
  <c r="AL116" i="9" s="1"/>
  <c r="AM116" i="9" s="1"/>
  <c r="AN116" i="9" s="1"/>
  <c r="AH117" i="9" s="1"/>
  <c r="R83" i="12"/>
  <c r="V82" i="12"/>
  <c r="W82" i="12" s="1"/>
  <c r="P83" i="12"/>
  <c r="AB88" i="12"/>
  <c r="X89" i="12" s="1"/>
  <c r="AD88" i="12"/>
  <c r="R126" i="9"/>
  <c r="U126" i="9" s="1"/>
  <c r="T126" i="9" s="1"/>
  <c r="V126" i="9" s="1"/>
  <c r="J94" i="9"/>
  <c r="D113" i="12"/>
  <c r="C113" i="12"/>
  <c r="H216" i="12"/>
  <c r="J216" i="12" s="1"/>
  <c r="A217" i="12"/>
  <c r="K214" i="12"/>
  <c r="L214" i="12" s="1"/>
  <c r="G215" i="12"/>
  <c r="I215" i="12" s="1"/>
  <c r="AF125" i="9"/>
  <c r="E170" i="9"/>
  <c r="D170" i="9" s="1"/>
  <c r="AK117" i="9" l="1"/>
  <c r="AJ117" i="9" s="1"/>
  <c r="AL117" i="9" s="1"/>
  <c r="M94" i="9"/>
  <c r="L94" i="9" s="1"/>
  <c r="N94" i="9" s="1"/>
  <c r="O94" i="9"/>
  <c r="P94" i="9" s="1"/>
  <c r="K215" i="12"/>
  <c r="L215" i="12" s="1"/>
  <c r="G216" i="12"/>
  <c r="Q83" i="12"/>
  <c r="M84" i="12" s="1"/>
  <c r="S83" i="12"/>
  <c r="Y89" i="12"/>
  <c r="Z89" i="12"/>
  <c r="AF88" i="12"/>
  <c r="AE88" i="12"/>
  <c r="I216" i="12"/>
  <c r="Z126" i="9"/>
  <c r="E113" i="12"/>
  <c r="F113" i="12"/>
  <c r="B114" i="12" s="1"/>
  <c r="H217" i="12"/>
  <c r="J217" i="12" s="1"/>
  <c r="A218" i="12"/>
  <c r="AC126" i="9"/>
  <c r="AB126" i="9" s="1"/>
  <c r="AD126" i="9" s="1"/>
  <c r="W126" i="9"/>
  <c r="X126" i="9" s="1"/>
  <c r="F170" i="9"/>
  <c r="H170" i="9" s="1"/>
  <c r="AM117" i="9" l="1"/>
  <c r="AN117" i="9" s="1"/>
  <c r="AH118" i="9" s="1"/>
  <c r="N84" i="12"/>
  <c r="O84" i="12" s="1"/>
  <c r="T83" i="12"/>
  <c r="U83" i="12"/>
  <c r="AA89" i="12"/>
  <c r="AG88" i="12"/>
  <c r="AH88" i="12" s="1"/>
  <c r="AC89" i="12"/>
  <c r="K216" i="12"/>
  <c r="L216" i="12" s="1"/>
  <c r="G217" i="12"/>
  <c r="I217" i="12" s="1"/>
  <c r="R127" i="9"/>
  <c r="U127" i="9" s="1"/>
  <c r="T127" i="9" s="1"/>
  <c r="V127" i="9" s="1"/>
  <c r="J95" i="9"/>
  <c r="B171" i="9"/>
  <c r="E171" i="9" s="1"/>
  <c r="D171" i="9" s="1"/>
  <c r="C114" i="12"/>
  <c r="D114" i="12" s="1"/>
  <c r="E114" i="12" s="1"/>
  <c r="H218" i="12"/>
  <c r="J218" i="12" s="1"/>
  <c r="A219" i="12"/>
  <c r="AE126" i="9"/>
  <c r="AF126" i="9" s="1"/>
  <c r="AK118" i="9" l="1"/>
  <c r="AJ118" i="9" s="1"/>
  <c r="AL118" i="9" s="1"/>
  <c r="M95" i="9"/>
  <c r="L95" i="9" s="1"/>
  <c r="N95" i="9" s="1"/>
  <c r="O95" i="9"/>
  <c r="P95" i="9" s="1"/>
  <c r="P84" i="12"/>
  <c r="R84" i="12"/>
  <c r="V83" i="12"/>
  <c r="W83" i="12" s="1"/>
  <c r="AB89" i="12"/>
  <c r="X90" i="12" s="1"/>
  <c r="AD89" i="12"/>
  <c r="Z127" i="9"/>
  <c r="AC127" i="9" s="1"/>
  <c r="AB127" i="9" s="1"/>
  <c r="AD127" i="9" s="1"/>
  <c r="K217" i="12"/>
  <c r="L217" i="12" s="1"/>
  <c r="C42" i="11" s="1" a="1"/>
  <c r="G218" i="12"/>
  <c r="I218" i="12" s="1"/>
  <c r="F114" i="12"/>
  <c r="B115" i="12" s="1"/>
  <c r="H219" i="12"/>
  <c r="J219" i="12" s="1"/>
  <c r="A220" i="12"/>
  <c r="W127" i="9"/>
  <c r="X127" i="9" s="1"/>
  <c r="F171" i="9"/>
  <c r="H171" i="9" s="1"/>
  <c r="AM118" i="9" l="1"/>
  <c r="AN118" i="9" s="1"/>
  <c r="AH119" i="9" s="1"/>
  <c r="Y90" i="12"/>
  <c r="Z90" i="12"/>
  <c r="AE89" i="12"/>
  <c r="AF89" i="12"/>
  <c r="Q84" i="12"/>
  <c r="M85" i="12" s="1"/>
  <c r="N85" i="12" s="1"/>
  <c r="S84" i="12"/>
  <c r="R128" i="9"/>
  <c r="U128" i="9" s="1"/>
  <c r="T128" i="9" s="1"/>
  <c r="V128" i="9" s="1"/>
  <c r="J96" i="9"/>
  <c r="B172" i="9"/>
  <c r="E172" i="9" s="1"/>
  <c r="D172" i="9" s="1"/>
  <c r="G219" i="12"/>
  <c r="I219" i="12" s="1"/>
  <c r="K218" i="12"/>
  <c r="L218" i="12" s="1"/>
  <c r="C115" i="12"/>
  <c r="H220" i="12"/>
  <c r="J220" i="12" s="1"/>
  <c r="A221" i="12"/>
  <c r="AE127" i="9"/>
  <c r="AF127" i="9" s="1"/>
  <c r="AK119" i="9" l="1"/>
  <c r="AJ119" i="9" s="1"/>
  <c r="AL119" i="9" s="1"/>
  <c r="O85" i="12"/>
  <c r="AA90" i="12"/>
  <c r="AG89" i="12"/>
  <c r="AH89" i="12" s="1"/>
  <c r="AC90" i="12"/>
  <c r="T84" i="12"/>
  <c r="U84" i="12"/>
  <c r="M96" i="9"/>
  <c r="L96" i="9" s="1"/>
  <c r="N96" i="9" s="1"/>
  <c r="O96" i="9" s="1"/>
  <c r="Z128" i="9"/>
  <c r="AC128" i="9" s="1"/>
  <c r="AB128" i="9" s="1"/>
  <c r="AD128" i="9" s="1"/>
  <c r="K219" i="12"/>
  <c r="L219" i="12" s="1"/>
  <c r="G220" i="12"/>
  <c r="I220" i="12" s="1"/>
  <c r="D115" i="12"/>
  <c r="H221" i="12"/>
  <c r="J221" i="12" s="1"/>
  <c r="A222" i="12"/>
  <c r="W128" i="9"/>
  <c r="X128" i="9" s="1"/>
  <c r="F172" i="9"/>
  <c r="H172" i="9" s="1"/>
  <c r="AM119" i="9" l="1"/>
  <c r="AN119" i="9" s="1"/>
  <c r="AH120" i="9" s="1"/>
  <c r="P85" i="12"/>
  <c r="AB90" i="12"/>
  <c r="X91" i="12" s="1"/>
  <c r="Y91" i="12" s="1"/>
  <c r="AD90" i="12"/>
  <c r="V84" i="12"/>
  <c r="W84" i="12" s="1"/>
  <c r="R85" i="12"/>
  <c r="P96" i="9"/>
  <c r="J97" i="9" s="1"/>
  <c r="R129" i="9"/>
  <c r="U129" i="9" s="1"/>
  <c r="T129" i="9" s="1"/>
  <c r="V129" i="9" s="1"/>
  <c r="B173" i="9"/>
  <c r="E173" i="9" s="1"/>
  <c r="D173" i="9" s="1"/>
  <c r="K220" i="12"/>
  <c r="L220" i="12" s="1"/>
  <c r="G221" i="12"/>
  <c r="I221" i="12" s="1"/>
  <c r="E115" i="12"/>
  <c r="F115" i="12"/>
  <c r="B116" i="12" s="1"/>
  <c r="H222" i="12"/>
  <c r="J222" i="12" s="1"/>
  <c r="A223" i="12"/>
  <c r="AE128" i="9"/>
  <c r="AF128" i="9" s="1"/>
  <c r="AK120" i="9" l="1"/>
  <c r="AJ120" i="9" s="1"/>
  <c r="AL120" i="9" s="1"/>
  <c r="AM120" i="9" s="1"/>
  <c r="Q85" i="12"/>
  <c r="S85" i="12"/>
  <c r="Z91" i="12"/>
  <c r="AA91" i="12"/>
  <c r="AF90" i="12"/>
  <c r="AE90" i="12"/>
  <c r="M97" i="9"/>
  <c r="L97" i="9"/>
  <c r="N97" i="9" s="1"/>
  <c r="O97" i="9" s="1"/>
  <c r="P97" i="9" s="1"/>
  <c r="Z129" i="9"/>
  <c r="AC129" i="9" s="1"/>
  <c r="AB129" i="9" s="1"/>
  <c r="AD129" i="9" s="1"/>
  <c r="K221" i="12"/>
  <c r="L221" i="12" s="1"/>
  <c r="G222" i="12"/>
  <c r="I222" i="12" s="1"/>
  <c r="C116" i="12"/>
  <c r="H223" i="12"/>
  <c r="J223" i="12" s="1"/>
  <c r="A224" i="12"/>
  <c r="W129" i="9"/>
  <c r="X129" i="9" s="1"/>
  <c r="F173" i="9"/>
  <c r="H173" i="9" s="1"/>
  <c r="AN120" i="9" l="1"/>
  <c r="AH121" i="9" s="1"/>
  <c r="M86" i="12"/>
  <c r="D31" i="11" a="1"/>
  <c r="T85" i="12"/>
  <c r="U85" i="12"/>
  <c r="AD91" i="12"/>
  <c r="AF91" i="12" s="1"/>
  <c r="AB91" i="12"/>
  <c r="X92" i="12" s="1"/>
  <c r="AC91" i="12"/>
  <c r="AG90" i="12"/>
  <c r="AH90" i="12" s="1"/>
  <c r="R130" i="9"/>
  <c r="U130" i="9" s="1"/>
  <c r="T130" i="9" s="1"/>
  <c r="V130" i="9" s="1"/>
  <c r="W130" i="9" s="1"/>
  <c r="X130" i="9" s="1"/>
  <c r="J98" i="9"/>
  <c r="B174" i="9"/>
  <c r="E174" i="9" s="1"/>
  <c r="D174" i="9" s="1"/>
  <c r="K222" i="12"/>
  <c r="L222" i="12" s="1"/>
  <c r="G223" i="12"/>
  <c r="I223" i="12" s="1"/>
  <c r="D116" i="12"/>
  <c r="H224" i="12"/>
  <c r="J224" i="12" s="1"/>
  <c r="A225" i="12"/>
  <c r="AE129" i="9"/>
  <c r="AF129" i="9" s="1"/>
  <c r="AK121" i="9" l="1"/>
  <c r="AJ121" i="9" s="1"/>
  <c r="AL121" i="9" s="1"/>
  <c r="AM121" i="9" s="1"/>
  <c r="AN121" i="9" s="1"/>
  <c r="AH122" i="9" s="1"/>
  <c r="M98" i="9"/>
  <c r="L98" i="9" s="1"/>
  <c r="N98" i="9" s="1"/>
  <c r="O98" i="9"/>
  <c r="P98" i="9" s="1"/>
  <c r="N86" i="12"/>
  <c r="O86" i="12"/>
  <c r="P86" i="12" s="1"/>
  <c r="S86" i="12" s="1"/>
  <c r="U86" i="12" s="1"/>
  <c r="V85" i="12"/>
  <c r="W85" i="12" s="1"/>
  <c r="E31" i="11" s="1" a="1"/>
  <c r="H31" i="11" s="1"/>
  <c r="R86" i="12"/>
  <c r="Z92" i="12"/>
  <c r="Y92" i="12"/>
  <c r="AE91" i="12"/>
  <c r="R131" i="9"/>
  <c r="U131" i="9" s="1"/>
  <c r="T131" i="9" s="1"/>
  <c r="V131" i="9" s="1"/>
  <c r="W131" i="9" s="1"/>
  <c r="Z130" i="9"/>
  <c r="AC130" i="9" s="1"/>
  <c r="AB130" i="9" s="1"/>
  <c r="AD130" i="9" s="1"/>
  <c r="AE130" i="9" s="1"/>
  <c r="AF130" i="9" s="1"/>
  <c r="Z131" i="9" s="1"/>
  <c r="K223" i="12"/>
  <c r="L223" i="12" s="1"/>
  <c r="G224" i="12"/>
  <c r="I224" i="12" s="1"/>
  <c r="E116" i="12"/>
  <c r="F116" i="12"/>
  <c r="B117" i="12" s="1"/>
  <c r="H225" i="12"/>
  <c r="J225" i="12" s="1"/>
  <c r="A226" i="12"/>
  <c r="F174" i="9"/>
  <c r="H174" i="9" s="1"/>
  <c r="AK122" i="9" l="1"/>
  <c r="AJ122" i="9" s="1"/>
  <c r="AL122" i="9" s="1"/>
  <c r="AG91" i="12"/>
  <c r="AH91" i="12" s="1"/>
  <c r="AC92" i="12"/>
  <c r="Q86" i="12"/>
  <c r="M87" i="12" s="1"/>
  <c r="T86" i="12"/>
  <c r="AA92" i="12"/>
  <c r="K224" i="12"/>
  <c r="L224" i="12" s="1"/>
  <c r="G225" i="12"/>
  <c r="B175" i="9"/>
  <c r="E175" i="9" s="1"/>
  <c r="D175" i="9" s="1"/>
  <c r="F175" i="9" s="1"/>
  <c r="H175" i="9" s="1"/>
  <c r="C117" i="12"/>
  <c r="D117" i="12"/>
  <c r="E117" i="12" s="1"/>
  <c r="H226" i="12"/>
  <c r="J226" i="12" s="1"/>
  <c r="A227" i="12"/>
  <c r="I225" i="12"/>
  <c r="X131" i="9"/>
  <c r="AC131" i="9"/>
  <c r="AB131" i="9" s="1"/>
  <c r="AD131" i="9" s="1"/>
  <c r="J99" i="9"/>
  <c r="AM122" i="9" l="1"/>
  <c r="AN122" i="9" s="1"/>
  <c r="AH123" i="9" s="1"/>
  <c r="O87" i="12"/>
  <c r="N87" i="12"/>
  <c r="V86" i="12"/>
  <c r="W86" i="12" s="1"/>
  <c r="R87" i="12"/>
  <c r="AB92" i="12"/>
  <c r="X93" i="12" s="1"/>
  <c r="AD92" i="12"/>
  <c r="F117" i="12"/>
  <c r="B118" i="12" s="1"/>
  <c r="C118" i="12" s="1"/>
  <c r="B176" i="9"/>
  <c r="E176" i="9" s="1"/>
  <c r="D176" i="9" s="1"/>
  <c r="F176" i="9" s="1"/>
  <c r="H176" i="9" s="1"/>
  <c r="R132" i="9"/>
  <c r="H227" i="12"/>
  <c r="J227" i="12" s="1"/>
  <c r="A228" i="12"/>
  <c r="K225" i="12"/>
  <c r="L225" i="12" s="1"/>
  <c r="G226" i="12"/>
  <c r="I226" i="12" s="1"/>
  <c r="AE131" i="9"/>
  <c r="AF131" i="9" s="1"/>
  <c r="M99" i="9"/>
  <c r="L99" i="9" s="1"/>
  <c r="N99" i="9" s="1"/>
  <c r="O99" i="9" s="1"/>
  <c r="AK123" i="9" l="1"/>
  <c r="AJ123" i="9" s="1"/>
  <c r="AL123" i="9" s="1"/>
  <c r="Y93" i="12"/>
  <c r="Z93" i="12"/>
  <c r="AE92" i="12"/>
  <c r="AF92" i="12"/>
  <c r="P87" i="12"/>
  <c r="U132" i="9"/>
  <c r="T132" i="9" s="1"/>
  <c r="V132" i="9" s="1"/>
  <c r="W132" i="9" s="1"/>
  <c r="X132" i="9" s="1"/>
  <c r="R133" i="9" s="1"/>
  <c r="U133" i="9" s="1"/>
  <c r="T133" i="9" s="1"/>
  <c r="V133" i="9" s="1"/>
  <c r="Z132" i="9"/>
  <c r="AC132" i="9" s="1"/>
  <c r="AB132" i="9" s="1"/>
  <c r="AD132" i="9" s="1"/>
  <c r="B177" i="9"/>
  <c r="G227" i="12"/>
  <c r="I227" i="12" s="1"/>
  <c r="K226" i="12"/>
  <c r="L226" i="12" s="1"/>
  <c r="D118" i="12"/>
  <c r="H228" i="12"/>
  <c r="J228" i="12" s="1"/>
  <c r="A229" i="12"/>
  <c r="P99" i="9"/>
  <c r="AM123" i="9" l="1"/>
  <c r="AN123" i="9" s="1"/>
  <c r="AH124" i="9" s="1"/>
  <c r="AG92" i="12"/>
  <c r="AH92" i="12" s="1"/>
  <c r="AC93" i="12"/>
  <c r="S87" i="12"/>
  <c r="Q87" i="12"/>
  <c r="M88" i="12" s="1"/>
  <c r="AA93" i="12"/>
  <c r="AD93" i="12" s="1"/>
  <c r="AF93" i="12" s="1"/>
  <c r="AB93" i="12"/>
  <c r="X94" i="12" s="1"/>
  <c r="E177" i="9"/>
  <c r="D177" i="9"/>
  <c r="F177" i="9" s="1"/>
  <c r="H177" i="9" s="1"/>
  <c r="B178" i="9" s="1"/>
  <c r="E178" i="9" s="1"/>
  <c r="D178" i="9" s="1"/>
  <c r="F178" i="9" s="1"/>
  <c r="H178" i="9" s="1"/>
  <c r="K227" i="12"/>
  <c r="L227" i="12" s="1"/>
  <c r="G228" i="12"/>
  <c r="I228" i="12" s="1"/>
  <c r="E118" i="12"/>
  <c r="F118" i="12"/>
  <c r="B119" i="12" s="1"/>
  <c r="H229" i="12"/>
  <c r="J229" i="12" s="1"/>
  <c r="A230" i="12"/>
  <c r="AE132" i="9"/>
  <c r="AF132" i="9" s="1"/>
  <c r="W133" i="9"/>
  <c r="X133" i="9" s="1"/>
  <c r="J100" i="9"/>
  <c r="AK124" i="9" l="1"/>
  <c r="AJ124" i="9" s="1"/>
  <c r="AL124" i="9" s="1"/>
  <c r="T87" i="12"/>
  <c r="U87" i="12"/>
  <c r="P88" i="12"/>
  <c r="Q88" i="12" s="1"/>
  <c r="M89" i="12" s="1"/>
  <c r="O88" i="12"/>
  <c r="N88" i="12"/>
  <c r="Y94" i="12"/>
  <c r="AE93" i="12"/>
  <c r="Z133" i="9"/>
  <c r="AC133" i="9" s="1"/>
  <c r="AB133" i="9" s="1"/>
  <c r="AD133" i="9" s="1"/>
  <c r="R134" i="9"/>
  <c r="U134" i="9" s="1"/>
  <c r="T134" i="9" s="1"/>
  <c r="V134" i="9" s="1"/>
  <c r="B179" i="9"/>
  <c r="E179" i="9" s="1"/>
  <c r="D179" i="9" s="1"/>
  <c r="F179" i="9" s="1"/>
  <c r="H179" i="9" s="1"/>
  <c r="K228" i="12"/>
  <c r="L228" i="12" s="1"/>
  <c r="G229" i="12"/>
  <c r="I229" i="12" s="1"/>
  <c r="C119" i="12"/>
  <c r="D119" i="12"/>
  <c r="E119" i="12" s="1"/>
  <c r="H230" i="12"/>
  <c r="J230" i="12" s="1"/>
  <c r="A231" i="12"/>
  <c r="M100" i="9"/>
  <c r="L100" i="9"/>
  <c r="N100" i="9" s="1"/>
  <c r="O100" i="9" s="1"/>
  <c r="AM124" i="9" l="1"/>
  <c r="AN124" i="9" s="1"/>
  <c r="AH125" i="9" s="1"/>
  <c r="R88" i="12"/>
  <c r="V87" i="12"/>
  <c r="W87" i="12" s="1"/>
  <c r="N89" i="12"/>
  <c r="O89" i="12"/>
  <c r="AC94" i="12"/>
  <c r="AG93" i="12"/>
  <c r="AH93" i="12" s="1"/>
  <c r="S88" i="12"/>
  <c r="U88" i="12" s="1"/>
  <c r="Z94" i="12"/>
  <c r="F119" i="12"/>
  <c r="B120" i="12" s="1"/>
  <c r="C120" i="12" s="1"/>
  <c r="B180" i="9"/>
  <c r="E180" i="9" s="1"/>
  <c r="D180" i="9" s="1"/>
  <c r="F180" i="9" s="1"/>
  <c r="H180" i="9" s="1"/>
  <c r="K229" i="12"/>
  <c r="L229" i="12" s="1"/>
  <c r="C43" i="11" s="1" a="1"/>
  <c r="G230" i="12"/>
  <c r="I230" i="12" s="1"/>
  <c r="H231" i="12"/>
  <c r="J231" i="12" s="1"/>
  <c r="A232" i="12"/>
  <c r="AE133" i="9"/>
  <c r="AF133" i="9" s="1"/>
  <c r="W134" i="9"/>
  <c r="X134" i="9" s="1"/>
  <c r="P100" i="9"/>
  <c r="AK125" i="9" l="1"/>
  <c r="AJ125" i="9" s="1"/>
  <c r="AL125" i="9" s="1"/>
  <c r="AM125" i="9" s="1"/>
  <c r="AN125" i="9" s="1"/>
  <c r="AH126" i="9" s="1"/>
  <c r="AA94" i="12"/>
  <c r="T88" i="12"/>
  <c r="P89" i="12"/>
  <c r="K230" i="12"/>
  <c r="L230" i="12" s="1"/>
  <c r="G231" i="12"/>
  <c r="I231" i="12" s="1"/>
  <c r="Z134" i="9"/>
  <c r="R135" i="9"/>
  <c r="B181" i="9"/>
  <c r="E181" i="9" s="1"/>
  <c r="D181" i="9" s="1"/>
  <c r="F181" i="9" s="1"/>
  <c r="H181" i="9" s="1"/>
  <c r="D120" i="12"/>
  <c r="H232" i="12"/>
  <c r="J232" i="12" s="1"/>
  <c r="A233" i="12"/>
  <c r="J101" i="9"/>
  <c r="AK126" i="9" l="1"/>
  <c r="AJ126" i="9" s="1"/>
  <c r="AL126" i="9" s="1"/>
  <c r="R89" i="12"/>
  <c r="V88" i="12"/>
  <c r="W88" i="12" s="1"/>
  <c r="Q89" i="12"/>
  <c r="M90" i="12" s="1"/>
  <c r="N90" i="12" s="1"/>
  <c r="S89" i="12"/>
  <c r="U89" i="12" s="1"/>
  <c r="AB94" i="12"/>
  <c r="X95" i="12" s="1"/>
  <c r="AD94" i="12"/>
  <c r="O90" i="12"/>
  <c r="P90" i="12"/>
  <c r="Q90" i="12" s="1"/>
  <c r="M91" i="12" s="1"/>
  <c r="AC134" i="9"/>
  <c r="AB134" i="9" s="1"/>
  <c r="AD134" i="9" s="1"/>
  <c r="AE134" i="9"/>
  <c r="AF134" i="9" s="1"/>
  <c r="Z135" i="9" s="1"/>
  <c r="AC135" i="9" s="1"/>
  <c r="AB135" i="9" s="1"/>
  <c r="AD135" i="9" s="1"/>
  <c r="U135" i="9"/>
  <c r="T135" i="9" s="1"/>
  <c r="V135" i="9" s="1"/>
  <c r="W135" i="9"/>
  <c r="X135" i="9" s="1"/>
  <c r="R136" i="9" s="1"/>
  <c r="U136" i="9" s="1"/>
  <c r="T136" i="9" s="1"/>
  <c r="V136" i="9" s="1"/>
  <c r="B182" i="9"/>
  <c r="E182" i="9" s="1"/>
  <c r="D182" i="9" s="1"/>
  <c r="K231" i="12"/>
  <c r="L231" i="12" s="1"/>
  <c r="G232" i="12"/>
  <c r="I232" i="12" s="1"/>
  <c r="E120" i="12"/>
  <c r="F120" i="12"/>
  <c r="B121" i="12" s="1"/>
  <c r="H233" i="12"/>
  <c r="J233" i="12" s="1"/>
  <c r="A234" i="12"/>
  <c r="M101" i="9"/>
  <c r="L101" i="9" s="1"/>
  <c r="N101" i="9" s="1"/>
  <c r="O101" i="9" s="1"/>
  <c r="AM126" i="9" l="1"/>
  <c r="AN126" i="9" s="1"/>
  <c r="AH127" i="9" s="1"/>
  <c r="Y95" i="12"/>
  <c r="Z95" i="12"/>
  <c r="AA95" i="12"/>
  <c r="AB95" i="12" s="1"/>
  <c r="X96" i="12" s="1"/>
  <c r="AF94" i="12"/>
  <c r="AE94" i="12"/>
  <c r="T89" i="12"/>
  <c r="N91" i="12"/>
  <c r="O91" i="12"/>
  <c r="S90" i="12"/>
  <c r="C121" i="12"/>
  <c r="D121" i="12" s="1"/>
  <c r="H234" i="12"/>
  <c r="J234" i="12" s="1"/>
  <c r="A235" i="12"/>
  <c r="K232" i="12"/>
  <c r="L232" i="12" s="1"/>
  <c r="G233" i="12"/>
  <c r="I233" i="12" s="1"/>
  <c r="AE135" i="9"/>
  <c r="AF135" i="9" s="1"/>
  <c r="W136" i="9"/>
  <c r="X136" i="9" s="1"/>
  <c r="P101" i="9"/>
  <c r="F182" i="9"/>
  <c r="H182" i="9" s="1"/>
  <c r="AK127" i="9" l="1"/>
  <c r="AJ127" i="9" s="1"/>
  <c r="AL127" i="9" s="1"/>
  <c r="Y96" i="12"/>
  <c r="AA96" i="12" s="1"/>
  <c r="AD96" i="12" s="1"/>
  <c r="AF96" i="12" s="1"/>
  <c r="Z96" i="12"/>
  <c r="AC95" i="12"/>
  <c r="AG94" i="12"/>
  <c r="AH94" i="12" s="1"/>
  <c r="R90" i="12"/>
  <c r="V89" i="12"/>
  <c r="W89" i="12" s="1"/>
  <c r="AD95" i="12"/>
  <c r="AF95" i="12" s="1"/>
  <c r="P91" i="12"/>
  <c r="T90" i="12"/>
  <c r="U90" i="12"/>
  <c r="Z136" i="9"/>
  <c r="AC136" i="9" s="1"/>
  <c r="AB136" i="9" s="1"/>
  <c r="AD136" i="9" s="1"/>
  <c r="R137" i="9"/>
  <c r="U137" i="9" s="1"/>
  <c r="T137" i="9" s="1"/>
  <c r="V137" i="9" s="1"/>
  <c r="B183" i="9"/>
  <c r="E183" i="9" s="1"/>
  <c r="D183" i="9" s="1"/>
  <c r="G234" i="12"/>
  <c r="K233" i="12"/>
  <c r="L233" i="12" s="1"/>
  <c r="E121" i="12"/>
  <c r="F121" i="12"/>
  <c r="H235" i="12"/>
  <c r="J235" i="12" s="1"/>
  <c r="A236" i="12"/>
  <c r="I234" i="12"/>
  <c r="J102" i="9"/>
  <c r="AM127" i="9" l="1"/>
  <c r="AN127" i="9" s="1"/>
  <c r="AH128" i="9" s="1"/>
  <c r="AB96" i="12"/>
  <c r="X97" i="12" s="1"/>
  <c r="AE95" i="12"/>
  <c r="V90" i="12"/>
  <c r="W90" i="12" s="1"/>
  <c r="R91" i="12"/>
  <c r="Q91" i="12"/>
  <c r="M92" i="12" s="1"/>
  <c r="S91" i="12"/>
  <c r="U91" i="12" s="1"/>
  <c r="K234" i="12"/>
  <c r="L234" i="12" s="1"/>
  <c r="G235" i="12"/>
  <c r="I235" i="12" s="1"/>
  <c r="B122" i="12"/>
  <c r="B34" i="11" a="1"/>
  <c r="H236" i="12"/>
  <c r="J236" i="12" s="1"/>
  <c r="A237" i="12"/>
  <c r="AE136" i="9"/>
  <c r="AF136" i="9" s="1"/>
  <c r="W137" i="9"/>
  <c r="X137" i="9" s="1"/>
  <c r="M102" i="9"/>
  <c r="L102" i="9" s="1"/>
  <c r="N102" i="9" s="1"/>
  <c r="O102" i="9" s="1"/>
  <c r="F183" i="9"/>
  <c r="H183" i="9" s="1"/>
  <c r="AK128" i="9" l="1"/>
  <c r="AJ128" i="9" s="1"/>
  <c r="AL128" i="9" s="1"/>
  <c r="Y97" i="12"/>
  <c r="AG95" i="12"/>
  <c r="AH95" i="12" s="1"/>
  <c r="AC96" i="12"/>
  <c r="AE96" i="12" s="1"/>
  <c r="N92" i="12"/>
  <c r="O92" i="12"/>
  <c r="T91" i="12"/>
  <c r="Z137" i="9"/>
  <c r="R138" i="9"/>
  <c r="U138" i="9" s="1"/>
  <c r="T138" i="9" s="1"/>
  <c r="V138" i="9" s="1"/>
  <c r="B184" i="9"/>
  <c r="E184" i="9" s="1"/>
  <c r="D184" i="9" s="1"/>
  <c r="G236" i="12"/>
  <c r="K235" i="12"/>
  <c r="L235" i="12" s="1"/>
  <c r="C122" i="12"/>
  <c r="H237" i="12"/>
  <c r="J237" i="12" s="1"/>
  <c r="A238" i="12"/>
  <c r="I236" i="12"/>
  <c r="P102" i="9"/>
  <c r="AM128" i="9" l="1"/>
  <c r="AN128" i="9" s="1"/>
  <c r="AH129" i="9" s="1"/>
  <c r="AC97" i="12"/>
  <c r="AG96" i="12"/>
  <c r="AH96" i="12" s="1"/>
  <c r="P92" i="12"/>
  <c r="Z97" i="12"/>
  <c r="R92" i="12"/>
  <c r="V91" i="12"/>
  <c r="W91" i="12" s="1"/>
  <c r="Q92" i="12"/>
  <c r="M93" i="12" s="1"/>
  <c r="S92" i="12"/>
  <c r="U92" i="12" s="1"/>
  <c r="K236" i="12"/>
  <c r="L236" i="12" s="1"/>
  <c r="G237" i="12"/>
  <c r="I237" i="12" s="1"/>
  <c r="AC137" i="9"/>
  <c r="AB137" i="9" s="1"/>
  <c r="AD137" i="9" s="1"/>
  <c r="AE137" i="9" s="1"/>
  <c r="AF137" i="9" s="1"/>
  <c r="Z138" i="9" s="1"/>
  <c r="AC138" i="9" s="1"/>
  <c r="AB138" i="9" s="1"/>
  <c r="AD138" i="9" s="1"/>
  <c r="D122" i="12"/>
  <c r="H238" i="12"/>
  <c r="J238" i="12" s="1"/>
  <c r="A239" i="12"/>
  <c r="W138" i="9"/>
  <c r="X138" i="9" s="1"/>
  <c r="J103" i="9"/>
  <c r="F184" i="9"/>
  <c r="H184" i="9" s="1"/>
  <c r="AK129" i="9" l="1"/>
  <c r="AJ129" i="9" s="1"/>
  <c r="AL129" i="9" s="1"/>
  <c r="AA97" i="12"/>
  <c r="N93" i="12"/>
  <c r="T92" i="12"/>
  <c r="R139" i="9"/>
  <c r="B185" i="9"/>
  <c r="E185" i="9" s="1"/>
  <c r="D185" i="9" s="1"/>
  <c r="K237" i="12"/>
  <c r="L237" i="12" s="1"/>
  <c r="G238" i="12"/>
  <c r="I238" i="12" s="1"/>
  <c r="E122" i="12"/>
  <c r="F122" i="12"/>
  <c r="B123" i="12" s="1"/>
  <c r="H239" i="12"/>
  <c r="J239" i="12" s="1"/>
  <c r="A240" i="12"/>
  <c r="AE138" i="9"/>
  <c r="AF138" i="9" s="1"/>
  <c r="M103" i="9"/>
  <c r="L103" i="9"/>
  <c r="N103" i="9" s="1"/>
  <c r="O103" i="9" s="1"/>
  <c r="AM129" i="9" l="1"/>
  <c r="AN129" i="9" s="1"/>
  <c r="AH130" i="9" s="1"/>
  <c r="AB97" i="12"/>
  <c r="AD97" i="12"/>
  <c r="V92" i="12"/>
  <c r="W92" i="12" s="1"/>
  <c r="R93" i="12"/>
  <c r="O93" i="12"/>
  <c r="U139" i="9"/>
  <c r="T139" i="9"/>
  <c r="V139" i="9" s="1"/>
  <c r="W139" i="9" s="1"/>
  <c r="X139" i="9" s="1"/>
  <c r="Z139" i="9"/>
  <c r="AC139" i="9" s="1"/>
  <c r="AB139" i="9" s="1"/>
  <c r="AD139" i="9" s="1"/>
  <c r="C123" i="12"/>
  <c r="H240" i="12"/>
  <c r="J240" i="12" s="1"/>
  <c r="A241" i="12"/>
  <c r="K238" i="12"/>
  <c r="L238" i="12" s="1"/>
  <c r="G239" i="12"/>
  <c r="I239" i="12" s="1"/>
  <c r="P103" i="9"/>
  <c r="F185" i="9"/>
  <c r="H185" i="9" s="1"/>
  <c r="AK130" i="9" l="1"/>
  <c r="AJ130" i="9" s="1"/>
  <c r="AL130" i="9" s="1"/>
  <c r="X98" i="12"/>
  <c r="F32" i="11" a="1"/>
  <c r="AF97" i="12"/>
  <c r="AE97" i="12"/>
  <c r="P93" i="12"/>
  <c r="Q93" i="12" s="1"/>
  <c r="M94" i="12" s="1"/>
  <c r="S93" i="12"/>
  <c r="R140" i="9"/>
  <c r="U140" i="9" s="1"/>
  <c r="T140" i="9" s="1"/>
  <c r="V140" i="9" s="1"/>
  <c r="J104" i="9"/>
  <c r="B186" i="9"/>
  <c r="E186" i="9" s="1"/>
  <c r="D186" i="9" s="1"/>
  <c r="D123" i="12"/>
  <c r="H241" i="12"/>
  <c r="J241" i="12" s="1"/>
  <c r="A242" i="12"/>
  <c r="K239" i="12"/>
  <c r="L239" i="12" s="1"/>
  <c r="G240" i="12"/>
  <c r="I240" i="12" s="1"/>
  <c r="AE139" i="9"/>
  <c r="AF139" i="9" s="1"/>
  <c r="AM130" i="9" l="1"/>
  <c r="AN130" i="9" s="1"/>
  <c r="AH131" i="9" s="1"/>
  <c r="M104" i="9"/>
  <c r="L104" i="9" s="1"/>
  <c r="N104" i="9" s="1"/>
  <c r="O104" i="9"/>
  <c r="P104" i="9" s="1"/>
  <c r="Z98" i="12"/>
  <c r="Y98" i="12"/>
  <c r="AC98" i="12"/>
  <c r="AG97" i="12"/>
  <c r="AH97" i="12" s="1"/>
  <c r="G32" i="11" s="1" a="1"/>
  <c r="N94" i="12"/>
  <c r="T93" i="12"/>
  <c r="U93" i="12"/>
  <c r="E123" i="12"/>
  <c r="F123" i="12"/>
  <c r="B124" i="12" s="1"/>
  <c r="C124" i="12" s="1"/>
  <c r="K240" i="12"/>
  <c r="L240" i="12" s="1"/>
  <c r="G241" i="12"/>
  <c r="I241" i="12" s="1"/>
  <c r="Z140" i="9"/>
  <c r="AC140" i="9" s="1"/>
  <c r="AB140" i="9" s="1"/>
  <c r="AD140" i="9" s="1"/>
  <c r="B242" i="12"/>
  <c r="H242" i="12"/>
  <c r="J242" i="12" s="1"/>
  <c r="S242" i="12"/>
  <c r="AD242" i="12"/>
  <c r="A243" i="12"/>
  <c r="W140" i="9"/>
  <c r="X140" i="9" s="1"/>
  <c r="F186" i="9"/>
  <c r="H186" i="9" s="1"/>
  <c r="AA98" i="12" l="1"/>
  <c r="V93" i="12"/>
  <c r="W93" i="12" s="1"/>
  <c r="R94" i="12"/>
  <c r="O94" i="12"/>
  <c r="P94" i="12" s="1"/>
  <c r="AK131" i="9"/>
  <c r="AJ131" i="9"/>
  <c r="AL131" i="9" s="1"/>
  <c r="AM131" i="9" s="1"/>
  <c r="AN131" i="9" s="1"/>
  <c r="AH132" i="9" s="1"/>
  <c r="R141" i="9"/>
  <c r="U141" i="9" s="1"/>
  <c r="T141" i="9" s="1"/>
  <c r="V141" i="9" s="1"/>
  <c r="W141" i="9" s="1"/>
  <c r="X141" i="9" s="1"/>
  <c r="J105" i="9"/>
  <c r="B187" i="9"/>
  <c r="E187" i="9" s="1"/>
  <c r="D187" i="9" s="1"/>
  <c r="F187" i="9" s="1"/>
  <c r="H187" i="9" s="1"/>
  <c r="D124" i="12"/>
  <c r="C242" i="12"/>
  <c r="D242" i="12"/>
  <c r="E242" i="12" s="1"/>
  <c r="B243" i="12"/>
  <c r="H243" i="12"/>
  <c r="J243" i="12" s="1"/>
  <c r="S243" i="12"/>
  <c r="AD243" i="12"/>
  <c r="A244" i="12"/>
  <c r="K241" i="12"/>
  <c r="L241" i="12" s="1"/>
  <c r="G242" i="12"/>
  <c r="I242" i="12" s="1"/>
  <c r="G243" i="12" s="1"/>
  <c r="K242" i="12"/>
  <c r="L242" i="12" s="1"/>
  <c r="AE140" i="9"/>
  <c r="AF140" i="9" s="1"/>
  <c r="AK132" i="9" l="1"/>
  <c r="AJ132" i="9" s="1"/>
  <c r="AL132" i="9" s="1"/>
  <c r="AM132" i="9" s="1"/>
  <c r="AN132" i="9" s="1"/>
  <c r="AH133" i="9" s="1"/>
  <c r="M105" i="9"/>
  <c r="L105" i="9" s="1"/>
  <c r="N105" i="9" s="1"/>
  <c r="O105" i="9"/>
  <c r="P105" i="9" s="1"/>
  <c r="AD98" i="12"/>
  <c r="AB98" i="12"/>
  <c r="X99" i="12" s="1"/>
  <c r="E124" i="12"/>
  <c r="F124" i="12"/>
  <c r="B125" i="12" s="1"/>
  <c r="C125" i="12" s="1"/>
  <c r="I243" i="12"/>
  <c r="S94" i="12"/>
  <c r="Q94" i="12"/>
  <c r="M95" i="12" s="1"/>
  <c r="N95" i="12" s="1"/>
  <c r="O95" i="12" s="1"/>
  <c r="E7" i="11" a="1"/>
  <c r="E17" i="11" s="1"/>
  <c r="C44" i="11" a="1"/>
  <c r="B188" i="9"/>
  <c r="E188" i="9" s="1"/>
  <c r="D188" i="9" s="1"/>
  <c r="Z141" i="9"/>
  <c r="AC141" i="9" s="1"/>
  <c r="AB141" i="9" s="1"/>
  <c r="AD141" i="9" s="1"/>
  <c r="AE141" i="9" s="1"/>
  <c r="R142" i="9"/>
  <c r="U142" i="9" s="1"/>
  <c r="T142" i="9" s="1"/>
  <c r="V142" i="9" s="1"/>
  <c r="W142" i="9" s="1"/>
  <c r="X142" i="9" s="1"/>
  <c r="R143" i="9" s="1"/>
  <c r="C243" i="12"/>
  <c r="D243" i="12"/>
  <c r="B244" i="12"/>
  <c r="H244" i="12"/>
  <c r="J244" i="12" s="1"/>
  <c r="S244" i="12"/>
  <c r="AD244" i="12"/>
  <c r="A245" i="12"/>
  <c r="F242" i="12"/>
  <c r="AK133" i="9" l="1"/>
  <c r="AJ133" i="9" s="1"/>
  <c r="AL133" i="9" s="1"/>
  <c r="AF98" i="12"/>
  <c r="AE98" i="12"/>
  <c r="Z99" i="12"/>
  <c r="Y99" i="12"/>
  <c r="T94" i="12"/>
  <c r="U94" i="12"/>
  <c r="P95" i="12"/>
  <c r="K243" i="12"/>
  <c r="L243" i="12" s="1"/>
  <c r="G244" i="12"/>
  <c r="I244" i="12" s="1"/>
  <c r="D125" i="12"/>
  <c r="E125" i="12" s="1"/>
  <c r="F125" i="12"/>
  <c r="B126" i="12" s="1"/>
  <c r="C126" i="12" s="1"/>
  <c r="J106" i="9"/>
  <c r="F243" i="12"/>
  <c r="C244" i="12"/>
  <c r="D244" i="12"/>
  <c r="E244" i="12" s="1"/>
  <c r="B245" i="12"/>
  <c r="H245" i="12"/>
  <c r="J245" i="12" s="1"/>
  <c r="S245" i="12"/>
  <c r="AD245" i="12"/>
  <c r="A246" i="12"/>
  <c r="E243" i="12"/>
  <c r="AF141" i="9"/>
  <c r="U143" i="9"/>
  <c r="T143" i="9"/>
  <c r="V143" i="9" s="1"/>
  <c r="W143" i="9" s="1"/>
  <c r="X143" i="9" s="1"/>
  <c r="F188" i="9"/>
  <c r="H188" i="9" s="1"/>
  <c r="AM133" i="9" l="1"/>
  <c r="AN133" i="9" s="1"/>
  <c r="AH134" i="9" s="1"/>
  <c r="M106" i="9"/>
  <c r="L106" i="9" s="1"/>
  <c r="N106" i="9" s="1"/>
  <c r="O106" i="9"/>
  <c r="P106" i="9" s="1"/>
  <c r="AC99" i="12"/>
  <c r="AG98" i="12"/>
  <c r="AH98" i="12" s="1"/>
  <c r="AA99" i="12"/>
  <c r="V94" i="12"/>
  <c r="W94" i="12" s="1"/>
  <c r="R95" i="12"/>
  <c r="Q95" i="12"/>
  <c r="M96" i="12" s="1"/>
  <c r="S95" i="12"/>
  <c r="U95" i="12" s="1"/>
  <c r="K244" i="12"/>
  <c r="L244" i="12" s="1"/>
  <c r="G245" i="12"/>
  <c r="I245" i="12" s="1"/>
  <c r="Z142" i="9"/>
  <c r="R144" i="9"/>
  <c r="U144" i="9" s="1"/>
  <c r="T144" i="9" s="1"/>
  <c r="V144" i="9" s="1"/>
  <c r="B189" i="9"/>
  <c r="E189" i="9" s="1"/>
  <c r="D189" i="9" s="1"/>
  <c r="F189" i="9" s="1"/>
  <c r="H189" i="9" s="1"/>
  <c r="D126" i="12"/>
  <c r="C245" i="12"/>
  <c r="D245" i="12"/>
  <c r="E245" i="12" s="1"/>
  <c r="B246" i="12"/>
  <c r="H246" i="12"/>
  <c r="J246" i="12" s="1"/>
  <c r="S246" i="12"/>
  <c r="AD246" i="12"/>
  <c r="A247" i="12"/>
  <c r="F244" i="12"/>
  <c r="AK134" i="9" l="1"/>
  <c r="AJ134" i="9" s="1"/>
  <c r="AL134" i="9" s="1"/>
  <c r="AM134" i="9" s="1"/>
  <c r="AN134" i="9" s="1"/>
  <c r="AH135" i="9" s="1"/>
  <c r="AD99" i="12"/>
  <c r="AB99" i="12"/>
  <c r="X100" i="12" s="1"/>
  <c r="E126" i="12"/>
  <c r="F126" i="12"/>
  <c r="B127" i="12" s="1"/>
  <c r="N96" i="12"/>
  <c r="O96" i="12" s="1"/>
  <c r="T95" i="12"/>
  <c r="G246" i="12"/>
  <c r="K245" i="12"/>
  <c r="L245" i="12" s="1"/>
  <c r="B190" i="9"/>
  <c r="E190" i="9" s="1"/>
  <c r="D190" i="9" s="1"/>
  <c r="F190" i="9" s="1"/>
  <c r="H190" i="9" s="1"/>
  <c r="B191" i="9" s="1"/>
  <c r="E191" i="9" s="1"/>
  <c r="D191" i="9" s="1"/>
  <c r="F191" i="9" s="1"/>
  <c r="H191" i="9" s="1"/>
  <c r="B192" i="9" s="1"/>
  <c r="E192" i="9" s="1"/>
  <c r="D192" i="9" s="1"/>
  <c r="F192" i="9" s="1"/>
  <c r="H192" i="9" s="1"/>
  <c r="AC142" i="9"/>
  <c r="AB142" i="9" s="1"/>
  <c r="AD142" i="9" s="1"/>
  <c r="AE142" i="9" s="1"/>
  <c r="AF142" i="9" s="1"/>
  <c r="Z143" i="9" s="1"/>
  <c r="AC143" i="9" s="1"/>
  <c r="AB143" i="9" s="1"/>
  <c r="AD143" i="9" s="1"/>
  <c r="J107" i="9"/>
  <c r="C127" i="12"/>
  <c r="D127" i="12"/>
  <c r="C246" i="12"/>
  <c r="D246" i="12"/>
  <c r="E246" i="12" s="1"/>
  <c r="B247" i="12"/>
  <c r="H247" i="12"/>
  <c r="J247" i="12" s="1"/>
  <c r="S247" i="12"/>
  <c r="AD247" i="12"/>
  <c r="A248" i="12"/>
  <c r="I246" i="12"/>
  <c r="F245" i="12"/>
  <c r="W144" i="9"/>
  <c r="X144" i="9" s="1"/>
  <c r="AK135" i="9" l="1"/>
  <c r="AJ135" i="9" s="1"/>
  <c r="AL135" i="9" s="1"/>
  <c r="AN135" i="9" s="1"/>
  <c r="AM135" i="9"/>
  <c r="M107" i="9"/>
  <c r="L107" i="9" s="1"/>
  <c r="N107" i="9" s="1"/>
  <c r="O107" i="9"/>
  <c r="P107" i="9" s="1"/>
  <c r="AE99" i="12"/>
  <c r="AF99" i="12"/>
  <c r="Y100" i="12"/>
  <c r="Z100" i="12"/>
  <c r="R96" i="12"/>
  <c r="V95" i="12"/>
  <c r="W95" i="12" s="1"/>
  <c r="P96" i="12"/>
  <c r="Q96" i="12"/>
  <c r="M97" i="12" s="1"/>
  <c r="S96" i="12"/>
  <c r="U96" i="12" s="1"/>
  <c r="E127" i="12"/>
  <c r="F127" i="12"/>
  <c r="B128" i="12" s="1"/>
  <c r="C128" i="12" s="1"/>
  <c r="D128" i="12" s="1"/>
  <c r="B193" i="9"/>
  <c r="E193" i="9" s="1"/>
  <c r="D193" i="9" s="1"/>
  <c r="F193" i="9" s="1"/>
  <c r="H193" i="9" s="1"/>
  <c r="R145" i="9"/>
  <c r="U145" i="9" s="1"/>
  <c r="T145" i="9" s="1"/>
  <c r="V145" i="9" s="1"/>
  <c r="K246" i="12"/>
  <c r="L246" i="12" s="1"/>
  <c r="G247" i="12"/>
  <c r="I247" i="12" s="1"/>
  <c r="C247" i="12"/>
  <c r="D247" i="12"/>
  <c r="B248" i="12"/>
  <c r="H248" i="12"/>
  <c r="J248" i="12" s="1"/>
  <c r="S248" i="12"/>
  <c r="AD248" i="12"/>
  <c r="A249" i="12"/>
  <c r="F246" i="12"/>
  <c r="AE143" i="9"/>
  <c r="AF143" i="9" s="1"/>
  <c r="AG99" i="12" l="1"/>
  <c r="AH99" i="12" s="1"/>
  <c r="AC100" i="12"/>
  <c r="AE100" i="12" s="1"/>
  <c r="E247" i="12"/>
  <c r="AA100" i="12"/>
  <c r="AD100" i="12"/>
  <c r="AF100" i="12" s="1"/>
  <c r="AB100" i="12"/>
  <c r="X101" i="12" s="1"/>
  <c r="N97" i="12"/>
  <c r="O97" i="12"/>
  <c r="P97" i="12" s="1"/>
  <c r="S97" i="12" s="1"/>
  <c r="U97" i="12" s="1"/>
  <c r="T96" i="12"/>
  <c r="B194" i="9"/>
  <c r="E194" i="9" s="1"/>
  <c r="D194" i="9" s="1"/>
  <c r="F194" i="9" s="1"/>
  <c r="H194" i="9" s="1"/>
  <c r="B195" i="9" s="1"/>
  <c r="E195" i="9" s="1"/>
  <c r="D195" i="9" s="1"/>
  <c r="F195" i="9" s="1"/>
  <c r="H195" i="9" s="1"/>
  <c r="AH136" i="9"/>
  <c r="Z144" i="9"/>
  <c r="J108" i="9"/>
  <c r="F128" i="12"/>
  <c r="B129" i="12" s="1"/>
  <c r="E128" i="12"/>
  <c r="C248" i="12"/>
  <c r="D248" i="12"/>
  <c r="E248" i="12" s="1"/>
  <c r="B249" i="12"/>
  <c r="H249" i="12"/>
  <c r="J249" i="12" s="1"/>
  <c r="S249" i="12"/>
  <c r="AD249" i="12"/>
  <c r="A250" i="12"/>
  <c r="F247" i="12"/>
  <c r="K247" i="12"/>
  <c r="L247" i="12" s="1"/>
  <c r="G248" i="12"/>
  <c r="I248" i="12" s="1"/>
  <c r="W145" i="9"/>
  <c r="X145" i="9" s="1"/>
  <c r="AK136" i="9" l="1"/>
  <c r="AJ136" i="9" s="1"/>
  <c r="AL136" i="9" s="1"/>
  <c r="AM136" i="9"/>
  <c r="AN136" i="9" s="1"/>
  <c r="M108" i="9"/>
  <c r="L108" i="9" s="1"/>
  <c r="N108" i="9" s="1"/>
  <c r="O108" i="9"/>
  <c r="P108" i="9" s="1"/>
  <c r="Y101" i="12"/>
  <c r="Z101" i="12" s="1"/>
  <c r="AA101" i="12"/>
  <c r="AG100" i="12"/>
  <c r="AH100" i="12" s="1"/>
  <c r="AC101" i="12"/>
  <c r="V96" i="12"/>
  <c r="W96" i="12" s="1"/>
  <c r="R97" i="12"/>
  <c r="T97" i="12" s="1"/>
  <c r="AB101" i="12"/>
  <c r="X102" i="12" s="1"/>
  <c r="AD101" i="12"/>
  <c r="AF101" i="12" s="1"/>
  <c r="K248" i="12"/>
  <c r="L248" i="12" s="1"/>
  <c r="G249" i="12"/>
  <c r="I249" i="12" s="1"/>
  <c r="Q97" i="12"/>
  <c r="B196" i="9"/>
  <c r="E196" i="9" s="1"/>
  <c r="D196" i="9" s="1"/>
  <c r="F196" i="9" s="1"/>
  <c r="H196" i="9" s="1"/>
  <c r="AC144" i="9"/>
  <c r="AB144" i="9" s="1"/>
  <c r="AD144" i="9" s="1"/>
  <c r="AE144" i="9" s="1"/>
  <c r="AF144" i="9" s="1"/>
  <c r="R146" i="9"/>
  <c r="C129" i="12"/>
  <c r="D129" i="12" s="1"/>
  <c r="C249" i="12"/>
  <c r="D249" i="12"/>
  <c r="B250" i="12"/>
  <c r="H250" i="12"/>
  <c r="J250" i="12" s="1"/>
  <c r="S250" i="12"/>
  <c r="AD250" i="12"/>
  <c r="A251" i="12"/>
  <c r="F248" i="12"/>
  <c r="R98" i="12" l="1"/>
  <c r="V97" i="12"/>
  <c r="W97" i="12" s="1"/>
  <c r="E32" i="11" s="1" a="1"/>
  <c r="H32" i="11" s="1"/>
  <c r="Y102" i="12"/>
  <c r="Z102" i="12" s="1"/>
  <c r="D32" i="11" a="1"/>
  <c r="M98" i="12"/>
  <c r="F249" i="12"/>
  <c r="AE101" i="12"/>
  <c r="E129" i="12"/>
  <c r="F129" i="12"/>
  <c r="B130" i="12" s="1"/>
  <c r="C130" i="12" s="1"/>
  <c r="B197" i="9"/>
  <c r="E197" i="9" s="1"/>
  <c r="D197" i="9" s="1"/>
  <c r="F197" i="9" s="1"/>
  <c r="H197" i="9" s="1"/>
  <c r="B198" i="9" s="1"/>
  <c r="E198" i="9" s="1"/>
  <c r="D198" i="9" s="1"/>
  <c r="F198" i="9" s="1"/>
  <c r="H198" i="9" s="1"/>
  <c r="U146" i="9"/>
  <c r="T146" i="9"/>
  <c r="V146" i="9" s="1"/>
  <c r="W146" i="9" s="1"/>
  <c r="X146" i="9" s="1"/>
  <c r="AH137" i="9"/>
  <c r="Z145" i="9"/>
  <c r="AC145" i="9" s="1"/>
  <c r="AB145" i="9" s="1"/>
  <c r="AD145" i="9" s="1"/>
  <c r="J109" i="9"/>
  <c r="E249" i="12"/>
  <c r="C250" i="12"/>
  <c r="D250" i="12"/>
  <c r="B251" i="12"/>
  <c r="H251" i="12"/>
  <c r="J251" i="12" s="1"/>
  <c r="S251" i="12"/>
  <c r="AD251" i="12"/>
  <c r="A252" i="12"/>
  <c r="K249" i="12"/>
  <c r="L249" i="12" s="1"/>
  <c r="G250" i="12"/>
  <c r="I250" i="12" s="1"/>
  <c r="M109" i="9" l="1"/>
  <c r="AA102" i="12"/>
  <c r="N98" i="12"/>
  <c r="AG101" i="12"/>
  <c r="AH101" i="12" s="1"/>
  <c r="AC102" i="12"/>
  <c r="E250" i="12"/>
  <c r="AK137" i="9"/>
  <c r="AJ137" i="9"/>
  <c r="AL137" i="9" s="1"/>
  <c r="AM137" i="9" s="1"/>
  <c r="AN137" i="9" s="1"/>
  <c r="AH138" i="9" s="1"/>
  <c r="B199" i="9"/>
  <c r="E199" i="9" s="1"/>
  <c r="D199" i="9" s="1"/>
  <c r="F199" i="9" s="1"/>
  <c r="H199" i="9" s="1"/>
  <c r="B200" i="9" s="1"/>
  <c r="E200" i="9" s="1"/>
  <c r="D200" i="9" s="1"/>
  <c r="F200" i="9" s="1"/>
  <c r="H200" i="9" s="1"/>
  <c r="R147" i="9"/>
  <c r="U147" i="9" s="1"/>
  <c r="T147" i="9" s="1"/>
  <c r="V147" i="9" s="1"/>
  <c r="K250" i="12"/>
  <c r="L250" i="12" s="1"/>
  <c r="G251" i="12"/>
  <c r="I251" i="12" s="1"/>
  <c r="F250" i="12"/>
  <c r="D130" i="12"/>
  <c r="C251" i="12"/>
  <c r="D251" i="12"/>
  <c r="E251" i="12" s="1"/>
  <c r="B252" i="12"/>
  <c r="H252" i="12"/>
  <c r="J252" i="12" s="1"/>
  <c r="S252" i="12"/>
  <c r="AD252" i="12"/>
  <c r="A253" i="12"/>
  <c r="AE145" i="9"/>
  <c r="AF145" i="9" s="1"/>
  <c r="L109" i="9"/>
  <c r="N109" i="9" s="1"/>
  <c r="O109" i="9" s="1"/>
  <c r="AK138" i="9" l="1"/>
  <c r="AJ138" i="9" s="1"/>
  <c r="AL138" i="9" s="1"/>
  <c r="AB102" i="12"/>
  <c r="X103" i="12" s="1"/>
  <c r="AD102" i="12"/>
  <c r="O98" i="12"/>
  <c r="B201" i="9"/>
  <c r="E201" i="9" s="1"/>
  <c r="D201" i="9" s="1"/>
  <c r="F201" i="9" s="1"/>
  <c r="H201" i="9" s="1"/>
  <c r="B202" i="9" s="1"/>
  <c r="E202" i="9" s="1"/>
  <c r="D202" i="9" s="1"/>
  <c r="F202" i="9" s="1"/>
  <c r="H202" i="9" s="1"/>
  <c r="B203" i="9" s="1"/>
  <c r="Z146" i="9"/>
  <c r="AC146" i="9" s="1"/>
  <c r="AB146" i="9" s="1"/>
  <c r="AD146" i="9" s="1"/>
  <c r="E130" i="12"/>
  <c r="F130" i="12"/>
  <c r="B131" i="12" s="1"/>
  <c r="C252" i="12"/>
  <c r="D252" i="12"/>
  <c r="E252" i="12" s="1"/>
  <c r="B253" i="12"/>
  <c r="H253" i="12"/>
  <c r="J253" i="12" s="1"/>
  <c r="S253" i="12"/>
  <c r="AD253" i="12"/>
  <c r="A254" i="12"/>
  <c r="F251" i="12"/>
  <c r="K251" i="12"/>
  <c r="L251" i="12" s="1"/>
  <c r="G252" i="12"/>
  <c r="I252" i="12" s="1"/>
  <c r="W147" i="9"/>
  <c r="X147" i="9" s="1"/>
  <c r="P109" i="9"/>
  <c r="AM138" i="9" l="1"/>
  <c r="AN138" i="9" s="1"/>
  <c r="AH139" i="9" s="1"/>
  <c r="Z103" i="12"/>
  <c r="Y103" i="12"/>
  <c r="AE102" i="12"/>
  <c r="AF102" i="12"/>
  <c r="P98" i="12"/>
  <c r="K252" i="12"/>
  <c r="L252" i="12" s="1"/>
  <c r="G253" i="12"/>
  <c r="I253" i="12" s="1"/>
  <c r="E203" i="9"/>
  <c r="D203" i="9" s="1"/>
  <c r="F203" i="9" s="1"/>
  <c r="H203" i="9" s="1"/>
  <c r="R148" i="9"/>
  <c r="U148" i="9" s="1"/>
  <c r="T148" i="9" s="1"/>
  <c r="V148" i="9" s="1"/>
  <c r="J110" i="9"/>
  <c r="C131" i="12"/>
  <c r="D131" i="12" s="1"/>
  <c r="E131" i="12" s="1"/>
  <c r="F252" i="12"/>
  <c r="C253" i="12"/>
  <c r="D253" i="12"/>
  <c r="E253" i="12" s="1"/>
  <c r="B254" i="12"/>
  <c r="H254" i="12"/>
  <c r="J254" i="12" s="1"/>
  <c r="S254" i="12"/>
  <c r="AD254" i="12"/>
  <c r="A255" i="12"/>
  <c r="AE146" i="9"/>
  <c r="AF146" i="9" s="1"/>
  <c r="AK139" i="9" l="1"/>
  <c r="AJ139" i="9" s="1"/>
  <c r="AL139" i="9" s="1"/>
  <c r="M110" i="9"/>
  <c r="L110" i="9" s="1"/>
  <c r="N110" i="9" s="1"/>
  <c r="O110" i="9"/>
  <c r="AC103" i="12"/>
  <c r="AG102" i="12"/>
  <c r="AH102" i="12" s="1"/>
  <c r="F131" i="12"/>
  <c r="B132" i="12" s="1"/>
  <c r="C132" i="12" s="1"/>
  <c r="AA103" i="12"/>
  <c r="S98" i="12"/>
  <c r="Q98" i="12"/>
  <c r="M99" i="12" s="1"/>
  <c r="G254" i="12"/>
  <c r="K253" i="12"/>
  <c r="L253" i="12" s="1"/>
  <c r="B204" i="9"/>
  <c r="E204" i="9" s="1"/>
  <c r="D204" i="9" s="1"/>
  <c r="F204" i="9" s="1"/>
  <c r="H204" i="9" s="1"/>
  <c r="Z147" i="9"/>
  <c r="AC147" i="9" s="1"/>
  <c r="AB147" i="9" s="1"/>
  <c r="AD147" i="9" s="1"/>
  <c r="F253" i="12"/>
  <c r="D254" i="12"/>
  <c r="C254" i="12"/>
  <c r="F254" i="12" s="1"/>
  <c r="B255" i="12"/>
  <c r="H255" i="12"/>
  <c r="J255" i="12" s="1"/>
  <c r="S255" i="12"/>
  <c r="AD255" i="12"/>
  <c r="A256" i="12"/>
  <c r="I254" i="12"/>
  <c r="W148" i="9"/>
  <c r="X148" i="9" s="1"/>
  <c r="P110" i="9"/>
  <c r="AM139" i="9" l="1"/>
  <c r="AN139" i="9" s="1"/>
  <c r="AH140" i="9" s="1"/>
  <c r="AD103" i="12"/>
  <c r="AF103" i="12" s="1"/>
  <c r="AB103" i="12"/>
  <c r="X104" i="12" s="1"/>
  <c r="Y104" i="12" s="1"/>
  <c r="U98" i="12"/>
  <c r="T98" i="12"/>
  <c r="N99" i="12"/>
  <c r="O99" i="12" s="1"/>
  <c r="AE103" i="12"/>
  <c r="B205" i="9"/>
  <c r="E205" i="9" s="1"/>
  <c r="D205" i="9" s="1"/>
  <c r="F205" i="9" s="1"/>
  <c r="H205" i="9" s="1"/>
  <c r="B206" i="9" s="1"/>
  <c r="E206" i="9" s="1"/>
  <c r="D206" i="9" s="1"/>
  <c r="F206" i="9" s="1"/>
  <c r="H206" i="9" s="1"/>
  <c r="R149" i="9"/>
  <c r="U149" i="9" s="1"/>
  <c r="T149" i="9" s="1"/>
  <c r="V149" i="9" s="1"/>
  <c r="K254" i="12"/>
  <c r="L254" i="12" s="1"/>
  <c r="G255" i="12"/>
  <c r="I255" i="12" s="1"/>
  <c r="D132" i="12"/>
  <c r="D255" i="12"/>
  <c r="C255" i="12"/>
  <c r="F255" i="12" s="1"/>
  <c r="B256" i="12"/>
  <c r="H256" i="12"/>
  <c r="J256" i="12" s="1"/>
  <c r="S256" i="12"/>
  <c r="AD256" i="12"/>
  <c r="A257" i="12"/>
  <c r="E254" i="12"/>
  <c r="AE147" i="9"/>
  <c r="AF147" i="9" s="1"/>
  <c r="J111" i="9"/>
  <c r="AK140" i="9" l="1"/>
  <c r="AJ140" i="9" s="1"/>
  <c r="AL140" i="9" s="1"/>
  <c r="AM140" i="9" s="1"/>
  <c r="AN140" i="9" s="1"/>
  <c r="AH141" i="9" s="1"/>
  <c r="V98" i="12"/>
  <c r="W98" i="12" s="1"/>
  <c r="R99" i="12"/>
  <c r="P99" i="12"/>
  <c r="AG103" i="12"/>
  <c r="AH103" i="12" s="1"/>
  <c r="AC104" i="12"/>
  <c r="Z104" i="12"/>
  <c r="AA104" i="12" s="1"/>
  <c r="B207" i="9"/>
  <c r="Z148" i="9"/>
  <c r="AC148" i="9" s="1"/>
  <c r="AB148" i="9" s="1"/>
  <c r="AD148" i="9" s="1"/>
  <c r="E132" i="12"/>
  <c r="F132" i="12"/>
  <c r="B133" i="12" s="1"/>
  <c r="C256" i="12"/>
  <c r="D256" i="12"/>
  <c r="E256" i="12" s="1"/>
  <c r="B257" i="12"/>
  <c r="H257" i="12"/>
  <c r="J257" i="12" s="1"/>
  <c r="S257" i="12"/>
  <c r="AD257" i="12"/>
  <c r="A258" i="12"/>
  <c r="E255" i="12"/>
  <c r="K255" i="12"/>
  <c r="L255" i="12" s="1"/>
  <c r="G256" i="12"/>
  <c r="I256" i="12" s="1"/>
  <c r="W149" i="9"/>
  <c r="X149" i="9" s="1"/>
  <c r="M111" i="9"/>
  <c r="L111" i="9" s="1"/>
  <c r="N111" i="9" s="1"/>
  <c r="O111" i="9" s="1"/>
  <c r="AK141" i="9" l="1"/>
  <c r="AJ141" i="9" s="1"/>
  <c r="AL141" i="9" s="1"/>
  <c r="Q99" i="12"/>
  <c r="M100" i="12" s="1"/>
  <c r="S99" i="12"/>
  <c r="AB104" i="12"/>
  <c r="X105" i="12" s="1"/>
  <c r="AD104" i="12"/>
  <c r="E207" i="9"/>
  <c r="D207" i="9"/>
  <c r="F207" i="9" s="1"/>
  <c r="H207" i="9" s="1"/>
  <c r="R150" i="9"/>
  <c r="U150" i="9" s="1"/>
  <c r="T150" i="9" s="1"/>
  <c r="V150" i="9" s="1"/>
  <c r="D133" i="12"/>
  <c r="C133" i="12"/>
  <c r="C257" i="12"/>
  <c r="D257" i="12"/>
  <c r="E257" i="12" s="1"/>
  <c r="B258" i="12"/>
  <c r="H258" i="12"/>
  <c r="J258" i="12" s="1"/>
  <c r="S258" i="12"/>
  <c r="AD258" i="12"/>
  <c r="A259" i="12"/>
  <c r="F256" i="12"/>
  <c r="K256" i="12"/>
  <c r="L256" i="12" s="1"/>
  <c r="G257" i="12"/>
  <c r="I257" i="12" s="1"/>
  <c r="AE148" i="9"/>
  <c r="AF148" i="9" s="1"/>
  <c r="P111" i="9"/>
  <c r="AM141" i="9" l="1"/>
  <c r="AN141" i="9"/>
  <c r="AH142" i="9" s="1"/>
  <c r="N100" i="12"/>
  <c r="O100" i="12" s="1"/>
  <c r="P100" i="12"/>
  <c r="Q100" i="12" s="1"/>
  <c r="M101" i="12" s="1"/>
  <c r="T99" i="12"/>
  <c r="U99" i="12"/>
  <c r="Y105" i="12"/>
  <c r="Z105" i="12" s="1"/>
  <c r="AE104" i="12"/>
  <c r="AF104" i="12"/>
  <c r="B208" i="9"/>
  <c r="E208" i="9" s="1"/>
  <c r="D208" i="9" s="1"/>
  <c r="F208" i="9" s="1"/>
  <c r="H208" i="9" s="1"/>
  <c r="Z149" i="9"/>
  <c r="E133" i="12"/>
  <c r="F133" i="12"/>
  <c r="D258" i="12"/>
  <c r="C258" i="12"/>
  <c r="F258" i="12" s="1"/>
  <c r="B259" i="12"/>
  <c r="H259" i="12"/>
  <c r="J259" i="12" s="1"/>
  <c r="S259" i="12"/>
  <c r="AD259" i="12"/>
  <c r="A260" i="12"/>
  <c r="F257" i="12"/>
  <c r="K257" i="12"/>
  <c r="L257" i="12" s="1"/>
  <c r="G258" i="12"/>
  <c r="I258" i="12" s="1"/>
  <c r="W150" i="9"/>
  <c r="X150" i="9" s="1"/>
  <c r="J112" i="9"/>
  <c r="AK142" i="9" l="1"/>
  <c r="AJ142" i="9" s="1"/>
  <c r="AL142" i="9" s="1"/>
  <c r="N101" i="12"/>
  <c r="V99" i="12"/>
  <c r="W99" i="12" s="1"/>
  <c r="R100" i="12"/>
  <c r="AG104" i="12"/>
  <c r="AH104" i="12" s="1"/>
  <c r="AC105" i="12"/>
  <c r="S100" i="12"/>
  <c r="U100" i="12" s="1"/>
  <c r="AA105" i="12"/>
  <c r="B209" i="9"/>
  <c r="AC149" i="9"/>
  <c r="AB149" i="9" s="1"/>
  <c r="AD149" i="9" s="1"/>
  <c r="AE149" i="9"/>
  <c r="AF149" i="9" s="1"/>
  <c r="Z150" i="9" s="1"/>
  <c r="AC150" i="9" s="1"/>
  <c r="AB150" i="9" s="1"/>
  <c r="AD150" i="9" s="1"/>
  <c r="R151" i="9"/>
  <c r="U151" i="9" s="1"/>
  <c r="T151" i="9" s="1"/>
  <c r="V151" i="9" s="1"/>
  <c r="W151" i="9" s="1"/>
  <c r="K258" i="12"/>
  <c r="L258" i="12" s="1"/>
  <c r="G259" i="12"/>
  <c r="I259" i="12" s="1"/>
  <c r="B134" i="12"/>
  <c r="B35" i="11" a="1"/>
  <c r="D259" i="12"/>
  <c r="C259" i="12"/>
  <c r="B260" i="12"/>
  <c r="H260" i="12"/>
  <c r="J260" i="12" s="1"/>
  <c r="S260" i="12"/>
  <c r="AD260" i="12"/>
  <c r="A261" i="12"/>
  <c r="E258" i="12"/>
  <c r="M112" i="9"/>
  <c r="L112" i="9" s="1"/>
  <c r="N112" i="9" s="1"/>
  <c r="O112" i="9" s="1"/>
  <c r="P112" i="9" s="1"/>
  <c r="AM142" i="9" l="1"/>
  <c r="AN142" i="9" s="1"/>
  <c r="AH143" i="9" s="1"/>
  <c r="F259" i="12"/>
  <c r="T100" i="12"/>
  <c r="O101" i="12"/>
  <c r="P101" i="12" s="1"/>
  <c r="AD105" i="12"/>
  <c r="AB105" i="12"/>
  <c r="X106" i="12" s="1"/>
  <c r="E209" i="9"/>
  <c r="D209" i="9" s="1"/>
  <c r="F209" i="9" s="1"/>
  <c r="H209" i="9" s="1"/>
  <c r="C134" i="12"/>
  <c r="D134" i="12" s="1"/>
  <c r="D260" i="12"/>
  <c r="C260" i="12"/>
  <c r="F260" i="12" s="1"/>
  <c r="B261" i="12"/>
  <c r="H261" i="12"/>
  <c r="J261" i="12" s="1"/>
  <c r="S261" i="12"/>
  <c r="AD261" i="12"/>
  <c r="A262" i="12"/>
  <c r="E259" i="12"/>
  <c r="K259" i="12"/>
  <c r="L259" i="12" s="1"/>
  <c r="G260" i="12"/>
  <c r="I260" i="12" s="1"/>
  <c r="AE150" i="9"/>
  <c r="AF150" i="9" s="1"/>
  <c r="X151" i="9"/>
  <c r="J113" i="9"/>
  <c r="AK143" i="9" l="1"/>
  <c r="AJ143" i="9" s="1"/>
  <c r="AL143" i="9" s="1"/>
  <c r="R101" i="12"/>
  <c r="V100" i="12"/>
  <c r="W100" i="12" s="1"/>
  <c r="AE105" i="12"/>
  <c r="AF105" i="12"/>
  <c r="Y106" i="12"/>
  <c r="S101" i="12"/>
  <c r="U101" i="12" s="1"/>
  <c r="Q101" i="12"/>
  <c r="M102" i="12" s="1"/>
  <c r="K260" i="12"/>
  <c r="L260" i="12" s="1"/>
  <c r="G261" i="12"/>
  <c r="I261" i="12" s="1"/>
  <c r="B210" i="9"/>
  <c r="E210" i="9" s="1"/>
  <c r="D210" i="9" s="1"/>
  <c r="F210" i="9" s="1"/>
  <c r="H210" i="9" s="1"/>
  <c r="B211" i="9" s="1"/>
  <c r="E211" i="9" s="1"/>
  <c r="D211" i="9" s="1"/>
  <c r="F211" i="9" s="1"/>
  <c r="H211" i="9" s="1"/>
  <c r="Z151" i="9"/>
  <c r="AC151" i="9" s="1"/>
  <c r="AB151" i="9" s="1"/>
  <c r="AD151" i="9" s="1"/>
  <c r="R152" i="9"/>
  <c r="U152" i="9" s="1"/>
  <c r="T152" i="9" s="1"/>
  <c r="V152" i="9" s="1"/>
  <c r="W152" i="9" s="1"/>
  <c r="F134" i="12"/>
  <c r="B135" i="12" s="1"/>
  <c r="E134" i="12"/>
  <c r="D261" i="12"/>
  <c r="C261" i="12"/>
  <c r="F261" i="12" s="1"/>
  <c r="B262" i="12"/>
  <c r="H262" i="12"/>
  <c r="J262" i="12" s="1"/>
  <c r="S262" i="12"/>
  <c r="AD262" i="12"/>
  <c r="A263" i="12"/>
  <c r="E260" i="12"/>
  <c r="M113" i="9"/>
  <c r="L113" i="9" s="1"/>
  <c r="N113" i="9" s="1"/>
  <c r="O113" i="9" s="1"/>
  <c r="AM143" i="9" l="1"/>
  <c r="AN143" i="9" s="1"/>
  <c r="AH144" i="9" s="1"/>
  <c r="T101" i="12"/>
  <c r="V101" i="12"/>
  <c r="W101" i="12" s="1"/>
  <c r="R102" i="12"/>
  <c r="AC106" i="12"/>
  <c r="AG105" i="12"/>
  <c r="AH105" i="12" s="1"/>
  <c r="N102" i="12"/>
  <c r="O102" i="12"/>
  <c r="P102" i="12" s="1"/>
  <c r="Z106" i="12"/>
  <c r="AA106" i="12"/>
  <c r="B212" i="9"/>
  <c r="E212" i="9" s="1"/>
  <c r="D212" i="9" s="1"/>
  <c r="F212" i="9" s="1"/>
  <c r="H212" i="9" s="1"/>
  <c r="B213" i="9" s="1"/>
  <c r="E213" i="9" s="1"/>
  <c r="D213" i="9" s="1"/>
  <c r="F213" i="9" s="1"/>
  <c r="H213" i="9" s="1"/>
  <c r="B214" i="9" s="1"/>
  <c r="E214" i="9" s="1"/>
  <c r="D214" i="9" s="1"/>
  <c r="F214" i="9" s="1"/>
  <c r="H214" i="9" s="1"/>
  <c r="B215" i="9" s="1"/>
  <c r="E215" i="9" s="1"/>
  <c r="D215" i="9" s="1"/>
  <c r="F215" i="9" s="1"/>
  <c r="H215" i="9" s="1"/>
  <c r="B216" i="9" s="1"/>
  <c r="E216" i="9" s="1"/>
  <c r="D216" i="9" s="1"/>
  <c r="F216" i="9" s="1"/>
  <c r="H216" i="9" s="1"/>
  <c r="B217" i="9" s="1"/>
  <c r="C135" i="12"/>
  <c r="D135" i="12"/>
  <c r="E135" i="12" s="1"/>
  <c r="D262" i="12"/>
  <c r="C262" i="12"/>
  <c r="B263" i="12"/>
  <c r="H263" i="12"/>
  <c r="J263" i="12" s="1"/>
  <c r="S263" i="12"/>
  <c r="AD263" i="12"/>
  <c r="A264" i="12"/>
  <c r="E261" i="12"/>
  <c r="K261" i="12"/>
  <c r="L261" i="12" s="1"/>
  <c r="G262" i="12"/>
  <c r="I262" i="12" s="1"/>
  <c r="AE151" i="9"/>
  <c r="AF151" i="9" s="1"/>
  <c r="X152" i="9"/>
  <c r="P113" i="9"/>
  <c r="AK144" i="9" l="1"/>
  <c r="AJ144" i="9" s="1"/>
  <c r="AL144" i="9" s="1"/>
  <c r="F135" i="12"/>
  <c r="B136" i="12" s="1"/>
  <c r="C136" i="12" s="1"/>
  <c r="F262" i="12"/>
  <c r="K262" i="12"/>
  <c r="L262" i="12" s="1"/>
  <c r="G263" i="12"/>
  <c r="I263" i="12" s="1"/>
  <c r="S102" i="12"/>
  <c r="AD106" i="12"/>
  <c r="AB106" i="12"/>
  <c r="X107" i="12" s="1"/>
  <c r="Q102" i="12"/>
  <c r="M103" i="12" s="1"/>
  <c r="E217" i="9"/>
  <c r="D217" i="9"/>
  <c r="F217" i="9" s="1"/>
  <c r="H217" i="9" s="1"/>
  <c r="Z152" i="9"/>
  <c r="AC152" i="9" s="1"/>
  <c r="AB152" i="9" s="1"/>
  <c r="AD152" i="9" s="1"/>
  <c r="R153" i="9"/>
  <c r="D263" i="12"/>
  <c r="C263" i="12"/>
  <c r="B264" i="12"/>
  <c r="H264" i="12"/>
  <c r="J264" i="12" s="1"/>
  <c r="S264" i="12"/>
  <c r="AD264" i="12"/>
  <c r="A265" i="12"/>
  <c r="E262" i="12"/>
  <c r="U153" i="9"/>
  <c r="T153" i="9" s="1"/>
  <c r="V153" i="9" s="1"/>
  <c r="W153" i="9" s="1"/>
  <c r="J114" i="9"/>
  <c r="AM144" i="9" l="1"/>
  <c r="AN144" i="9" s="1"/>
  <c r="AH145" i="9" s="1"/>
  <c r="AF106" i="12"/>
  <c r="AE106" i="12"/>
  <c r="T102" i="12"/>
  <c r="U102" i="12"/>
  <c r="Y107" i="12"/>
  <c r="N103" i="12"/>
  <c r="O103" i="12" s="1"/>
  <c r="P103" i="12" s="1"/>
  <c r="Q103" i="12" s="1"/>
  <c r="M104" i="12" s="1"/>
  <c r="F263" i="12"/>
  <c r="G264" i="12"/>
  <c r="I264" i="12" s="1"/>
  <c r="K263" i="12"/>
  <c r="L263" i="12" s="1"/>
  <c r="B218" i="9"/>
  <c r="E218" i="9" s="1"/>
  <c r="D218" i="9" s="1"/>
  <c r="F218" i="9" s="1"/>
  <c r="H218" i="9" s="1"/>
  <c r="D136" i="12"/>
  <c r="D264" i="12"/>
  <c r="C264" i="12"/>
  <c r="F264" i="12" s="1"/>
  <c r="B265" i="12"/>
  <c r="H265" i="12"/>
  <c r="J265" i="12" s="1"/>
  <c r="S265" i="12"/>
  <c r="AD265" i="12"/>
  <c r="A266" i="12"/>
  <c r="E263" i="12"/>
  <c r="AE152" i="9"/>
  <c r="AF152" i="9" s="1"/>
  <c r="X153" i="9"/>
  <c r="M114" i="9"/>
  <c r="L114" i="9" s="1"/>
  <c r="N114" i="9" s="1"/>
  <c r="O114" i="9" s="1"/>
  <c r="P114" i="9" s="1"/>
  <c r="AC107" i="12" l="1"/>
  <c r="AG106" i="12"/>
  <c r="AH106" i="12" s="1"/>
  <c r="K264" i="12"/>
  <c r="L264" i="12" s="1"/>
  <c r="G265" i="12"/>
  <c r="R103" i="12"/>
  <c r="V102" i="12"/>
  <c r="W102" i="12" s="1"/>
  <c r="N104" i="12"/>
  <c r="S103" i="12"/>
  <c r="U103" i="12" s="1"/>
  <c r="Z107" i="12"/>
  <c r="AA107" i="12" s="1"/>
  <c r="B219" i="9"/>
  <c r="AK145" i="9"/>
  <c r="AJ145" i="9" s="1"/>
  <c r="AL145" i="9" s="1"/>
  <c r="AM145" i="9" s="1"/>
  <c r="AN145" i="9" s="1"/>
  <c r="AH146" i="9" s="1"/>
  <c r="Z153" i="9"/>
  <c r="AC153" i="9" s="1"/>
  <c r="AB153" i="9" s="1"/>
  <c r="AD153" i="9" s="1"/>
  <c r="R154" i="9"/>
  <c r="U154" i="9" s="1"/>
  <c r="T154" i="9" s="1"/>
  <c r="V154" i="9" s="1"/>
  <c r="E136" i="12"/>
  <c r="F136" i="12"/>
  <c r="B137" i="12" s="1"/>
  <c r="D265" i="12"/>
  <c r="C265" i="12"/>
  <c r="F265" i="12" s="1"/>
  <c r="B266" i="12"/>
  <c r="H266" i="12"/>
  <c r="J266" i="12" s="1"/>
  <c r="S266" i="12"/>
  <c r="AD266" i="12"/>
  <c r="A267" i="12"/>
  <c r="E264" i="12"/>
  <c r="I265" i="12"/>
  <c r="J115" i="9"/>
  <c r="AK146" i="9" l="1"/>
  <c r="AJ146" i="9" s="1"/>
  <c r="AL146" i="9" s="1"/>
  <c r="AB107" i="12"/>
  <c r="X108" i="12" s="1"/>
  <c r="AD107" i="12"/>
  <c r="T103" i="12"/>
  <c r="O104" i="12"/>
  <c r="E219" i="9"/>
  <c r="D219" i="9"/>
  <c r="F219" i="9" s="1"/>
  <c r="H219" i="9" s="1"/>
  <c r="K265" i="12"/>
  <c r="L265" i="12" s="1"/>
  <c r="G266" i="12"/>
  <c r="I266" i="12" s="1"/>
  <c r="C137" i="12"/>
  <c r="D137" i="12" s="1"/>
  <c r="E137" i="12" s="1"/>
  <c r="D266" i="12"/>
  <c r="C266" i="12"/>
  <c r="B267" i="12"/>
  <c r="H267" i="12"/>
  <c r="J267" i="12" s="1"/>
  <c r="S267" i="12"/>
  <c r="AD267" i="12"/>
  <c r="A268" i="12"/>
  <c r="E265" i="12"/>
  <c r="AE153" i="9"/>
  <c r="AF153" i="9" s="1"/>
  <c r="W154" i="9"/>
  <c r="X154" i="9" s="1"/>
  <c r="M115" i="9"/>
  <c r="L115" i="9" s="1"/>
  <c r="N115" i="9" s="1"/>
  <c r="O115" i="9" s="1"/>
  <c r="AM146" i="9" l="1"/>
  <c r="AN146" i="9" s="1"/>
  <c r="AH147" i="9" s="1"/>
  <c r="F266" i="12"/>
  <c r="Y108" i="12"/>
  <c r="Z108" i="12"/>
  <c r="AA108" i="12"/>
  <c r="AB108" i="12" s="1"/>
  <c r="X109" i="12" s="1"/>
  <c r="AF107" i="12"/>
  <c r="AE107" i="12"/>
  <c r="V103" i="12"/>
  <c r="W103" i="12" s="1"/>
  <c r="R104" i="12"/>
  <c r="F137" i="12"/>
  <c r="B138" i="12" s="1"/>
  <c r="C138" i="12" s="1"/>
  <c r="P104" i="12"/>
  <c r="B220" i="9"/>
  <c r="E220" i="9" s="1"/>
  <c r="D220" i="9" s="1"/>
  <c r="F220" i="9" s="1"/>
  <c r="H220" i="9" s="1"/>
  <c r="Z154" i="9"/>
  <c r="AC154" i="9" s="1"/>
  <c r="AB154" i="9" s="1"/>
  <c r="AD154" i="9" s="1"/>
  <c r="AE154" i="9" s="1"/>
  <c r="R155" i="9"/>
  <c r="C267" i="12"/>
  <c r="D267" i="12"/>
  <c r="E267" i="12" s="1"/>
  <c r="B268" i="12"/>
  <c r="H268" i="12"/>
  <c r="J268" i="12" s="1"/>
  <c r="S268" i="12"/>
  <c r="AD268" i="12"/>
  <c r="A269" i="12"/>
  <c r="E266" i="12"/>
  <c r="K266" i="12"/>
  <c r="L266" i="12" s="1"/>
  <c r="G267" i="12"/>
  <c r="I267" i="12" s="1"/>
  <c r="P115" i="9"/>
  <c r="AK147" i="9" l="1"/>
  <c r="AJ147" i="9" s="1"/>
  <c r="AL147" i="9" s="1"/>
  <c r="Y109" i="12"/>
  <c r="AG107" i="12"/>
  <c r="AH107" i="12" s="1"/>
  <c r="AC108" i="12"/>
  <c r="AD108" i="12"/>
  <c r="AF108" i="12" s="1"/>
  <c r="S104" i="12"/>
  <c r="Q104" i="12"/>
  <c r="M105" i="12" s="1"/>
  <c r="B221" i="9"/>
  <c r="E221" i="9" s="1"/>
  <c r="D221" i="9" s="1"/>
  <c r="F221" i="9" s="1"/>
  <c r="H221" i="9" s="1"/>
  <c r="B222" i="9" s="1"/>
  <c r="U155" i="9"/>
  <c r="T155" i="9"/>
  <c r="V155" i="9" s="1"/>
  <c r="W155" i="9" s="1"/>
  <c r="X155" i="9" s="1"/>
  <c r="J116" i="9"/>
  <c r="K267" i="12"/>
  <c r="L267" i="12" s="1"/>
  <c r="G268" i="12"/>
  <c r="I268" i="12" s="1"/>
  <c r="D138" i="12"/>
  <c r="C268" i="12"/>
  <c r="D268" i="12"/>
  <c r="E268" i="12" s="1"/>
  <c r="B269" i="12"/>
  <c r="H269" i="12"/>
  <c r="J269" i="12" s="1"/>
  <c r="S269" i="12"/>
  <c r="AD269" i="12"/>
  <c r="A270" i="12"/>
  <c r="F267" i="12"/>
  <c r="AF154" i="9"/>
  <c r="AM147" i="9" l="1"/>
  <c r="AN147" i="9" s="1"/>
  <c r="AH148" i="9" s="1"/>
  <c r="T104" i="12"/>
  <c r="U104" i="12"/>
  <c r="N105" i="12"/>
  <c r="O105" i="12" s="1"/>
  <c r="AE108" i="12"/>
  <c r="Z109" i="12"/>
  <c r="AA109" i="12"/>
  <c r="E138" i="12"/>
  <c r="F138" i="12"/>
  <c r="B139" i="12" s="1"/>
  <c r="E222" i="9"/>
  <c r="D222" i="9"/>
  <c r="F222" i="9" s="1"/>
  <c r="H222" i="9" s="1"/>
  <c r="M116" i="9"/>
  <c r="L116" i="9" s="1"/>
  <c r="N116" i="9" s="1"/>
  <c r="O116" i="9" s="1"/>
  <c r="P116" i="9" s="1"/>
  <c r="J117" i="9" s="1"/>
  <c r="Z155" i="9"/>
  <c r="R156" i="9"/>
  <c r="U156" i="9" s="1"/>
  <c r="T156" i="9" s="1"/>
  <c r="V156" i="9" s="1"/>
  <c r="W156" i="9" s="1"/>
  <c r="K268" i="12"/>
  <c r="L268" i="12" s="1"/>
  <c r="G269" i="12"/>
  <c r="I269" i="12" s="1"/>
  <c r="C139" i="12"/>
  <c r="D139" i="12"/>
  <c r="C269" i="12"/>
  <c r="D269" i="12"/>
  <c r="E269" i="12" s="1"/>
  <c r="B270" i="12"/>
  <c r="H270" i="12"/>
  <c r="J270" i="12" s="1"/>
  <c r="S270" i="12"/>
  <c r="AD270" i="12"/>
  <c r="A271" i="12"/>
  <c r="F268" i="12"/>
  <c r="M117" i="9" l="1"/>
  <c r="L117" i="9" s="1"/>
  <c r="N117" i="9" s="1"/>
  <c r="R105" i="12"/>
  <c r="V104" i="12"/>
  <c r="W104" i="12" s="1"/>
  <c r="AG108" i="12"/>
  <c r="AH108" i="12" s="1"/>
  <c r="AC109" i="12"/>
  <c r="P105" i="12"/>
  <c r="AD109" i="12"/>
  <c r="AF109" i="12" s="1"/>
  <c r="AB109" i="12"/>
  <c r="B223" i="9"/>
  <c r="E223" i="9" s="1"/>
  <c r="D223" i="9" s="1"/>
  <c r="F223" i="9" s="1"/>
  <c r="H223" i="9" s="1"/>
  <c r="B224" i="9" s="1"/>
  <c r="E224" i="9" s="1"/>
  <c r="D224" i="9" s="1"/>
  <c r="F224" i="9" s="1"/>
  <c r="H224" i="9" s="1"/>
  <c r="B225" i="9" s="1"/>
  <c r="E225" i="9" s="1"/>
  <c r="D225" i="9" s="1"/>
  <c r="F225" i="9" s="1"/>
  <c r="H225" i="9" s="1"/>
  <c r="AK148" i="9"/>
  <c r="AJ148" i="9" s="1"/>
  <c r="AL148" i="9" s="1"/>
  <c r="AM148" i="9" s="1"/>
  <c r="AN148" i="9" s="1"/>
  <c r="AC155" i="9"/>
  <c r="AB155" i="9" s="1"/>
  <c r="AD155" i="9" s="1"/>
  <c r="AE155" i="9" s="1"/>
  <c r="AF155" i="9" s="1"/>
  <c r="Z156" i="9" s="1"/>
  <c r="AC156" i="9" s="1"/>
  <c r="AB156" i="9" s="1"/>
  <c r="AD156" i="9" s="1"/>
  <c r="G270" i="12"/>
  <c r="I270" i="12" s="1"/>
  <c r="K269" i="12"/>
  <c r="L269" i="12" s="1"/>
  <c r="E139" i="12"/>
  <c r="F139" i="12"/>
  <c r="B140" i="12" s="1"/>
  <c r="C270" i="12"/>
  <c r="D270" i="12"/>
  <c r="E270" i="12" s="1"/>
  <c r="B271" i="12"/>
  <c r="H271" i="12"/>
  <c r="J271" i="12" s="1"/>
  <c r="S271" i="12"/>
  <c r="AD271" i="12"/>
  <c r="A272" i="12"/>
  <c r="F269" i="12"/>
  <c r="X156" i="9"/>
  <c r="O117" i="9" l="1"/>
  <c r="P117" i="9" s="1"/>
  <c r="J118" i="9" s="1"/>
  <c r="AE109" i="12"/>
  <c r="AC110" i="12"/>
  <c r="AG109" i="12"/>
  <c r="AH109" i="12" s="1"/>
  <c r="G33" i="11" s="1" a="1"/>
  <c r="Q105" i="12"/>
  <c r="M106" i="12" s="1"/>
  <c r="S105" i="12"/>
  <c r="F33" i="11" a="1"/>
  <c r="X110" i="12"/>
  <c r="B226" i="9"/>
  <c r="E226" i="9" s="1"/>
  <c r="D226" i="9" s="1"/>
  <c r="F226" i="9" s="1"/>
  <c r="H226" i="9" s="1"/>
  <c r="B227" i="9" s="1"/>
  <c r="E227" i="9" s="1"/>
  <c r="D227" i="9" s="1"/>
  <c r="F227" i="9" s="1"/>
  <c r="H227" i="9" s="1"/>
  <c r="B228" i="9" s="1"/>
  <c r="E228" i="9" s="1"/>
  <c r="D228" i="9" s="1"/>
  <c r="F228" i="9" s="1"/>
  <c r="H228" i="9" s="1"/>
  <c r="B229" i="9" s="1"/>
  <c r="E229" i="9" s="1"/>
  <c r="D229" i="9" s="1"/>
  <c r="F229" i="9" s="1"/>
  <c r="H229" i="9" s="1"/>
  <c r="B230" i="9" s="1"/>
  <c r="E230" i="9" s="1"/>
  <c r="D230" i="9" s="1"/>
  <c r="F230" i="9" s="1"/>
  <c r="H230" i="9" s="1"/>
  <c r="B231" i="9" s="1"/>
  <c r="AH149" i="9"/>
  <c r="R157" i="9"/>
  <c r="U157" i="9" s="1"/>
  <c r="T157" i="9" s="1"/>
  <c r="V157" i="9" s="1"/>
  <c r="G271" i="12"/>
  <c r="I271" i="12" s="1"/>
  <c r="K270" i="12"/>
  <c r="L270" i="12" s="1"/>
  <c r="C140" i="12"/>
  <c r="D140" i="12" s="1"/>
  <c r="C271" i="12"/>
  <c r="D271" i="12"/>
  <c r="E271" i="12" s="1"/>
  <c r="B272" i="12"/>
  <c r="H272" i="12"/>
  <c r="J272" i="12" s="1"/>
  <c r="S272" i="12"/>
  <c r="AD272" i="12"/>
  <c r="A273" i="12"/>
  <c r="F270" i="12"/>
  <c r="AE156" i="9"/>
  <c r="AF156" i="9" s="1"/>
  <c r="AK149" i="9" l="1"/>
  <c r="AJ149" i="9" s="1"/>
  <c r="AL149" i="9" s="1"/>
  <c r="AM149" i="9"/>
  <c r="AN149" i="9" s="1"/>
  <c r="M118" i="9"/>
  <c r="L118" i="9" s="1"/>
  <c r="N118" i="9" s="1"/>
  <c r="N106" i="12"/>
  <c r="O106" i="12"/>
  <c r="P106" i="12" s="1"/>
  <c r="T105" i="12"/>
  <c r="U105" i="12"/>
  <c r="Y110" i="12"/>
  <c r="E231" i="9"/>
  <c r="D231" i="9"/>
  <c r="F231" i="9" s="1"/>
  <c r="H231" i="9" s="1"/>
  <c r="Z157" i="9"/>
  <c r="AC157" i="9" s="1"/>
  <c r="AB157" i="9" s="1"/>
  <c r="AD157" i="9" s="1"/>
  <c r="E140" i="12"/>
  <c r="F140" i="12"/>
  <c r="B141" i="12" s="1"/>
  <c r="C272" i="12"/>
  <c r="D272" i="12"/>
  <c r="B273" i="12"/>
  <c r="H273" i="12"/>
  <c r="J273" i="12" s="1"/>
  <c r="S273" i="12"/>
  <c r="AD273" i="12"/>
  <c r="A274" i="12"/>
  <c r="F271" i="12"/>
  <c r="K271" i="12"/>
  <c r="L271" i="12" s="1"/>
  <c r="G272" i="12"/>
  <c r="I272" i="12" s="1"/>
  <c r="W157" i="9"/>
  <c r="X157" i="9" s="1"/>
  <c r="O118" i="9" l="1"/>
  <c r="P118" i="9" s="1"/>
  <c r="J119" i="9" s="1"/>
  <c r="E272" i="12"/>
  <c r="Q106" i="12"/>
  <c r="M107" i="12" s="1"/>
  <c r="N107" i="12"/>
  <c r="O107" i="12"/>
  <c r="R106" i="12"/>
  <c r="V105" i="12"/>
  <c r="W105" i="12" s="1"/>
  <c r="S106" i="12"/>
  <c r="U106" i="12" s="1"/>
  <c r="Z110" i="12"/>
  <c r="B232" i="9"/>
  <c r="AH150" i="9"/>
  <c r="R158" i="9"/>
  <c r="U158" i="9" s="1"/>
  <c r="T158" i="9" s="1"/>
  <c r="V158" i="9" s="1"/>
  <c r="W158" i="9" s="1"/>
  <c r="K272" i="12"/>
  <c r="L272" i="12" s="1"/>
  <c r="G273" i="12"/>
  <c r="I273" i="12" s="1"/>
  <c r="C141" i="12"/>
  <c r="D141" i="12"/>
  <c r="C273" i="12"/>
  <c r="D273" i="12"/>
  <c r="B274" i="12"/>
  <c r="H274" i="12"/>
  <c r="J274" i="12" s="1"/>
  <c r="S274" i="12"/>
  <c r="AD274" i="12"/>
  <c r="A275" i="12"/>
  <c r="F272" i="12"/>
  <c r="AE157" i="9"/>
  <c r="AF157" i="9" s="1"/>
  <c r="M119" i="9" l="1"/>
  <c r="L119" i="9" s="1"/>
  <c r="N119" i="9" s="1"/>
  <c r="O119" i="9" s="1"/>
  <c r="P119" i="9" s="1"/>
  <c r="T106" i="12"/>
  <c r="P107" i="12"/>
  <c r="AA110" i="12"/>
  <c r="E141" i="12"/>
  <c r="F141" i="12"/>
  <c r="B142" i="12" s="1"/>
  <c r="C142" i="12" s="1"/>
  <c r="E232" i="9"/>
  <c r="D232" i="9" s="1"/>
  <c r="F232" i="9" s="1"/>
  <c r="H232" i="9" s="1"/>
  <c r="AK150" i="9"/>
  <c r="AJ150" i="9"/>
  <c r="AL150" i="9" s="1"/>
  <c r="AM150" i="9" s="1"/>
  <c r="AN150" i="9" s="1"/>
  <c r="AH151" i="9" s="1"/>
  <c r="Z158" i="9"/>
  <c r="AC158" i="9" s="1"/>
  <c r="AB158" i="9" s="1"/>
  <c r="AD158" i="9" s="1"/>
  <c r="F273" i="12"/>
  <c r="C274" i="12"/>
  <c r="D274" i="12"/>
  <c r="E274" i="12" s="1"/>
  <c r="B275" i="12"/>
  <c r="H275" i="12"/>
  <c r="J275" i="12" s="1"/>
  <c r="S275" i="12"/>
  <c r="AD275" i="12"/>
  <c r="A276" i="12"/>
  <c r="E273" i="12"/>
  <c r="K273" i="12"/>
  <c r="L273" i="12" s="1"/>
  <c r="G274" i="12"/>
  <c r="I274" i="12" s="1"/>
  <c r="X158" i="9"/>
  <c r="K274" i="12" l="1"/>
  <c r="L274" i="12" s="1"/>
  <c r="G275" i="12"/>
  <c r="I275" i="12" s="1"/>
  <c r="R107" i="12"/>
  <c r="T107" i="12" s="1"/>
  <c r="V106" i="12"/>
  <c r="W106" i="12" s="1"/>
  <c r="S107" i="12"/>
  <c r="U107" i="12" s="1"/>
  <c r="Q107" i="12"/>
  <c r="M108" i="12" s="1"/>
  <c r="AD110" i="12"/>
  <c r="AB110" i="12"/>
  <c r="X111" i="12" s="1"/>
  <c r="B233" i="9"/>
  <c r="E233" i="9" s="1"/>
  <c r="D233" i="9" s="1"/>
  <c r="F233" i="9" s="1"/>
  <c r="H233" i="9" s="1"/>
  <c r="B234" i="9" s="1"/>
  <c r="E234" i="9" s="1"/>
  <c r="D234" i="9" s="1"/>
  <c r="F234" i="9" s="1"/>
  <c r="H234" i="9" s="1"/>
  <c r="AK151" i="9"/>
  <c r="AJ151" i="9" s="1"/>
  <c r="AL151" i="9" s="1"/>
  <c r="AM151" i="9" s="1"/>
  <c r="AN151" i="9" s="1"/>
  <c r="AH152" i="9" s="1"/>
  <c r="R159" i="9"/>
  <c r="J120" i="9"/>
  <c r="D142" i="12"/>
  <c r="C275" i="12"/>
  <c r="D275" i="12"/>
  <c r="E275" i="12" s="1"/>
  <c r="B276" i="12"/>
  <c r="H276" i="12"/>
  <c r="J276" i="12" s="1"/>
  <c r="S276" i="12"/>
  <c r="AD276" i="12"/>
  <c r="A277" i="12"/>
  <c r="F274" i="12"/>
  <c r="AE158" i="9"/>
  <c r="AF158" i="9" s="1"/>
  <c r="AK152" i="9" l="1"/>
  <c r="AJ152" i="9" s="1"/>
  <c r="AL152" i="9" s="1"/>
  <c r="G276" i="12"/>
  <c r="K275" i="12"/>
  <c r="L275" i="12" s="1"/>
  <c r="R108" i="12"/>
  <c r="V107" i="12"/>
  <c r="W107" i="12" s="1"/>
  <c r="N108" i="12"/>
  <c r="AF110" i="12"/>
  <c r="AE110" i="12"/>
  <c r="Y111" i="12"/>
  <c r="Z111" i="12" s="1"/>
  <c r="M120" i="9"/>
  <c r="L120" i="9"/>
  <c r="N120" i="9" s="1"/>
  <c r="O120" i="9" s="1"/>
  <c r="B235" i="9"/>
  <c r="E235" i="9" s="1"/>
  <c r="D235" i="9" s="1"/>
  <c r="F235" i="9" s="1"/>
  <c r="H235" i="9" s="1"/>
  <c r="B236" i="9" s="1"/>
  <c r="E236" i="9" s="1"/>
  <c r="D236" i="9" s="1"/>
  <c r="F236" i="9" s="1"/>
  <c r="H236" i="9" s="1"/>
  <c r="B237" i="9" s="1"/>
  <c r="U159" i="9"/>
  <c r="T159" i="9"/>
  <c r="V159" i="9" s="1"/>
  <c r="W159" i="9" s="1"/>
  <c r="X159" i="9" s="1"/>
  <c r="R160" i="9" s="1"/>
  <c r="U160" i="9" s="1"/>
  <c r="T160" i="9" s="1"/>
  <c r="V160" i="9" s="1"/>
  <c r="Z159" i="9"/>
  <c r="AC159" i="9" s="1"/>
  <c r="AB159" i="9" s="1"/>
  <c r="AD159" i="9" s="1"/>
  <c r="E142" i="12"/>
  <c r="F142" i="12"/>
  <c r="B143" i="12" s="1"/>
  <c r="C276" i="12"/>
  <c r="D276" i="12"/>
  <c r="E276" i="12" s="1"/>
  <c r="B277" i="12"/>
  <c r="H277" i="12"/>
  <c r="J277" i="12" s="1"/>
  <c r="S277" i="12"/>
  <c r="AD277" i="12"/>
  <c r="A278" i="12"/>
  <c r="I276" i="12"/>
  <c r="F275" i="12"/>
  <c r="AM152" i="9" l="1"/>
  <c r="AN152" i="9" s="1"/>
  <c r="AH153" i="9" s="1"/>
  <c r="AG110" i="12"/>
  <c r="AH110" i="12" s="1"/>
  <c r="AC111" i="12"/>
  <c r="O108" i="12"/>
  <c r="P108" i="12" s="1"/>
  <c r="AA111" i="12"/>
  <c r="P120" i="9"/>
  <c r="J121" i="9" s="1"/>
  <c r="E237" i="9"/>
  <c r="D237" i="9" s="1"/>
  <c r="F237" i="9" s="1"/>
  <c r="H237" i="9" s="1"/>
  <c r="C143" i="12"/>
  <c r="D143" i="12" s="1"/>
  <c r="E143" i="12" s="1"/>
  <c r="F276" i="12"/>
  <c r="D277" i="12"/>
  <c r="C277" i="12"/>
  <c r="F277" i="12" s="1"/>
  <c r="B278" i="12"/>
  <c r="H278" i="12"/>
  <c r="J278" i="12" s="1"/>
  <c r="S278" i="12"/>
  <c r="AD278" i="12"/>
  <c r="A279" i="12"/>
  <c r="K276" i="12"/>
  <c r="L276" i="12" s="1"/>
  <c r="G277" i="12"/>
  <c r="I277" i="12" s="1"/>
  <c r="AE159" i="9"/>
  <c r="AF159" i="9" s="1"/>
  <c r="W160" i="9"/>
  <c r="X160" i="9" s="1"/>
  <c r="AK153" i="9" l="1"/>
  <c r="AJ153" i="9" s="1"/>
  <c r="AL153" i="9" s="1"/>
  <c r="Q108" i="12"/>
  <c r="M109" i="12" s="1"/>
  <c r="S108" i="12"/>
  <c r="F143" i="12"/>
  <c r="B144" i="12" s="1"/>
  <c r="C144" i="12" s="1"/>
  <c r="AD111" i="12"/>
  <c r="AB111" i="12"/>
  <c r="X112" i="12" s="1"/>
  <c r="K277" i="12"/>
  <c r="L277" i="12" s="1"/>
  <c r="G278" i="12"/>
  <c r="I278" i="12" s="1"/>
  <c r="B238" i="9"/>
  <c r="E238" i="9" s="1"/>
  <c r="D238" i="9" s="1"/>
  <c r="F238" i="9" s="1"/>
  <c r="H238" i="9" s="1"/>
  <c r="M121" i="9"/>
  <c r="L121" i="9" s="1"/>
  <c r="N121" i="9" s="1"/>
  <c r="O121" i="9" s="1"/>
  <c r="P121" i="9" s="1"/>
  <c r="Z160" i="9"/>
  <c r="AC160" i="9" s="1"/>
  <c r="AB160" i="9" s="1"/>
  <c r="AD160" i="9" s="1"/>
  <c r="R161" i="9"/>
  <c r="U161" i="9" s="1"/>
  <c r="T161" i="9" s="1"/>
  <c r="V161" i="9" s="1"/>
  <c r="D278" i="12"/>
  <c r="C278" i="12"/>
  <c r="F278" i="12" s="1"/>
  <c r="B279" i="12"/>
  <c r="H279" i="12"/>
  <c r="J279" i="12" s="1"/>
  <c r="S279" i="12"/>
  <c r="AD279" i="12"/>
  <c r="A280" i="12"/>
  <c r="E277" i="12"/>
  <c r="AM153" i="9" l="1"/>
  <c r="AN153" i="9" s="1"/>
  <c r="AH154" i="9" s="1"/>
  <c r="N109" i="12"/>
  <c r="O109" i="12"/>
  <c r="P109" i="12"/>
  <c r="Q109" i="12" s="1"/>
  <c r="T108" i="12"/>
  <c r="U108" i="12"/>
  <c r="AE111" i="12"/>
  <c r="AF111" i="12"/>
  <c r="Z112" i="12"/>
  <c r="Y112" i="12"/>
  <c r="B239" i="9"/>
  <c r="E239" i="9" s="1"/>
  <c r="D239" i="9" s="1"/>
  <c r="F239" i="9" s="1"/>
  <c r="H239" i="9" s="1"/>
  <c r="B240" i="9" s="1"/>
  <c r="E240" i="9" s="1"/>
  <c r="D240" i="9" s="1"/>
  <c r="F240" i="9" s="1"/>
  <c r="H240" i="9" s="1"/>
  <c r="B241" i="9" s="1"/>
  <c r="E241" i="9" s="1"/>
  <c r="D241" i="9" s="1"/>
  <c r="F241" i="9" s="1"/>
  <c r="H241" i="9" s="1"/>
  <c r="J122" i="9"/>
  <c r="D144" i="12"/>
  <c r="D279" i="12"/>
  <c r="C279" i="12"/>
  <c r="F279" i="12" s="1"/>
  <c r="B280" i="12"/>
  <c r="H280" i="12"/>
  <c r="J280" i="12" s="1"/>
  <c r="S280" i="12"/>
  <c r="AD280" i="12"/>
  <c r="A281" i="12"/>
  <c r="E278" i="12"/>
  <c r="K278" i="12"/>
  <c r="L278" i="12" s="1"/>
  <c r="G279" i="12"/>
  <c r="I279" i="12" s="1"/>
  <c r="AE160" i="9"/>
  <c r="AF160" i="9" s="1"/>
  <c r="W161" i="9"/>
  <c r="X161" i="9" s="1"/>
  <c r="AK154" i="9" l="1"/>
  <c r="AJ154" i="9" s="1"/>
  <c r="AL154" i="9" s="1"/>
  <c r="M122" i="9"/>
  <c r="L122" i="9" s="1"/>
  <c r="N122" i="9" s="1"/>
  <c r="O122" i="9"/>
  <c r="P122" i="9" s="1"/>
  <c r="D33" i="11" a="1"/>
  <c r="M110" i="12"/>
  <c r="V108" i="12"/>
  <c r="W108" i="12" s="1"/>
  <c r="R109" i="12"/>
  <c r="AC112" i="12"/>
  <c r="AG111" i="12"/>
  <c r="AH111" i="12" s="1"/>
  <c r="AA112" i="12"/>
  <c r="S109" i="12"/>
  <c r="U109" i="12" s="1"/>
  <c r="B242" i="9"/>
  <c r="E242" i="9" s="1"/>
  <c r="D242" i="9" s="1"/>
  <c r="F242" i="9" s="1"/>
  <c r="H242" i="9" s="1"/>
  <c r="Z161" i="9"/>
  <c r="AC161" i="9" s="1"/>
  <c r="AB161" i="9" s="1"/>
  <c r="AD161" i="9" s="1"/>
  <c r="R162" i="9"/>
  <c r="U162" i="9" s="1"/>
  <c r="T162" i="9" s="1"/>
  <c r="V162" i="9" s="1"/>
  <c r="E144" i="12"/>
  <c r="F144" i="12"/>
  <c r="B145" i="12" s="1"/>
  <c r="D280" i="12"/>
  <c r="C280" i="12"/>
  <c r="B281" i="12"/>
  <c r="H281" i="12"/>
  <c r="J281" i="12" s="1"/>
  <c r="S281" i="12"/>
  <c r="AD281" i="12"/>
  <c r="A282" i="12"/>
  <c r="E279" i="12"/>
  <c r="K279" i="12"/>
  <c r="L279" i="12" s="1"/>
  <c r="G280" i="12"/>
  <c r="I280" i="12" s="1"/>
  <c r="AM154" i="9" l="1"/>
  <c r="AN154" i="9" s="1"/>
  <c r="AH155" i="9" s="1"/>
  <c r="N110" i="12"/>
  <c r="F280" i="12"/>
  <c r="T109" i="12"/>
  <c r="AB112" i="12"/>
  <c r="X113" i="12" s="1"/>
  <c r="AD112" i="12"/>
  <c r="B243" i="9"/>
  <c r="C145" i="12"/>
  <c r="D145" i="12"/>
  <c r="E145" i="12" s="1"/>
  <c r="D281" i="12"/>
  <c r="C281" i="12"/>
  <c r="F281" i="12" s="1"/>
  <c r="B282" i="12"/>
  <c r="H282" i="12"/>
  <c r="J282" i="12" s="1"/>
  <c r="S282" i="12"/>
  <c r="AD282" i="12"/>
  <c r="A283" i="12"/>
  <c r="E280" i="12"/>
  <c r="K280" i="12"/>
  <c r="L280" i="12" s="1"/>
  <c r="G281" i="12"/>
  <c r="I281" i="12" s="1"/>
  <c r="G282" i="12" s="1"/>
  <c r="I282" i="12" s="1"/>
  <c r="K281" i="12"/>
  <c r="L281" i="12" s="1"/>
  <c r="AE161" i="9"/>
  <c r="AF161" i="9" s="1"/>
  <c r="W162" i="9"/>
  <c r="X162" i="9" s="1"/>
  <c r="J123" i="9"/>
  <c r="AK155" i="9" l="1"/>
  <c r="AJ155" i="9" s="1"/>
  <c r="AL155" i="9" s="1"/>
  <c r="V109" i="12"/>
  <c r="W109" i="12" s="1"/>
  <c r="E33" i="11" s="1" a="1"/>
  <c r="H33" i="11" s="1"/>
  <c r="R110" i="12"/>
  <c r="Y113" i="12"/>
  <c r="AE112" i="12"/>
  <c r="AF112" i="12"/>
  <c r="F145" i="12"/>
  <c r="O110" i="12"/>
  <c r="E243" i="9"/>
  <c r="D243" i="9"/>
  <c r="F243" i="9" s="1"/>
  <c r="H243" i="9" s="1"/>
  <c r="Z162" i="9"/>
  <c r="R163" i="9"/>
  <c r="C282" i="12"/>
  <c r="D282" i="12"/>
  <c r="E282" i="12" s="1"/>
  <c r="B283" i="12"/>
  <c r="H283" i="12"/>
  <c r="J283" i="12" s="1"/>
  <c r="S283" i="12"/>
  <c r="AD283" i="12"/>
  <c r="A284" i="12"/>
  <c r="E281" i="12"/>
  <c r="K282" i="12"/>
  <c r="L282" i="12" s="1"/>
  <c r="G283" i="12"/>
  <c r="AC162" i="9"/>
  <c r="AB162" i="9" s="1"/>
  <c r="AD162" i="9" s="1"/>
  <c r="U163" i="9"/>
  <c r="T163" i="9" s="1"/>
  <c r="V163" i="9" s="1"/>
  <c r="M123" i="9"/>
  <c r="L123" i="9" s="1"/>
  <c r="N123" i="9" s="1"/>
  <c r="O123" i="9" s="1"/>
  <c r="AM155" i="9" l="1"/>
  <c r="AN155" i="9" s="1"/>
  <c r="AH156" i="9" s="1"/>
  <c r="AG112" i="12"/>
  <c r="AH112" i="12" s="1"/>
  <c r="AC113" i="12"/>
  <c r="I283" i="12"/>
  <c r="Z113" i="12"/>
  <c r="B146" i="12"/>
  <c r="B36" i="11" a="1"/>
  <c r="P110" i="12"/>
  <c r="B244" i="9"/>
  <c r="C146" i="12"/>
  <c r="C283" i="12"/>
  <c r="D283" i="12"/>
  <c r="E283" i="12" s="1"/>
  <c r="B284" i="12"/>
  <c r="H284" i="12"/>
  <c r="J284" i="12" s="1"/>
  <c r="S284" i="12"/>
  <c r="AD284" i="12"/>
  <c r="A285" i="12"/>
  <c r="F282" i="12"/>
  <c r="AE162" i="9"/>
  <c r="AF162" i="9" s="1"/>
  <c r="W163" i="9"/>
  <c r="X163" i="9" s="1"/>
  <c r="P123" i="9"/>
  <c r="AK156" i="9" l="1"/>
  <c r="AJ156" i="9" s="1"/>
  <c r="AL156" i="9" s="1"/>
  <c r="K283" i="12"/>
  <c r="L283" i="12" s="1"/>
  <c r="G284" i="12"/>
  <c r="I284" i="12" s="1"/>
  <c r="AA113" i="12"/>
  <c r="S110" i="12"/>
  <c r="Q110" i="12"/>
  <c r="M111" i="12" s="1"/>
  <c r="E244" i="9"/>
  <c r="D244" i="9" s="1"/>
  <c r="F244" i="9" s="1"/>
  <c r="H244" i="9" s="1"/>
  <c r="Z163" i="9"/>
  <c r="AC163" i="9" s="1"/>
  <c r="AB163" i="9" s="1"/>
  <c r="AD163" i="9" s="1"/>
  <c r="R164" i="9"/>
  <c r="U164" i="9" s="1"/>
  <c r="T164" i="9" s="1"/>
  <c r="V164" i="9" s="1"/>
  <c r="D146" i="12"/>
  <c r="C284" i="12"/>
  <c r="D284" i="12"/>
  <c r="B285" i="12"/>
  <c r="H285" i="12"/>
  <c r="J285" i="12" s="1"/>
  <c r="S285" i="12"/>
  <c r="AD285" i="12"/>
  <c r="A286" i="12"/>
  <c r="F283" i="12"/>
  <c r="J124" i="9"/>
  <c r="AM156" i="9" l="1"/>
  <c r="AN156" i="9" s="1"/>
  <c r="AH157" i="9" s="1"/>
  <c r="E284" i="12"/>
  <c r="U110" i="12"/>
  <c r="T110" i="12"/>
  <c r="N111" i="12"/>
  <c r="K284" i="12"/>
  <c r="L284" i="12" s="1"/>
  <c r="G285" i="12"/>
  <c r="I285" i="12" s="1"/>
  <c r="AD113" i="12"/>
  <c r="AB113" i="12"/>
  <c r="X114" i="12" s="1"/>
  <c r="E146" i="12"/>
  <c r="F146" i="12"/>
  <c r="B147" i="12" s="1"/>
  <c r="C147" i="12" s="1"/>
  <c r="D147" i="12" s="1"/>
  <c r="B245" i="9"/>
  <c r="D285" i="12"/>
  <c r="C285" i="12"/>
  <c r="F285" i="12" s="1"/>
  <c r="B286" i="12"/>
  <c r="H286" i="12"/>
  <c r="J286" i="12" s="1"/>
  <c r="S286" i="12"/>
  <c r="AD286" i="12"/>
  <c r="A287" i="12"/>
  <c r="F284" i="12"/>
  <c r="AE163" i="9"/>
  <c r="AF163" i="9" s="1"/>
  <c r="W164" i="9"/>
  <c r="X164" i="9" s="1"/>
  <c r="M124" i="9"/>
  <c r="L124" i="9" s="1"/>
  <c r="N124" i="9" s="1"/>
  <c r="O124" i="9" s="1"/>
  <c r="AK157" i="9" l="1"/>
  <c r="AJ157" i="9" s="1"/>
  <c r="AL157" i="9" s="1"/>
  <c r="AM157" i="9" s="1"/>
  <c r="AN157" i="9" s="1"/>
  <c r="AH158" i="9" s="1"/>
  <c r="V110" i="12"/>
  <c r="W110" i="12" s="1"/>
  <c r="R111" i="12"/>
  <c r="AF113" i="12"/>
  <c r="AE113" i="12"/>
  <c r="Y114" i="12"/>
  <c r="Z114" i="12"/>
  <c r="O111" i="12"/>
  <c r="G286" i="12"/>
  <c r="I286" i="12" s="1"/>
  <c r="K285" i="12"/>
  <c r="L285" i="12" s="1"/>
  <c r="D245" i="9"/>
  <c r="E245" i="9"/>
  <c r="Z164" i="9"/>
  <c r="R165" i="9"/>
  <c r="F147" i="12"/>
  <c r="B148" i="12" s="1"/>
  <c r="E147" i="12"/>
  <c r="C286" i="12"/>
  <c r="D286" i="12"/>
  <c r="E286" i="12" s="1"/>
  <c r="B287" i="12"/>
  <c r="H287" i="12"/>
  <c r="J287" i="12" s="1"/>
  <c r="S287" i="12"/>
  <c r="AD287" i="12"/>
  <c r="A288" i="12"/>
  <c r="E285" i="12"/>
  <c r="P124" i="9"/>
  <c r="AK158" i="9" l="1"/>
  <c r="AJ158" i="9" s="1"/>
  <c r="AL158" i="9" s="1"/>
  <c r="AC114" i="12"/>
  <c r="AG113" i="12"/>
  <c r="AH113" i="12" s="1"/>
  <c r="P111" i="12"/>
  <c r="AA114" i="12"/>
  <c r="G287" i="12"/>
  <c r="I287" i="12" s="1"/>
  <c r="K286" i="12"/>
  <c r="L286" i="12" s="1"/>
  <c r="F245" i="9"/>
  <c r="H245" i="9" s="1"/>
  <c r="B246" i="9" s="1"/>
  <c r="U165" i="9"/>
  <c r="T165" i="9" s="1"/>
  <c r="V165" i="9" s="1"/>
  <c r="W165" i="9" s="1"/>
  <c r="X165" i="9" s="1"/>
  <c r="R166" i="9" s="1"/>
  <c r="U166" i="9" s="1"/>
  <c r="T166" i="9" s="1"/>
  <c r="V166" i="9" s="1"/>
  <c r="W166" i="9" s="1"/>
  <c r="AC164" i="9"/>
  <c r="AB164" i="9" s="1"/>
  <c r="AD164" i="9" s="1"/>
  <c r="C148" i="12"/>
  <c r="D148" i="12" s="1"/>
  <c r="D287" i="12"/>
  <c r="C287" i="12"/>
  <c r="F287" i="12" s="1"/>
  <c r="B288" i="12"/>
  <c r="H288" i="12"/>
  <c r="J288" i="12" s="1"/>
  <c r="S288" i="12"/>
  <c r="AD288" i="12"/>
  <c r="A289" i="12"/>
  <c r="F286" i="12"/>
  <c r="J125" i="9"/>
  <c r="AM158" i="9" l="1"/>
  <c r="AN158" i="9" s="1"/>
  <c r="AH159" i="9" s="1"/>
  <c r="Q111" i="12"/>
  <c r="M112" i="12" s="1"/>
  <c r="S111" i="12"/>
  <c r="AD114" i="12"/>
  <c r="AB114" i="12"/>
  <c r="X115" i="12" s="1"/>
  <c r="E246" i="9"/>
  <c r="D246" i="9"/>
  <c r="F246" i="9" s="1"/>
  <c r="H246" i="9" s="1"/>
  <c r="AE164" i="9"/>
  <c r="AF164" i="9" s="1"/>
  <c r="Z165" i="9" s="1"/>
  <c r="F148" i="12"/>
  <c r="B149" i="12" s="1"/>
  <c r="E148" i="12"/>
  <c r="C288" i="12"/>
  <c r="D288" i="12"/>
  <c r="E288" i="12" s="1"/>
  <c r="B289" i="12"/>
  <c r="H289" i="12"/>
  <c r="J289" i="12" s="1"/>
  <c r="S289" i="12"/>
  <c r="AD289" i="12"/>
  <c r="A290" i="12"/>
  <c r="E287" i="12"/>
  <c r="K287" i="12"/>
  <c r="L287" i="12" s="1"/>
  <c r="G288" i="12"/>
  <c r="I288" i="12" s="1"/>
  <c r="K288" i="12" s="1"/>
  <c r="L288" i="12" s="1"/>
  <c r="G289" i="12"/>
  <c r="X166" i="9"/>
  <c r="M125" i="9"/>
  <c r="L125" i="9" s="1"/>
  <c r="N125" i="9" s="1"/>
  <c r="O125" i="9" s="1"/>
  <c r="AK159" i="9" l="1"/>
  <c r="AJ159" i="9" s="1"/>
  <c r="AL159" i="9" s="1"/>
  <c r="N112" i="12"/>
  <c r="U111" i="12"/>
  <c r="T111" i="12"/>
  <c r="AE114" i="12"/>
  <c r="AF114" i="12"/>
  <c r="Y115" i="12"/>
  <c r="B247" i="9"/>
  <c r="AC165" i="9"/>
  <c r="AB165" i="9"/>
  <c r="AD165" i="9" s="1"/>
  <c r="AE165" i="9" s="1"/>
  <c r="AF165" i="9" s="1"/>
  <c r="R167" i="9"/>
  <c r="C149" i="12"/>
  <c r="F288" i="12"/>
  <c r="C289" i="12"/>
  <c r="D289" i="12"/>
  <c r="E289" i="12" s="1"/>
  <c r="B290" i="12"/>
  <c r="H290" i="12"/>
  <c r="J290" i="12" s="1"/>
  <c r="S290" i="12"/>
  <c r="AD290" i="12"/>
  <c r="A291" i="12"/>
  <c r="I289" i="12"/>
  <c r="K289" i="12"/>
  <c r="L289" i="12" s="1"/>
  <c r="G290" i="12"/>
  <c r="P125" i="9"/>
  <c r="AM159" i="9" l="1"/>
  <c r="AN159" i="9" s="1"/>
  <c r="AH160" i="9" s="1"/>
  <c r="V111" i="12"/>
  <c r="W111" i="12" s="1"/>
  <c r="R112" i="12"/>
  <c r="AC115" i="12"/>
  <c r="AG114" i="12"/>
  <c r="AH114" i="12" s="1"/>
  <c r="O112" i="12"/>
  <c r="Z115" i="12"/>
  <c r="AA115" i="12"/>
  <c r="U167" i="9"/>
  <c r="T167" i="9"/>
  <c r="V167" i="9" s="1"/>
  <c r="W167" i="9" s="1"/>
  <c r="X167" i="9" s="1"/>
  <c r="R168" i="9" s="1"/>
  <c r="U168" i="9" s="1"/>
  <c r="T168" i="9" s="1"/>
  <c r="V168" i="9" s="1"/>
  <c r="E247" i="9"/>
  <c r="D247" i="9"/>
  <c r="Z166" i="9"/>
  <c r="AC166" i="9" s="1"/>
  <c r="AB166" i="9" s="1"/>
  <c r="AD166" i="9" s="1"/>
  <c r="F289" i="12"/>
  <c r="D149" i="12"/>
  <c r="E149" i="12" s="1"/>
  <c r="F149" i="12"/>
  <c r="B150" i="12" s="1"/>
  <c r="C290" i="12"/>
  <c r="D290" i="12"/>
  <c r="E290" i="12" s="1"/>
  <c r="B291" i="12"/>
  <c r="H291" i="12"/>
  <c r="J291" i="12" s="1"/>
  <c r="S291" i="12"/>
  <c r="AD291" i="12"/>
  <c r="A292" i="12"/>
  <c r="I290" i="12"/>
  <c r="J126" i="9"/>
  <c r="AK160" i="9" l="1"/>
  <c r="AJ160" i="9" s="1"/>
  <c r="AL160" i="9" s="1"/>
  <c r="P112" i="12"/>
  <c r="AD115" i="12"/>
  <c r="AB115" i="12"/>
  <c r="X116" i="12" s="1"/>
  <c r="F247" i="9"/>
  <c r="H247" i="9" s="1"/>
  <c r="C150" i="12"/>
  <c r="D150" i="12" s="1"/>
  <c r="C291" i="12"/>
  <c r="D291" i="12"/>
  <c r="E291" i="12" s="1"/>
  <c r="B292" i="12"/>
  <c r="H292" i="12"/>
  <c r="J292" i="12" s="1"/>
  <c r="S292" i="12"/>
  <c r="AD292" i="12"/>
  <c r="A293" i="12"/>
  <c r="F290" i="12"/>
  <c r="K290" i="12"/>
  <c r="L290" i="12" s="1"/>
  <c r="G291" i="12"/>
  <c r="I291" i="12" s="1"/>
  <c r="AE166" i="9"/>
  <c r="AF166" i="9" s="1"/>
  <c r="W168" i="9"/>
  <c r="X168" i="9" s="1"/>
  <c r="M126" i="9"/>
  <c r="L126" i="9" s="1"/>
  <c r="N126" i="9" s="1"/>
  <c r="O126" i="9" s="1"/>
  <c r="AM160" i="9" l="1"/>
  <c r="AN160" i="9" s="1"/>
  <c r="AH161" i="9" s="1"/>
  <c r="AE115" i="12"/>
  <c r="AF115" i="12"/>
  <c r="Y116" i="12"/>
  <c r="S112" i="12"/>
  <c r="Q112" i="12"/>
  <c r="M113" i="12" s="1"/>
  <c r="K291" i="12"/>
  <c r="L291" i="12" s="1"/>
  <c r="G292" i="12"/>
  <c r="I292" i="12" s="1"/>
  <c r="B248" i="9"/>
  <c r="Z167" i="9"/>
  <c r="AC167" i="9" s="1"/>
  <c r="AB167" i="9" s="1"/>
  <c r="AD167" i="9" s="1"/>
  <c r="R169" i="9"/>
  <c r="U169" i="9" s="1"/>
  <c r="T169" i="9" s="1"/>
  <c r="V169" i="9" s="1"/>
  <c r="E150" i="12"/>
  <c r="F150" i="12"/>
  <c r="B151" i="12" s="1"/>
  <c r="C292" i="12"/>
  <c r="D292" i="12"/>
  <c r="B293" i="12"/>
  <c r="H293" i="12"/>
  <c r="J293" i="12" s="1"/>
  <c r="S293" i="12"/>
  <c r="AD293" i="12"/>
  <c r="A294" i="12"/>
  <c r="F291" i="12"/>
  <c r="P126" i="9"/>
  <c r="G293" i="12" l="1"/>
  <c r="I293" i="12" s="1"/>
  <c r="K292" i="12"/>
  <c r="L292" i="12" s="1"/>
  <c r="AC116" i="12"/>
  <c r="AG115" i="12"/>
  <c r="AH115" i="12" s="1"/>
  <c r="U112" i="12"/>
  <c r="T112" i="12"/>
  <c r="N113" i="12"/>
  <c r="O113" i="12"/>
  <c r="Z116" i="12"/>
  <c r="D248" i="9"/>
  <c r="E248" i="9"/>
  <c r="AK161" i="9"/>
  <c r="AJ161" i="9"/>
  <c r="AL161" i="9" s="1"/>
  <c r="AM161" i="9" s="1"/>
  <c r="AN161" i="9" s="1"/>
  <c r="AH162" i="9" s="1"/>
  <c r="J127" i="9"/>
  <c r="C151" i="12"/>
  <c r="D151" i="12"/>
  <c r="E151" i="12" s="1"/>
  <c r="E292" i="12"/>
  <c r="C293" i="12"/>
  <c r="D293" i="12"/>
  <c r="E293" i="12" s="1"/>
  <c r="B294" i="12"/>
  <c r="H294" i="12"/>
  <c r="J294" i="12" s="1"/>
  <c r="S294" i="12"/>
  <c r="AD294" i="12"/>
  <c r="A295" i="12"/>
  <c r="F292" i="12"/>
  <c r="K293" i="12"/>
  <c r="L293" i="12" s="1"/>
  <c r="G294" i="12"/>
  <c r="I294" i="12" s="1"/>
  <c r="AE167" i="9"/>
  <c r="AF167" i="9" s="1"/>
  <c r="W169" i="9"/>
  <c r="X169" i="9" s="1"/>
  <c r="AK162" i="9" l="1"/>
  <c r="AJ162" i="9" s="1"/>
  <c r="AL162" i="9" s="1"/>
  <c r="F248" i="9"/>
  <c r="H248" i="9" s="1"/>
  <c r="B249" i="9" s="1"/>
  <c r="P113" i="12"/>
  <c r="V112" i="12"/>
  <c r="W112" i="12" s="1"/>
  <c r="R113" i="12"/>
  <c r="F151" i="12"/>
  <c r="B152" i="12" s="1"/>
  <c r="AA116" i="12"/>
  <c r="M127" i="9"/>
  <c r="L127" i="9"/>
  <c r="N127" i="9" s="1"/>
  <c r="O127" i="9" s="1"/>
  <c r="Z168" i="9"/>
  <c r="AC168" i="9" s="1"/>
  <c r="AB168" i="9" s="1"/>
  <c r="AD168" i="9" s="1"/>
  <c r="R170" i="9"/>
  <c r="U170" i="9" s="1"/>
  <c r="T170" i="9" s="1"/>
  <c r="V170" i="9" s="1"/>
  <c r="C294" i="12"/>
  <c r="D294" i="12"/>
  <c r="E294" i="12" s="1"/>
  <c r="B295" i="12"/>
  <c r="H295" i="12"/>
  <c r="J295" i="12" s="1"/>
  <c r="S295" i="12"/>
  <c r="AD295" i="12"/>
  <c r="A296" i="12"/>
  <c r="F293" i="12"/>
  <c r="K294" i="12"/>
  <c r="L294" i="12" s="1"/>
  <c r="G295" i="12"/>
  <c r="AM162" i="9" l="1"/>
  <c r="AN162" i="9" s="1"/>
  <c r="AH163" i="9" s="1"/>
  <c r="S113" i="12"/>
  <c r="Q113" i="12"/>
  <c r="M114" i="12" s="1"/>
  <c r="C152" i="12"/>
  <c r="F152" i="12" s="1"/>
  <c r="B153" i="12" s="1"/>
  <c r="C153" i="12" s="1"/>
  <c r="D152" i="12"/>
  <c r="E152" i="12" s="1"/>
  <c r="AD116" i="12"/>
  <c r="AB116" i="12"/>
  <c r="X117" i="12" s="1"/>
  <c r="E249" i="9"/>
  <c r="D249" i="9" s="1"/>
  <c r="F249" i="9" s="1"/>
  <c r="H249" i="9" s="1"/>
  <c r="P127" i="9"/>
  <c r="J128" i="9" s="1"/>
  <c r="C295" i="12"/>
  <c r="D295" i="12"/>
  <c r="B296" i="12"/>
  <c r="H296" i="12"/>
  <c r="J296" i="12" s="1"/>
  <c r="S296" i="12"/>
  <c r="AD296" i="12"/>
  <c r="A297" i="12"/>
  <c r="F294" i="12"/>
  <c r="I295" i="12"/>
  <c r="AE168" i="9"/>
  <c r="AF168" i="9" s="1"/>
  <c r="W170" i="9"/>
  <c r="X170" i="9" s="1"/>
  <c r="AK163" i="9" l="1"/>
  <c r="AJ163" i="9" s="1"/>
  <c r="AL163" i="9" s="1"/>
  <c r="E295" i="12"/>
  <c r="U113" i="12"/>
  <c r="T113" i="12"/>
  <c r="N114" i="12"/>
  <c r="O114" i="12"/>
  <c r="P114" i="12"/>
  <c r="V113" i="12"/>
  <c r="W113" i="12" s="1"/>
  <c r="R114" i="12"/>
  <c r="AF116" i="12"/>
  <c r="AE116" i="12"/>
  <c r="Y117" i="12"/>
  <c r="Z117" i="12"/>
  <c r="AA117" i="12" s="1"/>
  <c r="B250" i="9"/>
  <c r="M128" i="9"/>
  <c r="L128" i="9" s="1"/>
  <c r="N128" i="9" s="1"/>
  <c r="O128" i="9" s="1"/>
  <c r="Z169" i="9"/>
  <c r="AC169" i="9" s="1"/>
  <c r="AB169" i="9" s="1"/>
  <c r="AD169" i="9" s="1"/>
  <c r="R171" i="9"/>
  <c r="K295" i="12"/>
  <c r="L295" i="12" s="1"/>
  <c r="G296" i="12"/>
  <c r="I296" i="12" s="1"/>
  <c r="D153" i="12"/>
  <c r="C296" i="12"/>
  <c r="D296" i="12"/>
  <c r="E296" i="12" s="1"/>
  <c r="B297" i="12"/>
  <c r="H297" i="12"/>
  <c r="J297" i="12" s="1"/>
  <c r="S297" i="12"/>
  <c r="AD297" i="12"/>
  <c r="A298" i="12"/>
  <c r="F295" i="12"/>
  <c r="AM163" i="9" l="1"/>
  <c r="AN163" i="9" s="1"/>
  <c r="AH164" i="9" s="1"/>
  <c r="AG116" i="12"/>
  <c r="AH116" i="12" s="1"/>
  <c r="AC117" i="12"/>
  <c r="Q114" i="12"/>
  <c r="M115" i="12" s="1"/>
  <c r="S114" i="12"/>
  <c r="AB117" i="12"/>
  <c r="X118" i="12" s="1"/>
  <c r="AD117" i="12"/>
  <c r="AF117" i="12" s="1"/>
  <c r="P128" i="9"/>
  <c r="J129" i="9" s="1"/>
  <c r="E250" i="9"/>
  <c r="D250" i="9"/>
  <c r="U171" i="9"/>
  <c r="T171" i="9"/>
  <c r="V171" i="9" s="1"/>
  <c r="E153" i="12"/>
  <c r="F153" i="12"/>
  <c r="B154" i="12" s="1"/>
  <c r="C297" i="12"/>
  <c r="D297" i="12"/>
  <c r="E297" i="12" s="1"/>
  <c r="B298" i="12"/>
  <c r="H298" i="12"/>
  <c r="J298" i="12" s="1"/>
  <c r="S298" i="12"/>
  <c r="AD298" i="12"/>
  <c r="A299" i="12"/>
  <c r="F296" i="12"/>
  <c r="K296" i="12"/>
  <c r="L296" i="12" s="1"/>
  <c r="G297" i="12"/>
  <c r="I297" i="12" s="1"/>
  <c r="G298" i="12" s="1"/>
  <c r="I298" i="12" s="1"/>
  <c r="K297" i="12"/>
  <c r="L297" i="12" s="1"/>
  <c r="AE169" i="9"/>
  <c r="AF169" i="9" s="1"/>
  <c r="AK164" i="9" l="1"/>
  <c r="AJ164" i="9" s="1"/>
  <c r="AL164" i="9" s="1"/>
  <c r="AM164" i="9" s="1"/>
  <c r="AN164" i="9" s="1"/>
  <c r="AH165" i="9" s="1"/>
  <c r="M129" i="9"/>
  <c r="L129" i="9" s="1"/>
  <c r="N129" i="9" s="1"/>
  <c r="O129" i="9"/>
  <c r="P129" i="9" s="1"/>
  <c r="J130" i="9" s="1"/>
  <c r="N115" i="12"/>
  <c r="O115" i="12"/>
  <c r="T114" i="12"/>
  <c r="U114" i="12"/>
  <c r="Y118" i="12"/>
  <c r="Z118" i="12" s="1"/>
  <c r="AA118" i="12" s="1"/>
  <c r="AB118" i="12" s="1"/>
  <c r="X119" i="12" s="1"/>
  <c r="AE117" i="12"/>
  <c r="F250" i="9"/>
  <c r="H250" i="9" s="1"/>
  <c r="W171" i="9"/>
  <c r="X171" i="9" s="1"/>
  <c r="R172" i="9" s="1"/>
  <c r="U172" i="9" s="1"/>
  <c r="T172" i="9" s="1"/>
  <c r="V172" i="9" s="1"/>
  <c r="Z170" i="9"/>
  <c r="AC170" i="9" s="1"/>
  <c r="AB170" i="9" s="1"/>
  <c r="AD170" i="9" s="1"/>
  <c r="AE170" i="9" s="1"/>
  <c r="C154" i="12"/>
  <c r="C298" i="12"/>
  <c r="D298" i="12"/>
  <c r="E298" i="12" s="1"/>
  <c r="B299" i="12"/>
  <c r="H299" i="12"/>
  <c r="J299" i="12" s="1"/>
  <c r="S299" i="12"/>
  <c r="AD299" i="12"/>
  <c r="A300" i="12"/>
  <c r="F297" i="12"/>
  <c r="K298" i="12"/>
  <c r="L298" i="12" s="1"/>
  <c r="G299" i="12"/>
  <c r="AK165" i="9" l="1"/>
  <c r="AJ165" i="9" s="1"/>
  <c r="AL165" i="9" s="1"/>
  <c r="M130" i="9"/>
  <c r="L130" i="9" s="1"/>
  <c r="N130" i="9" s="1"/>
  <c r="O130" i="9" s="1"/>
  <c r="P130" i="9" s="1"/>
  <c r="J131" i="9" s="1"/>
  <c r="I299" i="12"/>
  <c r="P115" i="12"/>
  <c r="Q115" i="12"/>
  <c r="M116" i="12" s="1"/>
  <c r="N116" i="12"/>
  <c r="O116" i="12" s="1"/>
  <c r="P116" i="12"/>
  <c r="Q116" i="12"/>
  <c r="M117" i="12" s="1"/>
  <c r="V114" i="12"/>
  <c r="W114" i="12" s="1"/>
  <c r="R115" i="12"/>
  <c r="T115" i="12" s="1"/>
  <c r="Y119" i="12"/>
  <c r="Z119" i="12"/>
  <c r="AC118" i="12"/>
  <c r="AE118" i="12" s="1"/>
  <c r="AG117" i="12"/>
  <c r="AH117" i="12" s="1"/>
  <c r="S115" i="12"/>
  <c r="U115" i="12" s="1"/>
  <c r="AD118" i="12"/>
  <c r="AF118" i="12" s="1"/>
  <c r="B251" i="9"/>
  <c r="D154" i="12"/>
  <c r="C299" i="12"/>
  <c r="D299" i="12"/>
  <c r="E299" i="12" s="1"/>
  <c r="B300" i="12"/>
  <c r="H300" i="12"/>
  <c r="J300" i="12" s="1"/>
  <c r="S300" i="12"/>
  <c r="AD300" i="12"/>
  <c r="A301" i="12"/>
  <c r="F298" i="12"/>
  <c r="K299" i="12"/>
  <c r="L299" i="12" s="1"/>
  <c r="G300" i="12"/>
  <c r="AF170" i="9"/>
  <c r="W172" i="9"/>
  <c r="X172" i="9" s="1"/>
  <c r="AM165" i="9" l="1"/>
  <c r="AN165" i="9" s="1"/>
  <c r="AH166" i="9" s="1"/>
  <c r="M131" i="9"/>
  <c r="L131" i="9" s="1"/>
  <c r="N131" i="9" s="1"/>
  <c r="AA119" i="12"/>
  <c r="AD119" i="12" s="1"/>
  <c r="AF119" i="12" s="1"/>
  <c r="N117" i="12"/>
  <c r="O117" i="12" s="1"/>
  <c r="R116" i="12"/>
  <c r="V115" i="12"/>
  <c r="W115" i="12" s="1"/>
  <c r="AG118" i="12"/>
  <c r="AH118" i="12" s="1"/>
  <c r="AC119" i="12"/>
  <c r="S116" i="12"/>
  <c r="U116" i="12" s="1"/>
  <c r="AB119" i="12"/>
  <c r="X120" i="12" s="1"/>
  <c r="D251" i="9"/>
  <c r="E251" i="9"/>
  <c r="Z171" i="9"/>
  <c r="AC171" i="9" s="1"/>
  <c r="AB171" i="9" s="1"/>
  <c r="AD171" i="9" s="1"/>
  <c r="R173" i="9"/>
  <c r="U173" i="9" s="1"/>
  <c r="T173" i="9" s="1"/>
  <c r="V173" i="9" s="1"/>
  <c r="E154" i="12"/>
  <c r="F154" i="12"/>
  <c r="B155" i="12" s="1"/>
  <c r="C300" i="12"/>
  <c r="D300" i="12"/>
  <c r="E300" i="12" s="1"/>
  <c r="B301" i="12"/>
  <c r="H301" i="12"/>
  <c r="J301" i="12" s="1"/>
  <c r="S301" i="12"/>
  <c r="AD301" i="12"/>
  <c r="A302" i="12"/>
  <c r="I300" i="12"/>
  <c r="F299" i="12"/>
  <c r="AK166" i="9" l="1"/>
  <c r="AJ166" i="9" s="1"/>
  <c r="AL166" i="9" s="1"/>
  <c r="O131" i="9"/>
  <c r="P131" i="9" s="1"/>
  <c r="J132" i="9" s="1"/>
  <c r="T116" i="12"/>
  <c r="R117" i="12" s="1"/>
  <c r="T117" i="12" s="1"/>
  <c r="V116" i="12"/>
  <c r="W116" i="12" s="1"/>
  <c r="Y120" i="12"/>
  <c r="AE119" i="12"/>
  <c r="P117" i="12"/>
  <c r="F251" i="9"/>
  <c r="H251" i="9" s="1"/>
  <c r="B252" i="9" s="1"/>
  <c r="G301" i="12"/>
  <c r="I301" i="12" s="1"/>
  <c r="K300" i="12"/>
  <c r="L300" i="12" s="1"/>
  <c r="C155" i="12"/>
  <c r="D155" i="12" s="1"/>
  <c r="F300" i="12"/>
  <c r="D301" i="12"/>
  <c r="C301" i="12"/>
  <c r="F301" i="12" s="1"/>
  <c r="B302" i="12"/>
  <c r="H302" i="12"/>
  <c r="J302" i="12" s="1"/>
  <c r="S302" i="12"/>
  <c r="AD302" i="12"/>
  <c r="A303" i="12"/>
  <c r="AE171" i="9"/>
  <c r="AF171" i="9" s="1"/>
  <c r="W173" i="9"/>
  <c r="X173" i="9" s="1"/>
  <c r="AM166" i="9" l="1"/>
  <c r="AN166" i="9" s="1"/>
  <c r="AH167" i="9" s="1"/>
  <c r="M132" i="9"/>
  <c r="L132" i="9" s="1"/>
  <c r="N132" i="9" s="1"/>
  <c r="S117" i="12"/>
  <c r="U117" i="12" s="1"/>
  <c r="Q117" i="12"/>
  <c r="M118" i="12" s="1"/>
  <c r="N118" i="12" s="1"/>
  <c r="V117" i="12"/>
  <c r="W117" i="12" s="1"/>
  <c r="R118" i="12"/>
  <c r="AG119" i="12"/>
  <c r="AH119" i="12" s="1"/>
  <c r="AC120" i="12"/>
  <c r="Z120" i="12"/>
  <c r="D252" i="9"/>
  <c r="E252" i="9"/>
  <c r="Z172" i="9"/>
  <c r="AC172" i="9" s="1"/>
  <c r="AB172" i="9" s="1"/>
  <c r="AD172" i="9" s="1"/>
  <c r="R174" i="9"/>
  <c r="U174" i="9" s="1"/>
  <c r="T174" i="9" s="1"/>
  <c r="V174" i="9" s="1"/>
  <c r="W174" i="9" s="1"/>
  <c r="G302" i="12"/>
  <c r="I302" i="12" s="1"/>
  <c r="K301" i="12"/>
  <c r="L301" i="12" s="1"/>
  <c r="F155" i="12"/>
  <c r="B156" i="12" s="1"/>
  <c r="E155" i="12"/>
  <c r="D302" i="12"/>
  <c r="C302" i="12"/>
  <c r="F302" i="12" s="1"/>
  <c r="B303" i="12"/>
  <c r="H303" i="12"/>
  <c r="J303" i="12" s="1"/>
  <c r="S303" i="12"/>
  <c r="AD303" i="12"/>
  <c r="A304" i="12"/>
  <c r="E301" i="12"/>
  <c r="AK167" i="9" l="1"/>
  <c r="AJ167" i="9" s="1"/>
  <c r="AL167" i="9" s="1"/>
  <c r="O132" i="9"/>
  <c r="P132" i="9" s="1"/>
  <c r="J133" i="9" s="1"/>
  <c r="O118" i="12"/>
  <c r="P118" i="12" s="1"/>
  <c r="AA120" i="12"/>
  <c r="F252" i="9"/>
  <c r="H252" i="9" s="1"/>
  <c r="B253" i="9" s="1"/>
  <c r="C156" i="12"/>
  <c r="D156" i="12"/>
  <c r="D303" i="12"/>
  <c r="C303" i="12"/>
  <c r="B304" i="12"/>
  <c r="H304" i="12"/>
  <c r="J304" i="12" s="1"/>
  <c r="S304" i="12"/>
  <c r="AD304" i="12"/>
  <c r="A305" i="12"/>
  <c r="E302" i="12"/>
  <c r="K302" i="12"/>
  <c r="L302" i="12" s="1"/>
  <c r="G303" i="12"/>
  <c r="I303" i="12" s="1"/>
  <c r="X174" i="9"/>
  <c r="AE172" i="9"/>
  <c r="AF172" i="9" s="1"/>
  <c r="AM167" i="9" l="1"/>
  <c r="AN167" i="9" s="1"/>
  <c r="AH168" i="9" s="1"/>
  <c r="M133" i="9"/>
  <c r="L133" i="9" s="1"/>
  <c r="N133" i="9" s="1"/>
  <c r="O133" i="9" s="1"/>
  <c r="F303" i="12"/>
  <c r="S118" i="12"/>
  <c r="Q118" i="12"/>
  <c r="M119" i="12" s="1"/>
  <c r="N119" i="12" s="1"/>
  <c r="T118" i="12"/>
  <c r="U118" i="12"/>
  <c r="O119" i="12"/>
  <c r="AB120" i="12"/>
  <c r="X121" i="12" s="1"/>
  <c r="AD120" i="12"/>
  <c r="E253" i="9"/>
  <c r="D253" i="9" s="1"/>
  <c r="F253" i="9" s="1"/>
  <c r="H253" i="9" s="1"/>
  <c r="R175" i="9"/>
  <c r="Z173" i="9"/>
  <c r="AC173" i="9" s="1"/>
  <c r="AB173" i="9" s="1"/>
  <c r="AD173" i="9" s="1"/>
  <c r="K303" i="12"/>
  <c r="L303" i="12" s="1"/>
  <c r="G304" i="12"/>
  <c r="I304" i="12" s="1"/>
  <c r="E156" i="12"/>
  <c r="F156" i="12"/>
  <c r="B157" i="12" s="1"/>
  <c r="D304" i="12"/>
  <c r="C304" i="12"/>
  <c r="B305" i="12"/>
  <c r="H305" i="12"/>
  <c r="J305" i="12" s="1"/>
  <c r="S305" i="12"/>
  <c r="AD305" i="12"/>
  <c r="A306" i="12"/>
  <c r="E303" i="12"/>
  <c r="AK168" i="9" l="1"/>
  <c r="AJ168" i="9" s="1"/>
  <c r="AL168" i="9" s="1"/>
  <c r="V118" i="12"/>
  <c r="W118" i="12" s="1"/>
  <c r="R119" i="12"/>
  <c r="Y121" i="12"/>
  <c r="Z121" i="12"/>
  <c r="AF120" i="12"/>
  <c r="AE120" i="12"/>
  <c r="F304" i="12"/>
  <c r="P119" i="12"/>
  <c r="B254" i="9"/>
  <c r="U175" i="9"/>
  <c r="T175" i="9" s="1"/>
  <c r="V175" i="9" s="1"/>
  <c r="W175" i="9" s="1"/>
  <c r="X175" i="9" s="1"/>
  <c r="R176" i="9" s="1"/>
  <c r="U176" i="9" s="1"/>
  <c r="T176" i="9" s="1"/>
  <c r="V176" i="9" s="1"/>
  <c r="K304" i="12"/>
  <c r="L304" i="12" s="1"/>
  <c r="G305" i="12"/>
  <c r="I305" i="12" s="1"/>
  <c r="C157" i="12"/>
  <c r="D157" i="12" s="1"/>
  <c r="D305" i="12"/>
  <c r="C305" i="12"/>
  <c r="F305" i="12" s="1"/>
  <c r="B306" i="12"/>
  <c r="H306" i="12"/>
  <c r="J306" i="12" s="1"/>
  <c r="S306" i="12"/>
  <c r="AD306" i="12"/>
  <c r="A307" i="12"/>
  <c r="E304" i="12"/>
  <c r="AE173" i="9"/>
  <c r="AF173" i="9" s="1"/>
  <c r="P133" i="9"/>
  <c r="AM168" i="9" l="1"/>
  <c r="AN168" i="9" s="1"/>
  <c r="AH169" i="9" s="1"/>
  <c r="AA121" i="12"/>
  <c r="F34" i="11" a="1"/>
  <c r="AC121" i="12"/>
  <c r="AG120" i="12"/>
  <c r="AH120" i="12" s="1"/>
  <c r="S119" i="12"/>
  <c r="Q119" i="12"/>
  <c r="M120" i="12" s="1"/>
  <c r="D254" i="9"/>
  <c r="E254" i="9"/>
  <c r="Z174" i="9"/>
  <c r="AC174" i="9" s="1"/>
  <c r="AB174" i="9" s="1"/>
  <c r="AD174" i="9" s="1"/>
  <c r="J134" i="9"/>
  <c r="K305" i="12"/>
  <c r="L305" i="12" s="1"/>
  <c r="G306" i="12"/>
  <c r="I306" i="12" s="1"/>
  <c r="E305" i="12"/>
  <c r="E157" i="12"/>
  <c r="F157" i="12"/>
  <c r="D306" i="12"/>
  <c r="C306" i="12"/>
  <c r="B307" i="12"/>
  <c r="H307" i="12"/>
  <c r="J307" i="12" s="1"/>
  <c r="S307" i="12"/>
  <c r="AD307" i="12"/>
  <c r="A308" i="12"/>
  <c r="W176" i="9"/>
  <c r="X176" i="9" s="1"/>
  <c r="M134" i="9" l="1"/>
  <c r="L134" i="9" s="1"/>
  <c r="N134" i="9" s="1"/>
  <c r="O134" i="9"/>
  <c r="P134" i="9" s="1"/>
  <c r="AB121" i="12"/>
  <c r="X122" i="12" s="1"/>
  <c r="AD121" i="12"/>
  <c r="U119" i="12"/>
  <c r="T119" i="12"/>
  <c r="Y122" i="12"/>
  <c r="Z122" i="12" s="1"/>
  <c r="AA122" i="12" s="1"/>
  <c r="N120" i="12"/>
  <c r="O120" i="12"/>
  <c r="P120" i="12" s="1"/>
  <c r="Q120" i="12" s="1"/>
  <c r="M121" i="12" s="1"/>
  <c r="F254" i="9"/>
  <c r="H254" i="9" s="1"/>
  <c r="AK169" i="9"/>
  <c r="AJ169" i="9"/>
  <c r="AL169" i="9" s="1"/>
  <c r="AM169" i="9" s="1"/>
  <c r="B255" i="9"/>
  <c r="R177" i="9"/>
  <c r="U177" i="9" s="1"/>
  <c r="T177" i="9" s="1"/>
  <c r="V177" i="9" s="1"/>
  <c r="B158" i="12"/>
  <c r="B37" i="11" a="1"/>
  <c r="F306" i="12"/>
  <c r="D307" i="12"/>
  <c r="C307" i="12"/>
  <c r="F307" i="12" s="1"/>
  <c r="B308" i="12"/>
  <c r="H308" i="12"/>
  <c r="J308" i="12" s="1"/>
  <c r="S308" i="12"/>
  <c r="AD308" i="12"/>
  <c r="A309" i="12"/>
  <c r="E306" i="12"/>
  <c r="G307" i="12"/>
  <c r="I307" i="12" s="1"/>
  <c r="K306" i="12"/>
  <c r="L306" i="12" s="1"/>
  <c r="AE174" i="9"/>
  <c r="AF174" i="9" s="1"/>
  <c r="AE121" i="12" l="1"/>
  <c r="AF121" i="12"/>
  <c r="R120" i="12"/>
  <c r="V119" i="12"/>
  <c r="W119" i="12" s="1"/>
  <c r="N121" i="12"/>
  <c r="S120" i="12"/>
  <c r="AD122" i="12"/>
  <c r="AB122" i="12"/>
  <c r="X123" i="12" s="1"/>
  <c r="AN169" i="9"/>
  <c r="AH170" i="9" s="1"/>
  <c r="E255" i="9"/>
  <c r="D255" i="9" s="1"/>
  <c r="F255" i="9" s="1"/>
  <c r="H255" i="9" s="1"/>
  <c r="Z175" i="9"/>
  <c r="AC175" i="9" s="1"/>
  <c r="AB175" i="9" s="1"/>
  <c r="AD175" i="9" s="1"/>
  <c r="AE175" i="9" s="1"/>
  <c r="AF175" i="9" s="1"/>
  <c r="C158" i="12"/>
  <c r="D158" i="12" s="1"/>
  <c r="D308" i="12"/>
  <c r="C308" i="12"/>
  <c r="F308" i="12" s="1"/>
  <c r="B309" i="12"/>
  <c r="H309" i="12"/>
  <c r="J309" i="12" s="1"/>
  <c r="S309" i="12"/>
  <c r="AD309" i="12"/>
  <c r="A310" i="12"/>
  <c r="E307" i="12"/>
  <c r="K307" i="12"/>
  <c r="L307" i="12" s="1"/>
  <c r="G308" i="12"/>
  <c r="I308" i="12" s="1"/>
  <c r="W177" i="9"/>
  <c r="X177" i="9" s="1"/>
  <c r="J135" i="9"/>
  <c r="AG121" i="12" l="1"/>
  <c r="AH121" i="12" s="1"/>
  <c r="G34" i="11" s="1" a="1"/>
  <c r="AC122" i="12"/>
  <c r="U120" i="12"/>
  <c r="T120" i="12"/>
  <c r="AE122" i="12"/>
  <c r="AF122" i="12"/>
  <c r="Y123" i="12"/>
  <c r="Z123" i="12"/>
  <c r="AA123" i="12"/>
  <c r="AB123" i="12"/>
  <c r="X124" i="12" s="1"/>
  <c r="O121" i="12"/>
  <c r="B256" i="9"/>
  <c r="AK170" i="9"/>
  <c r="AJ170" i="9" s="1"/>
  <c r="AL170" i="9" s="1"/>
  <c r="AM170" i="9" s="1"/>
  <c r="AN170" i="9" s="1"/>
  <c r="AH171" i="9" s="1"/>
  <c r="Z176" i="9"/>
  <c r="AC176" i="9" s="1"/>
  <c r="AB176" i="9" s="1"/>
  <c r="AD176" i="9" s="1"/>
  <c r="R178" i="9"/>
  <c r="U178" i="9" s="1"/>
  <c r="T178" i="9" s="1"/>
  <c r="V178" i="9" s="1"/>
  <c r="G309" i="12"/>
  <c r="I309" i="12" s="1"/>
  <c r="K308" i="12"/>
  <c r="L308" i="12" s="1"/>
  <c r="F158" i="12"/>
  <c r="B159" i="12" s="1"/>
  <c r="E158" i="12"/>
  <c r="D309" i="12"/>
  <c r="C309" i="12"/>
  <c r="F309" i="12" s="1"/>
  <c r="B310" i="12"/>
  <c r="H310" i="12"/>
  <c r="J310" i="12" s="1"/>
  <c r="S310" i="12"/>
  <c r="AD310" i="12"/>
  <c r="A311" i="12"/>
  <c r="E308" i="12"/>
  <c r="M135" i="9"/>
  <c r="L135" i="9" s="1"/>
  <c r="N135" i="9" s="1"/>
  <c r="O135" i="9" s="1"/>
  <c r="AK171" i="9" l="1"/>
  <c r="AJ171" i="9" s="1"/>
  <c r="AL171" i="9" s="1"/>
  <c r="AD123" i="12"/>
  <c r="AF123" i="12" s="1"/>
  <c r="V120" i="12"/>
  <c r="W120" i="12" s="1"/>
  <c r="R121" i="12"/>
  <c r="AG122" i="12"/>
  <c r="AH122" i="12" s="1"/>
  <c r="AC123" i="12"/>
  <c r="Y124" i="12"/>
  <c r="Z124" i="12"/>
  <c r="P121" i="12"/>
  <c r="E256" i="9"/>
  <c r="D256" i="9"/>
  <c r="C159" i="12"/>
  <c r="D159" i="12"/>
  <c r="C310" i="12"/>
  <c r="D310" i="12"/>
  <c r="E310" i="12" s="1"/>
  <c r="B311" i="12"/>
  <c r="H311" i="12"/>
  <c r="J311" i="12" s="1"/>
  <c r="S311" i="12"/>
  <c r="AD311" i="12"/>
  <c r="A312" i="12"/>
  <c r="E309" i="12"/>
  <c r="K309" i="12"/>
  <c r="L309" i="12" s="1"/>
  <c r="G310" i="12"/>
  <c r="I310" i="12" s="1"/>
  <c r="AE176" i="9"/>
  <c r="AF176" i="9" s="1"/>
  <c r="W178" i="9"/>
  <c r="X178" i="9" s="1"/>
  <c r="P135" i="9"/>
  <c r="AM171" i="9" l="1"/>
  <c r="AN171" i="9" s="1"/>
  <c r="AH172" i="9" s="1"/>
  <c r="AE123" i="12"/>
  <c r="AC124" i="12"/>
  <c r="AG123" i="12"/>
  <c r="AH123" i="12" s="1"/>
  <c r="AA124" i="12"/>
  <c r="S121" i="12"/>
  <c r="Q121" i="12"/>
  <c r="F256" i="9"/>
  <c r="H256" i="9" s="1"/>
  <c r="Z177" i="9"/>
  <c r="AC177" i="9" s="1"/>
  <c r="AB177" i="9" s="1"/>
  <c r="AD177" i="9" s="1"/>
  <c r="R179" i="9"/>
  <c r="U179" i="9" s="1"/>
  <c r="T179" i="9" s="1"/>
  <c r="V179" i="9" s="1"/>
  <c r="E159" i="12"/>
  <c r="F159" i="12"/>
  <c r="B160" i="12" s="1"/>
  <c r="C311" i="12"/>
  <c r="D311" i="12"/>
  <c r="E311" i="12" s="1"/>
  <c r="B312" i="12"/>
  <c r="H312" i="12"/>
  <c r="J312" i="12" s="1"/>
  <c r="S312" i="12"/>
  <c r="AD312" i="12"/>
  <c r="A313" i="12"/>
  <c r="F310" i="12"/>
  <c r="K310" i="12"/>
  <c r="L310" i="12" s="1"/>
  <c r="G311" i="12"/>
  <c r="I311" i="12" s="1"/>
  <c r="J136" i="9"/>
  <c r="AK172" i="9" l="1"/>
  <c r="AJ172" i="9" s="1"/>
  <c r="AL172" i="9" s="1"/>
  <c r="T121" i="12"/>
  <c r="U121" i="12"/>
  <c r="D34" i="11" a="1"/>
  <c r="M122" i="12"/>
  <c r="AB124" i="12"/>
  <c r="X125" i="12" s="1"/>
  <c r="AD124" i="12"/>
  <c r="B257" i="9"/>
  <c r="C160" i="12"/>
  <c r="D160" i="12"/>
  <c r="C312" i="12"/>
  <c r="D312" i="12"/>
  <c r="E312" i="12" s="1"/>
  <c r="B313" i="12"/>
  <c r="H313" i="12"/>
  <c r="J313" i="12" s="1"/>
  <c r="S313" i="12"/>
  <c r="AD313" i="12"/>
  <c r="A314" i="12"/>
  <c r="F311" i="12"/>
  <c r="K311" i="12"/>
  <c r="L311" i="12" s="1"/>
  <c r="G312" i="12"/>
  <c r="I312" i="12" s="1"/>
  <c r="AE177" i="9"/>
  <c r="AF177" i="9" s="1"/>
  <c r="W179" i="9"/>
  <c r="X179" i="9" s="1"/>
  <c r="M136" i="9"/>
  <c r="L136" i="9" s="1"/>
  <c r="N136" i="9" s="1"/>
  <c r="O136" i="9" s="1"/>
  <c r="AM172" i="9" l="1"/>
  <c r="AN172" i="9" s="1"/>
  <c r="AH173" i="9" s="1"/>
  <c r="V121" i="12"/>
  <c r="W121" i="12" s="1"/>
  <c r="E34" i="11" s="1" a="1"/>
  <c r="H34" i="11" s="1"/>
  <c r="R122" i="12"/>
  <c r="N122" i="12"/>
  <c r="O122" i="12" s="1"/>
  <c r="Y125" i="12"/>
  <c r="AE124" i="12"/>
  <c r="AF124" i="12"/>
  <c r="E160" i="12"/>
  <c r="F160" i="12"/>
  <c r="B161" i="12" s="1"/>
  <c r="E257" i="9"/>
  <c r="D257" i="9"/>
  <c r="F257" i="9" s="1"/>
  <c r="H257" i="9" s="1"/>
  <c r="Z178" i="9"/>
  <c r="AC178" i="9" s="1"/>
  <c r="AB178" i="9" s="1"/>
  <c r="AD178" i="9" s="1"/>
  <c r="R180" i="9"/>
  <c r="C313" i="12"/>
  <c r="D313" i="12"/>
  <c r="B314" i="12"/>
  <c r="H314" i="12"/>
  <c r="J314" i="12" s="1"/>
  <c r="S314" i="12"/>
  <c r="AD314" i="12"/>
  <c r="A315" i="12"/>
  <c r="F312" i="12"/>
  <c r="G313" i="12"/>
  <c r="I313" i="12" s="1"/>
  <c r="K312" i="12"/>
  <c r="L312" i="12" s="1"/>
  <c r="P136" i="9"/>
  <c r="AK173" i="9" l="1"/>
  <c r="AJ173" i="9" s="1"/>
  <c r="AL173" i="9" s="1"/>
  <c r="AG124" i="12"/>
  <c r="AH124" i="12" s="1"/>
  <c r="AC125" i="12"/>
  <c r="P122" i="12"/>
  <c r="Z125" i="12"/>
  <c r="AA125" i="12" s="1"/>
  <c r="C161" i="12"/>
  <c r="D161" i="12" s="1"/>
  <c r="B258" i="9"/>
  <c r="U180" i="9"/>
  <c r="T180" i="9"/>
  <c r="V180" i="9" s="1"/>
  <c r="G314" i="12"/>
  <c r="I314" i="12" s="1"/>
  <c r="K313" i="12"/>
  <c r="L313" i="12" s="1"/>
  <c r="F313" i="12"/>
  <c r="C314" i="12"/>
  <c r="D314" i="12"/>
  <c r="B315" i="12"/>
  <c r="H315" i="12"/>
  <c r="J315" i="12" s="1"/>
  <c r="S315" i="12"/>
  <c r="AD315" i="12"/>
  <c r="A316" i="12"/>
  <c r="E313" i="12"/>
  <c r="AE178" i="9"/>
  <c r="AF178" i="9" s="1"/>
  <c r="J137" i="9"/>
  <c r="AM173" i="9" l="1"/>
  <c r="AN173" i="9" s="1"/>
  <c r="AH174" i="9" s="1"/>
  <c r="E314" i="12"/>
  <c r="S122" i="12"/>
  <c r="Q122" i="12"/>
  <c r="M123" i="12" s="1"/>
  <c r="AB125" i="12"/>
  <c r="X126" i="12" s="1"/>
  <c r="AD125" i="12"/>
  <c r="F161" i="12"/>
  <c r="B162" i="12" s="1"/>
  <c r="E161" i="12"/>
  <c r="E258" i="9"/>
  <c r="D258" i="9"/>
  <c r="F258" i="9" s="1"/>
  <c r="H258" i="9" s="1"/>
  <c r="W180" i="9"/>
  <c r="X180" i="9" s="1"/>
  <c r="R181" i="9" s="1"/>
  <c r="Z179" i="9"/>
  <c r="AC179" i="9" s="1"/>
  <c r="AB179" i="9" s="1"/>
  <c r="AD179" i="9" s="1"/>
  <c r="C315" i="12"/>
  <c r="D315" i="12"/>
  <c r="E315" i="12" s="1"/>
  <c r="B316" i="12"/>
  <c r="H316" i="12"/>
  <c r="J316" i="12" s="1"/>
  <c r="S316" i="12"/>
  <c r="AD316" i="12"/>
  <c r="A317" i="12"/>
  <c r="F314" i="12"/>
  <c r="K314" i="12"/>
  <c r="L314" i="12" s="1"/>
  <c r="G315" i="12"/>
  <c r="I315" i="12" s="1"/>
  <c r="M137" i="9"/>
  <c r="L137" i="9" s="1"/>
  <c r="N137" i="9" s="1"/>
  <c r="O137" i="9" s="1"/>
  <c r="AK174" i="9" l="1"/>
  <c r="AJ174" i="9" s="1"/>
  <c r="AL174" i="9" s="1"/>
  <c r="AM174" i="9" s="1"/>
  <c r="AN174" i="9" s="1"/>
  <c r="AH175" i="9" s="1"/>
  <c r="U122" i="12"/>
  <c r="T122" i="12"/>
  <c r="N123" i="12"/>
  <c r="O123" i="12" s="1"/>
  <c r="Y126" i="12"/>
  <c r="AE125" i="12"/>
  <c r="AF125" i="12"/>
  <c r="C162" i="12"/>
  <c r="D162" i="12"/>
  <c r="B259" i="9"/>
  <c r="U181" i="9"/>
  <c r="T181" i="9" s="1"/>
  <c r="V181" i="9" s="1"/>
  <c r="W181" i="9" s="1"/>
  <c r="X181" i="9" s="1"/>
  <c r="R182" i="9" s="1"/>
  <c r="U182" i="9" s="1"/>
  <c r="T182" i="9" s="1"/>
  <c r="V182" i="9" s="1"/>
  <c r="W182" i="9" s="1"/>
  <c r="K315" i="12"/>
  <c r="L315" i="12" s="1"/>
  <c r="G316" i="12"/>
  <c r="I316" i="12" s="1"/>
  <c r="D316" i="12"/>
  <c r="C316" i="12"/>
  <c r="B317" i="12"/>
  <c r="H317" i="12"/>
  <c r="J317" i="12" s="1"/>
  <c r="S317" i="12"/>
  <c r="AD317" i="12"/>
  <c r="A318" i="12"/>
  <c r="F315" i="12"/>
  <c r="AE179" i="9"/>
  <c r="AF179" i="9" s="1"/>
  <c r="P137" i="9"/>
  <c r="AK175" i="9" l="1"/>
  <c r="AJ175" i="9" s="1"/>
  <c r="AL175" i="9" s="1"/>
  <c r="AN175" i="9" s="1"/>
  <c r="AM175" i="9"/>
  <c r="V122" i="12"/>
  <c r="W122" i="12" s="1"/>
  <c r="R123" i="12"/>
  <c r="AG125" i="12"/>
  <c r="AH125" i="12" s="1"/>
  <c r="AC126" i="12"/>
  <c r="P123" i="12"/>
  <c r="F316" i="12"/>
  <c r="Z126" i="12"/>
  <c r="E162" i="12"/>
  <c r="F162" i="12"/>
  <c r="B163" i="12" s="1"/>
  <c r="E259" i="9"/>
  <c r="D259" i="9"/>
  <c r="F259" i="9" s="1"/>
  <c r="H259" i="9" s="1"/>
  <c r="Z180" i="9"/>
  <c r="C163" i="12"/>
  <c r="D163" i="12" s="1"/>
  <c r="D317" i="12"/>
  <c r="C317" i="12"/>
  <c r="F317" i="12" s="1"/>
  <c r="B318" i="12"/>
  <c r="H318" i="12"/>
  <c r="J318" i="12" s="1"/>
  <c r="S318" i="12"/>
  <c r="AD318" i="12"/>
  <c r="A319" i="12"/>
  <c r="E316" i="12"/>
  <c r="K316" i="12"/>
  <c r="L316" i="12" s="1"/>
  <c r="G317" i="12"/>
  <c r="I317" i="12" s="1"/>
  <c r="X182" i="9"/>
  <c r="J138" i="9"/>
  <c r="K317" i="12" l="1"/>
  <c r="L317" i="12" s="1"/>
  <c r="G318" i="12"/>
  <c r="I318" i="12" s="1"/>
  <c r="S123" i="12"/>
  <c r="Q123" i="12"/>
  <c r="M124" i="12" s="1"/>
  <c r="AA126" i="12"/>
  <c r="F163" i="12"/>
  <c r="B164" i="12" s="1"/>
  <c r="C164" i="12" s="1"/>
  <c r="E163" i="12"/>
  <c r="B260" i="9"/>
  <c r="AC180" i="9"/>
  <c r="AB180" i="9"/>
  <c r="AD180" i="9" s="1"/>
  <c r="AE180" i="9" s="1"/>
  <c r="AF180" i="9" s="1"/>
  <c r="Z181" i="9" s="1"/>
  <c r="AC181" i="9" s="1"/>
  <c r="AB181" i="9" s="1"/>
  <c r="AD181" i="9" s="1"/>
  <c r="AE181" i="9" s="1"/>
  <c r="R183" i="9"/>
  <c r="AH176" i="9"/>
  <c r="D318" i="12"/>
  <c r="C318" i="12"/>
  <c r="F318" i="12" s="1"/>
  <c r="B319" i="12"/>
  <c r="H319" i="12"/>
  <c r="J319" i="12" s="1"/>
  <c r="S319" i="12"/>
  <c r="AD319" i="12"/>
  <c r="A320" i="12"/>
  <c r="E317" i="12"/>
  <c r="M138" i="9"/>
  <c r="L138" i="9" s="1"/>
  <c r="N138" i="9" s="1"/>
  <c r="O138" i="9" s="1"/>
  <c r="P138" i="9" s="1"/>
  <c r="AK176" i="9" l="1"/>
  <c r="AJ176" i="9" s="1"/>
  <c r="AL176" i="9" s="1"/>
  <c r="AM176" i="9"/>
  <c r="AN176" i="9" s="1"/>
  <c r="G319" i="12"/>
  <c r="I319" i="12" s="1"/>
  <c r="K318" i="12"/>
  <c r="L318" i="12" s="1"/>
  <c r="T123" i="12"/>
  <c r="U123" i="12"/>
  <c r="N124" i="12"/>
  <c r="O124" i="12"/>
  <c r="P124" i="12"/>
  <c r="Q124" i="12" s="1"/>
  <c r="M125" i="12" s="1"/>
  <c r="AB126" i="12"/>
  <c r="X127" i="12" s="1"/>
  <c r="AD126" i="12"/>
  <c r="U183" i="9"/>
  <c r="T183" i="9"/>
  <c r="V183" i="9" s="1"/>
  <c r="W183" i="9" s="1"/>
  <c r="X183" i="9" s="1"/>
  <c r="E260" i="9"/>
  <c r="D260" i="9"/>
  <c r="F260" i="9" s="1"/>
  <c r="H260" i="9" s="1"/>
  <c r="D164" i="12"/>
  <c r="D319" i="12"/>
  <c r="C319" i="12"/>
  <c r="B320" i="12"/>
  <c r="H320" i="12"/>
  <c r="J320" i="12" s="1"/>
  <c r="S320" i="12"/>
  <c r="AD320" i="12"/>
  <c r="A321" i="12"/>
  <c r="E318" i="12"/>
  <c r="AF181" i="9"/>
  <c r="J139" i="9"/>
  <c r="F319" i="12" l="1"/>
  <c r="K319" i="12"/>
  <c r="L319" i="12" s="1"/>
  <c r="G320" i="12"/>
  <c r="I320" i="12" s="1"/>
  <c r="V123" i="12"/>
  <c r="W123" i="12" s="1"/>
  <c r="R124" i="12"/>
  <c r="N125" i="12"/>
  <c r="O125" i="12" s="1"/>
  <c r="P125" i="12" s="1"/>
  <c r="Y127" i="12"/>
  <c r="Z127" i="12" s="1"/>
  <c r="AF126" i="12"/>
  <c r="AE126" i="12"/>
  <c r="S124" i="12"/>
  <c r="U124" i="12" s="1"/>
  <c r="E164" i="12"/>
  <c r="F164" i="12"/>
  <c r="B165" i="12" s="1"/>
  <c r="B261" i="9"/>
  <c r="R184" i="9"/>
  <c r="U184" i="9" s="1"/>
  <c r="T184" i="9" s="1"/>
  <c r="V184" i="9" s="1"/>
  <c r="W184" i="9" s="1"/>
  <c r="X184" i="9" s="1"/>
  <c r="AH177" i="9"/>
  <c r="Z182" i="9"/>
  <c r="AC182" i="9" s="1"/>
  <c r="AB182" i="9" s="1"/>
  <c r="AD182" i="9" s="1"/>
  <c r="D320" i="12"/>
  <c r="C320" i="12"/>
  <c r="B321" i="12"/>
  <c r="H321" i="12"/>
  <c r="J321" i="12" s="1"/>
  <c r="S321" i="12"/>
  <c r="AD321" i="12"/>
  <c r="A322" i="12"/>
  <c r="E319" i="12"/>
  <c r="M139" i="9"/>
  <c r="L139" i="9" s="1"/>
  <c r="N139" i="9" s="1"/>
  <c r="O139" i="9" s="1"/>
  <c r="AK177" i="9" l="1"/>
  <c r="AJ177" i="9" s="1"/>
  <c r="AL177" i="9" s="1"/>
  <c r="AM177" i="9"/>
  <c r="AN177" i="9" s="1"/>
  <c r="T124" i="12"/>
  <c r="D165" i="12"/>
  <c r="E165" i="12" s="1"/>
  <c r="C165" i="12"/>
  <c r="F165" i="12" s="1"/>
  <c r="B166" i="12" s="1"/>
  <c r="R125" i="12"/>
  <c r="V124" i="12"/>
  <c r="W124" i="12" s="1"/>
  <c r="AA127" i="12"/>
  <c r="AG126" i="12"/>
  <c r="AH126" i="12" s="1"/>
  <c r="AC127" i="12"/>
  <c r="F320" i="12"/>
  <c r="S125" i="12"/>
  <c r="U125" i="12" s="1"/>
  <c r="Q125" i="12"/>
  <c r="M126" i="12" s="1"/>
  <c r="E261" i="9"/>
  <c r="D261" i="9" s="1"/>
  <c r="F261" i="9" s="1"/>
  <c r="H261" i="9" s="1"/>
  <c r="R185" i="9"/>
  <c r="U185" i="9" s="1"/>
  <c r="T185" i="9" s="1"/>
  <c r="V185" i="9" s="1"/>
  <c r="W185" i="9" s="1"/>
  <c r="X185" i="9" s="1"/>
  <c r="K320" i="12"/>
  <c r="L320" i="12" s="1"/>
  <c r="G321" i="12"/>
  <c r="I321" i="12" s="1"/>
  <c r="C321" i="12"/>
  <c r="D321" i="12"/>
  <c r="B322" i="12"/>
  <c r="H322" i="12"/>
  <c r="J322" i="12" s="1"/>
  <c r="S322" i="12"/>
  <c r="AD322" i="12"/>
  <c r="A323" i="12"/>
  <c r="E320" i="12"/>
  <c r="AE182" i="9"/>
  <c r="AF182" i="9" s="1"/>
  <c r="P139" i="9"/>
  <c r="N126" i="12" l="1"/>
  <c r="O126" i="12"/>
  <c r="T125" i="12"/>
  <c r="F321" i="12"/>
  <c r="AB127" i="12"/>
  <c r="X128" i="12" s="1"/>
  <c r="AD127" i="12"/>
  <c r="B262" i="9"/>
  <c r="R186" i="9"/>
  <c r="U186" i="9" s="1"/>
  <c r="T186" i="9" s="1"/>
  <c r="V186" i="9" s="1"/>
  <c r="AH178" i="9"/>
  <c r="Z183" i="9"/>
  <c r="AC183" i="9" s="1"/>
  <c r="AB183" i="9" s="1"/>
  <c r="AD183" i="9" s="1"/>
  <c r="J140" i="9"/>
  <c r="C166" i="12"/>
  <c r="D166" i="12"/>
  <c r="E321" i="12"/>
  <c r="D322" i="12"/>
  <c r="C322" i="12"/>
  <c r="F322" i="12" s="1"/>
  <c r="B323" i="12"/>
  <c r="H323" i="12"/>
  <c r="J323" i="12" s="1"/>
  <c r="S323" i="12"/>
  <c r="AD323" i="12"/>
  <c r="A324" i="12"/>
  <c r="K321" i="12"/>
  <c r="L321" i="12" s="1"/>
  <c r="G322" i="12"/>
  <c r="I322" i="12" s="1"/>
  <c r="AK178" i="9" l="1"/>
  <c r="AJ178" i="9" s="1"/>
  <c r="AL178" i="9" s="1"/>
  <c r="AM178" i="9"/>
  <c r="AN178" i="9" s="1"/>
  <c r="AH179" i="9" s="1"/>
  <c r="M140" i="9"/>
  <c r="L140" i="9" s="1"/>
  <c r="N140" i="9" s="1"/>
  <c r="O140" i="9"/>
  <c r="P140" i="9" s="1"/>
  <c r="G323" i="12"/>
  <c r="I323" i="12" s="1"/>
  <c r="K322" i="12"/>
  <c r="L322" i="12" s="1"/>
  <c r="V125" i="12"/>
  <c r="W125" i="12" s="1"/>
  <c r="R126" i="12"/>
  <c r="Y128" i="12"/>
  <c r="Z128" i="12" s="1"/>
  <c r="AA128" i="12" s="1"/>
  <c r="AE127" i="12"/>
  <c r="AF127" i="12"/>
  <c r="P126" i="12"/>
  <c r="D262" i="9"/>
  <c r="E262" i="9"/>
  <c r="E166" i="12"/>
  <c r="F166" i="12"/>
  <c r="B167" i="12" s="1"/>
  <c r="C323" i="12"/>
  <c r="D323" i="12"/>
  <c r="E323" i="12" s="1"/>
  <c r="B324" i="12"/>
  <c r="H324" i="12"/>
  <c r="J324" i="12" s="1"/>
  <c r="S324" i="12"/>
  <c r="AD324" i="12"/>
  <c r="A325" i="12"/>
  <c r="E322" i="12"/>
  <c r="W186" i="9"/>
  <c r="X186" i="9" s="1"/>
  <c r="AE183" i="9"/>
  <c r="AF183" i="9" s="1"/>
  <c r="AK179" i="9" l="1"/>
  <c r="AJ179" i="9" s="1"/>
  <c r="AL179" i="9" s="1"/>
  <c r="F262" i="9"/>
  <c r="H262" i="9" s="1"/>
  <c r="B263" i="9" s="1"/>
  <c r="S126" i="12"/>
  <c r="U126" i="12" s="1"/>
  <c r="Q126" i="12"/>
  <c r="M127" i="12" s="1"/>
  <c r="AG127" i="12"/>
  <c r="AH127" i="12" s="1"/>
  <c r="AC128" i="12"/>
  <c r="F323" i="12"/>
  <c r="T126" i="12"/>
  <c r="AD128" i="12"/>
  <c r="AF128" i="12" s="1"/>
  <c r="AB128" i="12"/>
  <c r="X129" i="12" s="1"/>
  <c r="K323" i="12"/>
  <c r="L323" i="12" s="1"/>
  <c r="G324" i="12"/>
  <c r="I324" i="12" s="1"/>
  <c r="K324" i="12" s="1"/>
  <c r="L324" i="12" s="1"/>
  <c r="R187" i="9"/>
  <c r="Z184" i="9"/>
  <c r="AC184" i="9" s="1"/>
  <c r="AB184" i="9" s="1"/>
  <c r="AD184" i="9" s="1"/>
  <c r="J141" i="9"/>
  <c r="C167" i="12"/>
  <c r="D167" i="12" s="1"/>
  <c r="C324" i="12"/>
  <c r="D324" i="12"/>
  <c r="B325" i="12"/>
  <c r="H325" i="12"/>
  <c r="J325" i="12" s="1"/>
  <c r="S325" i="12"/>
  <c r="AD325" i="12"/>
  <c r="A326" i="12"/>
  <c r="G325" i="12"/>
  <c r="AM179" i="9" l="1"/>
  <c r="AN179" i="9" s="1"/>
  <c r="AH180" i="9" s="1"/>
  <c r="M141" i="9"/>
  <c r="L141" i="9" s="1"/>
  <c r="N141" i="9" s="1"/>
  <c r="O141" i="9"/>
  <c r="P141" i="9" s="1"/>
  <c r="N127" i="12"/>
  <c r="O127" i="12" s="1"/>
  <c r="R127" i="12"/>
  <c r="V126" i="12"/>
  <c r="W126" i="12" s="1"/>
  <c r="Y129" i="12"/>
  <c r="AE128" i="12"/>
  <c r="D263" i="9"/>
  <c r="E263" i="9"/>
  <c r="U187" i="9"/>
  <c r="T187" i="9" s="1"/>
  <c r="V187" i="9" s="1"/>
  <c r="W187" i="9" s="1"/>
  <c r="X187" i="9" s="1"/>
  <c r="R188" i="9" s="1"/>
  <c r="F167" i="12"/>
  <c r="B168" i="12" s="1"/>
  <c r="E167" i="12"/>
  <c r="C325" i="12"/>
  <c r="D325" i="12"/>
  <c r="B326" i="12"/>
  <c r="H326" i="12"/>
  <c r="J326" i="12" s="1"/>
  <c r="S326" i="12"/>
  <c r="AD326" i="12"/>
  <c r="A327" i="12"/>
  <c r="I325" i="12"/>
  <c r="E324" i="12"/>
  <c r="F324" i="12"/>
  <c r="AE184" i="9"/>
  <c r="AF184" i="9" s="1"/>
  <c r="AK180" i="9" l="1"/>
  <c r="AJ180" i="9" s="1"/>
  <c r="AL180" i="9" s="1"/>
  <c r="P127" i="12"/>
  <c r="AG128" i="12"/>
  <c r="AH128" i="12" s="1"/>
  <c r="AC129" i="12"/>
  <c r="F325" i="12"/>
  <c r="Z129" i="12"/>
  <c r="F263" i="9"/>
  <c r="H263" i="9" s="1"/>
  <c r="B264" i="9" s="1"/>
  <c r="U188" i="9"/>
  <c r="T188" i="9" s="1"/>
  <c r="V188" i="9" s="1"/>
  <c r="W188" i="9" s="1"/>
  <c r="X188" i="9" s="1"/>
  <c r="R189" i="9" s="1"/>
  <c r="U189" i="9" s="1"/>
  <c r="T189" i="9" s="1"/>
  <c r="V189" i="9" s="1"/>
  <c r="W189" i="9" s="1"/>
  <c r="Z185" i="9"/>
  <c r="AC185" i="9" s="1"/>
  <c r="AB185" i="9" s="1"/>
  <c r="AD185" i="9" s="1"/>
  <c r="J142" i="9"/>
  <c r="K325" i="12"/>
  <c r="L325" i="12" s="1"/>
  <c r="G326" i="12"/>
  <c r="C168" i="12"/>
  <c r="D168" i="12" s="1"/>
  <c r="E325" i="12"/>
  <c r="C326" i="12"/>
  <c r="D326" i="12"/>
  <c r="B327" i="12"/>
  <c r="H327" i="12"/>
  <c r="J327" i="12" s="1"/>
  <c r="S327" i="12"/>
  <c r="AD327" i="12"/>
  <c r="A328" i="12"/>
  <c r="I326" i="12"/>
  <c r="AM180" i="9" l="1"/>
  <c r="AN180" i="9" s="1"/>
  <c r="AH181" i="9" s="1"/>
  <c r="M142" i="9"/>
  <c r="L142" i="9" s="1"/>
  <c r="N142" i="9" s="1"/>
  <c r="O142" i="9"/>
  <c r="P142" i="9" s="1"/>
  <c r="S127" i="12"/>
  <c r="Q127" i="12"/>
  <c r="M128" i="12" s="1"/>
  <c r="AA129" i="12"/>
  <c r="E264" i="9"/>
  <c r="D264" i="9"/>
  <c r="F168" i="12"/>
  <c r="B169" i="12" s="1"/>
  <c r="E168" i="12"/>
  <c r="C327" i="12"/>
  <c r="D327" i="12"/>
  <c r="B328" i="12"/>
  <c r="H328" i="12"/>
  <c r="J328" i="12" s="1"/>
  <c r="S328" i="12"/>
  <c r="AD328" i="12"/>
  <c r="A329" i="12"/>
  <c r="E326" i="12"/>
  <c r="F326" i="12"/>
  <c r="K326" i="12"/>
  <c r="L326" i="12" s="1"/>
  <c r="G327" i="12"/>
  <c r="I327" i="12" s="1"/>
  <c r="X189" i="9"/>
  <c r="AE185" i="9"/>
  <c r="AF185" i="9" s="1"/>
  <c r="AK181" i="9" l="1"/>
  <c r="AJ181" i="9" s="1"/>
  <c r="AL181" i="9" s="1"/>
  <c r="U127" i="12"/>
  <c r="T127" i="12"/>
  <c r="O128" i="12"/>
  <c r="N128" i="12"/>
  <c r="F264" i="9"/>
  <c r="H264" i="9" s="1"/>
  <c r="B265" i="9" s="1"/>
  <c r="E327" i="12"/>
  <c r="AD129" i="12"/>
  <c r="AB129" i="12"/>
  <c r="X130" i="12" s="1"/>
  <c r="Y130" i="12" s="1"/>
  <c r="Z130" i="12" s="1"/>
  <c r="G328" i="12"/>
  <c r="K327" i="12"/>
  <c r="L327" i="12" s="1"/>
  <c r="AE129" i="12"/>
  <c r="AF129" i="12"/>
  <c r="I328" i="12"/>
  <c r="R190" i="9"/>
  <c r="U190" i="9" s="1"/>
  <c r="T190" i="9" s="1"/>
  <c r="V190" i="9" s="1"/>
  <c r="W190" i="9" s="1"/>
  <c r="X190" i="9" s="1"/>
  <c r="Z186" i="9"/>
  <c r="AC186" i="9" s="1"/>
  <c r="AB186" i="9" s="1"/>
  <c r="AD186" i="9" s="1"/>
  <c r="AE186" i="9" s="1"/>
  <c r="J143" i="9"/>
  <c r="C169" i="12"/>
  <c r="D169" i="12" s="1"/>
  <c r="C328" i="12"/>
  <c r="D328" i="12"/>
  <c r="E328" i="12" s="1"/>
  <c r="B329" i="12"/>
  <c r="H329" i="12"/>
  <c r="J329" i="12" s="1"/>
  <c r="S329" i="12"/>
  <c r="AD329" i="12"/>
  <c r="A330" i="12"/>
  <c r="F327" i="12"/>
  <c r="AM181" i="9" l="1"/>
  <c r="AN181" i="9" s="1"/>
  <c r="AH182" i="9" s="1"/>
  <c r="V127" i="12"/>
  <c r="W127" i="12" s="1"/>
  <c r="R128" i="12"/>
  <c r="P128" i="12"/>
  <c r="S128" i="12" s="1"/>
  <c r="U128" i="12" s="1"/>
  <c r="Q128" i="12"/>
  <c r="M129" i="12" s="1"/>
  <c r="E169" i="12"/>
  <c r="F169" i="12"/>
  <c r="AG129" i="12"/>
  <c r="AH129" i="12" s="1"/>
  <c r="AC130" i="12"/>
  <c r="AA130" i="12"/>
  <c r="K328" i="12"/>
  <c r="L328" i="12" s="1"/>
  <c r="G329" i="12"/>
  <c r="I329" i="12" s="1"/>
  <c r="E265" i="9"/>
  <c r="D265" i="9"/>
  <c r="M143" i="9"/>
  <c r="L143" i="9"/>
  <c r="N143" i="9" s="1"/>
  <c r="O143" i="9" s="1"/>
  <c r="P143" i="9" s="1"/>
  <c r="J144" i="9" s="1"/>
  <c r="R191" i="9"/>
  <c r="U191" i="9" s="1"/>
  <c r="T191" i="9" s="1"/>
  <c r="V191" i="9" s="1"/>
  <c r="W191" i="9" s="1"/>
  <c r="B38" i="11" a="1"/>
  <c r="B170" i="12"/>
  <c r="C329" i="12"/>
  <c r="D329" i="12"/>
  <c r="E329" i="12" s="1"/>
  <c r="B330" i="12"/>
  <c r="H330" i="12"/>
  <c r="J330" i="12" s="1"/>
  <c r="S330" i="12"/>
  <c r="AD330" i="12"/>
  <c r="A331" i="12"/>
  <c r="F328" i="12"/>
  <c r="AF186" i="9"/>
  <c r="AK182" i="9" l="1"/>
  <c r="AJ182" i="9" s="1"/>
  <c r="AL182" i="9" s="1"/>
  <c r="AM182" i="9" s="1"/>
  <c r="AN182" i="9" s="1"/>
  <c r="AH183" i="9" s="1"/>
  <c r="M144" i="9"/>
  <c r="L144" i="9" s="1"/>
  <c r="N144" i="9" s="1"/>
  <c r="T128" i="12"/>
  <c r="N129" i="12"/>
  <c r="O129" i="12"/>
  <c r="G330" i="12"/>
  <c r="I330" i="12" s="1"/>
  <c r="K329" i="12"/>
  <c r="L329" i="12" s="1"/>
  <c r="AD130" i="12"/>
  <c r="AB130" i="12"/>
  <c r="X131" i="12" s="1"/>
  <c r="S129" i="12"/>
  <c r="F265" i="9"/>
  <c r="H265" i="9" s="1"/>
  <c r="Z187" i="9"/>
  <c r="AC187" i="9" s="1"/>
  <c r="AB187" i="9" s="1"/>
  <c r="AD187" i="9" s="1"/>
  <c r="AE187" i="9" s="1"/>
  <c r="AF187" i="9" s="1"/>
  <c r="Z188" i="9" s="1"/>
  <c r="AC188" i="9" s="1"/>
  <c r="AB188" i="9" s="1"/>
  <c r="AD188" i="9" s="1"/>
  <c r="C170" i="12"/>
  <c r="D170" i="12" s="1"/>
  <c r="E170" i="12" s="1"/>
  <c r="F329" i="12"/>
  <c r="D330" i="12"/>
  <c r="C330" i="12"/>
  <c r="B331" i="12"/>
  <c r="H331" i="12"/>
  <c r="J331" i="12" s="1"/>
  <c r="S331" i="12"/>
  <c r="AD331" i="12"/>
  <c r="A332" i="12"/>
  <c r="X191" i="9"/>
  <c r="AK183" i="9" l="1"/>
  <c r="AJ183" i="9" s="1"/>
  <c r="AL183" i="9" s="1"/>
  <c r="AN183" i="9" s="1"/>
  <c r="AM183" i="9"/>
  <c r="O144" i="9"/>
  <c r="P144" i="9" s="1"/>
  <c r="J145" i="9" s="1"/>
  <c r="V128" i="12"/>
  <c r="W128" i="12" s="1"/>
  <c r="R129" i="12"/>
  <c r="T129" i="12" s="1"/>
  <c r="F330" i="12"/>
  <c r="P129" i="12"/>
  <c r="Q129" i="12"/>
  <c r="M130" i="12" s="1"/>
  <c r="N130" i="12" s="1"/>
  <c r="AE130" i="12"/>
  <c r="AF130" i="12"/>
  <c r="Y131" i="12"/>
  <c r="Z131" i="12" s="1"/>
  <c r="U129" i="12"/>
  <c r="K330" i="12"/>
  <c r="L330" i="12" s="1"/>
  <c r="G331" i="12"/>
  <c r="B266" i="9"/>
  <c r="R192" i="9"/>
  <c r="U192" i="9" s="1"/>
  <c r="T192" i="9" s="1"/>
  <c r="V192" i="9" s="1"/>
  <c r="W192" i="9" s="1"/>
  <c r="X192" i="9" s="1"/>
  <c r="F170" i="12"/>
  <c r="B171" i="12" s="1"/>
  <c r="C331" i="12"/>
  <c r="D331" i="12"/>
  <c r="E331" i="12" s="1"/>
  <c r="B332" i="12"/>
  <c r="H332" i="12"/>
  <c r="J332" i="12" s="1"/>
  <c r="S332" i="12"/>
  <c r="AD332" i="12"/>
  <c r="A333" i="12"/>
  <c r="E330" i="12"/>
  <c r="I331" i="12"/>
  <c r="AE188" i="9"/>
  <c r="AF188" i="9" s="1"/>
  <c r="M145" i="9" l="1"/>
  <c r="L145" i="9" s="1"/>
  <c r="N145" i="9" s="1"/>
  <c r="O145" i="9" s="1"/>
  <c r="K331" i="12"/>
  <c r="L331" i="12" s="1"/>
  <c r="G332" i="12"/>
  <c r="I332" i="12" s="1"/>
  <c r="AG130" i="12"/>
  <c r="AH130" i="12" s="1"/>
  <c r="AC131" i="12"/>
  <c r="V129" i="12"/>
  <c r="W129" i="12" s="1"/>
  <c r="R130" i="12"/>
  <c r="AA131" i="12"/>
  <c r="O130" i="12"/>
  <c r="E266" i="9"/>
  <c r="D266" i="9"/>
  <c r="AH184" i="9"/>
  <c r="R193" i="9"/>
  <c r="U193" i="9" s="1"/>
  <c r="T193" i="9" s="1"/>
  <c r="V193" i="9" s="1"/>
  <c r="W193" i="9" s="1"/>
  <c r="X193" i="9" s="1"/>
  <c r="R194" i="9" s="1"/>
  <c r="Z189" i="9"/>
  <c r="AC189" i="9" s="1"/>
  <c r="AB189" i="9" s="1"/>
  <c r="AD189" i="9" s="1"/>
  <c r="AE189" i="9" s="1"/>
  <c r="AF189" i="9" s="1"/>
  <c r="Z190" i="9" s="1"/>
  <c r="C171" i="12"/>
  <c r="F331" i="12"/>
  <c r="C332" i="12"/>
  <c r="D332" i="12"/>
  <c r="E332" i="12" s="1"/>
  <c r="B333" i="12"/>
  <c r="H333" i="12"/>
  <c r="J333" i="12" s="1"/>
  <c r="S333" i="12"/>
  <c r="AD333" i="12"/>
  <c r="A334" i="12"/>
  <c r="F266" i="9" l="1"/>
  <c r="H266" i="9" s="1"/>
  <c r="G333" i="12"/>
  <c r="K332" i="12"/>
  <c r="L332" i="12" s="1"/>
  <c r="AB131" i="12"/>
  <c r="X132" i="12" s="1"/>
  <c r="Y132" i="12" s="1"/>
  <c r="Z132" i="12" s="1"/>
  <c r="AD131" i="12"/>
  <c r="D171" i="12"/>
  <c r="AA132" i="12"/>
  <c r="P130" i="12"/>
  <c r="Q130" i="12" s="1"/>
  <c r="M131" i="12" s="1"/>
  <c r="S130" i="12"/>
  <c r="B267" i="9"/>
  <c r="AK184" i="9"/>
  <c r="AJ184" i="9" s="1"/>
  <c r="AL184" i="9" s="1"/>
  <c r="AM184" i="9" s="1"/>
  <c r="AN184" i="9" s="1"/>
  <c r="AH185" i="9" s="1"/>
  <c r="D333" i="12"/>
  <c r="C333" i="12"/>
  <c r="B334" i="12"/>
  <c r="H334" i="12"/>
  <c r="J334" i="12" s="1"/>
  <c r="S334" i="12"/>
  <c r="AD334" i="12"/>
  <c r="A335" i="12"/>
  <c r="I333" i="12"/>
  <c r="F332" i="12"/>
  <c r="AC190" i="9"/>
  <c r="AB190" i="9" s="1"/>
  <c r="AD190" i="9" s="1"/>
  <c r="AE190" i="9" s="1"/>
  <c r="AF190" i="9" s="1"/>
  <c r="U194" i="9"/>
  <c r="T194" i="9"/>
  <c r="V194" i="9" s="1"/>
  <c r="W194" i="9" s="1"/>
  <c r="X194" i="9" s="1"/>
  <c r="P145" i="9"/>
  <c r="AK185" i="9" l="1"/>
  <c r="AJ185" i="9" s="1"/>
  <c r="AL185" i="9" s="1"/>
  <c r="AF131" i="12"/>
  <c r="AE131" i="12"/>
  <c r="E171" i="12"/>
  <c r="F171" i="12"/>
  <c r="B172" i="12" s="1"/>
  <c r="C172" i="12" s="1"/>
  <c r="D172" i="12" s="1"/>
  <c r="AB132" i="12"/>
  <c r="X133" i="12" s="1"/>
  <c r="AD132" i="12"/>
  <c r="AF132" i="12" s="1"/>
  <c r="Z133" i="12"/>
  <c r="Y133" i="12"/>
  <c r="N131" i="12"/>
  <c r="T130" i="12"/>
  <c r="U130" i="12"/>
  <c r="AG131" i="12"/>
  <c r="AH131" i="12" s="1"/>
  <c r="AC132" i="12"/>
  <c r="AE132" i="12" s="1"/>
  <c r="F172" i="12"/>
  <c r="B173" i="12" s="1"/>
  <c r="E172" i="12"/>
  <c r="E267" i="9"/>
  <c r="D267" i="9" s="1"/>
  <c r="F267" i="9" s="1"/>
  <c r="H267" i="9" s="1"/>
  <c r="Z191" i="9"/>
  <c r="AC191" i="9" s="1"/>
  <c r="AB191" i="9" s="1"/>
  <c r="AD191" i="9" s="1"/>
  <c r="R195" i="9"/>
  <c r="U195" i="9" s="1"/>
  <c r="T195" i="9" s="1"/>
  <c r="V195" i="9" s="1"/>
  <c r="W195" i="9" s="1"/>
  <c r="X195" i="9" s="1"/>
  <c r="J146" i="9"/>
  <c r="K333" i="12"/>
  <c r="L333" i="12" s="1"/>
  <c r="G334" i="12"/>
  <c r="I334" i="12" s="1"/>
  <c r="F333" i="12"/>
  <c r="D334" i="12"/>
  <c r="C334" i="12"/>
  <c r="F334" i="12" s="1"/>
  <c r="B335" i="12"/>
  <c r="H335" i="12"/>
  <c r="J335" i="12" s="1"/>
  <c r="S335" i="12"/>
  <c r="AD335" i="12"/>
  <c r="A336" i="12"/>
  <c r="E333" i="12"/>
  <c r="AM185" i="9" l="1"/>
  <c r="AN185" i="9" s="1"/>
  <c r="AH186" i="9" s="1"/>
  <c r="M146" i="9"/>
  <c r="L146" i="9" s="1"/>
  <c r="N146" i="9" s="1"/>
  <c r="O146" i="9"/>
  <c r="P146" i="9" s="1"/>
  <c r="V130" i="12"/>
  <c r="W130" i="12" s="1"/>
  <c r="R131" i="12"/>
  <c r="AG132" i="12"/>
  <c r="AH132" i="12" s="1"/>
  <c r="AC133" i="12"/>
  <c r="AA133" i="12"/>
  <c r="O131" i="12"/>
  <c r="P131" i="12"/>
  <c r="C173" i="12"/>
  <c r="D173" i="12" s="1"/>
  <c r="B268" i="9"/>
  <c r="R196" i="9"/>
  <c r="U196" i="9" s="1"/>
  <c r="T196" i="9" s="1"/>
  <c r="V196" i="9" s="1"/>
  <c r="W196" i="9" s="1"/>
  <c r="X196" i="9" s="1"/>
  <c r="R197" i="9" s="1"/>
  <c r="K334" i="12"/>
  <c r="L334" i="12" s="1"/>
  <c r="G335" i="12"/>
  <c r="I335" i="12" s="1"/>
  <c r="C335" i="12"/>
  <c r="D335" i="12"/>
  <c r="E335" i="12" s="1"/>
  <c r="B336" i="12"/>
  <c r="H336" i="12"/>
  <c r="J336" i="12" s="1"/>
  <c r="S336" i="12"/>
  <c r="AD336" i="12"/>
  <c r="A337" i="12"/>
  <c r="E334" i="12"/>
  <c r="AE191" i="9"/>
  <c r="AF191" i="9" s="1"/>
  <c r="S131" i="12" l="1"/>
  <c r="Q131" i="12"/>
  <c r="M132" i="12" s="1"/>
  <c r="N132" i="12"/>
  <c r="O132" i="12"/>
  <c r="AD133" i="12"/>
  <c r="AB133" i="12"/>
  <c r="F173" i="12"/>
  <c r="B174" i="12" s="1"/>
  <c r="E173" i="12"/>
  <c r="E268" i="9"/>
  <c r="D268" i="9"/>
  <c r="AK186" i="9"/>
  <c r="AJ186" i="9"/>
  <c r="AL186" i="9" s="1"/>
  <c r="AM186" i="9" s="1"/>
  <c r="AN186" i="9" s="1"/>
  <c r="AH187" i="9" s="1"/>
  <c r="Z192" i="9"/>
  <c r="AC192" i="9" s="1"/>
  <c r="AB192" i="9" s="1"/>
  <c r="AD192" i="9" s="1"/>
  <c r="AE192" i="9" s="1"/>
  <c r="AF192" i="9" s="1"/>
  <c r="Z193" i="9" s="1"/>
  <c r="AC193" i="9" s="1"/>
  <c r="AB193" i="9" s="1"/>
  <c r="AD193" i="9" s="1"/>
  <c r="AE193" i="9" s="1"/>
  <c r="AF193" i="9" s="1"/>
  <c r="Z194" i="9" s="1"/>
  <c r="C336" i="12"/>
  <c r="D336" i="12"/>
  <c r="E336" i="12" s="1"/>
  <c r="B337" i="12"/>
  <c r="H337" i="12"/>
  <c r="J337" i="12" s="1"/>
  <c r="S337" i="12"/>
  <c r="AD337" i="12"/>
  <c r="A338" i="12"/>
  <c r="F335" i="12"/>
  <c r="K335" i="12"/>
  <c r="L335" i="12" s="1"/>
  <c r="G336" i="12"/>
  <c r="I336" i="12" s="1"/>
  <c r="U197" i="9"/>
  <c r="T197" i="9" s="1"/>
  <c r="V197" i="9" s="1"/>
  <c r="W197" i="9" s="1"/>
  <c r="X197" i="9" s="1"/>
  <c r="J147" i="9"/>
  <c r="AK187" i="9" l="1"/>
  <c r="AJ187" i="9" s="1"/>
  <c r="AL187" i="9" s="1"/>
  <c r="T131" i="12"/>
  <c r="U131" i="12"/>
  <c r="P132" i="12"/>
  <c r="AE133" i="12"/>
  <c r="AF133" i="12"/>
  <c r="F35" i="11" a="1"/>
  <c r="X134" i="12"/>
  <c r="C174" i="12"/>
  <c r="D174" i="12" s="1"/>
  <c r="F268" i="9"/>
  <c r="H268" i="9" s="1"/>
  <c r="R198" i="9"/>
  <c r="U198" i="9" s="1"/>
  <c r="T198" i="9" s="1"/>
  <c r="V198" i="9" s="1"/>
  <c r="W198" i="9" s="1"/>
  <c r="F336" i="12"/>
  <c r="C337" i="12"/>
  <c r="D337" i="12"/>
  <c r="E337" i="12" s="1"/>
  <c r="B338" i="12"/>
  <c r="H338" i="12"/>
  <c r="J338" i="12" s="1"/>
  <c r="S338" i="12"/>
  <c r="AD338" i="12"/>
  <c r="A339" i="12"/>
  <c r="K336" i="12"/>
  <c r="L336" i="12" s="1"/>
  <c r="G337" i="12"/>
  <c r="I337" i="12" s="1"/>
  <c r="AC194" i="9"/>
  <c r="AB194" i="9" s="1"/>
  <c r="AD194" i="9" s="1"/>
  <c r="M147" i="9"/>
  <c r="L147" i="9" s="1"/>
  <c r="N147" i="9" s="1"/>
  <c r="O147" i="9" s="1"/>
  <c r="AM187" i="9" l="1"/>
  <c r="AN187" i="9" s="1"/>
  <c r="AH188" i="9" s="1"/>
  <c r="R132" i="12"/>
  <c r="V131" i="12"/>
  <c r="W131" i="12" s="1"/>
  <c r="AG133" i="12"/>
  <c r="AH133" i="12" s="1"/>
  <c r="G35" i="11" s="1" a="1"/>
  <c r="AC134" i="12"/>
  <c r="Y134" i="12"/>
  <c r="Q132" i="12"/>
  <c r="M133" i="12" s="1"/>
  <c r="S132" i="12"/>
  <c r="E174" i="12"/>
  <c r="F174" i="12"/>
  <c r="B175" i="12" s="1"/>
  <c r="C175" i="12" s="1"/>
  <c r="K337" i="12"/>
  <c r="L337" i="12" s="1"/>
  <c r="G338" i="12"/>
  <c r="I338" i="12" s="1"/>
  <c r="B269" i="9"/>
  <c r="C338" i="12"/>
  <c r="D338" i="12"/>
  <c r="E338" i="12" s="1"/>
  <c r="B339" i="12"/>
  <c r="H339" i="12"/>
  <c r="J339" i="12" s="1"/>
  <c r="S339" i="12"/>
  <c r="AD339" i="12"/>
  <c r="A340" i="12"/>
  <c r="F337" i="12"/>
  <c r="X198" i="9"/>
  <c r="AE194" i="9"/>
  <c r="AF194" i="9" s="1"/>
  <c r="P147" i="9"/>
  <c r="AK188" i="9" l="1"/>
  <c r="AJ188" i="9" s="1"/>
  <c r="AL188" i="9" s="1"/>
  <c r="N133" i="12"/>
  <c r="O133" i="12"/>
  <c r="U132" i="12"/>
  <c r="T132" i="12"/>
  <c r="Z134" i="12"/>
  <c r="E269" i="9"/>
  <c r="D269" i="9" s="1"/>
  <c r="F269" i="9" s="1"/>
  <c r="H269" i="9" s="1"/>
  <c r="R199" i="9"/>
  <c r="Z195" i="9"/>
  <c r="AC195" i="9" s="1"/>
  <c r="AB195" i="9" s="1"/>
  <c r="AD195" i="9" s="1"/>
  <c r="AE195" i="9" s="1"/>
  <c r="AF195" i="9" s="1"/>
  <c r="Z196" i="9" s="1"/>
  <c r="AC196" i="9" s="1"/>
  <c r="AB196" i="9" s="1"/>
  <c r="AD196" i="9" s="1"/>
  <c r="AE196" i="9" s="1"/>
  <c r="AF196" i="9" s="1"/>
  <c r="Z197" i="9" s="1"/>
  <c r="K338" i="12"/>
  <c r="L338" i="12" s="1"/>
  <c r="G339" i="12"/>
  <c r="I339" i="12" s="1"/>
  <c r="D175" i="12"/>
  <c r="C339" i="12"/>
  <c r="D339" i="12"/>
  <c r="B340" i="12"/>
  <c r="H340" i="12"/>
  <c r="J340" i="12" s="1"/>
  <c r="S340" i="12"/>
  <c r="AD340" i="12"/>
  <c r="A341" i="12"/>
  <c r="F338" i="12"/>
  <c r="J148" i="9"/>
  <c r="AM188" i="9" l="1"/>
  <c r="AN188" i="9" s="1"/>
  <c r="AH189" i="9" s="1"/>
  <c r="P133" i="12"/>
  <c r="V132" i="12"/>
  <c r="W132" i="12" s="1"/>
  <c r="R133" i="12"/>
  <c r="AA134" i="12"/>
  <c r="AB134" i="12" s="1"/>
  <c r="X135" i="12" s="1"/>
  <c r="AD134" i="12"/>
  <c r="Y135" i="12"/>
  <c r="Z135" i="12"/>
  <c r="B270" i="9"/>
  <c r="U199" i="9"/>
  <c r="T199" i="9"/>
  <c r="V199" i="9" s="1"/>
  <c r="F339" i="12"/>
  <c r="E175" i="12"/>
  <c r="F175" i="12"/>
  <c r="B176" i="12" s="1"/>
  <c r="C340" i="12"/>
  <c r="D340" i="12"/>
  <c r="B341" i="12"/>
  <c r="H341" i="12"/>
  <c r="J341" i="12" s="1"/>
  <c r="S341" i="12"/>
  <c r="AD341" i="12"/>
  <c r="A342" i="12"/>
  <c r="E339" i="12"/>
  <c r="K339" i="12"/>
  <c r="L339" i="12" s="1"/>
  <c r="G340" i="12"/>
  <c r="I340" i="12" s="1"/>
  <c r="AC197" i="9"/>
  <c r="AB197" i="9" s="1"/>
  <c r="AD197" i="9" s="1"/>
  <c r="M148" i="9"/>
  <c r="L148" i="9" s="1"/>
  <c r="N148" i="9" s="1"/>
  <c r="O148" i="9" s="1"/>
  <c r="AK189" i="9" l="1"/>
  <c r="AJ189" i="9" s="1"/>
  <c r="AL189" i="9" s="1"/>
  <c r="AM189" i="9" s="1"/>
  <c r="AN189" i="9" s="1"/>
  <c r="AH190" i="9" s="1"/>
  <c r="S133" i="12"/>
  <c r="Q133" i="12"/>
  <c r="K340" i="12"/>
  <c r="L340" i="12" s="1"/>
  <c r="G341" i="12"/>
  <c r="I341" i="12" s="1"/>
  <c r="AE134" i="12"/>
  <c r="AF134" i="12"/>
  <c r="AA135" i="12"/>
  <c r="E270" i="9"/>
  <c r="D270" i="9"/>
  <c r="W199" i="9"/>
  <c r="X199" i="9" s="1"/>
  <c r="R200" i="9" s="1"/>
  <c r="C176" i="12"/>
  <c r="D176" i="12"/>
  <c r="E176" i="12" s="1"/>
  <c r="E340" i="12"/>
  <c r="C341" i="12"/>
  <c r="D341" i="12"/>
  <c r="B342" i="12"/>
  <c r="H342" i="12"/>
  <c r="J342" i="12" s="1"/>
  <c r="S342" i="12"/>
  <c r="AD342" i="12"/>
  <c r="A343" i="12"/>
  <c r="F340" i="12"/>
  <c r="AE197" i="9"/>
  <c r="AF197" i="9" s="1"/>
  <c r="P148" i="9"/>
  <c r="AK190" i="9" l="1"/>
  <c r="AJ190" i="9" s="1"/>
  <c r="AL190" i="9" s="1"/>
  <c r="AM190" i="9"/>
  <c r="T133" i="12"/>
  <c r="U133" i="12"/>
  <c r="D35" i="11" a="1"/>
  <c r="M134" i="12"/>
  <c r="F270" i="9"/>
  <c r="H270" i="9" s="1"/>
  <c r="B271" i="9" s="1"/>
  <c r="E341" i="12"/>
  <c r="AG134" i="12"/>
  <c r="AH134" i="12" s="1"/>
  <c r="AC135" i="12"/>
  <c r="F176" i="12"/>
  <c r="B177" i="12" s="1"/>
  <c r="C177" i="12" s="1"/>
  <c r="AB135" i="12"/>
  <c r="X136" i="12" s="1"/>
  <c r="AD135" i="12"/>
  <c r="AF135" i="12" s="1"/>
  <c r="U200" i="9"/>
  <c r="T200" i="9" s="1"/>
  <c r="V200" i="9" s="1"/>
  <c r="W200" i="9" s="1"/>
  <c r="X200" i="9" s="1"/>
  <c r="R201" i="9" s="1"/>
  <c r="Z198" i="9"/>
  <c r="AC198" i="9" s="1"/>
  <c r="AB198" i="9" s="1"/>
  <c r="AD198" i="9" s="1"/>
  <c r="AE198" i="9" s="1"/>
  <c r="AF198" i="9" s="1"/>
  <c r="Z199" i="9" s="1"/>
  <c r="C342" i="12"/>
  <c r="F342" i="12" s="1"/>
  <c r="D342" i="12"/>
  <c r="B343" i="12"/>
  <c r="H343" i="12"/>
  <c r="J343" i="12" s="1"/>
  <c r="S343" i="12"/>
  <c r="AD343" i="12"/>
  <c r="A344" i="12"/>
  <c r="F341" i="12"/>
  <c r="K341" i="12"/>
  <c r="L341" i="12" s="1"/>
  <c r="G342" i="12"/>
  <c r="I342" i="12" s="1"/>
  <c r="J149" i="9"/>
  <c r="AN190" i="9" l="1"/>
  <c r="AH191" i="9" s="1"/>
  <c r="V133" i="12"/>
  <c r="W133" i="12" s="1"/>
  <c r="E35" i="11" s="1" a="1"/>
  <c r="H35" i="11" s="1"/>
  <c r="R134" i="12"/>
  <c r="T134" i="12" s="1"/>
  <c r="N134" i="12"/>
  <c r="P134" i="12" s="1"/>
  <c r="S134" i="12" s="1"/>
  <c r="U134" i="12" s="1"/>
  <c r="O134" i="12"/>
  <c r="Y136" i="12"/>
  <c r="Z136" i="12"/>
  <c r="AE135" i="12"/>
  <c r="E271" i="9"/>
  <c r="D271" i="9" s="1"/>
  <c r="F271" i="9" s="1"/>
  <c r="H271" i="9" s="1"/>
  <c r="U201" i="9"/>
  <c r="T201" i="9"/>
  <c r="V201" i="9" s="1"/>
  <c r="W201" i="9" s="1"/>
  <c r="X201" i="9" s="1"/>
  <c r="R202" i="9" s="1"/>
  <c r="U202" i="9" s="1"/>
  <c r="T202" i="9" s="1"/>
  <c r="V202" i="9" s="1"/>
  <c r="W202" i="9" s="1"/>
  <c r="X202" i="9" s="1"/>
  <c r="R203" i="9" s="1"/>
  <c r="U203" i="9" s="1"/>
  <c r="T203" i="9" s="1"/>
  <c r="V203" i="9" s="1"/>
  <c r="K342" i="12"/>
  <c r="L342" i="12" s="1"/>
  <c r="G343" i="12"/>
  <c r="I343" i="12" s="1"/>
  <c r="E342" i="12"/>
  <c r="D177" i="12"/>
  <c r="C343" i="12"/>
  <c r="D343" i="12"/>
  <c r="E343" i="12" s="1"/>
  <c r="B344" i="12"/>
  <c r="H344" i="12"/>
  <c r="J344" i="12" s="1"/>
  <c r="S344" i="12"/>
  <c r="AD344" i="12"/>
  <c r="A345" i="12"/>
  <c r="AC199" i="9"/>
  <c r="AB199" i="9" s="1"/>
  <c r="AD199" i="9" s="1"/>
  <c r="M149" i="9"/>
  <c r="L149" i="9" s="1"/>
  <c r="N149" i="9" s="1"/>
  <c r="O149" i="9" s="1"/>
  <c r="AK191" i="9" l="1"/>
  <c r="AJ191" i="9" s="1"/>
  <c r="AL191" i="9" s="1"/>
  <c r="AM191" i="9" s="1"/>
  <c r="Q134" i="12"/>
  <c r="M135" i="12" s="1"/>
  <c r="R135" i="12"/>
  <c r="V134" i="12"/>
  <c r="W134" i="12" s="1"/>
  <c r="AG135" i="12"/>
  <c r="AH135" i="12" s="1"/>
  <c r="AC136" i="12"/>
  <c r="AA136" i="12"/>
  <c r="B272" i="9"/>
  <c r="E177" i="12"/>
  <c r="F177" i="12"/>
  <c r="B178" i="12" s="1"/>
  <c r="C344" i="12"/>
  <c r="D344" i="12"/>
  <c r="E344" i="12" s="1"/>
  <c r="B345" i="12"/>
  <c r="H345" i="12"/>
  <c r="J345" i="12" s="1"/>
  <c r="S345" i="12"/>
  <c r="AD345" i="12"/>
  <c r="A346" i="12"/>
  <c r="F343" i="12"/>
  <c r="K343" i="12"/>
  <c r="L343" i="12" s="1"/>
  <c r="G344" i="12"/>
  <c r="I344" i="12" s="1"/>
  <c r="W203" i="9"/>
  <c r="X203" i="9" s="1"/>
  <c r="AE199" i="9"/>
  <c r="AF199" i="9" s="1"/>
  <c r="P149" i="9"/>
  <c r="AN191" i="9" l="1"/>
  <c r="AH192" i="9" s="1"/>
  <c r="N135" i="12"/>
  <c r="AB136" i="12"/>
  <c r="X137" i="12" s="1"/>
  <c r="AD136" i="12"/>
  <c r="E272" i="9"/>
  <c r="D272" i="9" s="1"/>
  <c r="F272" i="9" s="1"/>
  <c r="H272" i="9" s="1"/>
  <c r="R204" i="9"/>
  <c r="U204" i="9" s="1"/>
  <c r="T204" i="9" s="1"/>
  <c r="V204" i="9" s="1"/>
  <c r="W204" i="9" s="1"/>
  <c r="X204" i="9" s="1"/>
  <c r="R205" i="9" s="1"/>
  <c r="Z200" i="9"/>
  <c r="AC200" i="9" s="1"/>
  <c r="AB200" i="9" s="1"/>
  <c r="AD200" i="9" s="1"/>
  <c r="AE200" i="9" s="1"/>
  <c r="AF200" i="9" s="1"/>
  <c r="Z201" i="9" s="1"/>
  <c r="K344" i="12"/>
  <c r="L344" i="12" s="1"/>
  <c r="G345" i="12"/>
  <c r="I345" i="12" s="1"/>
  <c r="C178" i="12"/>
  <c r="D178" i="12"/>
  <c r="E178" i="12" s="1"/>
  <c r="C345" i="12"/>
  <c r="D345" i="12"/>
  <c r="E345" i="12" s="1"/>
  <c r="B346" i="12"/>
  <c r="H346" i="12"/>
  <c r="J346" i="12" s="1"/>
  <c r="S346" i="12"/>
  <c r="AD346" i="12"/>
  <c r="A347" i="12"/>
  <c r="F344" i="12"/>
  <c r="J150" i="9"/>
  <c r="AK192" i="9" l="1"/>
  <c r="AJ192" i="9" s="1"/>
  <c r="AL192" i="9" s="1"/>
  <c r="AM192" i="9" s="1"/>
  <c r="AN192" i="9" s="1"/>
  <c r="AH193" i="9" s="1"/>
  <c r="O135" i="12"/>
  <c r="Y137" i="12"/>
  <c r="Z137" i="12"/>
  <c r="AA137" i="12" s="1"/>
  <c r="AB137" i="12" s="1"/>
  <c r="X138" i="12" s="1"/>
  <c r="AE136" i="12"/>
  <c r="AF136" i="12"/>
  <c r="B273" i="9"/>
  <c r="F178" i="12"/>
  <c r="B179" i="12" s="1"/>
  <c r="C346" i="12"/>
  <c r="D346" i="12"/>
  <c r="E346" i="12" s="1"/>
  <c r="B347" i="12"/>
  <c r="H347" i="12"/>
  <c r="J347" i="12" s="1"/>
  <c r="S347" i="12"/>
  <c r="AD347" i="12"/>
  <c r="A348" i="12"/>
  <c r="F345" i="12"/>
  <c r="K345" i="12"/>
  <c r="L345" i="12" s="1"/>
  <c r="G346" i="12"/>
  <c r="I346" i="12" s="1"/>
  <c r="U205" i="9"/>
  <c r="T205" i="9" s="1"/>
  <c r="V205" i="9" s="1"/>
  <c r="W205" i="9" s="1"/>
  <c r="AC201" i="9"/>
  <c r="AB201" i="9" s="1"/>
  <c r="AD201" i="9" s="1"/>
  <c r="AE201" i="9" s="1"/>
  <c r="AF201" i="9" s="1"/>
  <c r="M150" i="9"/>
  <c r="L150" i="9" s="1"/>
  <c r="N150" i="9" s="1"/>
  <c r="O150" i="9" s="1"/>
  <c r="AK193" i="9" l="1"/>
  <c r="AJ193" i="9" s="1"/>
  <c r="AL193" i="9" s="1"/>
  <c r="P135" i="12"/>
  <c r="Q135" i="12" s="1"/>
  <c r="M136" i="12" s="1"/>
  <c r="N136" i="12" s="1"/>
  <c r="S135" i="12"/>
  <c r="Y138" i="12"/>
  <c r="AC137" i="12"/>
  <c r="AG136" i="12"/>
  <c r="AH136" i="12" s="1"/>
  <c r="AD137" i="12"/>
  <c r="AF137" i="12" s="1"/>
  <c r="D273" i="9"/>
  <c r="E273" i="9"/>
  <c r="Z202" i="9"/>
  <c r="AC202" i="9" s="1"/>
  <c r="AB202" i="9" s="1"/>
  <c r="AD202" i="9" s="1"/>
  <c r="K346" i="12"/>
  <c r="L346" i="12" s="1"/>
  <c r="G347" i="12"/>
  <c r="I347" i="12" s="1"/>
  <c r="C179" i="12"/>
  <c r="D179" i="12" s="1"/>
  <c r="C347" i="12"/>
  <c r="D347" i="12"/>
  <c r="E347" i="12" s="1"/>
  <c r="B348" i="12"/>
  <c r="H348" i="12"/>
  <c r="J348" i="12" s="1"/>
  <c r="S348" i="12"/>
  <c r="AD348" i="12"/>
  <c r="A349" i="12"/>
  <c r="F346" i="12"/>
  <c r="P150" i="9"/>
  <c r="X205" i="9"/>
  <c r="AM193" i="9" l="1"/>
  <c r="AN193" i="9" s="1"/>
  <c r="AH194" i="9" s="1"/>
  <c r="T135" i="12"/>
  <c r="U135" i="12"/>
  <c r="F273" i="9"/>
  <c r="H273" i="9" s="1"/>
  <c r="B274" i="9" s="1"/>
  <c r="O136" i="12"/>
  <c r="P136" i="12" s="1"/>
  <c r="AE137" i="12"/>
  <c r="Z138" i="12"/>
  <c r="J151" i="9"/>
  <c r="R206" i="9"/>
  <c r="U206" i="9" s="1"/>
  <c r="T206" i="9" s="1"/>
  <c r="V206" i="9" s="1"/>
  <c r="W206" i="9" s="1"/>
  <c r="X206" i="9" s="1"/>
  <c r="K347" i="12"/>
  <c r="L347" i="12" s="1"/>
  <c r="G348" i="12"/>
  <c r="I348" i="12" s="1"/>
  <c r="E179" i="12"/>
  <c r="F179" i="12"/>
  <c r="B180" i="12" s="1"/>
  <c r="C348" i="12"/>
  <c r="D348" i="12"/>
  <c r="E348" i="12" s="1"/>
  <c r="B349" i="12"/>
  <c r="H349" i="12"/>
  <c r="J349" i="12" s="1"/>
  <c r="S349" i="12"/>
  <c r="AD349" i="12"/>
  <c r="A350" i="12"/>
  <c r="F347" i="12"/>
  <c r="AE202" i="9"/>
  <c r="AF202" i="9" s="1"/>
  <c r="AJ194" i="9" l="1"/>
  <c r="AL194" i="9" s="1"/>
  <c r="AM194" i="9" s="1"/>
  <c r="AN194" i="9" s="1"/>
  <c r="AH195" i="9" s="1"/>
  <c r="AK194" i="9"/>
  <c r="V135" i="12"/>
  <c r="W135" i="12" s="1"/>
  <c r="R136" i="12"/>
  <c r="Q136" i="12"/>
  <c r="M137" i="12" s="1"/>
  <c r="S136" i="12"/>
  <c r="AC138" i="12"/>
  <c r="AG137" i="12"/>
  <c r="AH137" i="12" s="1"/>
  <c r="N137" i="12"/>
  <c r="AA138" i="12"/>
  <c r="E274" i="9"/>
  <c r="D274" i="9" s="1"/>
  <c r="F274" i="9" s="1"/>
  <c r="H274" i="9" s="1"/>
  <c r="M151" i="9"/>
  <c r="L151" i="9"/>
  <c r="N151" i="9" s="1"/>
  <c r="O151" i="9" s="1"/>
  <c r="P151" i="9" s="1"/>
  <c r="R207" i="9"/>
  <c r="U207" i="9" s="1"/>
  <c r="T207" i="9" s="1"/>
  <c r="V207" i="9" s="1"/>
  <c r="Z203" i="9"/>
  <c r="AC203" i="9" s="1"/>
  <c r="AB203" i="9" s="1"/>
  <c r="AD203" i="9" s="1"/>
  <c r="AE203" i="9" s="1"/>
  <c r="AF203" i="9" s="1"/>
  <c r="Z204" i="9" s="1"/>
  <c r="G349" i="12"/>
  <c r="I349" i="12" s="1"/>
  <c r="K348" i="12"/>
  <c r="L348" i="12" s="1"/>
  <c r="C180" i="12"/>
  <c r="D180" i="12"/>
  <c r="E180" i="12" s="1"/>
  <c r="D349" i="12"/>
  <c r="C349" i="12"/>
  <c r="F349" i="12" s="1"/>
  <c r="B350" i="12"/>
  <c r="H350" i="12"/>
  <c r="J350" i="12" s="1"/>
  <c r="S350" i="12"/>
  <c r="AD350" i="12"/>
  <c r="A351" i="12"/>
  <c r="F348" i="12"/>
  <c r="AJ195" i="9" l="1"/>
  <c r="AL195" i="9" s="1"/>
  <c r="AM195" i="9" s="1"/>
  <c r="AN195" i="9" s="1"/>
  <c r="AH196" i="9" s="1"/>
  <c r="AK195" i="9"/>
  <c r="T136" i="12"/>
  <c r="U136" i="12"/>
  <c r="V136" i="12"/>
  <c r="W136" i="12" s="1"/>
  <c r="R137" i="12"/>
  <c r="O137" i="12"/>
  <c r="AD138" i="12"/>
  <c r="AB138" i="12"/>
  <c r="X139" i="12" s="1"/>
  <c r="B275" i="9"/>
  <c r="J152" i="9"/>
  <c r="K349" i="12"/>
  <c r="L349" i="12" s="1"/>
  <c r="G350" i="12"/>
  <c r="I350" i="12" s="1"/>
  <c r="F180" i="12"/>
  <c r="B181" i="12" s="1"/>
  <c r="D350" i="12"/>
  <c r="C350" i="12"/>
  <c r="B351" i="12"/>
  <c r="H351" i="12"/>
  <c r="J351" i="12" s="1"/>
  <c r="S351" i="12"/>
  <c r="AD351" i="12"/>
  <c r="A352" i="12"/>
  <c r="E349" i="12"/>
  <c r="W207" i="9"/>
  <c r="X207" i="9" s="1"/>
  <c r="AC204" i="9"/>
  <c r="AB204" i="9" s="1"/>
  <c r="AD204" i="9" s="1"/>
  <c r="AE204" i="9" s="1"/>
  <c r="AF204" i="9" s="1"/>
  <c r="AK196" i="9" l="1"/>
  <c r="AJ196" i="9" s="1"/>
  <c r="AL196" i="9" s="1"/>
  <c r="AM196" i="9" s="1"/>
  <c r="AN196" i="9" s="1"/>
  <c r="AH197" i="9" s="1"/>
  <c r="M152" i="9"/>
  <c r="L152" i="9" s="1"/>
  <c r="N152" i="9" s="1"/>
  <c r="O152" i="9"/>
  <c r="P152" i="9" s="1"/>
  <c r="F350" i="12"/>
  <c r="AE138" i="12"/>
  <c r="AF138" i="12"/>
  <c r="Y139" i="12"/>
  <c r="Z139" i="12" s="1"/>
  <c r="AA139" i="12" s="1"/>
  <c r="AB139" i="12" s="1"/>
  <c r="X140" i="12" s="1"/>
  <c r="P137" i="12"/>
  <c r="E275" i="9"/>
  <c r="D275" i="9"/>
  <c r="F275" i="9" s="1"/>
  <c r="H275" i="9" s="1"/>
  <c r="R208" i="9"/>
  <c r="U208" i="9" s="1"/>
  <c r="T208" i="9" s="1"/>
  <c r="V208" i="9" s="1"/>
  <c r="W208" i="9" s="1"/>
  <c r="Z205" i="9"/>
  <c r="AC205" i="9" s="1"/>
  <c r="AB205" i="9" s="1"/>
  <c r="AD205" i="9" s="1"/>
  <c r="AE205" i="9" s="1"/>
  <c r="AF205" i="9" s="1"/>
  <c r="Z206" i="9" s="1"/>
  <c r="G351" i="12"/>
  <c r="I351" i="12" s="1"/>
  <c r="K350" i="12"/>
  <c r="L350" i="12" s="1"/>
  <c r="C181" i="12"/>
  <c r="D181" i="12"/>
  <c r="E181" i="12" s="1"/>
  <c r="F181" i="12"/>
  <c r="D351" i="12"/>
  <c r="C351" i="12"/>
  <c r="F351" i="12" s="1"/>
  <c r="B352" i="12"/>
  <c r="H352" i="12"/>
  <c r="J352" i="12" s="1"/>
  <c r="S352" i="12"/>
  <c r="AD352" i="12"/>
  <c r="A353" i="12"/>
  <c r="E350" i="12"/>
  <c r="AG138" i="12" l="1"/>
  <c r="AH138" i="12" s="1"/>
  <c r="AC139" i="12"/>
  <c r="Y140" i="12"/>
  <c r="AD139" i="12"/>
  <c r="AF139" i="12" s="1"/>
  <c r="S137" i="12"/>
  <c r="Q137" i="12"/>
  <c r="M138" i="12" s="1"/>
  <c r="B276" i="9"/>
  <c r="AK197" i="9"/>
  <c r="AJ197" i="9"/>
  <c r="AL197" i="9" s="1"/>
  <c r="AM197" i="9" s="1"/>
  <c r="AN197" i="9" s="1"/>
  <c r="AH198" i="9" s="1"/>
  <c r="J153" i="9"/>
  <c r="B39" i="11" a="1"/>
  <c r="B182" i="12"/>
  <c r="D352" i="12"/>
  <c r="C352" i="12"/>
  <c r="B353" i="12"/>
  <c r="H353" i="12"/>
  <c r="J353" i="12" s="1"/>
  <c r="S353" i="12"/>
  <c r="AD353" i="12"/>
  <c r="A354" i="12"/>
  <c r="E351" i="12"/>
  <c r="K351" i="12"/>
  <c r="L351" i="12" s="1"/>
  <c r="G352" i="12"/>
  <c r="I352" i="12" s="1"/>
  <c r="X208" i="9"/>
  <c r="AC206" i="9"/>
  <c r="AB206" i="9" s="1"/>
  <c r="AD206" i="9" s="1"/>
  <c r="AE206" i="9" s="1"/>
  <c r="AF206" i="9" s="1"/>
  <c r="U137" i="12" l="1"/>
  <c r="T137" i="12"/>
  <c r="N138" i="12"/>
  <c r="O138" i="12"/>
  <c r="AE139" i="12"/>
  <c r="Z140" i="12"/>
  <c r="AA140" i="12"/>
  <c r="G353" i="12"/>
  <c r="I353" i="12" s="1"/>
  <c r="K352" i="12"/>
  <c r="L352" i="12" s="1"/>
  <c r="E276" i="9"/>
  <c r="D276" i="9"/>
  <c r="F276" i="9" s="1"/>
  <c r="H276" i="9" s="1"/>
  <c r="M153" i="9"/>
  <c r="L153" i="9" s="1"/>
  <c r="N153" i="9" s="1"/>
  <c r="O153" i="9" s="1"/>
  <c r="P153" i="9" s="1"/>
  <c r="J154" i="9" s="1"/>
  <c r="AK198" i="9"/>
  <c r="AJ198" i="9"/>
  <c r="AL198" i="9" s="1"/>
  <c r="AM198" i="9" s="1"/>
  <c r="R209" i="9"/>
  <c r="U209" i="9" s="1"/>
  <c r="T209" i="9" s="1"/>
  <c r="V209" i="9" s="1"/>
  <c r="W209" i="9" s="1"/>
  <c r="Z207" i="9"/>
  <c r="AC207" i="9" s="1"/>
  <c r="AB207" i="9" s="1"/>
  <c r="AD207" i="9" s="1"/>
  <c r="AE207" i="9" s="1"/>
  <c r="C182" i="12"/>
  <c r="D182" i="12"/>
  <c r="E182" i="12" s="1"/>
  <c r="F352" i="12"/>
  <c r="D353" i="12"/>
  <c r="C353" i="12"/>
  <c r="F353" i="12" s="1"/>
  <c r="B354" i="12"/>
  <c r="H354" i="12"/>
  <c r="J354" i="12" s="1"/>
  <c r="S354" i="12"/>
  <c r="AD354" i="12"/>
  <c r="A355" i="12"/>
  <c r="E352" i="12"/>
  <c r="M154" i="9" l="1"/>
  <c r="L154" i="9" s="1"/>
  <c r="N154" i="9" s="1"/>
  <c r="V137" i="12"/>
  <c r="W137" i="12" s="1"/>
  <c r="R138" i="12"/>
  <c r="AC140" i="12"/>
  <c r="AG139" i="12"/>
  <c r="AH139" i="12" s="1"/>
  <c r="P138" i="12"/>
  <c r="AD140" i="12"/>
  <c r="AF140" i="12" s="1"/>
  <c r="AB140" i="12"/>
  <c r="X141" i="12" s="1"/>
  <c r="B277" i="9"/>
  <c r="F182" i="12"/>
  <c r="B183" i="12" s="1"/>
  <c r="D354" i="12"/>
  <c r="C354" i="12"/>
  <c r="F354" i="12" s="1"/>
  <c r="B355" i="12"/>
  <c r="H355" i="12"/>
  <c r="J355" i="12" s="1"/>
  <c r="S355" i="12"/>
  <c r="AD355" i="12"/>
  <c r="A356" i="12"/>
  <c r="E353" i="12"/>
  <c r="K353" i="12"/>
  <c r="L353" i="12" s="1"/>
  <c r="G354" i="12"/>
  <c r="I354" i="12" s="1"/>
  <c r="AN198" i="9"/>
  <c r="X209" i="9"/>
  <c r="AF207" i="9"/>
  <c r="O154" i="9" l="1"/>
  <c r="P154" i="9" s="1"/>
  <c r="J155" i="9" s="1"/>
  <c r="AE140" i="12"/>
  <c r="AG140" i="12"/>
  <c r="AH140" i="12" s="1"/>
  <c r="AC141" i="12"/>
  <c r="Q138" i="12"/>
  <c r="M139" i="12" s="1"/>
  <c r="S138" i="12"/>
  <c r="Z141" i="12"/>
  <c r="Y141" i="12"/>
  <c r="E277" i="9"/>
  <c r="D277" i="9"/>
  <c r="F277" i="9" s="1"/>
  <c r="H277" i="9" s="1"/>
  <c r="AH199" i="9"/>
  <c r="R210" i="9"/>
  <c r="U210" i="9" s="1"/>
  <c r="T210" i="9" s="1"/>
  <c r="V210" i="9" s="1"/>
  <c r="W210" i="9" s="1"/>
  <c r="X210" i="9" s="1"/>
  <c r="R211" i="9" s="1"/>
  <c r="Z208" i="9"/>
  <c r="AC208" i="9" s="1"/>
  <c r="AB208" i="9" s="1"/>
  <c r="AD208" i="9" s="1"/>
  <c r="AE208" i="9" s="1"/>
  <c r="AF208" i="9" s="1"/>
  <c r="Z209" i="9" s="1"/>
  <c r="AC209" i="9" s="1"/>
  <c r="AB209" i="9" s="1"/>
  <c r="AD209" i="9" s="1"/>
  <c r="AE209" i="9" s="1"/>
  <c r="K354" i="12"/>
  <c r="L354" i="12" s="1"/>
  <c r="G355" i="12"/>
  <c r="I355" i="12" s="1"/>
  <c r="C183" i="12"/>
  <c r="D183" i="12" s="1"/>
  <c r="D355" i="12"/>
  <c r="C355" i="12"/>
  <c r="F355" i="12" s="1"/>
  <c r="B356" i="12"/>
  <c r="H356" i="12"/>
  <c r="J356" i="12" s="1"/>
  <c r="S356" i="12"/>
  <c r="AD356" i="12"/>
  <c r="A357" i="12"/>
  <c r="E354" i="12"/>
  <c r="M155" i="9" l="1"/>
  <c r="L155" i="9" s="1"/>
  <c r="N155" i="9" s="1"/>
  <c r="N139" i="12"/>
  <c r="T138" i="12"/>
  <c r="U138" i="12"/>
  <c r="AA141" i="12"/>
  <c r="B278" i="9"/>
  <c r="AK199" i="9"/>
  <c r="AJ199" i="9"/>
  <c r="AL199" i="9" s="1"/>
  <c r="AM199" i="9" s="1"/>
  <c r="G356" i="12"/>
  <c r="I356" i="12" s="1"/>
  <c r="K355" i="12"/>
  <c r="L355" i="12" s="1"/>
  <c r="F183" i="12"/>
  <c r="B184" i="12" s="1"/>
  <c r="E183" i="12"/>
  <c r="D356" i="12"/>
  <c r="C356" i="12"/>
  <c r="F356" i="12" s="1"/>
  <c r="B357" i="12"/>
  <c r="H357" i="12"/>
  <c r="J357" i="12" s="1"/>
  <c r="S357" i="12"/>
  <c r="AD357" i="12"/>
  <c r="A358" i="12"/>
  <c r="E355" i="12"/>
  <c r="U211" i="9"/>
  <c r="T211" i="9" s="1"/>
  <c r="V211" i="9" s="1"/>
  <c r="W211" i="9" s="1"/>
  <c r="AF209" i="9"/>
  <c r="O155" i="9" l="1"/>
  <c r="P155" i="9" s="1"/>
  <c r="J156" i="9" s="1"/>
  <c r="AB141" i="12"/>
  <c r="X142" i="12" s="1"/>
  <c r="AD141" i="12"/>
  <c r="K356" i="12"/>
  <c r="L356" i="12" s="1"/>
  <c r="G357" i="12"/>
  <c r="I357" i="12" s="1"/>
  <c r="V138" i="12"/>
  <c r="W138" i="12" s="1"/>
  <c r="R139" i="12"/>
  <c r="Y142" i="12"/>
  <c r="O139" i="12"/>
  <c r="P139" i="12"/>
  <c r="D278" i="9"/>
  <c r="E278" i="9"/>
  <c r="Z210" i="9"/>
  <c r="AC210" i="9" s="1"/>
  <c r="AB210" i="9" s="1"/>
  <c r="AD210" i="9" s="1"/>
  <c r="AE210" i="9" s="1"/>
  <c r="C184" i="12"/>
  <c r="D184" i="12"/>
  <c r="E184" i="12" s="1"/>
  <c r="F184" i="12"/>
  <c r="B185" i="12" s="1"/>
  <c r="D357" i="12"/>
  <c r="C357" i="12"/>
  <c r="F357" i="12" s="1"/>
  <c r="B358" i="12"/>
  <c r="H358" i="12"/>
  <c r="J358" i="12" s="1"/>
  <c r="S358" i="12"/>
  <c r="AD358" i="12"/>
  <c r="A359" i="12"/>
  <c r="E356" i="12"/>
  <c r="AN199" i="9"/>
  <c r="X211" i="9"/>
  <c r="M156" i="9" l="1"/>
  <c r="L156" i="9" s="1"/>
  <c r="N156" i="9" s="1"/>
  <c r="AF141" i="12"/>
  <c r="AE141" i="12"/>
  <c r="G358" i="12"/>
  <c r="I358" i="12" s="1"/>
  <c r="K357" i="12"/>
  <c r="L357" i="12" s="1"/>
  <c r="S139" i="12"/>
  <c r="Q139" i="12"/>
  <c r="M140" i="12" s="1"/>
  <c r="Z142" i="12"/>
  <c r="AA142" i="12"/>
  <c r="F278" i="9"/>
  <c r="H278" i="9" s="1"/>
  <c r="B279" i="9" s="1"/>
  <c r="AH200" i="9"/>
  <c r="R212" i="9"/>
  <c r="U212" i="9" s="1"/>
  <c r="T212" i="9" s="1"/>
  <c r="V212" i="9" s="1"/>
  <c r="W212" i="9" s="1"/>
  <c r="X212" i="9" s="1"/>
  <c r="R213" i="9" s="1"/>
  <c r="C185" i="12"/>
  <c r="D185" i="12"/>
  <c r="E185" i="12" s="1"/>
  <c r="D358" i="12"/>
  <c r="C358" i="12"/>
  <c r="B359" i="12"/>
  <c r="H359" i="12"/>
  <c r="J359" i="12" s="1"/>
  <c r="S359" i="12"/>
  <c r="AD359" i="12"/>
  <c r="A360" i="12"/>
  <c r="E357" i="12"/>
  <c r="AF210" i="9"/>
  <c r="O156" i="9" l="1"/>
  <c r="P156" i="9" s="1"/>
  <c r="J157" i="9" s="1"/>
  <c r="AG141" i="12"/>
  <c r="AH141" i="12" s="1"/>
  <c r="AC142" i="12"/>
  <c r="T139" i="12"/>
  <c r="U139" i="12"/>
  <c r="N140" i="12"/>
  <c r="O140" i="12" s="1"/>
  <c r="F185" i="12"/>
  <c r="B186" i="12" s="1"/>
  <c r="C186" i="12" s="1"/>
  <c r="AD142" i="12"/>
  <c r="AB142" i="12"/>
  <c r="X143" i="12" s="1"/>
  <c r="D279" i="9"/>
  <c r="E279" i="9"/>
  <c r="AK200" i="9"/>
  <c r="AJ200" i="9"/>
  <c r="AL200" i="9" s="1"/>
  <c r="AM200" i="9" s="1"/>
  <c r="Z211" i="9"/>
  <c r="AC211" i="9" s="1"/>
  <c r="AB211" i="9" s="1"/>
  <c r="AD211" i="9" s="1"/>
  <c r="AE211" i="9" s="1"/>
  <c r="AF211" i="9" s="1"/>
  <c r="Z212" i="9" s="1"/>
  <c r="AC212" i="9" s="1"/>
  <c r="AB212" i="9" s="1"/>
  <c r="AD212" i="9" s="1"/>
  <c r="AE212" i="9" s="1"/>
  <c r="AF212" i="9" s="1"/>
  <c r="Z213" i="9" s="1"/>
  <c r="F358" i="12"/>
  <c r="D359" i="12"/>
  <c r="C359" i="12"/>
  <c r="F359" i="12" s="1"/>
  <c r="B360" i="12"/>
  <c r="H360" i="12"/>
  <c r="J360" i="12" s="1"/>
  <c r="S360" i="12"/>
  <c r="AD360" i="12"/>
  <c r="A361" i="12"/>
  <c r="E358" i="12"/>
  <c r="K358" i="12"/>
  <c r="L358" i="12" s="1"/>
  <c r="G359" i="12"/>
  <c r="I359" i="12" s="1"/>
  <c r="U213" i="9"/>
  <c r="T213" i="9" s="1"/>
  <c r="V213" i="9" s="1"/>
  <c r="W213" i="9" s="1"/>
  <c r="X213" i="9" s="1"/>
  <c r="M157" i="9" l="1"/>
  <c r="L157" i="9" s="1"/>
  <c r="N157" i="9" s="1"/>
  <c r="O157" i="9" s="1"/>
  <c r="K359" i="12"/>
  <c r="L359" i="12" s="1"/>
  <c r="G360" i="12"/>
  <c r="R140" i="12"/>
  <c r="V139" i="12"/>
  <c r="W139" i="12" s="1"/>
  <c r="AE142" i="12"/>
  <c r="AF142" i="12"/>
  <c r="Y143" i="12"/>
  <c r="Z143" i="12" s="1"/>
  <c r="P140" i="12"/>
  <c r="F279" i="9"/>
  <c r="H279" i="9" s="1"/>
  <c r="B280" i="9"/>
  <c r="R214" i="9"/>
  <c r="U214" i="9" s="1"/>
  <c r="T214" i="9" s="1"/>
  <c r="V214" i="9" s="1"/>
  <c r="W214" i="9" s="1"/>
  <c r="X214" i="9" s="1"/>
  <c r="D186" i="12"/>
  <c r="C360" i="12"/>
  <c r="D360" i="12"/>
  <c r="B361" i="12"/>
  <c r="H361" i="12"/>
  <c r="J361" i="12" s="1"/>
  <c r="S361" i="12"/>
  <c r="AD361" i="12"/>
  <c r="E359" i="12"/>
  <c r="I360" i="12"/>
  <c r="AN200" i="9"/>
  <c r="AC213" i="9"/>
  <c r="AB213" i="9" s="1"/>
  <c r="AD213" i="9" s="1"/>
  <c r="AE213" i="9" s="1"/>
  <c r="Q140" i="12" l="1"/>
  <c r="M141" i="12" s="1"/>
  <c r="S140" i="12"/>
  <c r="U140" i="12" s="1"/>
  <c r="E186" i="12"/>
  <c r="F186" i="12"/>
  <c r="B187" i="12" s="1"/>
  <c r="AG142" i="12"/>
  <c r="AH142" i="12" s="1"/>
  <c r="AC143" i="12"/>
  <c r="AA143" i="12"/>
  <c r="N141" i="12"/>
  <c r="O141" i="12"/>
  <c r="E360" i="12"/>
  <c r="T140" i="12"/>
  <c r="K360" i="12"/>
  <c r="L360" i="12" s="1"/>
  <c r="G361" i="12"/>
  <c r="D280" i="9"/>
  <c r="E280" i="9"/>
  <c r="AH201" i="9"/>
  <c r="R215" i="9"/>
  <c r="U215" i="9" s="1"/>
  <c r="T215" i="9" s="1"/>
  <c r="V215" i="9" s="1"/>
  <c r="W215" i="9" s="1"/>
  <c r="X215" i="9" s="1"/>
  <c r="R216" i="9" s="1"/>
  <c r="C187" i="12"/>
  <c r="D187" i="12"/>
  <c r="C361" i="12"/>
  <c r="D361" i="12"/>
  <c r="E361" i="12" s="1"/>
  <c r="I361" i="12"/>
  <c r="K361" i="12" s="1"/>
  <c r="L361" i="12" s="1"/>
  <c r="F360" i="12"/>
  <c r="AF213" i="9"/>
  <c r="P157" i="9"/>
  <c r="E187" i="12" l="1"/>
  <c r="F187" i="12"/>
  <c r="B188" i="12" s="1"/>
  <c r="D188" i="12" s="1"/>
  <c r="E188" i="12" s="1"/>
  <c r="R141" i="12"/>
  <c r="V140" i="12"/>
  <c r="W140" i="12" s="1"/>
  <c r="AB143" i="12"/>
  <c r="X144" i="12" s="1"/>
  <c r="AD143" i="12"/>
  <c r="P141" i="12"/>
  <c r="F280" i="9"/>
  <c r="H280" i="9" s="1"/>
  <c r="B281" i="9" s="1"/>
  <c r="AK201" i="9"/>
  <c r="AJ201" i="9"/>
  <c r="AL201" i="9" s="1"/>
  <c r="AM201" i="9" s="1"/>
  <c r="Z214" i="9"/>
  <c r="AC214" i="9" s="1"/>
  <c r="AB214" i="9" s="1"/>
  <c r="AD214" i="9" s="1"/>
  <c r="AE214" i="9" s="1"/>
  <c r="AF214" i="9" s="1"/>
  <c r="Z215" i="9" s="1"/>
  <c r="AC215" i="9" s="1"/>
  <c r="AB215" i="9" s="1"/>
  <c r="AD215" i="9" s="1"/>
  <c r="AE215" i="9" s="1"/>
  <c r="J158" i="9"/>
  <c r="C188" i="12"/>
  <c r="F361" i="12"/>
  <c r="U216" i="9"/>
  <c r="T216" i="9" s="1"/>
  <c r="V216" i="9" s="1"/>
  <c r="W216" i="9" s="1"/>
  <c r="X216" i="9" s="1"/>
  <c r="M158" i="9" l="1"/>
  <c r="L158" i="9" s="1"/>
  <c r="N158" i="9" s="1"/>
  <c r="O158" i="9"/>
  <c r="S141" i="12"/>
  <c r="Q141" i="12"/>
  <c r="M142" i="12" s="1"/>
  <c r="Y144" i="12"/>
  <c r="Z144" i="12"/>
  <c r="AE143" i="12"/>
  <c r="AF143" i="12"/>
  <c r="F188" i="12"/>
  <c r="B189" i="12" s="1"/>
  <c r="C189" i="12" s="1"/>
  <c r="D281" i="9"/>
  <c r="E281" i="9"/>
  <c r="R217" i="9"/>
  <c r="U217" i="9" s="1"/>
  <c r="T217" i="9" s="1"/>
  <c r="V217" i="9" s="1"/>
  <c r="AN201" i="9"/>
  <c r="AF215" i="9"/>
  <c r="P158" i="9"/>
  <c r="T141" i="12" l="1"/>
  <c r="U141" i="12"/>
  <c r="F281" i="9"/>
  <c r="H281" i="9" s="1"/>
  <c r="B282" i="9" s="1"/>
  <c r="N142" i="12"/>
  <c r="AA144" i="12"/>
  <c r="AG143" i="12"/>
  <c r="AH143" i="12" s="1"/>
  <c r="AC144" i="12"/>
  <c r="AH202" i="9"/>
  <c r="Z216" i="9"/>
  <c r="AC216" i="9" s="1"/>
  <c r="AB216" i="9" s="1"/>
  <c r="AD216" i="9" s="1"/>
  <c r="AE216" i="9" s="1"/>
  <c r="AF216" i="9" s="1"/>
  <c r="Z217" i="9" s="1"/>
  <c r="AC217" i="9" s="1"/>
  <c r="AB217" i="9" s="1"/>
  <c r="AD217" i="9" s="1"/>
  <c r="D189" i="12"/>
  <c r="W217" i="9"/>
  <c r="X217" i="9" s="1"/>
  <c r="J159" i="9"/>
  <c r="AK202" i="9" l="1"/>
  <c r="AJ202" i="9" s="1"/>
  <c r="AL202" i="9" s="1"/>
  <c r="AM202" i="9"/>
  <c r="AN202" i="9" s="1"/>
  <c r="R142" i="12"/>
  <c r="V141" i="12"/>
  <c r="W141" i="12" s="1"/>
  <c r="O142" i="12"/>
  <c r="P142" i="12"/>
  <c r="Q142" i="12" s="1"/>
  <c r="M143" i="12" s="1"/>
  <c r="N143" i="12"/>
  <c r="O143" i="12"/>
  <c r="AB144" i="12"/>
  <c r="X145" i="12" s="1"/>
  <c r="AD144" i="12"/>
  <c r="E282" i="9"/>
  <c r="D282" i="9"/>
  <c r="F282" i="9" s="1"/>
  <c r="H282" i="9" s="1"/>
  <c r="R218" i="9"/>
  <c r="U218" i="9" s="1"/>
  <c r="T218" i="9" s="1"/>
  <c r="V218" i="9" s="1"/>
  <c r="W218" i="9" s="1"/>
  <c r="E189" i="12"/>
  <c r="F189" i="12"/>
  <c r="B190" i="12" s="1"/>
  <c r="AE217" i="9"/>
  <c r="AF217" i="9" s="1"/>
  <c r="M159" i="9"/>
  <c r="L159" i="9" s="1"/>
  <c r="N159" i="9" s="1"/>
  <c r="O159" i="9" s="1"/>
  <c r="S142" i="12" l="1"/>
  <c r="Y145" i="12"/>
  <c r="Z145" i="12"/>
  <c r="AE144" i="12"/>
  <c r="AF144" i="12"/>
  <c r="P143" i="12"/>
  <c r="B283" i="9"/>
  <c r="AH203" i="9"/>
  <c r="Z218" i="9"/>
  <c r="AC218" i="9" s="1"/>
  <c r="AB218" i="9" s="1"/>
  <c r="AD218" i="9" s="1"/>
  <c r="AE218" i="9" s="1"/>
  <c r="AF218" i="9" s="1"/>
  <c r="C190" i="12"/>
  <c r="X218" i="9"/>
  <c r="P159" i="9"/>
  <c r="U142" i="12" l="1"/>
  <c r="T142" i="12"/>
  <c r="AC145" i="12"/>
  <c r="AG144" i="12"/>
  <c r="AH144" i="12" s="1"/>
  <c r="AA145" i="12"/>
  <c r="S143" i="12"/>
  <c r="Q143" i="12"/>
  <c r="M144" i="12" s="1"/>
  <c r="E283" i="9"/>
  <c r="D283" i="9"/>
  <c r="F283" i="9" s="1"/>
  <c r="H283" i="9" s="1"/>
  <c r="AK203" i="9"/>
  <c r="AJ203" i="9"/>
  <c r="AL203" i="9" s="1"/>
  <c r="AM203" i="9" s="1"/>
  <c r="AN203" i="9" s="1"/>
  <c r="AH204" i="9" s="1"/>
  <c r="R219" i="9"/>
  <c r="U219" i="9" s="1"/>
  <c r="T219" i="9" s="1"/>
  <c r="V219" i="9" s="1"/>
  <c r="W219" i="9" s="1"/>
  <c r="X219" i="9" s="1"/>
  <c r="Z219" i="9"/>
  <c r="AC219" i="9" s="1"/>
  <c r="AB219" i="9" s="1"/>
  <c r="AD219" i="9" s="1"/>
  <c r="AE219" i="9" s="1"/>
  <c r="AF219" i="9" s="1"/>
  <c r="Z220" i="9" s="1"/>
  <c r="AC220" i="9" s="1"/>
  <c r="AB220" i="9" s="1"/>
  <c r="AD220" i="9" s="1"/>
  <c r="AE220" i="9" s="1"/>
  <c r="D190" i="12"/>
  <c r="J160" i="9"/>
  <c r="AK204" i="9" l="1"/>
  <c r="AJ204" i="9" s="1"/>
  <c r="AL204" i="9" s="1"/>
  <c r="R143" i="12"/>
  <c r="V142" i="12"/>
  <c r="W142" i="12" s="1"/>
  <c r="T143" i="12"/>
  <c r="U143" i="12"/>
  <c r="N144" i="12"/>
  <c r="AD145" i="12"/>
  <c r="AB145" i="12"/>
  <c r="E190" i="12"/>
  <c r="F190" i="12"/>
  <c r="B191" i="12" s="1"/>
  <c r="B284" i="9"/>
  <c r="R220" i="9"/>
  <c r="U220" i="9" s="1"/>
  <c r="T220" i="9" s="1"/>
  <c r="V220" i="9" s="1"/>
  <c r="W220" i="9" s="1"/>
  <c r="AF220" i="9"/>
  <c r="M160" i="9"/>
  <c r="L160" i="9" s="1"/>
  <c r="N160" i="9" s="1"/>
  <c r="O160" i="9" s="1"/>
  <c r="AM204" i="9" l="1"/>
  <c r="AN204" i="9" s="1"/>
  <c r="AH205" i="9" s="1"/>
  <c r="V143" i="12"/>
  <c r="W143" i="12" s="1"/>
  <c r="R144" i="12"/>
  <c r="AE145" i="12"/>
  <c r="AF145" i="12"/>
  <c r="X146" i="12"/>
  <c r="F36" i="11" a="1"/>
  <c r="O144" i="12"/>
  <c r="C191" i="12"/>
  <c r="D191" i="12"/>
  <c r="E284" i="9"/>
  <c r="D284" i="9"/>
  <c r="Z221" i="9"/>
  <c r="AC221" i="9" s="1"/>
  <c r="AB221" i="9" s="1"/>
  <c r="AD221" i="9" s="1"/>
  <c r="AE221" i="9" s="1"/>
  <c r="AF221" i="9" s="1"/>
  <c r="Z222" i="9" s="1"/>
  <c r="X220" i="9"/>
  <c r="P160" i="9"/>
  <c r="AK205" i="9" l="1"/>
  <c r="AJ205" i="9" s="1"/>
  <c r="AL205" i="9" s="1"/>
  <c r="AC146" i="12"/>
  <c r="AG145" i="12"/>
  <c r="AH145" i="12" s="1"/>
  <c r="G36" i="11" s="1" a="1"/>
  <c r="Y146" i="12"/>
  <c r="P144" i="12"/>
  <c r="E191" i="12"/>
  <c r="F191" i="12"/>
  <c r="B192" i="12" s="1"/>
  <c r="F284" i="9"/>
  <c r="H284" i="9" s="1"/>
  <c r="R221" i="9"/>
  <c r="AC222" i="9"/>
  <c r="AB222" i="9" s="1"/>
  <c r="AD222" i="9" s="1"/>
  <c r="J161" i="9"/>
  <c r="AM205" i="9" l="1"/>
  <c r="AN205" i="9" s="1"/>
  <c r="AH206" i="9" s="1"/>
  <c r="S144" i="12"/>
  <c r="Q144" i="12"/>
  <c r="M145" i="12" s="1"/>
  <c r="C192" i="12"/>
  <c r="D192" i="12"/>
  <c r="T144" i="12"/>
  <c r="U144" i="12"/>
  <c r="N145" i="12"/>
  <c r="Z146" i="12"/>
  <c r="AA146" i="12" s="1"/>
  <c r="B285" i="9"/>
  <c r="U221" i="9"/>
  <c r="T221" i="9" s="1"/>
  <c r="V221" i="9" s="1"/>
  <c r="AE222" i="9"/>
  <c r="AF222" i="9" s="1"/>
  <c r="M161" i="9"/>
  <c r="L161" i="9" s="1"/>
  <c r="N161" i="9" s="1"/>
  <c r="O161" i="9" s="1"/>
  <c r="AK206" i="9" l="1"/>
  <c r="AJ206" i="9" s="1"/>
  <c r="AL206" i="9" s="1"/>
  <c r="AM206" i="9" s="1"/>
  <c r="AN206" i="9" s="1"/>
  <c r="AH207" i="9" s="1"/>
  <c r="E192" i="12"/>
  <c r="F192" i="12"/>
  <c r="B193" i="12" s="1"/>
  <c r="R145" i="12"/>
  <c r="V144" i="12"/>
  <c r="W144" i="12" s="1"/>
  <c r="AB146" i="12"/>
  <c r="X147" i="12" s="1"/>
  <c r="AD146" i="12"/>
  <c r="O145" i="12"/>
  <c r="P145" i="12" s="1"/>
  <c r="Q145" i="12" s="1"/>
  <c r="W221" i="9"/>
  <c r="X221" i="9" s="1"/>
  <c r="R222" i="9" s="1"/>
  <c r="E285" i="9"/>
  <c r="D285" i="9"/>
  <c r="Z223" i="9"/>
  <c r="AC223" i="9" s="1"/>
  <c r="AB223" i="9" s="1"/>
  <c r="AD223" i="9" s="1"/>
  <c r="AE223" i="9" s="1"/>
  <c r="P161" i="9"/>
  <c r="C193" i="12" l="1"/>
  <c r="D193" i="12"/>
  <c r="Y147" i="12"/>
  <c r="Z147" i="12"/>
  <c r="AE146" i="12"/>
  <c r="AF146" i="12"/>
  <c r="M146" i="12"/>
  <c r="D36" i="11" a="1"/>
  <c r="S145" i="12"/>
  <c r="U222" i="9"/>
  <c r="T222" i="9" s="1"/>
  <c r="V222" i="9" s="1"/>
  <c r="W222" i="9" s="1"/>
  <c r="X222" i="9" s="1"/>
  <c r="R223" i="9" s="1"/>
  <c r="U223" i="9" s="1"/>
  <c r="T223" i="9" s="1"/>
  <c r="V223" i="9" s="1"/>
  <c r="W223" i="9" s="1"/>
  <c r="X223" i="9" s="1"/>
  <c r="F285" i="9"/>
  <c r="H285" i="9" s="1"/>
  <c r="AK207" i="9"/>
  <c r="AJ207" i="9" s="1"/>
  <c r="AL207" i="9" s="1"/>
  <c r="AM207" i="9" s="1"/>
  <c r="AN207" i="9" s="1"/>
  <c r="AF223" i="9"/>
  <c r="J162" i="9"/>
  <c r="E193" i="12" l="1"/>
  <c r="F193" i="12"/>
  <c r="AG146" i="12"/>
  <c r="AH146" i="12" s="1"/>
  <c r="AC147" i="12"/>
  <c r="N146" i="12"/>
  <c r="T145" i="12"/>
  <c r="U145" i="12"/>
  <c r="AA147" i="12"/>
  <c r="B286" i="9"/>
  <c r="AH208" i="9"/>
  <c r="R224" i="9"/>
  <c r="U224" i="9" s="1"/>
  <c r="T224" i="9" s="1"/>
  <c r="V224" i="9" s="1"/>
  <c r="Z224" i="9"/>
  <c r="AC224" i="9" s="1"/>
  <c r="AB224" i="9" s="1"/>
  <c r="AD224" i="9" s="1"/>
  <c r="AE224" i="9" s="1"/>
  <c r="AF224" i="9" s="1"/>
  <c r="Z225" i="9" s="1"/>
  <c r="M162" i="9"/>
  <c r="L162" i="9" s="1"/>
  <c r="N162" i="9" s="1"/>
  <c r="O162" i="9" s="1"/>
  <c r="AK208" i="9" l="1"/>
  <c r="AJ208" i="9" s="1"/>
  <c r="AL208" i="9" s="1"/>
  <c r="AM208" i="9"/>
  <c r="AN208" i="9" s="1"/>
  <c r="B40" i="11" a="1"/>
  <c r="B194" i="12"/>
  <c r="V145" i="12"/>
  <c r="W145" i="12" s="1"/>
  <c r="E36" i="11" s="1" a="1"/>
  <c r="H36" i="11" s="1"/>
  <c r="R146" i="12"/>
  <c r="AB147" i="12"/>
  <c r="X148" i="12" s="1"/>
  <c r="AD147" i="12"/>
  <c r="O146" i="12"/>
  <c r="P146" i="12" s="1"/>
  <c r="E286" i="9"/>
  <c r="D286" i="9"/>
  <c r="F286" i="9" s="1"/>
  <c r="H286" i="9" s="1"/>
  <c r="W224" i="9"/>
  <c r="X224" i="9" s="1"/>
  <c r="AC225" i="9"/>
  <c r="AB225" i="9" s="1"/>
  <c r="P162" i="9"/>
  <c r="D194" i="12" l="1"/>
  <c r="C194" i="12"/>
  <c r="Y148" i="12"/>
  <c r="Z148" i="12"/>
  <c r="AE147" i="12"/>
  <c r="AF147" i="12"/>
  <c r="Q146" i="12"/>
  <c r="M147" i="12" s="1"/>
  <c r="S146" i="12"/>
  <c r="B287" i="9"/>
  <c r="AH209" i="9"/>
  <c r="R225" i="9"/>
  <c r="U225" i="9" s="1"/>
  <c r="T225" i="9" s="1"/>
  <c r="V225" i="9" s="1"/>
  <c r="AD225" i="9"/>
  <c r="J163" i="9"/>
  <c r="E194" i="12" l="1"/>
  <c r="F194" i="12"/>
  <c r="B195" i="12" s="1"/>
  <c r="AG147" i="12"/>
  <c r="AH147" i="12" s="1"/>
  <c r="AC148" i="12"/>
  <c r="N147" i="12"/>
  <c r="T146" i="12"/>
  <c r="U146" i="12"/>
  <c r="AA148" i="12"/>
  <c r="E287" i="9"/>
  <c r="D287" i="9" s="1"/>
  <c r="F287" i="9" s="1"/>
  <c r="H287" i="9" s="1"/>
  <c r="AK209" i="9"/>
  <c r="AJ209" i="9"/>
  <c r="AL209" i="9" s="1"/>
  <c r="AM209" i="9" s="1"/>
  <c r="AN209" i="9" s="1"/>
  <c r="AE225" i="9"/>
  <c r="AF225" i="9" s="1"/>
  <c r="W225" i="9"/>
  <c r="X225" i="9" s="1"/>
  <c r="M163" i="9"/>
  <c r="L163" i="9" s="1"/>
  <c r="N163" i="9" s="1"/>
  <c r="O163" i="9" s="1"/>
  <c r="C195" i="12" l="1"/>
  <c r="D195" i="12"/>
  <c r="E195" i="12" s="1"/>
  <c r="F195" i="12"/>
  <c r="B196" i="12" s="1"/>
  <c r="V146" i="12"/>
  <c r="W146" i="12" s="1"/>
  <c r="R147" i="12"/>
  <c r="O147" i="12"/>
  <c r="P147" i="12" s="1"/>
  <c r="AD148" i="12"/>
  <c r="AB148" i="12"/>
  <c r="X149" i="12" s="1"/>
  <c r="B288" i="9"/>
  <c r="AH210" i="9"/>
  <c r="Z226" i="9"/>
  <c r="AC226" i="9" s="1"/>
  <c r="AB226" i="9" s="1"/>
  <c r="AD226" i="9" s="1"/>
  <c r="R226" i="9"/>
  <c r="U226" i="9" s="1"/>
  <c r="T226" i="9" s="1"/>
  <c r="V226" i="9" s="1"/>
  <c r="W226" i="9" s="1"/>
  <c r="X226" i="9" s="1"/>
  <c r="P163" i="9"/>
  <c r="AK210" i="9" l="1"/>
  <c r="AJ210" i="9" s="1"/>
  <c r="AL210" i="9" s="1"/>
  <c r="AM210" i="9"/>
  <c r="AN210" i="9" s="1"/>
  <c r="AH211" i="9" s="1"/>
  <c r="D196" i="12"/>
  <c r="E196" i="12" s="1"/>
  <c r="C196" i="12"/>
  <c r="AF148" i="12"/>
  <c r="AE148" i="12"/>
  <c r="Y149" i="12"/>
  <c r="Z149" i="12"/>
  <c r="S147" i="12"/>
  <c r="Q147" i="12"/>
  <c r="M148" i="12" s="1"/>
  <c r="E288" i="9"/>
  <c r="D288" i="9"/>
  <c r="F288" i="9" s="1"/>
  <c r="H288" i="9" s="1"/>
  <c r="R227" i="9"/>
  <c r="J164" i="9"/>
  <c r="AE226" i="9"/>
  <c r="AF226" i="9" s="1"/>
  <c r="AK211" i="9" l="1"/>
  <c r="AJ211" i="9" s="1"/>
  <c r="AL211" i="9" s="1"/>
  <c r="AM211" i="9" s="1"/>
  <c r="AN211" i="9" s="1"/>
  <c r="AH212" i="9" s="1"/>
  <c r="M164" i="9"/>
  <c r="L164" i="9" s="1"/>
  <c r="N164" i="9" s="1"/>
  <c r="O164" i="9"/>
  <c r="P164" i="9" s="1"/>
  <c r="J165" i="9" s="1"/>
  <c r="M165" i="9" s="1"/>
  <c r="L165" i="9" s="1"/>
  <c r="N165" i="9" s="1"/>
  <c r="O165" i="9" s="1"/>
  <c r="AC149" i="12"/>
  <c r="AG148" i="12"/>
  <c r="AH148" i="12" s="1"/>
  <c r="F196" i="12"/>
  <c r="B197" i="12" s="1"/>
  <c r="C197" i="12" s="1"/>
  <c r="D197" i="12" s="1"/>
  <c r="T147" i="12"/>
  <c r="U147" i="12"/>
  <c r="N148" i="12"/>
  <c r="AA149" i="12"/>
  <c r="F197" i="12"/>
  <c r="B198" i="12" s="1"/>
  <c r="E197" i="12"/>
  <c r="B289" i="9"/>
  <c r="U227" i="9"/>
  <c r="T227" i="9" s="1"/>
  <c r="V227" i="9" s="1"/>
  <c r="Z227" i="9"/>
  <c r="AK212" i="9" l="1"/>
  <c r="AJ212" i="9" s="1"/>
  <c r="AL212" i="9" s="1"/>
  <c r="AM212" i="9" s="1"/>
  <c r="AN212" i="9" s="1"/>
  <c r="AH213" i="9" s="1"/>
  <c r="V147" i="12"/>
  <c r="W147" i="12" s="1"/>
  <c r="R148" i="12"/>
  <c r="O148" i="12"/>
  <c r="P148" i="12" s="1"/>
  <c r="AD149" i="12"/>
  <c r="AB149" i="12"/>
  <c r="X150" i="12" s="1"/>
  <c r="C198" i="12"/>
  <c r="F198" i="12" s="1"/>
  <c r="B199" i="12" s="1"/>
  <c r="D198" i="12"/>
  <c r="E198" i="12" s="1"/>
  <c r="E289" i="9"/>
  <c r="D289" i="9" s="1"/>
  <c r="F289" i="9" s="1"/>
  <c r="H289" i="9" s="1"/>
  <c r="W227" i="9"/>
  <c r="X227" i="9" s="1"/>
  <c r="R228" i="9" s="1"/>
  <c r="U228" i="9" s="1"/>
  <c r="T228" i="9" s="1"/>
  <c r="V228" i="9" s="1"/>
  <c r="W228" i="9" s="1"/>
  <c r="X228" i="9" s="1"/>
  <c r="R229" i="9" s="1"/>
  <c r="AC227" i="9"/>
  <c r="AB227" i="9" s="1"/>
  <c r="AD227" i="9" s="1"/>
  <c r="P165" i="9"/>
  <c r="AK213" i="9" l="1"/>
  <c r="AJ213" i="9" s="1"/>
  <c r="AL213" i="9" s="1"/>
  <c r="AE227" i="9"/>
  <c r="AF227" i="9"/>
  <c r="Z228" i="9" s="1"/>
  <c r="AC228" i="9" s="1"/>
  <c r="AB228" i="9" s="1"/>
  <c r="AD228" i="9" s="1"/>
  <c r="AE228" i="9" s="1"/>
  <c r="AF228" i="9" s="1"/>
  <c r="Z229" i="9" s="1"/>
  <c r="AE149" i="12"/>
  <c r="AF149" i="12"/>
  <c r="Y150" i="12"/>
  <c r="Z150" i="12"/>
  <c r="S148" i="12"/>
  <c r="Q148" i="12"/>
  <c r="M149" i="12" s="1"/>
  <c r="B290" i="9"/>
  <c r="J166" i="9"/>
  <c r="C199" i="12"/>
  <c r="D199" i="12"/>
  <c r="E199" i="12" s="1"/>
  <c r="U229" i="9"/>
  <c r="T229" i="9" s="1"/>
  <c r="V229" i="9" s="1"/>
  <c r="AM213" i="9" l="1"/>
  <c r="AN213" i="9" s="1"/>
  <c r="AH214" i="9" s="1"/>
  <c r="M166" i="9"/>
  <c r="L166" i="9" s="1"/>
  <c r="N166" i="9" s="1"/>
  <c r="O166" i="9"/>
  <c r="P166" i="9" s="1"/>
  <c r="AC229" i="9"/>
  <c r="AB229" i="9" s="1"/>
  <c r="AD229" i="9" s="1"/>
  <c r="AE229" i="9" s="1"/>
  <c r="AF229" i="9"/>
  <c r="F199" i="12"/>
  <c r="B200" i="12" s="1"/>
  <c r="C200" i="12" s="1"/>
  <c r="D200" i="12" s="1"/>
  <c r="AG149" i="12"/>
  <c r="AH149" i="12" s="1"/>
  <c r="AC150" i="12"/>
  <c r="AA150" i="12"/>
  <c r="T148" i="12"/>
  <c r="U148" i="12"/>
  <c r="N149" i="12"/>
  <c r="E290" i="9"/>
  <c r="D290" i="9"/>
  <c r="F290" i="9" s="1"/>
  <c r="H290" i="9" s="1"/>
  <c r="Z230" i="9"/>
  <c r="AC230" i="9" s="1"/>
  <c r="AB230" i="9" s="1"/>
  <c r="AD230" i="9" s="1"/>
  <c r="AE230" i="9" s="1"/>
  <c r="AF230" i="9" s="1"/>
  <c r="Z231" i="9" s="1"/>
  <c r="W229" i="9"/>
  <c r="X229" i="9" s="1"/>
  <c r="AB150" i="12" l="1"/>
  <c r="X151" i="12" s="1"/>
  <c r="AD150" i="12"/>
  <c r="Y151" i="12"/>
  <c r="Z151" i="12" s="1"/>
  <c r="AA151" i="12" s="1"/>
  <c r="AB151" i="12" s="1"/>
  <c r="X152" i="12" s="1"/>
  <c r="V148" i="12"/>
  <c r="W148" i="12" s="1"/>
  <c r="R149" i="12"/>
  <c r="O149" i="12"/>
  <c r="F200" i="12"/>
  <c r="B201" i="12" s="1"/>
  <c r="E200" i="12"/>
  <c r="B291" i="9"/>
  <c r="AK214" i="9"/>
  <c r="AJ214" i="9" s="1"/>
  <c r="AL214" i="9" s="1"/>
  <c r="AM214" i="9" s="1"/>
  <c r="AN214" i="9" s="1"/>
  <c r="R230" i="9"/>
  <c r="U230" i="9" s="1"/>
  <c r="T230" i="9" s="1"/>
  <c r="V230" i="9" s="1"/>
  <c r="W230" i="9" s="1"/>
  <c r="J167" i="9"/>
  <c r="AC231" i="9"/>
  <c r="AB231" i="9" s="1"/>
  <c r="AD231" i="9" s="1"/>
  <c r="M167" i="9" l="1"/>
  <c r="L167" i="9" s="1"/>
  <c r="N167" i="9" s="1"/>
  <c r="O167" i="9"/>
  <c r="P167" i="9" s="1"/>
  <c r="AF150" i="12"/>
  <c r="AE150" i="12"/>
  <c r="D201" i="12"/>
  <c r="E201" i="12" s="1"/>
  <c r="C201" i="12"/>
  <c r="Y152" i="12"/>
  <c r="Z152" i="12"/>
  <c r="P149" i="12"/>
  <c r="F201" i="12"/>
  <c r="B202" i="12" s="1"/>
  <c r="C202" i="12" s="1"/>
  <c r="AD151" i="12"/>
  <c r="AF151" i="12" s="1"/>
  <c r="E291" i="9"/>
  <c r="D291" i="9" s="1"/>
  <c r="F291" i="9" s="1"/>
  <c r="H291" i="9" s="1"/>
  <c r="AH215" i="9"/>
  <c r="AE231" i="9"/>
  <c r="AF231" i="9" s="1"/>
  <c r="X230" i="9"/>
  <c r="AK215" i="9" l="1"/>
  <c r="AJ215" i="9" s="1"/>
  <c r="AM215" i="9"/>
  <c r="AC151" i="12"/>
  <c r="AE151" i="12" s="1"/>
  <c r="AG150" i="12"/>
  <c r="AH150" i="12" s="1"/>
  <c r="AA152" i="12"/>
  <c r="Q149" i="12"/>
  <c r="M150" i="12" s="1"/>
  <c r="S149" i="12"/>
  <c r="B292" i="9"/>
  <c r="Z232" i="9"/>
  <c r="AC232" i="9" s="1"/>
  <c r="AB232" i="9" s="1"/>
  <c r="AD232" i="9" s="1"/>
  <c r="AE232" i="9" s="1"/>
  <c r="R231" i="9"/>
  <c r="U231" i="9" s="1"/>
  <c r="T231" i="9" s="1"/>
  <c r="V231" i="9" s="1"/>
  <c r="W231" i="9" s="1"/>
  <c r="J168" i="9"/>
  <c r="D202" i="12"/>
  <c r="AL215" i="9"/>
  <c r="M168" i="9" l="1"/>
  <c r="L168" i="9" s="1"/>
  <c r="N168" i="9" s="1"/>
  <c r="O168" i="9"/>
  <c r="P168" i="9" s="1"/>
  <c r="AG151" i="12"/>
  <c r="AH151" i="12" s="1"/>
  <c r="AC152" i="12"/>
  <c r="AE152" i="12" s="1"/>
  <c r="N150" i="12"/>
  <c r="U149" i="12"/>
  <c r="T149" i="12"/>
  <c r="AD152" i="12"/>
  <c r="AF152" i="12" s="1"/>
  <c r="AB152" i="12"/>
  <c r="X153" i="12" s="1"/>
  <c r="E292" i="9"/>
  <c r="D292" i="9" s="1"/>
  <c r="F292" i="9" s="1"/>
  <c r="H292" i="9" s="1"/>
  <c r="E202" i="12"/>
  <c r="F202" i="12"/>
  <c r="B203" i="12" s="1"/>
  <c r="AN215" i="9"/>
  <c r="AF232" i="9"/>
  <c r="X231" i="9"/>
  <c r="O150" i="12" l="1"/>
  <c r="P150" i="12" s="1"/>
  <c r="AC153" i="12"/>
  <c r="AG152" i="12"/>
  <c r="AH152" i="12" s="1"/>
  <c r="R150" i="12"/>
  <c r="V149" i="12"/>
  <c r="W149" i="12" s="1"/>
  <c r="Y153" i="12"/>
  <c r="Z153" i="12"/>
  <c r="B293" i="9"/>
  <c r="AH216" i="9"/>
  <c r="Z233" i="9"/>
  <c r="R232" i="9"/>
  <c r="U232" i="9" s="1"/>
  <c r="T232" i="9" s="1"/>
  <c r="V232" i="9" s="1"/>
  <c r="W232" i="9" s="1"/>
  <c r="X232" i="9" s="1"/>
  <c r="R233" i="9" s="1"/>
  <c r="J169" i="9"/>
  <c r="C203" i="12"/>
  <c r="D203" i="12"/>
  <c r="E203" i="12" s="1"/>
  <c r="AK216" i="9" l="1"/>
  <c r="AJ216" i="9" s="1"/>
  <c r="AM216" i="9"/>
  <c r="M169" i="9"/>
  <c r="O169" i="9"/>
  <c r="S150" i="12"/>
  <c r="Q150" i="12"/>
  <c r="M151" i="12" s="1"/>
  <c r="N151" i="12" s="1"/>
  <c r="AB233" i="9"/>
  <c r="AC233" i="9"/>
  <c r="O151" i="12"/>
  <c r="P151" i="12"/>
  <c r="AA153" i="12"/>
  <c r="E293" i="9"/>
  <c r="D293" i="9" s="1"/>
  <c r="F293" i="9" s="1"/>
  <c r="H293" i="9" s="1"/>
  <c r="AD233" i="9"/>
  <c r="F203" i="12"/>
  <c r="B204" i="12" s="1"/>
  <c r="AL216" i="9"/>
  <c r="U233" i="9"/>
  <c r="T233" i="9" s="1"/>
  <c r="V233" i="9" s="1"/>
  <c r="W233" i="9" s="1"/>
  <c r="X233" i="9" s="1"/>
  <c r="L169" i="9"/>
  <c r="N169" i="9" s="1"/>
  <c r="T150" i="12" l="1"/>
  <c r="U150" i="12"/>
  <c r="S151" i="12"/>
  <c r="Q151" i="12"/>
  <c r="M152" i="12" s="1"/>
  <c r="AD153" i="12"/>
  <c r="AB153" i="12"/>
  <c r="X154" i="12" s="1"/>
  <c r="B294" i="9"/>
  <c r="AE233" i="9"/>
  <c r="AF233" i="9"/>
  <c r="Z234" i="9"/>
  <c r="AC234" i="9" s="1"/>
  <c r="AB234" i="9" s="1"/>
  <c r="AD234" i="9" s="1"/>
  <c r="AE234" i="9" s="1"/>
  <c r="AF234" i="9" s="1"/>
  <c r="Z235" i="9" s="1"/>
  <c r="R234" i="9"/>
  <c r="U234" i="9" s="1"/>
  <c r="T234" i="9" s="1"/>
  <c r="V234" i="9" s="1"/>
  <c r="W234" i="9" s="1"/>
  <c r="X234" i="9" s="1"/>
  <c r="R235" i="9" s="1"/>
  <c r="C204" i="12"/>
  <c r="D204" i="12" s="1"/>
  <c r="AN216" i="9"/>
  <c r="P169" i="9"/>
  <c r="V150" i="12" l="1"/>
  <c r="W150" i="12" s="1"/>
  <c r="R151" i="12"/>
  <c r="T151" i="12"/>
  <c r="U151" i="12"/>
  <c r="N152" i="12"/>
  <c r="O152" i="12"/>
  <c r="AF153" i="12"/>
  <c r="AE153" i="12"/>
  <c r="Y154" i="12"/>
  <c r="Z154" i="12"/>
  <c r="E294" i="9"/>
  <c r="D294" i="9"/>
  <c r="F294" i="9" s="1"/>
  <c r="H294" i="9" s="1"/>
  <c r="AH217" i="9"/>
  <c r="J170" i="9"/>
  <c r="F204" i="12"/>
  <c r="B205" i="12" s="1"/>
  <c r="E204" i="12"/>
  <c r="AC235" i="9"/>
  <c r="AB235" i="9" s="1"/>
  <c r="AD235" i="9" s="1"/>
  <c r="AE235" i="9" s="1"/>
  <c r="U235" i="9"/>
  <c r="T235" i="9" s="1"/>
  <c r="V235" i="9" s="1"/>
  <c r="W235" i="9" s="1"/>
  <c r="X235" i="9" s="1"/>
  <c r="M170" i="9" l="1"/>
  <c r="L170" i="9" s="1"/>
  <c r="N170" i="9" s="1"/>
  <c r="O170" i="9"/>
  <c r="P170" i="9" s="1"/>
  <c r="V151" i="12"/>
  <c r="W151" i="12" s="1"/>
  <c r="R152" i="12"/>
  <c r="AG153" i="12"/>
  <c r="AH153" i="12" s="1"/>
  <c r="AC154" i="12"/>
  <c r="P152" i="12"/>
  <c r="AA154" i="12"/>
  <c r="B295" i="9"/>
  <c r="AK217" i="9"/>
  <c r="AJ217" i="9"/>
  <c r="AL217" i="9" s="1"/>
  <c r="AM217" i="9" s="1"/>
  <c r="AN217" i="9" s="1"/>
  <c r="R236" i="9"/>
  <c r="U236" i="9" s="1"/>
  <c r="T236" i="9" s="1"/>
  <c r="V236" i="9" s="1"/>
  <c r="W236" i="9" s="1"/>
  <c r="C205" i="12"/>
  <c r="D205" i="12" s="1"/>
  <c r="E205" i="12" s="1"/>
  <c r="AF235" i="9"/>
  <c r="S152" i="12" l="1"/>
  <c r="Q152" i="12"/>
  <c r="M153" i="12" s="1"/>
  <c r="AD154" i="12"/>
  <c r="AB154" i="12"/>
  <c r="X155" i="12" s="1"/>
  <c r="E295" i="9"/>
  <c r="D295" i="9"/>
  <c r="F295" i="9" s="1"/>
  <c r="H295" i="9" s="1"/>
  <c r="AH218" i="9"/>
  <c r="Z236" i="9"/>
  <c r="AC236" i="9" s="1"/>
  <c r="AB236" i="9" s="1"/>
  <c r="AD236" i="9" s="1"/>
  <c r="AE236" i="9" s="1"/>
  <c r="F205" i="12"/>
  <c r="X236" i="9"/>
  <c r="J171" i="9"/>
  <c r="AK218" i="9" l="1"/>
  <c r="AJ218" i="9" s="1"/>
  <c r="AL218" i="9" s="1"/>
  <c r="AM218" i="9"/>
  <c r="AN218" i="9" s="1"/>
  <c r="AH219" i="9" s="1"/>
  <c r="T152" i="12"/>
  <c r="U152" i="12"/>
  <c r="N153" i="12"/>
  <c r="O153" i="12" s="1"/>
  <c r="AE154" i="12"/>
  <c r="AF154" i="12"/>
  <c r="Y155" i="12"/>
  <c r="B296" i="9"/>
  <c r="R237" i="9"/>
  <c r="U237" i="9" s="1"/>
  <c r="T237" i="9" s="1"/>
  <c r="V237" i="9" s="1"/>
  <c r="W237" i="9" s="1"/>
  <c r="X237" i="9" s="1"/>
  <c r="R238" i="9" s="1"/>
  <c r="U238" i="9" s="1"/>
  <c r="T238" i="9" s="1"/>
  <c r="V238" i="9" s="1"/>
  <c r="W238" i="9" s="1"/>
  <c r="X238" i="9" s="1"/>
  <c r="R239" i="9" s="1"/>
  <c r="B206" i="12"/>
  <c r="B41" i="11" a="1"/>
  <c r="AF236" i="9"/>
  <c r="M171" i="9"/>
  <c r="L171" i="9" s="1"/>
  <c r="N171" i="9" s="1"/>
  <c r="O171" i="9" s="1"/>
  <c r="V152" i="12" l="1"/>
  <c r="W152" i="12" s="1"/>
  <c r="R153" i="12"/>
  <c r="P153" i="12"/>
  <c r="AC155" i="12"/>
  <c r="AG154" i="12"/>
  <c r="AH154" i="12" s="1"/>
  <c r="Z155" i="12"/>
  <c r="AA155" i="12" s="1"/>
  <c r="E296" i="9"/>
  <c r="D296" i="9"/>
  <c r="F296" i="9" s="1"/>
  <c r="H296" i="9" s="1"/>
  <c r="AK219" i="9"/>
  <c r="AJ219" i="9" s="1"/>
  <c r="AL219" i="9" s="1"/>
  <c r="AM219" i="9" s="1"/>
  <c r="AN219" i="9" s="1"/>
  <c r="AH220" i="9" s="1"/>
  <c r="Z237" i="9"/>
  <c r="AC237" i="9" s="1"/>
  <c r="AB237" i="9" s="1"/>
  <c r="AD237" i="9" s="1"/>
  <c r="AE237" i="9" s="1"/>
  <c r="AF237" i="9" s="1"/>
  <c r="Z238" i="9" s="1"/>
  <c r="AC238" i="9" s="1"/>
  <c r="AB238" i="9" s="1"/>
  <c r="AD238" i="9" s="1"/>
  <c r="C206" i="12"/>
  <c r="U239" i="9"/>
  <c r="T239" i="9" s="1"/>
  <c r="V239" i="9" s="1"/>
  <c r="W239" i="9" s="1"/>
  <c r="X239" i="9" s="1"/>
  <c r="P171" i="9"/>
  <c r="Q153" i="12" l="1"/>
  <c r="M154" i="12" s="1"/>
  <c r="S153" i="12"/>
  <c r="U153" i="12" s="1"/>
  <c r="N154" i="12"/>
  <c r="O154" i="12" s="1"/>
  <c r="P154" i="12" s="1"/>
  <c r="AD155" i="12"/>
  <c r="AB155" i="12"/>
  <c r="X156" i="12" s="1"/>
  <c r="T153" i="12"/>
  <c r="B297" i="9"/>
  <c r="AK220" i="9"/>
  <c r="AJ220" i="9" s="1"/>
  <c r="AL220" i="9" s="1"/>
  <c r="AM220" i="9" s="1"/>
  <c r="AN220" i="9" s="1"/>
  <c r="R240" i="9"/>
  <c r="U240" i="9" s="1"/>
  <c r="T240" i="9" s="1"/>
  <c r="V240" i="9" s="1"/>
  <c r="W240" i="9" s="1"/>
  <c r="X240" i="9" s="1"/>
  <c r="D206" i="12"/>
  <c r="AE238" i="9"/>
  <c r="AF238" i="9" s="1"/>
  <c r="J172" i="9"/>
  <c r="AE155" i="12" l="1"/>
  <c r="AF155" i="12"/>
  <c r="Y156" i="12"/>
  <c r="Z156" i="12" s="1"/>
  <c r="V153" i="12"/>
  <c r="W153" i="12" s="1"/>
  <c r="R154" i="12"/>
  <c r="S154" i="12"/>
  <c r="U154" i="12" s="1"/>
  <c r="Q154" i="12"/>
  <c r="M155" i="12" s="1"/>
  <c r="D297" i="9"/>
  <c r="E297" i="9"/>
  <c r="AH221" i="9"/>
  <c r="Z239" i="9"/>
  <c r="AC239" i="9" s="1"/>
  <c r="AB239" i="9" s="1"/>
  <c r="AD239" i="9" s="1"/>
  <c r="AE239" i="9" s="1"/>
  <c r="R241" i="9"/>
  <c r="U241" i="9" s="1"/>
  <c r="T241" i="9" s="1"/>
  <c r="V241" i="9" s="1"/>
  <c r="E206" i="12"/>
  <c r="F206" i="12"/>
  <c r="B207" i="12" s="1"/>
  <c r="M172" i="9"/>
  <c r="L172" i="9" s="1"/>
  <c r="N172" i="9" s="1"/>
  <c r="O172" i="9" s="1"/>
  <c r="AK221" i="9" l="1"/>
  <c r="AJ221" i="9" s="1"/>
  <c r="AL221" i="9" s="1"/>
  <c r="AM221" i="9"/>
  <c r="AN221" i="9" s="1"/>
  <c r="T154" i="12"/>
  <c r="AG155" i="12"/>
  <c r="AH155" i="12" s="1"/>
  <c r="AC156" i="12"/>
  <c r="N155" i="12"/>
  <c r="O155" i="12"/>
  <c r="AA156" i="12"/>
  <c r="F297" i="9"/>
  <c r="H297" i="9" s="1"/>
  <c r="B298" i="9" s="1"/>
  <c r="C207" i="12"/>
  <c r="AF239" i="9"/>
  <c r="W241" i="9"/>
  <c r="X241" i="9" s="1"/>
  <c r="P172" i="9"/>
  <c r="P155" i="12" l="1"/>
  <c r="R155" i="12"/>
  <c r="V154" i="12"/>
  <c r="W154" i="12" s="1"/>
  <c r="AD156" i="12"/>
  <c r="AB156" i="12"/>
  <c r="X157" i="12" s="1"/>
  <c r="E298" i="9"/>
  <c r="D298" i="9" s="1"/>
  <c r="F298" i="9" s="1"/>
  <c r="H298" i="9" s="1"/>
  <c r="AH222" i="9"/>
  <c r="Z240" i="9"/>
  <c r="AC240" i="9" s="1"/>
  <c r="AB240" i="9" s="1"/>
  <c r="AD240" i="9" s="1"/>
  <c r="AE240" i="9" s="1"/>
  <c r="AF240" i="9" s="1"/>
  <c r="Z241" i="9" s="1"/>
  <c r="R242" i="9"/>
  <c r="U242" i="9" s="1"/>
  <c r="T242" i="9" s="1"/>
  <c r="D207" i="12"/>
  <c r="J173" i="9"/>
  <c r="AK222" i="9" l="1"/>
  <c r="AJ222" i="9" s="1"/>
  <c r="AM222" i="9"/>
  <c r="AE156" i="12"/>
  <c r="AF156" i="12"/>
  <c r="Q155" i="12"/>
  <c r="M156" i="12" s="1"/>
  <c r="S155" i="12"/>
  <c r="U155" i="12" s="1"/>
  <c r="Y157" i="12"/>
  <c r="Z157" i="12"/>
  <c r="AA157" i="12"/>
  <c r="AB157" i="12" s="1"/>
  <c r="X158" i="12" s="1"/>
  <c r="F37" i="11" a="1"/>
  <c r="T155" i="12"/>
  <c r="AD157" i="12"/>
  <c r="B299" i="9"/>
  <c r="E207" i="12"/>
  <c r="F207" i="12"/>
  <c r="B208" i="12" s="1"/>
  <c r="AL222" i="9"/>
  <c r="AC241" i="9"/>
  <c r="AB241" i="9" s="1"/>
  <c r="V242" i="9"/>
  <c r="W242" i="9" s="1"/>
  <c r="X242" i="9" s="1"/>
  <c r="M173" i="9"/>
  <c r="L173" i="9" s="1"/>
  <c r="N173" i="9" s="1"/>
  <c r="O173" i="9" s="1"/>
  <c r="AN222" i="9" l="1"/>
  <c r="AH223" i="9" s="1"/>
  <c r="AG156" i="12"/>
  <c r="AH156" i="12" s="1"/>
  <c r="AC157" i="12"/>
  <c r="AE157" i="12" s="1"/>
  <c r="N156" i="12"/>
  <c r="O156" i="12" s="1"/>
  <c r="Y158" i="12"/>
  <c r="Z158" i="12" s="1"/>
  <c r="V155" i="12"/>
  <c r="W155" i="12" s="1"/>
  <c r="R156" i="12"/>
  <c r="AF157" i="12"/>
  <c r="E299" i="9"/>
  <c r="D299" i="9" s="1"/>
  <c r="F299" i="9" s="1"/>
  <c r="H299" i="9" s="1"/>
  <c r="R243" i="9"/>
  <c r="C208" i="12"/>
  <c r="D208" i="12"/>
  <c r="E208" i="12" s="1"/>
  <c r="AD241" i="9"/>
  <c r="U243" i="9"/>
  <c r="T243" i="9" s="1"/>
  <c r="P173" i="9"/>
  <c r="AK223" i="9" l="1"/>
  <c r="AJ223" i="9" s="1"/>
  <c r="F208" i="12"/>
  <c r="B209" i="12" s="1"/>
  <c r="C209" i="12" s="1"/>
  <c r="S156" i="12"/>
  <c r="P156" i="12"/>
  <c r="Q156" i="12" s="1"/>
  <c r="M157" i="12" s="1"/>
  <c r="N157" i="12" s="1"/>
  <c r="AC158" i="12"/>
  <c r="AG157" i="12"/>
  <c r="AH157" i="12" s="1"/>
  <c r="G37" i="11" s="1" a="1"/>
  <c r="AA158" i="12"/>
  <c r="AB158" i="12"/>
  <c r="X159" i="12" s="1"/>
  <c r="AD158" i="12"/>
  <c r="AF158" i="12" s="1"/>
  <c r="AE241" i="9"/>
  <c r="AF241" i="9"/>
  <c r="Z242" i="9" s="1"/>
  <c r="AC242" i="9" s="1"/>
  <c r="AB242" i="9" s="1"/>
  <c r="AD242" i="9" s="1"/>
  <c r="B300" i="9"/>
  <c r="AL223" i="9"/>
  <c r="AM223" i="9" s="1"/>
  <c r="AN223" i="9" s="1"/>
  <c r="V243" i="9"/>
  <c r="W243" i="9" s="1"/>
  <c r="X243" i="9" s="1"/>
  <c r="J174" i="9"/>
  <c r="T156" i="12" l="1"/>
  <c r="U156" i="12"/>
  <c r="Y159" i="12"/>
  <c r="Z159" i="12"/>
  <c r="AE158" i="12"/>
  <c r="O157" i="12"/>
  <c r="D300" i="9"/>
  <c r="E300" i="9"/>
  <c r="R244" i="9"/>
  <c r="AH224" i="9"/>
  <c r="AM224" i="9" s="1"/>
  <c r="D209" i="12"/>
  <c r="AK224" i="9"/>
  <c r="AJ224" i="9" s="1"/>
  <c r="AL224" i="9" s="1"/>
  <c r="AE242" i="9"/>
  <c r="AF242" i="9" s="1"/>
  <c r="M174" i="9"/>
  <c r="L174" i="9" s="1"/>
  <c r="N174" i="9" s="1"/>
  <c r="O174" i="9" s="1"/>
  <c r="P174" i="9" s="1"/>
  <c r="V156" i="12" l="1"/>
  <c r="W156" i="12" s="1"/>
  <c r="R157" i="12"/>
  <c r="AG158" i="12"/>
  <c r="AH158" i="12" s="1"/>
  <c r="AC159" i="12"/>
  <c r="AA159" i="12"/>
  <c r="P157" i="12"/>
  <c r="F300" i="9"/>
  <c r="H300" i="9" s="1"/>
  <c r="B301" i="9" s="1"/>
  <c r="U244" i="9"/>
  <c r="T244" i="9"/>
  <c r="Z243" i="9"/>
  <c r="AC243" i="9" s="1"/>
  <c r="AB243" i="9" s="1"/>
  <c r="AD243" i="9" s="1"/>
  <c r="E209" i="12"/>
  <c r="F209" i="12"/>
  <c r="B210" i="12" s="1"/>
  <c r="AN224" i="9"/>
  <c r="J175" i="9"/>
  <c r="V244" i="9" l="1"/>
  <c r="X244" i="9" s="1"/>
  <c r="AD159" i="12"/>
  <c r="AB159" i="12"/>
  <c r="X160" i="12" s="1"/>
  <c r="S157" i="12"/>
  <c r="Q157" i="12"/>
  <c r="E301" i="9"/>
  <c r="D301" i="9"/>
  <c r="W244" i="9"/>
  <c r="AH225" i="9"/>
  <c r="AM225" i="9" s="1"/>
  <c r="D210" i="12"/>
  <c r="E210" i="12" s="1"/>
  <c r="C210" i="12"/>
  <c r="AE243" i="9"/>
  <c r="AF243" i="9" s="1"/>
  <c r="M175" i="9"/>
  <c r="L175" i="9" s="1"/>
  <c r="N175" i="9" s="1"/>
  <c r="O175" i="9" s="1"/>
  <c r="F301" i="9" l="1"/>
  <c r="H301" i="9" s="1"/>
  <c r="B302" i="9" s="1"/>
  <c r="AE159" i="12"/>
  <c r="AF159" i="12"/>
  <c r="Z160" i="12"/>
  <c r="Y160" i="12"/>
  <c r="T157" i="12"/>
  <c r="U157" i="12"/>
  <c r="M158" i="12"/>
  <c r="D37" i="11" a="1"/>
  <c r="F210" i="12"/>
  <c r="B211" i="12" s="1"/>
  <c r="C211" i="12" s="1"/>
  <c r="R245" i="9"/>
  <c r="Z244" i="9"/>
  <c r="AC244" i="9" s="1"/>
  <c r="AB244" i="9" s="1"/>
  <c r="AD244" i="9" s="1"/>
  <c r="AE244" i="9" s="1"/>
  <c r="AK225" i="9"/>
  <c r="AJ225" i="9" s="1"/>
  <c r="P175" i="9"/>
  <c r="AC160" i="12" l="1"/>
  <c r="AG159" i="12"/>
  <c r="AH159" i="12" s="1"/>
  <c r="AA160" i="12"/>
  <c r="V157" i="12"/>
  <c r="W157" i="12" s="1"/>
  <c r="E37" i="11" s="1" a="1"/>
  <c r="H37" i="11" s="1"/>
  <c r="R158" i="12"/>
  <c r="N158" i="12"/>
  <c r="E302" i="9"/>
  <c r="D302" i="9"/>
  <c r="U245" i="9"/>
  <c r="T245" i="9"/>
  <c r="V245" i="9" s="1"/>
  <c r="W245" i="9" s="1"/>
  <c r="X245" i="9" s="1"/>
  <c r="AL225" i="9"/>
  <c r="AN225" i="9" s="1"/>
  <c r="AH226" i="9" s="1"/>
  <c r="J176" i="9"/>
  <c r="D211" i="12"/>
  <c r="AF244" i="9"/>
  <c r="AK226" i="9" l="1"/>
  <c r="AJ226" i="9" s="1"/>
  <c r="AL226" i="9" s="1"/>
  <c r="AM226" i="9"/>
  <c r="AN226" i="9" s="1"/>
  <c r="AH227" i="9" s="1"/>
  <c r="M176" i="9"/>
  <c r="L176" i="9" s="1"/>
  <c r="N176" i="9" s="1"/>
  <c r="O176" i="9"/>
  <c r="P176" i="9" s="1"/>
  <c r="F302" i="9"/>
  <c r="H302" i="9" s="1"/>
  <c r="B303" i="9" s="1"/>
  <c r="AB160" i="12"/>
  <c r="X161" i="12" s="1"/>
  <c r="AD160" i="12"/>
  <c r="O158" i="12"/>
  <c r="P158" i="12"/>
  <c r="R246" i="9"/>
  <c r="Z245" i="9"/>
  <c r="AC245" i="9" s="1"/>
  <c r="AB245" i="9" s="1"/>
  <c r="AD245" i="9" s="1"/>
  <c r="AE245" i="9" s="1"/>
  <c r="AF245" i="9" s="1"/>
  <c r="Z246" i="9" s="1"/>
  <c r="E211" i="12"/>
  <c r="F211" i="12"/>
  <c r="B212" i="12" s="1"/>
  <c r="AM227" i="9" l="1"/>
  <c r="AK227" i="9"/>
  <c r="AJ227" i="9" s="1"/>
  <c r="AL227" i="9" s="1"/>
  <c r="AN227" i="9" s="1"/>
  <c r="Y161" i="12"/>
  <c r="AE160" i="12"/>
  <c r="AF160" i="12"/>
  <c r="S158" i="12"/>
  <c r="Q158" i="12"/>
  <c r="M159" i="12" s="1"/>
  <c r="E303" i="9"/>
  <c r="D303" i="9" s="1"/>
  <c r="F303" i="9" s="1"/>
  <c r="H303" i="9" s="1"/>
  <c r="U246" i="9"/>
  <c r="T246" i="9"/>
  <c r="V246" i="9" s="1"/>
  <c r="W246" i="9" s="1"/>
  <c r="X246" i="9" s="1"/>
  <c r="J177" i="9"/>
  <c r="C212" i="12"/>
  <c r="D212" i="12" s="1"/>
  <c r="AC246" i="9"/>
  <c r="AB246" i="9"/>
  <c r="M177" i="9" l="1"/>
  <c r="L177" i="9" s="1"/>
  <c r="N177" i="9" s="1"/>
  <c r="O177" i="9"/>
  <c r="Z161" i="12"/>
  <c r="AA161" i="12"/>
  <c r="AB161" i="12" s="1"/>
  <c r="X162" i="12" s="1"/>
  <c r="Y162" i="12" s="1"/>
  <c r="AG160" i="12"/>
  <c r="AH160" i="12" s="1"/>
  <c r="AC161" i="12"/>
  <c r="U158" i="12"/>
  <c r="T158" i="12"/>
  <c r="N159" i="12"/>
  <c r="AD161" i="12"/>
  <c r="AF161" i="12" s="1"/>
  <c r="B304" i="9"/>
  <c r="R247" i="9"/>
  <c r="AH228" i="9"/>
  <c r="F212" i="12"/>
  <c r="B213" i="12" s="1"/>
  <c r="E212" i="12"/>
  <c r="AD246" i="9"/>
  <c r="P177" i="9"/>
  <c r="AK228" i="9" l="1"/>
  <c r="AJ228" i="9" s="1"/>
  <c r="AL228" i="9" s="1"/>
  <c r="AM228" i="9"/>
  <c r="AN228" i="9" s="1"/>
  <c r="V158" i="12"/>
  <c r="W158" i="12" s="1"/>
  <c r="R159" i="12"/>
  <c r="AE161" i="12"/>
  <c r="Z162" i="12"/>
  <c r="O159" i="12"/>
  <c r="E304" i="9"/>
  <c r="D304" i="9"/>
  <c r="U247" i="9"/>
  <c r="T247" i="9"/>
  <c r="V247" i="9" s="1"/>
  <c r="W247" i="9" s="1"/>
  <c r="X247" i="9" s="1"/>
  <c r="J178" i="9"/>
  <c r="AE246" i="9"/>
  <c r="AF246" i="9" s="1"/>
  <c r="C213" i="12"/>
  <c r="D213" i="12" s="1"/>
  <c r="E213" i="12" s="1"/>
  <c r="M178" i="9" l="1"/>
  <c r="L178" i="9" s="1"/>
  <c r="N178" i="9" s="1"/>
  <c r="O178" i="9"/>
  <c r="P178" i="9" s="1"/>
  <c r="F304" i="9"/>
  <c r="H304" i="9" s="1"/>
  <c r="AC162" i="12"/>
  <c r="AG161" i="12"/>
  <c r="AH161" i="12" s="1"/>
  <c r="AA162" i="12"/>
  <c r="P159" i="12"/>
  <c r="B305" i="9"/>
  <c r="R248" i="9"/>
  <c r="Z247" i="9"/>
  <c r="AH229" i="9"/>
  <c r="F213" i="12"/>
  <c r="B214" i="12" s="1"/>
  <c r="AK229" i="9" l="1"/>
  <c r="AJ229" i="9" s="1"/>
  <c r="AL229" i="9" s="1"/>
  <c r="AM229" i="9"/>
  <c r="AN229" i="9" s="1"/>
  <c r="AH230" i="9" s="1"/>
  <c r="AM230" i="9" s="1"/>
  <c r="AD162" i="12"/>
  <c r="AB162" i="12"/>
  <c r="X163" i="12" s="1"/>
  <c r="S159" i="12"/>
  <c r="Q159" i="12"/>
  <c r="M160" i="12" s="1"/>
  <c r="D305" i="9"/>
  <c r="E305" i="9"/>
  <c r="U248" i="9"/>
  <c r="T248" i="9"/>
  <c r="V248" i="9" s="1"/>
  <c r="W248" i="9" s="1"/>
  <c r="X248" i="9" s="1"/>
  <c r="AC247" i="9"/>
  <c r="AB247" i="9" s="1"/>
  <c r="AD247" i="9" s="1"/>
  <c r="AE247" i="9"/>
  <c r="J179" i="9"/>
  <c r="C214" i="12"/>
  <c r="D214" i="12" s="1"/>
  <c r="M179" i="9" l="1"/>
  <c r="L179" i="9" s="1"/>
  <c r="N179" i="9" s="1"/>
  <c r="O179" i="9"/>
  <c r="P179" i="9" s="1"/>
  <c r="AE162" i="12"/>
  <c r="AF162" i="12"/>
  <c r="Y163" i="12"/>
  <c r="Z163" i="12"/>
  <c r="U159" i="12"/>
  <c r="T159" i="12"/>
  <c r="N160" i="12"/>
  <c r="O160" i="12"/>
  <c r="P160" i="12" s="1"/>
  <c r="F305" i="9"/>
  <c r="H305" i="9" s="1"/>
  <c r="B306" i="9" s="1"/>
  <c r="R249" i="9"/>
  <c r="AF247" i="9"/>
  <c r="AK230" i="9"/>
  <c r="AJ230" i="9"/>
  <c r="AL230" i="9" s="1"/>
  <c r="AN230" i="9" s="1"/>
  <c r="F214" i="12"/>
  <c r="B215" i="12" s="1"/>
  <c r="E214" i="12"/>
  <c r="AG162" i="12" l="1"/>
  <c r="AH162" i="12" s="1"/>
  <c r="AC163" i="12"/>
  <c r="AA163" i="12"/>
  <c r="V159" i="12"/>
  <c r="W159" i="12" s="1"/>
  <c r="R160" i="12"/>
  <c r="S160" i="12"/>
  <c r="U160" i="12" s="1"/>
  <c r="Q160" i="12"/>
  <c r="M161" i="12" s="1"/>
  <c r="E306" i="9"/>
  <c r="D306" i="9"/>
  <c r="F306" i="9" s="1"/>
  <c r="H306" i="9" s="1"/>
  <c r="U249" i="9"/>
  <c r="T249" i="9" s="1"/>
  <c r="V249" i="9" s="1"/>
  <c r="Z248" i="9"/>
  <c r="AH231" i="9"/>
  <c r="J180" i="9"/>
  <c r="C215" i="12"/>
  <c r="D215" i="12" s="1"/>
  <c r="AK231" i="9" l="1"/>
  <c r="AJ231" i="9" s="1"/>
  <c r="AL231" i="9" s="1"/>
  <c r="AM231" i="9"/>
  <c r="AN231" i="9" s="1"/>
  <c r="AH232" i="9" s="1"/>
  <c r="AM232" i="9" s="1"/>
  <c r="M180" i="9"/>
  <c r="L180" i="9" s="1"/>
  <c r="N180" i="9" s="1"/>
  <c r="O180" i="9"/>
  <c r="P180" i="9" s="1"/>
  <c r="AB163" i="12"/>
  <c r="X164" i="12" s="1"/>
  <c r="Y164" i="12" s="1"/>
  <c r="AD163" i="12"/>
  <c r="AF163" i="12" s="1"/>
  <c r="N161" i="12"/>
  <c r="O161" i="12"/>
  <c r="P161" i="12"/>
  <c r="Q161" i="12"/>
  <c r="M162" i="12" s="1"/>
  <c r="AE163" i="12"/>
  <c r="T160" i="12"/>
  <c r="Z164" i="12"/>
  <c r="B307" i="9"/>
  <c r="AC248" i="9"/>
  <c r="AB248" i="9" s="1"/>
  <c r="AD248" i="9" s="1"/>
  <c r="W249" i="9"/>
  <c r="X249" i="9" s="1"/>
  <c r="E215" i="12"/>
  <c r="F215" i="12"/>
  <c r="B216" i="12" s="1"/>
  <c r="N162" i="12" l="1"/>
  <c r="AC164" i="12"/>
  <c r="AG163" i="12"/>
  <c r="AH163" i="12" s="1"/>
  <c r="V160" i="12"/>
  <c r="W160" i="12" s="1"/>
  <c r="R161" i="12"/>
  <c r="S161" i="12"/>
  <c r="U161" i="12" s="1"/>
  <c r="AA164" i="12"/>
  <c r="D307" i="9"/>
  <c r="E307" i="9"/>
  <c r="R250" i="9"/>
  <c r="AE248" i="9"/>
  <c r="AF248" i="9" s="1"/>
  <c r="AK232" i="9"/>
  <c r="AJ232" i="9"/>
  <c r="J181" i="9"/>
  <c r="C216" i="12"/>
  <c r="D216" i="12"/>
  <c r="AL232" i="9" l="1"/>
  <c r="AN232" i="9" s="1"/>
  <c r="AH233" i="9" s="1"/>
  <c r="M181" i="9"/>
  <c r="O181" i="9"/>
  <c r="AD164" i="12"/>
  <c r="AF164" i="12" s="1"/>
  <c r="AB164" i="12"/>
  <c r="X165" i="12" s="1"/>
  <c r="Y165" i="12"/>
  <c r="T161" i="12"/>
  <c r="AE164" i="12"/>
  <c r="O162" i="12"/>
  <c r="P162" i="12" s="1"/>
  <c r="Q162" i="12" s="1"/>
  <c r="M163" i="12" s="1"/>
  <c r="F307" i="9"/>
  <c r="H307" i="9" s="1"/>
  <c r="B308" i="9" s="1"/>
  <c r="T250" i="9"/>
  <c r="U250" i="9"/>
  <c r="Z249" i="9"/>
  <c r="AC249" i="9" s="1"/>
  <c r="AB249" i="9" s="1"/>
  <c r="AD249" i="9" s="1"/>
  <c r="AE249" i="9" s="1"/>
  <c r="AF249" i="9" s="1"/>
  <c r="Z250" i="9" s="1"/>
  <c r="E216" i="12"/>
  <c r="F216" i="12"/>
  <c r="B217" i="12" s="1"/>
  <c r="L181" i="9"/>
  <c r="N181" i="9" s="1"/>
  <c r="AM233" i="9" l="1"/>
  <c r="AK233" i="9"/>
  <c r="AJ233" i="9" s="1"/>
  <c r="AL233" i="9" s="1"/>
  <c r="AN233" i="9" s="1"/>
  <c r="R162" i="12"/>
  <c r="V161" i="12"/>
  <c r="W161" i="12" s="1"/>
  <c r="AC165" i="12"/>
  <c r="AG164" i="12"/>
  <c r="AH164" i="12" s="1"/>
  <c r="N163" i="12"/>
  <c r="O163" i="12" s="1"/>
  <c r="P163" i="12" s="1"/>
  <c r="S162" i="12"/>
  <c r="U162" i="12" s="1"/>
  <c r="Z165" i="12"/>
  <c r="V250" i="9"/>
  <c r="W250" i="9" s="1"/>
  <c r="X250" i="9" s="1"/>
  <c r="R251" i="9" s="1"/>
  <c r="D308" i="9"/>
  <c r="E308" i="9"/>
  <c r="AC250" i="9"/>
  <c r="AB250" i="9" s="1"/>
  <c r="AD250" i="9" s="1"/>
  <c r="C217" i="12"/>
  <c r="D217" i="12" s="1"/>
  <c r="T162" i="12" l="1"/>
  <c r="S163" i="12"/>
  <c r="U163" i="12" s="1"/>
  <c r="Q163" i="12"/>
  <c r="M164" i="12" s="1"/>
  <c r="AA165" i="12"/>
  <c r="F308" i="9"/>
  <c r="H308" i="9" s="1"/>
  <c r="B309" i="9" s="1"/>
  <c r="U251" i="9"/>
  <c r="T251" i="9"/>
  <c r="W251" i="9"/>
  <c r="AE250" i="9"/>
  <c r="AF250" i="9"/>
  <c r="AH234" i="9"/>
  <c r="F217" i="12"/>
  <c r="E217" i="12"/>
  <c r="P181" i="9"/>
  <c r="AK234" i="9" l="1"/>
  <c r="AJ234" i="9" s="1"/>
  <c r="AM234" i="9"/>
  <c r="V251" i="9"/>
  <c r="V162" i="12"/>
  <c r="W162" i="12" s="1"/>
  <c r="R163" i="12"/>
  <c r="T163" i="12" s="1"/>
  <c r="N164" i="12"/>
  <c r="O164" i="12"/>
  <c r="P164" i="12" s="1"/>
  <c r="Q164" i="12" s="1"/>
  <c r="M165" i="12" s="1"/>
  <c r="N165" i="12" s="1"/>
  <c r="O165" i="12" s="1"/>
  <c r="AD165" i="12"/>
  <c r="AB165" i="12"/>
  <c r="X166" i="12" s="1"/>
  <c r="D309" i="9"/>
  <c r="E309" i="9"/>
  <c r="Z251" i="9"/>
  <c r="X251" i="9"/>
  <c r="J182" i="9"/>
  <c r="B218" i="12"/>
  <c r="B42" i="11" a="1"/>
  <c r="AL234" i="9"/>
  <c r="M182" i="9" l="1"/>
  <c r="L182" i="9" s="1"/>
  <c r="N182" i="9" s="1"/>
  <c r="O182" i="9"/>
  <c r="P182" i="9" s="1"/>
  <c r="F309" i="9"/>
  <c r="H309" i="9" s="1"/>
  <c r="B310" i="9" s="1"/>
  <c r="R164" i="12"/>
  <c r="V163" i="12"/>
  <c r="W163" i="12" s="1"/>
  <c r="P165" i="12"/>
  <c r="AF165" i="12"/>
  <c r="AE165" i="12"/>
  <c r="Y166" i="12"/>
  <c r="Z166" i="12" s="1"/>
  <c r="AA166" i="12" s="1"/>
  <c r="AB166" i="12" s="1"/>
  <c r="X167" i="12" s="1"/>
  <c r="S164" i="12"/>
  <c r="U164" i="12" s="1"/>
  <c r="AC251" i="9"/>
  <c r="AB251" i="9" s="1"/>
  <c r="AD251" i="9" s="1"/>
  <c r="R252" i="9"/>
  <c r="D218" i="12"/>
  <c r="E218" i="12" s="1"/>
  <c r="C218" i="12"/>
  <c r="AN234" i="9"/>
  <c r="T164" i="12" l="1"/>
  <c r="R165" i="12"/>
  <c r="V164" i="12"/>
  <c r="W164" i="12" s="1"/>
  <c r="AG165" i="12"/>
  <c r="AH165" i="12" s="1"/>
  <c r="AC166" i="12"/>
  <c r="Y167" i="12"/>
  <c r="AD166" i="12"/>
  <c r="AF166" i="12" s="1"/>
  <c r="F218" i="12"/>
  <c r="B219" i="12" s="1"/>
  <c r="Q165" i="12"/>
  <c r="M166" i="12" s="1"/>
  <c r="S165" i="12"/>
  <c r="U165" i="12" s="1"/>
  <c r="E310" i="9"/>
  <c r="D310" i="9" s="1"/>
  <c r="F310" i="9" s="1"/>
  <c r="H310" i="9" s="1"/>
  <c r="U252" i="9"/>
  <c r="T252" i="9"/>
  <c r="V252" i="9" s="1"/>
  <c r="W252" i="9"/>
  <c r="AE251" i="9"/>
  <c r="AF251" i="9" s="1"/>
  <c r="AH235" i="9"/>
  <c r="AM235" i="9" s="1"/>
  <c r="J183" i="9"/>
  <c r="T165" i="12" l="1"/>
  <c r="C219" i="12"/>
  <c r="N166" i="12"/>
  <c r="O166" i="12" s="1"/>
  <c r="AE166" i="12"/>
  <c r="Z167" i="12"/>
  <c r="B311" i="9"/>
  <c r="Z252" i="9"/>
  <c r="AC252" i="9" s="1"/>
  <c r="AB252" i="9" s="1"/>
  <c r="AD252" i="9" s="1"/>
  <c r="AE252" i="9" s="1"/>
  <c r="AF252" i="9" s="1"/>
  <c r="X252" i="9"/>
  <c r="AK235" i="9"/>
  <c r="AJ235" i="9"/>
  <c r="AL235" i="9" s="1"/>
  <c r="M183" i="9"/>
  <c r="L183" i="9" s="1"/>
  <c r="N183" i="9" s="1"/>
  <c r="O183" i="9" s="1"/>
  <c r="V165" i="12" l="1"/>
  <c r="W165" i="12" s="1"/>
  <c r="R166" i="12"/>
  <c r="D219" i="12"/>
  <c r="AC167" i="12"/>
  <c r="AG166" i="12"/>
  <c r="AH166" i="12" s="1"/>
  <c r="P166" i="12"/>
  <c r="AA167" i="12"/>
  <c r="D311" i="9"/>
  <c r="E311" i="9"/>
  <c r="R253" i="9"/>
  <c r="Z253" i="9"/>
  <c r="AN235" i="9"/>
  <c r="E219" i="12" l="1"/>
  <c r="F219" i="12"/>
  <c r="B220" i="12" s="1"/>
  <c r="S166" i="12"/>
  <c r="Q166" i="12"/>
  <c r="M167" i="12" s="1"/>
  <c r="AD167" i="12"/>
  <c r="AB167" i="12"/>
  <c r="X168" i="12" s="1"/>
  <c r="F311" i="9"/>
  <c r="H311" i="9" s="1"/>
  <c r="B312" i="9" s="1"/>
  <c r="U253" i="9"/>
  <c r="T253" i="9"/>
  <c r="W253" i="9"/>
  <c r="AC253" i="9"/>
  <c r="AB253" i="9" s="1"/>
  <c r="AD253" i="9" s="1"/>
  <c r="AH236" i="9"/>
  <c r="AM236" i="9" s="1"/>
  <c r="P183" i="9"/>
  <c r="D220" i="12" l="1"/>
  <c r="E220" i="12" s="1"/>
  <c r="C220" i="12"/>
  <c r="F220" i="12" s="1"/>
  <c r="B221" i="12" s="1"/>
  <c r="V253" i="9"/>
  <c r="X253" i="9" s="1"/>
  <c r="U166" i="12"/>
  <c r="T166" i="12"/>
  <c r="N167" i="12"/>
  <c r="AE167" i="12"/>
  <c r="AF167" i="12"/>
  <c r="Y168" i="12"/>
  <c r="AE253" i="9"/>
  <c r="AF253" i="9" s="1"/>
  <c r="Z254" i="9" s="1"/>
  <c r="AC254" i="9" s="1"/>
  <c r="AB254" i="9" s="1"/>
  <c r="AD254" i="9" s="1"/>
  <c r="AE254" i="9" s="1"/>
  <c r="AF254" i="9" s="1"/>
  <c r="E312" i="9"/>
  <c r="D312" i="9"/>
  <c r="F312" i="9" s="1"/>
  <c r="H312" i="9" s="1"/>
  <c r="AK236" i="9"/>
  <c r="AJ236" i="9"/>
  <c r="AL236" i="9" s="1"/>
  <c r="AN236" i="9" s="1"/>
  <c r="AH237" i="9" s="1"/>
  <c r="AM237" i="9" s="1"/>
  <c r="J184" i="9"/>
  <c r="C221" i="12" l="1"/>
  <c r="D221" i="12" s="1"/>
  <c r="R167" i="12"/>
  <c r="V166" i="12"/>
  <c r="W166" i="12" s="1"/>
  <c r="AG167" i="12"/>
  <c r="AH167" i="12" s="1"/>
  <c r="AC168" i="12"/>
  <c r="O167" i="12"/>
  <c r="P167" i="12" s="1"/>
  <c r="Z168" i="12"/>
  <c r="AA168" i="12"/>
  <c r="B313" i="9"/>
  <c r="R254" i="9"/>
  <c r="Z255" i="9"/>
  <c r="AK237" i="9"/>
  <c r="AJ237" i="9"/>
  <c r="AL237" i="9" s="1"/>
  <c r="AN237" i="9" s="1"/>
  <c r="M184" i="9"/>
  <c r="L184" i="9" s="1"/>
  <c r="N184" i="9" s="1"/>
  <c r="O184" i="9" s="1"/>
  <c r="F221" i="12" l="1"/>
  <c r="B222" i="12" s="1"/>
  <c r="E221" i="12"/>
  <c r="AD168" i="12"/>
  <c r="AB168" i="12"/>
  <c r="X169" i="12" s="1"/>
  <c r="S167" i="12"/>
  <c r="Q167" i="12"/>
  <c r="M168" i="12" s="1"/>
  <c r="E313" i="9"/>
  <c r="D313" i="9" s="1"/>
  <c r="F313" i="9" s="1"/>
  <c r="H313" i="9" s="1"/>
  <c r="T254" i="9"/>
  <c r="U254" i="9"/>
  <c r="W254" i="9"/>
  <c r="AC255" i="9"/>
  <c r="AB255" i="9" s="1"/>
  <c r="AD255" i="9" s="1"/>
  <c r="AE255" i="9" s="1"/>
  <c r="AF255" i="9" s="1"/>
  <c r="AH238" i="9"/>
  <c r="P184" i="9"/>
  <c r="AK238" i="9" l="1"/>
  <c r="AJ238" i="9" s="1"/>
  <c r="AM238" i="9"/>
  <c r="C222" i="12"/>
  <c r="AE168" i="12"/>
  <c r="AF168" i="12"/>
  <c r="Y169" i="12"/>
  <c r="T167" i="12"/>
  <c r="U167" i="12"/>
  <c r="N168" i="12"/>
  <c r="O168" i="12" s="1"/>
  <c r="P168" i="12" s="1"/>
  <c r="V254" i="9"/>
  <c r="B314" i="9"/>
  <c r="Z256" i="9"/>
  <c r="X254" i="9"/>
  <c r="AL238" i="9"/>
  <c r="AN238" i="9" s="1"/>
  <c r="J185" i="9"/>
  <c r="D222" i="12" l="1"/>
  <c r="E222" i="12" s="1"/>
  <c r="F222" i="12"/>
  <c r="B223" i="12" s="1"/>
  <c r="AG168" i="12"/>
  <c r="AH168" i="12" s="1"/>
  <c r="AC169" i="12"/>
  <c r="V167" i="12"/>
  <c r="W167" i="12" s="1"/>
  <c r="R168" i="12"/>
  <c r="Z169" i="12"/>
  <c r="AA169" i="12"/>
  <c r="S168" i="12"/>
  <c r="U168" i="12" s="1"/>
  <c r="Q168" i="12"/>
  <c r="M169" i="12" s="1"/>
  <c r="E314" i="9"/>
  <c r="D314" i="9" s="1"/>
  <c r="F314" i="9" s="1"/>
  <c r="H314" i="9" s="1"/>
  <c r="AC256" i="9"/>
  <c r="AB256" i="9" s="1"/>
  <c r="AD256" i="9" s="1"/>
  <c r="AE256" i="9" s="1"/>
  <c r="AF256" i="9" s="1"/>
  <c r="R255" i="9"/>
  <c r="AH239" i="9"/>
  <c r="M185" i="9"/>
  <c r="L185" i="9" s="1"/>
  <c r="N185" i="9" s="1"/>
  <c r="O185" i="9" s="1"/>
  <c r="AK239" i="9" l="1"/>
  <c r="AJ239" i="9" s="1"/>
  <c r="AL239" i="9" s="1"/>
  <c r="AM239" i="9"/>
  <c r="AN239" i="9" s="1"/>
  <c r="C223" i="12"/>
  <c r="AD169" i="12"/>
  <c r="AB169" i="12"/>
  <c r="N169" i="12"/>
  <c r="O169" i="12" s="1"/>
  <c r="P169" i="12" s="1"/>
  <c r="T168" i="12"/>
  <c r="B315" i="9"/>
  <c r="Z257" i="9"/>
  <c r="U255" i="9"/>
  <c r="T255" i="9" s="1"/>
  <c r="V255" i="9" s="1"/>
  <c r="P185" i="9"/>
  <c r="D223" i="12" l="1"/>
  <c r="E223" i="12" s="1"/>
  <c r="F223" i="12"/>
  <c r="B224" i="12" s="1"/>
  <c r="AE169" i="12"/>
  <c r="AF169" i="12"/>
  <c r="X170" i="12"/>
  <c r="F38" i="11" a="1"/>
  <c r="V168" i="12"/>
  <c r="W168" i="12" s="1"/>
  <c r="R169" i="12"/>
  <c r="S169" i="12"/>
  <c r="U169" i="12" s="1"/>
  <c r="Q169" i="12"/>
  <c r="E315" i="9"/>
  <c r="D315" i="9" s="1"/>
  <c r="F315" i="9" s="1"/>
  <c r="H315" i="9" s="1"/>
  <c r="AC257" i="9"/>
  <c r="AB257" i="9" s="1"/>
  <c r="AD257" i="9" s="1"/>
  <c r="AE257" i="9" s="1"/>
  <c r="AF257" i="9" s="1"/>
  <c r="W255" i="9"/>
  <c r="X255" i="9" s="1"/>
  <c r="AH240" i="9"/>
  <c r="AM240" i="9" s="1"/>
  <c r="J186" i="9"/>
  <c r="C224" i="12" l="1"/>
  <c r="D224" i="12"/>
  <c r="E224" i="12" s="1"/>
  <c r="F224" i="12"/>
  <c r="B225" i="12" s="1"/>
  <c r="AG169" i="12"/>
  <c r="AH169" i="12" s="1"/>
  <c r="G38" i="11" s="1" a="1"/>
  <c r="AC170" i="12"/>
  <c r="Y170" i="12"/>
  <c r="Z170" i="12" s="1"/>
  <c r="M170" i="12"/>
  <c r="D38" i="11" a="1"/>
  <c r="T169" i="12"/>
  <c r="B316" i="9"/>
  <c r="Z258" i="9"/>
  <c r="R256" i="9"/>
  <c r="AK240" i="9"/>
  <c r="AJ240" i="9"/>
  <c r="AL240" i="9" s="1"/>
  <c r="AN240" i="9" s="1"/>
  <c r="M186" i="9"/>
  <c r="L186" i="9" s="1"/>
  <c r="N186" i="9" s="1"/>
  <c r="O186" i="9" s="1"/>
  <c r="D225" i="12" l="1"/>
  <c r="E225" i="12" s="1"/>
  <c r="C225" i="12"/>
  <c r="N170" i="12"/>
  <c r="O170" i="12" s="1"/>
  <c r="R170" i="12"/>
  <c r="V169" i="12"/>
  <c r="W169" i="12" s="1"/>
  <c r="E38" i="11" s="1" a="1"/>
  <c r="H38" i="11" s="1"/>
  <c r="AA170" i="12"/>
  <c r="D316" i="9"/>
  <c r="E316" i="9"/>
  <c r="AC258" i="9"/>
  <c r="AB258" i="9" s="1"/>
  <c r="AD258" i="9" s="1"/>
  <c r="AE258" i="9" s="1"/>
  <c r="AF258" i="9" s="1"/>
  <c r="U256" i="9"/>
  <c r="T256" i="9" s="1"/>
  <c r="V256" i="9" s="1"/>
  <c r="AH241" i="9"/>
  <c r="P186" i="9"/>
  <c r="AK241" i="9" l="1"/>
  <c r="AJ241" i="9" s="1"/>
  <c r="AL241" i="9" s="1"/>
  <c r="AM241" i="9"/>
  <c r="AN241" i="9" s="1"/>
  <c r="F225" i="12"/>
  <c r="B226" i="12" s="1"/>
  <c r="P170" i="12"/>
  <c r="Q170" i="12" s="1"/>
  <c r="M171" i="12" s="1"/>
  <c r="S170" i="12"/>
  <c r="AD170" i="12"/>
  <c r="AB170" i="12"/>
  <c r="X171" i="12" s="1"/>
  <c r="F316" i="9"/>
  <c r="H316" i="9" s="1"/>
  <c r="B317" i="9" s="1"/>
  <c r="Z259" i="9"/>
  <c r="W256" i="9"/>
  <c r="X256" i="9" s="1"/>
  <c r="J187" i="9"/>
  <c r="D226" i="12" l="1"/>
  <c r="E226" i="12" s="1"/>
  <c r="C226" i="12"/>
  <c r="N171" i="12"/>
  <c r="O171" i="12"/>
  <c r="P171" i="12"/>
  <c r="Q171" i="12" s="1"/>
  <c r="M172" i="12" s="1"/>
  <c r="T170" i="12"/>
  <c r="U170" i="12"/>
  <c r="AF170" i="12"/>
  <c r="AE170" i="12"/>
  <c r="Y171" i="12"/>
  <c r="E317" i="9"/>
  <c r="D317" i="9"/>
  <c r="AC259" i="9"/>
  <c r="AB259" i="9" s="1"/>
  <c r="AD259" i="9" s="1"/>
  <c r="AE259" i="9" s="1"/>
  <c r="AF259" i="9" s="1"/>
  <c r="R257" i="9"/>
  <c r="AH242" i="9"/>
  <c r="AM242" i="9" s="1"/>
  <c r="M187" i="9"/>
  <c r="L187" i="9" s="1"/>
  <c r="N187" i="9" s="1"/>
  <c r="O187" i="9" s="1"/>
  <c r="F226" i="12" l="1"/>
  <c r="B227" i="12" s="1"/>
  <c r="N172" i="12"/>
  <c r="O172" i="12" s="1"/>
  <c r="P172" i="12" s="1"/>
  <c r="R171" i="12"/>
  <c r="V170" i="12"/>
  <c r="W170" i="12" s="1"/>
  <c r="AG170" i="12"/>
  <c r="AH170" i="12" s="1"/>
  <c r="AC171" i="12"/>
  <c r="S171" i="12"/>
  <c r="U171" i="12" s="1"/>
  <c r="Z171" i="12"/>
  <c r="AA171" i="12" s="1"/>
  <c r="Z260" i="9"/>
  <c r="U257" i="9"/>
  <c r="T257" i="9"/>
  <c r="F317" i="9"/>
  <c r="H317" i="9" s="1"/>
  <c r="AK242" i="9"/>
  <c r="AJ242" i="9"/>
  <c r="AL242" i="9" s="1"/>
  <c r="AN242" i="9" s="1"/>
  <c r="P187" i="9"/>
  <c r="D227" i="12" l="1"/>
  <c r="E227" i="12" s="1"/>
  <c r="C227" i="12"/>
  <c r="AD171" i="12"/>
  <c r="AB171" i="12"/>
  <c r="X172" i="12" s="1"/>
  <c r="T171" i="12"/>
  <c r="S172" i="12"/>
  <c r="U172" i="12" s="1"/>
  <c r="Q172" i="12"/>
  <c r="M173" i="12" s="1"/>
  <c r="V257" i="9"/>
  <c r="W257" i="9" s="1"/>
  <c r="X257" i="9" s="1"/>
  <c r="R258" i="9" s="1"/>
  <c r="AC260" i="9"/>
  <c r="AB260" i="9" s="1"/>
  <c r="AD260" i="9" s="1"/>
  <c r="AE260" i="9" s="1"/>
  <c r="AF260" i="9" s="1"/>
  <c r="B318" i="9"/>
  <c r="AH243" i="9"/>
  <c r="AM243" i="9" s="1"/>
  <c r="J188" i="9"/>
  <c r="M188" i="9" l="1"/>
  <c r="F227" i="12"/>
  <c r="B228" i="12" s="1"/>
  <c r="AE171" i="12"/>
  <c r="AF171" i="12"/>
  <c r="Z172" i="12"/>
  <c r="Y172" i="12"/>
  <c r="R172" i="12"/>
  <c r="T172" i="12" s="1"/>
  <c r="V171" i="12"/>
  <c r="W171" i="12" s="1"/>
  <c r="N173" i="12"/>
  <c r="Z261" i="9"/>
  <c r="U258" i="9"/>
  <c r="T258" i="9"/>
  <c r="V258" i="9" s="1"/>
  <c r="W258" i="9" s="1"/>
  <c r="X258" i="9" s="1"/>
  <c r="E318" i="9"/>
  <c r="D318" i="9" s="1"/>
  <c r="F318" i="9" s="1"/>
  <c r="H318" i="9" s="1"/>
  <c r="AK243" i="9"/>
  <c r="AJ243" i="9"/>
  <c r="L188" i="9"/>
  <c r="C228" i="12" l="1"/>
  <c r="D228" i="12" s="1"/>
  <c r="AA172" i="12"/>
  <c r="AG171" i="12"/>
  <c r="AH171" i="12" s="1"/>
  <c r="AC172" i="12"/>
  <c r="V172" i="12"/>
  <c r="W172" i="12" s="1"/>
  <c r="R173" i="12"/>
  <c r="AD172" i="12"/>
  <c r="AF172" i="12" s="1"/>
  <c r="O173" i="12"/>
  <c r="P173" i="12" s="1"/>
  <c r="AB172" i="12"/>
  <c r="X173" i="12" s="1"/>
  <c r="AC261" i="9"/>
  <c r="AB261" i="9" s="1"/>
  <c r="AD261" i="9" s="1"/>
  <c r="R259" i="9"/>
  <c r="B319" i="9"/>
  <c r="AL243" i="9"/>
  <c r="N188" i="9"/>
  <c r="O188" i="9" s="1"/>
  <c r="F228" i="12" l="1"/>
  <c r="B229" i="12" s="1"/>
  <c r="E228" i="12"/>
  <c r="Y173" i="12"/>
  <c r="Z173" i="12"/>
  <c r="AA173" i="12" s="1"/>
  <c r="AB173" i="12" s="1"/>
  <c r="X174" i="12" s="1"/>
  <c r="AE172" i="12"/>
  <c r="S173" i="12"/>
  <c r="Q173" i="12"/>
  <c r="M174" i="12" s="1"/>
  <c r="U259" i="9"/>
  <c r="T259" i="9"/>
  <c r="V259" i="9" s="1"/>
  <c r="W259" i="9" s="1"/>
  <c r="X259" i="9" s="1"/>
  <c r="E319" i="9"/>
  <c r="D319" i="9" s="1"/>
  <c r="F319" i="9" s="1"/>
  <c r="H319" i="9" s="1"/>
  <c r="AN243" i="9"/>
  <c r="AE261" i="9"/>
  <c r="AF261" i="9" s="1"/>
  <c r="P188" i="9"/>
  <c r="D229" i="12" l="1"/>
  <c r="E229" i="12" s="1"/>
  <c r="C229" i="12"/>
  <c r="Y174" i="12"/>
  <c r="Z174" i="12"/>
  <c r="AC173" i="12"/>
  <c r="AG172" i="12"/>
  <c r="AH172" i="12" s="1"/>
  <c r="T173" i="12"/>
  <c r="U173" i="12"/>
  <c r="N174" i="12"/>
  <c r="AD173" i="12"/>
  <c r="AF173" i="12" s="1"/>
  <c r="R260" i="9"/>
  <c r="B320" i="9"/>
  <c r="AH244" i="9"/>
  <c r="AM244" i="9" s="1"/>
  <c r="Z262" i="9"/>
  <c r="J189" i="9"/>
  <c r="M189" i="9" l="1"/>
  <c r="L189" i="9" s="1"/>
  <c r="N189" i="9" s="1"/>
  <c r="O189" i="9"/>
  <c r="P189" i="9" s="1"/>
  <c r="F229" i="12"/>
  <c r="AA174" i="12"/>
  <c r="R174" i="12"/>
  <c r="V173" i="12"/>
  <c r="W173" i="12" s="1"/>
  <c r="AE173" i="12"/>
  <c r="O174" i="12"/>
  <c r="U260" i="9"/>
  <c r="T260" i="9"/>
  <c r="D320" i="9"/>
  <c r="E320" i="9"/>
  <c r="AK244" i="9"/>
  <c r="AJ244" i="9"/>
  <c r="AL244" i="9" s="1"/>
  <c r="AN244" i="9" s="1"/>
  <c r="AC262" i="9"/>
  <c r="AB262" i="9"/>
  <c r="AD262" i="9" s="1"/>
  <c r="AE262" i="9" s="1"/>
  <c r="AF262" i="9" s="1"/>
  <c r="B43" i="11" l="1" a="1"/>
  <c r="B230" i="12"/>
  <c r="AG173" i="12"/>
  <c r="AH173" i="12" s="1"/>
  <c r="AC174" i="12"/>
  <c r="AB174" i="12"/>
  <c r="X175" i="12" s="1"/>
  <c r="AD174" i="12"/>
  <c r="AF174" i="12" s="1"/>
  <c r="P174" i="12"/>
  <c r="F320" i="9"/>
  <c r="H320" i="9" s="1"/>
  <c r="B321" i="9" s="1"/>
  <c r="AH245" i="9"/>
  <c r="AM245" i="9" s="1"/>
  <c r="Z263" i="9"/>
  <c r="V260" i="9"/>
  <c r="J190" i="9"/>
  <c r="C230" i="12" l="1"/>
  <c r="D230" i="12"/>
  <c r="E230" i="12" s="1"/>
  <c r="Y175" i="12"/>
  <c r="Z175" i="12" s="1"/>
  <c r="AA175" i="12" s="1"/>
  <c r="AB175" i="12" s="1"/>
  <c r="X176" i="12" s="1"/>
  <c r="AE174" i="12"/>
  <c r="S174" i="12"/>
  <c r="Q174" i="12"/>
  <c r="M175" i="12" s="1"/>
  <c r="E321" i="9"/>
  <c r="D321" i="9" s="1"/>
  <c r="F321" i="9" s="1"/>
  <c r="H321" i="9" s="1"/>
  <c r="AK245" i="9"/>
  <c r="AJ245" i="9"/>
  <c r="AL245" i="9" s="1"/>
  <c r="AC263" i="9"/>
  <c r="AB263" i="9"/>
  <c r="W260" i="9"/>
  <c r="X260" i="9"/>
  <c r="M190" i="9"/>
  <c r="L190" i="9" s="1"/>
  <c r="N190" i="9" s="1"/>
  <c r="O190" i="9" s="1"/>
  <c r="P190" i="9" s="1"/>
  <c r="J191" i="9" s="1"/>
  <c r="M191" i="9" l="1"/>
  <c r="L191" i="9" s="1"/>
  <c r="N191" i="9" s="1"/>
  <c r="AD263" i="9"/>
  <c r="AE263" i="9" s="1"/>
  <c r="AF263" i="9" s="1"/>
  <c r="Z264" i="9" s="1"/>
  <c r="F230" i="12"/>
  <c r="B231" i="12" s="1"/>
  <c r="Y176" i="12"/>
  <c r="AG174" i="12"/>
  <c r="AH174" i="12" s="1"/>
  <c r="AC175" i="12"/>
  <c r="U174" i="12"/>
  <c r="T174" i="12"/>
  <c r="N175" i="12"/>
  <c r="O175" i="12"/>
  <c r="AD175" i="12"/>
  <c r="AF175" i="12" s="1"/>
  <c r="B322" i="9"/>
  <c r="R261" i="9"/>
  <c r="AN245" i="9"/>
  <c r="O191" i="9" l="1"/>
  <c r="P191" i="9" s="1"/>
  <c r="J192" i="9" s="1"/>
  <c r="C231" i="12"/>
  <c r="D231" i="12" s="1"/>
  <c r="AE175" i="12"/>
  <c r="AC176" i="12"/>
  <c r="AG175" i="12"/>
  <c r="AH175" i="12" s="1"/>
  <c r="R175" i="12"/>
  <c r="V174" i="12"/>
  <c r="W174" i="12" s="1"/>
  <c r="Z176" i="12"/>
  <c r="P175" i="12"/>
  <c r="E322" i="9"/>
  <c r="D322" i="9"/>
  <c r="F322" i="9" s="1"/>
  <c r="H322" i="9" s="1"/>
  <c r="AC264" i="9"/>
  <c r="AB264" i="9" s="1"/>
  <c r="AD264" i="9" s="1"/>
  <c r="T261" i="9"/>
  <c r="U261" i="9"/>
  <c r="AH246" i="9"/>
  <c r="AM246" i="9" s="1"/>
  <c r="V261" i="9" l="1"/>
  <c r="F231" i="12"/>
  <c r="B232" i="12" s="1"/>
  <c r="E231" i="12"/>
  <c r="AA176" i="12"/>
  <c r="S175" i="12"/>
  <c r="Q175" i="12"/>
  <c r="M176" i="12" s="1"/>
  <c r="B323" i="9"/>
  <c r="AK246" i="9"/>
  <c r="AJ246" i="9"/>
  <c r="AL246" i="9" s="1"/>
  <c r="AN246" i="9" s="1"/>
  <c r="AE264" i="9"/>
  <c r="AF264" i="9"/>
  <c r="M192" i="9"/>
  <c r="L192" i="9" s="1"/>
  <c r="N192" i="9" s="1"/>
  <c r="O192" i="9" s="1"/>
  <c r="P192" i="9" s="1"/>
  <c r="J193" i="9" s="1"/>
  <c r="M193" i="9" l="1"/>
  <c r="L193" i="9" s="1"/>
  <c r="N193" i="9" s="1"/>
  <c r="O193" i="9" s="1"/>
  <c r="P193" i="9" s="1"/>
  <c r="J194" i="9" s="1"/>
  <c r="C232" i="12"/>
  <c r="D232" i="12" s="1"/>
  <c r="W261" i="9"/>
  <c r="X261" i="9" s="1"/>
  <c r="R262" i="9" s="1"/>
  <c r="U175" i="12"/>
  <c r="T175" i="12"/>
  <c r="N176" i="12"/>
  <c r="O176" i="12"/>
  <c r="AD176" i="12"/>
  <c r="AB176" i="12"/>
  <c r="X177" i="12" s="1"/>
  <c r="D323" i="9"/>
  <c r="E323" i="9"/>
  <c r="AH247" i="9"/>
  <c r="AM247" i="9" s="1"/>
  <c r="Z265" i="9"/>
  <c r="M194" i="9" l="1"/>
  <c r="L194" i="9" s="1"/>
  <c r="N194" i="9" s="1"/>
  <c r="O194" i="9" s="1"/>
  <c r="P194" i="9" s="1"/>
  <c r="J195" i="9" s="1"/>
  <c r="R176" i="12"/>
  <c r="V175" i="12"/>
  <c r="W175" i="12" s="1"/>
  <c r="F323" i="9"/>
  <c r="H323" i="9" s="1"/>
  <c r="B324" i="9" s="1"/>
  <c r="F232" i="12"/>
  <c r="B233" i="12" s="1"/>
  <c r="E232" i="12"/>
  <c r="AF176" i="12"/>
  <c r="AE176" i="12"/>
  <c r="Y177" i="12"/>
  <c r="Z177" i="12"/>
  <c r="P176" i="12"/>
  <c r="AK247" i="9"/>
  <c r="AJ247" i="9"/>
  <c r="AL247" i="9" s="1"/>
  <c r="AN247" i="9" s="1"/>
  <c r="U262" i="9"/>
  <c r="T262" i="9" s="1"/>
  <c r="V262" i="9" s="1"/>
  <c r="AC265" i="9"/>
  <c r="AB265" i="9" s="1"/>
  <c r="AD265" i="9" s="1"/>
  <c r="M195" i="9" l="1"/>
  <c r="L195" i="9" s="1"/>
  <c r="N195" i="9" s="1"/>
  <c r="O195" i="9" s="1"/>
  <c r="P195" i="9" s="1"/>
  <c r="J196" i="9" s="1"/>
  <c r="C233" i="12"/>
  <c r="D233" i="12" s="1"/>
  <c r="E233" i="12" s="1"/>
  <c r="F233" i="12"/>
  <c r="B234" i="12" s="1"/>
  <c r="AG176" i="12"/>
  <c r="AH176" i="12" s="1"/>
  <c r="AC177" i="12"/>
  <c r="AA177" i="12"/>
  <c r="S176" i="12"/>
  <c r="Q176" i="12"/>
  <c r="M177" i="12" s="1"/>
  <c r="D324" i="9"/>
  <c r="E324" i="9"/>
  <c r="AH248" i="9"/>
  <c r="AM248" i="9" s="1"/>
  <c r="W262" i="9"/>
  <c r="X262" i="9" s="1"/>
  <c r="AE265" i="9"/>
  <c r="AF265" i="9" s="1"/>
  <c r="M196" i="9" l="1"/>
  <c r="L196" i="9" s="1"/>
  <c r="N196" i="9" s="1"/>
  <c r="C234" i="12"/>
  <c r="U176" i="12"/>
  <c r="T176" i="12"/>
  <c r="O177" i="12"/>
  <c r="N177" i="12"/>
  <c r="AB177" i="12"/>
  <c r="X178" i="12" s="1"/>
  <c r="AD177" i="12"/>
  <c r="F324" i="9"/>
  <c r="H324" i="9" s="1"/>
  <c r="B325" i="9" s="1"/>
  <c r="AJ248" i="9"/>
  <c r="AK248" i="9"/>
  <c r="R263" i="9"/>
  <c r="Z266" i="9"/>
  <c r="AL248" i="9" l="1"/>
  <c r="AN248" i="9" s="1"/>
  <c r="O196" i="9"/>
  <c r="P196" i="9" s="1"/>
  <c r="J197" i="9" s="1"/>
  <c r="D234" i="12"/>
  <c r="E234" i="12" s="1"/>
  <c r="F234" i="12"/>
  <c r="B235" i="12" s="1"/>
  <c r="V176" i="12"/>
  <c r="W176" i="12" s="1"/>
  <c r="R177" i="12"/>
  <c r="Y178" i="12"/>
  <c r="Z178" i="12" s="1"/>
  <c r="AE177" i="12"/>
  <c r="AF177" i="12"/>
  <c r="P177" i="12"/>
  <c r="E325" i="9"/>
  <c r="D325" i="9" s="1"/>
  <c r="F325" i="9" s="1"/>
  <c r="H325" i="9" s="1"/>
  <c r="T263" i="9"/>
  <c r="U263" i="9"/>
  <c r="AC266" i="9"/>
  <c r="AB266" i="9" s="1"/>
  <c r="AD266" i="9" s="1"/>
  <c r="M197" i="9" l="1"/>
  <c r="L197" i="9" s="1"/>
  <c r="N197" i="9" s="1"/>
  <c r="O197" i="9" s="1"/>
  <c r="P197" i="9" s="1"/>
  <c r="J198" i="9" s="1"/>
  <c r="D235" i="12"/>
  <c r="E235" i="12" s="1"/>
  <c r="C235" i="12"/>
  <c r="F235" i="12" s="1"/>
  <c r="B236" i="12" s="1"/>
  <c r="V263" i="9"/>
  <c r="AG177" i="12"/>
  <c r="AH177" i="12" s="1"/>
  <c r="AC178" i="12"/>
  <c r="S177" i="12"/>
  <c r="Q177" i="12"/>
  <c r="M178" i="12" s="1"/>
  <c r="AA178" i="12"/>
  <c r="B326" i="9"/>
  <c r="AH249" i="9"/>
  <c r="AM249" i="9" s="1"/>
  <c r="AE266" i="9"/>
  <c r="AF266" i="9"/>
  <c r="M198" i="9" l="1"/>
  <c r="L198" i="9" s="1"/>
  <c r="N198" i="9" s="1"/>
  <c r="O198" i="9" s="1"/>
  <c r="P198" i="9" s="1"/>
  <c r="J199" i="9" s="1"/>
  <c r="W263" i="9"/>
  <c r="X263" i="9"/>
  <c r="R264" i="9" s="1"/>
  <c r="C236" i="12"/>
  <c r="T177" i="12"/>
  <c r="U177" i="12"/>
  <c r="N178" i="12"/>
  <c r="O178" i="12"/>
  <c r="P178" i="12"/>
  <c r="Q178" i="12" s="1"/>
  <c r="M179" i="12" s="1"/>
  <c r="AB178" i="12"/>
  <c r="X179" i="12" s="1"/>
  <c r="AD178" i="12"/>
  <c r="E326" i="9"/>
  <c r="D326" i="9"/>
  <c r="AK249" i="9"/>
  <c r="AJ249" i="9"/>
  <c r="AL249" i="9" s="1"/>
  <c r="AN249" i="9" s="1"/>
  <c r="Z267" i="9"/>
  <c r="M199" i="9" l="1"/>
  <c r="L199" i="9" s="1"/>
  <c r="N199" i="9" s="1"/>
  <c r="O199" i="9" s="1"/>
  <c r="D236" i="12"/>
  <c r="E236" i="12" s="1"/>
  <c r="F236" i="12"/>
  <c r="B237" i="12" s="1"/>
  <c r="V177" i="12"/>
  <c r="W177" i="12" s="1"/>
  <c r="R178" i="12"/>
  <c r="T178" i="12" s="1"/>
  <c r="N179" i="12"/>
  <c r="O179" i="12"/>
  <c r="Y179" i="12"/>
  <c r="AE178" i="12"/>
  <c r="AF178" i="12"/>
  <c r="S178" i="12"/>
  <c r="U178" i="12" s="1"/>
  <c r="AH250" i="9"/>
  <c r="AM250" i="9" s="1"/>
  <c r="U264" i="9"/>
  <c r="T264" i="9"/>
  <c r="AC267" i="9"/>
  <c r="AB267" i="9"/>
  <c r="F326" i="9"/>
  <c r="H326" i="9" s="1"/>
  <c r="P199" i="9" l="1"/>
  <c r="J200" i="9" s="1"/>
  <c r="C237" i="12"/>
  <c r="D237" i="12"/>
  <c r="E237" i="12" s="1"/>
  <c r="R179" i="12"/>
  <c r="V178" i="12"/>
  <c r="W178" i="12" s="1"/>
  <c r="AC179" i="12"/>
  <c r="AG178" i="12"/>
  <c r="AH178" i="12" s="1"/>
  <c r="P179" i="12"/>
  <c r="Z179" i="12"/>
  <c r="V264" i="9"/>
  <c r="W264" i="9" s="1"/>
  <c r="X264" i="9" s="1"/>
  <c r="R265" i="9" s="1"/>
  <c r="AD267" i="9"/>
  <c r="AE267" i="9" s="1"/>
  <c r="AF267" i="9" s="1"/>
  <c r="Z268" i="9" s="1"/>
  <c r="AK250" i="9"/>
  <c r="AJ250" i="9"/>
  <c r="AL250" i="9" s="1"/>
  <c r="AN250" i="9" s="1"/>
  <c r="B327" i="9"/>
  <c r="M200" i="9" l="1"/>
  <c r="L200" i="9" s="1"/>
  <c r="N200" i="9" s="1"/>
  <c r="O200" i="9" s="1"/>
  <c r="F237" i="12"/>
  <c r="B238" i="12" s="1"/>
  <c r="S179" i="12"/>
  <c r="Q179" i="12"/>
  <c r="M180" i="12" s="1"/>
  <c r="AA179" i="12"/>
  <c r="AH251" i="9"/>
  <c r="AM251" i="9" s="1"/>
  <c r="W265" i="9"/>
  <c r="U265" i="9"/>
  <c r="T265" i="9"/>
  <c r="V265" i="9" s="1"/>
  <c r="AC268" i="9"/>
  <c r="AB268" i="9"/>
  <c r="AD268" i="9" s="1"/>
  <c r="AE268" i="9" s="1"/>
  <c r="AF268" i="9" s="1"/>
  <c r="E327" i="9"/>
  <c r="D327" i="9" s="1"/>
  <c r="F327" i="9" s="1"/>
  <c r="H327" i="9" s="1"/>
  <c r="P200" i="9" l="1"/>
  <c r="J201" i="9" s="1"/>
  <c r="C238" i="12"/>
  <c r="D238" i="12"/>
  <c r="E238" i="12" s="1"/>
  <c r="F238" i="12"/>
  <c r="B239" i="12" s="1"/>
  <c r="T179" i="12"/>
  <c r="U179" i="12"/>
  <c r="O180" i="12"/>
  <c r="N180" i="12"/>
  <c r="AD179" i="12"/>
  <c r="AB179" i="12"/>
  <c r="X180" i="12" s="1"/>
  <c r="AK251" i="9"/>
  <c r="AJ251" i="9"/>
  <c r="AL251" i="9" s="1"/>
  <c r="Z269" i="9"/>
  <c r="B328" i="9"/>
  <c r="X265" i="9"/>
  <c r="M201" i="9" l="1"/>
  <c r="L201" i="9" s="1"/>
  <c r="N201" i="9" s="1"/>
  <c r="O201" i="9" s="1"/>
  <c r="P201" i="9" s="1"/>
  <c r="J202" i="9" s="1"/>
  <c r="D239" i="12"/>
  <c r="E239" i="12" s="1"/>
  <c r="C239" i="12"/>
  <c r="F239" i="12" s="1"/>
  <c r="B240" i="12" s="1"/>
  <c r="R180" i="12"/>
  <c r="V179" i="12"/>
  <c r="W179" i="12" s="1"/>
  <c r="AF179" i="12"/>
  <c r="AE179" i="12"/>
  <c r="Y180" i="12"/>
  <c r="P180" i="12"/>
  <c r="AC269" i="9"/>
  <c r="AB269" i="9"/>
  <c r="AD269" i="9" s="1"/>
  <c r="AE269" i="9" s="1"/>
  <c r="AF269" i="9" s="1"/>
  <c r="E328" i="9"/>
  <c r="D328" i="9" s="1"/>
  <c r="F328" i="9" s="1"/>
  <c r="H328" i="9" s="1"/>
  <c r="R266" i="9"/>
  <c r="AN251" i="9"/>
  <c r="M202" i="9" l="1"/>
  <c r="L202" i="9" s="1"/>
  <c r="N202" i="9" s="1"/>
  <c r="D240" i="12"/>
  <c r="E240" i="12" s="1"/>
  <c r="C240" i="12"/>
  <c r="F240" i="12" s="1"/>
  <c r="B241" i="12" s="1"/>
  <c r="AG179" i="12"/>
  <c r="AH179" i="12" s="1"/>
  <c r="AC180" i="12"/>
  <c r="Z180" i="12"/>
  <c r="AA180" i="12" s="1"/>
  <c r="S180" i="12"/>
  <c r="Q180" i="12"/>
  <c r="M181" i="12" s="1"/>
  <c r="Z270" i="9"/>
  <c r="B329" i="9"/>
  <c r="U266" i="9"/>
  <c r="T266" i="9" s="1"/>
  <c r="V266" i="9" s="1"/>
  <c r="AH252" i="9"/>
  <c r="AM252" i="9" s="1"/>
  <c r="O202" i="9" l="1"/>
  <c r="P202" i="9" s="1"/>
  <c r="J203" i="9" s="1"/>
  <c r="C241" i="12"/>
  <c r="D241" i="12"/>
  <c r="E241" i="12" s="1"/>
  <c r="T180" i="12"/>
  <c r="U180" i="12"/>
  <c r="O181" i="12"/>
  <c r="N181" i="12"/>
  <c r="AD180" i="12"/>
  <c r="AB180" i="12"/>
  <c r="X181" i="12" s="1"/>
  <c r="AC270" i="9"/>
  <c r="AB270" i="9" s="1"/>
  <c r="AD270" i="9" s="1"/>
  <c r="D329" i="9"/>
  <c r="E329" i="9"/>
  <c r="AK252" i="9"/>
  <c r="AJ252" i="9" s="1"/>
  <c r="AL252" i="9" s="1"/>
  <c r="W266" i="9"/>
  <c r="X266" i="9" s="1"/>
  <c r="M203" i="9" l="1"/>
  <c r="L203" i="9" s="1"/>
  <c r="N203" i="9" s="1"/>
  <c r="O203" i="9"/>
  <c r="F241" i="12"/>
  <c r="B44" i="11" s="1" a="1"/>
  <c r="R181" i="12"/>
  <c r="V180" i="12"/>
  <c r="W180" i="12" s="1"/>
  <c r="AE180" i="12"/>
  <c r="AF180" i="12"/>
  <c r="Y181" i="12"/>
  <c r="Z181" i="12"/>
  <c r="P181" i="12"/>
  <c r="F329" i="9"/>
  <c r="H329" i="9" s="1"/>
  <c r="B330" i="9" s="1"/>
  <c r="R267" i="9"/>
  <c r="AE270" i="9"/>
  <c r="AF270" i="9"/>
  <c r="AN252" i="9"/>
  <c r="P203" i="9" l="1"/>
  <c r="J204" i="9" s="1"/>
  <c r="AC181" i="12"/>
  <c r="AG180" i="12"/>
  <c r="AH180" i="12" s="1"/>
  <c r="AA181" i="12"/>
  <c r="S181" i="12"/>
  <c r="Q181" i="12"/>
  <c r="E330" i="9"/>
  <c r="D330" i="9" s="1"/>
  <c r="F330" i="9" s="1"/>
  <c r="H330" i="9" s="1"/>
  <c r="U267" i="9"/>
  <c r="T267" i="9"/>
  <c r="V267" i="9" s="1"/>
  <c r="W267" i="9" s="1"/>
  <c r="X267" i="9" s="1"/>
  <c r="Z271" i="9"/>
  <c r="AH253" i="9"/>
  <c r="AM253" i="9" s="1"/>
  <c r="M204" i="9" l="1"/>
  <c r="L204" i="9" s="1"/>
  <c r="N204" i="9" s="1"/>
  <c r="O204" i="9"/>
  <c r="AB181" i="12"/>
  <c r="AD181" i="12"/>
  <c r="T181" i="12"/>
  <c r="U181" i="12"/>
  <c r="D39" i="11" a="1"/>
  <c r="M182" i="12"/>
  <c r="B331" i="9"/>
  <c r="R268" i="9"/>
  <c r="AB271" i="9"/>
  <c r="AC271" i="9"/>
  <c r="AK253" i="9"/>
  <c r="AJ253" i="9"/>
  <c r="AL253" i="9" s="1"/>
  <c r="AN253" i="9" s="1"/>
  <c r="P204" i="9" l="1"/>
  <c r="J205" i="9" s="1"/>
  <c r="X182" i="12"/>
  <c r="F39" i="11" a="1"/>
  <c r="AE181" i="12"/>
  <c r="AF181" i="12"/>
  <c r="R182" i="12"/>
  <c r="V181" i="12"/>
  <c r="W181" i="12" s="1"/>
  <c r="E39" i="11" s="1" a="1"/>
  <c r="O182" i="12"/>
  <c r="N182" i="12"/>
  <c r="AD271" i="9"/>
  <c r="AE271" i="9" s="1"/>
  <c r="AF271" i="9" s="1"/>
  <c r="Z272" i="9" s="1"/>
  <c r="D331" i="9"/>
  <c r="E331" i="9"/>
  <c r="U268" i="9"/>
  <c r="T268" i="9"/>
  <c r="AH254" i="9"/>
  <c r="AM254" i="9" s="1"/>
  <c r="M205" i="9" l="1"/>
  <c r="L205" i="9" s="1"/>
  <c r="N205" i="9" s="1"/>
  <c r="O205" i="9"/>
  <c r="V268" i="9"/>
  <c r="W268" i="9" s="1"/>
  <c r="X268" i="9" s="1"/>
  <c r="R269" i="9" s="1"/>
  <c r="Y182" i="12"/>
  <c r="Z182" i="12" s="1"/>
  <c r="AG181" i="12"/>
  <c r="AH181" i="12" s="1"/>
  <c r="G39" i="11" s="1" a="1"/>
  <c r="H39" i="11" s="1"/>
  <c r="AC182" i="12"/>
  <c r="P182" i="12"/>
  <c r="F331" i="9"/>
  <c r="H331" i="9" s="1"/>
  <c r="B332" i="9"/>
  <c r="AC272" i="9"/>
  <c r="AB272" i="9"/>
  <c r="AK254" i="9"/>
  <c r="AJ254" i="9" s="1"/>
  <c r="AL254" i="9" s="1"/>
  <c r="P205" i="9" l="1"/>
  <c r="J206" i="9" s="1"/>
  <c r="AA182" i="12"/>
  <c r="S182" i="12"/>
  <c r="Q182" i="12"/>
  <c r="M183" i="12" s="1"/>
  <c r="E332" i="9"/>
  <c r="D332" i="9"/>
  <c r="F332" i="9" s="1"/>
  <c r="H332" i="9" s="1"/>
  <c r="T269" i="9"/>
  <c r="U269" i="9"/>
  <c r="AD272" i="9"/>
  <c r="AN254" i="9"/>
  <c r="M206" i="9" l="1"/>
  <c r="L206" i="9" s="1"/>
  <c r="N206" i="9" s="1"/>
  <c r="O206" i="9" s="1"/>
  <c r="P206" i="9" s="1"/>
  <c r="J207" i="9" s="1"/>
  <c r="U182" i="12"/>
  <c r="T182" i="12"/>
  <c r="N183" i="12"/>
  <c r="O183" i="12"/>
  <c r="AD182" i="12"/>
  <c r="AB182" i="12"/>
  <c r="X183" i="12" s="1"/>
  <c r="V269" i="9"/>
  <c r="B333" i="9"/>
  <c r="AE272" i="9"/>
  <c r="AF272" i="9" s="1"/>
  <c r="AH255" i="9"/>
  <c r="AM255" i="9" s="1"/>
  <c r="M207" i="9" l="1"/>
  <c r="L207" i="9" s="1"/>
  <c r="N207" i="9" s="1"/>
  <c r="O207" i="9" s="1"/>
  <c r="P207" i="9" s="1"/>
  <c r="J208" i="9" s="1"/>
  <c r="W269" i="9"/>
  <c r="X269" i="9"/>
  <c r="R270" i="9" s="1"/>
  <c r="V182" i="12"/>
  <c r="W182" i="12" s="1"/>
  <c r="R183" i="12"/>
  <c r="AF182" i="12"/>
  <c r="AE182" i="12"/>
  <c r="Z183" i="12"/>
  <c r="Y183" i="12"/>
  <c r="P183" i="12"/>
  <c r="E333" i="9"/>
  <c r="D333" i="9" s="1"/>
  <c r="F333" i="9" s="1"/>
  <c r="H333" i="9" s="1"/>
  <c r="Z273" i="9"/>
  <c r="AJ255" i="9"/>
  <c r="AK255" i="9"/>
  <c r="M208" i="9" l="1"/>
  <c r="L208" i="9" s="1"/>
  <c r="N208" i="9" s="1"/>
  <c r="AL255" i="9"/>
  <c r="AN255" i="9" s="1"/>
  <c r="AG182" i="12"/>
  <c r="AH182" i="12" s="1"/>
  <c r="AC183" i="12"/>
  <c r="S183" i="12"/>
  <c r="Q183" i="12"/>
  <c r="M184" i="12" s="1"/>
  <c r="AA183" i="12"/>
  <c r="B334" i="9"/>
  <c r="AB273" i="9"/>
  <c r="AD273" i="9" s="1"/>
  <c r="AE273" i="9" s="1"/>
  <c r="AF273" i="9" s="1"/>
  <c r="AC273" i="9"/>
  <c r="U270" i="9"/>
  <c r="T270" i="9"/>
  <c r="O208" i="9" l="1"/>
  <c r="P208" i="9"/>
  <c r="J209" i="9" s="1"/>
  <c r="T183" i="12"/>
  <c r="U183" i="12"/>
  <c r="N184" i="12"/>
  <c r="O184" i="12"/>
  <c r="P184" i="12"/>
  <c r="Q184" i="12" s="1"/>
  <c r="M185" i="12" s="1"/>
  <c r="AD183" i="12"/>
  <c r="AB183" i="12"/>
  <c r="X184" i="12" s="1"/>
  <c r="E334" i="9"/>
  <c r="D334" i="9" s="1"/>
  <c r="F334" i="9" s="1"/>
  <c r="H334" i="9" s="1"/>
  <c r="Z274" i="9"/>
  <c r="AH256" i="9"/>
  <c r="AM256" i="9" s="1"/>
  <c r="V270" i="9"/>
  <c r="M209" i="9" l="1"/>
  <c r="L209" i="9" s="1"/>
  <c r="N209" i="9" s="1"/>
  <c r="O209" i="9" s="1"/>
  <c r="P209" i="9" s="1"/>
  <c r="J210" i="9" s="1"/>
  <c r="V183" i="12"/>
  <c r="W183" i="12" s="1"/>
  <c r="R184" i="12"/>
  <c r="O185" i="12"/>
  <c r="P185" i="12" s="1"/>
  <c r="Q185" i="12" s="1"/>
  <c r="M186" i="12" s="1"/>
  <c r="N185" i="12"/>
  <c r="AE183" i="12"/>
  <c r="AF183" i="12"/>
  <c r="Y184" i="12"/>
  <c r="S184" i="12"/>
  <c r="U184" i="12" s="1"/>
  <c r="B335" i="9"/>
  <c r="AC274" i="9"/>
  <c r="AB274" i="9"/>
  <c r="AD274" i="9" s="1"/>
  <c r="AE274" i="9" s="1"/>
  <c r="AF274" i="9" s="1"/>
  <c r="AK256" i="9"/>
  <c r="AJ256" i="9" s="1"/>
  <c r="AL256" i="9" s="1"/>
  <c r="W270" i="9"/>
  <c r="X270" i="9"/>
  <c r="M210" i="9" l="1"/>
  <c r="L210" i="9" s="1"/>
  <c r="N210" i="9" s="1"/>
  <c r="O210" i="9" s="1"/>
  <c r="P210" i="9" s="1"/>
  <c r="J211" i="9" s="1"/>
  <c r="O186" i="12"/>
  <c r="N186" i="12"/>
  <c r="AG183" i="12"/>
  <c r="AH183" i="12" s="1"/>
  <c r="AC184" i="12"/>
  <c r="T184" i="12"/>
  <c r="S185" i="12"/>
  <c r="U185" i="12" s="1"/>
  <c r="Z184" i="12"/>
  <c r="E335" i="9"/>
  <c r="D335" i="9"/>
  <c r="F335" i="9" s="1"/>
  <c r="H335" i="9" s="1"/>
  <c r="Z275" i="9"/>
  <c r="R271" i="9"/>
  <c r="AN256" i="9"/>
  <c r="M211" i="9" l="1"/>
  <c r="L211" i="9" s="1"/>
  <c r="N211" i="9" s="1"/>
  <c r="O211" i="9" s="1"/>
  <c r="P211" i="9" s="1"/>
  <c r="J212" i="9" s="1"/>
  <c r="V184" i="12"/>
  <c r="W184" i="12" s="1"/>
  <c r="R185" i="12"/>
  <c r="T185" i="12" s="1"/>
  <c r="AA184" i="12"/>
  <c r="P186" i="12"/>
  <c r="B336" i="9"/>
  <c r="AB275" i="9"/>
  <c r="AD275" i="9" s="1"/>
  <c r="AE275" i="9" s="1"/>
  <c r="AC275" i="9"/>
  <c r="U271" i="9"/>
  <c r="T271" i="9" s="1"/>
  <c r="V271" i="9" s="1"/>
  <c r="AH257" i="9"/>
  <c r="AM257" i="9" s="1"/>
  <c r="M212" i="9" l="1"/>
  <c r="L212" i="9" s="1"/>
  <c r="N212" i="9" s="1"/>
  <c r="O212" i="9" s="1"/>
  <c r="P212" i="9" s="1"/>
  <c r="J213" i="9" s="1"/>
  <c r="AB184" i="12"/>
  <c r="X185" i="12" s="1"/>
  <c r="AD184" i="12"/>
  <c r="S186" i="12"/>
  <c r="U186" i="12" s="1"/>
  <c r="Q186" i="12"/>
  <c r="M187" i="12" s="1"/>
  <c r="R186" i="12"/>
  <c r="T186" i="12" s="1"/>
  <c r="V185" i="12"/>
  <c r="W185" i="12" s="1"/>
  <c r="Y185" i="12"/>
  <c r="Z185" i="12" s="1"/>
  <c r="O187" i="12"/>
  <c r="N187" i="12"/>
  <c r="E336" i="9"/>
  <c r="D336" i="9"/>
  <c r="F336" i="9" s="1"/>
  <c r="H336" i="9" s="1"/>
  <c r="AJ257" i="9"/>
  <c r="AK257" i="9"/>
  <c r="AF275" i="9"/>
  <c r="W271" i="9"/>
  <c r="X271" i="9" s="1"/>
  <c r="M213" i="9" l="1"/>
  <c r="L213" i="9" s="1"/>
  <c r="N213" i="9" s="1"/>
  <c r="O213" i="9" s="1"/>
  <c r="P213" i="9" s="1"/>
  <c r="J214" i="9" s="1"/>
  <c r="AE184" i="12"/>
  <c r="AC185" i="12" s="1"/>
  <c r="AF184" i="12"/>
  <c r="P187" i="12"/>
  <c r="R187" i="12"/>
  <c r="V186" i="12"/>
  <c r="W186" i="12" s="1"/>
  <c r="AA185" i="12"/>
  <c r="AG184" i="12"/>
  <c r="AH184" i="12" s="1"/>
  <c r="AL257" i="9"/>
  <c r="AN257" i="9" s="1"/>
  <c r="B337" i="9"/>
  <c r="Z276" i="9"/>
  <c r="R272" i="9"/>
  <c r="M214" i="9" l="1"/>
  <c r="L214" i="9" s="1"/>
  <c r="N214" i="9" s="1"/>
  <c r="O214" i="9" s="1"/>
  <c r="P214" i="9" s="1"/>
  <c r="J215" i="9" s="1"/>
  <c r="Q187" i="12"/>
  <c r="M188" i="12" s="1"/>
  <c r="S187" i="12"/>
  <c r="AB185" i="12"/>
  <c r="X186" i="12" s="1"/>
  <c r="AD185" i="12"/>
  <c r="E337" i="9"/>
  <c r="D337" i="9" s="1"/>
  <c r="F337" i="9" s="1"/>
  <c r="H337" i="9" s="1"/>
  <c r="AC276" i="9"/>
  <c r="AB276" i="9"/>
  <c r="AD276" i="9" s="1"/>
  <c r="AE276" i="9" s="1"/>
  <c r="AF276" i="9" s="1"/>
  <c r="T272" i="9"/>
  <c r="W272" i="9"/>
  <c r="U272" i="9"/>
  <c r="AH258" i="9"/>
  <c r="AM258" i="9" s="1"/>
  <c r="M215" i="9" l="1"/>
  <c r="L215" i="9" s="1"/>
  <c r="N215" i="9" s="1"/>
  <c r="O215" i="9" s="1"/>
  <c r="P215" i="9" s="1"/>
  <c r="J216" i="9" s="1"/>
  <c r="O188" i="12"/>
  <c r="N188" i="12"/>
  <c r="U187" i="12"/>
  <c r="T187" i="12"/>
  <c r="Y186" i="12"/>
  <c r="AE185" i="12"/>
  <c r="AF185" i="12"/>
  <c r="V272" i="9"/>
  <c r="X272" i="9" s="1"/>
  <c r="B338" i="9"/>
  <c r="Z277" i="9"/>
  <c r="AK258" i="9"/>
  <c r="AJ258" i="9"/>
  <c r="M216" i="9" l="1"/>
  <c r="L216" i="9" s="1"/>
  <c r="N216" i="9" s="1"/>
  <c r="P188" i="12"/>
  <c r="R188" i="12"/>
  <c r="T188" i="12" s="1"/>
  <c r="V187" i="12"/>
  <c r="W187" i="12" s="1"/>
  <c r="AG185" i="12"/>
  <c r="AH185" i="12" s="1"/>
  <c r="AC186" i="12"/>
  <c r="Z186" i="12"/>
  <c r="E338" i="9"/>
  <c r="D338" i="9"/>
  <c r="AC277" i="9"/>
  <c r="AB277" i="9"/>
  <c r="AE277" i="9"/>
  <c r="R273" i="9"/>
  <c r="AL258" i="9"/>
  <c r="O216" i="9" l="1"/>
  <c r="P216" i="9" s="1"/>
  <c r="J217" i="9" s="1"/>
  <c r="F338" i="9"/>
  <c r="H338" i="9" s="1"/>
  <c r="B339" i="9" s="1"/>
  <c r="AD277" i="9"/>
  <c r="AF277" i="9" s="1"/>
  <c r="Z278" i="9" s="1"/>
  <c r="S188" i="12"/>
  <c r="U188" i="12" s="1"/>
  <c r="Q188" i="12"/>
  <c r="M189" i="12" s="1"/>
  <c r="V188" i="12"/>
  <c r="W188" i="12" s="1"/>
  <c r="R189" i="12"/>
  <c r="AA186" i="12"/>
  <c r="AB186" i="12" s="1"/>
  <c r="X187" i="12" s="1"/>
  <c r="AD186" i="12"/>
  <c r="U273" i="9"/>
  <c r="T273" i="9" s="1"/>
  <c r="V273" i="9" s="1"/>
  <c r="AN258" i="9"/>
  <c r="M217" i="9" l="1"/>
  <c r="L217" i="9" s="1"/>
  <c r="N217" i="9" s="1"/>
  <c r="O217" i="9" s="1"/>
  <c r="O189" i="12"/>
  <c r="N189" i="12"/>
  <c r="P189" i="12"/>
  <c r="Q189" i="12"/>
  <c r="M190" i="12" s="1"/>
  <c r="Y187" i="12"/>
  <c r="Z187" i="12"/>
  <c r="AE186" i="12"/>
  <c r="AF186" i="12"/>
  <c r="E339" i="9"/>
  <c r="D339" i="9" s="1"/>
  <c r="F339" i="9" s="1"/>
  <c r="H339" i="9" s="1"/>
  <c r="AC278" i="9"/>
  <c r="AB278" i="9" s="1"/>
  <c r="AD278" i="9" s="1"/>
  <c r="AH259" i="9"/>
  <c r="AM259" i="9" s="1"/>
  <c r="W273" i="9"/>
  <c r="X273" i="9" s="1"/>
  <c r="P217" i="9" l="1"/>
  <c r="J218" i="9" s="1"/>
  <c r="O190" i="12"/>
  <c r="N190" i="12"/>
  <c r="S189" i="12"/>
  <c r="AG186" i="12"/>
  <c r="AH186" i="12" s="1"/>
  <c r="AC187" i="12"/>
  <c r="AA187" i="12"/>
  <c r="B340" i="9"/>
  <c r="AK259" i="9"/>
  <c r="AJ259" i="9" s="1"/>
  <c r="AL259" i="9" s="1"/>
  <c r="R274" i="9"/>
  <c r="AE278" i="9"/>
  <c r="AF278" i="9" s="1"/>
  <c r="M218" i="9" l="1"/>
  <c r="L218" i="9" s="1"/>
  <c r="N218" i="9" s="1"/>
  <c r="O218" i="9" s="1"/>
  <c r="P218" i="9" s="1"/>
  <c r="J219" i="9" s="1"/>
  <c r="P190" i="12"/>
  <c r="U189" i="12"/>
  <c r="T189" i="12"/>
  <c r="AD187" i="12"/>
  <c r="AB187" i="12"/>
  <c r="X188" i="12" s="1"/>
  <c r="E340" i="9"/>
  <c r="D340" i="9" s="1"/>
  <c r="F340" i="9" s="1"/>
  <c r="H340" i="9" s="1"/>
  <c r="U274" i="9"/>
  <c r="T274" i="9"/>
  <c r="Z279" i="9"/>
  <c r="AN259" i="9"/>
  <c r="M219" i="9" l="1"/>
  <c r="L219" i="9" s="1"/>
  <c r="N219" i="9" s="1"/>
  <c r="P219" i="9" s="1"/>
  <c r="J220" i="9" s="1"/>
  <c r="O219" i="9"/>
  <c r="V189" i="12"/>
  <c r="W189" i="12" s="1"/>
  <c r="R190" i="12"/>
  <c r="T190" i="12" s="1"/>
  <c r="S190" i="12"/>
  <c r="U190" i="12" s="1"/>
  <c r="Q190" i="12"/>
  <c r="M191" i="12" s="1"/>
  <c r="AE187" i="12"/>
  <c r="AF187" i="12"/>
  <c r="Y188" i="12"/>
  <c r="Z188" i="12" s="1"/>
  <c r="V274" i="9"/>
  <c r="W274" i="9" s="1"/>
  <c r="X274" i="9" s="1"/>
  <c r="R275" i="9" s="1"/>
  <c r="B341" i="9"/>
  <c r="AC279" i="9"/>
  <c r="AB279" i="9"/>
  <c r="AD279" i="9" s="1"/>
  <c r="AE279" i="9"/>
  <c r="AH260" i="9"/>
  <c r="AM260" i="9" s="1"/>
  <c r="M220" i="9" l="1"/>
  <c r="L220" i="9" s="1"/>
  <c r="N220" i="9" s="1"/>
  <c r="O220" i="9" s="1"/>
  <c r="P220" i="9" s="1"/>
  <c r="J221" i="9" s="1"/>
  <c r="R191" i="12"/>
  <c r="V190" i="12"/>
  <c r="W190" i="12" s="1"/>
  <c r="O191" i="12"/>
  <c r="N191" i="12"/>
  <c r="P191" i="12"/>
  <c r="AC188" i="12"/>
  <c r="AG187" i="12"/>
  <c r="AH187" i="12" s="1"/>
  <c r="AA188" i="12"/>
  <c r="E341" i="9"/>
  <c r="D341" i="9" s="1"/>
  <c r="F341" i="9" s="1"/>
  <c r="H341" i="9" s="1"/>
  <c r="U275" i="9"/>
  <c r="T275" i="9"/>
  <c r="W275" i="9"/>
  <c r="AK260" i="9"/>
  <c r="AJ260" i="9" s="1"/>
  <c r="AL260" i="9" s="1"/>
  <c r="AF279" i="9"/>
  <c r="M221" i="9" l="1"/>
  <c r="L221" i="9" s="1"/>
  <c r="N221" i="9" s="1"/>
  <c r="O221" i="9" s="1"/>
  <c r="P221" i="9" s="1"/>
  <c r="J222" i="9" s="1"/>
  <c r="S191" i="12"/>
  <c r="Q191" i="12"/>
  <c r="M192" i="12" s="1"/>
  <c r="AD188" i="12"/>
  <c r="AB188" i="12"/>
  <c r="X189" i="12" s="1"/>
  <c r="V275" i="9"/>
  <c r="X275" i="9" s="1"/>
  <c r="B342" i="9"/>
  <c r="Z280" i="9"/>
  <c r="AN260" i="9"/>
  <c r="M222" i="9" l="1"/>
  <c r="L222" i="9" s="1"/>
  <c r="N222" i="9" s="1"/>
  <c r="T191" i="12"/>
  <c r="U191" i="12"/>
  <c r="O192" i="12"/>
  <c r="N192" i="12"/>
  <c r="P192" i="12" s="1"/>
  <c r="S192" i="12" s="1"/>
  <c r="AE188" i="12"/>
  <c r="AF188" i="12"/>
  <c r="Y189" i="12"/>
  <c r="D342" i="9"/>
  <c r="E342" i="9"/>
  <c r="AC280" i="9"/>
  <c r="AB280" i="9"/>
  <c r="AD280" i="9" s="1"/>
  <c r="AE280" i="9" s="1"/>
  <c r="AF280" i="9" s="1"/>
  <c r="R276" i="9"/>
  <c r="AH261" i="9"/>
  <c r="AM261" i="9" s="1"/>
  <c r="O222" i="9" l="1"/>
  <c r="P222" i="9"/>
  <c r="J223" i="9" s="1"/>
  <c r="V191" i="12"/>
  <c r="W191" i="12" s="1"/>
  <c r="R192" i="12"/>
  <c r="T192" i="12" s="1"/>
  <c r="Q192" i="12"/>
  <c r="M193" i="12" s="1"/>
  <c r="U192" i="12"/>
  <c r="AG188" i="12"/>
  <c r="AH188" i="12" s="1"/>
  <c r="AC189" i="12"/>
  <c r="Z189" i="12"/>
  <c r="AA189" i="12" s="1"/>
  <c r="F342" i="9"/>
  <c r="H342" i="9" s="1"/>
  <c r="B343" i="9" s="1"/>
  <c r="Z281" i="9"/>
  <c r="T276" i="9"/>
  <c r="U276" i="9"/>
  <c r="AK261" i="9"/>
  <c r="AJ261" i="9"/>
  <c r="M223" i="9" l="1"/>
  <c r="L223" i="9" s="1"/>
  <c r="N223" i="9" s="1"/>
  <c r="O223" i="9"/>
  <c r="N193" i="12"/>
  <c r="O193" i="12"/>
  <c r="AL261" i="9"/>
  <c r="AN261" i="9" s="1"/>
  <c r="V192" i="12"/>
  <c r="W192" i="12" s="1"/>
  <c r="R193" i="12"/>
  <c r="AD189" i="12"/>
  <c r="AB189" i="12"/>
  <c r="X190" i="12" s="1"/>
  <c r="V276" i="9"/>
  <c r="W276" i="9" s="1"/>
  <c r="X276" i="9" s="1"/>
  <c r="R277" i="9" s="1"/>
  <c r="E343" i="9"/>
  <c r="D343" i="9"/>
  <c r="F343" i="9" s="1"/>
  <c r="H343" i="9" s="1"/>
  <c r="AC281" i="9"/>
  <c r="AB281" i="9" s="1"/>
  <c r="AD281" i="9" s="1"/>
  <c r="P223" i="9" l="1"/>
  <c r="J224" i="9" s="1"/>
  <c r="P193" i="12"/>
  <c r="AE189" i="12"/>
  <c r="AF189" i="12"/>
  <c r="Y190" i="12"/>
  <c r="AB190" i="12" s="1"/>
  <c r="X191" i="12" s="1"/>
  <c r="Z190" i="12"/>
  <c r="AA190" i="12"/>
  <c r="B344" i="9"/>
  <c r="T277" i="9"/>
  <c r="U277" i="9"/>
  <c r="AH262" i="9"/>
  <c r="AM262" i="9" s="1"/>
  <c r="AE281" i="9"/>
  <c r="AF281" i="9" s="1"/>
  <c r="M224" i="9" l="1"/>
  <c r="L224" i="9" s="1"/>
  <c r="N224" i="9" s="1"/>
  <c r="O224" i="9" s="1"/>
  <c r="Q193" i="12"/>
  <c r="S193" i="12"/>
  <c r="AC190" i="12"/>
  <c r="AG189" i="12"/>
  <c r="AH189" i="12" s="1"/>
  <c r="Z191" i="12"/>
  <c r="Y191" i="12"/>
  <c r="AD190" i="12"/>
  <c r="AF190" i="12" s="1"/>
  <c r="V277" i="9"/>
  <c r="W277" i="9" s="1"/>
  <c r="X277" i="9" s="1"/>
  <c r="R278" i="9" s="1"/>
  <c r="E344" i="9"/>
  <c r="D344" i="9" s="1"/>
  <c r="F344" i="9" s="1"/>
  <c r="H344" i="9" s="1"/>
  <c r="AK262" i="9"/>
  <c r="AJ262" i="9" s="1"/>
  <c r="AL262" i="9" s="1"/>
  <c r="Z282" i="9"/>
  <c r="P224" i="9" l="1"/>
  <c r="J225" i="9" s="1"/>
  <c r="M194" i="12"/>
  <c r="D40" i="11" a="1"/>
  <c r="T193" i="12"/>
  <c r="U193" i="12"/>
  <c r="AE190" i="12"/>
  <c r="AC191" i="12" s="1"/>
  <c r="AG190" i="12"/>
  <c r="AH190" i="12" s="1"/>
  <c r="AA191" i="12"/>
  <c r="B345" i="9"/>
  <c r="U278" i="9"/>
  <c r="T278" i="9" s="1"/>
  <c r="V278" i="9" s="1"/>
  <c r="AC282" i="9"/>
  <c r="AB282" i="9"/>
  <c r="AD282" i="9" s="1"/>
  <c r="AE282" i="9" s="1"/>
  <c r="AF282" i="9" s="1"/>
  <c r="AN262" i="9"/>
  <c r="M225" i="9" l="1"/>
  <c r="L225" i="9" s="1"/>
  <c r="N225" i="9" s="1"/>
  <c r="O225" i="9" s="1"/>
  <c r="O194" i="12"/>
  <c r="N194" i="12"/>
  <c r="P194" i="12" s="1"/>
  <c r="Q194" i="12" s="1"/>
  <c r="M195" i="12" s="1"/>
  <c r="V193" i="12"/>
  <c r="W193" i="12" s="1"/>
  <c r="E40" i="11" s="1" a="1"/>
  <c r="R194" i="12"/>
  <c r="AB191" i="12"/>
  <c r="X192" i="12" s="1"/>
  <c r="AD191" i="12"/>
  <c r="E345" i="9"/>
  <c r="D345" i="9"/>
  <c r="F345" i="9" s="1"/>
  <c r="H345" i="9" s="1"/>
  <c r="Z283" i="9"/>
  <c r="AH263" i="9"/>
  <c r="AM263" i="9" s="1"/>
  <c r="W278" i="9"/>
  <c r="X278" i="9" s="1"/>
  <c r="P225" i="9" l="1"/>
  <c r="J226" i="9" s="1"/>
  <c r="S194" i="12"/>
  <c r="O195" i="12"/>
  <c r="N195" i="12"/>
  <c r="Y192" i="12"/>
  <c r="Z192" i="12" s="1"/>
  <c r="AE191" i="12"/>
  <c r="AF191" i="12"/>
  <c r="B346" i="9"/>
  <c r="AC283" i="9"/>
  <c r="AB283" i="9"/>
  <c r="AJ263" i="9"/>
  <c r="AK263" i="9"/>
  <c r="R279" i="9"/>
  <c r="M226" i="9" l="1"/>
  <c r="L226" i="9" s="1"/>
  <c r="N226" i="9" s="1"/>
  <c r="O226" i="9"/>
  <c r="P226" i="9"/>
  <c r="J227" i="9" s="1"/>
  <c r="T194" i="12"/>
  <c r="U194" i="12"/>
  <c r="P195" i="12"/>
  <c r="AL263" i="9"/>
  <c r="AN263" i="9" s="1"/>
  <c r="AH264" i="9" s="1"/>
  <c r="AM264" i="9" s="1"/>
  <c r="AD283" i="9"/>
  <c r="AG191" i="12"/>
  <c r="AH191" i="12" s="1"/>
  <c r="AC192" i="12"/>
  <c r="AA192" i="12"/>
  <c r="E346" i="9"/>
  <c r="D346" i="9"/>
  <c r="F346" i="9" s="1"/>
  <c r="H346" i="9" s="1"/>
  <c r="U279" i="9"/>
  <c r="T279" i="9"/>
  <c r="V279" i="9" s="1"/>
  <c r="W279" i="9" s="1"/>
  <c r="X279" i="9" s="1"/>
  <c r="M227" i="9" l="1"/>
  <c r="L227" i="9" s="1"/>
  <c r="N227" i="9" s="1"/>
  <c r="O227" i="9" s="1"/>
  <c r="P227" i="9" s="1"/>
  <c r="J228" i="9" s="1"/>
  <c r="AE283" i="9"/>
  <c r="AF283" i="9"/>
  <c r="Z284" i="9" s="1"/>
  <c r="R195" i="12"/>
  <c r="V194" i="12"/>
  <c r="W194" i="12" s="1"/>
  <c r="Q195" i="12"/>
  <c r="M196" i="12" s="1"/>
  <c r="S195" i="12"/>
  <c r="U195" i="12" s="1"/>
  <c r="AD192" i="12"/>
  <c r="AB192" i="12"/>
  <c r="X193" i="12" s="1"/>
  <c r="B347" i="9"/>
  <c r="AK264" i="9"/>
  <c r="AJ264" i="9" s="1"/>
  <c r="AL264" i="9" s="1"/>
  <c r="R280" i="9"/>
  <c r="M228" i="9" l="1"/>
  <c r="L228" i="9" s="1"/>
  <c r="N228" i="9" s="1"/>
  <c r="O228" i="9" s="1"/>
  <c r="P228" i="9" s="1"/>
  <c r="J229" i="9" s="1"/>
  <c r="N196" i="12"/>
  <c r="O196" i="12"/>
  <c r="T195" i="12"/>
  <c r="AE192" i="12"/>
  <c r="AF192" i="12"/>
  <c r="Z193" i="12"/>
  <c r="Y193" i="12"/>
  <c r="D347" i="9"/>
  <c r="E347" i="9"/>
  <c r="U280" i="9"/>
  <c r="T280" i="9"/>
  <c r="V280" i="9" s="1"/>
  <c r="W280" i="9" s="1"/>
  <c r="X280" i="9" s="1"/>
  <c r="AC284" i="9"/>
  <c r="AB284" i="9"/>
  <c r="AD284" i="9" s="1"/>
  <c r="AE284" i="9"/>
  <c r="AN264" i="9"/>
  <c r="M229" i="9" l="1"/>
  <c r="L229" i="9" s="1"/>
  <c r="N229" i="9" s="1"/>
  <c r="P196" i="12"/>
  <c r="R196" i="12"/>
  <c r="V195" i="12"/>
  <c r="W195" i="12" s="1"/>
  <c r="AG192" i="12"/>
  <c r="AH192" i="12" s="1"/>
  <c r="AC193" i="12"/>
  <c r="AA193" i="12"/>
  <c r="F347" i="9"/>
  <c r="H347" i="9" s="1"/>
  <c r="B348" i="9" s="1"/>
  <c r="R281" i="9"/>
  <c r="AH265" i="9"/>
  <c r="AM265" i="9" s="1"/>
  <c r="AF284" i="9"/>
  <c r="O229" i="9" l="1"/>
  <c r="P229" i="9" s="1"/>
  <c r="J230" i="9" s="1"/>
  <c r="S196" i="12"/>
  <c r="Q196" i="12"/>
  <c r="M197" i="12" s="1"/>
  <c r="AD193" i="12"/>
  <c r="AB193" i="12"/>
  <c r="E348" i="9"/>
  <c r="D348" i="9"/>
  <c r="F348" i="9" s="1"/>
  <c r="H348" i="9" s="1"/>
  <c r="U281" i="9"/>
  <c r="T281" i="9"/>
  <c r="V281" i="9" s="1"/>
  <c r="W281" i="9" s="1"/>
  <c r="X281" i="9" s="1"/>
  <c r="AJ265" i="9"/>
  <c r="AK265" i="9"/>
  <c r="Z285" i="9"/>
  <c r="M230" i="9" l="1"/>
  <c r="L230" i="9" s="1"/>
  <c r="N230" i="9" s="1"/>
  <c r="T196" i="12"/>
  <c r="U196" i="12"/>
  <c r="O197" i="12"/>
  <c r="N197" i="12"/>
  <c r="AL265" i="9"/>
  <c r="AE193" i="12"/>
  <c r="AF193" i="12"/>
  <c r="F40" i="11" a="1"/>
  <c r="X194" i="12"/>
  <c r="B349" i="9"/>
  <c r="R282" i="9"/>
  <c r="AC285" i="9"/>
  <c r="AB285" i="9" s="1"/>
  <c r="AD285" i="9" s="1"/>
  <c r="O230" i="9" l="1"/>
  <c r="P230" i="9" s="1"/>
  <c r="J231" i="9" s="1"/>
  <c r="AN265" i="9"/>
  <c r="AH266" i="9" s="1"/>
  <c r="AM266" i="9" s="1"/>
  <c r="R197" i="12"/>
  <c r="V196" i="12"/>
  <c r="W196" i="12" s="1"/>
  <c r="P197" i="12"/>
  <c r="AG193" i="12"/>
  <c r="AH193" i="12" s="1"/>
  <c r="G40" i="11" s="1" a="1"/>
  <c r="H40" i="11" s="1"/>
  <c r="AC194" i="12"/>
  <c r="Y194" i="12"/>
  <c r="Z194" i="12"/>
  <c r="D349" i="9"/>
  <c r="E349" i="9"/>
  <c r="T282" i="9"/>
  <c r="U282" i="9"/>
  <c r="AE285" i="9"/>
  <c r="AF285" i="9" s="1"/>
  <c r="M231" i="9" l="1"/>
  <c r="L231" i="9" s="1"/>
  <c r="N231" i="9" s="1"/>
  <c r="O231" i="9"/>
  <c r="F349" i="9"/>
  <c r="H349" i="9" s="1"/>
  <c r="B350" i="9" s="1"/>
  <c r="S197" i="12"/>
  <c r="Q197" i="12"/>
  <c r="M198" i="12" s="1"/>
  <c r="AA194" i="12"/>
  <c r="V282" i="9"/>
  <c r="AJ266" i="9"/>
  <c r="AK266" i="9"/>
  <c r="Z286" i="9"/>
  <c r="W282" i="9"/>
  <c r="P231" i="9" l="1"/>
  <c r="J232" i="9" s="1"/>
  <c r="T197" i="12"/>
  <c r="U197" i="12"/>
  <c r="N198" i="12"/>
  <c r="O198" i="12"/>
  <c r="X282" i="9"/>
  <c r="R283" i="9" s="1"/>
  <c r="AD194" i="12"/>
  <c r="AB194" i="12"/>
  <c r="X195" i="12" s="1"/>
  <c r="AL266" i="9"/>
  <c r="AN266" i="9" s="1"/>
  <c r="AH267" i="9" s="1"/>
  <c r="AM267" i="9" s="1"/>
  <c r="E350" i="9"/>
  <c r="D350" i="9"/>
  <c r="F350" i="9" s="1"/>
  <c r="H350" i="9" s="1"/>
  <c r="AC286" i="9"/>
  <c r="AB286" i="9" s="1"/>
  <c r="AD286" i="9" s="1"/>
  <c r="M232" i="9" l="1"/>
  <c r="L232" i="9" s="1"/>
  <c r="N232" i="9" s="1"/>
  <c r="V197" i="12"/>
  <c r="W197" i="12" s="1"/>
  <c r="R198" i="12"/>
  <c r="P198" i="12"/>
  <c r="AF194" i="12"/>
  <c r="AE194" i="12"/>
  <c r="Y195" i="12"/>
  <c r="Z195" i="12"/>
  <c r="B351" i="9"/>
  <c r="AK267" i="9"/>
  <c r="AJ267" i="9"/>
  <c r="AL267" i="9" s="1"/>
  <c r="AN267" i="9" s="1"/>
  <c r="U283" i="9"/>
  <c r="T283" i="9" s="1"/>
  <c r="V283" i="9" s="1"/>
  <c r="AE286" i="9"/>
  <c r="AF286" i="9" s="1"/>
  <c r="O232" i="9" l="1"/>
  <c r="P232" i="9" s="1"/>
  <c r="J233" i="9" s="1"/>
  <c r="Q198" i="12"/>
  <c r="M199" i="12" s="1"/>
  <c r="S198" i="12"/>
  <c r="AC195" i="12"/>
  <c r="AG194" i="12"/>
  <c r="AH194" i="12" s="1"/>
  <c r="AA195" i="12"/>
  <c r="E351" i="9"/>
  <c r="D351" i="9" s="1"/>
  <c r="F351" i="9" s="1"/>
  <c r="H351" i="9" s="1"/>
  <c r="AH268" i="9"/>
  <c r="AM268" i="9" s="1"/>
  <c r="Z287" i="9"/>
  <c r="W283" i="9"/>
  <c r="X283" i="9" s="1"/>
  <c r="M233" i="9" l="1"/>
  <c r="L233" i="9" s="1"/>
  <c r="N233" i="9" s="1"/>
  <c r="O233" i="9" s="1"/>
  <c r="P233" i="9" s="1"/>
  <c r="J234" i="9" s="1"/>
  <c r="N199" i="12"/>
  <c r="O199" i="12"/>
  <c r="P199" i="12"/>
  <c r="Q199" i="12" s="1"/>
  <c r="M200" i="12" s="1"/>
  <c r="T198" i="12"/>
  <c r="U198" i="12"/>
  <c r="AD195" i="12"/>
  <c r="AB195" i="12"/>
  <c r="X196" i="12" s="1"/>
  <c r="Y196" i="12" s="1"/>
  <c r="Z196" i="12" s="1"/>
  <c r="B352" i="9"/>
  <c r="AK268" i="9"/>
  <c r="AJ268" i="9" s="1"/>
  <c r="AL268" i="9" s="1"/>
  <c r="AC287" i="9"/>
  <c r="AB287" i="9"/>
  <c r="AD287" i="9" s="1"/>
  <c r="AE287" i="9" s="1"/>
  <c r="AF287" i="9" s="1"/>
  <c r="R284" i="9"/>
  <c r="L234" i="9" l="1"/>
  <c r="N234" i="9" s="1"/>
  <c r="O234" i="9" s="1"/>
  <c r="P234" i="9" s="1"/>
  <c r="J235" i="9" s="1"/>
  <c r="M234" i="9"/>
  <c r="N200" i="12"/>
  <c r="O200" i="12"/>
  <c r="R199" i="12"/>
  <c r="V198" i="12"/>
  <c r="W198" i="12" s="1"/>
  <c r="AE195" i="12"/>
  <c r="AF195" i="12"/>
  <c r="S199" i="12"/>
  <c r="U199" i="12" s="1"/>
  <c r="AA196" i="12"/>
  <c r="E352" i="9"/>
  <c r="D352" i="9" s="1"/>
  <c r="F352" i="9" s="1"/>
  <c r="H352" i="9" s="1"/>
  <c r="Z288" i="9"/>
  <c r="T284" i="9"/>
  <c r="U284" i="9"/>
  <c r="AN268" i="9"/>
  <c r="M235" i="9" l="1"/>
  <c r="L235" i="9" s="1"/>
  <c r="N235" i="9" s="1"/>
  <c r="AC196" i="12"/>
  <c r="AG195" i="12"/>
  <c r="AH195" i="12" s="1"/>
  <c r="T199" i="12"/>
  <c r="P200" i="12"/>
  <c r="AD196" i="12"/>
  <c r="AB196" i="12"/>
  <c r="X197" i="12" s="1"/>
  <c r="V284" i="9"/>
  <c r="W284" i="9" s="1"/>
  <c r="X284" i="9" s="1"/>
  <c r="R285" i="9" s="1"/>
  <c r="B353" i="9"/>
  <c r="AC288" i="9"/>
  <c r="AB288" i="9"/>
  <c r="AE288" i="9"/>
  <c r="AH269" i="9"/>
  <c r="AM269" i="9" s="1"/>
  <c r="O235" i="9" l="1"/>
  <c r="P235" i="9" s="1"/>
  <c r="J236" i="9" s="1"/>
  <c r="AD288" i="9"/>
  <c r="AF288" i="9" s="1"/>
  <c r="V199" i="12"/>
  <c r="W199" i="12" s="1"/>
  <c r="R200" i="12"/>
  <c r="T200" i="12" s="1"/>
  <c r="S200" i="12"/>
  <c r="U200" i="12" s="1"/>
  <c r="Q200" i="12"/>
  <c r="M201" i="12" s="1"/>
  <c r="AF196" i="12"/>
  <c r="AE196" i="12"/>
  <c r="Y197" i="12"/>
  <c r="D353" i="9"/>
  <c r="E353" i="9"/>
  <c r="T285" i="9"/>
  <c r="U285" i="9"/>
  <c r="AK269" i="9"/>
  <c r="AJ269" i="9"/>
  <c r="M236" i="9" l="1"/>
  <c r="L236" i="9" s="1"/>
  <c r="N236" i="9" s="1"/>
  <c r="O236" i="9"/>
  <c r="R201" i="12"/>
  <c r="V200" i="12"/>
  <c r="W200" i="12" s="1"/>
  <c r="N201" i="12"/>
  <c r="O201" i="12"/>
  <c r="AL269" i="9"/>
  <c r="AN269" i="9" s="1"/>
  <c r="AC197" i="12"/>
  <c r="AG196" i="12"/>
  <c r="AH196" i="12" s="1"/>
  <c r="Z197" i="12"/>
  <c r="F353" i="9"/>
  <c r="H353" i="9" s="1"/>
  <c r="V285" i="9"/>
  <c r="B354" i="9"/>
  <c r="Z289" i="9"/>
  <c r="W285" i="9"/>
  <c r="P236" i="9" l="1"/>
  <c r="J237" i="9" s="1"/>
  <c r="X285" i="9"/>
  <c r="R286" i="9" s="1"/>
  <c r="P201" i="12"/>
  <c r="AA197" i="12"/>
  <c r="E354" i="9"/>
  <c r="D354" i="9"/>
  <c r="F354" i="9" s="1"/>
  <c r="H354" i="9" s="1"/>
  <c r="AB289" i="9"/>
  <c r="AC289" i="9"/>
  <c r="AH270" i="9"/>
  <c r="AM270" i="9" s="1"/>
  <c r="M237" i="9" l="1"/>
  <c r="L237" i="9" s="1"/>
  <c r="N237" i="9" s="1"/>
  <c r="O237" i="9" s="1"/>
  <c r="P237" i="9" s="1"/>
  <c r="J238" i="9" s="1"/>
  <c r="AD289" i="9"/>
  <c r="S201" i="12"/>
  <c r="Q201" i="12"/>
  <c r="M202" i="12" s="1"/>
  <c r="AD197" i="12"/>
  <c r="AB197" i="12"/>
  <c r="X198" i="12" s="1"/>
  <c r="B355" i="9"/>
  <c r="AK270" i="9"/>
  <c r="AJ270" i="9"/>
  <c r="T286" i="9"/>
  <c r="W286" i="9"/>
  <c r="U286" i="9"/>
  <c r="M238" i="9" l="1"/>
  <c r="L238" i="9" s="1"/>
  <c r="N238" i="9" s="1"/>
  <c r="O238" i="9" s="1"/>
  <c r="P238" i="9" s="1"/>
  <c r="J239" i="9" s="1"/>
  <c r="U201" i="12"/>
  <c r="T201" i="12"/>
  <c r="N202" i="12"/>
  <c r="O202" i="12"/>
  <c r="AL270" i="9"/>
  <c r="AN270" i="9" s="1"/>
  <c r="AH271" i="9" s="1"/>
  <c r="AM271" i="9" s="1"/>
  <c r="V286" i="9"/>
  <c r="X286" i="9" s="1"/>
  <c r="AE289" i="9"/>
  <c r="AF289" i="9"/>
  <c r="Z290" i="9" s="1"/>
  <c r="AF197" i="12"/>
  <c r="AE197" i="12"/>
  <c r="Y198" i="12"/>
  <c r="Z198" i="12"/>
  <c r="AA198" i="12" s="1"/>
  <c r="E355" i="9"/>
  <c r="D355" i="9" s="1"/>
  <c r="F355" i="9" s="1"/>
  <c r="H355" i="9" s="1"/>
  <c r="M239" i="9" l="1"/>
  <c r="L239" i="9" s="1"/>
  <c r="N239" i="9" s="1"/>
  <c r="O239" i="9" s="1"/>
  <c r="P239" i="9" s="1"/>
  <c r="J240" i="9" s="1"/>
  <c r="V201" i="12"/>
  <c r="W201" i="12" s="1"/>
  <c r="R202" i="12"/>
  <c r="P202" i="12"/>
  <c r="S202" i="12" s="1"/>
  <c r="U202" i="12" s="1"/>
  <c r="Q202" i="12"/>
  <c r="M203" i="12" s="1"/>
  <c r="AC198" i="12"/>
  <c r="AG197" i="12"/>
  <c r="AH197" i="12" s="1"/>
  <c r="AD198" i="12"/>
  <c r="AF198" i="12" s="1"/>
  <c r="AB198" i="12"/>
  <c r="X199" i="12" s="1"/>
  <c r="B356" i="9"/>
  <c r="AK271" i="9"/>
  <c r="AJ271" i="9"/>
  <c r="AL271" i="9" s="1"/>
  <c r="AN271" i="9" s="1"/>
  <c r="AC290" i="9"/>
  <c r="AB290" i="9"/>
  <c r="R287" i="9"/>
  <c r="M240" i="9" l="1"/>
  <c r="L240" i="9" s="1"/>
  <c r="N240" i="9" s="1"/>
  <c r="O240" i="9" s="1"/>
  <c r="P240" i="9" s="1"/>
  <c r="J241" i="9" s="1"/>
  <c r="N203" i="12"/>
  <c r="P203" i="12" s="1"/>
  <c r="O203" i="12"/>
  <c r="T202" i="12"/>
  <c r="Y199" i="12"/>
  <c r="Z199" i="12"/>
  <c r="AE198" i="12"/>
  <c r="AD290" i="9"/>
  <c r="E356" i="9"/>
  <c r="D356" i="9"/>
  <c r="F356" i="9" s="1"/>
  <c r="H356" i="9" s="1"/>
  <c r="AH272" i="9"/>
  <c r="AM272" i="9" s="1"/>
  <c r="U287" i="9"/>
  <c r="T287" i="9"/>
  <c r="V287" i="9" s="1"/>
  <c r="W287" i="9"/>
  <c r="M241" i="9" l="1"/>
  <c r="L241" i="9" s="1"/>
  <c r="N241" i="9" s="1"/>
  <c r="O241" i="9" s="1"/>
  <c r="P241" i="9" s="1"/>
  <c r="J242" i="9" s="1"/>
  <c r="R203" i="12"/>
  <c r="V202" i="12"/>
  <c r="W202" i="12" s="1"/>
  <c r="Q203" i="12"/>
  <c r="M204" i="12" s="1"/>
  <c r="S203" i="12"/>
  <c r="U203" i="12" s="1"/>
  <c r="AC199" i="12"/>
  <c r="AG198" i="12"/>
  <c r="AH198" i="12" s="1"/>
  <c r="AA199" i="12"/>
  <c r="AE290" i="9"/>
  <c r="AF290" i="9"/>
  <c r="Z291" i="9" s="1"/>
  <c r="B357" i="9"/>
  <c r="AK272" i="9"/>
  <c r="AJ272" i="9"/>
  <c r="AL272" i="9" s="1"/>
  <c r="AN272" i="9" s="1"/>
  <c r="X287" i="9"/>
  <c r="O242" i="9" l="1"/>
  <c r="M242" i="9"/>
  <c r="L242" i="9" s="1"/>
  <c r="N242" i="9" s="1"/>
  <c r="P242" i="9" s="1"/>
  <c r="J243" i="9" s="1"/>
  <c r="O204" i="12"/>
  <c r="N204" i="12"/>
  <c r="P204" i="12"/>
  <c r="Q204" i="12"/>
  <c r="M205" i="12" s="1"/>
  <c r="T203" i="12"/>
  <c r="AD199" i="12"/>
  <c r="AF199" i="12" s="1"/>
  <c r="AB199" i="12"/>
  <c r="X200" i="12" s="1"/>
  <c r="AE199" i="12"/>
  <c r="D357" i="9"/>
  <c r="F357" i="9" s="1"/>
  <c r="H357" i="9" s="1"/>
  <c r="E357" i="9"/>
  <c r="AH273" i="9"/>
  <c r="AM273" i="9" s="1"/>
  <c r="AC291" i="9"/>
  <c r="AB291" i="9" s="1"/>
  <c r="AD291" i="9" s="1"/>
  <c r="R288" i="9"/>
  <c r="M243" i="9" l="1"/>
  <c r="L243" i="9"/>
  <c r="N243" i="9" s="1"/>
  <c r="P243" i="9" s="1"/>
  <c r="J244" i="9" s="1"/>
  <c r="O243" i="9"/>
  <c r="O205" i="12"/>
  <c r="N205" i="12"/>
  <c r="R204" i="12"/>
  <c r="V203" i="12"/>
  <c r="W203" i="12" s="1"/>
  <c r="S204" i="12"/>
  <c r="U204" i="12" s="1"/>
  <c r="Z200" i="12"/>
  <c r="AA200" i="12" s="1"/>
  <c r="Y200" i="12"/>
  <c r="AC200" i="12"/>
  <c r="AG199" i="12"/>
  <c r="AH199" i="12" s="1"/>
  <c r="B358" i="9"/>
  <c r="AK273" i="9"/>
  <c r="AJ273" i="9"/>
  <c r="AL273" i="9" s="1"/>
  <c r="T288" i="9"/>
  <c r="U288" i="9"/>
  <c r="AE291" i="9"/>
  <c r="AF291" i="9" s="1"/>
  <c r="L244" i="9" l="1"/>
  <c r="N244" i="9" s="1"/>
  <c r="P244" i="9" s="1"/>
  <c r="J245" i="9" s="1"/>
  <c r="M244" i="9"/>
  <c r="O244" i="9"/>
  <c r="T204" i="12"/>
  <c r="P205" i="12"/>
  <c r="S205" i="12" s="1"/>
  <c r="U205" i="12" s="1"/>
  <c r="Q205" i="12"/>
  <c r="AD200" i="12"/>
  <c r="AB200" i="12"/>
  <c r="X201" i="12" s="1"/>
  <c r="V288" i="9"/>
  <c r="W288" i="9" s="1"/>
  <c r="X288" i="9" s="1"/>
  <c r="R289" i="9" s="1"/>
  <c r="D358" i="9"/>
  <c r="E358" i="9"/>
  <c r="Z292" i="9"/>
  <c r="AN273" i="9"/>
  <c r="M245" i="9" l="1"/>
  <c r="L245" i="9" s="1"/>
  <c r="N245" i="9" s="1"/>
  <c r="P245" i="9" s="1"/>
  <c r="J246" i="9" s="1"/>
  <c r="O245" i="9"/>
  <c r="R205" i="12"/>
  <c r="T205" i="12" s="1"/>
  <c r="V204" i="12"/>
  <c r="W204" i="12" s="1"/>
  <c r="M206" i="12"/>
  <c r="D41" i="11" a="1"/>
  <c r="AE200" i="12"/>
  <c r="AF200" i="12"/>
  <c r="Z201" i="12"/>
  <c r="Y201" i="12"/>
  <c r="F358" i="9"/>
  <c r="H358" i="9" s="1"/>
  <c r="B359" i="9" s="1"/>
  <c r="U289" i="9"/>
  <c r="T289" i="9"/>
  <c r="V289" i="9" s="1"/>
  <c r="W289" i="9"/>
  <c r="AC292" i="9"/>
  <c r="AB292" i="9"/>
  <c r="AH274" i="9"/>
  <c r="AM274" i="9" s="1"/>
  <c r="M246" i="9" l="1"/>
  <c r="L246" i="9" s="1"/>
  <c r="N246" i="9" s="1"/>
  <c r="P246" i="9" s="1"/>
  <c r="J247" i="9" s="1"/>
  <c r="O246" i="9"/>
  <c r="R206" i="12"/>
  <c r="V205" i="12"/>
  <c r="W205" i="12" s="1"/>
  <c r="E41" i="11" s="1" a="1"/>
  <c r="P206" i="12"/>
  <c r="O206" i="12"/>
  <c r="N206" i="12"/>
  <c r="AG200" i="12"/>
  <c r="AH200" i="12" s="1"/>
  <c r="AC201" i="12"/>
  <c r="AA201" i="12"/>
  <c r="AD292" i="9"/>
  <c r="AE292" i="9" s="1"/>
  <c r="AF292" i="9" s="1"/>
  <c r="D359" i="9"/>
  <c r="E359" i="9"/>
  <c r="Z293" i="9"/>
  <c r="AK274" i="9"/>
  <c r="AJ274" i="9"/>
  <c r="X289" i="9"/>
  <c r="L247" i="9" l="1"/>
  <c r="M247" i="9"/>
  <c r="O247" i="9"/>
  <c r="S206" i="12"/>
  <c r="Q206" i="12"/>
  <c r="M207" i="12" s="1"/>
  <c r="AL274" i="9"/>
  <c r="AD201" i="12"/>
  <c r="AB201" i="12"/>
  <c r="X202" i="12" s="1"/>
  <c r="F359" i="9"/>
  <c r="H359" i="9" s="1"/>
  <c r="B360" i="9" s="1"/>
  <c r="AC293" i="9"/>
  <c r="AB293" i="9"/>
  <c r="AD293" i="9" s="1"/>
  <c r="AE293" i="9" s="1"/>
  <c r="AF293" i="9" s="1"/>
  <c r="R290" i="9"/>
  <c r="N247" i="9" l="1"/>
  <c r="P247" i="9" s="1"/>
  <c r="J248" i="9" s="1"/>
  <c r="T206" i="12"/>
  <c r="U206" i="12"/>
  <c r="O207" i="12"/>
  <c r="S207" i="12" s="1"/>
  <c r="N207" i="12"/>
  <c r="AN274" i="9"/>
  <c r="AH275" i="9" s="1"/>
  <c r="AM275" i="9" s="1"/>
  <c r="AE201" i="12"/>
  <c r="AF201" i="12"/>
  <c r="Y202" i="12"/>
  <c r="D360" i="9"/>
  <c r="E360" i="9"/>
  <c r="Z294" i="9"/>
  <c r="U290" i="9"/>
  <c r="T290" i="9" s="1"/>
  <c r="V290" i="9" s="1"/>
  <c r="O248" i="9" l="1"/>
  <c r="M248" i="9"/>
  <c r="L248" i="9"/>
  <c r="N248" i="9" s="1"/>
  <c r="P248" i="9" s="1"/>
  <c r="J249" i="9" s="1"/>
  <c r="V206" i="12"/>
  <c r="W206" i="12" s="1"/>
  <c r="R207" i="12"/>
  <c r="P207" i="12"/>
  <c r="Q207" i="12"/>
  <c r="M208" i="12" s="1"/>
  <c r="AC202" i="12"/>
  <c r="AG201" i="12"/>
  <c r="AH201" i="12" s="1"/>
  <c r="T207" i="12"/>
  <c r="U207" i="12"/>
  <c r="O208" i="12"/>
  <c r="N208" i="12"/>
  <c r="Z202" i="12"/>
  <c r="AA202" i="12" s="1"/>
  <c r="F360" i="9"/>
  <c r="H360" i="9" s="1"/>
  <c r="B361" i="9" s="1"/>
  <c r="AC294" i="9"/>
  <c r="AB294" i="9" s="1"/>
  <c r="AD294" i="9" s="1"/>
  <c r="AK275" i="9"/>
  <c r="AJ275" i="9"/>
  <c r="AL275" i="9" s="1"/>
  <c r="AN275" i="9" s="1"/>
  <c r="W290" i="9"/>
  <c r="X290" i="9"/>
  <c r="L249" i="9" l="1"/>
  <c r="N249" i="9" s="1"/>
  <c r="P249" i="9" s="1"/>
  <c r="J250" i="9" s="1"/>
  <c r="M249" i="9"/>
  <c r="O249" i="9"/>
  <c r="V207" i="12"/>
  <c r="W207" i="12" s="1"/>
  <c r="R208" i="12"/>
  <c r="AD202" i="12"/>
  <c r="AB202" i="12"/>
  <c r="X203" i="12" s="1"/>
  <c r="P208" i="12"/>
  <c r="S208" i="12" s="1"/>
  <c r="U208" i="12" s="1"/>
  <c r="Q208" i="12"/>
  <c r="M209" i="12" s="1"/>
  <c r="E361" i="9"/>
  <c r="D361" i="9"/>
  <c r="F361" i="9" s="1"/>
  <c r="H361" i="9" s="1"/>
  <c r="AH276" i="9"/>
  <c r="AM276" i="9" s="1"/>
  <c r="R291" i="9"/>
  <c r="AE294" i="9"/>
  <c r="AF294" i="9"/>
  <c r="M250" i="9" l="1"/>
  <c r="L250" i="9" s="1"/>
  <c r="N250" i="9" s="1"/>
  <c r="P250" i="9" s="1"/>
  <c r="J251" i="9" s="1"/>
  <c r="O250" i="9"/>
  <c r="T208" i="12"/>
  <c r="V208" i="12" s="1"/>
  <c r="W208" i="12" s="1"/>
  <c r="R209" i="12"/>
  <c r="AE202" i="12"/>
  <c r="AF202" i="12"/>
  <c r="Y203" i="12"/>
  <c r="Z203" i="12" s="1"/>
  <c r="AA203" i="12" s="1"/>
  <c r="AB203" i="12" s="1"/>
  <c r="X204" i="12" s="1"/>
  <c r="O209" i="12"/>
  <c r="N209" i="12"/>
  <c r="P209" i="12" s="1"/>
  <c r="Q209" i="12" s="1"/>
  <c r="M210" i="12" s="1"/>
  <c r="B362" i="9"/>
  <c r="AK276" i="9"/>
  <c r="AJ276" i="9"/>
  <c r="U291" i="9"/>
  <c r="T291" i="9"/>
  <c r="V291" i="9" s="1"/>
  <c r="W291" i="9" s="1"/>
  <c r="X291" i="9" s="1"/>
  <c r="Z295" i="9"/>
  <c r="L251" i="9" l="1"/>
  <c r="M251" i="9"/>
  <c r="O251" i="9"/>
  <c r="AC203" i="12"/>
  <c r="AG202" i="12"/>
  <c r="AH202" i="12" s="1"/>
  <c r="Y204" i="12"/>
  <c r="Z204" i="12" s="1"/>
  <c r="O210" i="12"/>
  <c r="N210" i="12"/>
  <c r="S209" i="12"/>
  <c r="AD203" i="12"/>
  <c r="AF203" i="12" s="1"/>
  <c r="AL276" i="9"/>
  <c r="AN276" i="9" s="1"/>
  <c r="AH277" i="9" s="1"/>
  <c r="AM277" i="9" s="1"/>
  <c r="E362" i="9"/>
  <c r="D362" i="9"/>
  <c r="R292" i="9"/>
  <c r="AC295" i="9"/>
  <c r="AB295" i="9"/>
  <c r="AD295" i="9" s="1"/>
  <c r="AE295" i="9" s="1"/>
  <c r="AF295" i="9" s="1"/>
  <c r="N251" i="9" l="1"/>
  <c r="P251" i="9" s="1"/>
  <c r="J252" i="9" s="1"/>
  <c r="T209" i="12"/>
  <c r="U209" i="12"/>
  <c r="AA204" i="12"/>
  <c r="AE203" i="12"/>
  <c r="P210" i="12"/>
  <c r="F362" i="9"/>
  <c r="H362" i="9" s="1"/>
  <c r="B363" i="9" s="1"/>
  <c r="AK277" i="9"/>
  <c r="AJ277" i="9" s="1"/>
  <c r="AL277" i="9" s="1"/>
  <c r="T292" i="9"/>
  <c r="U292" i="9"/>
  <c r="Z296" i="9"/>
  <c r="O252" i="9" l="1"/>
  <c r="M252" i="9"/>
  <c r="L252" i="9"/>
  <c r="N252" i="9" s="1"/>
  <c r="P252" i="9" s="1"/>
  <c r="J253" i="9" s="1"/>
  <c r="V209" i="12"/>
  <c r="W209" i="12" s="1"/>
  <c r="R210" i="12"/>
  <c r="AB204" i="12"/>
  <c r="X205" i="12" s="1"/>
  <c r="AD204" i="12"/>
  <c r="AF204" i="12" s="1"/>
  <c r="AG203" i="12"/>
  <c r="AH203" i="12" s="1"/>
  <c r="AC204" i="12"/>
  <c r="S210" i="12"/>
  <c r="U210" i="12" s="1"/>
  <c r="Q210" i="12"/>
  <c r="M211" i="12" s="1"/>
  <c r="V292" i="9"/>
  <c r="W292" i="9" s="1"/>
  <c r="X292" i="9" s="1"/>
  <c r="R293" i="9" s="1"/>
  <c r="E363" i="9"/>
  <c r="D363" i="9"/>
  <c r="F363" i="9" s="1"/>
  <c r="H363" i="9" s="1"/>
  <c r="AC296" i="9"/>
  <c r="AB296" i="9" s="1"/>
  <c r="AD296" i="9" s="1"/>
  <c r="AN277" i="9"/>
  <c r="L253" i="9" l="1"/>
  <c r="N253" i="9" s="1"/>
  <c r="P253" i="9" s="1"/>
  <c r="J254" i="9" s="1"/>
  <c r="M253" i="9"/>
  <c r="O253" i="9"/>
  <c r="T210" i="12"/>
  <c r="AE204" i="12"/>
  <c r="AG204" i="12" s="1"/>
  <c r="AH204" i="12" s="1"/>
  <c r="Y205" i="12"/>
  <c r="AC205" i="12"/>
  <c r="O211" i="12"/>
  <c r="N211" i="12"/>
  <c r="P211" i="12" s="1"/>
  <c r="B364" i="9"/>
  <c r="U293" i="9"/>
  <c r="T293" i="9" s="1"/>
  <c r="V293" i="9" s="1"/>
  <c r="AH278" i="9"/>
  <c r="AM278" i="9" s="1"/>
  <c r="AE296" i="9"/>
  <c r="AF296" i="9"/>
  <c r="L254" i="9" l="1"/>
  <c r="N254" i="9" s="1"/>
  <c r="P254" i="9" s="1"/>
  <c r="J255" i="9" s="1"/>
  <c r="M254" i="9"/>
  <c r="O254" i="9"/>
  <c r="R211" i="12"/>
  <c r="V210" i="12"/>
  <c r="W210" i="12" s="1"/>
  <c r="Z205" i="12"/>
  <c r="AA205" i="12" s="1"/>
  <c r="Q211" i="12"/>
  <c r="M212" i="12" s="1"/>
  <c r="S211" i="12"/>
  <c r="E364" i="9"/>
  <c r="D364" i="9"/>
  <c r="F364" i="9" s="1"/>
  <c r="H364" i="9" s="1"/>
  <c r="AK278" i="9"/>
  <c r="AJ278" i="9" s="1"/>
  <c r="AL278" i="9" s="1"/>
  <c r="Z297" i="9"/>
  <c r="W293" i="9"/>
  <c r="X293" i="9"/>
  <c r="L255" i="9" l="1"/>
  <c r="N255" i="9" s="1"/>
  <c r="P255" i="9" s="1"/>
  <c r="J256" i="9" s="1"/>
  <c r="M255" i="9"/>
  <c r="O255" i="9"/>
  <c r="AD205" i="12"/>
  <c r="AB205" i="12"/>
  <c r="N212" i="12"/>
  <c r="O212" i="12"/>
  <c r="P212" i="12"/>
  <c r="T211" i="12"/>
  <c r="U211" i="12"/>
  <c r="B365" i="9"/>
  <c r="AC297" i="9"/>
  <c r="AB297" i="9"/>
  <c r="AD297" i="9" s="1"/>
  <c r="AE297" i="9"/>
  <c r="R294" i="9"/>
  <c r="AN278" i="9"/>
  <c r="L256" i="9" l="1"/>
  <c r="N256" i="9" s="1"/>
  <c r="P256" i="9" s="1"/>
  <c r="J257" i="9" s="1"/>
  <c r="M256" i="9"/>
  <c r="O256" i="9"/>
  <c r="AE205" i="12"/>
  <c r="AF205" i="12"/>
  <c r="X206" i="12"/>
  <c r="F41" i="11" a="1"/>
  <c r="R212" i="12"/>
  <c r="V211" i="12"/>
  <c r="W211" i="12" s="1"/>
  <c r="S212" i="12"/>
  <c r="U212" i="12" s="1"/>
  <c r="Q212" i="12"/>
  <c r="M213" i="12" s="1"/>
  <c r="E365" i="9"/>
  <c r="D365" i="9"/>
  <c r="F365" i="9" s="1"/>
  <c r="H365" i="9" s="1"/>
  <c r="U294" i="9"/>
  <c r="T294" i="9" s="1"/>
  <c r="V294" i="9" s="1"/>
  <c r="AH279" i="9"/>
  <c r="AM279" i="9" s="1"/>
  <c r="AF297" i="9"/>
  <c r="O257" i="9" l="1"/>
  <c r="M257" i="9"/>
  <c r="L257" i="9"/>
  <c r="N257" i="9" s="1"/>
  <c r="P257" i="9" s="1"/>
  <c r="J258" i="9" s="1"/>
  <c r="O258" i="9" s="1"/>
  <c r="AC206" i="12"/>
  <c r="AG205" i="12"/>
  <c r="AH205" i="12" s="1"/>
  <c r="G41" i="11" s="1" a="1"/>
  <c r="H41" i="11" s="1"/>
  <c r="Y206" i="12"/>
  <c r="Z206" i="12" s="1"/>
  <c r="N213" i="12"/>
  <c r="O213" i="12"/>
  <c r="T212" i="12"/>
  <c r="B366" i="9"/>
  <c r="AK279" i="9"/>
  <c r="AJ279" i="9" s="1"/>
  <c r="AL279" i="9" s="1"/>
  <c r="Z298" i="9"/>
  <c r="W294" i="9"/>
  <c r="X294" i="9"/>
  <c r="P213" i="12" l="1"/>
  <c r="V212" i="12"/>
  <c r="W212" i="12" s="1"/>
  <c r="R213" i="12"/>
  <c r="AA206" i="12"/>
  <c r="AD206" i="12" s="1"/>
  <c r="AB206" i="12"/>
  <c r="X207" i="12" s="1"/>
  <c r="D366" i="9"/>
  <c r="E366" i="9"/>
  <c r="M258" i="9"/>
  <c r="L258" i="9"/>
  <c r="N258" i="9" s="1"/>
  <c r="AC298" i="9"/>
  <c r="AB298" i="9" s="1"/>
  <c r="AD298" i="9" s="1"/>
  <c r="R295" i="9"/>
  <c r="AN279" i="9"/>
  <c r="AE206" i="12" l="1"/>
  <c r="AF206" i="12"/>
  <c r="Y207" i="12"/>
  <c r="Z207" i="12" s="1"/>
  <c r="S213" i="12"/>
  <c r="Q213" i="12"/>
  <c r="M214" i="12" s="1"/>
  <c r="F366" i="9"/>
  <c r="H366" i="9" s="1"/>
  <c r="B367" i="9" s="1"/>
  <c r="U295" i="9"/>
  <c r="T295" i="9"/>
  <c r="V295" i="9" s="1"/>
  <c r="W295" i="9"/>
  <c r="AH280" i="9"/>
  <c r="AM280" i="9" s="1"/>
  <c r="P258" i="9"/>
  <c r="AE298" i="9"/>
  <c r="AF298" i="9"/>
  <c r="U213" i="12" l="1"/>
  <c r="T213" i="12"/>
  <c r="AG206" i="12"/>
  <c r="AH206" i="12" s="1"/>
  <c r="AC207" i="12"/>
  <c r="AA207" i="12"/>
  <c r="N214" i="12"/>
  <c r="O214" i="12"/>
  <c r="P214" i="12"/>
  <c r="E367" i="9"/>
  <c r="D367" i="9"/>
  <c r="AK280" i="9"/>
  <c r="AJ280" i="9" s="1"/>
  <c r="AL280" i="9" s="1"/>
  <c r="J259" i="9"/>
  <c r="O259" i="9" s="1"/>
  <c r="Z299" i="9"/>
  <c r="X295" i="9"/>
  <c r="V213" i="12" l="1"/>
  <c r="W213" i="12" s="1"/>
  <c r="R214" i="12"/>
  <c r="F367" i="9"/>
  <c r="H367" i="9" s="1"/>
  <c r="B368" i="9" s="1"/>
  <c r="Q214" i="12"/>
  <c r="M215" i="12" s="1"/>
  <c r="S214" i="12"/>
  <c r="AB207" i="12"/>
  <c r="X208" i="12" s="1"/>
  <c r="AD207" i="12"/>
  <c r="M259" i="9"/>
  <c r="L259" i="9"/>
  <c r="N259" i="9" s="1"/>
  <c r="P259" i="9" s="1"/>
  <c r="AB299" i="9"/>
  <c r="AC299" i="9"/>
  <c r="R296" i="9"/>
  <c r="AN280" i="9"/>
  <c r="O215" i="12" l="1"/>
  <c r="N215" i="12"/>
  <c r="U214" i="12"/>
  <c r="T214" i="12"/>
  <c r="Y208" i="12"/>
  <c r="Z208" i="12"/>
  <c r="AE207" i="12"/>
  <c r="AF207" i="12"/>
  <c r="AD299" i="9"/>
  <c r="AE299" i="9" s="1"/>
  <c r="AF299" i="9" s="1"/>
  <c r="Z300" i="9" s="1"/>
  <c r="D368" i="9"/>
  <c r="E368" i="9"/>
  <c r="J260" i="9"/>
  <c r="O260" i="9" s="1"/>
  <c r="U296" i="9"/>
  <c r="T296" i="9" s="1"/>
  <c r="V296" i="9" s="1"/>
  <c r="AH281" i="9"/>
  <c r="AM281" i="9" s="1"/>
  <c r="AA208" i="12" l="1"/>
  <c r="F368" i="9"/>
  <c r="H368" i="9" s="1"/>
  <c r="B369" i="9" s="1"/>
  <c r="R215" i="12"/>
  <c r="V214" i="12"/>
  <c r="W214" i="12" s="1"/>
  <c r="AC208" i="12"/>
  <c r="AG207" i="12"/>
  <c r="AH207" i="12" s="1"/>
  <c r="P215" i="12"/>
  <c r="AD208" i="12"/>
  <c r="AF208" i="12" s="1"/>
  <c r="AB208" i="12"/>
  <c r="X209" i="12" s="1"/>
  <c r="M260" i="9"/>
  <c r="L260" i="9"/>
  <c r="AC300" i="9"/>
  <c r="AB300" i="9"/>
  <c r="AD300" i="9" s="1"/>
  <c r="AE300" i="9" s="1"/>
  <c r="AF300" i="9" s="1"/>
  <c r="AK281" i="9"/>
  <c r="AJ281" i="9" s="1"/>
  <c r="AL281" i="9" s="1"/>
  <c r="W296" i="9"/>
  <c r="X296" i="9" s="1"/>
  <c r="N260" i="9" l="1"/>
  <c r="P260" i="9" s="1"/>
  <c r="J261" i="9" s="1"/>
  <c r="O261" i="9" s="1"/>
  <c r="Q215" i="12"/>
  <c r="M216" i="12" s="1"/>
  <c r="S215" i="12"/>
  <c r="Y209" i="12"/>
  <c r="Z209" i="12" s="1"/>
  <c r="AA209" i="12" s="1"/>
  <c r="AE208" i="12"/>
  <c r="N216" i="12"/>
  <c r="O216" i="12"/>
  <c r="D369" i="9"/>
  <c r="E369" i="9"/>
  <c r="Z301" i="9"/>
  <c r="R297" i="9"/>
  <c r="AN281" i="9"/>
  <c r="U215" i="12" l="1"/>
  <c r="T215" i="12"/>
  <c r="AB209" i="12"/>
  <c r="X210" i="12" s="1"/>
  <c r="P216" i="12"/>
  <c r="F369" i="9"/>
  <c r="H369" i="9" s="1"/>
  <c r="B370" i="9" s="1"/>
  <c r="Y210" i="12"/>
  <c r="Z210" i="12"/>
  <c r="AG208" i="12"/>
  <c r="AH208" i="12" s="1"/>
  <c r="AC209" i="12"/>
  <c r="AD209" i="12"/>
  <c r="AF209" i="12" s="1"/>
  <c r="M261" i="9"/>
  <c r="L261" i="9"/>
  <c r="N261" i="9" s="1"/>
  <c r="P261" i="9" s="1"/>
  <c r="AC301" i="9"/>
  <c r="AB301" i="9"/>
  <c r="AD301" i="9" s="1"/>
  <c r="AE301" i="9" s="1"/>
  <c r="AF301" i="9" s="1"/>
  <c r="T297" i="9"/>
  <c r="U297" i="9"/>
  <c r="AH282" i="9"/>
  <c r="AM282" i="9" s="1"/>
  <c r="R216" i="12" l="1"/>
  <c r="T216" i="12" s="1"/>
  <c r="V215" i="12"/>
  <c r="W215" i="12" s="1"/>
  <c r="Q216" i="12"/>
  <c r="M217" i="12" s="1"/>
  <c r="S216" i="12"/>
  <c r="U216" i="12" s="1"/>
  <c r="AA210" i="12"/>
  <c r="AE209" i="12"/>
  <c r="V297" i="9"/>
  <c r="E370" i="9"/>
  <c r="D370" i="9" s="1"/>
  <c r="F370" i="9" s="1"/>
  <c r="H370" i="9" s="1"/>
  <c r="J262" i="9"/>
  <c r="O262" i="9" s="1"/>
  <c r="Z302" i="9"/>
  <c r="AK282" i="9"/>
  <c r="AJ282" i="9" s="1"/>
  <c r="AL282" i="9" s="1"/>
  <c r="W297" i="9"/>
  <c r="X297" i="9" l="1"/>
  <c r="R298" i="9" s="1"/>
  <c r="N217" i="12"/>
  <c r="P217" i="12" s="1"/>
  <c r="O217" i="12"/>
  <c r="AB210" i="12"/>
  <c r="X211" i="12" s="1"/>
  <c r="AD210" i="12"/>
  <c r="AF210" i="12" s="1"/>
  <c r="Z211" i="12"/>
  <c r="Y211" i="12"/>
  <c r="AC210" i="12"/>
  <c r="AG209" i="12"/>
  <c r="AH209" i="12" s="1"/>
  <c r="B371" i="9"/>
  <c r="M262" i="9"/>
  <c r="L262" i="9"/>
  <c r="N262" i="9" s="1"/>
  <c r="AC302" i="9"/>
  <c r="AB302" i="9" s="1"/>
  <c r="AD302" i="9" s="1"/>
  <c r="AN282" i="9"/>
  <c r="R217" i="12"/>
  <c r="V216" i="12"/>
  <c r="W216" i="12" s="1"/>
  <c r="AE210" i="12" l="1"/>
  <c r="AA211" i="12"/>
  <c r="E371" i="9"/>
  <c r="D371" i="9"/>
  <c r="F371" i="9" s="1"/>
  <c r="H371" i="9" s="1"/>
  <c r="U298" i="9"/>
  <c r="T298" i="9" s="1"/>
  <c r="V298" i="9" s="1"/>
  <c r="AH283" i="9"/>
  <c r="AM283" i="9" s="1"/>
  <c r="P262" i="9"/>
  <c r="AE302" i="9"/>
  <c r="AF302" i="9" s="1"/>
  <c r="Q217" i="12"/>
  <c r="S217" i="12"/>
  <c r="AC211" i="12" l="1"/>
  <c r="AG210" i="12"/>
  <c r="AH210" i="12" s="1"/>
  <c r="AD211" i="12"/>
  <c r="AB211" i="12"/>
  <c r="X212" i="12" s="1"/>
  <c r="M218" i="12"/>
  <c r="N218" i="12" s="1"/>
  <c r="P218" i="12" s="1"/>
  <c r="Q218" i="12" s="1"/>
  <c r="M219" i="12" s="1"/>
  <c r="D42" i="11" a="1"/>
  <c r="B372" i="9"/>
  <c r="AK283" i="9"/>
  <c r="AJ283" i="9"/>
  <c r="AL283" i="9" s="1"/>
  <c r="J263" i="9"/>
  <c r="O263" i="9" s="1"/>
  <c r="Z303" i="9"/>
  <c r="W298" i="9"/>
  <c r="X298" i="9"/>
  <c r="O218" i="12"/>
  <c r="T217" i="12"/>
  <c r="U217" i="12"/>
  <c r="AE211" i="12" l="1"/>
  <c r="AF211" i="12"/>
  <c r="Y212" i="12"/>
  <c r="Z212" i="12" s="1"/>
  <c r="E372" i="9"/>
  <c r="D372" i="9"/>
  <c r="F372" i="9" s="1"/>
  <c r="H372" i="9" s="1"/>
  <c r="M263" i="9"/>
  <c r="L263" i="9"/>
  <c r="AC303" i="9"/>
  <c r="AB303" i="9" s="1"/>
  <c r="AD303" i="9" s="1"/>
  <c r="R299" i="9"/>
  <c r="AN283" i="9"/>
  <c r="O219" i="12"/>
  <c r="N219" i="12"/>
  <c r="R218" i="12"/>
  <c r="V217" i="12"/>
  <c r="W217" i="12" s="1"/>
  <c r="E42" i="11" s="1" a="1"/>
  <c r="S218" i="12"/>
  <c r="U218" i="12" s="1"/>
  <c r="N263" i="9" l="1"/>
  <c r="P263" i="9" s="1"/>
  <c r="J264" i="9" s="1"/>
  <c r="O264" i="9" s="1"/>
  <c r="AC212" i="12"/>
  <c r="AG211" i="12"/>
  <c r="AH211" i="12" s="1"/>
  <c r="AA212" i="12"/>
  <c r="B373" i="9"/>
  <c r="U299" i="9"/>
  <c r="T299" i="9"/>
  <c r="V299" i="9" s="1"/>
  <c r="W299" i="9"/>
  <c r="AH284" i="9"/>
  <c r="AM284" i="9" s="1"/>
  <c r="AE303" i="9"/>
  <c r="AF303" i="9" s="1"/>
  <c r="P219" i="12"/>
  <c r="T218" i="12"/>
  <c r="AD212" i="12" l="1"/>
  <c r="AB212" i="12"/>
  <c r="X213" i="12" s="1"/>
  <c r="D373" i="9"/>
  <c r="E373" i="9"/>
  <c r="L264" i="9"/>
  <c r="M264" i="9"/>
  <c r="AK284" i="9"/>
  <c r="AJ284" i="9"/>
  <c r="AL284" i="9" s="1"/>
  <c r="AN284" i="9" s="1"/>
  <c r="Z304" i="9"/>
  <c r="X299" i="9"/>
  <c r="Q219" i="12"/>
  <c r="M220" i="12" s="1"/>
  <c r="S219" i="12"/>
  <c r="U219" i="12" s="1"/>
  <c r="R219" i="12"/>
  <c r="V218" i="12"/>
  <c r="W218" i="12" s="1"/>
  <c r="F373" i="9" l="1"/>
  <c r="H373" i="9" s="1"/>
  <c r="AF212" i="12"/>
  <c r="AE212" i="12"/>
  <c r="Y213" i="12"/>
  <c r="T219" i="12"/>
  <c r="N264" i="9"/>
  <c r="P264" i="9" s="1"/>
  <c r="J265" i="9" s="1"/>
  <c r="O265" i="9" s="1"/>
  <c r="B374" i="9"/>
  <c r="AH285" i="9"/>
  <c r="AM285" i="9" s="1"/>
  <c r="AC304" i="9"/>
  <c r="AB304" i="9" s="1"/>
  <c r="AD304" i="9" s="1"/>
  <c r="R300" i="9"/>
  <c r="N220" i="12"/>
  <c r="O220" i="12"/>
  <c r="AG212" i="12" l="1"/>
  <c r="AH212" i="12" s="1"/>
  <c r="AC213" i="12"/>
  <c r="Z213" i="12"/>
  <c r="AA213" i="12" s="1"/>
  <c r="V219" i="12"/>
  <c r="W219" i="12" s="1"/>
  <c r="R220" i="12"/>
  <c r="E374" i="9"/>
  <c r="D374" i="9"/>
  <c r="M265" i="9"/>
  <c r="L265" i="9"/>
  <c r="AK285" i="9"/>
  <c r="AJ285" i="9" s="1"/>
  <c r="AL285" i="9" s="1"/>
  <c r="U300" i="9"/>
  <c r="T300" i="9"/>
  <c r="AE304" i="9"/>
  <c r="AF304" i="9"/>
  <c r="P220" i="12"/>
  <c r="F374" i="9" l="1"/>
  <c r="H374" i="9" s="1"/>
  <c r="B375" i="9" s="1"/>
  <c r="AD213" i="12"/>
  <c r="AB213" i="12"/>
  <c r="X214" i="12" s="1"/>
  <c r="N265" i="9"/>
  <c r="V300" i="9"/>
  <c r="Z305" i="9"/>
  <c r="AN285" i="9"/>
  <c r="S220" i="12"/>
  <c r="Q220" i="12"/>
  <c r="M221" i="12" s="1"/>
  <c r="W300" i="9" l="1"/>
  <c r="X300" i="9"/>
  <c r="R301" i="9" s="1"/>
  <c r="P265" i="9"/>
  <c r="J266" i="9" s="1"/>
  <c r="O266" i="9" s="1"/>
  <c r="AE213" i="12"/>
  <c r="AF213" i="12"/>
  <c r="Y214" i="12"/>
  <c r="E375" i="9"/>
  <c r="D375" i="9"/>
  <c r="F375" i="9" s="1"/>
  <c r="H375" i="9" s="1"/>
  <c r="AC305" i="9"/>
  <c r="AB305" i="9"/>
  <c r="AH286" i="9"/>
  <c r="AM286" i="9" s="1"/>
  <c r="T220" i="12"/>
  <c r="U220" i="12"/>
  <c r="O221" i="12"/>
  <c r="N221" i="12"/>
  <c r="AD305" i="9" l="1"/>
  <c r="AE305" i="9" s="1"/>
  <c r="AF305" i="9" s="1"/>
  <c r="Z306" i="9" s="1"/>
  <c r="AG213" i="12"/>
  <c r="AH213" i="12" s="1"/>
  <c r="AC214" i="12"/>
  <c r="Z214" i="12"/>
  <c r="B376" i="9"/>
  <c r="M266" i="9"/>
  <c r="L266" i="9"/>
  <c r="N266" i="9" s="1"/>
  <c r="P266" i="9" s="1"/>
  <c r="U301" i="9"/>
  <c r="T301" i="9"/>
  <c r="V301" i="9" s="1"/>
  <c r="W301" i="9" s="1"/>
  <c r="AK286" i="9"/>
  <c r="AJ286" i="9" s="1"/>
  <c r="AL286" i="9" s="1"/>
  <c r="V220" i="12"/>
  <c r="W220" i="12" s="1"/>
  <c r="R221" i="12"/>
  <c r="P221" i="12"/>
  <c r="AA214" i="12" l="1"/>
  <c r="D376" i="9"/>
  <c r="E376" i="9"/>
  <c r="AC306" i="9"/>
  <c r="AB306" i="9" s="1"/>
  <c r="AD306" i="9" s="1"/>
  <c r="J267" i="9"/>
  <c r="O267" i="9" s="1"/>
  <c r="X301" i="9"/>
  <c r="AN286" i="9"/>
  <c r="Q221" i="12"/>
  <c r="M222" i="12" s="1"/>
  <c r="S221" i="12"/>
  <c r="AD214" i="12" l="1"/>
  <c r="AB214" i="12"/>
  <c r="X215" i="12" s="1"/>
  <c r="F376" i="9"/>
  <c r="H376" i="9" s="1"/>
  <c r="B377" i="9" s="1"/>
  <c r="M267" i="9"/>
  <c r="L267" i="9"/>
  <c r="N267" i="9" s="1"/>
  <c r="P267" i="9" s="1"/>
  <c r="R302" i="9"/>
  <c r="AH287" i="9"/>
  <c r="AM287" i="9" s="1"/>
  <c r="AE306" i="9"/>
  <c r="AF306" i="9" s="1"/>
  <c r="O222" i="12"/>
  <c r="N222" i="12"/>
  <c r="T221" i="12"/>
  <c r="U221" i="12"/>
  <c r="AF214" i="12" l="1"/>
  <c r="AE214" i="12"/>
  <c r="Y215" i="12"/>
  <c r="Z215" i="12"/>
  <c r="AA215" i="12" s="1"/>
  <c r="AB215" i="12" s="1"/>
  <c r="X216" i="12" s="1"/>
  <c r="E377" i="9"/>
  <c r="D377" i="9" s="1"/>
  <c r="F377" i="9" s="1"/>
  <c r="H377" i="9" s="1"/>
  <c r="J268" i="9"/>
  <c r="O268" i="9" s="1"/>
  <c r="T302" i="9"/>
  <c r="U302" i="9"/>
  <c r="AK287" i="9"/>
  <c r="AJ287" i="9" s="1"/>
  <c r="AL287" i="9" s="1"/>
  <c r="Z307" i="9"/>
  <c r="P222" i="12"/>
  <c r="Q222" i="12" s="1"/>
  <c r="M223" i="12" s="1"/>
  <c r="S222" i="12"/>
  <c r="U222" i="12" s="1"/>
  <c r="V221" i="12"/>
  <c r="W221" i="12" s="1"/>
  <c r="R222" i="12"/>
  <c r="V302" i="9" l="1"/>
  <c r="W302" i="9" s="1"/>
  <c r="X302" i="9" s="1"/>
  <c r="R303" i="9" s="1"/>
  <c r="AG214" i="12"/>
  <c r="AH214" i="12" s="1"/>
  <c r="AC215" i="12"/>
  <c r="Y216" i="12"/>
  <c r="Z216" i="12" s="1"/>
  <c r="AD215" i="12"/>
  <c r="AF215" i="12" s="1"/>
  <c r="B378" i="9"/>
  <c r="M268" i="9"/>
  <c r="L268" i="9" s="1"/>
  <c r="N268" i="9" s="1"/>
  <c r="AC307" i="9"/>
  <c r="AB307" i="9"/>
  <c r="AD307" i="9" s="1"/>
  <c r="AE307" i="9" s="1"/>
  <c r="AF307" i="9" s="1"/>
  <c r="AN287" i="9"/>
  <c r="N223" i="12"/>
  <c r="O223" i="12"/>
  <c r="T222" i="12"/>
  <c r="AE215" i="12" l="1"/>
  <c r="AA216" i="12"/>
  <c r="D378" i="9"/>
  <c r="E378" i="9"/>
  <c r="U303" i="9"/>
  <c r="T303" i="9"/>
  <c r="V303" i="9" s="1"/>
  <c r="W303" i="9" s="1"/>
  <c r="X303" i="9" s="1"/>
  <c r="Z308" i="9"/>
  <c r="AH288" i="9"/>
  <c r="AM288" i="9" s="1"/>
  <c r="P268" i="9"/>
  <c r="R223" i="12"/>
  <c r="V222" i="12"/>
  <c r="W222" i="12" s="1"/>
  <c r="P223" i="12"/>
  <c r="S223" i="12" l="1"/>
  <c r="Q223" i="12"/>
  <c r="M224" i="12" s="1"/>
  <c r="AG215" i="12"/>
  <c r="AH215" i="12" s="1"/>
  <c r="AC216" i="12"/>
  <c r="AD216" i="12"/>
  <c r="AF216" i="12" s="1"/>
  <c r="AB216" i="12"/>
  <c r="X217" i="12" s="1"/>
  <c r="T223" i="12"/>
  <c r="U223" i="12"/>
  <c r="F378" i="9"/>
  <c r="H378" i="9" s="1"/>
  <c r="B379" i="9" s="1"/>
  <c r="R304" i="9"/>
  <c r="AC308" i="9"/>
  <c r="AB308" i="9"/>
  <c r="AD308" i="9" s="1"/>
  <c r="AE308" i="9" s="1"/>
  <c r="AF308" i="9" s="1"/>
  <c r="AK288" i="9"/>
  <c r="AJ288" i="9"/>
  <c r="AL288" i="9" s="1"/>
  <c r="AN288" i="9" s="1"/>
  <c r="J269" i="9"/>
  <c r="O269" i="9" s="1"/>
  <c r="O224" i="12" l="1"/>
  <c r="N224" i="12"/>
  <c r="P224" i="12" s="1"/>
  <c r="Y217" i="12"/>
  <c r="Z217" i="12"/>
  <c r="AE216" i="12"/>
  <c r="V223" i="12"/>
  <c r="W223" i="12" s="1"/>
  <c r="R224" i="12"/>
  <c r="E379" i="9"/>
  <c r="D379" i="9"/>
  <c r="F379" i="9" s="1"/>
  <c r="H379" i="9" s="1"/>
  <c r="U304" i="9"/>
  <c r="T304" i="9"/>
  <c r="Z309" i="9"/>
  <c r="AH289" i="9"/>
  <c r="AM289" i="9" s="1"/>
  <c r="M269" i="9"/>
  <c r="L269" i="9" s="1"/>
  <c r="N269" i="9" s="1"/>
  <c r="AA217" i="12" l="1"/>
  <c r="AG216" i="12"/>
  <c r="AH216" i="12" s="1"/>
  <c r="AC217" i="12"/>
  <c r="S224" i="12"/>
  <c r="Q224" i="12"/>
  <c r="M225" i="12" s="1"/>
  <c r="B380" i="9"/>
  <c r="AB309" i="9"/>
  <c r="AC309" i="9"/>
  <c r="AJ289" i="9"/>
  <c r="AK289" i="9"/>
  <c r="V304" i="9"/>
  <c r="P269" i="9"/>
  <c r="N225" i="12"/>
  <c r="O225" i="12"/>
  <c r="AB217" i="12" l="1"/>
  <c r="AD217" i="12"/>
  <c r="AD309" i="9"/>
  <c r="AL289" i="9"/>
  <c r="AN289" i="9" s="1"/>
  <c r="AH290" i="9" s="1"/>
  <c r="AM290" i="9" s="1"/>
  <c r="T224" i="12"/>
  <c r="U224" i="12"/>
  <c r="E380" i="9"/>
  <c r="D380" i="9"/>
  <c r="W304" i="9"/>
  <c r="X304" i="9" s="1"/>
  <c r="J270" i="9"/>
  <c r="O270" i="9" s="1"/>
  <c r="AE309" i="9"/>
  <c r="V224" i="12"/>
  <c r="W224" i="12" s="1"/>
  <c r="R225" i="12"/>
  <c r="P225" i="12"/>
  <c r="F380" i="9" l="1"/>
  <c r="H380" i="9" s="1"/>
  <c r="X218" i="12"/>
  <c r="F42" i="11" a="1"/>
  <c r="AE217" i="12"/>
  <c r="AF217" i="12"/>
  <c r="AF309" i="9"/>
  <c r="Z310" i="9" s="1"/>
  <c r="B381" i="9"/>
  <c r="AJ290" i="9"/>
  <c r="AK290" i="9"/>
  <c r="R305" i="9"/>
  <c r="M270" i="9"/>
  <c r="L270" i="9"/>
  <c r="N270" i="9" s="1"/>
  <c r="P270" i="9" s="1"/>
  <c r="S225" i="12"/>
  <c r="Q225" i="12"/>
  <c r="M226" i="12" s="1"/>
  <c r="Y218" i="12" l="1"/>
  <c r="Z218" i="12" s="1"/>
  <c r="AG217" i="12"/>
  <c r="AH217" i="12" s="1"/>
  <c r="G42" i="11" s="1" a="1"/>
  <c r="H42" i="11" s="1"/>
  <c r="AC218" i="12"/>
  <c r="AL290" i="9"/>
  <c r="E381" i="9"/>
  <c r="D381" i="9"/>
  <c r="F381" i="9" s="1"/>
  <c r="H381" i="9" s="1"/>
  <c r="U305" i="9"/>
  <c r="T305" i="9"/>
  <c r="V305" i="9" s="1"/>
  <c r="W305" i="9" s="1"/>
  <c r="X305" i="9" s="1"/>
  <c r="J271" i="9"/>
  <c r="O271" i="9" s="1"/>
  <c r="AC310" i="9"/>
  <c r="AB310" i="9" s="1"/>
  <c r="AD310" i="9" s="1"/>
  <c r="T225" i="12"/>
  <c r="U225" i="12"/>
  <c r="O226" i="12"/>
  <c r="N226" i="12"/>
  <c r="P226" i="12"/>
  <c r="Q226" i="12" s="1"/>
  <c r="M227" i="12" s="1"/>
  <c r="AA218" i="12" l="1"/>
  <c r="AB218" i="12" s="1"/>
  <c r="X219" i="12" s="1"/>
  <c r="AN290" i="9"/>
  <c r="AH291" i="9" s="1"/>
  <c r="AM291" i="9" s="1"/>
  <c r="AD218" i="12"/>
  <c r="S226" i="12"/>
  <c r="U226" i="12" s="1"/>
  <c r="B382" i="9"/>
  <c r="R306" i="9"/>
  <c r="L271" i="9"/>
  <c r="M271" i="9"/>
  <c r="AE310" i="9"/>
  <c r="AF310" i="9"/>
  <c r="V225" i="12"/>
  <c r="W225" i="12" s="1"/>
  <c r="R226" i="12"/>
  <c r="O227" i="12"/>
  <c r="N227" i="12"/>
  <c r="N271" i="9" l="1"/>
  <c r="P271" i="9" s="1"/>
  <c r="J272" i="9" s="1"/>
  <c r="O272" i="9" s="1"/>
  <c r="Z219" i="12"/>
  <c r="Y219" i="12"/>
  <c r="AF218" i="12"/>
  <c r="AE218" i="12"/>
  <c r="T226" i="12"/>
  <c r="AA219" i="12"/>
  <c r="D382" i="9"/>
  <c r="E382" i="9"/>
  <c r="T306" i="9"/>
  <c r="U306" i="9"/>
  <c r="AK291" i="9"/>
  <c r="AJ291" i="9"/>
  <c r="AL291" i="9" s="1"/>
  <c r="AN291" i="9" s="1"/>
  <c r="Z311" i="9"/>
  <c r="P227" i="12"/>
  <c r="AG218" i="12" l="1"/>
  <c r="AH218" i="12" s="1"/>
  <c r="AC219" i="12"/>
  <c r="R227" i="12"/>
  <c r="V226" i="12"/>
  <c r="W226" i="12" s="1"/>
  <c r="AD219" i="12"/>
  <c r="AB219" i="12"/>
  <c r="X220" i="12" s="1"/>
  <c r="V306" i="9"/>
  <c r="F382" i="9"/>
  <c r="H382" i="9" s="1"/>
  <c r="B383" i="9" s="1"/>
  <c r="M272" i="9"/>
  <c r="L272" i="9"/>
  <c r="AH292" i="9"/>
  <c r="AM292" i="9" s="1"/>
  <c r="AC311" i="9"/>
  <c r="AB311" i="9" s="1"/>
  <c r="AD311" i="9" s="1"/>
  <c r="W306" i="9"/>
  <c r="Q227" i="12"/>
  <c r="M228" i="12" s="1"/>
  <c r="S227" i="12"/>
  <c r="N272" i="9" l="1"/>
  <c r="P272" i="9" s="1"/>
  <c r="X306" i="9"/>
  <c r="R307" i="9" s="1"/>
  <c r="AE219" i="12"/>
  <c r="AF219" i="12"/>
  <c r="Y220" i="12"/>
  <c r="D383" i="9"/>
  <c r="E383" i="9"/>
  <c r="J273" i="9"/>
  <c r="O273" i="9" s="1"/>
  <c r="AK292" i="9"/>
  <c r="AJ292" i="9"/>
  <c r="AE311" i="9"/>
  <c r="AF311" i="9"/>
  <c r="N228" i="12"/>
  <c r="O228" i="12"/>
  <c r="T227" i="12"/>
  <c r="U227" i="12"/>
  <c r="AL292" i="9" l="1"/>
  <c r="AN292" i="9" s="1"/>
  <c r="AH293" i="9" s="1"/>
  <c r="AM293" i="9" s="1"/>
  <c r="F383" i="9"/>
  <c r="H383" i="9" s="1"/>
  <c r="B384" i="9" s="1"/>
  <c r="AG219" i="12"/>
  <c r="AH219" i="12" s="1"/>
  <c r="AC220" i="12"/>
  <c r="Z220" i="12"/>
  <c r="AA220" i="12"/>
  <c r="L273" i="9"/>
  <c r="M273" i="9"/>
  <c r="U307" i="9"/>
  <c r="T307" i="9"/>
  <c r="Z312" i="9"/>
  <c r="P228" i="12"/>
  <c r="V227" i="12"/>
  <c r="W227" i="12" s="1"/>
  <c r="R228" i="12"/>
  <c r="N273" i="9" l="1"/>
  <c r="P273" i="9" s="1"/>
  <c r="J274" i="9" s="1"/>
  <c r="O274" i="9" s="1"/>
  <c r="V307" i="9"/>
  <c r="AD220" i="12"/>
  <c r="AB220" i="12"/>
  <c r="X221" i="12" s="1"/>
  <c r="E384" i="9"/>
  <c r="D384" i="9"/>
  <c r="F384" i="9" s="1"/>
  <c r="H384" i="9" s="1"/>
  <c r="AK293" i="9"/>
  <c r="AJ293" i="9"/>
  <c r="AL293" i="9" s="1"/>
  <c r="AC312" i="9"/>
  <c r="AB312" i="9"/>
  <c r="AD312" i="9" s="1"/>
  <c r="AE312" i="9" s="1"/>
  <c r="AF312" i="9" s="1"/>
  <c r="Q228" i="12"/>
  <c r="M229" i="12" s="1"/>
  <c r="S228" i="12"/>
  <c r="W307" i="9" l="1"/>
  <c r="X307" i="9"/>
  <c r="AE220" i="12"/>
  <c r="AF220" i="12"/>
  <c r="Y221" i="12"/>
  <c r="Z221" i="12"/>
  <c r="AA221" i="12" s="1"/>
  <c r="AB221" i="12" s="1"/>
  <c r="X222" i="12" s="1"/>
  <c r="B385" i="9"/>
  <c r="M274" i="9"/>
  <c r="L274" i="9"/>
  <c r="N274" i="9" s="1"/>
  <c r="P274" i="9" s="1"/>
  <c r="Z313" i="9"/>
  <c r="R308" i="9"/>
  <c r="AN293" i="9"/>
  <c r="O229" i="12"/>
  <c r="N229" i="12"/>
  <c r="T228" i="12"/>
  <c r="U228" i="12"/>
  <c r="AC221" i="12" l="1"/>
  <c r="AG220" i="12"/>
  <c r="AH220" i="12" s="1"/>
  <c r="Z222" i="12"/>
  <c r="Y222" i="12"/>
  <c r="AD221" i="12"/>
  <c r="AF221" i="12" s="1"/>
  <c r="D385" i="9"/>
  <c r="E385" i="9"/>
  <c r="J275" i="9"/>
  <c r="O275" i="9" s="1"/>
  <c r="AC313" i="9"/>
  <c r="AB313" i="9"/>
  <c r="U308" i="9"/>
  <c r="T308" i="9"/>
  <c r="V308" i="9" s="1"/>
  <c r="W308" i="9" s="1"/>
  <c r="X308" i="9" s="1"/>
  <c r="AH294" i="9"/>
  <c r="AM294" i="9" s="1"/>
  <c r="V228" i="12"/>
  <c r="W228" i="12" s="1"/>
  <c r="R229" i="12"/>
  <c r="P229" i="12"/>
  <c r="F385" i="9" l="1"/>
  <c r="H385" i="9" s="1"/>
  <c r="B386" i="9" s="1"/>
  <c r="AA222" i="12"/>
  <c r="AD313" i="9"/>
  <c r="AE313" i="9" s="1"/>
  <c r="AF313" i="9" s="1"/>
  <c r="Z314" i="9" s="1"/>
  <c r="AE221" i="12"/>
  <c r="AD222" i="12"/>
  <c r="AF222" i="12" s="1"/>
  <c r="AB222" i="12"/>
  <c r="X223" i="12" s="1"/>
  <c r="M275" i="9"/>
  <c r="L275" i="9"/>
  <c r="R309" i="9"/>
  <c r="AK294" i="9"/>
  <c r="AJ294" i="9" s="1"/>
  <c r="AL294" i="9" s="1"/>
  <c r="Q229" i="12"/>
  <c r="S229" i="12"/>
  <c r="N275" i="9" l="1"/>
  <c r="P275" i="9" s="1"/>
  <c r="AC222" i="12"/>
  <c r="AE222" i="12" s="1"/>
  <c r="AG221" i="12"/>
  <c r="AH221" i="12" s="1"/>
  <c r="Y223" i="12"/>
  <c r="Z223" i="12" s="1"/>
  <c r="E386" i="9"/>
  <c r="D386" i="9"/>
  <c r="F386" i="9" s="1"/>
  <c r="H386" i="9" s="1"/>
  <c r="AC314" i="9"/>
  <c r="AB314" i="9" s="1"/>
  <c r="AD314" i="9" s="1"/>
  <c r="U309" i="9"/>
  <c r="T309" i="9"/>
  <c r="AN294" i="9"/>
  <c r="M230" i="12"/>
  <c r="D43" i="11" a="1"/>
  <c r="T229" i="12"/>
  <c r="U229" i="12"/>
  <c r="V309" i="9" l="1"/>
  <c r="W309" i="9" s="1"/>
  <c r="X309" i="9" s="1"/>
  <c r="R310" i="9" s="1"/>
  <c r="AG222" i="12"/>
  <c r="AH222" i="12" s="1"/>
  <c r="AC223" i="12"/>
  <c r="AA223" i="12"/>
  <c r="B387" i="9"/>
  <c r="J276" i="9"/>
  <c r="O276" i="9" s="1"/>
  <c r="AH295" i="9"/>
  <c r="AM295" i="9" s="1"/>
  <c r="AE314" i="9"/>
  <c r="AF314" i="9" s="1"/>
  <c r="N230" i="12"/>
  <c r="O230" i="12"/>
  <c r="R230" i="12"/>
  <c r="V229" i="12"/>
  <c r="W229" i="12" s="1"/>
  <c r="E43" i="11" s="1" a="1"/>
  <c r="AD223" i="12" l="1"/>
  <c r="AB223" i="12"/>
  <c r="X224" i="12" s="1"/>
  <c r="E387" i="9"/>
  <c r="D387" i="9" s="1"/>
  <c r="F387" i="9" s="1"/>
  <c r="H387" i="9" s="1"/>
  <c r="U310" i="9"/>
  <c r="T310" i="9" s="1"/>
  <c r="V310" i="9" s="1"/>
  <c r="M276" i="9"/>
  <c r="L276" i="9" s="1"/>
  <c r="N276" i="9" s="1"/>
  <c r="AK295" i="9"/>
  <c r="AJ295" i="9"/>
  <c r="Z315" i="9"/>
  <c r="P230" i="12"/>
  <c r="AL295" i="9" l="1"/>
  <c r="AE223" i="12"/>
  <c r="AF223" i="12"/>
  <c r="Y224" i="12"/>
  <c r="Z224" i="12" s="1"/>
  <c r="AA224" i="12" s="1"/>
  <c r="AB224" i="12" s="1"/>
  <c r="X225" i="12" s="1"/>
  <c r="B388" i="9"/>
  <c r="AC315" i="9"/>
  <c r="AB315" i="9" s="1"/>
  <c r="AD315" i="9" s="1"/>
  <c r="W310" i="9"/>
  <c r="X310" i="9" s="1"/>
  <c r="P276" i="9"/>
  <c r="Q230" i="12"/>
  <c r="M231" i="12" s="1"/>
  <c r="S230" i="12"/>
  <c r="AN295" i="9" l="1"/>
  <c r="AC224" i="12"/>
  <c r="AG223" i="12"/>
  <c r="AH223" i="12" s="1"/>
  <c r="Z225" i="12"/>
  <c r="Y225" i="12"/>
  <c r="AD224" i="12"/>
  <c r="AF224" i="12" s="1"/>
  <c r="D388" i="9"/>
  <c r="E388" i="9"/>
  <c r="AH296" i="9"/>
  <c r="AM296" i="9" s="1"/>
  <c r="R311" i="9"/>
  <c r="J277" i="9"/>
  <c r="O277" i="9" s="1"/>
  <c r="AE315" i="9"/>
  <c r="AF315" i="9" s="1"/>
  <c r="N231" i="12"/>
  <c r="O231" i="12"/>
  <c r="P231" i="12"/>
  <c r="Q231" i="12" s="1"/>
  <c r="M232" i="12" s="1"/>
  <c r="T230" i="12"/>
  <c r="U230" i="12"/>
  <c r="F388" i="9" l="1"/>
  <c r="H388" i="9" s="1"/>
  <c r="B389" i="9" s="1"/>
  <c r="AE224" i="12"/>
  <c r="AA225" i="12"/>
  <c r="AK296" i="9"/>
  <c r="AJ296" i="9" s="1"/>
  <c r="AL296" i="9" s="1"/>
  <c r="U311" i="9"/>
  <c r="T311" i="9"/>
  <c r="V311" i="9" s="1"/>
  <c r="W311" i="9" s="1"/>
  <c r="X311" i="9" s="1"/>
  <c r="M277" i="9"/>
  <c r="L277" i="9"/>
  <c r="Z316" i="9"/>
  <c r="O232" i="12"/>
  <c r="N232" i="12"/>
  <c r="P232" i="12" s="1"/>
  <c r="Q232" i="12" s="1"/>
  <c r="M233" i="12" s="1"/>
  <c r="V230" i="12"/>
  <c r="W230" i="12" s="1"/>
  <c r="R231" i="12"/>
  <c r="S231" i="12"/>
  <c r="U231" i="12" s="1"/>
  <c r="AC225" i="12" l="1"/>
  <c r="AE225" i="12" s="1"/>
  <c r="AG224" i="12"/>
  <c r="AH224" i="12" s="1"/>
  <c r="AD225" i="12"/>
  <c r="AF225" i="12" s="1"/>
  <c r="AB225" i="12"/>
  <c r="X226" i="12" s="1"/>
  <c r="D389" i="9"/>
  <c r="E389" i="9"/>
  <c r="R312" i="9"/>
  <c r="AC316" i="9"/>
  <c r="AB316" i="9" s="1"/>
  <c r="AD316" i="9" s="1"/>
  <c r="N277" i="9"/>
  <c r="AN296" i="9"/>
  <c r="N233" i="12"/>
  <c r="O233" i="12"/>
  <c r="S232" i="12"/>
  <c r="U232" i="12" s="1"/>
  <c r="T231" i="12"/>
  <c r="F389" i="9" l="1"/>
  <c r="H389" i="9" s="1"/>
  <c r="B390" i="9" s="1"/>
  <c r="AC226" i="12"/>
  <c r="AG225" i="12"/>
  <c r="AH225" i="12" s="1"/>
  <c r="Y226" i="12"/>
  <c r="Z226" i="12"/>
  <c r="U312" i="9"/>
  <c r="T312" i="9" s="1"/>
  <c r="V312" i="9" s="1"/>
  <c r="P277" i="9"/>
  <c r="AH297" i="9"/>
  <c r="AM297" i="9" s="1"/>
  <c r="AE316" i="9"/>
  <c r="AF316" i="9"/>
  <c r="V231" i="12"/>
  <c r="W231" i="12" s="1"/>
  <c r="R232" i="12"/>
  <c r="T232" i="12" s="1"/>
  <c r="P233" i="12"/>
  <c r="AA226" i="12" l="1"/>
  <c r="E390" i="9"/>
  <c r="D390" i="9" s="1"/>
  <c r="F390" i="9" s="1"/>
  <c r="H390" i="9" s="1"/>
  <c r="J278" i="9"/>
  <c r="O278" i="9" s="1"/>
  <c r="AK297" i="9"/>
  <c r="AJ297" i="9" s="1"/>
  <c r="AL297" i="9" s="1"/>
  <c r="Z317" i="9"/>
  <c r="W312" i="9"/>
  <c r="X312" i="9" s="1"/>
  <c r="R233" i="12"/>
  <c r="V232" i="12"/>
  <c r="W232" i="12" s="1"/>
  <c r="Q233" i="12"/>
  <c r="M234" i="12" s="1"/>
  <c r="S233" i="12"/>
  <c r="U233" i="12" s="1"/>
  <c r="AD226" i="12" l="1"/>
  <c r="AB226" i="12"/>
  <c r="X227" i="12" s="1"/>
  <c r="B391" i="9"/>
  <c r="M278" i="9"/>
  <c r="L278" i="9" s="1"/>
  <c r="N278" i="9" s="1"/>
  <c r="AC317" i="9"/>
  <c r="AB317" i="9" s="1"/>
  <c r="AD317" i="9" s="1"/>
  <c r="R313" i="9"/>
  <c r="AN297" i="9"/>
  <c r="N234" i="12"/>
  <c r="O234" i="12"/>
  <c r="T233" i="12"/>
  <c r="AF226" i="12" l="1"/>
  <c r="AE226" i="12"/>
  <c r="Y227" i="12"/>
  <c r="Z227" i="12" s="1"/>
  <c r="E391" i="9"/>
  <c r="D391" i="9"/>
  <c r="F391" i="9" s="1"/>
  <c r="H391" i="9" s="1"/>
  <c r="U313" i="9"/>
  <c r="T313" i="9"/>
  <c r="AH298" i="9"/>
  <c r="AM298" i="9" s="1"/>
  <c r="P278" i="9"/>
  <c r="AE317" i="9"/>
  <c r="AF317" i="9" s="1"/>
  <c r="P234" i="12"/>
  <c r="R234" i="12"/>
  <c r="V233" i="12"/>
  <c r="W233" i="12" s="1"/>
  <c r="AG226" i="12" l="1"/>
  <c r="AH226" i="12" s="1"/>
  <c r="AC227" i="12"/>
  <c r="AA227" i="12"/>
  <c r="AB227" i="12" s="1"/>
  <c r="X228" i="12" s="1"/>
  <c r="AD227" i="12"/>
  <c r="AF227" i="12" s="1"/>
  <c r="V313" i="9"/>
  <c r="W313" i="9" s="1"/>
  <c r="X313" i="9" s="1"/>
  <c r="R314" i="9" s="1"/>
  <c r="B392" i="9"/>
  <c r="AK298" i="9"/>
  <c r="AJ298" i="9" s="1"/>
  <c r="AL298" i="9" s="1"/>
  <c r="J279" i="9"/>
  <c r="O279" i="9" s="1"/>
  <c r="Z318" i="9"/>
  <c r="Q234" i="12"/>
  <c r="M235" i="12" s="1"/>
  <c r="S234" i="12"/>
  <c r="Z228" i="12" l="1"/>
  <c r="Y228" i="12"/>
  <c r="AE227" i="12"/>
  <c r="N235" i="12"/>
  <c r="O235" i="12"/>
  <c r="E392" i="9"/>
  <c r="D392" i="9"/>
  <c r="F392" i="9" s="1"/>
  <c r="H392" i="9" s="1"/>
  <c r="U314" i="9"/>
  <c r="T314" i="9"/>
  <c r="M279" i="9"/>
  <c r="L279" i="9"/>
  <c r="N279" i="9" s="1"/>
  <c r="P279" i="9" s="1"/>
  <c r="AC318" i="9"/>
  <c r="AB318" i="9"/>
  <c r="AD318" i="9" s="1"/>
  <c r="AE318" i="9" s="1"/>
  <c r="AN298" i="9"/>
  <c r="T234" i="12"/>
  <c r="U234" i="12"/>
  <c r="AA228" i="12" l="1"/>
  <c r="AB228" i="12" s="1"/>
  <c r="X229" i="12" s="1"/>
  <c r="AC228" i="12"/>
  <c r="AG227" i="12"/>
  <c r="AH227" i="12" s="1"/>
  <c r="P235" i="12"/>
  <c r="AD228" i="12"/>
  <c r="AF228" i="12" s="1"/>
  <c r="B393" i="9"/>
  <c r="J280" i="9"/>
  <c r="O280" i="9" s="1"/>
  <c r="AH299" i="9"/>
  <c r="AM299" i="9" s="1"/>
  <c r="AF318" i="9"/>
  <c r="V314" i="9"/>
  <c r="V234" i="12"/>
  <c r="W234" i="12" s="1"/>
  <c r="R235" i="12"/>
  <c r="S235" i="12" l="1"/>
  <c r="Q235" i="12"/>
  <c r="M236" i="12" s="1"/>
  <c r="Y229" i="12"/>
  <c r="AE228" i="12"/>
  <c r="E393" i="9"/>
  <c r="D393" i="9"/>
  <c r="F393" i="9" s="1"/>
  <c r="H393" i="9" s="1"/>
  <c r="L280" i="9"/>
  <c r="M280" i="9"/>
  <c r="AK299" i="9"/>
  <c r="AJ299" i="9"/>
  <c r="AL299" i="9" s="1"/>
  <c r="AN299" i="9" s="1"/>
  <c r="Z319" i="9"/>
  <c r="W314" i="9"/>
  <c r="X314" i="9" s="1"/>
  <c r="N280" i="9" l="1"/>
  <c r="P280" i="9" s="1"/>
  <c r="J281" i="9" s="1"/>
  <c r="O281" i="9" s="1"/>
  <c r="Z229" i="12"/>
  <c r="AA229" i="12"/>
  <c r="T235" i="12"/>
  <c r="U235" i="12"/>
  <c r="O236" i="12"/>
  <c r="N236" i="12"/>
  <c r="P236" i="12"/>
  <c r="AG228" i="12"/>
  <c r="AH228" i="12" s="1"/>
  <c r="AC229" i="12"/>
  <c r="B394" i="9"/>
  <c r="AH300" i="9"/>
  <c r="AM300" i="9" s="1"/>
  <c r="AC319" i="9"/>
  <c r="AB319" i="9"/>
  <c r="AD319" i="9" s="1"/>
  <c r="AE319" i="9" s="1"/>
  <c r="AF319" i="9" s="1"/>
  <c r="R315" i="9"/>
  <c r="S236" i="12" l="1"/>
  <c r="U236" i="12" s="1"/>
  <c r="Q236" i="12"/>
  <c r="M237" i="12" s="1"/>
  <c r="AB229" i="12"/>
  <c r="AD229" i="12"/>
  <c r="R236" i="12"/>
  <c r="V235" i="12"/>
  <c r="W235" i="12" s="1"/>
  <c r="N237" i="12"/>
  <c r="O237" i="12"/>
  <c r="E394" i="9"/>
  <c r="D394" i="9"/>
  <c r="F394" i="9" s="1"/>
  <c r="H394" i="9" s="1"/>
  <c r="L281" i="9"/>
  <c r="M281" i="9"/>
  <c r="AK300" i="9"/>
  <c r="AJ300" i="9"/>
  <c r="Z320" i="9"/>
  <c r="U315" i="9"/>
  <c r="T315" i="9"/>
  <c r="V315" i="9" s="1"/>
  <c r="W315" i="9" s="1"/>
  <c r="X315" i="9" s="1"/>
  <c r="N281" i="9" l="1"/>
  <c r="P281" i="9" s="1"/>
  <c r="J282" i="9" s="1"/>
  <c r="O282" i="9" s="1"/>
  <c r="F43" i="11" a="1"/>
  <c r="X230" i="12"/>
  <c r="AE229" i="12"/>
  <c r="AF229" i="12"/>
  <c r="T236" i="12"/>
  <c r="P237" i="12"/>
  <c r="B395" i="9"/>
  <c r="AC320" i="9"/>
  <c r="AB320" i="9"/>
  <c r="R316" i="9"/>
  <c r="AL300" i="9"/>
  <c r="Y230" i="12" l="1"/>
  <c r="Z230" i="12"/>
  <c r="AC230" i="12"/>
  <c r="AG229" i="12"/>
  <c r="AH229" i="12" s="1"/>
  <c r="G43" i="11" s="1" a="1"/>
  <c r="H43" i="11" s="1"/>
  <c r="R237" i="12"/>
  <c r="V236" i="12"/>
  <c r="W236" i="12" s="1"/>
  <c r="Q237" i="12"/>
  <c r="M238" i="12" s="1"/>
  <c r="S237" i="12"/>
  <c r="E395" i="9"/>
  <c r="D395" i="9"/>
  <c r="F395" i="9" s="1"/>
  <c r="H395" i="9" s="1"/>
  <c r="L282" i="9"/>
  <c r="M282" i="9"/>
  <c r="T316" i="9"/>
  <c r="U316" i="9"/>
  <c r="AN300" i="9"/>
  <c r="AD320" i="9"/>
  <c r="N282" i="9" l="1"/>
  <c r="P282" i="9" s="1"/>
  <c r="J283" i="9" s="1"/>
  <c r="O283" i="9" s="1"/>
  <c r="V316" i="9"/>
  <c r="W316" i="9" s="1"/>
  <c r="X316" i="9" s="1"/>
  <c r="R317" i="9" s="1"/>
  <c r="AA230" i="12"/>
  <c r="N238" i="12"/>
  <c r="O238" i="12"/>
  <c r="T237" i="12"/>
  <c r="U237" i="12"/>
  <c r="B396" i="9"/>
  <c r="AH301" i="9"/>
  <c r="AM301" i="9" s="1"/>
  <c r="AE320" i="9"/>
  <c r="AF320" i="9"/>
  <c r="AB230" i="12" l="1"/>
  <c r="X231" i="12" s="1"/>
  <c r="AD230" i="12"/>
  <c r="V237" i="12"/>
  <c r="W237" i="12" s="1"/>
  <c r="R238" i="12"/>
  <c r="P238" i="12"/>
  <c r="D396" i="9"/>
  <c r="E396" i="9"/>
  <c r="M283" i="9"/>
  <c r="L283" i="9"/>
  <c r="N283" i="9" s="1"/>
  <c r="P283" i="9" s="1"/>
  <c r="U317" i="9"/>
  <c r="T317" i="9" s="1"/>
  <c r="V317" i="9" s="1"/>
  <c r="AK301" i="9"/>
  <c r="AJ301" i="9"/>
  <c r="AL301" i="9" s="1"/>
  <c r="AN301" i="9" s="1"/>
  <c r="Z321" i="9"/>
  <c r="AE230" i="12" l="1"/>
  <c r="AF230" i="12"/>
  <c r="Y231" i="12"/>
  <c r="Z231" i="12"/>
  <c r="AA231" i="12" s="1"/>
  <c r="Q238" i="12"/>
  <c r="M239" i="12" s="1"/>
  <c r="S238" i="12"/>
  <c r="F396" i="9"/>
  <c r="H396" i="9" s="1"/>
  <c r="B397" i="9" s="1"/>
  <c r="J284" i="9"/>
  <c r="O284" i="9" s="1"/>
  <c r="AH302" i="9"/>
  <c r="AM302" i="9" s="1"/>
  <c r="AC321" i="9"/>
  <c r="AB321" i="9"/>
  <c r="AD321" i="9" s="1"/>
  <c r="AE321" i="9" s="1"/>
  <c r="AF321" i="9" s="1"/>
  <c r="W317" i="9"/>
  <c r="X317" i="9" s="1"/>
  <c r="AC231" i="12" l="1"/>
  <c r="AG230" i="12"/>
  <c r="AH230" i="12" s="1"/>
  <c r="O239" i="12"/>
  <c r="N239" i="12"/>
  <c r="T238" i="12"/>
  <c r="U238" i="12"/>
  <c r="AD231" i="12"/>
  <c r="AB231" i="12"/>
  <c r="X232" i="12" s="1"/>
  <c r="E397" i="9"/>
  <c r="D397" i="9"/>
  <c r="M284" i="9"/>
  <c r="L284" i="9" s="1"/>
  <c r="N284" i="9" s="1"/>
  <c r="AJ302" i="9"/>
  <c r="AK302" i="9"/>
  <c r="Z322" i="9"/>
  <c r="R318" i="9"/>
  <c r="AL302" i="9" l="1"/>
  <c r="AN302" i="9" s="1"/>
  <c r="AH303" i="9" s="1"/>
  <c r="AM303" i="9" s="1"/>
  <c r="F397" i="9"/>
  <c r="H397" i="9" s="1"/>
  <c r="B398" i="9" s="1"/>
  <c r="P239" i="12"/>
  <c r="V238" i="12"/>
  <c r="W238" i="12" s="1"/>
  <c r="R239" i="12"/>
  <c r="AF231" i="12"/>
  <c r="AE231" i="12"/>
  <c r="Y232" i="12"/>
  <c r="Z232" i="12" s="1"/>
  <c r="AC322" i="9"/>
  <c r="AB322" i="9" s="1"/>
  <c r="AD322" i="9" s="1"/>
  <c r="U318" i="9"/>
  <c r="T318" i="9"/>
  <c r="V318" i="9" s="1"/>
  <c r="W318" i="9" s="1"/>
  <c r="X318" i="9" s="1"/>
  <c r="P284" i="9"/>
  <c r="AG231" i="12" l="1"/>
  <c r="AH231" i="12" s="1"/>
  <c r="AC232" i="12"/>
  <c r="S239" i="12"/>
  <c r="Q239" i="12"/>
  <c r="M240" i="12" s="1"/>
  <c r="AA232" i="12"/>
  <c r="AB232" i="12" s="1"/>
  <c r="X233" i="12" s="1"/>
  <c r="AD232" i="12"/>
  <c r="AF232" i="12" s="1"/>
  <c r="E398" i="9"/>
  <c r="D398" i="9"/>
  <c r="AJ303" i="9"/>
  <c r="AK303" i="9"/>
  <c r="R319" i="9"/>
  <c r="J285" i="9"/>
  <c r="O285" i="9" s="1"/>
  <c r="AE322" i="9"/>
  <c r="AF322" i="9"/>
  <c r="F398" i="9" l="1"/>
  <c r="H398" i="9" s="1"/>
  <c r="B399" i="9" s="1"/>
  <c r="AL303" i="9"/>
  <c r="T239" i="12"/>
  <c r="U239" i="12"/>
  <c r="O240" i="12"/>
  <c r="N240" i="12"/>
  <c r="P240" i="12" s="1"/>
  <c r="Q240" i="12" s="1"/>
  <c r="M241" i="12" s="1"/>
  <c r="Z233" i="12"/>
  <c r="Y233" i="12"/>
  <c r="AE232" i="12"/>
  <c r="U319" i="9"/>
  <c r="T319" i="9"/>
  <c r="V319" i="9" s="1"/>
  <c r="W319" i="9" s="1"/>
  <c r="X319" i="9" s="1"/>
  <c r="M285" i="9"/>
  <c r="L285" i="9"/>
  <c r="Z323" i="9"/>
  <c r="AN303" i="9" l="1"/>
  <c r="AH304" i="9" s="1"/>
  <c r="AM304" i="9" s="1"/>
  <c r="N285" i="9"/>
  <c r="P285" i="9" s="1"/>
  <c r="R240" i="12"/>
  <c r="V239" i="12"/>
  <c r="W239" i="12" s="1"/>
  <c r="N241" i="12"/>
  <c r="O241" i="12"/>
  <c r="AA233" i="12"/>
  <c r="AC233" i="12"/>
  <c r="AG232" i="12"/>
  <c r="AH232" i="12" s="1"/>
  <c r="S240" i="12"/>
  <c r="U240" i="12" s="1"/>
  <c r="E399" i="9"/>
  <c r="D399" i="9" s="1"/>
  <c r="F399" i="9" s="1"/>
  <c r="H399" i="9" s="1"/>
  <c r="R320" i="9"/>
  <c r="AB323" i="9"/>
  <c r="AC323" i="9"/>
  <c r="P241" i="12" l="1"/>
  <c r="T240" i="12"/>
  <c r="AB233" i="12"/>
  <c r="X234" i="12" s="1"/>
  <c r="AD233" i="12"/>
  <c r="AD323" i="9"/>
  <c r="AE323" i="9" s="1"/>
  <c r="AF323" i="9" s="1"/>
  <c r="B400" i="9"/>
  <c r="U320" i="9"/>
  <c r="T320" i="9" s="1"/>
  <c r="V320" i="9" s="1"/>
  <c r="Z324" i="9"/>
  <c r="AK304" i="9"/>
  <c r="AJ304" i="9"/>
  <c r="J286" i="9"/>
  <c r="O286" i="9" s="1"/>
  <c r="AL304" i="9" l="1"/>
  <c r="AN304" i="9" s="1"/>
  <c r="AH305" i="9" s="1"/>
  <c r="AM305" i="9" s="1"/>
  <c r="Q241" i="12"/>
  <c r="S241" i="12"/>
  <c r="U241" i="12" s="1"/>
  <c r="U242" i="12" s="1"/>
  <c r="U243" i="12" s="1"/>
  <c r="U244" i="12" s="1"/>
  <c r="U245" i="12" s="1"/>
  <c r="U246" i="12" s="1"/>
  <c r="U247" i="12" s="1"/>
  <c r="U248" i="12" s="1"/>
  <c r="U249" i="12" s="1"/>
  <c r="U250" i="12" s="1"/>
  <c r="U251" i="12" s="1"/>
  <c r="U252" i="12" s="1"/>
  <c r="U253" i="12" s="1"/>
  <c r="U254" i="12" s="1"/>
  <c r="U255" i="12" s="1"/>
  <c r="U256" i="12" s="1"/>
  <c r="U257" i="12" s="1"/>
  <c r="U258" i="12" s="1"/>
  <c r="U259" i="12" s="1"/>
  <c r="U260" i="12" s="1"/>
  <c r="U261" i="12" s="1"/>
  <c r="U262" i="12" s="1"/>
  <c r="U263" i="12" s="1"/>
  <c r="U264" i="12" s="1"/>
  <c r="U265" i="12" s="1"/>
  <c r="U266" i="12" s="1"/>
  <c r="U267" i="12" s="1"/>
  <c r="U268" i="12" s="1"/>
  <c r="U269" i="12" s="1"/>
  <c r="U270" i="12" s="1"/>
  <c r="U271" i="12" s="1"/>
  <c r="U272" i="12" s="1"/>
  <c r="U273" i="12" s="1"/>
  <c r="U274" i="12" s="1"/>
  <c r="U275" i="12" s="1"/>
  <c r="U276" i="12" s="1"/>
  <c r="U277" i="12" s="1"/>
  <c r="U278" i="12" s="1"/>
  <c r="U279" i="12" s="1"/>
  <c r="U280" i="12" s="1"/>
  <c r="U281" i="12" s="1"/>
  <c r="U282" i="12" s="1"/>
  <c r="U283" i="12" s="1"/>
  <c r="U284" i="12" s="1"/>
  <c r="U285" i="12" s="1"/>
  <c r="U286" i="12" s="1"/>
  <c r="U287" i="12" s="1"/>
  <c r="U288" i="12" s="1"/>
  <c r="U289" i="12" s="1"/>
  <c r="U290" i="12" s="1"/>
  <c r="U291" i="12" s="1"/>
  <c r="U292" i="12" s="1"/>
  <c r="U293" i="12" s="1"/>
  <c r="U294" i="12" s="1"/>
  <c r="U295" i="12" s="1"/>
  <c r="U296" i="12" s="1"/>
  <c r="U297" i="12" s="1"/>
  <c r="U298" i="12" s="1"/>
  <c r="U299" i="12" s="1"/>
  <c r="U300" i="12" s="1"/>
  <c r="U301" i="12" s="1"/>
  <c r="U302" i="12" s="1"/>
  <c r="U303" i="12" s="1"/>
  <c r="U304" i="12" s="1"/>
  <c r="U305" i="12" s="1"/>
  <c r="U306" i="12" s="1"/>
  <c r="U307" i="12" s="1"/>
  <c r="U308" i="12" s="1"/>
  <c r="U309" i="12" s="1"/>
  <c r="U310" i="12" s="1"/>
  <c r="U311" i="12" s="1"/>
  <c r="U312" i="12" s="1"/>
  <c r="U313" i="12" s="1"/>
  <c r="U314" i="12" s="1"/>
  <c r="U315" i="12" s="1"/>
  <c r="U316" i="12" s="1"/>
  <c r="U317" i="12" s="1"/>
  <c r="U318" i="12" s="1"/>
  <c r="U319" i="12" s="1"/>
  <c r="U320" i="12" s="1"/>
  <c r="U321" i="12" s="1"/>
  <c r="U322" i="12" s="1"/>
  <c r="U323" i="12" s="1"/>
  <c r="U324" i="12" s="1"/>
  <c r="U325" i="12" s="1"/>
  <c r="U326" i="12" s="1"/>
  <c r="U327" i="12" s="1"/>
  <c r="U328" i="12" s="1"/>
  <c r="U329" i="12" s="1"/>
  <c r="U330" i="12" s="1"/>
  <c r="U331" i="12" s="1"/>
  <c r="U332" i="12" s="1"/>
  <c r="U333" i="12" s="1"/>
  <c r="U334" i="12" s="1"/>
  <c r="U335" i="12" s="1"/>
  <c r="U336" i="12" s="1"/>
  <c r="U337" i="12" s="1"/>
  <c r="U338" i="12" s="1"/>
  <c r="U339" i="12" s="1"/>
  <c r="U340" i="12" s="1"/>
  <c r="U341" i="12" s="1"/>
  <c r="U342" i="12" s="1"/>
  <c r="U343" i="12" s="1"/>
  <c r="U344" i="12" s="1"/>
  <c r="U345" i="12" s="1"/>
  <c r="U346" i="12" s="1"/>
  <c r="U347" i="12" s="1"/>
  <c r="U348" i="12" s="1"/>
  <c r="U349" i="12" s="1"/>
  <c r="U350" i="12" s="1"/>
  <c r="U351" i="12" s="1"/>
  <c r="U352" i="12" s="1"/>
  <c r="U353" i="12" s="1"/>
  <c r="U354" i="12" s="1"/>
  <c r="U355" i="12" s="1"/>
  <c r="U356" i="12" s="1"/>
  <c r="U357" i="12" s="1"/>
  <c r="U358" i="12" s="1"/>
  <c r="U359" i="12" s="1"/>
  <c r="U360" i="12" s="1"/>
  <c r="U361" i="12" s="1"/>
  <c r="D44" i="11" a="1"/>
  <c r="M242" i="12"/>
  <c r="R241" i="12"/>
  <c r="V240" i="12"/>
  <c r="W240" i="12" s="1"/>
  <c r="Y234" i="12"/>
  <c r="Z234" i="12" s="1"/>
  <c r="AA234" i="12" s="1"/>
  <c r="AB234" i="12" s="1"/>
  <c r="X235" i="12" s="1"/>
  <c r="AE233" i="12"/>
  <c r="AF233" i="12"/>
  <c r="E400" i="9"/>
  <c r="D400" i="9" s="1"/>
  <c r="F400" i="9" s="1"/>
  <c r="H400" i="9" s="1"/>
  <c r="AC324" i="9"/>
  <c r="AB324" i="9"/>
  <c r="M286" i="9"/>
  <c r="L286" i="9"/>
  <c r="N286" i="9" s="1"/>
  <c r="W320" i="9"/>
  <c r="X320" i="9" s="1"/>
  <c r="AD324" i="9" l="1"/>
  <c r="AE324" i="9" s="1"/>
  <c r="AF324" i="9" s="1"/>
  <c r="Z325" i="9" s="1"/>
  <c r="T241" i="12"/>
  <c r="N242" i="12"/>
  <c r="O242" i="12"/>
  <c r="Y235" i="12"/>
  <c r="Z235" i="12"/>
  <c r="AG233" i="12"/>
  <c r="AH233" i="12" s="1"/>
  <c r="AC234" i="12"/>
  <c r="AD234" i="12"/>
  <c r="AF234" i="12" s="1"/>
  <c r="B401" i="9"/>
  <c r="AK305" i="9"/>
  <c r="AJ305" i="9"/>
  <c r="AL305" i="9" s="1"/>
  <c r="AN305" i="9" s="1"/>
  <c r="R321" i="9"/>
  <c r="P286" i="9"/>
  <c r="P242" i="12" l="1"/>
  <c r="Q242" i="12" s="1"/>
  <c r="M243" i="12" s="1"/>
  <c r="N243" i="12" s="1"/>
  <c r="P243" i="12" s="1"/>
  <c r="Q243" i="12" s="1"/>
  <c r="M244" i="12" s="1"/>
  <c r="V241" i="12"/>
  <c r="W241" i="12" s="1"/>
  <c r="R242" i="12"/>
  <c r="T242" i="12" s="1"/>
  <c r="O243" i="12"/>
  <c r="AE234" i="12"/>
  <c r="AA235" i="12"/>
  <c r="E401" i="9"/>
  <c r="D401" i="9" s="1"/>
  <c r="F401" i="9" s="1"/>
  <c r="H401" i="9" s="1"/>
  <c r="AB325" i="9"/>
  <c r="AC325" i="9"/>
  <c r="AH306" i="9"/>
  <c r="AM306" i="9" s="1"/>
  <c r="T321" i="9"/>
  <c r="U321" i="9"/>
  <c r="J287" i="9"/>
  <c r="O287" i="9" s="1"/>
  <c r="V321" i="9" l="1"/>
  <c r="W321" i="9" s="1"/>
  <c r="X321" i="9" s="1"/>
  <c r="R322" i="9" s="1"/>
  <c r="E44" i="11" a="1"/>
  <c r="E8" i="11" a="1"/>
  <c r="E18" i="11" s="1"/>
  <c r="R243" i="12"/>
  <c r="T243" i="12" s="1"/>
  <c r="V242" i="12"/>
  <c r="W242" i="12" s="1"/>
  <c r="AG234" i="12"/>
  <c r="AH234" i="12" s="1"/>
  <c r="AC235" i="12"/>
  <c r="N244" i="12"/>
  <c r="O244" i="12"/>
  <c r="P244" i="12" s="1"/>
  <c r="Q244" i="12" s="1"/>
  <c r="M245" i="12" s="1"/>
  <c r="AD235" i="12"/>
  <c r="AF235" i="12" s="1"/>
  <c r="AB235" i="12"/>
  <c r="X236" i="12" s="1"/>
  <c r="AD325" i="9"/>
  <c r="B402" i="9"/>
  <c r="AK306" i="9"/>
  <c r="AJ306" i="9" s="1"/>
  <c r="AL306" i="9" s="1"/>
  <c r="M287" i="9"/>
  <c r="L287" i="9" s="1"/>
  <c r="N287" i="9" s="1"/>
  <c r="AE235" i="12" l="1"/>
  <c r="V243" i="12"/>
  <c r="W243" i="12" s="1"/>
  <c r="R244" i="12"/>
  <c r="T244" i="12" s="1"/>
  <c r="AE325" i="9"/>
  <c r="AF325" i="9"/>
  <c r="Z326" i="9" s="1"/>
  <c r="V244" i="12"/>
  <c r="W244" i="12" s="1"/>
  <c r="R245" i="12"/>
  <c r="T245" i="12" s="1"/>
  <c r="Y236" i="12"/>
  <c r="Z236" i="12" s="1"/>
  <c r="E402" i="9"/>
  <c r="D402" i="9"/>
  <c r="F402" i="9" s="1"/>
  <c r="H402" i="9" s="1"/>
  <c r="U322" i="9"/>
  <c r="T322" i="9"/>
  <c r="AN306" i="9"/>
  <c r="P287" i="9"/>
  <c r="N245" i="12"/>
  <c r="O245" i="12"/>
  <c r="P245" i="12"/>
  <c r="Q245" i="12" s="1"/>
  <c r="M246" i="12" s="1"/>
  <c r="AG235" i="12" l="1"/>
  <c r="AH235" i="12" s="1"/>
  <c r="AC236" i="12"/>
  <c r="R246" i="12"/>
  <c r="T246" i="12" s="1"/>
  <c r="V245" i="12"/>
  <c r="W245" i="12" s="1"/>
  <c r="AA236" i="12"/>
  <c r="V322" i="9"/>
  <c r="W322" i="9" s="1"/>
  <c r="X322" i="9" s="1"/>
  <c r="R323" i="9" s="1"/>
  <c r="B403" i="9"/>
  <c r="AC326" i="9"/>
  <c r="AB326" i="9"/>
  <c r="AH307" i="9"/>
  <c r="AM307" i="9" s="1"/>
  <c r="J288" i="9"/>
  <c r="O288" i="9" s="1"/>
  <c r="O246" i="12"/>
  <c r="N246" i="12"/>
  <c r="V246" i="12" l="1"/>
  <c r="W246" i="12" s="1"/>
  <c r="R247" i="12"/>
  <c r="T247" i="12" s="1"/>
  <c r="AB236" i="12"/>
  <c r="X237" i="12" s="1"/>
  <c r="AD236" i="12"/>
  <c r="E403" i="9"/>
  <c r="D403" i="9" s="1"/>
  <c r="F403" i="9" s="1"/>
  <c r="H403" i="9" s="1"/>
  <c r="U323" i="9"/>
  <c r="T323" i="9" s="1"/>
  <c r="V323" i="9" s="1"/>
  <c r="AK307" i="9"/>
  <c r="AJ307" i="9" s="1"/>
  <c r="AL307" i="9" s="1"/>
  <c r="M288" i="9"/>
  <c r="L288" i="9" s="1"/>
  <c r="N288" i="9" s="1"/>
  <c r="AD326" i="9"/>
  <c r="P246" i="12"/>
  <c r="Q246" i="12" s="1"/>
  <c r="M247" i="12" s="1"/>
  <c r="R248" i="12" l="1"/>
  <c r="T248" i="12" s="1"/>
  <c r="V247" i="12"/>
  <c r="W247" i="12" s="1"/>
  <c r="Z237" i="12"/>
  <c r="Y237" i="12"/>
  <c r="AF236" i="12"/>
  <c r="AE236" i="12"/>
  <c r="B404" i="9"/>
  <c r="AE326" i="9"/>
  <c r="AF326" i="9"/>
  <c r="W323" i="9"/>
  <c r="X323" i="9"/>
  <c r="AN307" i="9"/>
  <c r="P288" i="9"/>
  <c r="N247" i="12"/>
  <c r="O247" i="12"/>
  <c r="P247" i="12" s="1"/>
  <c r="Q247" i="12" s="1"/>
  <c r="M248" i="12" s="1"/>
  <c r="V248" i="12" l="1"/>
  <c r="W248" i="12" s="1"/>
  <c r="R249" i="12"/>
  <c r="T249" i="12" s="1"/>
  <c r="AC237" i="12"/>
  <c r="AG236" i="12"/>
  <c r="AH236" i="12" s="1"/>
  <c r="AA237" i="12"/>
  <c r="E404" i="9"/>
  <c r="D404" i="9"/>
  <c r="Z327" i="9"/>
  <c r="R324" i="9"/>
  <c r="AH308" i="9"/>
  <c r="AM308" i="9" s="1"/>
  <c r="J289" i="9"/>
  <c r="O289" i="9" s="1"/>
  <c r="N248" i="12"/>
  <c r="O248" i="12"/>
  <c r="F404" i="9" l="1"/>
  <c r="H404" i="9" s="1"/>
  <c r="B405" i="9" s="1"/>
  <c r="R250" i="12"/>
  <c r="T250" i="12" s="1"/>
  <c r="V249" i="12"/>
  <c r="W249" i="12" s="1"/>
  <c r="AD237" i="12"/>
  <c r="AB237" i="12"/>
  <c r="X238" i="12" s="1"/>
  <c r="AC327" i="9"/>
  <c r="AB327" i="9" s="1"/>
  <c r="AD327" i="9" s="1"/>
  <c r="U324" i="9"/>
  <c r="T324" i="9" s="1"/>
  <c r="V324" i="9" s="1"/>
  <c r="AK308" i="9"/>
  <c r="AJ308" i="9"/>
  <c r="AL308" i="9" s="1"/>
  <c r="M289" i="9"/>
  <c r="L289" i="9"/>
  <c r="N289" i="9" s="1"/>
  <c r="P248" i="12"/>
  <c r="Q248" i="12" s="1"/>
  <c r="M249" i="12" s="1"/>
  <c r="V250" i="12" l="1"/>
  <c r="W250" i="12" s="1"/>
  <c r="R251" i="12"/>
  <c r="T251" i="12" s="1"/>
  <c r="AE237" i="12"/>
  <c r="AF237" i="12"/>
  <c r="Z238" i="12"/>
  <c r="Y238" i="12"/>
  <c r="E405" i="9"/>
  <c r="D405" i="9"/>
  <c r="AN308" i="9"/>
  <c r="P289" i="9"/>
  <c r="AE327" i="9"/>
  <c r="AF327" i="9"/>
  <c r="W324" i="9"/>
  <c r="X324" i="9"/>
  <c r="O249" i="12"/>
  <c r="N249" i="12"/>
  <c r="P249" i="12" s="1"/>
  <c r="Q249" i="12" s="1"/>
  <c r="M250" i="12" s="1"/>
  <c r="F405" i="9" l="1"/>
  <c r="H405" i="9" s="1"/>
  <c r="B406" i="9" s="1"/>
  <c r="R252" i="12"/>
  <c r="T252" i="12" s="1"/>
  <c r="V251" i="12"/>
  <c r="W251" i="12" s="1"/>
  <c r="AG237" i="12"/>
  <c r="AH237" i="12" s="1"/>
  <c r="AC238" i="12"/>
  <c r="AA238" i="12"/>
  <c r="AH309" i="9"/>
  <c r="AM309" i="9" s="1"/>
  <c r="J290" i="9"/>
  <c r="O290" i="9" s="1"/>
  <c r="Z328" i="9"/>
  <c r="R325" i="9"/>
  <c r="N250" i="12"/>
  <c r="O250" i="12"/>
  <c r="R253" i="12" l="1"/>
  <c r="T253" i="12" s="1"/>
  <c r="V252" i="12"/>
  <c r="W252" i="12" s="1"/>
  <c r="AD238" i="12"/>
  <c r="AB238" i="12"/>
  <c r="X239" i="12" s="1"/>
  <c r="D406" i="9"/>
  <c r="E406" i="9"/>
  <c r="AK309" i="9"/>
  <c r="AJ309" i="9"/>
  <c r="AL309" i="9" s="1"/>
  <c r="AN309" i="9" s="1"/>
  <c r="M290" i="9"/>
  <c r="L290" i="9" s="1"/>
  <c r="N290" i="9" s="1"/>
  <c r="AC328" i="9"/>
  <c r="AB328" i="9" s="1"/>
  <c r="AD328" i="9" s="1"/>
  <c r="U325" i="9"/>
  <c r="T325" i="9"/>
  <c r="V325" i="9" s="1"/>
  <c r="W325" i="9" s="1"/>
  <c r="P250" i="12"/>
  <c r="Q250" i="12" s="1"/>
  <c r="M251" i="12" s="1"/>
  <c r="V253" i="12" l="1"/>
  <c r="W253" i="12" s="1"/>
  <c r="R254" i="12"/>
  <c r="T254" i="12" s="1"/>
  <c r="AE238" i="12"/>
  <c r="AF238" i="12"/>
  <c r="Y239" i="12"/>
  <c r="Z239" i="12" s="1"/>
  <c r="F406" i="9"/>
  <c r="H406" i="9" s="1"/>
  <c r="B407" i="9" s="1"/>
  <c r="AH310" i="9"/>
  <c r="AM310" i="9" s="1"/>
  <c r="X325" i="9"/>
  <c r="P290" i="9"/>
  <c r="AE328" i="9"/>
  <c r="AF328" i="9" s="1"/>
  <c r="N251" i="12"/>
  <c r="O251" i="12"/>
  <c r="P251" i="12"/>
  <c r="Q251" i="12" s="1"/>
  <c r="M252" i="12" s="1"/>
  <c r="R255" i="12" l="1"/>
  <c r="T255" i="12" s="1"/>
  <c r="V254" i="12"/>
  <c r="W254" i="12" s="1"/>
  <c r="AG238" i="12"/>
  <c r="AH238" i="12" s="1"/>
  <c r="AC239" i="12"/>
  <c r="AA239" i="12"/>
  <c r="E407" i="9"/>
  <c r="D407" i="9"/>
  <c r="F407" i="9" s="1"/>
  <c r="H407" i="9" s="1"/>
  <c r="AK310" i="9"/>
  <c r="AJ310" i="9" s="1"/>
  <c r="AL310" i="9" s="1"/>
  <c r="R326" i="9"/>
  <c r="J291" i="9"/>
  <c r="O291" i="9" s="1"/>
  <c r="Z329" i="9"/>
  <c r="N252" i="12"/>
  <c r="O252" i="12"/>
  <c r="R256" i="12" l="1"/>
  <c r="T256" i="12" s="1"/>
  <c r="V255" i="12"/>
  <c r="W255" i="12" s="1"/>
  <c r="AB239" i="12"/>
  <c r="X240" i="12" s="1"/>
  <c r="AD239" i="12"/>
  <c r="B408" i="9"/>
  <c r="U326" i="9"/>
  <c r="T326" i="9" s="1"/>
  <c r="V326" i="9" s="1"/>
  <c r="M291" i="9"/>
  <c r="L291" i="9"/>
  <c r="N291" i="9" s="1"/>
  <c r="P291" i="9" s="1"/>
  <c r="AC329" i="9"/>
  <c r="AB329" i="9"/>
  <c r="AN310" i="9"/>
  <c r="P252" i="12"/>
  <c r="Q252" i="12" s="1"/>
  <c r="M253" i="12" s="1"/>
  <c r="AD329" i="9" l="1"/>
  <c r="AE329" i="9" s="1"/>
  <c r="AF329" i="9" s="1"/>
  <c r="Z330" i="9" s="1"/>
  <c r="R257" i="12"/>
  <c r="T257" i="12" s="1"/>
  <c r="V256" i="12"/>
  <c r="W256" i="12" s="1"/>
  <c r="Y240" i="12"/>
  <c r="Z240" i="12" s="1"/>
  <c r="AE239" i="12"/>
  <c r="AF239" i="12"/>
  <c r="E408" i="9"/>
  <c r="D408" i="9" s="1"/>
  <c r="F408" i="9" s="1"/>
  <c r="H408" i="9" s="1"/>
  <c r="J292" i="9"/>
  <c r="O292" i="9" s="1"/>
  <c r="AH311" i="9"/>
  <c r="AM311" i="9" s="1"/>
  <c r="W326" i="9"/>
  <c r="X326" i="9"/>
  <c r="N253" i="12"/>
  <c r="O253" i="12"/>
  <c r="P253" i="12" l="1"/>
  <c r="Q253" i="12" s="1"/>
  <c r="M254" i="12" s="1"/>
  <c r="R258" i="12"/>
  <c r="T258" i="12" s="1"/>
  <c r="V257" i="12"/>
  <c r="W257" i="12" s="1"/>
  <c r="AC240" i="12"/>
  <c r="AG239" i="12"/>
  <c r="AH239" i="12" s="1"/>
  <c r="AA240" i="12"/>
  <c r="B409" i="9"/>
  <c r="M292" i="9"/>
  <c r="L292" i="9" s="1"/>
  <c r="N292" i="9" s="1"/>
  <c r="AC330" i="9"/>
  <c r="AB330" i="9"/>
  <c r="AD330" i="9" s="1"/>
  <c r="AE330" i="9"/>
  <c r="AK311" i="9"/>
  <c r="AJ311" i="9"/>
  <c r="R327" i="9"/>
  <c r="AL311" i="9" l="1"/>
  <c r="AN311" i="9" s="1"/>
  <c r="AH312" i="9" s="1"/>
  <c r="AM312" i="9" s="1"/>
  <c r="N254" i="12"/>
  <c r="P254" i="12" s="1"/>
  <c r="Q254" i="12" s="1"/>
  <c r="M255" i="12" s="1"/>
  <c r="O254" i="12"/>
  <c r="R259" i="12"/>
  <c r="T259" i="12" s="1"/>
  <c r="V258" i="12"/>
  <c r="W258" i="12" s="1"/>
  <c r="AD240" i="12"/>
  <c r="AB240" i="12"/>
  <c r="X241" i="12" s="1"/>
  <c r="D409" i="9"/>
  <c r="E409" i="9"/>
  <c r="U327" i="9"/>
  <c r="T327" i="9"/>
  <c r="V327" i="9" s="1"/>
  <c r="W327" i="9" s="1"/>
  <c r="X327" i="9" s="1"/>
  <c r="AF330" i="9"/>
  <c r="P292" i="9"/>
  <c r="F409" i="9" l="1"/>
  <c r="H409" i="9" s="1"/>
  <c r="B410" i="9" s="1"/>
  <c r="N255" i="12"/>
  <c r="P255" i="12" s="1"/>
  <c r="Q255" i="12" s="1"/>
  <c r="M256" i="12" s="1"/>
  <c r="O255" i="12"/>
  <c r="R260" i="12"/>
  <c r="T260" i="12" s="1"/>
  <c r="V259" i="12"/>
  <c r="W259" i="12" s="1"/>
  <c r="AE240" i="12"/>
  <c r="AF240" i="12"/>
  <c r="Y241" i="12"/>
  <c r="Z241" i="12"/>
  <c r="AK312" i="9"/>
  <c r="AJ312" i="9"/>
  <c r="AL312" i="9" s="1"/>
  <c r="AN312" i="9" s="1"/>
  <c r="R328" i="9"/>
  <c r="Z331" i="9"/>
  <c r="J293" i="9"/>
  <c r="O293" i="9" s="1"/>
  <c r="R261" i="12" l="1"/>
  <c r="T261" i="12" s="1"/>
  <c r="V260" i="12"/>
  <c r="W260" i="12" s="1"/>
  <c r="AG240" i="12"/>
  <c r="AH240" i="12" s="1"/>
  <c r="AC241" i="12"/>
  <c r="AA241" i="12"/>
  <c r="E410" i="9"/>
  <c r="D410" i="9" s="1"/>
  <c r="F410" i="9" s="1"/>
  <c r="H410" i="9" s="1"/>
  <c r="AH313" i="9"/>
  <c r="AM313" i="9" s="1"/>
  <c r="U328" i="9"/>
  <c r="T328" i="9" s="1"/>
  <c r="V328" i="9" s="1"/>
  <c r="AC331" i="9"/>
  <c r="AB331" i="9" s="1"/>
  <c r="AD331" i="9" s="1"/>
  <c r="M293" i="9"/>
  <c r="L293" i="9"/>
  <c r="N293" i="9" s="1"/>
  <c r="P293" i="9" s="1"/>
  <c r="N256" i="12"/>
  <c r="O256" i="12"/>
  <c r="R262" i="12" l="1"/>
  <c r="T262" i="12" s="1"/>
  <c r="V261" i="12"/>
  <c r="W261" i="12" s="1"/>
  <c r="AD241" i="12"/>
  <c r="AB241" i="12"/>
  <c r="B411" i="9"/>
  <c r="AK313" i="9"/>
  <c r="AJ313" i="9"/>
  <c r="J294" i="9"/>
  <c r="O294" i="9" s="1"/>
  <c r="W328" i="9"/>
  <c r="X328" i="9" s="1"/>
  <c r="AE331" i="9"/>
  <c r="AF331" i="9"/>
  <c r="P256" i="12"/>
  <c r="Q256" i="12" s="1"/>
  <c r="M257" i="12" s="1"/>
  <c r="V262" i="12" l="1"/>
  <c r="W262" i="12" s="1"/>
  <c r="R263" i="12"/>
  <c r="T263" i="12" s="1"/>
  <c r="AE241" i="12"/>
  <c r="AF241" i="12"/>
  <c r="AF242" i="12" s="1"/>
  <c r="AF243" i="12" s="1"/>
  <c r="AF244" i="12" s="1"/>
  <c r="AF245" i="12" s="1"/>
  <c r="AF246" i="12" s="1"/>
  <c r="AF247" i="12" s="1"/>
  <c r="AF248" i="12" s="1"/>
  <c r="AF249" i="12" s="1"/>
  <c r="AF250" i="12" s="1"/>
  <c r="AF251" i="12" s="1"/>
  <c r="AF252" i="12" s="1"/>
  <c r="AF253" i="12" s="1"/>
  <c r="AF254" i="12" s="1"/>
  <c r="AF255" i="12" s="1"/>
  <c r="AF256" i="12" s="1"/>
  <c r="AF257" i="12" s="1"/>
  <c r="AF258" i="12" s="1"/>
  <c r="AF259" i="12" s="1"/>
  <c r="AF260" i="12" s="1"/>
  <c r="AF261" i="12" s="1"/>
  <c r="AF262" i="12" s="1"/>
  <c r="AF263" i="12" s="1"/>
  <c r="AF264" i="12" s="1"/>
  <c r="AF265" i="12" s="1"/>
  <c r="AF266" i="12" s="1"/>
  <c r="AF267" i="12" s="1"/>
  <c r="AF268" i="12" s="1"/>
  <c r="AF269" i="12" s="1"/>
  <c r="AF270" i="12" s="1"/>
  <c r="AF271" i="12" s="1"/>
  <c r="AF272" i="12" s="1"/>
  <c r="AF273" i="12" s="1"/>
  <c r="AF274" i="12" s="1"/>
  <c r="AF275" i="12" s="1"/>
  <c r="AF276" i="12" s="1"/>
  <c r="AF277" i="12" s="1"/>
  <c r="AF278" i="12" s="1"/>
  <c r="AF279" i="12" s="1"/>
  <c r="AF280" i="12" s="1"/>
  <c r="AF281" i="12" s="1"/>
  <c r="AF282" i="12" s="1"/>
  <c r="AF283" i="12" s="1"/>
  <c r="AF284" i="12" s="1"/>
  <c r="AF285" i="12" s="1"/>
  <c r="AF286" i="12" s="1"/>
  <c r="AF287" i="12" s="1"/>
  <c r="AF288" i="12" s="1"/>
  <c r="AF289" i="12" s="1"/>
  <c r="AF290" i="12" s="1"/>
  <c r="AF291" i="12" s="1"/>
  <c r="AF292" i="12" s="1"/>
  <c r="AF293" i="12" s="1"/>
  <c r="AF294" i="12" s="1"/>
  <c r="AF295" i="12" s="1"/>
  <c r="AF296" i="12" s="1"/>
  <c r="AF297" i="12" s="1"/>
  <c r="AF298" i="12" s="1"/>
  <c r="AF299" i="12" s="1"/>
  <c r="AF300" i="12" s="1"/>
  <c r="AF301" i="12" s="1"/>
  <c r="AF302" i="12" s="1"/>
  <c r="AF303" i="12" s="1"/>
  <c r="AF304" i="12" s="1"/>
  <c r="AF305" i="12" s="1"/>
  <c r="AF306" i="12" s="1"/>
  <c r="AF307" i="12" s="1"/>
  <c r="AF308" i="12" s="1"/>
  <c r="AF309" i="12" s="1"/>
  <c r="AF310" i="12" s="1"/>
  <c r="AF311" i="12" s="1"/>
  <c r="AF312" i="12" s="1"/>
  <c r="AF313" i="12" s="1"/>
  <c r="AF314" i="12" s="1"/>
  <c r="AF315" i="12" s="1"/>
  <c r="AF316" i="12" s="1"/>
  <c r="AF317" i="12" s="1"/>
  <c r="AF318" i="12" s="1"/>
  <c r="AF319" i="12" s="1"/>
  <c r="AF320" i="12" s="1"/>
  <c r="AF321" i="12" s="1"/>
  <c r="AF322" i="12" s="1"/>
  <c r="AF323" i="12" s="1"/>
  <c r="AF324" i="12" s="1"/>
  <c r="AF325" i="12" s="1"/>
  <c r="AF326" i="12" s="1"/>
  <c r="AF327" i="12" s="1"/>
  <c r="AF328" i="12" s="1"/>
  <c r="AF329" i="12" s="1"/>
  <c r="AF330" i="12" s="1"/>
  <c r="AF331" i="12" s="1"/>
  <c r="AF332" i="12" s="1"/>
  <c r="AF333" i="12" s="1"/>
  <c r="AF334" i="12" s="1"/>
  <c r="AF335" i="12" s="1"/>
  <c r="AF336" i="12" s="1"/>
  <c r="AF337" i="12" s="1"/>
  <c r="AF338" i="12" s="1"/>
  <c r="AF339" i="12" s="1"/>
  <c r="AF340" i="12" s="1"/>
  <c r="AF341" i="12" s="1"/>
  <c r="AF342" i="12" s="1"/>
  <c r="AF343" i="12" s="1"/>
  <c r="AF344" i="12" s="1"/>
  <c r="AF345" i="12" s="1"/>
  <c r="AF346" i="12" s="1"/>
  <c r="AF347" i="12" s="1"/>
  <c r="AF348" i="12" s="1"/>
  <c r="AF349" i="12" s="1"/>
  <c r="AF350" i="12" s="1"/>
  <c r="AF351" i="12" s="1"/>
  <c r="AF352" i="12" s="1"/>
  <c r="AF353" i="12" s="1"/>
  <c r="AF354" i="12" s="1"/>
  <c r="AF355" i="12" s="1"/>
  <c r="AF356" i="12" s="1"/>
  <c r="AF357" i="12" s="1"/>
  <c r="AF358" i="12" s="1"/>
  <c r="AF359" i="12" s="1"/>
  <c r="AF360" i="12" s="1"/>
  <c r="AF361" i="12" s="1"/>
  <c r="X242" i="12"/>
  <c r="F44" i="11" a="1"/>
  <c r="AL313" i="9"/>
  <c r="AN313" i="9" s="1"/>
  <c r="AH314" i="9" s="1"/>
  <c r="AM314" i="9" s="1"/>
  <c r="D411" i="9"/>
  <c r="E411" i="9"/>
  <c r="M294" i="9"/>
  <c r="L294" i="9"/>
  <c r="N294" i="9" s="1"/>
  <c r="P294" i="9" s="1"/>
  <c r="R329" i="9"/>
  <c r="Z332" i="9"/>
  <c r="N257" i="12"/>
  <c r="O257" i="12"/>
  <c r="P257" i="12" l="1"/>
  <c r="Q257" i="12" s="1"/>
  <c r="M258" i="12" s="1"/>
  <c r="R264" i="12"/>
  <c r="T264" i="12" s="1"/>
  <c r="V263" i="12"/>
  <c r="W263" i="12" s="1"/>
  <c r="AC242" i="12"/>
  <c r="AE242" i="12" s="1"/>
  <c r="AG241" i="12"/>
  <c r="AH241" i="12" s="1"/>
  <c r="Z242" i="12"/>
  <c r="Y242" i="12"/>
  <c r="AA242" i="12" s="1"/>
  <c r="AB242" i="12" s="1"/>
  <c r="X243" i="12" s="1"/>
  <c r="F411" i="9"/>
  <c r="H411" i="9" s="1"/>
  <c r="B412" i="9" s="1"/>
  <c r="AK314" i="9"/>
  <c r="AJ314" i="9" s="1"/>
  <c r="AL314" i="9" s="1"/>
  <c r="J295" i="9"/>
  <c r="O295" i="9" s="1"/>
  <c r="U329" i="9"/>
  <c r="T329" i="9"/>
  <c r="AC332" i="9"/>
  <c r="AB332" i="9"/>
  <c r="AD332" i="9" s="1"/>
  <c r="AE332" i="9"/>
  <c r="N258" i="12" l="1"/>
  <c r="P258" i="12" s="1"/>
  <c r="Q258" i="12" s="1"/>
  <c r="M259" i="12" s="1"/>
  <c r="O258" i="12"/>
  <c r="V264" i="12"/>
  <c r="W264" i="12" s="1"/>
  <c r="R265" i="12"/>
  <c r="T265" i="12" s="1"/>
  <c r="AC243" i="12"/>
  <c r="AE243" i="12" s="1"/>
  <c r="AG242" i="12"/>
  <c r="AH242" i="12" s="1"/>
  <c r="G44" i="11" a="1"/>
  <c r="H44" i="11" s="1"/>
  <c r="E9" i="11" a="1"/>
  <c r="Z243" i="12"/>
  <c r="Y243" i="12"/>
  <c r="E412" i="9"/>
  <c r="D412" i="9"/>
  <c r="F412" i="9" s="1"/>
  <c r="H412" i="9" s="1"/>
  <c r="M295" i="9"/>
  <c r="L295" i="9"/>
  <c r="N295" i="9" s="1"/>
  <c r="P295" i="9" s="1"/>
  <c r="V329" i="9"/>
  <c r="AF332" i="9"/>
  <c r="AN314" i="9"/>
  <c r="AA243" i="12" l="1"/>
  <c r="AB243" i="12" s="1"/>
  <c r="X244" i="12" s="1"/>
  <c r="Z244" i="12" s="1"/>
  <c r="AA244" i="12" s="1"/>
  <c r="AB244" i="12" s="1"/>
  <c r="X245" i="12" s="1"/>
  <c r="V265" i="12"/>
  <c r="W265" i="12" s="1"/>
  <c r="R266" i="12"/>
  <c r="T266" i="12" s="1"/>
  <c r="AC244" i="12"/>
  <c r="AE244" i="12" s="1"/>
  <c r="AG243" i="12"/>
  <c r="AH243" i="12" s="1"/>
  <c r="E13" i="11"/>
  <c r="E15" i="11" s="1"/>
  <c r="E19" i="11"/>
  <c r="Y244" i="12"/>
  <c r="B413" i="9"/>
  <c r="J296" i="9"/>
  <c r="O296" i="9" s="1"/>
  <c r="W329" i="9"/>
  <c r="X329" i="9"/>
  <c r="Z333" i="9"/>
  <c r="AH315" i="9"/>
  <c r="AM315" i="9" s="1"/>
  <c r="N259" i="12"/>
  <c r="O259" i="12"/>
  <c r="R267" i="12" l="1"/>
  <c r="T267" i="12" s="1"/>
  <c r="V266" i="12"/>
  <c r="W266" i="12" s="1"/>
  <c r="AC245" i="12"/>
  <c r="AE245" i="12" s="1"/>
  <c r="AG244" i="12"/>
  <c r="AH244" i="12" s="1"/>
  <c r="Y245" i="12"/>
  <c r="Z245" i="12"/>
  <c r="E413" i="9"/>
  <c r="D413" i="9" s="1"/>
  <c r="F413" i="9" s="1"/>
  <c r="H413" i="9" s="1"/>
  <c r="L296" i="9"/>
  <c r="M296" i="9"/>
  <c r="R330" i="9"/>
  <c r="AC333" i="9"/>
  <c r="AB333" i="9"/>
  <c r="AD333" i="9" s="1"/>
  <c r="AE333" i="9" s="1"/>
  <c r="AF333" i="9" s="1"/>
  <c r="AK315" i="9"/>
  <c r="AJ315" i="9"/>
  <c r="AL315" i="9" s="1"/>
  <c r="AN315" i="9" s="1"/>
  <c r="P259" i="12"/>
  <c r="Q259" i="12" s="1"/>
  <c r="M260" i="12" s="1"/>
  <c r="R268" i="12" l="1"/>
  <c r="T268" i="12" s="1"/>
  <c r="V267" i="12"/>
  <c r="W267" i="12" s="1"/>
  <c r="AC246" i="12"/>
  <c r="AE246" i="12" s="1"/>
  <c r="AG245" i="12"/>
  <c r="AH245" i="12" s="1"/>
  <c r="AA245" i="12"/>
  <c r="AB245" i="12" s="1"/>
  <c r="X246" i="12" s="1"/>
  <c r="N296" i="9"/>
  <c r="B414" i="9"/>
  <c r="U330" i="9"/>
  <c r="T330" i="9" s="1"/>
  <c r="V330" i="9" s="1"/>
  <c r="Z334" i="9"/>
  <c r="AH316" i="9"/>
  <c r="AM316" i="9" s="1"/>
  <c r="N260" i="12"/>
  <c r="O260" i="12"/>
  <c r="P260" i="12" s="1"/>
  <c r="Q260" i="12" s="1"/>
  <c r="M261" i="12" s="1"/>
  <c r="P296" i="9" l="1"/>
  <c r="J297" i="9" s="1"/>
  <c r="O297" i="9" s="1"/>
  <c r="R269" i="12"/>
  <c r="T269" i="12" s="1"/>
  <c r="V268" i="12"/>
  <c r="W268" i="12" s="1"/>
  <c r="AC247" i="12"/>
  <c r="AE247" i="12" s="1"/>
  <c r="AG246" i="12"/>
  <c r="AH246" i="12" s="1"/>
  <c r="Z246" i="12"/>
  <c r="Y246" i="12"/>
  <c r="AA246" i="12" s="1"/>
  <c r="AB246" i="12" s="1"/>
  <c r="X247" i="12" s="1"/>
  <c r="E414" i="9"/>
  <c r="D414" i="9" s="1"/>
  <c r="F414" i="9" s="1"/>
  <c r="H414" i="9" s="1"/>
  <c r="AC334" i="9"/>
  <c r="AB334" i="9"/>
  <c r="AD334" i="9" s="1"/>
  <c r="AE334" i="9" s="1"/>
  <c r="AF334" i="9" s="1"/>
  <c r="AK316" i="9"/>
  <c r="AJ316" i="9"/>
  <c r="W330" i="9"/>
  <c r="X330" i="9" s="1"/>
  <c r="N261" i="12"/>
  <c r="O261" i="12"/>
  <c r="R270" i="12" l="1"/>
  <c r="T270" i="12" s="1"/>
  <c r="V269" i="12"/>
  <c r="W269" i="12" s="1"/>
  <c r="AC248" i="12"/>
  <c r="AE248" i="12" s="1"/>
  <c r="AG247" i="12"/>
  <c r="AH247" i="12" s="1"/>
  <c r="Y247" i="12"/>
  <c r="Z247" i="12"/>
  <c r="AL316" i="9"/>
  <c r="AN316" i="9" s="1"/>
  <c r="B415" i="9"/>
  <c r="Z335" i="9"/>
  <c r="M297" i="9"/>
  <c r="L297" i="9" s="1"/>
  <c r="N297" i="9" s="1"/>
  <c r="R331" i="9"/>
  <c r="P261" i="12"/>
  <c r="Q261" i="12" s="1"/>
  <c r="M262" i="12" s="1"/>
  <c r="AA247" i="12" l="1"/>
  <c r="AB247" i="12" s="1"/>
  <c r="X248" i="12" s="1"/>
  <c r="V270" i="12"/>
  <c r="W270" i="12" s="1"/>
  <c r="R271" i="12"/>
  <c r="T271" i="12" s="1"/>
  <c r="AG248" i="12"/>
  <c r="AH248" i="12" s="1"/>
  <c r="AC249" i="12"/>
  <c r="AE249" i="12" s="1"/>
  <c r="E415" i="9"/>
  <c r="D415" i="9"/>
  <c r="F415" i="9" s="1"/>
  <c r="H415" i="9" s="1"/>
  <c r="AC335" i="9"/>
  <c r="AB335" i="9"/>
  <c r="AD335" i="9" s="1"/>
  <c r="AE335" i="9"/>
  <c r="U331" i="9"/>
  <c r="T331" i="9"/>
  <c r="V331" i="9" s="1"/>
  <c r="W331" i="9" s="1"/>
  <c r="AH317" i="9"/>
  <c r="AM317" i="9" s="1"/>
  <c r="P297" i="9"/>
  <c r="N262" i="12"/>
  <c r="O262" i="12"/>
  <c r="Z248" i="12" l="1"/>
  <c r="Y248" i="12"/>
  <c r="AA248" i="12" s="1"/>
  <c r="AB248" i="12" s="1"/>
  <c r="X249" i="12" s="1"/>
  <c r="R272" i="12"/>
  <c r="T272" i="12" s="1"/>
  <c r="V271" i="12"/>
  <c r="W271" i="12" s="1"/>
  <c r="AC250" i="12"/>
  <c r="AE250" i="12" s="1"/>
  <c r="AG249" i="12"/>
  <c r="AH249" i="12" s="1"/>
  <c r="B416" i="9"/>
  <c r="AK317" i="9"/>
  <c r="AJ317" i="9"/>
  <c r="AL317" i="9" s="1"/>
  <c r="AN317" i="9" s="1"/>
  <c r="J298" i="9"/>
  <c r="O298" i="9" s="1"/>
  <c r="AF335" i="9"/>
  <c r="X331" i="9"/>
  <c r="P262" i="12"/>
  <c r="Q262" i="12" s="1"/>
  <c r="M263" i="12" s="1"/>
  <c r="Z249" i="12" l="1"/>
  <c r="Y249" i="12"/>
  <c r="R273" i="12"/>
  <c r="T273" i="12" s="1"/>
  <c r="V272" i="12"/>
  <c r="W272" i="12" s="1"/>
  <c r="AC251" i="12"/>
  <c r="AE251" i="12" s="1"/>
  <c r="AG250" i="12"/>
  <c r="AH250" i="12" s="1"/>
  <c r="E416" i="9"/>
  <c r="D416" i="9"/>
  <c r="AH318" i="9"/>
  <c r="AM318" i="9" s="1"/>
  <c r="M298" i="9"/>
  <c r="L298" i="9"/>
  <c r="N298" i="9" s="1"/>
  <c r="Z336" i="9"/>
  <c r="R332" i="9"/>
  <c r="N263" i="12"/>
  <c r="O263" i="12"/>
  <c r="P263" i="12"/>
  <c r="Q263" i="12" s="1"/>
  <c r="M264" i="12" s="1"/>
  <c r="F416" i="9" l="1"/>
  <c r="H416" i="9" s="1"/>
  <c r="AA249" i="12"/>
  <c r="AB249" i="12" s="1"/>
  <c r="X250" i="12" s="1"/>
  <c r="R274" i="12"/>
  <c r="T274" i="12" s="1"/>
  <c r="V273" i="12"/>
  <c r="W273" i="12" s="1"/>
  <c r="AC252" i="12"/>
  <c r="AE252" i="12" s="1"/>
  <c r="AG251" i="12"/>
  <c r="AH251" i="12" s="1"/>
  <c r="B417" i="9"/>
  <c r="AK318" i="9"/>
  <c r="AJ318" i="9"/>
  <c r="AC336" i="9"/>
  <c r="AB336" i="9"/>
  <c r="AD336" i="9" s="1"/>
  <c r="AE336" i="9"/>
  <c r="U332" i="9"/>
  <c r="T332" i="9"/>
  <c r="V332" i="9" s="1"/>
  <c r="W332" i="9" s="1"/>
  <c r="X332" i="9" s="1"/>
  <c r="P298" i="9"/>
  <c r="N264" i="12"/>
  <c r="O264" i="12"/>
  <c r="Y250" i="12" l="1"/>
  <c r="Z250" i="12"/>
  <c r="AA250" i="12" s="1"/>
  <c r="AB250" i="12" s="1"/>
  <c r="X251" i="12" s="1"/>
  <c r="AL318" i="9"/>
  <c r="AN318" i="9" s="1"/>
  <c r="R275" i="12"/>
  <c r="T275" i="12" s="1"/>
  <c r="V274" i="12"/>
  <c r="W274" i="12" s="1"/>
  <c r="AC253" i="12"/>
  <c r="AE253" i="12" s="1"/>
  <c r="AG252" i="12"/>
  <c r="AH252" i="12" s="1"/>
  <c r="P264" i="12"/>
  <c r="Q264" i="12" s="1"/>
  <c r="M265" i="12" s="1"/>
  <c r="E417" i="9"/>
  <c r="D417" i="9"/>
  <c r="R333" i="9"/>
  <c r="J299" i="9"/>
  <c r="O299" i="9" s="1"/>
  <c r="AF336" i="9"/>
  <c r="F417" i="9" l="1"/>
  <c r="H417" i="9" s="1"/>
  <c r="Z251" i="12"/>
  <c r="Y251" i="12"/>
  <c r="AA251" i="12" s="1"/>
  <c r="AB251" i="12" s="1"/>
  <c r="X252" i="12" s="1"/>
  <c r="V275" i="12"/>
  <c r="W275" i="12" s="1"/>
  <c r="R276" i="12"/>
  <c r="T276" i="12" s="1"/>
  <c r="AC254" i="12"/>
  <c r="AE254" i="12" s="1"/>
  <c r="AG253" i="12"/>
  <c r="AH253" i="12" s="1"/>
  <c r="N265" i="12"/>
  <c r="O265" i="12"/>
  <c r="B418" i="9"/>
  <c r="U333" i="9"/>
  <c r="T333" i="9" s="1"/>
  <c r="V333" i="9" s="1"/>
  <c r="M299" i="9"/>
  <c r="L299" i="9"/>
  <c r="AH319" i="9"/>
  <c r="AM319" i="9" s="1"/>
  <c r="Z337" i="9"/>
  <c r="N299" i="9" l="1"/>
  <c r="P299" i="9" s="1"/>
  <c r="Y252" i="12"/>
  <c r="Z252" i="12"/>
  <c r="AA252" i="12"/>
  <c r="AB252" i="12" s="1"/>
  <c r="X253" i="12" s="1"/>
  <c r="P265" i="12"/>
  <c r="Q265" i="12" s="1"/>
  <c r="M266" i="12" s="1"/>
  <c r="R277" i="12"/>
  <c r="T277" i="12" s="1"/>
  <c r="V276" i="12"/>
  <c r="W276" i="12" s="1"/>
  <c r="AC255" i="12"/>
  <c r="AE255" i="12" s="1"/>
  <c r="AG254" i="12"/>
  <c r="AH254" i="12" s="1"/>
  <c r="O266" i="12"/>
  <c r="N266" i="12"/>
  <c r="P266" i="12" s="1"/>
  <c r="Q266" i="12" s="1"/>
  <c r="M267" i="12" s="1"/>
  <c r="E418" i="9"/>
  <c r="D418" i="9"/>
  <c r="F418" i="9" s="1"/>
  <c r="H418" i="9" s="1"/>
  <c r="AK319" i="9"/>
  <c r="AJ319" i="9" s="1"/>
  <c r="AL319" i="9" s="1"/>
  <c r="AC337" i="9"/>
  <c r="AB337" i="9"/>
  <c r="AD337" i="9" s="1"/>
  <c r="AE337" i="9" s="1"/>
  <c r="AF337" i="9" s="1"/>
  <c r="W333" i="9"/>
  <c r="X333" i="9"/>
  <c r="Y253" i="12" l="1"/>
  <c r="Z253" i="12"/>
  <c r="R278" i="12"/>
  <c r="T278" i="12" s="1"/>
  <c r="V277" i="12"/>
  <c r="W277" i="12" s="1"/>
  <c r="AC256" i="12"/>
  <c r="AE256" i="12" s="1"/>
  <c r="AG255" i="12"/>
  <c r="AH255" i="12" s="1"/>
  <c r="O267" i="12"/>
  <c r="N267" i="12"/>
  <c r="P267" i="12" s="1"/>
  <c r="Q267" i="12" s="1"/>
  <c r="M268" i="12" s="1"/>
  <c r="B419" i="9"/>
  <c r="Z338" i="9"/>
  <c r="J300" i="9"/>
  <c r="O300" i="9" s="1"/>
  <c r="R334" i="9"/>
  <c r="AN319" i="9"/>
  <c r="AA253" i="12" l="1"/>
  <c r="AB253" i="12" s="1"/>
  <c r="X254" i="12" s="1"/>
  <c r="R279" i="12"/>
  <c r="T279" i="12" s="1"/>
  <c r="V278" i="12"/>
  <c r="W278" i="12" s="1"/>
  <c r="AC257" i="12"/>
  <c r="AE257" i="12" s="1"/>
  <c r="AG256" i="12"/>
  <c r="AH256" i="12" s="1"/>
  <c r="N268" i="12"/>
  <c r="O268" i="12"/>
  <c r="E419" i="9"/>
  <c r="D419" i="9"/>
  <c r="F419" i="9" s="1"/>
  <c r="H419" i="9" s="1"/>
  <c r="AC338" i="9"/>
  <c r="AB338" i="9"/>
  <c r="L300" i="9"/>
  <c r="M300" i="9"/>
  <c r="T334" i="9"/>
  <c r="V334" i="9" s="1"/>
  <c r="W334" i="9" s="1"/>
  <c r="X334" i="9" s="1"/>
  <c r="U334" i="9"/>
  <c r="AH320" i="9"/>
  <c r="AM320" i="9" s="1"/>
  <c r="Z254" i="12" l="1"/>
  <c r="Y254" i="12"/>
  <c r="AA254" i="12" s="1"/>
  <c r="AB254" i="12" s="1"/>
  <c r="X255" i="12" s="1"/>
  <c r="P268" i="12"/>
  <c r="Q268" i="12" s="1"/>
  <c r="M269" i="12" s="1"/>
  <c r="V279" i="12"/>
  <c r="W279" i="12" s="1"/>
  <c r="R280" i="12"/>
  <c r="T280" i="12" s="1"/>
  <c r="AC258" i="12"/>
  <c r="AE258" i="12" s="1"/>
  <c r="AG257" i="12"/>
  <c r="AH257" i="12" s="1"/>
  <c r="N300" i="9"/>
  <c r="B420" i="9"/>
  <c r="R335" i="9"/>
  <c r="AK320" i="9"/>
  <c r="AJ320" i="9"/>
  <c r="AD338" i="9"/>
  <c r="AL320" i="9" l="1"/>
  <c r="AN320" i="9" s="1"/>
  <c r="AH321" i="9" s="1"/>
  <c r="AM321" i="9" s="1"/>
  <c r="Y255" i="12"/>
  <c r="AA255" i="12" s="1"/>
  <c r="AB255" i="12" s="1"/>
  <c r="X256" i="12" s="1"/>
  <c r="Z255" i="12"/>
  <c r="O269" i="12"/>
  <c r="N269" i="12"/>
  <c r="V280" i="12"/>
  <c r="W280" i="12" s="1"/>
  <c r="R281" i="12"/>
  <c r="T281" i="12" s="1"/>
  <c r="AC259" i="12"/>
  <c r="AE259" i="12" s="1"/>
  <c r="AG258" i="12"/>
  <c r="AH258" i="12" s="1"/>
  <c r="P269" i="12"/>
  <c r="Q269" i="12" s="1"/>
  <c r="M270" i="12" s="1"/>
  <c r="P300" i="9"/>
  <c r="J301" i="9" s="1"/>
  <c r="O301" i="9" s="1"/>
  <c r="D420" i="9"/>
  <c r="E420" i="9"/>
  <c r="U335" i="9"/>
  <c r="T335" i="9" s="1"/>
  <c r="V335" i="9" s="1"/>
  <c r="AE338" i="9"/>
  <c r="AF338" i="9" s="1"/>
  <c r="F420" i="9" l="1"/>
  <c r="H420" i="9" s="1"/>
  <c r="B421" i="9" s="1"/>
  <c r="Y256" i="12"/>
  <c r="AA256" i="12" s="1"/>
  <c r="AB256" i="12" s="1"/>
  <c r="X257" i="12" s="1"/>
  <c r="Z256" i="12"/>
  <c r="N270" i="12"/>
  <c r="P270" i="12" s="1"/>
  <c r="Q270" i="12" s="1"/>
  <c r="M271" i="12" s="1"/>
  <c r="O270" i="12"/>
  <c r="R282" i="12"/>
  <c r="T282" i="12" s="1"/>
  <c r="V281" i="12"/>
  <c r="W281" i="12" s="1"/>
  <c r="AC260" i="12"/>
  <c r="AE260" i="12" s="1"/>
  <c r="AG259" i="12"/>
  <c r="AH259" i="12" s="1"/>
  <c r="AK321" i="9"/>
  <c r="AJ321" i="9" s="1"/>
  <c r="AL321" i="9" s="1"/>
  <c r="Z339" i="9"/>
  <c r="M301" i="9"/>
  <c r="L301" i="9" s="1"/>
  <c r="N301" i="9" s="1"/>
  <c r="W335" i="9"/>
  <c r="X335" i="9"/>
  <c r="E10" i="11"/>
  <c r="Z257" i="12" l="1"/>
  <c r="Y257" i="12"/>
  <c r="AA257" i="12" s="1"/>
  <c r="AB257" i="12" s="1"/>
  <c r="X258" i="12" s="1"/>
  <c r="R283" i="12"/>
  <c r="T283" i="12" s="1"/>
  <c r="V282" i="12"/>
  <c r="W282" i="12" s="1"/>
  <c r="AC261" i="12"/>
  <c r="AE261" i="12" s="1"/>
  <c r="AG260" i="12"/>
  <c r="AH260" i="12" s="1"/>
  <c r="D421" i="9"/>
  <c r="E421" i="9"/>
  <c r="AC339" i="9"/>
  <c r="AB339" i="9"/>
  <c r="AD339" i="9" s="1"/>
  <c r="AE339" i="9"/>
  <c r="R336" i="9"/>
  <c r="AN321" i="9"/>
  <c r="P301" i="9"/>
  <c r="O271" i="12"/>
  <c r="N271" i="12"/>
  <c r="P271" i="12" s="1"/>
  <c r="Q271" i="12" s="1"/>
  <c r="M272" i="12" s="1"/>
  <c r="Z258" i="12" l="1"/>
  <c r="Y258" i="12"/>
  <c r="AA258" i="12" s="1"/>
  <c r="AB258" i="12" s="1"/>
  <c r="X259" i="12" s="1"/>
  <c r="V283" i="12"/>
  <c r="W283" i="12" s="1"/>
  <c r="R284" i="12"/>
  <c r="T284" i="12" s="1"/>
  <c r="AG261" i="12"/>
  <c r="AH261" i="12" s="1"/>
  <c r="AC262" i="12"/>
  <c r="AE262" i="12" s="1"/>
  <c r="F421" i="9"/>
  <c r="H421" i="9" s="1"/>
  <c r="B422" i="9" s="1"/>
  <c r="U336" i="9"/>
  <c r="T336" i="9"/>
  <c r="V336" i="9" s="1"/>
  <c r="W336" i="9"/>
  <c r="AH322" i="9"/>
  <c r="AM322" i="9" s="1"/>
  <c r="J302" i="9"/>
  <c r="O302" i="9" s="1"/>
  <c r="AF339" i="9"/>
  <c r="O272" i="12"/>
  <c r="N272" i="12"/>
  <c r="Y259" i="12" l="1"/>
  <c r="AA259" i="12" s="1"/>
  <c r="AB259" i="12" s="1"/>
  <c r="X260" i="12" s="1"/>
  <c r="Z259" i="12"/>
  <c r="R285" i="12"/>
  <c r="T285" i="12" s="1"/>
  <c r="V284" i="12"/>
  <c r="W284" i="12" s="1"/>
  <c r="AG262" i="12"/>
  <c r="AH262" i="12" s="1"/>
  <c r="AC263" i="12"/>
  <c r="AE263" i="12" s="1"/>
  <c r="E422" i="9"/>
  <c r="D422" i="9" s="1"/>
  <c r="F422" i="9" s="1"/>
  <c r="H422" i="9" s="1"/>
  <c r="AK322" i="9"/>
  <c r="AJ322" i="9"/>
  <c r="AL322" i="9" s="1"/>
  <c r="AN322" i="9" s="1"/>
  <c r="L302" i="9"/>
  <c r="M302" i="9"/>
  <c r="Z340" i="9"/>
  <c r="X336" i="9"/>
  <c r="P272" i="12"/>
  <c r="Q272" i="12" s="1"/>
  <c r="M273" i="12" s="1"/>
  <c r="Y260" i="12" l="1"/>
  <c r="Z260" i="12"/>
  <c r="R286" i="12"/>
  <c r="T286" i="12" s="1"/>
  <c r="V285" i="12"/>
  <c r="W285" i="12" s="1"/>
  <c r="AG263" i="12"/>
  <c r="AH263" i="12" s="1"/>
  <c r="AC264" i="12"/>
  <c r="AE264" i="12" s="1"/>
  <c r="B423" i="9"/>
  <c r="AH323" i="9"/>
  <c r="AM323" i="9" s="1"/>
  <c r="AC340" i="9"/>
  <c r="AB340" i="9" s="1"/>
  <c r="AD340" i="9" s="1"/>
  <c r="R337" i="9"/>
  <c r="N302" i="9"/>
  <c r="N273" i="12"/>
  <c r="O273" i="12"/>
  <c r="AA260" i="12" l="1"/>
  <c r="AB260" i="12" s="1"/>
  <c r="X261" i="12" s="1"/>
  <c r="R287" i="12"/>
  <c r="T287" i="12" s="1"/>
  <c r="V286" i="12"/>
  <c r="W286" i="12" s="1"/>
  <c r="AG264" i="12"/>
  <c r="AH264" i="12" s="1"/>
  <c r="AC265" i="12"/>
  <c r="AE265" i="12" s="1"/>
  <c r="P273" i="12"/>
  <c r="Q273" i="12" s="1"/>
  <c r="M274" i="12" s="1"/>
  <c r="E423" i="9"/>
  <c r="D423" i="9"/>
  <c r="F423" i="9" s="1"/>
  <c r="H423" i="9" s="1"/>
  <c r="AK323" i="9"/>
  <c r="AJ323" i="9" s="1"/>
  <c r="AL323" i="9" s="1"/>
  <c r="U337" i="9"/>
  <c r="T337" i="9" s="1"/>
  <c r="V337" i="9" s="1"/>
  <c r="P302" i="9"/>
  <c r="AE340" i="9"/>
  <c r="AF340" i="9" s="1"/>
  <c r="Z261" i="12" l="1"/>
  <c r="Y261" i="12"/>
  <c r="AA261" i="12" s="1"/>
  <c r="AB261" i="12" s="1"/>
  <c r="X262" i="12" s="1"/>
  <c r="R288" i="12"/>
  <c r="T288" i="12" s="1"/>
  <c r="V287" i="12"/>
  <c r="W287" i="12" s="1"/>
  <c r="AG265" i="12"/>
  <c r="AH265" i="12" s="1"/>
  <c r="AC266" i="12"/>
  <c r="AE266" i="12" s="1"/>
  <c r="O274" i="12"/>
  <c r="N274" i="12"/>
  <c r="P274" i="12" s="1"/>
  <c r="Q274" i="12" s="1"/>
  <c r="M275" i="12" s="1"/>
  <c r="B424" i="9"/>
  <c r="J303" i="9"/>
  <c r="O303" i="9" s="1"/>
  <c r="Z341" i="9"/>
  <c r="AN323" i="9"/>
  <c r="W337" i="9"/>
  <c r="X337" i="9"/>
  <c r="Z262" i="12" l="1"/>
  <c r="Y262" i="12"/>
  <c r="AA262" i="12" s="1"/>
  <c r="AB262" i="12" s="1"/>
  <c r="X263" i="12" s="1"/>
  <c r="V288" i="12"/>
  <c r="W288" i="12" s="1"/>
  <c r="R289" i="12"/>
  <c r="T289" i="12" s="1"/>
  <c r="AC267" i="12"/>
  <c r="AE267" i="12" s="1"/>
  <c r="AG266" i="12"/>
  <c r="AH266" i="12" s="1"/>
  <c r="O275" i="12"/>
  <c r="N275" i="12"/>
  <c r="P275" i="12" s="1"/>
  <c r="Q275" i="12" s="1"/>
  <c r="M276" i="12" s="1"/>
  <c r="D424" i="9"/>
  <c r="E424" i="9"/>
  <c r="M303" i="9"/>
  <c r="L303" i="9"/>
  <c r="N303" i="9" s="1"/>
  <c r="P303" i="9" s="1"/>
  <c r="AC341" i="9"/>
  <c r="AB341" i="9"/>
  <c r="AD341" i="9" s="1"/>
  <c r="AE341" i="9" s="1"/>
  <c r="AF341" i="9" s="1"/>
  <c r="AH324" i="9"/>
  <c r="AM324" i="9" s="1"/>
  <c r="R338" i="9"/>
  <c r="Z263" i="12" l="1"/>
  <c r="Y263" i="12"/>
  <c r="AA263" i="12" s="1"/>
  <c r="AB263" i="12" s="1"/>
  <c r="X264" i="12" s="1"/>
  <c r="F424" i="9"/>
  <c r="H424" i="9" s="1"/>
  <c r="B425" i="9" s="1"/>
  <c r="R290" i="12"/>
  <c r="T290" i="12" s="1"/>
  <c r="V289" i="12"/>
  <c r="W289" i="12" s="1"/>
  <c r="AC268" i="12"/>
  <c r="AE268" i="12" s="1"/>
  <c r="AG267" i="12"/>
  <c r="AH267" i="12" s="1"/>
  <c r="N276" i="12"/>
  <c r="O276" i="12"/>
  <c r="J304" i="9"/>
  <c r="O304" i="9" s="1"/>
  <c r="Z342" i="9"/>
  <c r="AJ324" i="9"/>
  <c r="AK324" i="9"/>
  <c r="U338" i="9"/>
  <c r="T338" i="9"/>
  <c r="V338" i="9" s="1"/>
  <c r="W338" i="9" s="1"/>
  <c r="X338" i="9" s="1"/>
  <c r="Z264" i="12" l="1"/>
  <c r="Y264" i="12"/>
  <c r="AA264" i="12" s="1"/>
  <c r="AB264" i="12" s="1"/>
  <c r="X265" i="12" s="1"/>
  <c r="R291" i="12"/>
  <c r="T291" i="12" s="1"/>
  <c r="V290" i="12"/>
  <c r="W290" i="12" s="1"/>
  <c r="AC269" i="12"/>
  <c r="AE269" i="12" s="1"/>
  <c r="AG268" i="12"/>
  <c r="AH268" i="12" s="1"/>
  <c r="P276" i="12"/>
  <c r="Q276" i="12" s="1"/>
  <c r="M277" i="12" s="1"/>
  <c r="AL324" i="9"/>
  <c r="AN324" i="9" s="1"/>
  <c r="D425" i="9"/>
  <c r="E425" i="9"/>
  <c r="M304" i="9"/>
  <c r="L304" i="9"/>
  <c r="AC342" i="9"/>
  <c r="AB342" i="9"/>
  <c r="AH325" i="9"/>
  <c r="AM325" i="9" s="1"/>
  <c r="R339" i="9"/>
  <c r="AD342" i="9" l="1"/>
  <c r="AE342" i="9" s="1"/>
  <c r="AF342" i="9" s="1"/>
  <c r="Z265" i="12"/>
  <c r="Y265" i="12"/>
  <c r="AA265" i="12" s="1"/>
  <c r="AB265" i="12" s="1"/>
  <c r="X266" i="12" s="1"/>
  <c r="R292" i="12"/>
  <c r="T292" i="12" s="1"/>
  <c r="V291" i="12"/>
  <c r="W291" i="12" s="1"/>
  <c r="AC270" i="12"/>
  <c r="AE270" i="12" s="1"/>
  <c r="AG269" i="12"/>
  <c r="AH269" i="12" s="1"/>
  <c r="Z266" i="12"/>
  <c r="Y266" i="12"/>
  <c r="N277" i="12"/>
  <c r="O277" i="12"/>
  <c r="F425" i="9"/>
  <c r="H425" i="9" s="1"/>
  <c r="B426" i="9" s="1"/>
  <c r="N304" i="9"/>
  <c r="P304" i="9" s="1"/>
  <c r="Z343" i="9"/>
  <c r="AK325" i="9"/>
  <c r="AJ325" i="9" s="1"/>
  <c r="AL325" i="9" s="1"/>
  <c r="U339" i="9"/>
  <c r="T339" i="9"/>
  <c r="W339" i="9"/>
  <c r="P277" i="12" l="1"/>
  <c r="Q277" i="12" s="1"/>
  <c r="M278" i="12" s="1"/>
  <c r="V339" i="9"/>
  <c r="X339" i="9" s="1"/>
  <c r="V292" i="12"/>
  <c r="W292" i="12" s="1"/>
  <c r="R293" i="12"/>
  <c r="T293" i="12" s="1"/>
  <c r="AC271" i="12"/>
  <c r="AE271" i="12" s="1"/>
  <c r="AG270" i="12"/>
  <c r="AH270" i="12" s="1"/>
  <c r="AA266" i="12"/>
  <c r="AB266" i="12" s="1"/>
  <c r="X267" i="12" s="1"/>
  <c r="E426" i="9"/>
  <c r="D426" i="9"/>
  <c r="F426" i="9" s="1"/>
  <c r="H426" i="9" s="1"/>
  <c r="AC343" i="9"/>
  <c r="AB343" i="9" s="1"/>
  <c r="AD343" i="9" s="1"/>
  <c r="J305" i="9"/>
  <c r="O305" i="9" s="1"/>
  <c r="AN325" i="9"/>
  <c r="N278" i="12" l="1"/>
  <c r="O278" i="12"/>
  <c r="R294" i="12"/>
  <c r="T294" i="12" s="1"/>
  <c r="V293" i="12"/>
  <c r="W293" i="12" s="1"/>
  <c r="AG271" i="12"/>
  <c r="AH271" i="12" s="1"/>
  <c r="AC272" i="12"/>
  <c r="AE272" i="12" s="1"/>
  <c r="Y267" i="12"/>
  <c r="Z267" i="12"/>
  <c r="B427" i="9"/>
  <c r="M305" i="9"/>
  <c r="L305" i="9"/>
  <c r="N305" i="9" s="1"/>
  <c r="P305" i="9" s="1"/>
  <c r="R340" i="9"/>
  <c r="AH326" i="9"/>
  <c r="AM326" i="9" s="1"/>
  <c r="AE343" i="9"/>
  <c r="AF343" i="9" s="1"/>
  <c r="P278" i="12" l="1"/>
  <c r="Q278" i="12" s="1"/>
  <c r="M279" i="12" s="1"/>
  <c r="AA267" i="12"/>
  <c r="AB267" i="12" s="1"/>
  <c r="X268" i="12" s="1"/>
  <c r="R295" i="12"/>
  <c r="T295" i="12" s="1"/>
  <c r="V294" i="12"/>
  <c r="W294" i="12" s="1"/>
  <c r="AG272" i="12"/>
  <c r="AH272" i="12" s="1"/>
  <c r="AC273" i="12"/>
  <c r="AE273" i="12" s="1"/>
  <c r="D427" i="9"/>
  <c r="E427" i="9"/>
  <c r="J306" i="9"/>
  <c r="O306" i="9" s="1"/>
  <c r="U340" i="9"/>
  <c r="T340" i="9" s="1"/>
  <c r="V340" i="9" s="1"/>
  <c r="AK326" i="9"/>
  <c r="AJ326" i="9"/>
  <c r="AL326" i="9" s="1"/>
  <c r="Z344" i="9"/>
  <c r="N279" i="12" l="1"/>
  <c r="O279" i="12"/>
  <c r="P279" i="12" s="1"/>
  <c r="Q279" i="12" s="1"/>
  <c r="M280" i="12" s="1"/>
  <c r="Y268" i="12"/>
  <c r="Z268" i="12"/>
  <c r="AA268" i="12"/>
  <c r="AB268" i="12" s="1"/>
  <c r="X269" i="12" s="1"/>
  <c r="R296" i="12"/>
  <c r="T296" i="12" s="1"/>
  <c r="V295" i="12"/>
  <c r="W295" i="12" s="1"/>
  <c r="AG273" i="12"/>
  <c r="AH273" i="12" s="1"/>
  <c r="AC274" i="12"/>
  <c r="AE274" i="12" s="1"/>
  <c r="F427" i="9"/>
  <c r="H427" i="9" s="1"/>
  <c r="B428" i="9"/>
  <c r="L306" i="9"/>
  <c r="M306" i="9"/>
  <c r="AC344" i="9"/>
  <c r="AB344" i="9"/>
  <c r="AD344" i="9" s="1"/>
  <c r="AE344" i="9" s="1"/>
  <c r="AF344" i="9" s="1"/>
  <c r="AN326" i="9"/>
  <c r="W340" i="9"/>
  <c r="X340" i="9"/>
  <c r="N280" i="12" l="1"/>
  <c r="P280" i="12" s="1"/>
  <c r="Q280" i="12" s="1"/>
  <c r="M281" i="12" s="1"/>
  <c r="O280" i="12"/>
  <c r="Y269" i="12"/>
  <c r="Z269" i="12"/>
  <c r="V296" i="12"/>
  <c r="W296" i="12" s="1"/>
  <c r="R297" i="12"/>
  <c r="T297" i="12" s="1"/>
  <c r="AC275" i="12"/>
  <c r="AE275" i="12" s="1"/>
  <c r="AG274" i="12"/>
  <c r="AH274" i="12" s="1"/>
  <c r="N306" i="9"/>
  <c r="P306" i="9" s="1"/>
  <c r="J307" i="9" s="1"/>
  <c r="O307" i="9" s="1"/>
  <c r="E428" i="9"/>
  <c r="D428" i="9" s="1"/>
  <c r="F428" i="9" s="1"/>
  <c r="H428" i="9" s="1"/>
  <c r="Z345" i="9"/>
  <c r="AH327" i="9"/>
  <c r="AM327" i="9" s="1"/>
  <c r="R341" i="9"/>
  <c r="O281" i="12" l="1"/>
  <c r="N281" i="12"/>
  <c r="P281" i="12" s="1"/>
  <c r="Q281" i="12" s="1"/>
  <c r="M282" i="12" s="1"/>
  <c r="AA269" i="12"/>
  <c r="AB269" i="12" s="1"/>
  <c r="X270" i="12" s="1"/>
  <c r="R298" i="12"/>
  <c r="T298" i="12" s="1"/>
  <c r="V297" i="12"/>
  <c r="W297" i="12" s="1"/>
  <c r="AG275" i="12"/>
  <c r="AH275" i="12" s="1"/>
  <c r="AC276" i="12"/>
  <c r="AE276" i="12" s="1"/>
  <c r="B429" i="9"/>
  <c r="M307" i="9"/>
  <c r="L307" i="9"/>
  <c r="N307" i="9" s="1"/>
  <c r="P307" i="9" s="1"/>
  <c r="AC345" i="9"/>
  <c r="AB345" i="9"/>
  <c r="AK327" i="9"/>
  <c r="AJ327" i="9" s="1"/>
  <c r="AL327" i="9" s="1"/>
  <c r="U341" i="9"/>
  <c r="T341" i="9" s="1"/>
  <c r="V341" i="9" s="1"/>
  <c r="N282" i="12" l="1"/>
  <c r="O282" i="12"/>
  <c r="Z270" i="12"/>
  <c r="Y270" i="12"/>
  <c r="AA270" i="12" s="1"/>
  <c r="AB270" i="12" s="1"/>
  <c r="X271" i="12" s="1"/>
  <c r="R299" i="12"/>
  <c r="T299" i="12" s="1"/>
  <c r="V298" i="12"/>
  <c r="W298" i="12" s="1"/>
  <c r="AC277" i="12"/>
  <c r="AE277" i="12" s="1"/>
  <c r="AG276" i="12"/>
  <c r="AH276" i="12" s="1"/>
  <c r="AD345" i="9"/>
  <c r="AE345" i="9" s="1"/>
  <c r="AF345" i="9" s="1"/>
  <c r="Z346" i="9" s="1"/>
  <c r="E429" i="9"/>
  <c r="D429" i="9"/>
  <c r="J308" i="9"/>
  <c r="O308" i="9" s="1"/>
  <c r="AN327" i="9"/>
  <c r="W341" i="9"/>
  <c r="X341" i="9" s="1"/>
  <c r="Z271" i="12" l="1"/>
  <c r="Y271" i="12"/>
  <c r="AA271" i="12" s="1"/>
  <c r="AB271" i="12" s="1"/>
  <c r="X272" i="12" s="1"/>
  <c r="F429" i="9"/>
  <c r="H429" i="9" s="1"/>
  <c r="B430" i="9" s="1"/>
  <c r="P282" i="12"/>
  <c r="Q282" i="12" s="1"/>
  <c r="M283" i="12" s="1"/>
  <c r="R300" i="12"/>
  <c r="T300" i="12" s="1"/>
  <c r="V299" i="12"/>
  <c r="W299" i="12" s="1"/>
  <c r="AC278" i="12"/>
  <c r="AE278" i="12" s="1"/>
  <c r="AG277" i="12"/>
  <c r="AH277" i="12" s="1"/>
  <c r="M308" i="9"/>
  <c r="L308" i="9" s="1"/>
  <c r="N308" i="9" s="1"/>
  <c r="P308" i="9" s="1"/>
  <c r="AC346" i="9"/>
  <c r="AB346" i="9"/>
  <c r="AH328" i="9"/>
  <c r="AM328" i="9" s="1"/>
  <c r="R342" i="9"/>
  <c r="N283" i="12" l="1"/>
  <c r="O283" i="12"/>
  <c r="P283" i="12"/>
  <c r="Q283" i="12" s="1"/>
  <c r="M284" i="12" s="1"/>
  <c r="AD346" i="9"/>
  <c r="AE346" i="9" s="1"/>
  <c r="AF346" i="9" s="1"/>
  <c r="Z347" i="9" s="1"/>
  <c r="Z272" i="12"/>
  <c r="Y272" i="12"/>
  <c r="AA272" i="12" s="1"/>
  <c r="AB272" i="12" s="1"/>
  <c r="X273" i="12" s="1"/>
  <c r="R301" i="12"/>
  <c r="T301" i="12" s="1"/>
  <c r="V300" i="12"/>
  <c r="W300" i="12" s="1"/>
  <c r="AC279" i="12"/>
  <c r="AE279" i="12" s="1"/>
  <c r="AG278" i="12"/>
  <c r="AH278" i="12" s="1"/>
  <c r="E430" i="9"/>
  <c r="D430" i="9"/>
  <c r="F430" i="9" s="1"/>
  <c r="H430" i="9" s="1"/>
  <c r="J309" i="9"/>
  <c r="O309" i="9" s="1"/>
  <c r="AK328" i="9"/>
  <c r="AJ328" i="9"/>
  <c r="AL328" i="9" s="1"/>
  <c r="AN328" i="9" s="1"/>
  <c r="U342" i="9"/>
  <c r="T342" i="9" s="1"/>
  <c r="V342" i="9" s="1"/>
  <c r="N284" i="12" l="1"/>
  <c r="O284" i="12"/>
  <c r="Y273" i="12"/>
  <c r="Z273" i="12"/>
  <c r="R302" i="12"/>
  <c r="T302" i="12" s="1"/>
  <c r="V301" i="12"/>
  <c r="W301" i="12" s="1"/>
  <c r="AC280" i="12"/>
  <c r="AE280" i="12" s="1"/>
  <c r="AG279" i="12"/>
  <c r="AH279" i="12" s="1"/>
  <c r="AA273" i="12"/>
  <c r="AB273" i="12" s="1"/>
  <c r="X274" i="12" s="1"/>
  <c r="B431" i="9"/>
  <c r="M309" i="9"/>
  <c r="L309" i="9"/>
  <c r="N309" i="9" s="1"/>
  <c r="AC347" i="9"/>
  <c r="AB347" i="9" s="1"/>
  <c r="AD347" i="9" s="1"/>
  <c r="AH329" i="9"/>
  <c r="AM329" i="9" s="1"/>
  <c r="W342" i="9"/>
  <c r="X342" i="9" s="1"/>
  <c r="P284" i="12" l="1"/>
  <c r="Q284" i="12" s="1"/>
  <c r="M285" i="12" s="1"/>
  <c r="R303" i="12"/>
  <c r="T303" i="12" s="1"/>
  <c r="V302" i="12"/>
  <c r="W302" i="12" s="1"/>
  <c r="AC281" i="12"/>
  <c r="AE281" i="12" s="1"/>
  <c r="AG280" i="12"/>
  <c r="AH280" i="12" s="1"/>
  <c r="Y274" i="12"/>
  <c r="Z274" i="12"/>
  <c r="AA274" i="12" s="1"/>
  <c r="AB274" i="12" s="1"/>
  <c r="X275" i="12" s="1"/>
  <c r="E431" i="9"/>
  <c r="D431" i="9" s="1"/>
  <c r="F431" i="9" s="1"/>
  <c r="H431" i="9" s="1"/>
  <c r="AK329" i="9"/>
  <c r="AJ329" i="9"/>
  <c r="AL329" i="9" s="1"/>
  <c r="AN329" i="9" s="1"/>
  <c r="R343" i="9"/>
  <c r="P309" i="9"/>
  <c r="AE347" i="9"/>
  <c r="AF347" i="9"/>
  <c r="N285" i="12" l="1"/>
  <c r="O285" i="12"/>
  <c r="V303" i="12"/>
  <c r="W303" i="12" s="1"/>
  <c r="R304" i="12"/>
  <c r="T304" i="12" s="1"/>
  <c r="AG281" i="12"/>
  <c r="AH281" i="12" s="1"/>
  <c r="AC282" i="12"/>
  <c r="AE282" i="12" s="1"/>
  <c r="Y275" i="12"/>
  <c r="Z275" i="12"/>
  <c r="B432" i="9"/>
  <c r="AH330" i="9"/>
  <c r="AM330" i="9" s="1"/>
  <c r="U343" i="9"/>
  <c r="T343" i="9"/>
  <c r="J310" i="9"/>
  <c r="O310" i="9" s="1"/>
  <c r="Z348" i="9"/>
  <c r="P285" i="12" l="1"/>
  <c r="Q285" i="12" s="1"/>
  <c r="M286" i="12" s="1"/>
  <c r="R305" i="12"/>
  <c r="T305" i="12" s="1"/>
  <c r="V304" i="12"/>
  <c r="W304" i="12" s="1"/>
  <c r="AC283" i="12"/>
  <c r="AE283" i="12" s="1"/>
  <c r="AG282" i="12"/>
  <c r="AH282" i="12" s="1"/>
  <c r="AA275" i="12"/>
  <c r="AB275" i="12" s="1"/>
  <c r="X276" i="12" s="1"/>
  <c r="E432" i="9"/>
  <c r="D432" i="9" s="1"/>
  <c r="F432" i="9" s="1"/>
  <c r="H432" i="9" s="1"/>
  <c r="AK330" i="9"/>
  <c r="AJ330" i="9"/>
  <c r="M310" i="9"/>
  <c r="L310" i="9" s="1"/>
  <c r="N310" i="9" s="1"/>
  <c r="AC348" i="9"/>
  <c r="AB348" i="9"/>
  <c r="AD348" i="9" s="1"/>
  <c r="AE348" i="9" s="1"/>
  <c r="AF348" i="9" s="1"/>
  <c r="V343" i="9"/>
  <c r="O286" i="12" l="1"/>
  <c r="N286" i="12"/>
  <c r="P286" i="12" s="1"/>
  <c r="Q286" i="12" s="1"/>
  <c r="M287" i="12" s="1"/>
  <c r="R306" i="12"/>
  <c r="T306" i="12" s="1"/>
  <c r="V305" i="12"/>
  <c r="W305" i="12" s="1"/>
  <c r="AC284" i="12"/>
  <c r="AE284" i="12" s="1"/>
  <c r="AG283" i="12"/>
  <c r="AH283" i="12" s="1"/>
  <c r="Y276" i="12"/>
  <c r="Z276" i="12"/>
  <c r="AA276" i="12"/>
  <c r="AB276" i="12" s="1"/>
  <c r="X277" i="12" s="1"/>
  <c r="AL330" i="9"/>
  <c r="AN330" i="9" s="1"/>
  <c r="AH331" i="9" s="1"/>
  <c r="AM331" i="9" s="1"/>
  <c r="B433" i="9"/>
  <c r="Z349" i="9"/>
  <c r="W343" i="9"/>
  <c r="X343" i="9"/>
  <c r="P310" i="9"/>
  <c r="N287" i="12" l="1"/>
  <c r="P287" i="12" s="1"/>
  <c r="Q287" i="12" s="1"/>
  <c r="M288" i="12" s="1"/>
  <c r="O287" i="12"/>
  <c r="V306" i="12"/>
  <c r="W306" i="12" s="1"/>
  <c r="R307" i="12"/>
  <c r="T307" i="12" s="1"/>
  <c r="AG284" i="12"/>
  <c r="AH284" i="12" s="1"/>
  <c r="AC285" i="12"/>
  <c r="AE285" i="12" s="1"/>
  <c r="Y277" i="12"/>
  <c r="Z277" i="12"/>
  <c r="E433" i="9"/>
  <c r="D433" i="9" s="1"/>
  <c r="F433" i="9" s="1"/>
  <c r="H433" i="9" s="1"/>
  <c r="AK331" i="9"/>
  <c r="AJ331" i="9" s="1"/>
  <c r="AL331" i="9" s="1"/>
  <c r="AC349" i="9"/>
  <c r="AB349" i="9" s="1"/>
  <c r="AD349" i="9" s="1"/>
  <c r="R344" i="9"/>
  <c r="J311" i="9"/>
  <c r="O311" i="9" s="1"/>
  <c r="N288" i="12" l="1"/>
  <c r="O288" i="12"/>
  <c r="R308" i="12"/>
  <c r="T308" i="12" s="1"/>
  <c r="V307" i="12"/>
  <c r="W307" i="12" s="1"/>
  <c r="AG285" i="12"/>
  <c r="AH285" i="12" s="1"/>
  <c r="AC286" i="12"/>
  <c r="AE286" i="12" s="1"/>
  <c r="AA277" i="12"/>
  <c r="AB277" i="12" s="1"/>
  <c r="X278" i="12" s="1"/>
  <c r="B434" i="9"/>
  <c r="U344" i="9"/>
  <c r="T344" i="9"/>
  <c r="V344" i="9" s="1"/>
  <c r="W344" i="9" s="1"/>
  <c r="X344" i="9" s="1"/>
  <c r="M311" i="9"/>
  <c r="L311" i="9"/>
  <c r="N311" i="9" s="1"/>
  <c r="P311" i="9" s="1"/>
  <c r="AN331" i="9"/>
  <c r="AE349" i="9"/>
  <c r="AF349" i="9"/>
  <c r="P288" i="12" l="1"/>
  <c r="Q288" i="12" s="1"/>
  <c r="M289" i="12" s="1"/>
  <c r="V308" i="12"/>
  <c r="W308" i="12" s="1"/>
  <c r="R309" i="12"/>
  <c r="T309" i="12" s="1"/>
  <c r="AC287" i="12"/>
  <c r="AE287" i="12" s="1"/>
  <c r="AG286" i="12"/>
  <c r="AH286" i="12" s="1"/>
  <c r="Y278" i="12"/>
  <c r="Z278" i="12"/>
  <c r="AA278" i="12"/>
  <c r="AB278" i="12" s="1"/>
  <c r="X279" i="12" s="1"/>
  <c r="E434" i="9"/>
  <c r="D434" i="9"/>
  <c r="F434" i="9" s="1"/>
  <c r="H434" i="9" s="1"/>
  <c r="R345" i="9"/>
  <c r="J312" i="9"/>
  <c r="O312" i="9" s="1"/>
  <c r="AH332" i="9"/>
  <c r="AM332" i="9" s="1"/>
  <c r="Z350" i="9"/>
  <c r="O289" i="12" l="1"/>
  <c r="N289" i="12"/>
  <c r="P289" i="12" s="1"/>
  <c r="Q289" i="12" s="1"/>
  <c r="M290" i="12" s="1"/>
  <c r="R310" i="12"/>
  <c r="T310" i="12" s="1"/>
  <c r="V309" i="12"/>
  <c r="W309" i="12" s="1"/>
  <c r="AC288" i="12"/>
  <c r="AE288" i="12" s="1"/>
  <c r="AG287" i="12"/>
  <c r="AH287" i="12" s="1"/>
  <c r="Z279" i="12"/>
  <c r="Y279" i="12"/>
  <c r="AA279" i="12" s="1"/>
  <c r="AB279" i="12" s="1"/>
  <c r="X280" i="12" s="1"/>
  <c r="B435" i="9"/>
  <c r="U345" i="9"/>
  <c r="T345" i="9"/>
  <c r="V345" i="9" s="1"/>
  <c r="W345" i="9" s="1"/>
  <c r="X345" i="9" s="1"/>
  <c r="M312" i="9"/>
  <c r="L312" i="9"/>
  <c r="N312" i="9" s="1"/>
  <c r="P312" i="9" s="1"/>
  <c r="AK332" i="9"/>
  <c r="AJ332" i="9"/>
  <c r="AB350" i="9"/>
  <c r="AC350" i="9"/>
  <c r="N290" i="12" l="1"/>
  <c r="O290" i="12"/>
  <c r="AD350" i="9"/>
  <c r="AE350" i="9" s="1"/>
  <c r="AF350" i="9" s="1"/>
  <c r="Z351" i="9" s="1"/>
  <c r="AL332" i="9"/>
  <c r="AN332" i="9" s="1"/>
  <c r="AH333" i="9" s="1"/>
  <c r="AM333" i="9" s="1"/>
  <c r="R311" i="12"/>
  <c r="T311" i="12" s="1"/>
  <c r="V310" i="12"/>
  <c r="W310" i="12" s="1"/>
  <c r="AC289" i="12"/>
  <c r="AE289" i="12" s="1"/>
  <c r="AG288" i="12"/>
  <c r="AH288" i="12" s="1"/>
  <c r="Z280" i="12"/>
  <c r="Y280" i="12"/>
  <c r="AA280" i="12"/>
  <c r="AB280" i="12" s="1"/>
  <c r="X281" i="12" s="1"/>
  <c r="E435" i="9"/>
  <c r="D435" i="9"/>
  <c r="R346" i="9"/>
  <c r="J313" i="9"/>
  <c r="O313" i="9" s="1"/>
  <c r="P290" i="12" l="1"/>
  <c r="Q290" i="12" s="1"/>
  <c r="M291" i="12" s="1"/>
  <c r="F435" i="9"/>
  <c r="H435" i="9" s="1"/>
  <c r="B436" i="9" s="1"/>
  <c r="R312" i="12"/>
  <c r="T312" i="12" s="1"/>
  <c r="V311" i="12"/>
  <c r="W311" i="12" s="1"/>
  <c r="AG289" i="12"/>
  <c r="AH289" i="12" s="1"/>
  <c r="AC290" i="12"/>
  <c r="AE290" i="12" s="1"/>
  <c r="Y281" i="12"/>
  <c r="Z281" i="12"/>
  <c r="AA281" i="12"/>
  <c r="AB281" i="12" s="1"/>
  <c r="X282" i="12" s="1"/>
  <c r="U346" i="9"/>
  <c r="T346" i="9"/>
  <c r="V346" i="9" s="1"/>
  <c r="W346" i="9" s="1"/>
  <c r="X346" i="9" s="1"/>
  <c r="M313" i="9"/>
  <c r="L313" i="9"/>
  <c r="N313" i="9" s="1"/>
  <c r="P313" i="9" s="1"/>
  <c r="AK333" i="9"/>
  <c r="AJ333" i="9"/>
  <c r="AL333" i="9" s="1"/>
  <c r="AN333" i="9" s="1"/>
  <c r="AC351" i="9"/>
  <c r="AB351" i="9"/>
  <c r="AD351" i="9" s="1"/>
  <c r="O291" i="12" l="1"/>
  <c r="N291" i="12"/>
  <c r="P291" i="12" s="1"/>
  <c r="Q291" i="12" s="1"/>
  <c r="M292" i="12" s="1"/>
  <c r="R313" i="12"/>
  <c r="T313" i="12" s="1"/>
  <c r="V312" i="12"/>
  <c r="W312" i="12" s="1"/>
  <c r="AC291" i="12"/>
  <c r="AE291" i="12" s="1"/>
  <c r="AG290" i="12"/>
  <c r="AH290" i="12" s="1"/>
  <c r="Y282" i="12"/>
  <c r="Z282" i="12"/>
  <c r="E436" i="9"/>
  <c r="D436" i="9" s="1"/>
  <c r="F436" i="9" s="1"/>
  <c r="H436" i="9" s="1"/>
  <c r="R347" i="9"/>
  <c r="J314" i="9"/>
  <c r="O314" i="9" s="1"/>
  <c r="AH334" i="9"/>
  <c r="AM334" i="9" s="1"/>
  <c r="AE351" i="9"/>
  <c r="AF351" i="9" s="1"/>
  <c r="N292" i="12" l="1"/>
  <c r="O292" i="12"/>
  <c r="R314" i="12"/>
  <c r="T314" i="12" s="1"/>
  <c r="V313" i="12"/>
  <c r="W313" i="12" s="1"/>
  <c r="AC292" i="12"/>
  <c r="AE292" i="12" s="1"/>
  <c r="AG291" i="12"/>
  <c r="AH291" i="12" s="1"/>
  <c r="AA282" i="12"/>
  <c r="AB282" i="12" s="1"/>
  <c r="X283" i="12" s="1"/>
  <c r="B437" i="9"/>
  <c r="U347" i="9"/>
  <c r="T347" i="9"/>
  <c r="V347" i="9" s="1"/>
  <c r="W347" i="9" s="1"/>
  <c r="X347" i="9" s="1"/>
  <c r="M314" i="9"/>
  <c r="L314" i="9"/>
  <c r="N314" i="9" s="1"/>
  <c r="P314" i="9" s="1"/>
  <c r="AK334" i="9"/>
  <c r="AJ334" i="9"/>
  <c r="AL334" i="9" s="1"/>
  <c r="Z352" i="9"/>
  <c r="P292" i="12" l="1"/>
  <c r="Q292" i="12" s="1"/>
  <c r="M293" i="12" s="1"/>
  <c r="R315" i="12"/>
  <c r="T315" i="12" s="1"/>
  <c r="V314" i="12"/>
  <c r="W314" i="12" s="1"/>
  <c r="AC293" i="12"/>
  <c r="AE293" i="12" s="1"/>
  <c r="AG292" i="12"/>
  <c r="AH292" i="12" s="1"/>
  <c r="Y283" i="12"/>
  <c r="Z283" i="12"/>
  <c r="D437" i="9"/>
  <c r="E437" i="9"/>
  <c r="R348" i="9"/>
  <c r="J315" i="9"/>
  <c r="O315" i="9" s="1"/>
  <c r="AC352" i="9"/>
  <c r="AB352" i="9" s="1"/>
  <c r="AD352" i="9" s="1"/>
  <c r="AN334" i="9"/>
  <c r="N293" i="12" l="1"/>
  <c r="O293" i="12"/>
  <c r="P293" i="12"/>
  <c r="Q293" i="12" s="1"/>
  <c r="M294" i="12" s="1"/>
  <c r="R316" i="12"/>
  <c r="T316" i="12" s="1"/>
  <c r="V315" i="12"/>
  <c r="W315" i="12" s="1"/>
  <c r="AC294" i="12"/>
  <c r="AE294" i="12" s="1"/>
  <c r="AG293" i="12"/>
  <c r="AH293" i="12" s="1"/>
  <c r="AA283" i="12"/>
  <c r="AB283" i="12" s="1"/>
  <c r="X284" i="12" s="1"/>
  <c r="F437" i="9"/>
  <c r="H437" i="9" s="1"/>
  <c r="B438" i="9" s="1"/>
  <c r="U348" i="9"/>
  <c r="T348" i="9"/>
  <c r="M315" i="9"/>
  <c r="L315" i="9" s="1"/>
  <c r="N315" i="9" s="1"/>
  <c r="AH335" i="9"/>
  <c r="AM335" i="9" s="1"/>
  <c r="AE352" i="9"/>
  <c r="AF352" i="9"/>
  <c r="O294" i="12" l="1"/>
  <c r="N294" i="12"/>
  <c r="P294" i="12" s="1"/>
  <c r="Q294" i="12" s="1"/>
  <c r="M295" i="12" s="1"/>
  <c r="R317" i="12"/>
  <c r="T317" i="12" s="1"/>
  <c r="V316" i="12"/>
  <c r="W316" i="12" s="1"/>
  <c r="AC295" i="12"/>
  <c r="AE295" i="12" s="1"/>
  <c r="AG294" i="12"/>
  <c r="AH294" i="12" s="1"/>
  <c r="Z284" i="12"/>
  <c r="Y284" i="12"/>
  <c r="AA284" i="12" s="1"/>
  <c r="AB284" i="12" s="1"/>
  <c r="X285" i="12" s="1"/>
  <c r="V348" i="9"/>
  <c r="W348" i="9" s="1"/>
  <c r="X348" i="9" s="1"/>
  <c r="E438" i="9"/>
  <c r="D438" i="9"/>
  <c r="R349" i="9"/>
  <c r="AK335" i="9"/>
  <c r="AJ335" i="9" s="1"/>
  <c r="AL335" i="9" s="1"/>
  <c r="Z353" i="9"/>
  <c r="P315" i="9"/>
  <c r="N295" i="12" l="1"/>
  <c r="O295" i="12"/>
  <c r="F438" i="9"/>
  <c r="H438" i="9" s="1"/>
  <c r="B439" i="9" s="1"/>
  <c r="R318" i="12"/>
  <c r="T318" i="12" s="1"/>
  <c r="V317" i="12"/>
  <c r="W317" i="12" s="1"/>
  <c r="AC296" i="12"/>
  <c r="AE296" i="12" s="1"/>
  <c r="AG295" i="12"/>
  <c r="AH295" i="12" s="1"/>
  <c r="Z285" i="12"/>
  <c r="Y285" i="12"/>
  <c r="AA285" i="12" s="1"/>
  <c r="AB285" i="12" s="1"/>
  <c r="X286" i="12" s="1"/>
  <c r="U349" i="9"/>
  <c r="T349" i="9"/>
  <c r="V349" i="9" s="1"/>
  <c r="W349" i="9" s="1"/>
  <c r="X349" i="9" s="1"/>
  <c r="AC353" i="9"/>
  <c r="AB353" i="9"/>
  <c r="AD353" i="9" s="1"/>
  <c r="AE353" i="9" s="1"/>
  <c r="AF353" i="9" s="1"/>
  <c r="J316" i="9"/>
  <c r="O316" i="9" s="1"/>
  <c r="AN335" i="9"/>
  <c r="P295" i="12" l="1"/>
  <c r="Q295" i="12" s="1"/>
  <c r="M296" i="12" s="1"/>
  <c r="R319" i="12"/>
  <c r="T319" i="12" s="1"/>
  <c r="V318" i="12"/>
  <c r="W318" i="12" s="1"/>
  <c r="AC297" i="12"/>
  <c r="AE297" i="12" s="1"/>
  <c r="AG296" i="12"/>
  <c r="AH296" i="12" s="1"/>
  <c r="Z286" i="12"/>
  <c r="Y286" i="12"/>
  <c r="AA286" i="12" s="1"/>
  <c r="AB286" i="12" s="1"/>
  <c r="X287" i="12" s="1"/>
  <c r="D439" i="9"/>
  <c r="E439" i="9"/>
  <c r="R350" i="9"/>
  <c r="Z354" i="9"/>
  <c r="M316" i="9"/>
  <c r="L316" i="9"/>
  <c r="N316" i="9" s="1"/>
  <c r="P316" i="9" s="1"/>
  <c r="AH336" i="9"/>
  <c r="AM336" i="9" s="1"/>
  <c r="N296" i="12" l="1"/>
  <c r="O296" i="12"/>
  <c r="P296" i="12"/>
  <c r="Q296" i="12" s="1"/>
  <c r="M297" i="12" s="1"/>
  <c r="V319" i="12"/>
  <c r="W319" i="12" s="1"/>
  <c r="R320" i="12"/>
  <c r="T320" i="12" s="1"/>
  <c r="AG297" i="12"/>
  <c r="AH297" i="12" s="1"/>
  <c r="AC298" i="12"/>
  <c r="AE298" i="12" s="1"/>
  <c r="Z287" i="12"/>
  <c r="Y287" i="12"/>
  <c r="F439" i="9"/>
  <c r="H439" i="9" s="1"/>
  <c r="B440" i="9" s="1"/>
  <c r="U350" i="9"/>
  <c r="T350" i="9"/>
  <c r="W350" i="9"/>
  <c r="AC354" i="9"/>
  <c r="AB354" i="9" s="1"/>
  <c r="AD354" i="9" s="1"/>
  <c r="J317" i="9"/>
  <c r="O317" i="9" s="1"/>
  <c r="AK336" i="9"/>
  <c r="AJ336" i="9" s="1"/>
  <c r="AL336" i="9" s="1"/>
  <c r="V350" i="9" l="1"/>
  <c r="X350" i="9" s="1"/>
  <c r="O297" i="12"/>
  <c r="N297" i="12"/>
  <c r="P297" i="12" s="1"/>
  <c r="Q297" i="12" s="1"/>
  <c r="M298" i="12" s="1"/>
  <c r="AA287" i="12"/>
  <c r="AB287" i="12" s="1"/>
  <c r="X288" i="12" s="1"/>
  <c r="R321" i="12"/>
  <c r="T321" i="12" s="1"/>
  <c r="V320" i="12"/>
  <c r="W320" i="12" s="1"/>
  <c r="AC299" i="12"/>
  <c r="AE299" i="12" s="1"/>
  <c r="AG298" i="12"/>
  <c r="AH298" i="12" s="1"/>
  <c r="Y288" i="12"/>
  <c r="Z288" i="12"/>
  <c r="E440" i="9"/>
  <c r="D440" i="9"/>
  <c r="M317" i="9"/>
  <c r="L317" i="9"/>
  <c r="N317" i="9" s="1"/>
  <c r="P317" i="9" s="1"/>
  <c r="AE354" i="9"/>
  <c r="AF354" i="9"/>
  <c r="AN336" i="9"/>
  <c r="F440" i="9" l="1"/>
  <c r="H440" i="9" s="1"/>
  <c r="B441" i="9" s="1"/>
  <c r="O298" i="12"/>
  <c r="N298" i="12"/>
  <c r="P298" i="12" s="1"/>
  <c r="Q298" i="12" s="1"/>
  <c r="M299" i="12" s="1"/>
  <c r="R322" i="12"/>
  <c r="T322" i="12" s="1"/>
  <c r="V321" i="12"/>
  <c r="W321" i="12" s="1"/>
  <c r="AC300" i="12"/>
  <c r="AE300" i="12" s="1"/>
  <c r="AG299" i="12"/>
  <c r="AH299" i="12" s="1"/>
  <c r="AA288" i="12"/>
  <c r="AB288" i="12" s="1"/>
  <c r="X289" i="12" s="1"/>
  <c r="J318" i="9"/>
  <c r="O318" i="9" s="1"/>
  <c r="R351" i="9"/>
  <c r="Z355" i="9"/>
  <c r="AH337" i="9"/>
  <c r="AM337" i="9" s="1"/>
  <c r="P299" i="12" l="1"/>
  <c r="Q299" i="12" s="1"/>
  <c r="M300" i="12" s="1"/>
  <c r="N299" i="12"/>
  <c r="O299" i="12"/>
  <c r="V322" i="12"/>
  <c r="W322" i="12" s="1"/>
  <c r="R323" i="12"/>
  <c r="T323" i="12" s="1"/>
  <c r="AC301" i="12"/>
  <c r="AE301" i="12" s="1"/>
  <c r="AG300" i="12"/>
  <c r="AH300" i="12" s="1"/>
  <c r="Y289" i="12"/>
  <c r="Z289" i="12"/>
  <c r="D441" i="9"/>
  <c r="E441" i="9"/>
  <c r="M318" i="9"/>
  <c r="L318" i="9" s="1"/>
  <c r="N318" i="9" s="1"/>
  <c r="U351" i="9"/>
  <c r="T351" i="9"/>
  <c r="V351" i="9" s="1"/>
  <c r="W351" i="9" s="1"/>
  <c r="X351" i="9" s="1"/>
  <c r="AC355" i="9"/>
  <c r="AB355" i="9"/>
  <c r="AJ337" i="9"/>
  <c r="AK337" i="9"/>
  <c r="N300" i="12" l="1"/>
  <c r="O300" i="12"/>
  <c r="R324" i="12"/>
  <c r="T324" i="12" s="1"/>
  <c r="V323" i="12"/>
  <c r="W323" i="12" s="1"/>
  <c r="AC302" i="12"/>
  <c r="AE302" i="12" s="1"/>
  <c r="AG301" i="12"/>
  <c r="AH301" i="12" s="1"/>
  <c r="AA289" i="12"/>
  <c r="AB289" i="12" s="1"/>
  <c r="X290" i="12" s="1"/>
  <c r="F441" i="9"/>
  <c r="H441" i="9" s="1"/>
  <c r="B442" i="9" s="1"/>
  <c r="AD355" i="9"/>
  <c r="AE355" i="9" s="1"/>
  <c r="AF355" i="9" s="1"/>
  <c r="Z356" i="9" s="1"/>
  <c r="AL337" i="9"/>
  <c r="AN337" i="9" s="1"/>
  <c r="AH338" i="9" s="1"/>
  <c r="AM338" i="9" s="1"/>
  <c r="R352" i="9"/>
  <c r="P318" i="9"/>
  <c r="P300" i="12" l="1"/>
  <c r="Q300" i="12" s="1"/>
  <c r="M301" i="12" s="1"/>
  <c r="R325" i="12"/>
  <c r="T325" i="12" s="1"/>
  <c r="V324" i="12"/>
  <c r="W324" i="12" s="1"/>
  <c r="AC303" i="12"/>
  <c r="AE303" i="12" s="1"/>
  <c r="AG302" i="12"/>
  <c r="AH302" i="12" s="1"/>
  <c r="Y290" i="12"/>
  <c r="AA290" i="12" s="1"/>
  <c r="AB290" i="12" s="1"/>
  <c r="X291" i="12" s="1"/>
  <c r="Z290" i="12"/>
  <c r="E442" i="9"/>
  <c r="D442" i="9"/>
  <c r="U352" i="9"/>
  <c r="T352" i="9" s="1"/>
  <c r="V352" i="9" s="1"/>
  <c r="AC356" i="9"/>
  <c r="AB356" i="9" s="1"/>
  <c r="AD356" i="9" s="1"/>
  <c r="AK338" i="9"/>
  <c r="AJ338" i="9" s="1"/>
  <c r="AL338" i="9" s="1"/>
  <c r="J319" i="9"/>
  <c r="O319" i="9" s="1"/>
  <c r="F442" i="9" l="1"/>
  <c r="H442" i="9" s="1"/>
  <c r="B443" i="9" s="1"/>
  <c r="O301" i="12"/>
  <c r="N301" i="12"/>
  <c r="P301" i="12" s="1"/>
  <c r="Q301" i="12" s="1"/>
  <c r="M302" i="12" s="1"/>
  <c r="R326" i="12"/>
  <c r="T326" i="12" s="1"/>
  <c r="V325" i="12"/>
  <c r="W325" i="12" s="1"/>
  <c r="AC304" i="12"/>
  <c r="AE304" i="12" s="1"/>
  <c r="AG303" i="12"/>
  <c r="AH303" i="12" s="1"/>
  <c r="Z291" i="12"/>
  <c r="Y291" i="12"/>
  <c r="AA291" i="12" s="1"/>
  <c r="AB291" i="12" s="1"/>
  <c r="X292" i="12" s="1"/>
  <c r="M319" i="9"/>
  <c r="L319" i="9" s="1"/>
  <c r="N319" i="9" s="1"/>
  <c r="W352" i="9"/>
  <c r="X352" i="9" s="1"/>
  <c r="AE356" i="9"/>
  <c r="AF356" i="9" s="1"/>
  <c r="AN338" i="9"/>
  <c r="N302" i="12" l="1"/>
  <c r="P302" i="12" s="1"/>
  <c r="Q302" i="12" s="1"/>
  <c r="M303" i="12" s="1"/>
  <c r="O302" i="12"/>
  <c r="R327" i="12"/>
  <c r="T327" i="12" s="1"/>
  <c r="V326" i="12"/>
  <c r="W326" i="12" s="1"/>
  <c r="AC305" i="12"/>
  <c r="AE305" i="12" s="1"/>
  <c r="AG304" i="12"/>
  <c r="AH304" i="12" s="1"/>
  <c r="Y292" i="12"/>
  <c r="Z292" i="12"/>
  <c r="E443" i="9"/>
  <c r="D443" i="9" s="1"/>
  <c r="F443" i="9" s="1"/>
  <c r="H443" i="9" s="1"/>
  <c r="R353" i="9"/>
  <c r="Z357" i="9"/>
  <c r="AH339" i="9"/>
  <c r="AM339" i="9" s="1"/>
  <c r="P319" i="9"/>
  <c r="N303" i="12" l="1"/>
  <c r="O303" i="12"/>
  <c r="R328" i="12"/>
  <c r="T328" i="12" s="1"/>
  <c r="V327" i="12"/>
  <c r="W327" i="12" s="1"/>
  <c r="AC306" i="12"/>
  <c r="AE306" i="12" s="1"/>
  <c r="AG305" i="12"/>
  <c r="AH305" i="12" s="1"/>
  <c r="AA292" i="12"/>
  <c r="AB292" i="12" s="1"/>
  <c r="X293" i="12" s="1"/>
  <c r="B444" i="9"/>
  <c r="U353" i="9"/>
  <c r="T353" i="9"/>
  <c r="AC357" i="9"/>
  <c r="AB357" i="9"/>
  <c r="AJ339" i="9"/>
  <c r="AK339" i="9"/>
  <c r="J320" i="9"/>
  <c r="O320" i="9" s="1"/>
  <c r="AL339" i="9" l="1"/>
  <c r="AD357" i="9"/>
  <c r="AE357" i="9" s="1"/>
  <c r="AF357" i="9" s="1"/>
  <c r="Z358" i="9" s="1"/>
  <c r="P303" i="12"/>
  <c r="Q303" i="12" s="1"/>
  <c r="M304" i="12" s="1"/>
  <c r="V328" i="12"/>
  <c r="W328" i="12" s="1"/>
  <c r="R329" i="12"/>
  <c r="T329" i="12" s="1"/>
  <c r="AC307" i="12"/>
  <c r="AE307" i="12" s="1"/>
  <c r="AG306" i="12"/>
  <c r="AH306" i="12" s="1"/>
  <c r="Z293" i="12"/>
  <c r="Y293" i="12"/>
  <c r="AA293" i="12"/>
  <c r="AB293" i="12" s="1"/>
  <c r="X294" i="12" s="1"/>
  <c r="V353" i="9"/>
  <c r="W353" i="9" s="1"/>
  <c r="X353" i="9" s="1"/>
  <c r="E444" i="9"/>
  <c r="D444" i="9"/>
  <c r="F444" i="9" s="1"/>
  <c r="H444" i="9" s="1"/>
  <c r="R354" i="9"/>
  <c r="M320" i="9"/>
  <c r="L320" i="9"/>
  <c r="AN339" i="9" l="1"/>
  <c r="AH340" i="9" s="1"/>
  <c r="AM340" i="9" s="1"/>
  <c r="O304" i="12"/>
  <c r="N304" i="12"/>
  <c r="P304" i="12"/>
  <c r="Q304" i="12" s="1"/>
  <c r="M305" i="12" s="1"/>
  <c r="R330" i="12"/>
  <c r="T330" i="12" s="1"/>
  <c r="V329" i="12"/>
  <c r="W329" i="12" s="1"/>
  <c r="AC308" i="12"/>
  <c r="AE308" i="12" s="1"/>
  <c r="AG307" i="12"/>
  <c r="AH307" i="12" s="1"/>
  <c r="Y294" i="12"/>
  <c r="Z294" i="12"/>
  <c r="B445" i="9"/>
  <c r="U354" i="9"/>
  <c r="T354" i="9"/>
  <c r="V354" i="9" s="1"/>
  <c r="W354" i="9" s="1"/>
  <c r="X354" i="9" s="1"/>
  <c r="AC358" i="9"/>
  <c r="AB358" i="9"/>
  <c r="AE358" i="9"/>
  <c r="N320" i="9"/>
  <c r="AD358" i="9" l="1"/>
  <c r="O305" i="12"/>
  <c r="N305" i="12"/>
  <c r="P305" i="12" s="1"/>
  <c r="Q305" i="12" s="1"/>
  <c r="M306" i="12" s="1"/>
  <c r="R331" i="12"/>
  <c r="T331" i="12" s="1"/>
  <c r="V330" i="12"/>
  <c r="W330" i="12" s="1"/>
  <c r="AC309" i="12"/>
  <c r="AE309" i="12" s="1"/>
  <c r="AG308" i="12"/>
  <c r="AH308" i="12" s="1"/>
  <c r="AA294" i="12"/>
  <c r="AB294" i="12"/>
  <c r="X295" i="12" s="1"/>
  <c r="E445" i="9"/>
  <c r="D445" i="9" s="1"/>
  <c r="F445" i="9" s="1"/>
  <c r="H445" i="9" s="1"/>
  <c r="R355" i="9"/>
  <c r="AJ340" i="9"/>
  <c r="AK340" i="9"/>
  <c r="P320" i="9"/>
  <c r="AF358" i="9"/>
  <c r="AL340" i="9" l="1"/>
  <c r="AN340" i="9" s="1"/>
  <c r="N306" i="12"/>
  <c r="P306" i="12" s="1"/>
  <c r="Q306" i="12" s="1"/>
  <c r="M307" i="12" s="1"/>
  <c r="O306" i="12"/>
  <c r="R332" i="12"/>
  <c r="T332" i="12" s="1"/>
  <c r="V331" i="12"/>
  <c r="W331" i="12" s="1"/>
  <c r="AC310" i="12"/>
  <c r="AE310" i="12" s="1"/>
  <c r="AG309" i="12"/>
  <c r="AH309" i="12" s="1"/>
  <c r="Z295" i="12"/>
  <c r="Y295" i="12"/>
  <c r="AA295" i="12" s="1"/>
  <c r="AB295" i="12" s="1"/>
  <c r="X296" i="12" s="1"/>
  <c r="B446" i="9"/>
  <c r="U355" i="9"/>
  <c r="T355" i="9"/>
  <c r="V355" i="9" s="1"/>
  <c r="W355" i="9"/>
  <c r="AH341" i="9"/>
  <c r="AM341" i="9" s="1"/>
  <c r="J321" i="9"/>
  <c r="O321" i="9" s="1"/>
  <c r="Z359" i="9"/>
  <c r="O307" i="12" l="1"/>
  <c r="N307" i="12"/>
  <c r="P307" i="12" s="1"/>
  <c r="Q307" i="12" s="1"/>
  <c r="M308" i="12" s="1"/>
  <c r="V332" i="12"/>
  <c r="W332" i="12" s="1"/>
  <c r="R333" i="12"/>
  <c r="T333" i="12" s="1"/>
  <c r="AC311" i="12"/>
  <c r="AE311" i="12" s="1"/>
  <c r="AG310" i="12"/>
  <c r="AH310" i="12" s="1"/>
  <c r="Z296" i="12"/>
  <c r="Y296" i="12"/>
  <c r="AA296" i="12" s="1"/>
  <c r="AB296" i="12" s="1"/>
  <c r="X297" i="12" s="1"/>
  <c r="E446" i="9"/>
  <c r="D446" i="9"/>
  <c r="F446" i="9" s="1"/>
  <c r="H446" i="9" s="1"/>
  <c r="AJ341" i="9"/>
  <c r="AK341" i="9"/>
  <c r="L321" i="9"/>
  <c r="M321" i="9"/>
  <c r="AC359" i="9"/>
  <c r="AB359" i="9" s="1"/>
  <c r="AD359" i="9" s="1"/>
  <c r="X355" i="9"/>
  <c r="E11" i="11"/>
  <c r="AL341" i="9" l="1"/>
  <c r="N308" i="12"/>
  <c r="O308" i="12"/>
  <c r="P308" i="12" s="1"/>
  <c r="Q308" i="12" s="1"/>
  <c r="M309" i="12" s="1"/>
  <c r="V333" i="12"/>
  <c r="W333" i="12" s="1"/>
  <c r="R334" i="12"/>
  <c r="T334" i="12" s="1"/>
  <c r="AC312" i="12"/>
  <c r="AE312" i="12" s="1"/>
  <c r="AG311" i="12"/>
  <c r="AH311" i="12" s="1"/>
  <c r="Y297" i="12"/>
  <c r="Z297" i="12"/>
  <c r="AA297" i="12" s="1"/>
  <c r="AB297" i="12" s="1"/>
  <c r="X298" i="12" s="1"/>
  <c r="N321" i="9"/>
  <c r="P321" i="9" s="1"/>
  <c r="J322" i="9" s="1"/>
  <c r="O322" i="9" s="1"/>
  <c r="B447" i="9"/>
  <c r="R356" i="9"/>
  <c r="AE359" i="9"/>
  <c r="AF359" i="9"/>
  <c r="AN341" i="9" l="1"/>
  <c r="AH342" i="9" s="1"/>
  <c r="AM342" i="9" s="1"/>
  <c r="N309" i="12"/>
  <c r="O309" i="12"/>
  <c r="R335" i="12"/>
  <c r="T335" i="12" s="1"/>
  <c r="V334" i="12"/>
  <c r="W334" i="12" s="1"/>
  <c r="AC313" i="12"/>
  <c r="AE313" i="12" s="1"/>
  <c r="AG312" i="12"/>
  <c r="AH312" i="12" s="1"/>
  <c r="Y298" i="12"/>
  <c r="Z298" i="12"/>
  <c r="E447" i="9"/>
  <c r="D447" i="9"/>
  <c r="L322" i="9"/>
  <c r="M322" i="9"/>
  <c r="U356" i="9"/>
  <c r="T356" i="9"/>
  <c r="V356" i="9" s="1"/>
  <c r="W356" i="9" s="1"/>
  <c r="X356" i="9" s="1"/>
  <c r="Z360" i="9"/>
  <c r="AA298" i="12" l="1"/>
  <c r="AB298" i="12" s="1"/>
  <c r="X299" i="12" s="1"/>
  <c r="F447" i="9"/>
  <c r="H447" i="9" s="1"/>
  <c r="B448" i="9" s="1"/>
  <c r="P309" i="12"/>
  <c r="Q309" i="12" s="1"/>
  <c r="M310" i="12" s="1"/>
  <c r="R336" i="12"/>
  <c r="T336" i="12" s="1"/>
  <c r="V335" i="12"/>
  <c r="W335" i="12" s="1"/>
  <c r="AG313" i="12"/>
  <c r="AH313" i="12" s="1"/>
  <c r="AC314" i="12"/>
  <c r="AE314" i="12" s="1"/>
  <c r="Y299" i="12"/>
  <c r="Z299" i="12"/>
  <c r="N322" i="9"/>
  <c r="P322" i="9" s="1"/>
  <c r="J323" i="9" s="1"/>
  <c r="O323" i="9" s="1"/>
  <c r="R357" i="9"/>
  <c r="AK342" i="9"/>
  <c r="AJ342" i="9" s="1"/>
  <c r="AL342" i="9" s="1"/>
  <c r="AC360" i="9"/>
  <c r="AB360" i="9" s="1"/>
  <c r="AD360" i="9" s="1"/>
  <c r="N310" i="12" l="1"/>
  <c r="O310" i="12"/>
  <c r="P310" i="12"/>
  <c r="Q310" i="12" s="1"/>
  <c r="M311" i="12" s="1"/>
  <c r="R337" i="12"/>
  <c r="T337" i="12" s="1"/>
  <c r="V336" i="12"/>
  <c r="W336" i="12" s="1"/>
  <c r="AC315" i="12"/>
  <c r="AE315" i="12" s="1"/>
  <c r="AG314" i="12"/>
  <c r="AH314" i="12" s="1"/>
  <c r="AA299" i="12"/>
  <c r="AB299" i="12" s="1"/>
  <c r="X300" i="12" s="1"/>
  <c r="E448" i="9"/>
  <c r="D448" i="9" s="1"/>
  <c r="F448" i="9" s="1"/>
  <c r="H448" i="9" s="1"/>
  <c r="M323" i="9"/>
  <c r="L323" i="9"/>
  <c r="N323" i="9" s="1"/>
  <c r="P323" i="9" s="1"/>
  <c r="T357" i="9"/>
  <c r="U357" i="9"/>
  <c r="AN342" i="9"/>
  <c r="AE360" i="9"/>
  <c r="AF360" i="9"/>
  <c r="O311" i="12" l="1"/>
  <c r="N311" i="12"/>
  <c r="P311" i="12" s="1"/>
  <c r="Q311" i="12" s="1"/>
  <c r="M312" i="12" s="1"/>
  <c r="R338" i="12"/>
  <c r="T338" i="12" s="1"/>
  <c r="V337" i="12"/>
  <c r="W337" i="12" s="1"/>
  <c r="AC316" i="12"/>
  <c r="AE316" i="12" s="1"/>
  <c r="AG315" i="12"/>
  <c r="AH315" i="12" s="1"/>
  <c r="Y300" i="12"/>
  <c r="Z300" i="12"/>
  <c r="V357" i="9"/>
  <c r="B449" i="9"/>
  <c r="J324" i="9"/>
  <c r="O324" i="9" s="1"/>
  <c r="AH343" i="9"/>
  <c r="AM343" i="9" s="1"/>
  <c r="Z361" i="9"/>
  <c r="W357" i="9"/>
  <c r="N312" i="12" l="1"/>
  <c r="O312" i="12"/>
  <c r="AA300" i="12"/>
  <c r="AB300" i="12" s="1"/>
  <c r="X301" i="12" s="1"/>
  <c r="R339" i="12"/>
  <c r="T339" i="12" s="1"/>
  <c r="V338" i="12"/>
  <c r="W338" i="12" s="1"/>
  <c r="AC317" i="12"/>
  <c r="AE317" i="12" s="1"/>
  <c r="AG316" i="12"/>
  <c r="AH316" i="12" s="1"/>
  <c r="X357" i="9"/>
  <c r="E449" i="9"/>
  <c r="D449" i="9" s="1"/>
  <c r="F449" i="9" s="1"/>
  <c r="H449" i="9" s="1"/>
  <c r="M324" i="9"/>
  <c r="L324" i="9"/>
  <c r="N324" i="9" s="1"/>
  <c r="P324" i="9" s="1"/>
  <c r="AJ343" i="9"/>
  <c r="AK343" i="9"/>
  <c r="AC361" i="9"/>
  <c r="AB361" i="9" s="1"/>
  <c r="AD361" i="9" s="1"/>
  <c r="R358" i="9"/>
  <c r="P312" i="12" l="1"/>
  <c r="Q312" i="12" s="1"/>
  <c r="M313" i="12" s="1"/>
  <c r="Y301" i="12"/>
  <c r="Z301" i="12"/>
  <c r="V339" i="12"/>
  <c r="W339" i="12" s="1"/>
  <c r="R340" i="12"/>
  <c r="T340" i="12" s="1"/>
  <c r="AC318" i="12"/>
  <c r="AE318" i="12" s="1"/>
  <c r="AG317" i="12"/>
  <c r="AH317" i="12" s="1"/>
  <c r="AA301" i="12"/>
  <c r="AB301" i="12" s="1"/>
  <c r="X302" i="12" s="1"/>
  <c r="AL343" i="9"/>
  <c r="B450" i="9"/>
  <c r="J325" i="9"/>
  <c r="O325" i="9" s="1"/>
  <c r="U358" i="9"/>
  <c r="T358" i="9" s="1"/>
  <c r="V358" i="9" s="1"/>
  <c r="AE361" i="9"/>
  <c r="AF361" i="9" s="1"/>
  <c r="O313" i="12" l="1"/>
  <c r="N313" i="12"/>
  <c r="P313" i="12" s="1"/>
  <c r="Q313" i="12" s="1"/>
  <c r="M314" i="12" s="1"/>
  <c r="V340" i="12"/>
  <c r="W340" i="12" s="1"/>
  <c r="R341" i="12"/>
  <c r="T341" i="12" s="1"/>
  <c r="AC319" i="12"/>
  <c r="AE319" i="12" s="1"/>
  <c r="AG318" i="12"/>
  <c r="AH318" i="12" s="1"/>
  <c r="Z302" i="12"/>
  <c r="Y302" i="12"/>
  <c r="AN343" i="9"/>
  <c r="AH344" i="9" s="1"/>
  <c r="AM344" i="9" s="1"/>
  <c r="E450" i="9"/>
  <c r="D450" i="9"/>
  <c r="F450" i="9" s="1"/>
  <c r="H450" i="9" s="1"/>
  <c r="M325" i="9"/>
  <c r="L325" i="9" s="1"/>
  <c r="N325" i="9" s="1"/>
  <c r="Z362" i="9"/>
  <c r="W358" i="9"/>
  <c r="X358" i="9"/>
  <c r="O314" i="12" l="1"/>
  <c r="N314" i="12"/>
  <c r="P314" i="12" s="1"/>
  <c r="Q314" i="12" s="1"/>
  <c r="M315" i="12" s="1"/>
  <c r="R342" i="12"/>
  <c r="T342" i="12" s="1"/>
  <c r="V341" i="12"/>
  <c r="W341" i="12" s="1"/>
  <c r="AG319" i="12"/>
  <c r="AH319" i="12" s="1"/>
  <c r="AC320" i="12"/>
  <c r="AE320" i="12" s="1"/>
  <c r="AA302" i="12"/>
  <c r="AB302" i="12" s="1"/>
  <c r="X303" i="12" s="1"/>
  <c r="B451" i="9"/>
  <c r="AK344" i="9"/>
  <c r="AJ344" i="9"/>
  <c r="AC362" i="9"/>
  <c r="AB362" i="9"/>
  <c r="AE362" i="9"/>
  <c r="R359" i="9"/>
  <c r="P325" i="9"/>
  <c r="N315" i="12" l="1"/>
  <c r="P315" i="12" s="1"/>
  <c r="Q315" i="12" s="1"/>
  <c r="M316" i="12" s="1"/>
  <c r="O315" i="12"/>
  <c r="AD362" i="9"/>
  <c r="R343" i="12"/>
  <c r="T343" i="12" s="1"/>
  <c r="V342" i="12"/>
  <c r="W342" i="12" s="1"/>
  <c r="AC321" i="12"/>
  <c r="AE321" i="12" s="1"/>
  <c r="AG320" i="12"/>
  <c r="AH320" i="12" s="1"/>
  <c r="Y303" i="12"/>
  <c r="Z303" i="12"/>
  <c r="AA303" i="12"/>
  <c r="AB303" i="12" s="1"/>
  <c r="X304" i="12" s="1"/>
  <c r="AL344" i="9"/>
  <c r="AN344" i="9" s="1"/>
  <c r="E451" i="9"/>
  <c r="D451" i="9" s="1"/>
  <c r="F451" i="9" s="1"/>
  <c r="H451" i="9" s="1"/>
  <c r="AH345" i="9"/>
  <c r="AM345" i="9" s="1"/>
  <c r="T359" i="9"/>
  <c r="U359" i="9"/>
  <c r="J326" i="9"/>
  <c r="O326" i="9" s="1"/>
  <c r="AF362" i="9"/>
  <c r="O316" i="12" l="1"/>
  <c r="N316" i="12"/>
  <c r="P316" i="12" s="1"/>
  <c r="Q316" i="12" s="1"/>
  <c r="M317" i="12" s="1"/>
  <c r="R344" i="12"/>
  <c r="T344" i="12" s="1"/>
  <c r="V343" i="12"/>
  <c r="W343" i="12" s="1"/>
  <c r="AG321" i="12"/>
  <c r="AH321" i="12" s="1"/>
  <c r="AC322" i="12"/>
  <c r="AE322" i="12" s="1"/>
  <c r="Y304" i="12"/>
  <c r="Z304" i="12"/>
  <c r="V359" i="9"/>
  <c r="W359" i="9" s="1"/>
  <c r="B452" i="9"/>
  <c r="AJ345" i="9"/>
  <c r="AK345" i="9"/>
  <c r="M326" i="9"/>
  <c r="L326" i="9"/>
  <c r="N326" i="9" s="1"/>
  <c r="P326" i="9" s="1"/>
  <c r="Z363" i="9"/>
  <c r="X359" i="9"/>
  <c r="O317" i="12" l="1"/>
  <c r="N317" i="12"/>
  <c r="P317" i="12" s="1"/>
  <c r="Q317" i="12" s="1"/>
  <c r="M318" i="12" s="1"/>
  <c r="V344" i="12"/>
  <c r="W344" i="12" s="1"/>
  <c r="R345" i="12"/>
  <c r="T345" i="12" s="1"/>
  <c r="AC323" i="12"/>
  <c r="AE323" i="12" s="1"/>
  <c r="AG322" i="12"/>
  <c r="AH322" i="12" s="1"/>
  <c r="AA304" i="12"/>
  <c r="AB304" i="12" s="1"/>
  <c r="X305" i="12" s="1"/>
  <c r="E452" i="9"/>
  <c r="D452" i="9"/>
  <c r="F452" i="9" s="1"/>
  <c r="H452" i="9" s="1"/>
  <c r="J327" i="9"/>
  <c r="O327" i="9" s="1"/>
  <c r="AC363" i="9"/>
  <c r="AB363" i="9" s="1"/>
  <c r="AD363" i="9" s="1"/>
  <c r="R360" i="9"/>
  <c r="AL345" i="9"/>
  <c r="O318" i="12" l="1"/>
  <c r="N318" i="12"/>
  <c r="P318" i="12" s="1"/>
  <c r="Q318" i="12" s="1"/>
  <c r="M319" i="12" s="1"/>
  <c r="R346" i="12"/>
  <c r="T346" i="12" s="1"/>
  <c r="V345" i="12"/>
  <c r="W345" i="12" s="1"/>
  <c r="AC324" i="12"/>
  <c r="AE324" i="12" s="1"/>
  <c r="AG323" i="12"/>
  <c r="AH323" i="12" s="1"/>
  <c r="Z305" i="12"/>
  <c r="Y305" i="12"/>
  <c r="AA305" i="12" s="1"/>
  <c r="AB305" i="12" s="1"/>
  <c r="X306" i="12" s="1"/>
  <c r="B453" i="9"/>
  <c r="M327" i="9"/>
  <c r="L327" i="9"/>
  <c r="N327" i="9" s="1"/>
  <c r="P327" i="9" s="1"/>
  <c r="U360" i="9"/>
  <c r="T360" i="9" s="1"/>
  <c r="V360" i="9" s="1"/>
  <c r="AN345" i="9"/>
  <c r="AE363" i="9"/>
  <c r="AF363" i="9"/>
  <c r="N319" i="12" l="1"/>
  <c r="O319" i="12"/>
  <c r="R347" i="12"/>
  <c r="T347" i="12" s="1"/>
  <c r="V346" i="12"/>
  <c r="W346" i="12" s="1"/>
  <c r="AC325" i="12"/>
  <c r="AE325" i="12" s="1"/>
  <c r="AG324" i="12"/>
  <c r="AH324" i="12" s="1"/>
  <c r="Z306" i="12"/>
  <c r="Y306" i="12"/>
  <c r="D453" i="9"/>
  <c r="E453" i="9"/>
  <c r="J328" i="9"/>
  <c r="O328" i="9" s="1"/>
  <c r="AH346" i="9"/>
  <c r="AM346" i="9" s="1"/>
  <c r="Z364" i="9"/>
  <c r="D39" i="7" a="1"/>
  <c r="E39" i="7" s="1"/>
  <c r="W360" i="9"/>
  <c r="X360" i="9" s="1"/>
  <c r="AA306" i="12" l="1"/>
  <c r="AB306" i="12" s="1"/>
  <c r="X307" i="12" s="1"/>
  <c r="P319" i="12"/>
  <c r="Q319" i="12" s="1"/>
  <c r="M320" i="12" s="1"/>
  <c r="V347" i="12"/>
  <c r="W347" i="12" s="1"/>
  <c r="R348" i="12"/>
  <c r="T348" i="12" s="1"/>
  <c r="AC326" i="12"/>
  <c r="AE326" i="12" s="1"/>
  <c r="AG325" i="12"/>
  <c r="AH325" i="12" s="1"/>
  <c r="F453" i="9"/>
  <c r="H453" i="9" s="1"/>
  <c r="B454" i="9"/>
  <c r="M328" i="9"/>
  <c r="L328" i="9"/>
  <c r="N328" i="9" s="1"/>
  <c r="P328" i="9" s="1"/>
  <c r="AJ346" i="9"/>
  <c r="AK346" i="9"/>
  <c r="AE364" i="9"/>
  <c r="AB364" i="9"/>
  <c r="AC364" i="9"/>
  <c r="R361" i="9"/>
  <c r="O320" i="12" l="1"/>
  <c r="N320" i="12"/>
  <c r="P320" i="12" s="1"/>
  <c r="Q320" i="12" s="1"/>
  <c r="M321" i="12" s="1"/>
  <c r="Y307" i="12"/>
  <c r="Z307" i="12"/>
  <c r="V348" i="12"/>
  <c r="W348" i="12" s="1"/>
  <c r="R349" i="12"/>
  <c r="T349" i="12" s="1"/>
  <c r="AG326" i="12"/>
  <c r="AH326" i="12" s="1"/>
  <c r="AC327" i="12"/>
  <c r="AE327" i="12" s="1"/>
  <c r="AA307" i="12"/>
  <c r="AB307" i="12" s="1"/>
  <c r="X308" i="12" s="1"/>
  <c r="AL346" i="9"/>
  <c r="AN346" i="9" s="1"/>
  <c r="D454" i="9"/>
  <c r="E454" i="9"/>
  <c r="J329" i="9"/>
  <c r="O329" i="9" s="1"/>
  <c r="U361" i="9"/>
  <c r="T361" i="9" s="1"/>
  <c r="V361" i="9" s="1"/>
  <c r="AD364" i="9"/>
  <c r="AF364" i="9" s="1"/>
  <c r="Z365" i="9" s="1"/>
  <c r="N321" i="12" l="1"/>
  <c r="O321" i="12"/>
  <c r="P321" i="12" s="1"/>
  <c r="F454" i="9"/>
  <c r="H454" i="9" s="1"/>
  <c r="B455" i="9" s="1"/>
  <c r="R350" i="12"/>
  <c r="T350" i="12" s="1"/>
  <c r="V349" i="12"/>
  <c r="W349" i="12" s="1"/>
  <c r="AG327" i="12"/>
  <c r="AH327" i="12" s="1"/>
  <c r="AC328" i="12"/>
  <c r="AE328" i="12" s="1"/>
  <c r="Y308" i="12"/>
  <c r="Z308" i="12"/>
  <c r="M329" i="9"/>
  <c r="L329" i="9" s="1"/>
  <c r="N329" i="9" s="1"/>
  <c r="AB365" i="9"/>
  <c r="AC365" i="9"/>
  <c r="AE365" i="9"/>
  <c r="AH347" i="9"/>
  <c r="AM347" i="9" s="1"/>
  <c r="W361" i="9"/>
  <c r="X361" i="9" s="1"/>
  <c r="Q321" i="12" l="1"/>
  <c r="M322" i="12" s="1"/>
  <c r="V350" i="12"/>
  <c r="W350" i="12" s="1"/>
  <c r="R351" i="12"/>
  <c r="T351" i="12" s="1"/>
  <c r="AC329" i="12"/>
  <c r="AE329" i="12" s="1"/>
  <c r="AG328" i="12"/>
  <c r="AH328" i="12" s="1"/>
  <c r="AA308" i="12"/>
  <c r="AB308" i="12" s="1"/>
  <c r="X309" i="12" s="1"/>
  <c r="D455" i="9"/>
  <c r="E455" i="9"/>
  <c r="AK347" i="9"/>
  <c r="AJ347" i="9"/>
  <c r="AL347" i="9" s="1"/>
  <c r="AN347" i="9" s="1"/>
  <c r="R362" i="9"/>
  <c r="AD365" i="9"/>
  <c r="AF365" i="9" s="1"/>
  <c r="Z366" i="9" s="1"/>
  <c r="P329" i="9"/>
  <c r="F455" i="9" l="1"/>
  <c r="H455" i="9" s="1"/>
  <c r="N322" i="12"/>
  <c r="O322" i="12"/>
  <c r="R352" i="12"/>
  <c r="T352" i="12" s="1"/>
  <c r="V351" i="12"/>
  <c r="W351" i="12" s="1"/>
  <c r="AC330" i="12"/>
  <c r="AE330" i="12" s="1"/>
  <c r="AG329" i="12"/>
  <c r="AH329" i="12" s="1"/>
  <c r="Z309" i="12"/>
  <c r="Y309" i="12"/>
  <c r="B456" i="9"/>
  <c r="AH348" i="9"/>
  <c r="AM348" i="9" s="1"/>
  <c r="U362" i="9"/>
  <c r="T362" i="9" s="1"/>
  <c r="V362" i="9" s="1"/>
  <c r="AE366" i="9"/>
  <c r="AB366" i="9"/>
  <c r="AC366" i="9"/>
  <c r="J330" i="9"/>
  <c r="O330" i="9" s="1"/>
  <c r="P322" i="12" l="1"/>
  <c r="Q322" i="12" s="1"/>
  <c r="M323" i="12" s="1"/>
  <c r="R353" i="12"/>
  <c r="T353" i="12" s="1"/>
  <c r="V352" i="12"/>
  <c r="W352" i="12" s="1"/>
  <c r="AC331" i="12"/>
  <c r="AE331" i="12" s="1"/>
  <c r="AG330" i="12"/>
  <c r="AH330" i="12" s="1"/>
  <c r="AA309" i="12"/>
  <c r="AB309" i="12" s="1"/>
  <c r="X310" i="12" s="1"/>
  <c r="E456" i="9"/>
  <c r="D456" i="9" s="1"/>
  <c r="F456" i="9" s="1"/>
  <c r="H456" i="9" s="1"/>
  <c r="AJ348" i="9"/>
  <c r="AK348" i="9"/>
  <c r="M330" i="9"/>
  <c r="L330" i="9" s="1"/>
  <c r="N330" i="9" s="1"/>
  <c r="AD366" i="9"/>
  <c r="AF366" i="9" s="1"/>
  <c r="Z367" i="9" s="1"/>
  <c r="W362" i="9"/>
  <c r="X362" i="9" s="1"/>
  <c r="N323" i="12" l="1"/>
  <c r="O323" i="12"/>
  <c r="P323" i="12"/>
  <c r="Q323" i="12" s="1"/>
  <c r="M324" i="12" s="1"/>
  <c r="AL348" i="9"/>
  <c r="V353" i="12"/>
  <c r="W353" i="12" s="1"/>
  <c r="R354" i="12"/>
  <c r="T354" i="12" s="1"/>
  <c r="AC332" i="12"/>
  <c r="AE332" i="12" s="1"/>
  <c r="AG331" i="12"/>
  <c r="AH331" i="12" s="1"/>
  <c r="Y310" i="12"/>
  <c r="Z310" i="12"/>
  <c r="B457" i="9"/>
  <c r="AE367" i="9"/>
  <c r="AC367" i="9"/>
  <c r="AB367" i="9"/>
  <c r="AD367" i="9" s="1"/>
  <c r="AF367" i="9" s="1"/>
  <c r="Z368" i="9" s="1"/>
  <c r="R363" i="9"/>
  <c r="P330" i="9"/>
  <c r="O324" i="12" l="1"/>
  <c r="N324" i="12"/>
  <c r="P324" i="12"/>
  <c r="Q324" i="12" s="1"/>
  <c r="M325" i="12" s="1"/>
  <c r="AN348" i="9"/>
  <c r="AH349" i="9" s="1"/>
  <c r="AM349" i="9" s="1"/>
  <c r="V354" i="12"/>
  <c r="W354" i="12" s="1"/>
  <c r="R355" i="12"/>
  <c r="T355" i="12" s="1"/>
  <c r="AC333" i="12"/>
  <c r="AE333" i="12" s="1"/>
  <c r="AG332" i="12"/>
  <c r="AH332" i="12" s="1"/>
  <c r="AA310" i="12"/>
  <c r="AB310" i="12" s="1"/>
  <c r="X311" i="12" s="1"/>
  <c r="E457" i="9"/>
  <c r="D457" i="9"/>
  <c r="F457" i="9" s="1"/>
  <c r="H457" i="9" s="1"/>
  <c r="AB368" i="9"/>
  <c r="AE368" i="9"/>
  <c r="AC368" i="9"/>
  <c r="T363" i="9"/>
  <c r="V363" i="9" s="1"/>
  <c r="U363" i="9"/>
  <c r="J331" i="9"/>
  <c r="O331" i="9" s="1"/>
  <c r="O325" i="12" l="1"/>
  <c r="N325" i="12"/>
  <c r="P325" i="12" s="1"/>
  <c r="Q325" i="12" s="1"/>
  <c r="M326" i="12" s="1"/>
  <c r="R356" i="12"/>
  <c r="T356" i="12" s="1"/>
  <c r="V355" i="12"/>
  <c r="W355" i="12" s="1"/>
  <c r="AC334" i="12"/>
  <c r="AE334" i="12" s="1"/>
  <c r="AG333" i="12"/>
  <c r="AH333" i="12" s="1"/>
  <c r="Z311" i="12"/>
  <c r="Y311" i="12"/>
  <c r="AA311" i="12" s="1"/>
  <c r="AB311" i="12" s="1"/>
  <c r="X312" i="12" s="1"/>
  <c r="B458" i="9"/>
  <c r="AK349" i="9"/>
  <c r="AJ349" i="9" s="1"/>
  <c r="AL349" i="9" s="1"/>
  <c r="L331" i="9"/>
  <c r="M331" i="9"/>
  <c r="AD368" i="9"/>
  <c r="AF368" i="9" s="1"/>
  <c r="Z369" i="9" s="1"/>
  <c r="W363" i="9"/>
  <c r="X363" i="9" s="1"/>
  <c r="N331" i="9" l="1"/>
  <c r="P331" i="9" s="1"/>
  <c r="J332" i="9" s="1"/>
  <c r="O332" i="9" s="1"/>
  <c r="N326" i="12"/>
  <c r="O326" i="12"/>
  <c r="P326" i="12"/>
  <c r="Q326" i="12" s="1"/>
  <c r="M327" i="12" s="1"/>
  <c r="V356" i="12"/>
  <c r="W356" i="12" s="1"/>
  <c r="R357" i="12"/>
  <c r="T357" i="12" s="1"/>
  <c r="AC335" i="12"/>
  <c r="AE335" i="12" s="1"/>
  <c r="AG334" i="12"/>
  <c r="AH334" i="12" s="1"/>
  <c r="Z312" i="12"/>
  <c r="Y312" i="12"/>
  <c r="AA312" i="12" s="1"/>
  <c r="AB312" i="12" s="1"/>
  <c r="X313" i="12" s="1"/>
  <c r="D458" i="9"/>
  <c r="E458" i="9"/>
  <c r="AC369" i="9"/>
  <c r="AB369" i="9"/>
  <c r="AD369" i="9" s="1"/>
  <c r="AE369" i="9"/>
  <c r="R364" i="9"/>
  <c r="AN349" i="9"/>
  <c r="O327" i="12" l="1"/>
  <c r="N327" i="12"/>
  <c r="P327" i="12" s="1"/>
  <c r="Q327" i="12" s="1"/>
  <c r="M328" i="12" s="1"/>
  <c r="F458" i="9"/>
  <c r="H458" i="9" s="1"/>
  <c r="B459" i="9" s="1"/>
  <c r="R358" i="12"/>
  <c r="T358" i="12" s="1"/>
  <c r="V357" i="12"/>
  <c r="W357" i="12" s="1"/>
  <c r="AG335" i="12"/>
  <c r="AH335" i="12" s="1"/>
  <c r="AC336" i="12"/>
  <c r="AE336" i="12" s="1"/>
  <c r="Z313" i="12"/>
  <c r="AA313" i="12" s="1"/>
  <c r="AB313" i="12" s="1"/>
  <c r="X314" i="12" s="1"/>
  <c r="Y313" i="12"/>
  <c r="M332" i="9"/>
  <c r="L332" i="9"/>
  <c r="U364" i="9"/>
  <c r="T364" i="9" s="1"/>
  <c r="V364" i="9" s="1"/>
  <c r="AH350" i="9"/>
  <c r="AM350" i="9" s="1"/>
  <c r="AF369" i="9"/>
  <c r="Z370" i="9" s="1"/>
  <c r="N332" i="9" l="1"/>
  <c r="P332" i="9" s="1"/>
  <c r="J333" i="9" s="1"/>
  <c r="O333" i="9" s="1"/>
  <c r="N328" i="12"/>
  <c r="O328" i="12"/>
  <c r="R359" i="12"/>
  <c r="T359" i="12" s="1"/>
  <c r="V358" i="12"/>
  <c r="W358" i="12" s="1"/>
  <c r="AC337" i="12"/>
  <c r="AE337" i="12" s="1"/>
  <c r="AG336" i="12"/>
  <c r="AH336" i="12" s="1"/>
  <c r="AA314" i="12"/>
  <c r="AB314" i="12" s="1"/>
  <c r="X315" i="12" s="1"/>
  <c r="Y314" i="12"/>
  <c r="Z314" i="12"/>
  <c r="E459" i="9"/>
  <c r="D459" i="9"/>
  <c r="AK350" i="9"/>
  <c r="AJ350" i="9" s="1"/>
  <c r="AL350" i="9" s="1"/>
  <c r="AB370" i="9"/>
  <c r="AC370" i="9"/>
  <c r="AE370" i="9"/>
  <c r="W364" i="9"/>
  <c r="X364" i="9" s="1"/>
  <c r="F459" i="9" l="1"/>
  <c r="H459" i="9" s="1"/>
  <c r="B460" i="9" s="1"/>
  <c r="P328" i="12"/>
  <c r="Q328" i="12" s="1"/>
  <c r="M329" i="12" s="1"/>
  <c r="R360" i="12"/>
  <c r="T360" i="12" s="1"/>
  <c r="V359" i="12"/>
  <c r="W359" i="12" s="1"/>
  <c r="AC338" i="12"/>
  <c r="AE338" i="12" s="1"/>
  <c r="AG337" i="12"/>
  <c r="AH337" i="12" s="1"/>
  <c r="Y315" i="12"/>
  <c r="Z315" i="12"/>
  <c r="M333" i="9"/>
  <c r="L333" i="9"/>
  <c r="R365" i="9"/>
  <c r="AD370" i="9"/>
  <c r="AF370" i="9" s="1"/>
  <c r="Z371" i="9" s="1"/>
  <c r="AN350" i="9"/>
  <c r="N333" i="9" l="1"/>
  <c r="P333" i="9" s="1"/>
  <c r="J334" i="9" s="1"/>
  <c r="O334" i="9" s="1"/>
  <c r="O329" i="12"/>
  <c r="N329" i="12"/>
  <c r="P329" i="12" s="1"/>
  <c r="Q329" i="12" s="1"/>
  <c r="M330" i="12" s="1"/>
  <c r="AA315" i="12"/>
  <c r="AB315" i="12" s="1"/>
  <c r="X316" i="12" s="1"/>
  <c r="R361" i="12"/>
  <c r="T361" i="12" s="1"/>
  <c r="V361" i="12" s="1"/>
  <c r="W361" i="12" s="1"/>
  <c r="V360" i="12"/>
  <c r="W360" i="12" s="1"/>
  <c r="AG338" i="12"/>
  <c r="AH338" i="12" s="1"/>
  <c r="AC339" i="12"/>
  <c r="AE339" i="12" s="1"/>
  <c r="E460" i="9"/>
  <c r="D460" i="9" s="1"/>
  <c r="F460" i="9" s="1"/>
  <c r="H460" i="9" s="1"/>
  <c r="U365" i="9"/>
  <c r="T365" i="9"/>
  <c r="V365" i="9" s="1"/>
  <c r="W365" i="9" s="1"/>
  <c r="X365" i="9" s="1"/>
  <c r="AE371" i="9"/>
  <c r="AB371" i="9"/>
  <c r="AC371" i="9"/>
  <c r="AH351" i="9"/>
  <c r="AM351" i="9" s="1"/>
  <c r="N330" i="12" l="1"/>
  <c r="O330" i="12"/>
  <c r="Y316" i="12"/>
  <c r="Z316" i="12"/>
  <c r="AC340" i="12"/>
  <c r="AE340" i="12" s="1"/>
  <c r="AG339" i="12"/>
  <c r="AH339" i="12" s="1"/>
  <c r="B461" i="9"/>
  <c r="M334" i="9"/>
  <c r="L334" i="9"/>
  <c r="N334" i="9" s="1"/>
  <c r="R366" i="9"/>
  <c r="AK351" i="9"/>
  <c r="AJ351" i="9" s="1"/>
  <c r="AL351" i="9" s="1"/>
  <c r="AD371" i="9"/>
  <c r="AF371" i="9" s="1"/>
  <c r="Z372" i="9" s="1"/>
  <c r="P330" i="12" l="1"/>
  <c r="Q330" i="12" s="1"/>
  <c r="M331" i="12" s="1"/>
  <c r="AA316" i="12"/>
  <c r="AB316" i="12" s="1"/>
  <c r="X317" i="12" s="1"/>
  <c r="AC341" i="12"/>
  <c r="AE341" i="12" s="1"/>
  <c r="AG340" i="12"/>
  <c r="AH340" i="12" s="1"/>
  <c r="E461" i="9"/>
  <c r="D461" i="9" s="1"/>
  <c r="F461" i="9" s="1"/>
  <c r="H461" i="9" s="1"/>
  <c r="U366" i="9"/>
  <c r="T366" i="9" s="1"/>
  <c r="V366" i="9" s="1"/>
  <c r="AB372" i="9"/>
  <c r="AC372" i="9"/>
  <c r="AE372" i="9"/>
  <c r="P334" i="9"/>
  <c r="AN351" i="9"/>
  <c r="N331" i="12" l="1"/>
  <c r="O331" i="12"/>
  <c r="P331" i="12"/>
  <c r="Q331" i="12" s="1"/>
  <c r="M332" i="12" s="1"/>
  <c r="Y317" i="12"/>
  <c r="AA317" i="12" s="1"/>
  <c r="AB317" i="12" s="1"/>
  <c r="X318" i="12" s="1"/>
  <c r="Z317" i="12"/>
  <c r="AG341" i="12"/>
  <c r="AH341" i="12" s="1"/>
  <c r="AC342" i="12"/>
  <c r="AE342" i="12" s="1"/>
  <c r="B462" i="9"/>
  <c r="J335" i="9"/>
  <c r="O335" i="9" s="1"/>
  <c r="AH352" i="9"/>
  <c r="AM352" i="9" s="1"/>
  <c r="AD372" i="9"/>
  <c r="AF372" i="9" s="1"/>
  <c r="Z373" i="9" s="1"/>
  <c r="W366" i="9"/>
  <c r="X366" i="9" s="1"/>
  <c r="N332" i="12" l="1"/>
  <c r="P332" i="12" s="1"/>
  <c r="Q332" i="12" s="1"/>
  <c r="M333" i="12" s="1"/>
  <c r="O332" i="12"/>
  <c r="Z318" i="12"/>
  <c r="Y318" i="12"/>
  <c r="AA318" i="12"/>
  <c r="AB318" i="12" s="1"/>
  <c r="X319" i="12" s="1"/>
  <c r="AC343" i="12"/>
  <c r="AE343" i="12" s="1"/>
  <c r="AG342" i="12"/>
  <c r="AH342" i="12" s="1"/>
  <c r="E462" i="9"/>
  <c r="D462" i="9"/>
  <c r="M335" i="9"/>
  <c r="L335" i="9"/>
  <c r="AK352" i="9"/>
  <c r="AJ352" i="9"/>
  <c r="AL352" i="9" s="1"/>
  <c r="AN352" i="9" s="1"/>
  <c r="AB373" i="9"/>
  <c r="AC373" i="9"/>
  <c r="AE373" i="9"/>
  <c r="R367" i="9"/>
  <c r="O333" i="12" l="1"/>
  <c r="N333" i="12"/>
  <c r="P333" i="12" s="1"/>
  <c r="Q333" i="12" s="1"/>
  <c r="M334" i="12" s="1"/>
  <c r="Y319" i="12"/>
  <c r="Z319" i="12"/>
  <c r="AA319" i="12"/>
  <c r="AB319" i="12" s="1"/>
  <c r="X320" i="12" s="1"/>
  <c r="F462" i="9"/>
  <c r="H462" i="9" s="1"/>
  <c r="B463" i="9" s="1"/>
  <c r="AC344" i="12"/>
  <c r="AE344" i="12" s="1"/>
  <c r="AG343" i="12"/>
  <c r="AH343" i="12" s="1"/>
  <c r="N335" i="9"/>
  <c r="P335" i="9" s="1"/>
  <c r="AH353" i="9"/>
  <c r="AM353" i="9" s="1"/>
  <c r="U367" i="9"/>
  <c r="T367" i="9"/>
  <c r="W367" i="9"/>
  <c r="AD373" i="9"/>
  <c r="AF373" i="9" s="1"/>
  <c r="Z374" i="9" s="1"/>
  <c r="O334" i="12" l="1"/>
  <c r="N334" i="12"/>
  <c r="P334" i="12" s="1"/>
  <c r="Q334" i="12" s="1"/>
  <c r="M335" i="12" s="1"/>
  <c r="Z320" i="12"/>
  <c r="Y320" i="12"/>
  <c r="AA320" i="12" s="1"/>
  <c r="AB320" i="12" s="1"/>
  <c r="X321" i="12" s="1"/>
  <c r="V367" i="9"/>
  <c r="X367" i="9" s="1"/>
  <c r="AC345" i="12"/>
  <c r="AE345" i="12" s="1"/>
  <c r="AG344" i="12"/>
  <c r="AH344" i="12" s="1"/>
  <c r="O335" i="12"/>
  <c r="N335" i="12"/>
  <c r="P335" i="12" s="1"/>
  <c r="Q335" i="12" s="1"/>
  <c r="M336" i="12" s="1"/>
  <c r="E463" i="9"/>
  <c r="D463" i="9" s="1"/>
  <c r="F463" i="9" s="1"/>
  <c r="H463" i="9" s="1"/>
  <c r="AK353" i="9"/>
  <c r="AJ353" i="9" s="1"/>
  <c r="AL353" i="9" s="1"/>
  <c r="AC374" i="9"/>
  <c r="AB374" i="9"/>
  <c r="AD374" i="9" s="1"/>
  <c r="AE374" i="9"/>
  <c r="J336" i="9"/>
  <c r="O336" i="9" s="1"/>
  <c r="Y321" i="12" l="1"/>
  <c r="Z321" i="12"/>
  <c r="AA321" i="12"/>
  <c r="AB321" i="12" s="1"/>
  <c r="X322" i="12" s="1"/>
  <c r="Y322" i="12" s="1"/>
  <c r="AA322" i="12" s="1"/>
  <c r="AB322" i="12" s="1"/>
  <c r="X323" i="12" s="1"/>
  <c r="AC346" i="12"/>
  <c r="AE346" i="12" s="1"/>
  <c r="AG345" i="12"/>
  <c r="AH345" i="12" s="1"/>
  <c r="Z322" i="12"/>
  <c r="N336" i="12"/>
  <c r="P336" i="12" s="1"/>
  <c r="Q336" i="12" s="1"/>
  <c r="M337" i="12" s="1"/>
  <c r="O336" i="12"/>
  <c r="B464" i="9"/>
  <c r="M336" i="9"/>
  <c r="L336" i="9"/>
  <c r="R368" i="9"/>
  <c r="AF374" i="9"/>
  <c r="Z375" i="9" s="1"/>
  <c r="AN353" i="9"/>
  <c r="N336" i="9" l="1"/>
  <c r="P336" i="9" s="1"/>
  <c r="J337" i="9" s="1"/>
  <c r="O337" i="9" s="1"/>
  <c r="AG346" i="12"/>
  <c r="AH346" i="12" s="1"/>
  <c r="AC347" i="12"/>
  <c r="AE347" i="12" s="1"/>
  <c r="Y323" i="12"/>
  <c r="Z323" i="12"/>
  <c r="N337" i="12"/>
  <c r="O337" i="12"/>
  <c r="E464" i="9"/>
  <c r="D464" i="9"/>
  <c r="F464" i="9" s="1"/>
  <c r="H464" i="9" s="1"/>
  <c r="U368" i="9"/>
  <c r="T368" i="9"/>
  <c r="V368" i="9" s="1"/>
  <c r="W368" i="9" s="1"/>
  <c r="X368" i="9" s="1"/>
  <c r="AB375" i="9"/>
  <c r="AD375" i="9" s="1"/>
  <c r="AF375" i="9" s="1"/>
  <c r="Z376" i="9" s="1"/>
  <c r="AC375" i="9"/>
  <c r="AE375" i="9"/>
  <c r="AH354" i="9"/>
  <c r="AM354" i="9" s="1"/>
  <c r="P337" i="12" l="1"/>
  <c r="Q337" i="12" s="1"/>
  <c r="M338" i="12" s="1"/>
  <c r="AG347" i="12"/>
  <c r="AH347" i="12" s="1"/>
  <c r="AC348" i="12"/>
  <c r="AE348" i="12" s="1"/>
  <c r="O338" i="12"/>
  <c r="N338" i="12"/>
  <c r="P338" i="12" s="1"/>
  <c r="Q338" i="12" s="1"/>
  <c r="M339" i="12" s="1"/>
  <c r="AA323" i="12"/>
  <c r="AB323" i="12" s="1"/>
  <c r="X324" i="12" s="1"/>
  <c r="B465" i="9"/>
  <c r="M337" i="9"/>
  <c r="L337" i="9"/>
  <c r="N337" i="9" s="1"/>
  <c r="P337" i="9" s="1"/>
  <c r="R369" i="9"/>
  <c r="AC376" i="9"/>
  <c r="AB376" i="9"/>
  <c r="AE376" i="9"/>
  <c r="AK354" i="9"/>
  <c r="AJ354" i="9" s="1"/>
  <c r="AL354" i="9" s="1"/>
  <c r="AD376" i="9" l="1"/>
  <c r="AF376" i="9" s="1"/>
  <c r="Z377" i="9" s="1"/>
  <c r="AG348" i="12"/>
  <c r="AH348" i="12" s="1"/>
  <c r="AC349" i="12"/>
  <c r="AE349" i="12" s="1"/>
  <c r="N339" i="12"/>
  <c r="O339" i="12"/>
  <c r="Z324" i="12"/>
  <c r="Y324" i="12"/>
  <c r="AA324" i="12" s="1"/>
  <c r="AB324" i="12" s="1"/>
  <c r="X325" i="12" s="1"/>
  <c r="E465" i="9"/>
  <c r="D465" i="9" s="1"/>
  <c r="F465" i="9" s="1"/>
  <c r="H465" i="9" s="1"/>
  <c r="J338" i="9"/>
  <c r="O338" i="9" s="1"/>
  <c r="U369" i="9"/>
  <c r="T369" i="9"/>
  <c r="V369" i="9" s="1"/>
  <c r="W369" i="9" s="1"/>
  <c r="X369" i="9" s="1"/>
  <c r="AN354" i="9"/>
  <c r="AC350" i="12" l="1"/>
  <c r="AE350" i="12" s="1"/>
  <c r="AG349" i="12"/>
  <c r="AH349" i="12" s="1"/>
  <c r="Y325" i="12"/>
  <c r="AA325" i="12" s="1"/>
  <c r="AB325" i="12" s="1"/>
  <c r="X326" i="12" s="1"/>
  <c r="Z325" i="12"/>
  <c r="P339" i="12"/>
  <c r="Q339" i="12" s="1"/>
  <c r="M340" i="12" s="1"/>
  <c r="B466" i="9"/>
  <c r="M338" i="9"/>
  <c r="L338" i="9"/>
  <c r="N338" i="9" s="1"/>
  <c r="P338" i="9" s="1"/>
  <c r="R370" i="9"/>
  <c r="AC377" i="9"/>
  <c r="AE377" i="9"/>
  <c r="AB377" i="9"/>
  <c r="AD377" i="9" s="1"/>
  <c r="AF377" i="9" s="1"/>
  <c r="Z378" i="9" s="1"/>
  <c r="AH355" i="9"/>
  <c r="AM355" i="9" s="1"/>
  <c r="AC351" i="12" l="1"/>
  <c r="AE351" i="12" s="1"/>
  <c r="AG350" i="12"/>
  <c r="AH350" i="12" s="1"/>
  <c r="Y326" i="12"/>
  <c r="Z326" i="12"/>
  <c r="O340" i="12"/>
  <c r="N340" i="12"/>
  <c r="P340" i="12" s="1"/>
  <c r="Q340" i="12" s="1"/>
  <c r="M341" i="12" s="1"/>
  <c r="E466" i="9"/>
  <c r="D466" i="9" s="1"/>
  <c r="F466" i="9" s="1"/>
  <c r="H466" i="9" s="1"/>
  <c r="J339" i="9"/>
  <c r="O339" i="9" s="1"/>
  <c r="U370" i="9"/>
  <c r="T370" i="9"/>
  <c r="V370" i="9" s="1"/>
  <c r="W370" i="9" s="1"/>
  <c r="X370" i="9" s="1"/>
  <c r="AE378" i="9"/>
  <c r="AC378" i="9"/>
  <c r="AB378" i="9"/>
  <c r="AD378" i="9" s="1"/>
  <c r="AF378" i="9" s="1"/>
  <c r="Z379" i="9" s="1"/>
  <c r="AK355" i="9"/>
  <c r="AJ355" i="9" s="1"/>
  <c r="AL355" i="9" s="1"/>
  <c r="AA326" i="12" l="1"/>
  <c r="AB326" i="12" s="1"/>
  <c r="X327" i="12" s="1"/>
  <c r="AG351" i="12"/>
  <c r="AH351" i="12" s="1"/>
  <c r="AC352" i="12"/>
  <c r="AE352" i="12" s="1"/>
  <c r="O341" i="12"/>
  <c r="N341" i="12"/>
  <c r="P341" i="12"/>
  <c r="Q341" i="12" s="1"/>
  <c r="M342" i="12" s="1"/>
  <c r="B467" i="9"/>
  <c r="M339" i="9"/>
  <c r="L339" i="9"/>
  <c r="N339" i="9" s="1"/>
  <c r="P339" i="9" s="1"/>
  <c r="R371" i="9"/>
  <c r="AB379" i="9"/>
  <c r="AE379" i="9"/>
  <c r="AC379" i="9"/>
  <c r="AN355" i="9"/>
  <c r="Z327" i="12" l="1"/>
  <c r="Y327" i="12"/>
  <c r="AA327" i="12" s="1"/>
  <c r="AB327" i="12" s="1"/>
  <c r="X328" i="12" s="1"/>
  <c r="Y328" i="12" s="1"/>
  <c r="AA328" i="12" s="1"/>
  <c r="AB328" i="12" s="1"/>
  <c r="X329" i="12" s="1"/>
  <c r="AC353" i="12"/>
  <c r="AE353" i="12" s="1"/>
  <c r="AG352" i="12"/>
  <c r="AH352" i="12" s="1"/>
  <c r="Z328" i="12"/>
  <c r="O342" i="12"/>
  <c r="N342" i="12"/>
  <c r="P342" i="12" s="1"/>
  <c r="Q342" i="12" s="1"/>
  <c r="M343" i="12" s="1"/>
  <c r="E467" i="9"/>
  <c r="D467" i="9"/>
  <c r="F467" i="9" s="1"/>
  <c r="H467" i="9" s="1"/>
  <c r="J340" i="9"/>
  <c r="O340" i="9" s="1"/>
  <c r="T371" i="9"/>
  <c r="W371" i="9"/>
  <c r="U371" i="9"/>
  <c r="AH356" i="9"/>
  <c r="AM356" i="9" s="1"/>
  <c r="AD379" i="9"/>
  <c r="AF379" i="9" s="1"/>
  <c r="Z380" i="9" s="1"/>
  <c r="AG353" i="12" l="1"/>
  <c r="AH353" i="12" s="1"/>
  <c r="AC354" i="12"/>
  <c r="AE354" i="12" s="1"/>
  <c r="Z329" i="12"/>
  <c r="Y329" i="12"/>
  <c r="AA329" i="12" s="1"/>
  <c r="AB329" i="12" s="1"/>
  <c r="X330" i="12" s="1"/>
  <c r="O343" i="12"/>
  <c r="N343" i="12"/>
  <c r="P343" i="12" s="1"/>
  <c r="Q343" i="12" s="1"/>
  <c r="M344" i="12" s="1"/>
  <c r="V371" i="9"/>
  <c r="X371" i="9" s="1"/>
  <c r="B468" i="9"/>
  <c r="M340" i="9"/>
  <c r="L340" i="9" s="1"/>
  <c r="N340" i="9" s="1"/>
  <c r="AK356" i="9"/>
  <c r="AJ356" i="9" s="1"/>
  <c r="AL356" i="9" s="1"/>
  <c r="AE380" i="9"/>
  <c r="AB380" i="9"/>
  <c r="AC380" i="9"/>
  <c r="AC355" i="12" l="1"/>
  <c r="AE355" i="12" s="1"/>
  <c r="AG354" i="12"/>
  <c r="AH354" i="12" s="1"/>
  <c r="Z330" i="12"/>
  <c r="Y330" i="12"/>
  <c r="AA330" i="12" s="1"/>
  <c r="AB330" i="12" s="1"/>
  <c r="X331" i="12" s="1"/>
  <c r="O344" i="12"/>
  <c r="N344" i="12"/>
  <c r="P344" i="12" s="1"/>
  <c r="Q344" i="12" s="1"/>
  <c r="M345" i="12" s="1"/>
  <c r="E468" i="9"/>
  <c r="D468" i="9"/>
  <c r="R372" i="9"/>
  <c r="AD380" i="9"/>
  <c r="AF380" i="9" s="1"/>
  <c r="Z381" i="9" s="1"/>
  <c r="P340" i="9"/>
  <c r="AN356" i="9"/>
  <c r="AC356" i="12" l="1"/>
  <c r="AE356" i="12" s="1"/>
  <c r="AG355" i="12"/>
  <c r="AH355" i="12" s="1"/>
  <c r="Y331" i="12"/>
  <c r="Z331" i="12"/>
  <c r="O345" i="12"/>
  <c r="N345" i="12"/>
  <c r="P345" i="12" s="1"/>
  <c r="Q345" i="12" s="1"/>
  <c r="M346" i="12" s="1"/>
  <c r="F468" i="9"/>
  <c r="H468" i="9" s="1"/>
  <c r="B469" i="9"/>
  <c r="U372" i="9"/>
  <c r="T372" i="9" s="1"/>
  <c r="V372" i="9" s="1"/>
  <c r="AC381" i="9"/>
  <c r="AB381" i="9"/>
  <c r="AD381" i="9" s="1"/>
  <c r="AF381" i="9" s="1"/>
  <c r="Z382" i="9" s="1"/>
  <c r="AE381" i="9"/>
  <c r="J341" i="9"/>
  <c r="O341" i="9" s="1"/>
  <c r="AH357" i="9"/>
  <c r="AM357" i="9" s="1"/>
  <c r="AC357" i="12" l="1"/>
  <c r="AE357" i="12" s="1"/>
  <c r="AG356" i="12"/>
  <c r="AH356" i="12" s="1"/>
  <c r="N346" i="12"/>
  <c r="P346" i="12" s="1"/>
  <c r="Q346" i="12" s="1"/>
  <c r="M347" i="12" s="1"/>
  <c r="O346" i="12"/>
  <c r="AA331" i="12"/>
  <c r="AB331" i="12" s="1"/>
  <c r="X332" i="12" s="1"/>
  <c r="D469" i="9"/>
  <c r="E469" i="9"/>
  <c r="AB382" i="9"/>
  <c r="AC382" i="9"/>
  <c r="AE382" i="9"/>
  <c r="M341" i="9"/>
  <c r="L341" i="9" s="1"/>
  <c r="N341" i="9" s="1"/>
  <c r="AK357" i="9"/>
  <c r="AJ357" i="9" s="1"/>
  <c r="AL357" i="9" s="1"/>
  <c r="W372" i="9"/>
  <c r="X372" i="9" s="1"/>
  <c r="AC358" i="12" l="1"/>
  <c r="AE358" i="12" s="1"/>
  <c r="AG357" i="12"/>
  <c r="AH357" i="12" s="1"/>
  <c r="N347" i="12"/>
  <c r="O347" i="12"/>
  <c r="Y332" i="12"/>
  <c r="Z332" i="12"/>
  <c r="F469" i="9"/>
  <c r="H469" i="9" s="1"/>
  <c r="B470" i="9" s="1"/>
  <c r="R373" i="9"/>
  <c r="AD382" i="9"/>
  <c r="AF382" i="9" s="1"/>
  <c r="Z383" i="9" s="1"/>
  <c r="P341" i="9"/>
  <c r="AN357" i="9"/>
  <c r="P347" i="12" l="1"/>
  <c r="Q347" i="12" s="1"/>
  <c r="M348" i="12" s="1"/>
  <c r="AC359" i="12"/>
  <c r="AE359" i="12" s="1"/>
  <c r="AG358" i="12"/>
  <c r="AH358" i="12" s="1"/>
  <c r="N348" i="12"/>
  <c r="O348" i="12"/>
  <c r="AA332" i="12"/>
  <c r="AB332" i="12" s="1"/>
  <c r="X333" i="12" s="1"/>
  <c r="E470" i="9"/>
  <c r="D470" i="9" s="1"/>
  <c r="F470" i="9" s="1"/>
  <c r="H470" i="9" s="1"/>
  <c r="U373" i="9"/>
  <c r="T373" i="9"/>
  <c r="V373" i="9" s="1"/>
  <c r="W373" i="9" s="1"/>
  <c r="X373" i="9" s="1"/>
  <c r="AB383" i="9"/>
  <c r="AE383" i="9"/>
  <c r="AC383" i="9"/>
  <c r="J342" i="9"/>
  <c r="O342" i="9" s="1"/>
  <c r="AH358" i="9"/>
  <c r="AM358" i="9" s="1"/>
  <c r="AC360" i="12" l="1"/>
  <c r="AE360" i="12" s="1"/>
  <c r="AG359" i="12"/>
  <c r="AH359" i="12" s="1"/>
  <c r="Y333" i="12"/>
  <c r="Z333" i="12"/>
  <c r="P348" i="12"/>
  <c r="Q348" i="12" s="1"/>
  <c r="M349" i="12" s="1"/>
  <c r="B471" i="9"/>
  <c r="R374" i="9"/>
  <c r="M342" i="9"/>
  <c r="L342" i="9"/>
  <c r="N342" i="9" s="1"/>
  <c r="P342" i="9" s="1"/>
  <c r="AK358" i="9"/>
  <c r="AJ358" i="9"/>
  <c r="AL358" i="9" s="1"/>
  <c r="AN358" i="9" s="1"/>
  <c r="AD383" i="9"/>
  <c r="AF383" i="9" s="1"/>
  <c r="Z384" i="9" s="1"/>
  <c r="AA333" i="12" l="1"/>
  <c r="AB333" i="12" s="1"/>
  <c r="X334" i="12" s="1"/>
  <c r="AG360" i="12"/>
  <c r="AH360" i="12" s="1"/>
  <c r="AC361" i="12"/>
  <c r="AE361" i="12" s="1"/>
  <c r="AG361" i="12" s="1"/>
  <c r="AH361" i="12" s="1"/>
  <c r="Z334" i="12"/>
  <c r="Y334" i="12"/>
  <c r="N349" i="12"/>
  <c r="O349" i="12"/>
  <c r="E471" i="9"/>
  <c r="D471" i="9"/>
  <c r="U374" i="9"/>
  <c r="T374" i="9"/>
  <c r="V374" i="9" s="1"/>
  <c r="W374" i="9" s="1"/>
  <c r="X374" i="9" s="1"/>
  <c r="J343" i="9"/>
  <c r="O343" i="9" s="1"/>
  <c r="AH359" i="9"/>
  <c r="AM359" i="9" s="1"/>
  <c r="AE384" i="9"/>
  <c r="AC384" i="9"/>
  <c r="AB384" i="9"/>
  <c r="AD384" i="9" s="1"/>
  <c r="AF384" i="9" l="1"/>
  <c r="Z385" i="9" s="1"/>
  <c r="AA334" i="12"/>
  <c r="AB334" i="12" s="1"/>
  <c r="X335" i="12" s="1"/>
  <c r="P349" i="12"/>
  <c r="Q349" i="12" s="1"/>
  <c r="M350" i="12" s="1"/>
  <c r="O350" i="12" s="1"/>
  <c r="N350" i="12"/>
  <c r="F471" i="9"/>
  <c r="H471" i="9" s="1"/>
  <c r="B472" i="9" s="1"/>
  <c r="R375" i="9"/>
  <c r="M343" i="9"/>
  <c r="L343" i="9"/>
  <c r="AJ359" i="9"/>
  <c r="AK359" i="9"/>
  <c r="N343" i="9" l="1"/>
  <c r="P343" i="9" s="1"/>
  <c r="J344" i="9" s="1"/>
  <c r="O344" i="9" s="1"/>
  <c r="AC385" i="9"/>
  <c r="AD385" i="9" s="1"/>
  <c r="AF385" i="9" s="1"/>
  <c r="Z386" i="9" s="1"/>
  <c r="AE385" i="9"/>
  <c r="AB385" i="9"/>
  <c r="Z335" i="12"/>
  <c r="Y335" i="12"/>
  <c r="AA335" i="12" s="1"/>
  <c r="AB335" i="12" s="1"/>
  <c r="X336" i="12" s="1"/>
  <c r="P350" i="12"/>
  <c r="Q350" i="12" s="1"/>
  <c r="M351" i="12" s="1"/>
  <c r="AL359" i="9"/>
  <c r="AN359" i="9" s="1"/>
  <c r="AH360" i="9" s="1"/>
  <c r="AM360" i="9" s="1"/>
  <c r="D472" i="9"/>
  <c r="E472" i="9"/>
  <c r="U375" i="9"/>
  <c r="T375" i="9"/>
  <c r="V375" i="9" s="1"/>
  <c r="W375" i="9" s="1"/>
  <c r="X375" i="9" s="1"/>
  <c r="AB386" i="9" l="1"/>
  <c r="AD386" i="9" s="1"/>
  <c r="AF386" i="9" s="1"/>
  <c r="Z387" i="9" s="1"/>
  <c r="AE386" i="9"/>
  <c r="AC386" i="9"/>
  <c r="Z336" i="12"/>
  <c r="Y336" i="12"/>
  <c r="AA336" i="12" s="1"/>
  <c r="AB336" i="12" s="1"/>
  <c r="X337" i="12" s="1"/>
  <c r="N351" i="12"/>
  <c r="O351" i="12"/>
  <c r="P351" i="12"/>
  <c r="Q351" i="12" s="1"/>
  <c r="M352" i="12" s="1"/>
  <c r="F472" i="9"/>
  <c r="H472" i="9" s="1"/>
  <c r="B473" i="9"/>
  <c r="R376" i="9"/>
  <c r="M344" i="9"/>
  <c r="L344" i="9"/>
  <c r="AK360" i="9"/>
  <c r="AJ360" i="9" s="1"/>
  <c r="AL360" i="9" s="1"/>
  <c r="N344" i="9" l="1"/>
  <c r="P344" i="9" s="1"/>
  <c r="J345" i="9" s="1"/>
  <c r="O345" i="9" s="1"/>
  <c r="Y337" i="12"/>
  <c r="AA337" i="12" s="1"/>
  <c r="AB337" i="12" s="1"/>
  <c r="X338" i="12" s="1"/>
  <c r="Z337" i="12"/>
  <c r="O352" i="12"/>
  <c r="N352" i="12"/>
  <c r="E473" i="9"/>
  <c r="D473" i="9" s="1"/>
  <c r="F473" i="9" s="1"/>
  <c r="H473" i="9" s="1"/>
  <c r="U376" i="9"/>
  <c r="T376" i="9"/>
  <c r="AB387" i="9"/>
  <c r="AC387" i="9"/>
  <c r="AE387" i="9"/>
  <c r="AN360" i="9"/>
  <c r="Z338" i="12" l="1"/>
  <c r="Y338" i="12"/>
  <c r="P352" i="12"/>
  <c r="Q352" i="12" s="1"/>
  <c r="M353" i="12" s="1"/>
  <c r="V376" i="9"/>
  <c r="W376" i="9" s="1"/>
  <c r="X376" i="9" s="1"/>
  <c r="R377" i="9" s="1"/>
  <c r="B474" i="9"/>
  <c r="M345" i="9"/>
  <c r="L345" i="9" s="1"/>
  <c r="N345" i="9" s="1"/>
  <c r="AH361" i="9"/>
  <c r="AM361" i="9" s="1"/>
  <c r="AD387" i="9"/>
  <c r="AF387" i="9" s="1"/>
  <c r="Z388" i="9" s="1"/>
  <c r="AA338" i="12" l="1"/>
  <c r="AB338" i="12" s="1"/>
  <c r="X339" i="12" s="1"/>
  <c r="Z339" i="12"/>
  <c r="Y339" i="12"/>
  <c r="AA339" i="12" s="1"/>
  <c r="AB339" i="12" s="1"/>
  <c r="X340" i="12" s="1"/>
  <c r="N353" i="12"/>
  <c r="O353" i="12"/>
  <c r="P353" i="12"/>
  <c r="Q353" i="12" s="1"/>
  <c r="M354" i="12" s="1"/>
  <c r="D474" i="9"/>
  <c r="E474" i="9"/>
  <c r="T377" i="9"/>
  <c r="U377" i="9"/>
  <c r="AK361" i="9"/>
  <c r="AJ361" i="9"/>
  <c r="AL361" i="9" s="1"/>
  <c r="AN361" i="9" s="1"/>
  <c r="AE388" i="9"/>
  <c r="AC388" i="9"/>
  <c r="AB388" i="9"/>
  <c r="AD388" i="9" s="1"/>
  <c r="AF388" i="9" s="1"/>
  <c r="Z389" i="9" s="1"/>
  <c r="P345" i="9"/>
  <c r="Z340" i="12" l="1"/>
  <c r="Y340" i="12"/>
  <c r="AA340" i="12" s="1"/>
  <c r="AB340" i="12" s="1"/>
  <c r="X341" i="12" s="1"/>
  <c r="O354" i="12"/>
  <c r="N354" i="12"/>
  <c r="V377" i="9"/>
  <c r="W377" i="9" s="1"/>
  <c r="X377" i="9" s="1"/>
  <c r="R378" i="9" s="1"/>
  <c r="F474" i="9"/>
  <c r="H474" i="9" s="1"/>
  <c r="B475" i="9"/>
  <c r="AH362" i="9"/>
  <c r="AM362" i="9" s="1"/>
  <c r="AC389" i="9"/>
  <c r="AE389" i="9"/>
  <c r="AB389" i="9"/>
  <c r="J346" i="9"/>
  <c r="O346" i="9" s="1"/>
  <c r="P354" i="12" l="1"/>
  <c r="Q354" i="12" s="1"/>
  <c r="M355" i="12" s="1"/>
  <c r="AD389" i="9"/>
  <c r="AF389" i="9" s="1"/>
  <c r="Z390" i="9" s="1"/>
  <c r="Y341" i="12"/>
  <c r="AA341" i="12" s="1"/>
  <c r="AB341" i="12" s="1"/>
  <c r="X342" i="12" s="1"/>
  <c r="Z341" i="12"/>
  <c r="E475" i="9"/>
  <c r="D475" i="9"/>
  <c r="F475" i="9" s="1"/>
  <c r="H475" i="9" s="1"/>
  <c r="U378" i="9"/>
  <c r="T378" i="9"/>
  <c r="V378" i="9" s="1"/>
  <c r="W378" i="9" s="1"/>
  <c r="X378" i="9" s="1"/>
  <c r="AK362" i="9"/>
  <c r="AJ362" i="9" s="1"/>
  <c r="AL362" i="9" s="1"/>
  <c r="L346" i="9"/>
  <c r="M346" i="9"/>
  <c r="N346" i="9" l="1"/>
  <c r="O355" i="12"/>
  <c r="N355" i="12"/>
  <c r="P355" i="12"/>
  <c r="Q355" i="12" s="1"/>
  <c r="M356" i="12" s="1"/>
  <c r="AE390" i="9"/>
  <c r="AB390" i="9"/>
  <c r="AC390" i="9"/>
  <c r="Z342" i="12"/>
  <c r="Y342" i="12"/>
  <c r="AA342" i="12" s="1"/>
  <c r="AB342" i="12" s="1"/>
  <c r="X343" i="12" s="1"/>
  <c r="B476" i="9"/>
  <c r="R379" i="9"/>
  <c r="AD390" i="9"/>
  <c r="AF390" i="9" s="1"/>
  <c r="Z391" i="9" s="1"/>
  <c r="AN362" i="9"/>
  <c r="P346" i="9" l="1"/>
  <c r="J347" i="9" s="1"/>
  <c r="O347" i="9" s="1"/>
  <c r="O356" i="12"/>
  <c r="N356" i="12"/>
  <c r="P356" i="12" s="1"/>
  <c r="Q356" i="12" s="1"/>
  <c r="M357" i="12" s="1"/>
  <c r="Y343" i="12"/>
  <c r="Z343" i="12"/>
  <c r="E476" i="9"/>
  <c r="D476" i="9"/>
  <c r="F476" i="9" s="1"/>
  <c r="H476" i="9" s="1"/>
  <c r="U379" i="9"/>
  <c r="T379" i="9"/>
  <c r="V379" i="9" s="1"/>
  <c r="W379" i="9" s="1"/>
  <c r="AC391" i="9"/>
  <c r="AB391" i="9"/>
  <c r="AE391" i="9"/>
  <c r="AH363" i="9"/>
  <c r="AM363" i="9" s="1"/>
  <c r="AD391" i="9" l="1"/>
  <c r="AF391" i="9" s="1"/>
  <c r="Z392" i="9" s="1"/>
  <c r="N357" i="12"/>
  <c r="P357" i="12" s="1"/>
  <c r="Q357" i="12" s="1"/>
  <c r="M358" i="12" s="1"/>
  <c r="O357" i="12"/>
  <c r="AA343" i="12"/>
  <c r="AB343" i="12" s="1"/>
  <c r="X344" i="12" s="1"/>
  <c r="B477" i="9"/>
  <c r="M347" i="9"/>
  <c r="L347" i="9"/>
  <c r="N347" i="9" s="1"/>
  <c r="AJ363" i="9"/>
  <c r="AK363" i="9"/>
  <c r="X379" i="9"/>
  <c r="AL363" i="9" l="1"/>
  <c r="AN363" i="9" s="1"/>
  <c r="AC392" i="9"/>
  <c r="AE392" i="9"/>
  <c r="AB392" i="9"/>
  <c r="AD392" i="9" s="1"/>
  <c r="Y344" i="12"/>
  <c r="AA344" i="12" s="1"/>
  <c r="AB344" i="12" s="1"/>
  <c r="X345" i="12" s="1"/>
  <c r="Z344" i="12"/>
  <c r="N358" i="12"/>
  <c r="O358" i="12"/>
  <c r="E477" i="9"/>
  <c r="D477" i="9"/>
  <c r="R380" i="9"/>
  <c r="P347" i="9"/>
  <c r="AF392" i="9" l="1"/>
  <c r="Z393" i="9" s="1"/>
  <c r="F477" i="9"/>
  <c r="H477" i="9" s="1"/>
  <c r="Y345" i="12"/>
  <c r="Z345" i="12"/>
  <c r="P358" i="12"/>
  <c r="Q358" i="12" s="1"/>
  <c r="M359" i="12" s="1"/>
  <c r="B478" i="9"/>
  <c r="U380" i="9"/>
  <c r="T380" i="9" s="1"/>
  <c r="V380" i="9" s="1"/>
  <c r="J348" i="9"/>
  <c r="O348" i="9" s="1"/>
  <c r="AH364" i="9"/>
  <c r="AM364" i="9" s="1"/>
  <c r="D40" i="7" a="1"/>
  <c r="AB393" i="9" l="1"/>
  <c r="AD393" i="9" s="1"/>
  <c r="AF393" i="9" s="1"/>
  <c r="Z394" i="9" s="1"/>
  <c r="AE393" i="9"/>
  <c r="AC393" i="9"/>
  <c r="AA345" i="12"/>
  <c r="AB345" i="12" s="1"/>
  <c r="X346" i="12" s="1"/>
  <c r="N359" i="12"/>
  <c r="O359" i="12"/>
  <c r="P359" i="12" s="1"/>
  <c r="Q359" i="12" s="1"/>
  <c r="M360" i="12" s="1"/>
  <c r="E478" i="9"/>
  <c r="D478" i="9"/>
  <c r="M348" i="9"/>
  <c r="L348" i="9" s="1"/>
  <c r="N348" i="9" s="1"/>
  <c r="AJ364" i="9"/>
  <c r="AK364" i="9"/>
  <c r="E40" i="7"/>
  <c r="H6" i="7"/>
  <c r="W380" i="9"/>
  <c r="X380" i="9" s="1"/>
  <c r="AE394" i="9" l="1"/>
  <c r="AB394" i="9"/>
  <c r="AC394" i="9"/>
  <c r="Z346" i="12"/>
  <c r="Y346" i="12"/>
  <c r="AA346" i="12" s="1"/>
  <c r="AB346" i="12" s="1"/>
  <c r="X347" i="12" s="1"/>
  <c r="Y347" i="12"/>
  <c r="Z347" i="12"/>
  <c r="AA347" i="12"/>
  <c r="AB347" i="12" s="1"/>
  <c r="X348" i="12" s="1"/>
  <c r="O360" i="12"/>
  <c r="N360" i="12"/>
  <c r="P360" i="12" s="1"/>
  <c r="Q360" i="12" s="1"/>
  <c r="M361" i="12" s="1"/>
  <c r="F478" i="9"/>
  <c r="H478" i="9" s="1"/>
  <c r="B479" i="9"/>
  <c r="H7" i="7"/>
  <c r="G71" i="7"/>
  <c r="F77" i="7"/>
  <c r="H78" i="7" a="1"/>
  <c r="G80" i="7"/>
  <c r="B81" i="7" a="1"/>
  <c r="H81" i="7" a="1"/>
  <c r="D82" i="7"/>
  <c r="B84" i="7" a="1"/>
  <c r="D85" i="7"/>
  <c r="E72" i="7"/>
  <c r="B68" i="7" a="1"/>
  <c r="D72" i="7"/>
  <c r="C85" i="7" a="1"/>
  <c r="G88" i="7"/>
  <c r="G91" i="7"/>
  <c r="G93" i="7"/>
  <c r="B72" i="7" a="1"/>
  <c r="C71" i="7" a="1"/>
  <c r="H73" i="7" a="1"/>
  <c r="F74" i="7"/>
  <c r="B75" i="7" a="1"/>
  <c r="F75" i="7"/>
  <c r="D76" i="7"/>
  <c r="H76" i="7" a="1"/>
  <c r="H77" i="7" a="1"/>
  <c r="B79" i="7" a="1"/>
  <c r="F79" i="7"/>
  <c r="E80" i="7"/>
  <c r="E81" i="7"/>
  <c r="F82" i="7"/>
  <c r="D83" i="7"/>
  <c r="C89" i="7" a="1"/>
  <c r="E90" i="7"/>
  <c r="B94" i="7" a="1"/>
  <c r="G66" i="7"/>
  <c r="D67" i="7"/>
  <c r="E68" i="7"/>
  <c r="C69" i="7" a="1"/>
  <c r="F69" i="7"/>
  <c r="H70" i="7" a="1"/>
  <c r="C73" i="7" a="1"/>
  <c r="E75" i="7"/>
  <c r="F76" i="7"/>
  <c r="E78" i="7"/>
  <c r="D80" i="7"/>
  <c r="C81" i="7" a="1"/>
  <c r="H83" i="7" a="1"/>
  <c r="F85" i="7"/>
  <c r="H88" i="7" a="1"/>
  <c r="D90" i="7"/>
  <c r="H92" i="7" a="1"/>
  <c r="E94" i="7"/>
  <c r="B65" i="7" a="1"/>
  <c r="E67" i="7"/>
  <c r="H69" i="7" a="1"/>
  <c r="E71" i="7"/>
  <c r="D73" i="7"/>
  <c r="D74" i="7"/>
  <c r="G74" i="7"/>
  <c r="C77" i="7" a="1"/>
  <c r="D78" i="7"/>
  <c r="G78" i="7"/>
  <c r="G79" i="7"/>
  <c r="F81" i="7"/>
  <c r="C83" i="7" a="1"/>
  <c r="C84" i="7" a="1"/>
  <c r="G84" i="7"/>
  <c r="H85" i="7" a="1"/>
  <c r="E86" i="7"/>
  <c r="B87" i="7" a="1"/>
  <c r="F87" i="7"/>
  <c r="G89" i="7"/>
  <c r="H90" i="7" a="1"/>
  <c r="E91" i="7"/>
  <c r="F93" i="7"/>
  <c r="D65" i="7"/>
  <c r="F65" i="7"/>
  <c r="H65" i="7" a="1"/>
  <c r="E66" i="7"/>
  <c r="C67" i="7" a="1"/>
  <c r="F68" i="7"/>
  <c r="D69" i="7"/>
  <c r="F70" i="7"/>
  <c r="F71" i="7"/>
  <c r="F72" i="7"/>
  <c r="G73" i="7"/>
  <c r="H74" i="7" a="1"/>
  <c r="G75" i="7"/>
  <c r="G76" i="7"/>
  <c r="D77" i="7"/>
  <c r="C78" i="7" a="1"/>
  <c r="E79" i="7"/>
  <c r="B80" i="7" a="1"/>
  <c r="F80" i="7"/>
  <c r="D81" i="7"/>
  <c r="G81" i="7"/>
  <c r="C82" i="7" a="1"/>
  <c r="H82" i="7" a="1"/>
  <c r="B83" i="7" a="1"/>
  <c r="D84" i="7"/>
  <c r="F84" i="7"/>
  <c r="H84" i="7" a="1"/>
  <c r="G85" i="7"/>
  <c r="B85" i="7" a="1"/>
  <c r="D70" i="7"/>
  <c r="C72" i="7" a="1"/>
  <c r="H87" i="7" a="1"/>
  <c r="F90" i="7"/>
  <c r="C92" i="7" a="1"/>
  <c r="G94" i="7"/>
  <c r="E83" i="7"/>
  <c r="D86" i="7"/>
  <c r="E88" i="7"/>
  <c r="B89" i="7" a="1"/>
  <c r="H89" i="7" a="1"/>
  <c r="G90" i="7"/>
  <c r="D92" i="7"/>
  <c r="D93" i="7"/>
  <c r="D94" i="7"/>
  <c r="H94" i="7" a="1"/>
  <c r="F66" i="7"/>
  <c r="C68" i="7" a="1"/>
  <c r="B73" i="7" a="1"/>
  <c r="B74" i="7" a="1"/>
  <c r="B82" i="7" a="1"/>
  <c r="F83" i="7"/>
  <c r="D88" i="7"/>
  <c r="E89" i="7"/>
  <c r="G92" i="7"/>
  <c r="B66" i="7" a="1"/>
  <c r="B67" i="7" a="1"/>
  <c r="G67" i="7"/>
  <c r="H68" i="7" a="1"/>
  <c r="E70" i="7"/>
  <c r="H72" i="7" a="1"/>
  <c r="E74" i="7"/>
  <c r="H75" i="7" a="1"/>
  <c r="C76" i="7" a="1"/>
  <c r="B78" i="7" a="1"/>
  <c r="D79" i="7"/>
  <c r="H80" i="7" a="1"/>
  <c r="E82" i="7"/>
  <c r="B88" i="7" a="1"/>
  <c r="D89" i="7"/>
  <c r="D91" i="7"/>
  <c r="H93" i="7" a="1"/>
  <c r="C65" i="7" a="1"/>
  <c r="D66" i="7"/>
  <c r="H67" i="7" a="1"/>
  <c r="E69" i="7"/>
  <c r="G70" i="7"/>
  <c r="G72" i="7"/>
  <c r="F73" i="7"/>
  <c r="C75" i="7" a="1"/>
  <c r="E76" i="7"/>
  <c r="E77" i="7"/>
  <c r="C79" i="7" a="1"/>
  <c r="C80" i="7" a="1"/>
  <c r="G82" i="7"/>
  <c r="G83" i="7"/>
  <c r="E84" i="7"/>
  <c r="E85" i="7"/>
  <c r="B86" i="7" a="1"/>
  <c r="G86" i="7"/>
  <c r="D87" i="7"/>
  <c r="F88" i="7"/>
  <c r="B90" i="7" a="1"/>
  <c r="B91" i="7" a="1"/>
  <c r="E92" i="7"/>
  <c r="C93" i="7" a="1"/>
  <c r="F94" i="7"/>
  <c r="E65" i="7"/>
  <c r="G65" i="7"/>
  <c r="C66" i="7" a="1"/>
  <c r="H66" i="7" a="1"/>
  <c r="F67" i="7"/>
  <c r="G68" i="7"/>
  <c r="G69" i="7"/>
  <c r="D71" i="7"/>
  <c r="H71" i="7" a="1"/>
  <c r="E73" i="7"/>
  <c r="C74" i="7" a="1"/>
  <c r="D75" i="7"/>
  <c r="B76" i="7" a="1"/>
  <c r="B77" i="7" a="1"/>
  <c r="G77" i="7"/>
  <c r="F78" i="7"/>
  <c r="H79" i="7" a="1"/>
  <c r="C86" i="7" a="1"/>
  <c r="F86" i="7"/>
  <c r="H86" i="7" a="1"/>
  <c r="C87" i="7" a="1"/>
  <c r="E87" i="7"/>
  <c r="G87" i="7"/>
  <c r="C88" i="7" a="1"/>
  <c r="F89" i="7"/>
  <c r="C90" i="7" a="1"/>
  <c r="C91" i="7" a="1"/>
  <c r="F91" i="7"/>
  <c r="H91" i="7" a="1"/>
  <c r="B92" i="7" a="1"/>
  <c r="F92" i="7"/>
  <c r="B93" i="7" a="1"/>
  <c r="E93" i="7"/>
  <c r="C94" i="7" a="1"/>
  <c r="B71" i="7" a="1"/>
  <c r="B69" i="7" a="1"/>
  <c r="D68" i="7"/>
  <c r="B70" i="7" a="1"/>
  <c r="C70" i="7" a="1"/>
  <c r="H104" i="7" a="1"/>
  <c r="G104" i="7"/>
  <c r="F104" i="7"/>
  <c r="E104" i="7"/>
  <c r="D104" i="7"/>
  <c r="C104" i="7" a="1"/>
  <c r="B104" i="7" a="1"/>
  <c r="H103" i="7" a="1"/>
  <c r="F103" i="7"/>
  <c r="D103" i="7"/>
  <c r="C103" i="7" a="1"/>
  <c r="B103" i="7" a="1"/>
  <c r="G103" i="7"/>
  <c r="E103" i="7"/>
  <c r="H102" i="7" a="1"/>
  <c r="G102" i="7"/>
  <c r="F102" i="7"/>
  <c r="E102" i="7"/>
  <c r="D102" i="7"/>
  <c r="C102" i="7" a="1"/>
  <c r="B102" i="7" a="1"/>
  <c r="H101" i="7" a="1"/>
  <c r="G101" i="7"/>
  <c r="F101" i="7"/>
  <c r="E101" i="7"/>
  <c r="D101" i="7"/>
  <c r="C101" i="7" a="1"/>
  <c r="B101" i="7" a="1"/>
  <c r="E100" i="7"/>
  <c r="D100" i="7"/>
  <c r="B100" i="7" a="1"/>
  <c r="C100" i="7" a="1"/>
  <c r="H100" i="7" a="1"/>
  <c r="G100" i="7"/>
  <c r="F100" i="7"/>
  <c r="H99" i="7" a="1"/>
  <c r="F99" i="7"/>
  <c r="B99" i="7" a="1"/>
  <c r="E99" i="7"/>
  <c r="D99" i="7"/>
  <c r="G99" i="7"/>
  <c r="C99" i="7" a="1"/>
  <c r="H98" i="7" a="1"/>
  <c r="G98" i="7"/>
  <c r="F98" i="7"/>
  <c r="E98" i="7"/>
  <c r="D98" i="7"/>
  <c r="C98" i="7" a="1"/>
  <c r="B98" i="7" a="1"/>
  <c r="H97" i="7" a="1"/>
  <c r="G97" i="7"/>
  <c r="F97" i="7"/>
  <c r="E97" i="7"/>
  <c r="D97" i="7"/>
  <c r="C97" i="7" a="1"/>
  <c r="B97" i="7" a="1"/>
  <c r="F96" i="7"/>
  <c r="H96" i="7" a="1"/>
  <c r="E96" i="7"/>
  <c r="D96" i="7"/>
  <c r="B96" i="7" a="1"/>
  <c r="G96" i="7"/>
  <c r="C96" i="7" a="1"/>
  <c r="B95" i="7" a="1"/>
  <c r="E95" i="7"/>
  <c r="C95" i="7" a="1"/>
  <c r="D95" i="7"/>
  <c r="F95" i="7"/>
  <c r="G95" i="7"/>
  <c r="H95" i="7" a="1"/>
  <c r="R381" i="9"/>
  <c r="AL364" i="9"/>
  <c r="AN364" i="9" s="1"/>
  <c r="AH365" i="9" s="1"/>
  <c r="AM365" i="9" s="1"/>
  <c r="P348" i="9"/>
  <c r="AD394" i="9" l="1"/>
  <c r="AF394" i="9" s="1"/>
  <c r="Z395" i="9" s="1"/>
  <c r="Z348" i="12"/>
  <c r="Y348" i="12"/>
  <c r="AA348" i="12"/>
  <c r="AB348" i="12" s="1"/>
  <c r="X349" i="12" s="1"/>
  <c r="O361" i="12"/>
  <c r="N361" i="12"/>
  <c r="E479" i="9"/>
  <c r="D479" i="9"/>
  <c r="F479" i="9" s="1"/>
  <c r="H479" i="9" s="1"/>
  <c r="U381" i="9"/>
  <c r="T381" i="9" s="1"/>
  <c r="V381" i="9" s="1"/>
  <c r="AJ365" i="9"/>
  <c r="AK365" i="9"/>
  <c r="J349" i="9"/>
  <c r="O349" i="9" s="1"/>
  <c r="AB395" i="9" l="1"/>
  <c r="AD395" i="9" s="1"/>
  <c r="AF395" i="9" s="1"/>
  <c r="Z396" i="9" s="1"/>
  <c r="AC395" i="9"/>
  <c r="AE395" i="9"/>
  <c r="AE396" i="9"/>
  <c r="Y349" i="12"/>
  <c r="Z349" i="12"/>
  <c r="P361" i="12"/>
  <c r="Q361" i="12" s="1"/>
  <c r="E12" i="11" s="1"/>
  <c r="B480" i="9"/>
  <c r="M349" i="9"/>
  <c r="L349" i="9" s="1"/>
  <c r="N349" i="9" s="1"/>
  <c r="AL365" i="9"/>
  <c r="AN365" i="9" s="1"/>
  <c r="AH366" i="9" s="1"/>
  <c r="AM366" i="9" s="1"/>
  <c r="W381" i="9"/>
  <c r="X381" i="9" s="1"/>
  <c r="AB396" i="9" l="1"/>
  <c r="AC396" i="9"/>
  <c r="AA349" i="12"/>
  <c r="AB349" i="12" s="1"/>
  <c r="X350" i="12" s="1"/>
  <c r="E480" i="9"/>
  <c r="D480" i="9"/>
  <c r="AK366" i="9"/>
  <c r="AJ366" i="9"/>
  <c r="R382" i="9"/>
  <c r="P349" i="9"/>
  <c r="AD396" i="9" l="1"/>
  <c r="AF396" i="9" s="1"/>
  <c r="Z397" i="9" s="1"/>
  <c r="F480" i="9"/>
  <c r="H480" i="9" s="1"/>
  <c r="Z350" i="12"/>
  <c r="Y350" i="12"/>
  <c r="AA350" i="12" s="1"/>
  <c r="AB350" i="12" s="1"/>
  <c r="X351" i="12" s="1"/>
  <c r="AL366" i="9"/>
  <c r="AN366" i="9" s="1"/>
  <c r="AH367" i="9" s="1"/>
  <c r="AM367" i="9" s="1"/>
  <c r="B481" i="9"/>
  <c r="AK367" i="9"/>
  <c r="U382" i="9"/>
  <c r="T382" i="9" s="1"/>
  <c r="V382" i="9" s="1"/>
  <c r="J350" i="9"/>
  <c r="O350" i="9" s="1"/>
  <c r="AE397" i="9" l="1"/>
  <c r="AB397" i="9"/>
  <c r="AC397" i="9"/>
  <c r="AJ367" i="9"/>
  <c r="AL367" i="9" s="1"/>
  <c r="AN367" i="9" s="1"/>
  <c r="AH368" i="9" s="1"/>
  <c r="AM368" i="9" s="1"/>
  <c r="Y351" i="12"/>
  <c r="Z351" i="12"/>
  <c r="AA351" i="12"/>
  <c r="AB351" i="12" s="1"/>
  <c r="X352" i="12" s="1"/>
  <c r="D481" i="9"/>
  <c r="E481" i="9"/>
  <c r="M350" i="9"/>
  <c r="L350" i="9" s="1"/>
  <c r="N350" i="9" s="1"/>
  <c r="W382" i="9"/>
  <c r="X382" i="9"/>
  <c r="AD397" i="9" l="1"/>
  <c r="AF397" i="9" s="1"/>
  <c r="Z398" i="9" s="1"/>
  <c r="AJ368" i="9"/>
  <c r="AK368" i="9"/>
  <c r="Z352" i="12"/>
  <c r="Y352" i="12"/>
  <c r="AA352" i="12" s="1"/>
  <c r="AB352" i="12" s="1"/>
  <c r="X353" i="12" s="1"/>
  <c r="F481" i="9"/>
  <c r="H481" i="9" s="1"/>
  <c r="E9" i="7" a="1"/>
  <c r="D36" i="7" a="1"/>
  <c r="E36" i="7" s="1"/>
  <c r="E6" i="7"/>
  <c r="E7" i="7" s="1"/>
  <c r="F36" i="7"/>
  <c r="G36" i="7" s="1"/>
  <c r="R383" i="9"/>
  <c r="P350" i="9"/>
  <c r="AL368" i="9" l="1"/>
  <c r="AN368" i="9" s="1"/>
  <c r="AH369" i="9" s="1"/>
  <c r="AB398" i="9"/>
  <c r="AD398" i="9" s="1"/>
  <c r="AF398" i="9" s="1"/>
  <c r="Z399" i="9" s="1"/>
  <c r="AC398" i="9"/>
  <c r="AE398" i="9"/>
  <c r="Z353" i="12"/>
  <c r="Y353" i="12"/>
  <c r="T383" i="9"/>
  <c r="U383" i="9"/>
  <c r="J351" i="9"/>
  <c r="O351" i="9" s="1"/>
  <c r="AM369" i="9" l="1"/>
  <c r="AJ369" i="9"/>
  <c r="AK369" i="9"/>
  <c r="AB399" i="9"/>
  <c r="AE399" i="9"/>
  <c r="AC399" i="9"/>
  <c r="V383" i="9"/>
  <c r="W383" i="9" s="1"/>
  <c r="X383" i="9" s="1"/>
  <c r="R384" i="9" s="1"/>
  <c r="AA353" i="12"/>
  <c r="AB353" i="12" s="1"/>
  <c r="X354" i="12" s="1"/>
  <c r="AL369" i="9"/>
  <c r="AN369" i="9" s="1"/>
  <c r="AH370" i="9" s="1"/>
  <c r="AM370" i="9" s="1"/>
  <c r="M351" i="9"/>
  <c r="L351" i="9"/>
  <c r="N351" i="9" s="1"/>
  <c r="P351" i="9" s="1"/>
  <c r="AD399" i="9" l="1"/>
  <c r="AF399" i="9" s="1"/>
  <c r="Z400" i="9" s="1"/>
  <c r="Y354" i="12"/>
  <c r="Z354" i="12"/>
  <c r="AJ370" i="9"/>
  <c r="AL370" i="9" s="1"/>
  <c r="AN370" i="9" s="1"/>
  <c r="AH371" i="9" s="1"/>
  <c r="AM371" i="9" s="1"/>
  <c r="AK370" i="9"/>
  <c r="U384" i="9"/>
  <c r="T384" i="9"/>
  <c r="J352" i="9"/>
  <c r="O352" i="9" s="1"/>
  <c r="AE400" i="9" l="1"/>
  <c r="AC400" i="9"/>
  <c r="AB400" i="9"/>
  <c r="AD400" i="9" s="1"/>
  <c r="AF400" i="9" s="1"/>
  <c r="Z401" i="9" s="1"/>
  <c r="AE401" i="9" s="1"/>
  <c r="AA354" i="12"/>
  <c r="AB354" i="12" s="1"/>
  <c r="X355" i="12" s="1"/>
  <c r="V384" i="9"/>
  <c r="W384" i="9" s="1"/>
  <c r="X384" i="9" s="1"/>
  <c r="R385" i="9" s="1"/>
  <c r="M352" i="9"/>
  <c r="L352" i="9" s="1"/>
  <c r="N352" i="9" s="1"/>
  <c r="AC401" i="9"/>
  <c r="AB401" i="9"/>
  <c r="AD401" i="9" s="1"/>
  <c r="AJ371" i="9"/>
  <c r="AK371" i="9"/>
  <c r="Z355" i="12" l="1"/>
  <c r="Y355" i="12"/>
  <c r="AA355" i="12" s="1"/>
  <c r="AB355" i="12" s="1"/>
  <c r="X356" i="12" s="1"/>
  <c r="AF401" i="9"/>
  <c r="Z402" i="9" s="1"/>
  <c r="U385" i="9"/>
  <c r="T385" i="9"/>
  <c r="V385" i="9" s="1"/>
  <c r="W385" i="9" s="1"/>
  <c r="X385" i="9" s="1"/>
  <c r="AL371" i="9"/>
  <c r="AN371" i="9" s="1"/>
  <c r="AH372" i="9" s="1"/>
  <c r="AM372" i="9" s="1"/>
  <c r="P352" i="9"/>
  <c r="AB402" i="9" l="1"/>
  <c r="AD402" i="9" s="1"/>
  <c r="AF402" i="9" s="1"/>
  <c r="Z403" i="9" s="1"/>
  <c r="AE402" i="9"/>
  <c r="AC402" i="9"/>
  <c r="Z356" i="12"/>
  <c r="Y356" i="12"/>
  <c r="AA356" i="12" s="1"/>
  <c r="AB356" i="12" s="1"/>
  <c r="X357" i="12" s="1"/>
  <c r="R386" i="9"/>
  <c r="AK372" i="9"/>
  <c r="AJ372" i="9"/>
  <c r="J353" i="9"/>
  <c r="O353" i="9" s="1"/>
  <c r="AL372" i="9" l="1"/>
  <c r="AN372" i="9" s="1"/>
  <c r="AH373" i="9" s="1"/>
  <c r="AM373" i="9" s="1"/>
  <c r="Y357" i="12"/>
  <c r="AA357" i="12" s="1"/>
  <c r="AB357" i="12" s="1"/>
  <c r="X358" i="12" s="1"/>
  <c r="Z357" i="12"/>
  <c r="U386" i="9"/>
  <c r="T386" i="9"/>
  <c r="V386" i="9" s="1"/>
  <c r="W386" i="9" s="1"/>
  <c r="X386" i="9" s="1"/>
  <c r="M353" i="9"/>
  <c r="L353" i="9"/>
  <c r="AC403" i="9"/>
  <c r="AE403" i="9"/>
  <c r="AB403" i="9"/>
  <c r="N353" i="9" l="1"/>
  <c r="P353" i="9" s="1"/>
  <c r="J354" i="9" s="1"/>
  <c r="O354" i="9" s="1"/>
  <c r="AJ373" i="9"/>
  <c r="AK373" i="9"/>
  <c r="Z358" i="12"/>
  <c r="Y358" i="12"/>
  <c r="AD403" i="9"/>
  <c r="AF403" i="9" s="1"/>
  <c r="Z404" i="9" s="1"/>
  <c r="R387" i="9"/>
  <c r="AL373" i="9" l="1"/>
  <c r="AN373" i="9" s="1"/>
  <c r="AH374" i="9" s="1"/>
  <c r="AM374" i="9" s="1"/>
  <c r="AA358" i="12"/>
  <c r="AB358" i="12" s="1"/>
  <c r="X359" i="12" s="1"/>
  <c r="AC404" i="9"/>
  <c r="AB404" i="9"/>
  <c r="AD404" i="9" s="1"/>
  <c r="AE404" i="9"/>
  <c r="T387" i="9"/>
  <c r="U387" i="9"/>
  <c r="M354" i="9"/>
  <c r="L354" i="9"/>
  <c r="AJ374" i="9"/>
  <c r="AK374" i="9"/>
  <c r="AF404" i="9" l="1"/>
  <c r="Z405" i="9" s="1"/>
  <c r="AB405" i="9" s="1"/>
  <c r="V387" i="9"/>
  <c r="Z359" i="12"/>
  <c r="Y359" i="12"/>
  <c r="AA359" i="12"/>
  <c r="AB359" i="12" s="1"/>
  <c r="X360" i="12" s="1"/>
  <c r="N354" i="9"/>
  <c r="AE405" i="9"/>
  <c r="AC405" i="9"/>
  <c r="AL374" i="9"/>
  <c r="AN374" i="9" s="1"/>
  <c r="AH375" i="9" s="1"/>
  <c r="AM375" i="9" s="1"/>
  <c r="W387" i="9"/>
  <c r="P354" i="9" l="1"/>
  <c r="J355" i="9" s="1"/>
  <c r="O355" i="9" s="1"/>
  <c r="X387" i="9"/>
  <c r="R388" i="9" s="1"/>
  <c r="Z360" i="12"/>
  <c r="Y360" i="12"/>
  <c r="AA360" i="12" s="1"/>
  <c r="AB360" i="12" s="1"/>
  <c r="X361" i="12" s="1"/>
  <c r="AJ375" i="9"/>
  <c r="AK375" i="9"/>
  <c r="AD405" i="9"/>
  <c r="AF405" i="9" s="1"/>
  <c r="Z406" i="9" s="1"/>
  <c r="Z361" i="12" l="1"/>
  <c r="Y361" i="12"/>
  <c r="AL375" i="9"/>
  <c r="AN375" i="9" s="1"/>
  <c r="AH376" i="9" s="1"/>
  <c r="AM376" i="9" s="1"/>
  <c r="M355" i="9"/>
  <c r="L355" i="9"/>
  <c r="N355" i="9" s="1"/>
  <c r="P355" i="9" s="1"/>
  <c r="U388" i="9"/>
  <c r="T388" i="9" s="1"/>
  <c r="V388" i="9" s="1"/>
  <c r="AE406" i="9"/>
  <c r="AB406" i="9"/>
  <c r="AC406" i="9"/>
  <c r="AA361" i="12" l="1"/>
  <c r="AB361" i="12" s="1"/>
  <c r="AK376" i="9"/>
  <c r="AJ376" i="9"/>
  <c r="AL376" i="9" s="1"/>
  <c r="AN376" i="9" s="1"/>
  <c r="AH377" i="9" s="1"/>
  <c r="AM377" i="9" s="1"/>
  <c r="J356" i="9"/>
  <c r="O356" i="9" s="1"/>
  <c r="AD406" i="9"/>
  <c r="AF406" i="9" s="1"/>
  <c r="Z407" i="9" s="1"/>
  <c r="W388" i="9"/>
  <c r="X388" i="9" s="1"/>
  <c r="M356" i="9" l="1"/>
  <c r="L356" i="9"/>
  <c r="N356" i="9" s="1"/>
  <c r="P356" i="9" s="1"/>
  <c r="AJ377" i="9"/>
  <c r="AK377" i="9"/>
  <c r="AE407" i="9"/>
  <c r="AB407" i="9"/>
  <c r="AC407" i="9"/>
  <c r="R389" i="9"/>
  <c r="AL377" i="9" l="1"/>
  <c r="AN377" i="9" s="1"/>
  <c r="AH378" i="9" s="1"/>
  <c r="J357" i="9"/>
  <c r="O357" i="9" s="1"/>
  <c r="AK378" i="9"/>
  <c r="U389" i="9"/>
  <c r="T389" i="9"/>
  <c r="AD407" i="9"/>
  <c r="AF407" i="9" s="1"/>
  <c r="Z408" i="9" s="1"/>
  <c r="AM378" i="9" l="1"/>
  <c r="AJ378" i="9"/>
  <c r="V389" i="9"/>
  <c r="AL378" i="9"/>
  <c r="AN378" i="9" s="1"/>
  <c r="AH379" i="9" s="1"/>
  <c r="AM379" i="9" s="1"/>
  <c r="M357" i="9"/>
  <c r="L357" i="9"/>
  <c r="AE408" i="9"/>
  <c r="AC408" i="9"/>
  <c r="AB408" i="9"/>
  <c r="AD408" i="9" s="1"/>
  <c r="W389" i="9"/>
  <c r="X389" i="9" l="1"/>
  <c r="R390" i="9" s="1"/>
  <c r="AJ379" i="9"/>
  <c r="AK379" i="9"/>
  <c r="AL379" i="9" s="1"/>
  <c r="AN379" i="9" s="1"/>
  <c r="AH380" i="9" s="1"/>
  <c r="AM380" i="9" s="1"/>
  <c r="N357" i="9"/>
  <c r="P357" i="9" s="1"/>
  <c r="J358" i="9" s="1"/>
  <c r="O358" i="9" s="1"/>
  <c r="AF408" i="9"/>
  <c r="Z409" i="9" s="1"/>
  <c r="AB409" i="9" l="1"/>
  <c r="AD409" i="9" s="1"/>
  <c r="AF409" i="9" s="1"/>
  <c r="Z410" i="9" s="1"/>
  <c r="AC409" i="9"/>
  <c r="AE409" i="9"/>
  <c r="M358" i="9"/>
  <c r="L358" i="9"/>
  <c r="U390" i="9"/>
  <c r="T390" i="9" s="1"/>
  <c r="V390" i="9" s="1"/>
  <c r="AJ380" i="9"/>
  <c r="AK380" i="9"/>
  <c r="N358" i="9" l="1"/>
  <c r="P358" i="9" s="1"/>
  <c r="J359" i="9" s="1"/>
  <c r="O359" i="9" s="1"/>
  <c r="AE410" i="9"/>
  <c r="AC410" i="9"/>
  <c r="AB410" i="9"/>
  <c r="AD410" i="9" s="1"/>
  <c r="AF410" i="9" s="1"/>
  <c r="Z411" i="9" s="1"/>
  <c r="AL380" i="9"/>
  <c r="AN380" i="9" s="1"/>
  <c r="AH381" i="9" s="1"/>
  <c r="AM381" i="9" s="1"/>
  <c r="W390" i="9"/>
  <c r="X390" i="9"/>
  <c r="M359" i="9" l="1"/>
  <c r="L359" i="9"/>
  <c r="N359" i="9" s="1"/>
  <c r="AB411" i="9"/>
  <c r="AE411" i="9"/>
  <c r="AC411" i="9"/>
  <c r="AK381" i="9"/>
  <c r="AJ381" i="9"/>
  <c r="R391" i="9"/>
  <c r="AL381" i="9" l="1"/>
  <c r="AN381" i="9" s="1"/>
  <c r="AH382" i="9" s="1"/>
  <c r="AM382" i="9" s="1"/>
  <c r="U391" i="9"/>
  <c r="T391" i="9" s="1"/>
  <c r="V391" i="9" s="1"/>
  <c r="P359" i="9"/>
  <c r="AD411" i="9"/>
  <c r="AF411" i="9" s="1"/>
  <c r="Z412" i="9" s="1"/>
  <c r="AK382" i="9" l="1"/>
  <c r="AJ382" i="9"/>
  <c r="J360" i="9"/>
  <c r="O360" i="9" s="1"/>
  <c r="AE412" i="9"/>
  <c r="AB412" i="9"/>
  <c r="AC412" i="9"/>
  <c r="W391" i="9"/>
  <c r="X391" i="9" s="1"/>
  <c r="AL382" i="9" l="1"/>
  <c r="AN382" i="9" s="1"/>
  <c r="AH383" i="9" s="1"/>
  <c r="AM383" i="9" s="1"/>
  <c r="M360" i="9"/>
  <c r="L360" i="9"/>
  <c r="R392" i="9"/>
  <c r="AD412" i="9"/>
  <c r="AF412" i="9" s="1"/>
  <c r="Z413" i="9" s="1"/>
  <c r="N360" i="9" l="1"/>
  <c r="P360" i="9" s="1"/>
  <c r="AJ383" i="9"/>
  <c r="AK383" i="9"/>
  <c r="U392" i="9"/>
  <c r="T392" i="9" s="1"/>
  <c r="V392" i="9" s="1"/>
  <c r="AB413" i="9"/>
  <c r="AE413" i="9"/>
  <c r="AC413" i="9"/>
  <c r="AL383" i="9" l="1"/>
  <c r="AN383" i="9" s="1"/>
  <c r="AH384" i="9" s="1"/>
  <c r="AM384" i="9" s="1"/>
  <c r="J361" i="9"/>
  <c r="O361" i="9" s="1"/>
  <c r="AD413" i="9"/>
  <c r="AF413" i="9" s="1"/>
  <c r="Z414" i="9" s="1"/>
  <c r="W392" i="9"/>
  <c r="X392" i="9"/>
  <c r="AK384" i="9" l="1"/>
  <c r="AJ384" i="9"/>
  <c r="AL384" i="9" s="1"/>
  <c r="AN384" i="9" s="1"/>
  <c r="AH385" i="9" s="1"/>
  <c r="AM385" i="9" s="1"/>
  <c r="M361" i="9"/>
  <c r="L361" i="9" s="1"/>
  <c r="N361" i="9" s="1"/>
  <c r="AE414" i="9"/>
  <c r="AB414" i="9"/>
  <c r="AC414" i="9"/>
  <c r="R393" i="9"/>
  <c r="AK385" i="9" l="1"/>
  <c r="AJ385" i="9"/>
  <c r="AL385" i="9" s="1"/>
  <c r="AN385" i="9" s="1"/>
  <c r="AH386" i="9" s="1"/>
  <c r="AM386" i="9" s="1"/>
  <c r="U393" i="9"/>
  <c r="T393" i="9"/>
  <c r="V393" i="9" s="1"/>
  <c r="W393" i="9" s="1"/>
  <c r="X393" i="9" s="1"/>
  <c r="AD414" i="9"/>
  <c r="AF414" i="9" s="1"/>
  <c r="Z415" i="9" s="1"/>
  <c r="P361" i="9"/>
  <c r="AJ386" i="9" l="1"/>
  <c r="AK386" i="9"/>
  <c r="R394" i="9"/>
  <c r="AB415" i="9"/>
  <c r="AC415" i="9"/>
  <c r="AE415" i="9"/>
  <c r="J362" i="9"/>
  <c r="O362" i="9" s="1"/>
  <c r="AL386" i="9" l="1"/>
  <c r="AN386" i="9" s="1"/>
  <c r="AH387" i="9" s="1"/>
  <c r="AJ387" i="9"/>
  <c r="U394" i="9"/>
  <c r="T394" i="9" s="1"/>
  <c r="V394" i="9" s="1"/>
  <c r="M362" i="9"/>
  <c r="L362" i="9" s="1"/>
  <c r="N362" i="9" s="1"/>
  <c r="AD415" i="9"/>
  <c r="AF415" i="9" s="1"/>
  <c r="Z416" i="9" s="1"/>
  <c r="AK387" i="9" l="1"/>
  <c r="AL387" i="9" s="1"/>
  <c r="AM387" i="9"/>
  <c r="AC416" i="9"/>
  <c r="AB416" i="9"/>
  <c r="AE416" i="9"/>
  <c r="W394" i="9"/>
  <c r="X394" i="9" s="1"/>
  <c r="P362" i="9"/>
  <c r="AN387" i="9" l="1"/>
  <c r="AH388" i="9" s="1"/>
  <c r="AD416" i="9"/>
  <c r="AF416" i="9" s="1"/>
  <c r="Z417" i="9" s="1"/>
  <c r="R395" i="9"/>
  <c r="J363" i="9"/>
  <c r="O363" i="9" s="1"/>
  <c r="AK388" i="9" l="1"/>
  <c r="AJ388" i="9"/>
  <c r="AL388" i="9" s="1"/>
  <c r="AM388" i="9"/>
  <c r="AB417" i="9"/>
  <c r="AC417" i="9"/>
  <c r="AE417" i="9"/>
  <c r="T395" i="9"/>
  <c r="U395" i="9"/>
  <c r="L363" i="9"/>
  <c r="M363" i="9"/>
  <c r="AN388" i="9" l="1"/>
  <c r="AH389" i="9" s="1"/>
  <c r="AD417" i="9"/>
  <c r="AF417" i="9" s="1"/>
  <c r="Z418" i="9" s="1"/>
  <c r="V395" i="9"/>
  <c r="N363" i="9"/>
  <c r="P363" i="9" s="1"/>
  <c r="J364" i="9" s="1"/>
  <c r="O364" i="9" s="1"/>
  <c r="AJ389" i="9" l="1"/>
  <c r="AK389" i="9"/>
  <c r="AM389" i="9"/>
  <c r="AB418" i="9"/>
  <c r="AD418" i="9" s="1"/>
  <c r="AF418" i="9" s="1"/>
  <c r="Z419" i="9" s="1"/>
  <c r="AE418" i="9"/>
  <c r="AC418" i="9"/>
  <c r="W395" i="9"/>
  <c r="X395" i="9"/>
  <c r="R396" i="9" s="1"/>
  <c r="M364" i="9"/>
  <c r="L364" i="9" s="1"/>
  <c r="N364" i="9" s="1"/>
  <c r="AL389" i="9" l="1"/>
  <c r="AN389" i="9" s="1"/>
  <c r="AH390" i="9" s="1"/>
  <c r="T396" i="9"/>
  <c r="U396" i="9"/>
  <c r="AE419" i="9"/>
  <c r="AC419" i="9"/>
  <c r="AB419" i="9"/>
  <c r="P364" i="9"/>
  <c r="AM390" i="9" l="1"/>
  <c r="AK390" i="9"/>
  <c r="AJ390" i="9"/>
  <c r="AL390" i="9" s="1"/>
  <c r="AN390" i="9" s="1"/>
  <c r="AH391" i="9" s="1"/>
  <c r="AD419" i="9"/>
  <c r="AF419" i="9" s="1"/>
  <c r="Z420" i="9" s="1"/>
  <c r="V396" i="9"/>
  <c r="W396" i="9" s="1"/>
  <c r="X396" i="9" s="1"/>
  <c r="R397" i="9" s="1"/>
  <c r="J365" i="9"/>
  <c r="O365" i="9" s="1"/>
  <c r="AJ391" i="9" l="1"/>
  <c r="AK391" i="9"/>
  <c r="AM391" i="9"/>
  <c r="U397" i="9"/>
  <c r="T397" i="9"/>
  <c r="V397" i="9" s="1"/>
  <c r="W397" i="9" s="1"/>
  <c r="X397" i="9" s="1"/>
  <c r="M365" i="9"/>
  <c r="L365" i="9"/>
  <c r="AB420" i="9"/>
  <c r="AC420" i="9"/>
  <c r="AE420" i="9"/>
  <c r="AL391" i="9" l="1"/>
  <c r="AN391" i="9" s="1"/>
  <c r="AH392" i="9" s="1"/>
  <c r="N365" i="9"/>
  <c r="P365" i="9" s="1"/>
  <c r="J366" i="9" s="1"/>
  <c r="O366" i="9" s="1"/>
  <c r="R398" i="9"/>
  <c r="AD420" i="9"/>
  <c r="AF420" i="9" s="1"/>
  <c r="Z421" i="9" s="1"/>
  <c r="AM392" i="9" l="1"/>
  <c r="AJ392" i="9"/>
  <c r="AK392" i="9"/>
  <c r="U398" i="9"/>
  <c r="T398" i="9"/>
  <c r="V398" i="9" s="1"/>
  <c r="W398" i="9" s="1"/>
  <c r="X398" i="9" s="1"/>
  <c r="M366" i="9"/>
  <c r="L366" i="9" s="1"/>
  <c r="N366" i="9" s="1"/>
  <c r="AB421" i="9"/>
  <c r="AC421" i="9"/>
  <c r="AE421" i="9"/>
  <c r="AL392" i="9" l="1"/>
  <c r="AN392" i="9" s="1"/>
  <c r="AH393" i="9" s="1"/>
  <c r="AD421" i="9"/>
  <c r="AF421" i="9" s="1"/>
  <c r="Z422" i="9" s="1"/>
  <c r="AB422" i="9" s="1"/>
  <c r="R399" i="9"/>
  <c r="P366" i="9"/>
  <c r="AM393" i="9" l="1"/>
  <c r="AK393" i="9"/>
  <c r="AJ393" i="9"/>
  <c r="AL393" i="9" s="1"/>
  <c r="AN393" i="9" s="1"/>
  <c r="AH394" i="9" s="1"/>
  <c r="AC422" i="9"/>
  <c r="AD422" i="9" s="1"/>
  <c r="AE422" i="9"/>
  <c r="U399" i="9"/>
  <c r="T399" i="9" s="1"/>
  <c r="V399" i="9" s="1"/>
  <c r="J367" i="9"/>
  <c r="O367" i="9" s="1"/>
  <c r="AK394" i="9" l="1"/>
  <c r="AJ394" i="9"/>
  <c r="AL394" i="9" s="1"/>
  <c r="AN394" i="9" s="1"/>
  <c r="AH395" i="9" s="1"/>
  <c r="AM394" i="9"/>
  <c r="AF422" i="9"/>
  <c r="Z423" i="9" s="1"/>
  <c r="L367" i="9"/>
  <c r="M367" i="9"/>
  <c r="W399" i="9"/>
  <c r="X399" i="9"/>
  <c r="AJ395" i="9" l="1"/>
  <c r="AL395" i="9" s="1"/>
  <c r="AN395" i="9" s="1"/>
  <c r="AH396" i="9" s="1"/>
  <c r="AK395" i="9"/>
  <c r="AM395" i="9"/>
  <c r="N367" i="9"/>
  <c r="AC423" i="9"/>
  <c r="AE423" i="9"/>
  <c r="AB423" i="9"/>
  <c r="AD423" i="9" s="1"/>
  <c r="AF423" i="9" s="1"/>
  <c r="Z424" i="9" s="1"/>
  <c r="R400" i="9"/>
  <c r="AM396" i="9" l="1"/>
  <c r="AK396" i="9"/>
  <c r="AJ396" i="9"/>
  <c r="AL396" i="9" s="1"/>
  <c r="AN396" i="9"/>
  <c r="AH397" i="9" s="1"/>
  <c r="AM397" i="9" s="1"/>
  <c r="P367" i="9"/>
  <c r="J368" i="9" s="1"/>
  <c r="O368" i="9" s="1"/>
  <c r="AC424" i="9"/>
  <c r="AE424" i="9"/>
  <c r="AB424" i="9"/>
  <c r="AD424" i="9" s="1"/>
  <c r="AF424" i="9" s="1"/>
  <c r="Z425" i="9" s="1"/>
  <c r="U400" i="9"/>
  <c r="T400" i="9" s="1"/>
  <c r="V400" i="9" s="1"/>
  <c r="AK397" i="9" l="1"/>
  <c r="AJ397" i="9"/>
  <c r="AL397" i="9" s="1"/>
  <c r="AN397" i="9" s="1"/>
  <c r="AH398" i="9" s="1"/>
  <c r="AM398" i="9" s="1"/>
  <c r="AB425" i="9"/>
  <c r="AE425" i="9"/>
  <c r="AC425" i="9"/>
  <c r="L368" i="9"/>
  <c r="M368" i="9"/>
  <c r="W400" i="9"/>
  <c r="X400" i="9" s="1"/>
  <c r="AK398" i="9" l="1"/>
  <c r="AJ398" i="9"/>
  <c r="N368" i="9"/>
  <c r="P368" i="9" s="1"/>
  <c r="J369" i="9" s="1"/>
  <c r="O369" i="9" s="1"/>
  <c r="AD425" i="9"/>
  <c r="AF425" i="9" s="1"/>
  <c r="Z426" i="9" s="1"/>
  <c r="R401" i="9"/>
  <c r="AL398" i="9" l="1"/>
  <c r="AN398" i="9" s="1"/>
  <c r="AH399" i="9" s="1"/>
  <c r="AM399" i="9" s="1"/>
  <c r="AB426" i="9"/>
  <c r="AE426" i="9"/>
  <c r="AC426" i="9"/>
  <c r="M369" i="9"/>
  <c r="L369" i="9" s="1"/>
  <c r="N369" i="9" s="1"/>
  <c r="U401" i="9"/>
  <c r="T401" i="9"/>
  <c r="V401" i="9" s="1"/>
  <c r="W401" i="9" s="1"/>
  <c r="AK399" i="9" l="1"/>
  <c r="AJ399" i="9"/>
  <c r="AL399" i="9" s="1"/>
  <c r="AN399" i="9" s="1"/>
  <c r="AH400" i="9" s="1"/>
  <c r="AM400" i="9" s="1"/>
  <c r="AD426" i="9"/>
  <c r="AF426" i="9" s="1"/>
  <c r="Z427" i="9" s="1"/>
  <c r="X401" i="9"/>
  <c r="P369" i="9"/>
  <c r="AK400" i="9" l="1"/>
  <c r="AJ400" i="9"/>
  <c r="AL400" i="9" s="1"/>
  <c r="AN400" i="9" s="1"/>
  <c r="AH401" i="9" s="1"/>
  <c r="AM401" i="9" s="1"/>
  <c r="AC427" i="9"/>
  <c r="AB427" i="9"/>
  <c r="AD427" i="9" s="1"/>
  <c r="AE427" i="9"/>
  <c r="AF427" i="9"/>
  <c r="Z428" i="9" s="1"/>
  <c r="R402" i="9"/>
  <c r="J370" i="9"/>
  <c r="O370" i="9" s="1"/>
  <c r="AJ401" i="9" l="1"/>
  <c r="AK401" i="9"/>
  <c r="AE428" i="9"/>
  <c r="AC428" i="9"/>
  <c r="AB428" i="9"/>
  <c r="U402" i="9"/>
  <c r="T402" i="9"/>
  <c r="M370" i="9"/>
  <c r="L370" i="9" s="1"/>
  <c r="N370" i="9" s="1"/>
  <c r="AL401" i="9" l="1"/>
  <c r="AN401" i="9" s="1"/>
  <c r="AH402" i="9" s="1"/>
  <c r="AM402" i="9" s="1"/>
  <c r="V402" i="9"/>
  <c r="W402" i="9" s="1"/>
  <c r="X402" i="9" s="1"/>
  <c r="R403" i="9" s="1"/>
  <c r="AD428" i="9"/>
  <c r="AF428" i="9" s="1"/>
  <c r="Z429" i="9" s="1"/>
  <c r="P370" i="9"/>
  <c r="AJ402" i="9" l="1"/>
  <c r="AK402" i="9"/>
  <c r="AB429" i="9"/>
  <c r="AE429" i="9"/>
  <c r="AC429" i="9"/>
  <c r="U403" i="9"/>
  <c r="T403" i="9" s="1"/>
  <c r="V403" i="9" s="1"/>
  <c r="J371" i="9"/>
  <c r="O371" i="9" s="1"/>
  <c r="AL402" i="9" l="1"/>
  <c r="AN402" i="9" s="1"/>
  <c r="AH403" i="9" s="1"/>
  <c r="AM403" i="9" s="1"/>
  <c r="AK403" i="9"/>
  <c r="AJ403" i="9"/>
  <c r="AD429" i="9"/>
  <c r="AF429" i="9" s="1"/>
  <c r="Z430" i="9" s="1"/>
  <c r="M371" i="9"/>
  <c r="L371" i="9" s="1"/>
  <c r="N371" i="9" s="1"/>
  <c r="W403" i="9"/>
  <c r="X403" i="9" s="1"/>
  <c r="AL403" i="9" l="1"/>
  <c r="AN403" i="9" s="1"/>
  <c r="AH404" i="9" s="1"/>
  <c r="AE430" i="9"/>
  <c r="AB430" i="9"/>
  <c r="AC430" i="9"/>
  <c r="R404" i="9"/>
  <c r="P371" i="9"/>
  <c r="AM404" i="9" l="1"/>
  <c r="AK404" i="9"/>
  <c r="AJ404" i="9"/>
  <c r="AL404" i="9" s="1"/>
  <c r="AN404" i="9" s="1"/>
  <c r="AH405" i="9" s="1"/>
  <c r="AD430" i="9"/>
  <c r="AF430" i="9" s="1"/>
  <c r="Z431" i="9" s="1"/>
  <c r="W404" i="9"/>
  <c r="T404" i="9"/>
  <c r="U404" i="9"/>
  <c r="J372" i="9"/>
  <c r="O372" i="9" s="1"/>
  <c r="AM405" i="9" l="1"/>
  <c r="AJ405" i="9"/>
  <c r="AK405" i="9"/>
  <c r="AB431" i="9"/>
  <c r="AE431" i="9"/>
  <c r="AC431" i="9"/>
  <c r="V404" i="9"/>
  <c r="X404" i="9" s="1"/>
  <c r="M372" i="9"/>
  <c r="L372" i="9"/>
  <c r="AL405" i="9" l="1"/>
  <c r="AN405" i="9" s="1"/>
  <c r="AH406" i="9" s="1"/>
  <c r="AD431" i="9"/>
  <c r="AF431" i="9" s="1"/>
  <c r="Z432" i="9" s="1"/>
  <c r="N372" i="9"/>
  <c r="P372" i="9" s="1"/>
  <c r="J373" i="9" s="1"/>
  <c r="O373" i="9" s="1"/>
  <c r="R405" i="9"/>
  <c r="AK406" i="9" l="1"/>
  <c r="AJ406" i="9"/>
  <c r="AL406" i="9" s="1"/>
  <c r="AN406" i="9" s="1"/>
  <c r="AH407" i="9" s="1"/>
  <c r="AM406" i="9"/>
  <c r="AE432" i="9"/>
  <c r="AB432" i="9"/>
  <c r="AC432" i="9"/>
  <c r="M373" i="9"/>
  <c r="L373" i="9"/>
  <c r="U405" i="9"/>
  <c r="T405" i="9"/>
  <c r="AM407" i="9" l="1"/>
  <c r="AK407" i="9"/>
  <c r="AJ407" i="9"/>
  <c r="AL407" i="9" s="1"/>
  <c r="AN407" i="9"/>
  <c r="AH408" i="9" s="1"/>
  <c r="AM408" i="9" s="1"/>
  <c r="N373" i="9"/>
  <c r="P373" i="9" s="1"/>
  <c r="J374" i="9" s="1"/>
  <c r="O374" i="9" s="1"/>
  <c r="AD432" i="9"/>
  <c r="AF432" i="9" s="1"/>
  <c r="Z433" i="9" s="1"/>
  <c r="V405" i="9"/>
  <c r="W405" i="9" s="1"/>
  <c r="X405" i="9" s="1"/>
  <c r="R406" i="9" s="1"/>
  <c r="AJ408" i="9" l="1"/>
  <c r="AK408" i="9"/>
  <c r="AB433" i="9"/>
  <c r="AC433" i="9"/>
  <c r="AE433" i="9"/>
  <c r="M374" i="9"/>
  <c r="L374" i="9"/>
  <c r="N374" i="9" s="1"/>
  <c r="P374" i="9" s="1"/>
  <c r="U406" i="9"/>
  <c r="T406" i="9" s="1"/>
  <c r="V406" i="9" s="1"/>
  <c r="AL408" i="9" l="1"/>
  <c r="AN408" i="9" s="1"/>
  <c r="AH409" i="9" s="1"/>
  <c r="AM409" i="9" s="1"/>
  <c r="AK409" i="9"/>
  <c r="AJ409" i="9"/>
  <c r="AL409" i="9" s="1"/>
  <c r="AN409" i="9" s="1"/>
  <c r="AH410" i="9" s="1"/>
  <c r="AM410" i="9" s="1"/>
  <c r="AD433" i="9"/>
  <c r="AF433" i="9" s="1"/>
  <c r="Z434" i="9" s="1"/>
  <c r="J375" i="9"/>
  <c r="O375" i="9" s="1"/>
  <c r="W406" i="9"/>
  <c r="X406" i="9"/>
  <c r="AK410" i="9" l="1"/>
  <c r="AJ410" i="9"/>
  <c r="AL410" i="9" s="1"/>
  <c r="AN410" i="9" s="1"/>
  <c r="AH411" i="9" s="1"/>
  <c r="AB434" i="9"/>
  <c r="AC434" i="9"/>
  <c r="AE434" i="9"/>
  <c r="AD434" i="9"/>
  <c r="AF434" i="9" s="1"/>
  <c r="Z435" i="9" s="1"/>
  <c r="M375" i="9"/>
  <c r="L375" i="9"/>
  <c r="R407" i="9"/>
  <c r="AJ411" i="9" l="1"/>
  <c r="AM411" i="9"/>
  <c r="N375" i="9"/>
  <c r="P375" i="9" s="1"/>
  <c r="J376" i="9" s="1"/>
  <c r="O376" i="9" s="1"/>
  <c r="AC435" i="9"/>
  <c r="AB435" i="9"/>
  <c r="AD435" i="9" s="1"/>
  <c r="AE435" i="9"/>
  <c r="AF435" i="9"/>
  <c r="Z436" i="9" s="1"/>
  <c r="AK411" i="9"/>
  <c r="AL411" i="9" s="1"/>
  <c r="U407" i="9"/>
  <c r="T407" i="9" s="1"/>
  <c r="V407" i="9" s="1"/>
  <c r="AN411" i="9" l="1"/>
  <c r="AH412" i="9" s="1"/>
  <c r="AM412" i="9" s="1"/>
  <c r="AB436" i="9"/>
  <c r="AC436" i="9"/>
  <c r="AE436" i="9"/>
  <c r="M376" i="9"/>
  <c r="L376" i="9"/>
  <c r="N376" i="9" s="1"/>
  <c r="P376" i="9" s="1"/>
  <c r="W407" i="9"/>
  <c r="X407" i="9"/>
  <c r="AK412" i="9" l="1"/>
  <c r="AJ412" i="9"/>
  <c r="AL412" i="9" s="1"/>
  <c r="AN412" i="9" s="1"/>
  <c r="AH413" i="9" s="1"/>
  <c r="AM413" i="9" s="1"/>
  <c r="AD436" i="9"/>
  <c r="AF436" i="9" s="1"/>
  <c r="Z437" i="9" s="1"/>
  <c r="AE437" i="9" s="1"/>
  <c r="AF437" i="9" s="1"/>
  <c r="Z438" i="9" s="1"/>
  <c r="AC437" i="9"/>
  <c r="AB437" i="9"/>
  <c r="AD437" i="9" s="1"/>
  <c r="J377" i="9"/>
  <c r="O377" i="9" s="1"/>
  <c r="R408" i="9"/>
  <c r="AK413" i="9" l="1"/>
  <c r="AJ413" i="9"/>
  <c r="AL413" i="9" s="1"/>
  <c r="AC438" i="9"/>
  <c r="AB438" i="9"/>
  <c r="AD438" i="9" s="1"/>
  <c r="AF438" i="9" s="1"/>
  <c r="Z439" i="9" s="1"/>
  <c r="AE438" i="9"/>
  <c r="M377" i="9"/>
  <c r="L377" i="9" s="1"/>
  <c r="N377" i="9" s="1"/>
  <c r="T408" i="9"/>
  <c r="U408" i="9"/>
  <c r="AN413" i="9" l="1"/>
  <c r="AH414" i="9" s="1"/>
  <c r="AM414" i="9" s="1"/>
  <c r="V408" i="9"/>
  <c r="W408" i="9" s="1"/>
  <c r="X408" i="9" s="1"/>
  <c r="R409" i="9" s="1"/>
  <c r="AE439" i="9"/>
  <c r="AC439" i="9"/>
  <c r="AB439" i="9"/>
  <c r="AD439" i="9"/>
  <c r="AF439" i="9" s="1"/>
  <c r="Z440" i="9" s="1"/>
  <c r="P377" i="9"/>
  <c r="AJ414" i="9" l="1"/>
  <c r="AL414" i="9" s="1"/>
  <c r="AN414" i="9" s="1"/>
  <c r="AH415" i="9" s="1"/>
  <c r="AM415" i="9" s="1"/>
  <c r="AK414" i="9"/>
  <c r="U409" i="9"/>
  <c r="T409" i="9"/>
  <c r="AC440" i="9"/>
  <c r="AE440" i="9"/>
  <c r="AB440" i="9"/>
  <c r="AD440" i="9" s="1"/>
  <c r="AF440" i="9" s="1"/>
  <c r="Z441" i="9" s="1"/>
  <c r="J378" i="9"/>
  <c r="O378" i="9" s="1"/>
  <c r="AK415" i="9" l="1"/>
  <c r="AJ415" i="9"/>
  <c r="AL415" i="9" s="1"/>
  <c r="AN415" i="9" s="1"/>
  <c r="AH416" i="9" s="1"/>
  <c r="AM416" i="9" s="1"/>
  <c r="V409" i="9"/>
  <c r="W409" i="9" s="1"/>
  <c r="X409" i="9" s="1"/>
  <c r="R410" i="9" s="1"/>
  <c r="AB441" i="9"/>
  <c r="AC441" i="9"/>
  <c r="AE441" i="9"/>
  <c r="L378" i="9"/>
  <c r="M378" i="9"/>
  <c r="AJ416" i="9" l="1"/>
  <c r="AK416" i="9"/>
  <c r="N378" i="9"/>
  <c r="P378" i="9" s="1"/>
  <c r="J379" i="9" s="1"/>
  <c r="O379" i="9" s="1"/>
  <c r="T410" i="9"/>
  <c r="U410" i="9"/>
  <c r="AD441" i="9"/>
  <c r="AF441" i="9" s="1"/>
  <c r="Z442" i="9" s="1"/>
  <c r="AL416" i="9" l="1"/>
  <c r="AN416" i="9" s="1"/>
  <c r="AH417" i="9" s="1"/>
  <c r="AM417" i="9" s="1"/>
  <c r="V410" i="9"/>
  <c r="W410" i="9" s="1"/>
  <c r="X410" i="9" s="1"/>
  <c r="R411" i="9" s="1"/>
  <c r="M379" i="9"/>
  <c r="L379" i="9"/>
  <c r="AE442" i="9"/>
  <c r="AC442" i="9"/>
  <c r="AB442" i="9"/>
  <c r="AK417" i="9" l="1"/>
  <c r="AJ417" i="9"/>
  <c r="AL417" i="9" s="1"/>
  <c r="AN417" i="9" s="1"/>
  <c r="AH418" i="9" s="1"/>
  <c r="AM418" i="9" s="1"/>
  <c r="N379" i="9"/>
  <c r="P379" i="9" s="1"/>
  <c r="J380" i="9" s="1"/>
  <c r="O380" i="9" s="1"/>
  <c r="AD442" i="9"/>
  <c r="AF442" i="9" s="1"/>
  <c r="Z443" i="9" s="1"/>
  <c r="T411" i="9"/>
  <c r="U411" i="9"/>
  <c r="AJ418" i="9" l="1"/>
  <c r="AK418" i="9"/>
  <c r="AB443" i="9"/>
  <c r="AD443" i="9" s="1"/>
  <c r="AF443" i="9" s="1"/>
  <c r="Z444" i="9" s="1"/>
  <c r="AC443" i="9"/>
  <c r="AE443" i="9"/>
  <c r="V411" i="9"/>
  <c r="W411" i="9" s="1"/>
  <c r="X411" i="9" s="1"/>
  <c r="R412" i="9" s="1"/>
  <c r="M380" i="9"/>
  <c r="L380" i="9" s="1"/>
  <c r="N380" i="9" s="1"/>
  <c r="AL418" i="9" l="1"/>
  <c r="AN418" i="9" s="1"/>
  <c r="AH419" i="9" s="1"/>
  <c r="AM419" i="9" s="1"/>
  <c r="AC444" i="9"/>
  <c r="AE444" i="9"/>
  <c r="AB444" i="9"/>
  <c r="U412" i="9"/>
  <c r="T412" i="9"/>
  <c r="V412" i="9" s="1"/>
  <c r="W412" i="9" s="1"/>
  <c r="X412" i="9" s="1"/>
  <c r="P380" i="9"/>
  <c r="AK419" i="9" l="1"/>
  <c r="AJ419" i="9"/>
  <c r="AL419" i="9" s="1"/>
  <c r="AD444" i="9"/>
  <c r="AF444" i="9" s="1"/>
  <c r="Z445" i="9" s="1"/>
  <c r="R413" i="9"/>
  <c r="J381" i="9"/>
  <c r="O381" i="9" s="1"/>
  <c r="AE445" i="9" l="1"/>
  <c r="AC445" i="9"/>
  <c r="AB445" i="9"/>
  <c r="AD445" i="9" s="1"/>
  <c r="AF445" i="9" s="1"/>
  <c r="Z446" i="9" s="1"/>
  <c r="AN419" i="9"/>
  <c r="AH420" i="9" s="1"/>
  <c r="AM420" i="9" s="1"/>
  <c r="U413" i="9"/>
  <c r="T413" i="9" s="1"/>
  <c r="V413" i="9" s="1"/>
  <c r="L381" i="9"/>
  <c r="M381" i="9"/>
  <c r="AK420" i="9" l="1"/>
  <c r="AJ420" i="9"/>
  <c r="AL420" i="9" s="1"/>
  <c r="AN420" i="9" s="1"/>
  <c r="AH421" i="9" s="1"/>
  <c r="AM421" i="9" s="1"/>
  <c r="AB446" i="9"/>
  <c r="AE446" i="9"/>
  <c r="AC446" i="9"/>
  <c r="N381" i="9"/>
  <c r="AD446" i="9"/>
  <c r="AF446" i="9" s="1"/>
  <c r="Z447" i="9" s="1"/>
  <c r="W413" i="9"/>
  <c r="X413" i="9"/>
  <c r="AK421" i="9" l="1"/>
  <c r="AJ421" i="9"/>
  <c r="AL421" i="9" s="1"/>
  <c r="AN421" i="9" s="1"/>
  <c r="AH422" i="9" s="1"/>
  <c r="AM422" i="9" s="1"/>
  <c r="P381" i="9"/>
  <c r="J382" i="9"/>
  <c r="O382" i="9" s="1"/>
  <c r="AC447" i="9"/>
  <c r="AB447" i="9"/>
  <c r="AD447" i="9" s="1"/>
  <c r="AE447" i="9"/>
  <c r="R414" i="9"/>
  <c r="AK422" i="9" l="1"/>
  <c r="AJ422" i="9"/>
  <c r="M382" i="9"/>
  <c r="L382" i="9"/>
  <c r="U414" i="9"/>
  <c r="T414" i="9" s="1"/>
  <c r="V414" i="9" s="1"/>
  <c r="AF447" i="9"/>
  <c r="Z448" i="9" s="1"/>
  <c r="AL422" i="9" l="1"/>
  <c r="AN422" i="9" s="1"/>
  <c r="AH423" i="9" s="1"/>
  <c r="AM423" i="9" s="1"/>
  <c r="N382" i="9"/>
  <c r="P382" i="9" s="1"/>
  <c r="J383" i="9" s="1"/>
  <c r="O383" i="9" s="1"/>
  <c r="AC448" i="9"/>
  <c r="AE448" i="9"/>
  <c r="AB448" i="9"/>
  <c r="AD448" i="9" s="1"/>
  <c r="AF448" i="9" s="1"/>
  <c r="Z449" i="9" s="1"/>
  <c r="W414" i="9"/>
  <c r="X414" i="9"/>
  <c r="AK423" i="9" l="1"/>
  <c r="AJ423" i="9"/>
  <c r="M383" i="9"/>
  <c r="L383" i="9" s="1"/>
  <c r="N383" i="9" s="1"/>
  <c r="AE449" i="9"/>
  <c r="AB449" i="9"/>
  <c r="AC449" i="9"/>
  <c r="R415" i="9"/>
  <c r="AL423" i="9" l="1"/>
  <c r="AN423" i="9" s="1"/>
  <c r="AH424" i="9" s="1"/>
  <c r="AM424" i="9" s="1"/>
  <c r="U415" i="9"/>
  <c r="T415" i="9" s="1"/>
  <c r="V415" i="9" s="1"/>
  <c r="AD449" i="9"/>
  <c r="AF449" i="9" s="1"/>
  <c r="Z450" i="9" s="1"/>
  <c r="P383" i="9"/>
  <c r="AK424" i="9" l="1"/>
  <c r="AJ424" i="9"/>
  <c r="AL424" i="9" s="1"/>
  <c r="AN424" i="9" s="1"/>
  <c r="AH425" i="9" s="1"/>
  <c r="AM425" i="9" s="1"/>
  <c r="AE450" i="9"/>
  <c r="AC450" i="9"/>
  <c r="AB450" i="9"/>
  <c r="J384" i="9"/>
  <c r="O384" i="9" s="1"/>
  <c r="W415" i="9"/>
  <c r="X415" i="9" s="1"/>
  <c r="AK425" i="9" l="1"/>
  <c r="AJ425" i="9"/>
  <c r="AL425" i="9" s="1"/>
  <c r="AD450" i="9"/>
  <c r="AF450" i="9" s="1"/>
  <c r="Z451" i="9" s="1"/>
  <c r="AB451" i="9"/>
  <c r="M384" i="9"/>
  <c r="L384" i="9"/>
  <c r="N384" i="9" s="1"/>
  <c r="P384" i="9" s="1"/>
  <c r="R416" i="9"/>
  <c r="AN425" i="9" l="1"/>
  <c r="AH426" i="9" s="1"/>
  <c r="AM426" i="9" s="1"/>
  <c r="AE451" i="9"/>
  <c r="AC451" i="9"/>
  <c r="AD451" i="9" s="1"/>
  <c r="AF451" i="9" s="1"/>
  <c r="Z452" i="9" s="1"/>
  <c r="J385" i="9"/>
  <c r="O385" i="9" s="1"/>
  <c r="U416" i="9"/>
  <c r="T416" i="9" s="1"/>
  <c r="V416" i="9" s="1"/>
  <c r="AJ426" i="9" l="1"/>
  <c r="AL426" i="9" s="1"/>
  <c r="AN426" i="9" s="1"/>
  <c r="AH427" i="9" s="1"/>
  <c r="AM427" i="9" s="1"/>
  <c r="AK426" i="9"/>
  <c r="M385" i="9"/>
  <c r="L385" i="9"/>
  <c r="AB452" i="9"/>
  <c r="AC452" i="9"/>
  <c r="AE452" i="9"/>
  <c r="W416" i="9"/>
  <c r="X416" i="9" s="1"/>
  <c r="AJ427" i="9" l="1"/>
  <c r="AK427" i="9"/>
  <c r="AD452" i="9"/>
  <c r="AF452" i="9" s="1"/>
  <c r="Z453" i="9" s="1"/>
  <c r="AB453" i="9" s="1"/>
  <c r="AD453" i="9" s="1"/>
  <c r="AF453" i="9" s="1"/>
  <c r="Z454" i="9" s="1"/>
  <c r="N385" i="9"/>
  <c r="P385" i="9" s="1"/>
  <c r="J386" i="9" s="1"/>
  <c r="O386" i="9" s="1"/>
  <c r="AC453" i="9"/>
  <c r="AE453" i="9"/>
  <c r="R417" i="9"/>
  <c r="AL427" i="9" l="1"/>
  <c r="AN427" i="9" s="1"/>
  <c r="AH428" i="9" s="1"/>
  <c r="AM428" i="9" s="1"/>
  <c r="M386" i="9"/>
  <c r="L386" i="9"/>
  <c r="N386" i="9" s="1"/>
  <c r="P386" i="9" s="1"/>
  <c r="AC454" i="9"/>
  <c r="AB454" i="9"/>
  <c r="AD454" i="9" s="1"/>
  <c r="AE454" i="9"/>
  <c r="U417" i="9"/>
  <c r="T417" i="9"/>
  <c r="V417" i="9" s="1"/>
  <c r="W417" i="9" s="1"/>
  <c r="X417" i="9" s="1"/>
  <c r="AK428" i="9" l="1"/>
  <c r="AJ428" i="9"/>
  <c r="J387" i="9"/>
  <c r="O387" i="9" s="1"/>
  <c r="R418" i="9"/>
  <c r="AF454" i="9"/>
  <c r="Z455" i="9" s="1"/>
  <c r="AL428" i="9" l="1"/>
  <c r="AN428" i="9" s="1"/>
  <c r="AH429" i="9" s="1"/>
  <c r="AM429" i="9" s="1"/>
  <c r="M387" i="9"/>
  <c r="L387" i="9" s="1"/>
  <c r="N387" i="9" s="1"/>
  <c r="U418" i="9"/>
  <c r="T418" i="9"/>
  <c r="AE455" i="9"/>
  <c r="AB455" i="9"/>
  <c r="AC455" i="9"/>
  <c r="AJ429" i="9" l="1"/>
  <c r="AK429" i="9"/>
  <c r="V418" i="9"/>
  <c r="W418" i="9" s="1"/>
  <c r="X418" i="9" s="1"/>
  <c r="R419" i="9"/>
  <c r="AD455" i="9"/>
  <c r="AF455" i="9" s="1"/>
  <c r="Z456" i="9" s="1"/>
  <c r="P387" i="9"/>
  <c r="AL429" i="9" l="1"/>
  <c r="AN429" i="9" s="1"/>
  <c r="AH430" i="9" s="1"/>
  <c r="AM430" i="9" s="1"/>
  <c r="U419" i="9"/>
  <c r="T419" i="9"/>
  <c r="V419" i="9" s="1"/>
  <c r="AE456" i="9"/>
  <c r="AC456" i="9"/>
  <c r="AB456" i="9"/>
  <c r="J388" i="9"/>
  <c r="O388" i="9" s="1"/>
  <c r="AK430" i="9" l="1"/>
  <c r="AJ430" i="9"/>
  <c r="AL430" i="9" s="1"/>
  <c r="AN430" i="9" s="1"/>
  <c r="AH431" i="9" s="1"/>
  <c r="AM431" i="9" s="1"/>
  <c r="M388" i="9"/>
  <c r="L388" i="9"/>
  <c r="N388" i="9" s="1"/>
  <c r="P388" i="9" s="1"/>
  <c r="AD456" i="9"/>
  <c r="AF456" i="9" s="1"/>
  <c r="Z457" i="9" s="1"/>
  <c r="W419" i="9"/>
  <c r="X419" i="9" s="1"/>
  <c r="AK431" i="9" l="1"/>
  <c r="AJ431" i="9"/>
  <c r="AL431" i="9" s="1"/>
  <c r="AN431" i="9" s="1"/>
  <c r="AH432" i="9" s="1"/>
  <c r="AM432" i="9" s="1"/>
  <c r="J389" i="9"/>
  <c r="O389" i="9" s="1"/>
  <c r="AB457" i="9"/>
  <c r="AC457" i="9"/>
  <c r="AE457" i="9"/>
  <c r="R420" i="9"/>
  <c r="AK432" i="9" l="1"/>
  <c r="AJ432" i="9"/>
  <c r="M389" i="9"/>
  <c r="L389" i="9" s="1"/>
  <c r="N389" i="9" s="1"/>
  <c r="U420" i="9"/>
  <c r="T420" i="9"/>
  <c r="V420" i="9" s="1"/>
  <c r="W420" i="9" s="1"/>
  <c r="X420" i="9" s="1"/>
  <c r="AD457" i="9"/>
  <c r="AF457" i="9" s="1"/>
  <c r="Z458" i="9" s="1"/>
  <c r="AL432" i="9" l="1"/>
  <c r="AN432" i="9" s="1"/>
  <c r="AH433" i="9" s="1"/>
  <c r="AJ433" i="9"/>
  <c r="R421" i="9"/>
  <c r="AB458" i="9"/>
  <c r="AE458" i="9"/>
  <c r="AC458" i="9"/>
  <c r="P389" i="9"/>
  <c r="AM433" i="9" l="1"/>
  <c r="AK433" i="9"/>
  <c r="AL433" i="9" s="1"/>
  <c r="AN433" i="9" s="1"/>
  <c r="AH434" i="9" s="1"/>
  <c r="AM434" i="9" s="1"/>
  <c r="AK434" i="9"/>
  <c r="AJ434" i="9"/>
  <c r="AD458" i="9"/>
  <c r="AF458" i="9" s="1"/>
  <c r="Z459" i="9" s="1"/>
  <c r="U421" i="9"/>
  <c r="T421" i="9" s="1"/>
  <c r="V421" i="9" s="1"/>
  <c r="J390" i="9"/>
  <c r="O390" i="9" s="1"/>
  <c r="AL434" i="9" l="1"/>
  <c r="AN434" i="9"/>
  <c r="AH435" i="9" s="1"/>
  <c r="AM435" i="9" s="1"/>
  <c r="AC459" i="9"/>
  <c r="AE459" i="9"/>
  <c r="AB459" i="9"/>
  <c r="M390" i="9"/>
  <c r="L390" i="9"/>
  <c r="W421" i="9"/>
  <c r="X421" i="9"/>
  <c r="AJ435" i="9" l="1"/>
  <c r="AK435" i="9"/>
  <c r="N390" i="9"/>
  <c r="P390" i="9" s="1"/>
  <c r="J391" i="9" s="1"/>
  <c r="O391" i="9" s="1"/>
  <c r="AD459" i="9"/>
  <c r="AF459" i="9" s="1"/>
  <c r="Z460" i="9" s="1"/>
  <c r="R422" i="9"/>
  <c r="AL435" i="9" l="1"/>
  <c r="AN435" i="9" s="1"/>
  <c r="AH436" i="9" s="1"/>
  <c r="AM436" i="9" s="1"/>
  <c r="AB460" i="9"/>
  <c r="AD460" i="9" s="1"/>
  <c r="AF460" i="9" s="1"/>
  <c r="Z461" i="9" s="1"/>
  <c r="AE460" i="9"/>
  <c r="AC460" i="9"/>
  <c r="L391" i="9"/>
  <c r="M391" i="9"/>
  <c r="U422" i="9"/>
  <c r="T422" i="9" s="1"/>
  <c r="V422" i="9" s="1"/>
  <c r="AJ436" i="9" l="1"/>
  <c r="AL436" i="9" s="1"/>
  <c r="AN436" i="9" s="1"/>
  <c r="AH437" i="9" s="1"/>
  <c r="AM437" i="9" s="1"/>
  <c r="AK436" i="9"/>
  <c r="AB461" i="9"/>
  <c r="AE461" i="9"/>
  <c r="AC461" i="9"/>
  <c r="N391" i="9"/>
  <c r="P391" i="9" s="1"/>
  <c r="J392" i="9" s="1"/>
  <c r="O392" i="9" s="1"/>
  <c r="W422" i="9"/>
  <c r="X422" i="9" s="1"/>
  <c r="AK437" i="9" l="1"/>
  <c r="AJ437" i="9"/>
  <c r="AD461" i="9"/>
  <c r="AF461" i="9" s="1"/>
  <c r="Z462" i="9" s="1"/>
  <c r="M392" i="9"/>
  <c r="L392" i="9"/>
  <c r="N392" i="9" s="1"/>
  <c r="P392" i="9" s="1"/>
  <c r="R423" i="9"/>
  <c r="AL437" i="9" l="1"/>
  <c r="AN437" i="9" s="1"/>
  <c r="AH438" i="9" s="1"/>
  <c r="AC462" i="9"/>
  <c r="AB462" i="9"/>
  <c r="AD462" i="9" s="1"/>
  <c r="AE462" i="9"/>
  <c r="J393" i="9"/>
  <c r="O393" i="9" s="1"/>
  <c r="U423" i="9"/>
  <c r="T423" i="9"/>
  <c r="V423" i="9" s="1"/>
  <c r="W423" i="9" s="1"/>
  <c r="X423" i="9" s="1"/>
  <c r="AM438" i="9" l="1"/>
  <c r="AJ438" i="9"/>
  <c r="AL438" i="9" s="1"/>
  <c r="AN438" i="9" s="1"/>
  <c r="AH439" i="9" s="1"/>
  <c r="AM439" i="9" s="1"/>
  <c r="AK438" i="9"/>
  <c r="AF462" i="9"/>
  <c r="Z463" i="9" s="1"/>
  <c r="M393" i="9"/>
  <c r="L393" i="9"/>
  <c r="N393" i="9" s="1"/>
  <c r="P393" i="9" s="1"/>
  <c r="R424" i="9"/>
  <c r="AJ439" i="9" l="1"/>
  <c r="AK439" i="9"/>
  <c r="AB463" i="9"/>
  <c r="AE463" i="9"/>
  <c r="AC463" i="9"/>
  <c r="J394" i="9"/>
  <c r="O394" i="9" s="1"/>
  <c r="T424" i="9"/>
  <c r="U424" i="9"/>
  <c r="AL439" i="9" l="1"/>
  <c r="AN439" i="9" s="1"/>
  <c r="AH440" i="9" s="1"/>
  <c r="AM440" i="9" s="1"/>
  <c r="AD463" i="9"/>
  <c r="AF463" i="9" s="1"/>
  <c r="Z464" i="9" s="1"/>
  <c r="V424" i="9"/>
  <c r="M394" i="9"/>
  <c r="L394" i="9"/>
  <c r="N394" i="9" s="1"/>
  <c r="AK440" i="9" l="1"/>
  <c r="AJ440" i="9"/>
  <c r="AL440" i="9" s="1"/>
  <c r="AN440" i="9" s="1"/>
  <c r="AH441" i="9" s="1"/>
  <c r="AM441" i="9" s="1"/>
  <c r="AB464" i="9"/>
  <c r="AC464" i="9"/>
  <c r="AD464" i="9" s="1"/>
  <c r="AF464" i="9" s="1"/>
  <c r="Z465" i="9" s="1"/>
  <c r="AE464" i="9"/>
  <c r="W424" i="9"/>
  <c r="X424" i="9"/>
  <c r="R425" i="9" s="1"/>
  <c r="P394" i="9"/>
  <c r="AJ441" i="9" l="1"/>
  <c r="AK441" i="9"/>
  <c r="AB465" i="9"/>
  <c r="AD465" i="9" s="1"/>
  <c r="AF465" i="9" s="1"/>
  <c r="Z466" i="9" s="1"/>
  <c r="AC465" i="9"/>
  <c r="AE465" i="9"/>
  <c r="U425" i="9"/>
  <c r="T425" i="9" s="1"/>
  <c r="V425" i="9" s="1"/>
  <c r="J395" i="9"/>
  <c r="O395" i="9" s="1"/>
  <c r="AL441" i="9" l="1"/>
  <c r="AN441" i="9" s="1"/>
  <c r="AH442" i="9" s="1"/>
  <c r="AM442" i="9" s="1"/>
  <c r="AC466" i="9"/>
  <c r="AE466" i="9"/>
  <c r="AB466" i="9"/>
  <c r="AD466" i="9" s="1"/>
  <c r="AF466" i="9" s="1"/>
  <c r="Z467" i="9" s="1"/>
  <c r="M395" i="9"/>
  <c r="L395" i="9"/>
  <c r="N395" i="9" s="1"/>
  <c r="P395" i="9" s="1"/>
  <c r="W425" i="9"/>
  <c r="X425" i="9" s="1"/>
  <c r="AJ442" i="9" l="1"/>
  <c r="AK442" i="9"/>
  <c r="AC467" i="9"/>
  <c r="AB467" i="9"/>
  <c r="AE467" i="9"/>
  <c r="J396" i="9"/>
  <c r="O396" i="9" s="1"/>
  <c r="R426" i="9"/>
  <c r="AD467" i="9" l="1"/>
  <c r="AF467" i="9" s="1"/>
  <c r="Z468" i="9" s="1"/>
  <c r="AL442" i="9"/>
  <c r="AN442" i="9" s="1"/>
  <c r="AH443" i="9" s="1"/>
  <c r="AM443" i="9" s="1"/>
  <c r="L396" i="9"/>
  <c r="M396" i="9"/>
  <c r="U426" i="9"/>
  <c r="T426" i="9" s="1"/>
  <c r="V426" i="9" s="1"/>
  <c r="AJ443" i="9" l="1"/>
  <c r="AK443" i="9"/>
  <c r="AE468" i="9"/>
  <c r="AC468" i="9"/>
  <c r="AB468" i="9"/>
  <c r="AD468" i="9" s="1"/>
  <c r="AF468" i="9" s="1"/>
  <c r="Z469" i="9" s="1"/>
  <c r="AE469" i="9"/>
  <c r="AB469" i="9"/>
  <c r="AC469" i="9"/>
  <c r="AD469" i="9"/>
  <c r="AF469" i="9" s="1"/>
  <c r="Z470" i="9" s="1"/>
  <c r="N396" i="9"/>
  <c r="P396" i="9" s="1"/>
  <c r="J397" i="9" s="1"/>
  <c r="O397" i="9" s="1"/>
  <c r="W426" i="9"/>
  <c r="X426" i="9"/>
  <c r="AL443" i="9" l="1"/>
  <c r="AN443" i="9" s="1"/>
  <c r="AH444" i="9" s="1"/>
  <c r="AM444" i="9" s="1"/>
  <c r="AJ444" i="9"/>
  <c r="AK444" i="9"/>
  <c r="AE470" i="9"/>
  <c r="AC470" i="9"/>
  <c r="AB470" i="9"/>
  <c r="M397" i="9"/>
  <c r="L397" i="9" s="1"/>
  <c r="N397" i="9" s="1"/>
  <c r="R427" i="9"/>
  <c r="AL444" i="9" l="1"/>
  <c r="AN444" i="9" s="1"/>
  <c r="AH445" i="9" s="1"/>
  <c r="AJ445" i="9"/>
  <c r="AD470" i="9"/>
  <c r="AF470" i="9" s="1"/>
  <c r="Z471" i="9" s="1"/>
  <c r="U427" i="9"/>
  <c r="T427" i="9" s="1"/>
  <c r="V427" i="9" s="1"/>
  <c r="P397" i="9"/>
  <c r="AM445" i="9" l="1"/>
  <c r="AK445" i="9"/>
  <c r="AL445" i="9" s="1"/>
  <c r="AN445" i="9" s="1"/>
  <c r="AH446" i="9" s="1"/>
  <c r="AM446" i="9" s="1"/>
  <c r="AJ446" i="9"/>
  <c r="AK446" i="9"/>
  <c r="AC471" i="9"/>
  <c r="AE471" i="9"/>
  <c r="AB471" i="9"/>
  <c r="J398" i="9"/>
  <c r="O398" i="9" s="1"/>
  <c r="W427" i="9"/>
  <c r="X427" i="9" s="1"/>
  <c r="AD471" i="9" l="1"/>
  <c r="AF471" i="9" s="1"/>
  <c r="Z472" i="9" s="1"/>
  <c r="AL446" i="9"/>
  <c r="AN446" i="9" s="1"/>
  <c r="AH447" i="9" s="1"/>
  <c r="AM447" i="9" s="1"/>
  <c r="M398" i="9"/>
  <c r="L398" i="9"/>
  <c r="N398" i="9" s="1"/>
  <c r="P398" i="9" s="1"/>
  <c r="R428" i="9"/>
  <c r="AB472" i="9" l="1"/>
  <c r="AD472" i="9" s="1"/>
  <c r="AF472" i="9" s="1"/>
  <c r="Z473" i="9" s="1"/>
  <c r="AC472" i="9"/>
  <c r="AE472" i="9"/>
  <c r="AK447" i="9"/>
  <c r="AJ447" i="9"/>
  <c r="AL447" i="9" s="1"/>
  <c r="J399" i="9"/>
  <c r="O399" i="9" s="1"/>
  <c r="U428" i="9"/>
  <c r="T428" i="9"/>
  <c r="V428" i="9" s="1"/>
  <c r="W428" i="9" s="1"/>
  <c r="X428" i="9" s="1"/>
  <c r="AC473" i="9" l="1"/>
  <c r="AE473" i="9"/>
  <c r="AB473" i="9"/>
  <c r="AD473" i="9" s="1"/>
  <c r="AF473" i="9" s="1"/>
  <c r="Z474" i="9" s="1"/>
  <c r="AN447" i="9"/>
  <c r="AH448" i="9" s="1"/>
  <c r="AM448" i="9" s="1"/>
  <c r="L399" i="9"/>
  <c r="M399" i="9"/>
  <c r="R429" i="9"/>
  <c r="AC474" i="9" l="1"/>
  <c r="AB474" i="9"/>
  <c r="AD474" i="9" s="1"/>
  <c r="AE474" i="9"/>
  <c r="AK448" i="9"/>
  <c r="AJ448" i="9"/>
  <c r="N399" i="9"/>
  <c r="P399" i="9" s="1"/>
  <c r="J400" i="9" s="1"/>
  <c r="O400" i="9" s="1"/>
  <c r="U429" i="9"/>
  <c r="T429" i="9" s="1"/>
  <c r="V429" i="9" s="1"/>
  <c r="AL448" i="9" l="1"/>
  <c r="AN448" i="9" s="1"/>
  <c r="AH449" i="9" s="1"/>
  <c r="AM449" i="9" s="1"/>
  <c r="AJ449" i="9"/>
  <c r="AK449" i="9"/>
  <c r="AF474" i="9"/>
  <c r="Z475" i="9" s="1"/>
  <c r="M400" i="9"/>
  <c r="L400" i="9"/>
  <c r="W429" i="9"/>
  <c r="X429" i="9"/>
  <c r="AC475" i="9" l="1"/>
  <c r="AB475" i="9"/>
  <c r="AD475" i="9" s="1"/>
  <c r="AE475" i="9"/>
  <c r="AL449" i="9"/>
  <c r="AN449" i="9" s="1"/>
  <c r="AH450" i="9" s="1"/>
  <c r="AM450" i="9" s="1"/>
  <c r="N400" i="9"/>
  <c r="P400" i="9" s="1"/>
  <c r="J401" i="9" s="1"/>
  <c r="O401" i="9" s="1"/>
  <c r="R430" i="9"/>
  <c r="AK450" i="9" l="1"/>
  <c r="AJ450" i="9"/>
  <c r="AL450" i="9" s="1"/>
  <c r="AN450" i="9" s="1"/>
  <c r="AH451" i="9" s="1"/>
  <c r="AM451" i="9" s="1"/>
  <c r="AF475" i="9"/>
  <c r="Z476" i="9" s="1"/>
  <c r="M401" i="9"/>
  <c r="L401" i="9" s="1"/>
  <c r="N401" i="9" s="1"/>
  <c r="U430" i="9"/>
  <c r="T430" i="9"/>
  <c r="V430" i="9" s="1"/>
  <c r="W430" i="9" s="1"/>
  <c r="X430" i="9" s="1"/>
  <c r="AJ451" i="9" l="1"/>
  <c r="AK451" i="9"/>
  <c r="AE476" i="9"/>
  <c r="AB476" i="9"/>
  <c r="AD476" i="9" s="1"/>
  <c r="AF476" i="9" s="1"/>
  <c r="Z477" i="9" s="1"/>
  <c r="AC476" i="9"/>
  <c r="R431" i="9"/>
  <c r="P401" i="9"/>
  <c r="AL451" i="9" l="1"/>
  <c r="AN451" i="9" s="1"/>
  <c r="AH452" i="9" s="1"/>
  <c r="AM452" i="9" s="1"/>
  <c r="AE477" i="9"/>
  <c r="AC477" i="9"/>
  <c r="AB477" i="9"/>
  <c r="AD477" i="9" s="1"/>
  <c r="AF477" i="9" s="1"/>
  <c r="Z478" i="9" s="1"/>
  <c r="AB478" i="9" s="1"/>
  <c r="AD478" i="9" s="1"/>
  <c r="AF478" i="9" s="1"/>
  <c r="Z479" i="9" s="1"/>
  <c r="AC478" i="9"/>
  <c r="AE478" i="9"/>
  <c r="U431" i="9"/>
  <c r="T431" i="9" s="1"/>
  <c r="V431" i="9" s="1"/>
  <c r="J402" i="9"/>
  <c r="O402" i="9" s="1"/>
  <c r="AJ452" i="9" l="1"/>
  <c r="AK452" i="9"/>
  <c r="AC479" i="9"/>
  <c r="AE479" i="9"/>
  <c r="AB479" i="9"/>
  <c r="AD479" i="9" s="1"/>
  <c r="AF479" i="9" s="1"/>
  <c r="Z480" i="9" s="1"/>
  <c r="M402" i="9"/>
  <c r="L402" i="9"/>
  <c r="N402" i="9" s="1"/>
  <c r="P402" i="9" s="1"/>
  <c r="W431" i="9"/>
  <c r="X431" i="9" s="1"/>
  <c r="AL452" i="9" l="1"/>
  <c r="AN452" i="9" s="1"/>
  <c r="AH453" i="9" s="1"/>
  <c r="AM453" i="9" s="1"/>
  <c r="AC480" i="9"/>
  <c r="AE480" i="9"/>
  <c r="AB480" i="9"/>
  <c r="J403" i="9"/>
  <c r="O403" i="9" s="1"/>
  <c r="R432" i="9"/>
  <c r="AJ453" i="9" l="1"/>
  <c r="AL453" i="9" s="1"/>
  <c r="AN453" i="9" s="1"/>
  <c r="AH454" i="9" s="1"/>
  <c r="AM454" i="9" s="1"/>
  <c r="AK453" i="9"/>
  <c r="AD480" i="9"/>
  <c r="AF480" i="9" s="1"/>
  <c r="Z481" i="9" s="1"/>
  <c r="M403" i="9"/>
  <c r="L403" i="9"/>
  <c r="N403" i="9" s="1"/>
  <c r="U432" i="9"/>
  <c r="T432" i="9" s="1"/>
  <c r="V432" i="9" s="1"/>
  <c r="AJ454" i="9" l="1"/>
  <c r="AK454" i="9"/>
  <c r="AB481" i="9"/>
  <c r="AC481" i="9"/>
  <c r="F39" i="7" s="1"/>
  <c r="G39" i="7" s="1"/>
  <c r="AE481" i="9"/>
  <c r="H39" i="7" s="1"/>
  <c r="P403" i="9"/>
  <c r="W432" i="9"/>
  <c r="X432" i="9" s="1"/>
  <c r="AL454" i="9" l="1"/>
  <c r="AN454" i="9" s="1"/>
  <c r="AH455" i="9" s="1"/>
  <c r="AM455" i="9" s="1"/>
  <c r="AK455" i="9"/>
  <c r="AJ455" i="9"/>
  <c r="AL455" i="9" s="1"/>
  <c r="AD481" i="9"/>
  <c r="AF481" i="9" s="1"/>
  <c r="J404" i="9"/>
  <c r="O404" i="9" s="1"/>
  <c r="R433" i="9"/>
  <c r="AN455" i="9" l="1"/>
  <c r="AH456" i="9" s="1"/>
  <c r="AM456" i="9" s="1"/>
  <c r="M404" i="9"/>
  <c r="L404" i="9"/>
  <c r="N404" i="9" s="1"/>
  <c r="P404" i="9" s="1"/>
  <c r="T433" i="9"/>
  <c r="U433" i="9"/>
  <c r="AK456" i="9" l="1"/>
  <c r="AJ456" i="9"/>
  <c r="AL456" i="9" s="1"/>
  <c r="AN456" i="9" s="1"/>
  <c r="AH457" i="9" s="1"/>
  <c r="AM457" i="9" s="1"/>
  <c r="V433" i="9"/>
  <c r="J405" i="9"/>
  <c r="O405" i="9" s="1"/>
  <c r="AJ457" i="9" l="1"/>
  <c r="AK457" i="9"/>
  <c r="W433" i="9"/>
  <c r="X433" i="9"/>
  <c r="R434" i="9" s="1"/>
  <c r="M405" i="9"/>
  <c r="L405" i="9" s="1"/>
  <c r="N405" i="9" s="1"/>
  <c r="AL457" i="9" l="1"/>
  <c r="AN457" i="9" s="1"/>
  <c r="AH458" i="9" s="1"/>
  <c r="AM458" i="9" s="1"/>
  <c r="AJ458" i="9"/>
  <c r="AK458" i="9"/>
  <c r="U434" i="9"/>
  <c r="T434" i="9" s="1"/>
  <c r="V434" i="9" s="1"/>
  <c r="P405" i="9"/>
  <c r="AL458" i="9" l="1"/>
  <c r="AN458" i="9" s="1"/>
  <c r="AH459" i="9" s="1"/>
  <c r="AM459" i="9" s="1"/>
  <c r="J406" i="9"/>
  <c r="O406" i="9" s="1"/>
  <c r="W434" i="9"/>
  <c r="X434" i="9" s="1"/>
  <c r="AK459" i="9" l="1"/>
  <c r="AJ459" i="9"/>
  <c r="AL459" i="9" s="1"/>
  <c r="AN459" i="9" s="1"/>
  <c r="AH460" i="9" s="1"/>
  <c r="AM460" i="9" s="1"/>
  <c r="M406" i="9"/>
  <c r="L406" i="9" s="1"/>
  <c r="N406" i="9" s="1"/>
  <c r="R435" i="9"/>
  <c r="AJ460" i="9" l="1"/>
  <c r="AK460" i="9"/>
  <c r="U435" i="9"/>
  <c r="T435" i="9"/>
  <c r="V435" i="9" s="1"/>
  <c r="W435" i="9" s="1"/>
  <c r="P406" i="9"/>
  <c r="AL460" i="9" l="1"/>
  <c r="AN460" i="9" s="1"/>
  <c r="AH461" i="9" s="1"/>
  <c r="AM461" i="9" s="1"/>
  <c r="AK461" i="9"/>
  <c r="AJ461" i="9"/>
  <c r="AL461" i="9" s="1"/>
  <c r="AN461" i="9" s="1"/>
  <c r="AH462" i="9" s="1"/>
  <c r="AM462" i="9" s="1"/>
  <c r="J407" i="9"/>
  <c r="O407" i="9" s="1"/>
  <c r="X435" i="9"/>
  <c r="AJ462" i="9" l="1"/>
  <c r="AK462" i="9"/>
  <c r="L407" i="9"/>
  <c r="M407" i="9"/>
  <c r="R436" i="9"/>
  <c r="AL462" i="9" l="1"/>
  <c r="AN462" i="9" s="1"/>
  <c r="AH463" i="9" s="1"/>
  <c r="AM463" i="9" s="1"/>
  <c r="N407" i="9"/>
  <c r="T436" i="9"/>
  <c r="U436" i="9"/>
  <c r="AK463" i="9" l="1"/>
  <c r="AJ463" i="9"/>
  <c r="AL463" i="9" s="1"/>
  <c r="AN463" i="9" s="1"/>
  <c r="AH464" i="9" s="1"/>
  <c r="AM464" i="9" s="1"/>
  <c r="V436" i="9"/>
  <c r="W436" i="9" s="1"/>
  <c r="X436" i="9" s="1"/>
  <c r="R437" i="9" s="1"/>
  <c r="P407" i="9"/>
  <c r="J408" i="9" s="1"/>
  <c r="O408" i="9" s="1"/>
  <c r="AJ464" i="9" l="1"/>
  <c r="AK464" i="9"/>
  <c r="U437" i="9"/>
  <c r="T437" i="9" s="1"/>
  <c r="V437" i="9" s="1"/>
  <c r="M408" i="9"/>
  <c r="L408" i="9" s="1"/>
  <c r="N408" i="9" s="1"/>
  <c r="AL464" i="9" l="1"/>
  <c r="AN464" i="9" s="1"/>
  <c r="AH465" i="9" s="1"/>
  <c r="AM465" i="9" s="1"/>
  <c r="W437" i="9"/>
  <c r="X437" i="9"/>
  <c r="P408" i="9"/>
  <c r="AJ465" i="9" l="1"/>
  <c r="AL465" i="9" s="1"/>
  <c r="AN465" i="9" s="1"/>
  <c r="AH466" i="9" s="1"/>
  <c r="AM466" i="9" s="1"/>
  <c r="AK465" i="9"/>
  <c r="R438" i="9"/>
  <c r="J409" i="9"/>
  <c r="O409" i="9" s="1"/>
  <c r="AJ466" i="9" l="1"/>
  <c r="AK466" i="9"/>
  <c r="U438" i="9"/>
  <c r="T438" i="9"/>
  <c r="M409" i="9"/>
  <c r="L409" i="9" s="1"/>
  <c r="N409" i="9" s="1"/>
  <c r="AL466" i="9" l="1"/>
  <c r="AN466" i="9" s="1"/>
  <c r="AH467" i="9" s="1"/>
  <c r="AM467" i="9" s="1"/>
  <c r="V438" i="9"/>
  <c r="P409" i="9"/>
  <c r="AJ467" i="9" l="1"/>
  <c r="AK467" i="9"/>
  <c r="W438" i="9"/>
  <c r="X438" i="9" s="1"/>
  <c r="R439" i="9" s="1"/>
  <c r="J410" i="9"/>
  <c r="O410" i="9" s="1"/>
  <c r="AL467" i="9" l="1"/>
  <c r="AN467" i="9" s="1"/>
  <c r="AH468" i="9" s="1"/>
  <c r="AM468" i="9" s="1"/>
  <c r="U439" i="9"/>
  <c r="T439" i="9"/>
  <c r="V439" i="9" s="1"/>
  <c r="W439" i="9"/>
  <c r="L410" i="9"/>
  <c r="M410" i="9"/>
  <c r="AJ468" i="9" l="1"/>
  <c r="AK468" i="9"/>
  <c r="N410" i="9"/>
  <c r="X439" i="9"/>
  <c r="AL468" i="9" l="1"/>
  <c r="AN468" i="9" s="1"/>
  <c r="AH469" i="9" s="1"/>
  <c r="AM469" i="9" s="1"/>
  <c r="P410" i="9"/>
  <c r="J411" i="9" s="1"/>
  <c r="O411" i="9" s="1"/>
  <c r="R440" i="9"/>
  <c r="AK469" i="9" l="1"/>
  <c r="AJ469" i="9"/>
  <c r="AL469" i="9" s="1"/>
  <c r="AN469" i="9" s="1"/>
  <c r="AH470" i="9" s="1"/>
  <c r="AM470" i="9" s="1"/>
  <c r="M411" i="9"/>
  <c r="L411" i="9"/>
  <c r="U440" i="9"/>
  <c r="T440" i="9"/>
  <c r="V440" i="9" s="1"/>
  <c r="W440" i="9" s="1"/>
  <c r="X440" i="9" s="1"/>
  <c r="N411" i="9" l="1"/>
  <c r="P411" i="9" s="1"/>
  <c r="J412" i="9" s="1"/>
  <c r="O412" i="9" s="1"/>
  <c r="AJ470" i="9"/>
  <c r="AK470" i="9"/>
  <c r="R441" i="9"/>
  <c r="AL470" i="9" l="1"/>
  <c r="AN470" i="9" s="1"/>
  <c r="AH471" i="9" s="1"/>
  <c r="AM471" i="9" s="1"/>
  <c r="L412" i="9"/>
  <c r="M412" i="9"/>
  <c r="U441" i="9"/>
  <c r="T441" i="9"/>
  <c r="V441" i="9" s="1"/>
  <c r="W441" i="9" s="1"/>
  <c r="X441" i="9" s="1"/>
  <c r="AK471" i="9" l="1"/>
  <c r="AJ471" i="9"/>
  <c r="AL471" i="9" s="1"/>
  <c r="AN471" i="9" s="1"/>
  <c r="AH472" i="9" s="1"/>
  <c r="AM472" i="9" s="1"/>
  <c r="N412" i="9"/>
  <c r="P412" i="9" s="1"/>
  <c r="J413" i="9" s="1"/>
  <c r="O413" i="9" s="1"/>
  <c r="R442" i="9"/>
  <c r="AK472" i="9" l="1"/>
  <c r="AJ472" i="9"/>
  <c r="AL472" i="9" s="1"/>
  <c r="AN472" i="9" s="1"/>
  <c r="AH473" i="9" s="1"/>
  <c r="AM473" i="9" s="1"/>
  <c r="M413" i="9"/>
  <c r="L413" i="9"/>
  <c r="U442" i="9"/>
  <c r="T442" i="9" s="1"/>
  <c r="V442" i="9" s="1"/>
  <c r="AK473" i="9" l="1"/>
  <c r="AJ473" i="9"/>
  <c r="AL473" i="9" s="1"/>
  <c r="N413" i="9"/>
  <c r="P413" i="9" s="1"/>
  <c r="J414" i="9" s="1"/>
  <c r="O414" i="9" s="1"/>
  <c r="W442" i="9"/>
  <c r="X442" i="9" s="1"/>
  <c r="AN473" i="9" l="1"/>
  <c r="AH474" i="9" s="1"/>
  <c r="AM474" i="9" s="1"/>
  <c r="L414" i="9"/>
  <c r="M414" i="9"/>
  <c r="R443" i="9"/>
  <c r="AJ474" i="9" l="1"/>
  <c r="AK474" i="9"/>
  <c r="N414" i="9"/>
  <c r="P414" i="9" s="1"/>
  <c r="J415" i="9" s="1"/>
  <c r="O415" i="9" s="1"/>
  <c r="U443" i="9"/>
  <c r="T443" i="9"/>
  <c r="V443" i="9" s="1"/>
  <c r="W443" i="9"/>
  <c r="AL474" i="9" l="1"/>
  <c r="AN474" i="9" s="1"/>
  <c r="AH475" i="9" s="1"/>
  <c r="AM475" i="9" s="1"/>
  <c r="AK475" i="9"/>
  <c r="AJ475" i="9"/>
  <c r="AL475" i="9" s="1"/>
  <c r="M415" i="9"/>
  <c r="L415" i="9" s="1"/>
  <c r="N415" i="9" s="1"/>
  <c r="X443" i="9"/>
  <c r="AN475" i="9" l="1"/>
  <c r="AH476" i="9" s="1"/>
  <c r="AM476" i="9" s="1"/>
  <c r="R444" i="9"/>
  <c r="P415" i="9"/>
  <c r="AJ476" i="9" l="1"/>
  <c r="AL476" i="9" s="1"/>
  <c r="AN476" i="9" s="1"/>
  <c r="AH477" i="9" s="1"/>
  <c r="AM477" i="9" s="1"/>
  <c r="AK476" i="9"/>
  <c r="T444" i="9"/>
  <c r="U444" i="9"/>
  <c r="J416" i="9"/>
  <c r="O416" i="9" s="1"/>
  <c r="AK477" i="9" l="1"/>
  <c r="AJ477" i="9"/>
  <c r="AL477" i="9" s="1"/>
  <c r="AN477" i="9" s="1"/>
  <c r="AH478" i="9" s="1"/>
  <c r="AM478" i="9" s="1"/>
  <c r="V444" i="9"/>
  <c r="W444" i="9" s="1"/>
  <c r="X444" i="9" s="1"/>
  <c r="R445" i="9" s="1"/>
  <c r="M416" i="9"/>
  <c r="L416" i="9" s="1"/>
  <c r="N416" i="9" s="1"/>
  <c r="AK478" i="9" l="1"/>
  <c r="AJ478" i="9"/>
  <c r="AL478" i="9" s="1"/>
  <c r="AN478" i="9" s="1"/>
  <c r="AH479" i="9" s="1"/>
  <c r="AM479" i="9" s="1"/>
  <c r="T445" i="9"/>
  <c r="U445" i="9"/>
  <c r="P416" i="9"/>
  <c r="AJ479" i="9" l="1"/>
  <c r="AK479" i="9"/>
  <c r="V445" i="9"/>
  <c r="W445" i="9" s="1"/>
  <c r="X445" i="9" s="1"/>
  <c r="R446" i="9" s="1"/>
  <c r="J417" i="9"/>
  <c r="O417" i="9" s="1"/>
  <c r="AL479" i="9" l="1"/>
  <c r="AN479" i="9" s="1"/>
  <c r="AH480" i="9" s="1"/>
  <c r="AM480" i="9" s="1"/>
  <c r="AJ480" i="9"/>
  <c r="AK480" i="9"/>
  <c r="T446" i="9"/>
  <c r="U446" i="9"/>
  <c r="M417" i="9"/>
  <c r="L417" i="9"/>
  <c r="N417" i="9" l="1"/>
  <c r="P417" i="9" s="1"/>
  <c r="J418" i="9" s="1"/>
  <c r="O418" i="9" s="1"/>
  <c r="V446" i="9"/>
  <c r="W446" i="9" s="1"/>
  <c r="X446" i="9" s="1"/>
  <c r="R447" i="9" s="1"/>
  <c r="AL480" i="9"/>
  <c r="AN480" i="9" s="1"/>
  <c r="AH481" i="9" s="1"/>
  <c r="AM481" i="9" s="1"/>
  <c r="H40" i="7" l="1"/>
  <c r="H10" i="7" s="1"/>
  <c r="AK481" i="9"/>
  <c r="F40" i="7" s="1"/>
  <c r="AJ481" i="9"/>
  <c r="U447" i="9"/>
  <c r="T447" i="9"/>
  <c r="M418" i="9"/>
  <c r="L418" i="9" s="1"/>
  <c r="N418" i="9" s="1"/>
  <c r="H8" i="7" l="1"/>
  <c r="G40" i="7"/>
  <c r="H9" i="7" s="1"/>
  <c r="AL481" i="9"/>
  <c r="AN481" i="9" s="1"/>
  <c r="V447" i="9"/>
  <c r="W447" i="9" s="1"/>
  <c r="X447" i="9" s="1"/>
  <c r="R448" i="9" s="1"/>
  <c r="P418" i="9"/>
  <c r="U448" i="9" l="1"/>
  <c r="T448" i="9" s="1"/>
  <c r="V448" i="9" s="1"/>
  <c r="J419" i="9"/>
  <c r="O419" i="9" s="1"/>
  <c r="M419" i="9" l="1"/>
  <c r="L419" i="9"/>
  <c r="W448" i="9"/>
  <c r="X448" i="9" s="1"/>
  <c r="N419" i="9" l="1"/>
  <c r="R449" i="9"/>
  <c r="P419" i="9" l="1"/>
  <c r="J420" i="9" s="1"/>
  <c r="O420" i="9" s="1"/>
  <c r="T449" i="9"/>
  <c r="U449" i="9"/>
  <c r="V449" i="9" l="1"/>
  <c r="W449" i="9" s="1"/>
  <c r="X449" i="9" s="1"/>
  <c r="R450" i="9" s="1"/>
  <c r="L420" i="9"/>
  <c r="M420" i="9"/>
  <c r="N420" i="9" l="1"/>
  <c r="U450" i="9"/>
  <c r="T450" i="9" s="1"/>
  <c r="V450" i="9" s="1"/>
  <c r="P420" i="9" l="1"/>
  <c r="J421" i="9" s="1"/>
  <c r="O421" i="9" s="1"/>
  <c r="W450" i="9"/>
  <c r="X450" i="9" s="1"/>
  <c r="M421" i="9" l="1"/>
  <c r="L421" i="9"/>
  <c r="R451" i="9"/>
  <c r="N421" i="9" l="1"/>
  <c r="P421" i="9" s="1"/>
  <c r="U451" i="9"/>
  <c r="T451" i="9" s="1"/>
  <c r="V451" i="9" s="1"/>
  <c r="J422" i="9" l="1"/>
  <c r="O422" i="9" s="1"/>
  <c r="W451" i="9"/>
  <c r="X451" i="9" s="1"/>
  <c r="L422" i="9" l="1"/>
  <c r="M422" i="9"/>
  <c r="R452" i="9"/>
  <c r="N422" i="9" l="1"/>
  <c r="P422" i="9" s="1"/>
  <c r="U452" i="9"/>
  <c r="T452" i="9"/>
  <c r="V452" i="9" l="1"/>
  <c r="J423" i="9"/>
  <c r="O423" i="9" s="1"/>
  <c r="W452" i="9" l="1"/>
  <c r="X452" i="9"/>
  <c r="R453" i="9" s="1"/>
  <c r="M423" i="9"/>
  <c r="L423" i="9"/>
  <c r="N423" i="9" l="1"/>
  <c r="P423" i="9" s="1"/>
  <c r="U453" i="9"/>
  <c r="T453" i="9" s="1"/>
  <c r="V453" i="9" s="1"/>
  <c r="J424" i="9" l="1"/>
  <c r="O424" i="9" s="1"/>
  <c r="W453" i="9"/>
  <c r="X453" i="9" s="1"/>
  <c r="M424" i="9" l="1"/>
  <c r="L424" i="9"/>
  <c r="R454" i="9"/>
  <c r="N424" i="9" l="1"/>
  <c r="P424" i="9" s="1"/>
  <c r="J425" i="9" s="1"/>
  <c r="O425" i="9" s="1"/>
  <c r="U454" i="9"/>
  <c r="T454" i="9" s="1"/>
  <c r="V454" i="9" s="1"/>
  <c r="M425" i="9" l="1"/>
  <c r="L425" i="9"/>
  <c r="N425" i="9" s="1"/>
  <c r="P425" i="9" s="1"/>
  <c r="W454" i="9"/>
  <c r="X454" i="9" s="1"/>
  <c r="J426" i="9" l="1"/>
  <c r="O426" i="9" s="1"/>
  <c r="R455" i="9"/>
  <c r="M426" i="9" l="1"/>
  <c r="L426" i="9"/>
  <c r="U455" i="9"/>
  <c r="T455" i="9" s="1"/>
  <c r="V455" i="9" s="1"/>
  <c r="N426" i="9" l="1"/>
  <c r="P426" i="9" s="1"/>
  <c r="J427" i="9" s="1"/>
  <c r="O427" i="9" s="1"/>
  <c r="W455" i="9"/>
  <c r="X455" i="9" s="1"/>
  <c r="L427" i="9" l="1"/>
  <c r="M427" i="9"/>
  <c r="R456" i="9"/>
  <c r="N427" i="9" l="1"/>
  <c r="P427" i="9" s="1"/>
  <c r="J428" i="9" s="1"/>
  <c r="O428" i="9" s="1"/>
  <c r="T456" i="9"/>
  <c r="V456" i="9" s="1"/>
  <c r="W456" i="9" s="1"/>
  <c r="U456" i="9"/>
  <c r="L428" i="9" l="1"/>
  <c r="M428" i="9"/>
  <c r="X456" i="9"/>
  <c r="N428" i="9" l="1"/>
  <c r="P428" i="9" s="1"/>
  <c r="J429" i="9" s="1"/>
  <c r="O429" i="9" s="1"/>
  <c r="R457" i="9"/>
  <c r="L429" i="9" l="1"/>
  <c r="M429" i="9"/>
  <c r="U457" i="9"/>
  <c r="T457" i="9"/>
  <c r="V457" i="9" s="1"/>
  <c r="W457" i="9" s="1"/>
  <c r="X457" i="9" s="1"/>
  <c r="N429" i="9" l="1"/>
  <c r="P429" i="9" s="1"/>
  <c r="J430" i="9" s="1"/>
  <c r="O430" i="9" s="1"/>
  <c r="R458" i="9"/>
  <c r="M430" i="9" l="1"/>
  <c r="L430" i="9"/>
  <c r="T458" i="9"/>
  <c r="U458" i="9"/>
  <c r="N430" i="9" l="1"/>
  <c r="V458" i="9"/>
  <c r="W458" i="9" s="1"/>
  <c r="X458" i="9" s="1"/>
  <c r="R459" i="9" s="1"/>
  <c r="P430" i="9" l="1"/>
  <c r="J431" i="9" s="1"/>
  <c r="O431" i="9" s="1"/>
  <c r="W459" i="9"/>
  <c r="U459" i="9"/>
  <c r="T459" i="9"/>
  <c r="V459" i="9" l="1"/>
  <c r="M431" i="9"/>
  <c r="L431" i="9"/>
  <c r="X459" i="9"/>
  <c r="N431" i="9" l="1"/>
  <c r="P431" i="9" s="1"/>
  <c r="J432" i="9" s="1"/>
  <c r="O432" i="9" s="1"/>
  <c r="R460" i="9"/>
  <c r="M432" i="9" l="1"/>
  <c r="L432" i="9" s="1"/>
  <c r="N432" i="9" s="1"/>
  <c r="U460" i="9"/>
  <c r="T460" i="9" s="1"/>
  <c r="V460" i="9" s="1"/>
  <c r="P432" i="9" l="1"/>
  <c r="W460" i="9"/>
  <c r="X460" i="9" s="1"/>
  <c r="J433" i="9" l="1"/>
  <c r="O433" i="9" s="1"/>
  <c r="R461" i="9"/>
  <c r="L433" i="9" l="1"/>
  <c r="M433" i="9"/>
  <c r="U461" i="9"/>
  <c r="T461" i="9" s="1"/>
  <c r="V461" i="9" s="1"/>
  <c r="N433" i="9" l="1"/>
  <c r="P433" i="9" s="1"/>
  <c r="W461" i="9"/>
  <c r="X461" i="9" s="1"/>
  <c r="J434" i="9" l="1"/>
  <c r="O434" i="9" s="1"/>
  <c r="R462" i="9"/>
  <c r="M434" i="9" l="1"/>
  <c r="L434" i="9"/>
  <c r="U462" i="9"/>
  <c r="T462" i="9" s="1"/>
  <c r="V462" i="9" s="1"/>
  <c r="N434" i="9" l="1"/>
  <c r="P434" i="9" s="1"/>
  <c r="J435" i="9" s="1"/>
  <c r="O435" i="9" s="1"/>
  <c r="W462" i="9"/>
  <c r="X462" i="9" s="1"/>
  <c r="M435" i="9" l="1"/>
  <c r="L435" i="9"/>
  <c r="N435" i="9" s="1"/>
  <c r="P435" i="9" s="1"/>
  <c r="R463" i="9"/>
  <c r="J436" i="9" l="1"/>
  <c r="O436" i="9" s="1"/>
  <c r="T463" i="9"/>
  <c r="U463" i="9"/>
  <c r="V463" i="9" l="1"/>
  <c r="M436" i="9"/>
  <c r="L436" i="9" s="1"/>
  <c r="N436" i="9" s="1"/>
  <c r="W463" i="9" l="1"/>
  <c r="X463" i="9"/>
  <c r="R464" i="9" s="1"/>
  <c r="P436" i="9"/>
  <c r="U464" i="9" l="1"/>
  <c r="T464" i="9"/>
  <c r="V464" i="9" s="1"/>
  <c r="W464" i="9" s="1"/>
  <c r="J437" i="9"/>
  <c r="O437" i="9" s="1"/>
  <c r="M437" i="9" l="1"/>
  <c r="L437" i="9"/>
  <c r="N437" i="9" s="1"/>
  <c r="P437" i="9" s="1"/>
  <c r="X464" i="9"/>
  <c r="J438" i="9" l="1"/>
  <c r="O438" i="9" s="1"/>
  <c r="R465" i="9"/>
  <c r="M438" i="9" l="1"/>
  <c r="L438" i="9"/>
  <c r="N438" i="9" s="1"/>
  <c r="P438" i="9" s="1"/>
  <c r="U465" i="9"/>
  <c r="T465" i="9" s="1"/>
  <c r="V465" i="9" s="1"/>
  <c r="J439" i="9" l="1"/>
  <c r="O439" i="9" s="1"/>
  <c r="W465" i="9"/>
  <c r="X465" i="9" s="1"/>
  <c r="M439" i="9" l="1"/>
  <c r="L439" i="9"/>
  <c r="R466" i="9"/>
  <c r="N439" i="9" l="1"/>
  <c r="P439" i="9" s="1"/>
  <c r="J440" i="9" s="1"/>
  <c r="O440" i="9" s="1"/>
  <c r="W466" i="9"/>
  <c r="U466" i="9"/>
  <c r="T466" i="9"/>
  <c r="V466" i="9" s="1"/>
  <c r="M440" i="9" l="1"/>
  <c r="L440" i="9" s="1"/>
  <c r="N440" i="9" s="1"/>
  <c r="X466" i="9"/>
  <c r="R467" i="9" l="1"/>
  <c r="P440" i="9"/>
  <c r="U467" i="9" l="1"/>
  <c r="T467" i="9" s="1"/>
  <c r="V467" i="9" s="1"/>
  <c r="J441" i="9"/>
  <c r="O441" i="9" s="1"/>
  <c r="L441" i="9" l="1"/>
  <c r="M441" i="9"/>
  <c r="W467" i="9"/>
  <c r="X467" i="9" s="1"/>
  <c r="N441" i="9" l="1"/>
  <c r="P441" i="9" s="1"/>
  <c r="J442" i="9" s="1"/>
  <c r="O442" i="9" s="1"/>
  <c r="R468" i="9"/>
  <c r="M442" i="9" l="1"/>
  <c r="L442" i="9"/>
  <c r="T468" i="9"/>
  <c r="U468" i="9"/>
  <c r="N442" i="9" l="1"/>
  <c r="P442" i="9" s="1"/>
  <c r="J443" i="9" s="1"/>
  <c r="O443" i="9" s="1"/>
  <c r="V468" i="9"/>
  <c r="W468" i="9" s="1"/>
  <c r="X468" i="9" s="1"/>
  <c r="R469" i="9" s="1"/>
  <c r="M443" i="9" l="1"/>
  <c r="L443" i="9" s="1"/>
  <c r="N443" i="9" s="1"/>
  <c r="T469" i="9"/>
  <c r="U469" i="9"/>
  <c r="V469" i="9" l="1"/>
  <c r="W469" i="9" s="1"/>
  <c r="X469" i="9" s="1"/>
  <c r="P443" i="9"/>
  <c r="R470" i="9" l="1"/>
  <c r="J444" i="9"/>
  <c r="O444" i="9" s="1"/>
  <c r="U470" i="9" l="1"/>
  <c r="T470" i="9"/>
  <c r="V470" i="9" s="1"/>
  <c r="W470" i="9" s="1"/>
  <c r="X470" i="9" s="1"/>
  <c r="M444" i="9"/>
  <c r="L444" i="9"/>
  <c r="N444" i="9" s="1"/>
  <c r="P444" i="9" s="1"/>
  <c r="R471" i="9" l="1"/>
  <c r="J445" i="9"/>
  <c r="O445" i="9" s="1"/>
  <c r="U471" i="9" l="1"/>
  <c r="T471" i="9" s="1"/>
  <c r="V471" i="9" s="1"/>
  <c r="M445" i="9"/>
  <c r="L445" i="9"/>
  <c r="N445" i="9" s="1"/>
  <c r="P445" i="9" s="1"/>
  <c r="J446" i="9" l="1"/>
  <c r="O446" i="9" s="1"/>
  <c r="W471" i="9"/>
  <c r="X471" i="9" s="1"/>
  <c r="M446" i="9" l="1"/>
  <c r="L446" i="9" s="1"/>
  <c r="N446" i="9" s="1"/>
  <c r="R472" i="9"/>
  <c r="U472" i="9" l="1"/>
  <c r="T472" i="9" s="1"/>
  <c r="V472" i="9" s="1"/>
  <c r="P446" i="9"/>
  <c r="J447" i="9" l="1"/>
  <c r="O447" i="9" s="1"/>
  <c r="W472" i="9"/>
  <c r="X472" i="9" s="1"/>
  <c r="L447" i="9" l="1"/>
  <c r="M447" i="9"/>
  <c r="R473" i="9"/>
  <c r="N447" i="9" l="1"/>
  <c r="W473" i="9"/>
  <c r="U473" i="9"/>
  <c r="T473" i="9"/>
  <c r="V473" i="9" s="1"/>
  <c r="P447" i="9" l="1"/>
  <c r="J448" i="9"/>
  <c r="O448" i="9" s="1"/>
  <c r="X473" i="9"/>
  <c r="M448" i="9" l="1"/>
  <c r="L448" i="9" s="1"/>
  <c r="N448" i="9" s="1"/>
  <c r="R474" i="9"/>
  <c r="U474" i="9" l="1"/>
  <c r="T474" i="9"/>
  <c r="V474" i="9" s="1"/>
  <c r="W474" i="9" s="1"/>
  <c r="P448" i="9"/>
  <c r="J449" i="9" l="1"/>
  <c r="O449" i="9" s="1"/>
  <c r="X474" i="9"/>
  <c r="M449" i="9" l="1"/>
  <c r="L449" i="9" s="1"/>
  <c r="N449" i="9" s="1"/>
  <c r="R475" i="9"/>
  <c r="T475" i="9" l="1"/>
  <c r="V475" i="9" s="1"/>
  <c r="W475" i="9" s="1"/>
  <c r="X475" i="9" s="1"/>
  <c r="U475" i="9"/>
  <c r="P449" i="9"/>
  <c r="R476" i="9" l="1"/>
  <c r="J450" i="9"/>
  <c r="O450" i="9" s="1"/>
  <c r="U476" i="9" l="1"/>
  <c r="T476" i="9" s="1"/>
  <c r="V476" i="9" s="1"/>
  <c r="L450" i="9"/>
  <c r="N450" i="9" s="1"/>
  <c r="P450" i="9" s="1"/>
  <c r="M450" i="9"/>
  <c r="J451" i="9" l="1"/>
  <c r="O451" i="9" s="1"/>
  <c r="W476" i="9"/>
  <c r="X476" i="9" s="1"/>
  <c r="M451" i="9" l="1"/>
  <c r="L451" i="9" s="1"/>
  <c r="N451" i="9" s="1"/>
  <c r="R477" i="9"/>
  <c r="T477" i="9" l="1"/>
  <c r="U477" i="9"/>
  <c r="P451" i="9"/>
  <c r="V477" i="9" l="1"/>
  <c r="W477" i="9" s="1"/>
  <c r="X477" i="9" s="1"/>
  <c r="R478" i="9" s="1"/>
  <c r="J452" i="9"/>
  <c r="O452" i="9" s="1"/>
  <c r="U478" i="9" l="1"/>
  <c r="T478" i="9" s="1"/>
  <c r="V478" i="9" s="1"/>
  <c r="M452" i="9"/>
  <c r="L452" i="9"/>
  <c r="N452" i="9" l="1"/>
  <c r="P452" i="9"/>
  <c r="W478" i="9"/>
  <c r="X478" i="9" s="1"/>
  <c r="J453" i="9" l="1"/>
  <c r="O453" i="9" s="1"/>
  <c r="R479" i="9"/>
  <c r="M453" i="9" l="1"/>
  <c r="L453" i="9"/>
  <c r="U479" i="9"/>
  <c r="T479" i="9" s="1"/>
  <c r="V479" i="9" s="1"/>
  <c r="N453" i="9" l="1"/>
  <c r="P453" i="9" s="1"/>
  <c r="J454" i="9"/>
  <c r="O454" i="9" s="1"/>
  <c r="W479" i="9"/>
  <c r="X479" i="9" s="1"/>
  <c r="M454" i="9" l="1"/>
  <c r="L454" i="9" s="1"/>
  <c r="N454" i="9" s="1"/>
  <c r="R480" i="9"/>
  <c r="U480" i="9" l="1"/>
  <c r="T480" i="9"/>
  <c r="P454" i="9"/>
  <c r="V480" i="9" l="1"/>
  <c r="W480" i="9" s="1"/>
  <c r="X480" i="9" s="1"/>
  <c r="R481" i="9" s="1"/>
  <c r="J455" i="9"/>
  <c r="O455" i="9" s="1"/>
  <c r="W481" i="9" l="1"/>
  <c r="H38" i="7" s="1"/>
  <c r="U481" i="9"/>
  <c r="F38" i="7" s="1"/>
  <c r="G38" i="7" s="1"/>
  <c r="T481" i="9"/>
  <c r="M455" i="9"/>
  <c r="L455" i="9"/>
  <c r="N455" i="9" l="1"/>
  <c r="P455" i="9" s="1"/>
  <c r="J456" i="9" s="1"/>
  <c r="O456" i="9" s="1"/>
  <c r="V481" i="9"/>
  <c r="X481" i="9" s="1"/>
  <c r="D38" i="7" s="1" a="1"/>
  <c r="E38" i="7" s="1"/>
  <c r="M456" i="9" l="1"/>
  <c r="L456" i="9"/>
  <c r="N456" i="9" l="1"/>
  <c r="P456" i="9" s="1"/>
  <c r="J457" i="9" s="1"/>
  <c r="O457" i="9" s="1"/>
  <c r="M457" i="9" l="1"/>
  <c r="L457" i="9" s="1"/>
  <c r="N457" i="9" s="1"/>
  <c r="P457" i="9" l="1"/>
  <c r="J458" i="9" l="1"/>
  <c r="O458" i="9" s="1"/>
  <c r="M458" i="9" l="1"/>
  <c r="L458" i="9" s="1"/>
  <c r="N458" i="9" s="1"/>
  <c r="P458" i="9" l="1"/>
  <c r="J459" i="9" l="1"/>
  <c r="O459" i="9" s="1"/>
  <c r="L459" i="9" l="1"/>
  <c r="M459" i="9"/>
  <c r="N459" i="9" l="1"/>
  <c r="P459" i="9" s="1"/>
  <c r="J460" i="9" s="1"/>
  <c r="O460" i="9" s="1"/>
  <c r="M460" i="9" l="1"/>
  <c r="L460" i="9" s="1"/>
  <c r="N460" i="9" s="1"/>
  <c r="P460" i="9" l="1"/>
  <c r="J461" i="9" l="1"/>
  <c r="O461" i="9" s="1"/>
  <c r="M461" i="9" l="1"/>
  <c r="L461" i="9" s="1"/>
  <c r="N461" i="9" s="1"/>
  <c r="P461" i="9" l="1"/>
  <c r="J462" i="9" l="1"/>
  <c r="O462" i="9" s="1"/>
  <c r="M462" i="9" l="1"/>
  <c r="L462" i="9"/>
  <c r="N462" i="9" l="1"/>
  <c r="P462" i="9" s="1"/>
  <c r="J463" i="9" s="1"/>
  <c r="O463" i="9" s="1"/>
  <c r="L463" i="9" l="1"/>
  <c r="M463" i="9"/>
  <c r="N463" i="9" l="1"/>
  <c r="P463" i="9" s="1"/>
  <c r="J464" i="9" s="1"/>
  <c r="O464" i="9" s="1"/>
  <c r="M464" i="9" l="1"/>
  <c r="L464" i="9"/>
  <c r="N464" i="9" l="1"/>
  <c r="P464" i="9" s="1"/>
  <c r="J465" i="9" s="1"/>
  <c r="O465" i="9" s="1"/>
  <c r="M465" i="9" l="1"/>
  <c r="L465" i="9"/>
  <c r="N465" i="9" s="1"/>
  <c r="P465" i="9" s="1"/>
  <c r="J466" i="9" l="1"/>
  <c r="O466" i="9" s="1"/>
  <c r="M466" i="9" l="1"/>
  <c r="L466" i="9"/>
  <c r="N466" i="9" l="1"/>
  <c r="P466" i="9" s="1"/>
  <c r="J467" i="9" s="1"/>
  <c r="O467" i="9" s="1"/>
  <c r="M467" i="9" l="1"/>
  <c r="L467" i="9" s="1"/>
  <c r="N467" i="9" s="1"/>
  <c r="P467" i="9" l="1"/>
  <c r="J468" i="9" l="1"/>
  <c r="O468" i="9" s="1"/>
  <c r="M468" i="9" l="1"/>
  <c r="L468" i="9" s="1"/>
  <c r="N468" i="9" s="1"/>
  <c r="P468" i="9" l="1"/>
  <c r="J469" i="9" l="1"/>
  <c r="O469" i="9" s="1"/>
  <c r="M469" i="9" l="1"/>
  <c r="L469" i="9" s="1"/>
  <c r="N469" i="9" s="1"/>
  <c r="P469" i="9" l="1"/>
  <c r="J470" i="9" l="1"/>
  <c r="O470" i="9" s="1"/>
  <c r="L470" i="9" l="1"/>
  <c r="M470" i="9"/>
  <c r="N470" i="9" l="1"/>
  <c r="P470" i="9" s="1"/>
  <c r="J471" i="9" l="1"/>
  <c r="O471" i="9" s="1"/>
  <c r="M471" i="9" l="1"/>
  <c r="L471" i="9" s="1"/>
  <c r="N471" i="9" s="1"/>
  <c r="P471" i="9" l="1"/>
  <c r="J472" i="9" l="1"/>
  <c r="O472" i="9" s="1"/>
  <c r="M472" i="9" l="1"/>
  <c r="L472" i="9"/>
  <c r="N472" i="9" l="1"/>
  <c r="P472" i="9" l="1"/>
  <c r="J473" i="9" s="1"/>
  <c r="O473" i="9" s="1"/>
  <c r="M473" i="9" l="1"/>
  <c r="L473" i="9"/>
  <c r="N473" i="9" l="1"/>
  <c r="P473" i="9" s="1"/>
  <c r="J474" i="9" s="1"/>
  <c r="O474" i="9" s="1"/>
  <c r="M474" i="9" l="1"/>
  <c r="L474" i="9"/>
  <c r="N474" i="9" l="1"/>
  <c r="P474" i="9" s="1"/>
  <c r="J475" i="9" s="1"/>
  <c r="O475" i="9" s="1"/>
  <c r="M475" i="9" l="1"/>
  <c r="L475" i="9" s="1"/>
  <c r="N475" i="9" s="1"/>
  <c r="P475" i="9" l="1"/>
  <c r="J476" i="9" l="1"/>
  <c r="O476" i="9" s="1"/>
  <c r="M476" i="9" l="1"/>
  <c r="L476" i="9" s="1"/>
  <c r="N476" i="9" s="1"/>
  <c r="P476" i="9" l="1"/>
  <c r="J477" i="9" l="1"/>
  <c r="O477" i="9" s="1"/>
  <c r="L477" i="9" l="1"/>
  <c r="M477" i="9"/>
  <c r="N477" i="9" l="1"/>
  <c r="P477" i="9" s="1"/>
  <c r="J478" i="9"/>
  <c r="O478" i="9" s="1"/>
  <c r="M478" i="9" l="1"/>
  <c r="L478" i="9"/>
  <c r="N478" i="9" s="1"/>
  <c r="P478" i="9" s="1"/>
  <c r="J479" i="9" l="1"/>
  <c r="O479" i="9" s="1"/>
  <c r="L479" i="9" l="1"/>
  <c r="N479" i="9" s="1"/>
  <c r="M479" i="9"/>
  <c r="P479" i="9" l="1"/>
  <c r="J480" i="9" l="1"/>
  <c r="O480" i="9" s="1"/>
  <c r="M480" i="9" l="1"/>
  <c r="L480" i="9" s="1"/>
  <c r="N480" i="9" s="1"/>
  <c r="P480" i="9" l="1"/>
  <c r="J481" i="9" l="1"/>
  <c r="O481" i="9" s="1"/>
  <c r="M481" i="9" l="1"/>
  <c r="F37" i="7" s="1"/>
  <c r="G37" i="7" s="1"/>
  <c r="L481" i="9"/>
  <c r="N481" i="9" l="1"/>
  <c r="H37" i="7" s="1"/>
  <c r="P481" i="9"/>
  <c r="D37" i="7" s="1" a="1"/>
  <c r="E37"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<sst xmlns="http://schemas.openxmlformats.org/spreadsheetml/2006/main" count="1118" uniqueCount="917">
  <si>
    <t>Property Price (₹)</t>
  </si>
  <si>
    <t>Loan Amount (₹)</t>
  </si>
  <si>
    <t>Loan Interest (% per year)</t>
  </si>
  <si>
    <t>Tenure (years)</t>
  </si>
  <si>
    <t>Maintenance (% per year)</t>
  </si>
  <si>
    <t>Property Appreciation (% per year)</t>
  </si>
  <si>
    <t>Inflation (% per year)</t>
  </si>
  <si>
    <t>SIP Return (% per year)</t>
  </si>
  <si>
    <t>EMI &amp; PROPERTY SUMMARY</t>
  </si>
  <si>
    <t>Down Payment</t>
  </si>
  <si>
    <t>Monthly EMI</t>
  </si>
  <si>
    <t>Total EMI Paid</t>
  </si>
  <si>
    <t>Net Interest Paid</t>
  </si>
  <si>
    <t>Loan-to-Value Ratio</t>
  </si>
  <si>
    <t>First-Year Maintenance</t>
  </si>
  <si>
    <t>Total Maintenance (20 Years)</t>
  </si>
  <si>
    <t>SIP INVESTMENT SUMMARY</t>
  </si>
  <si>
    <t>Lump Sum Investment</t>
  </si>
  <si>
    <t>Monthly SIP</t>
  </si>
  <si>
    <t>Total Amount Invested</t>
  </si>
  <si>
    <t>SIP Future Value (Nominal)</t>
  </si>
  <si>
    <t>Inflation-Adjusted SIP Value</t>
  </si>
  <si>
    <t>Investment Gain (Nominal)</t>
  </si>
  <si>
    <t>Real Gain After LTCG &amp; Inflation</t>
  </si>
  <si>
    <t>Property Future Value (Gross Nominal)</t>
  </si>
  <si>
    <t>Property Future Value (Gross Real)</t>
  </si>
  <si>
    <t>Purchase price used as the starting value of the property.</t>
  </si>
  <si>
    <t>Principal financed through the home loan.</t>
  </si>
  <si>
    <t>Annual nominal loan rate; the EMI calculation uses a monthly rate.</t>
  </si>
  <si>
    <t>Loan and investment comparison period in years.</t>
  </si>
  <si>
    <t>Annual maintenance assumption; this model keeps the first-year rupee amount flat.</t>
  </si>
  <si>
    <t>Expected annual compound growth rate of the property value.</t>
  </si>
  <si>
    <t>Annual rate used to convert future amounts into today’s purchasing power.</t>
  </si>
  <si>
    <t>Expected annual SIP return; monthly contributions are compounded monthly.</t>
  </si>
  <si>
    <t>Property price less the loan amount; also used as the SIP lump sum.</t>
  </si>
  <si>
    <t>Fixed monthly loan payment of principal and interest.</t>
  </si>
  <si>
    <t>Monthly EMI multiplied by the full number of loan months.</t>
  </si>
  <si>
    <t>Total EMI paid less the original loan principal.</t>
  </si>
  <si>
    <t>Property price multiplied by the annual maintenance rate.</t>
  </si>
  <si>
    <t>First-year maintenance multiplied by tenure; no annual escalation is modeled.</t>
  </si>
  <si>
    <t>Estimated property value at the end of the tenure before inflation adjustment.</t>
  </si>
  <si>
    <t>Gross future property value expressed in today’s rupees.</t>
  </si>
  <si>
    <t>One-time investment equal to the house down payment.</t>
  </si>
  <si>
    <t>Monthly investment equal to the home-loan EMI.</t>
  </si>
  <si>
    <t>Lump sum plus all monthly SIP contributions; returns are excluded.</t>
  </si>
  <si>
    <t>Nominal SIP future value expressed in today’s rupees.</t>
  </si>
  <si>
    <t>SIP future value less total contributions, before tax.</t>
  </si>
  <si>
    <t>HOUSE VS SIP — DECISION ANALYSIS</t>
  </si>
  <si>
    <t>Comparison uses the assumptions above over the same 20-year horizon.</t>
  </si>
  <si>
    <t>Metric</t>
  </si>
  <si>
    <t>House</t>
  </si>
  <si>
    <t>SIP</t>
  </si>
  <si>
    <t>Total modeled cash outlay</t>
  </si>
  <si>
    <t>Nominal future value</t>
  </si>
  <si>
    <t>Inflation-adjusted future value</t>
  </si>
  <si>
    <t>Real gain after modeled costs / tax</t>
  </si>
  <si>
    <t>House advantage / (SIP advantage)</t>
  </si>
  <si>
    <t>Net Property Gain (After Maintenance &amp; Interest)</t>
  </si>
  <si>
    <t>Post-Tax Investment Gain (Nominal)</t>
  </si>
  <si>
    <t>Nominal investment gain remaining after deducting the modeled LTCG tax.</t>
  </si>
  <si>
    <t>Post-Tax Future Value (Nominal)</t>
  </si>
  <si>
    <t>Total amount invested plus the post-tax nominal investment gain; this is the post-tax corpus after 20 years.</t>
  </si>
  <si>
    <t>Post-Tax Future Value (Real)</t>
  </si>
  <si>
    <t>Post-tax future value after adjusting the full corpus for inflation; this is the value after 20 years in today’s rupees.</t>
  </si>
  <si>
    <t>Interest Rate (% per year)</t>
  </si>
  <si>
    <t>EMI CALCULATOR &amp; YEARLY REPAYMENT SCHEDULE</t>
  </si>
  <si>
    <t>Edit the loan inputs below; the summary and annual amortization schedule recalculate automatically.</t>
  </si>
  <si>
    <t>LOAN INPUTS</t>
  </si>
  <si>
    <t>LOAN SUMMARY</t>
  </si>
  <si>
    <t>Total Payment</t>
  </si>
  <si>
    <t>Total Interest</t>
  </si>
  <si>
    <t>Total Principal</t>
  </si>
  <si>
    <t>YEARLY PAYMENT SCHEDULE</t>
  </si>
  <si>
    <t>Year</t>
  </si>
  <si>
    <t>Opening Balance</t>
  </si>
  <si>
    <t>EMI Paid</t>
  </si>
  <si>
    <t>Principal Paid</t>
  </si>
  <si>
    <t>Interest Paid</t>
  </si>
  <si>
    <t>Closing Balance</t>
  </si>
  <si>
    <t>Monthly SIP Amount (₹)</t>
  </si>
  <si>
    <t>Expected Return (% per year)</t>
  </si>
  <si>
    <t>Lumpsum at start</t>
  </si>
  <si>
    <t>SIP GROWTH &amp; YEARLY VALUE SCHEDULE</t>
  </si>
  <si>
    <t>Edit the assumptions below; the summary and yearly schedule recalculate automatically.</t>
  </si>
  <si>
    <t>INVESTMENT INPUTS</t>
  </si>
  <si>
    <t>INVESTMENT SUMMARY</t>
  </si>
  <si>
    <t>LTCG Tax Rate (%)</t>
  </si>
  <si>
    <t>LTCG Exemption (₹)</t>
  </si>
  <si>
    <t>Future Value (Nominal)</t>
  </si>
  <si>
    <t>Estimated LTCG Tax</t>
  </si>
  <si>
    <t>Post-Tax Value (Nominal)</t>
  </si>
  <si>
    <t>Post-Tax Value (Real)</t>
  </si>
  <si>
    <t>Tax assumption: each row estimates tax if the full portfolio were redeemed at that year-end and all gains qualified for Section 112A LTCG. It excludes cess, surcharge, expense ratios, and the short-term status of recent SIP instalments.</t>
  </si>
  <si>
    <t>YEARLY SIP GROWTH SCHEDULE</t>
  </si>
  <si>
    <t>Opening Value</t>
  </si>
  <si>
    <t>Annual SIP</t>
  </si>
  <si>
    <t>Total Invested</t>
  </si>
  <si>
    <t>Nominal Value</t>
  </si>
  <si>
    <t>Nominal Gain</t>
  </si>
  <si>
    <t>Post-Tax Value</t>
  </si>
  <si>
    <t>Post-Tax Real Value</t>
  </si>
  <si>
    <t>HOW TO READ THE RESULTS</t>
  </si>
  <si>
    <t>INPUT GUIDE</t>
  </si>
  <si>
    <t>Input</t>
  </si>
  <si>
    <t>How it affects the model</t>
  </si>
  <si>
    <t>Current value</t>
  </si>
  <si>
    <t>One-time amount invested immediately; it compounds for the entire selected tenure.</t>
  </si>
  <si>
    <t>Monthly SIP amount</t>
  </si>
  <si>
    <t>Contribution made at the end of every month; annual contribution shown in the table equals 12 monthly SIPs.</t>
  </si>
  <si>
    <t>Expected annual return</t>
  </si>
  <si>
    <t>Nominal annual return divided by 12 for monthly compounding; it is an assumption, not a guaranteed return.</t>
  </si>
  <si>
    <t>Tenure</t>
  </si>
  <si>
    <t>Number of years projected and the number of yearly rows generated in the schedule.</t>
  </si>
  <si>
    <t>Inflation</t>
  </si>
  <si>
    <t>Used to discount each year’s post-tax nominal value into today’s purchasing power.</t>
  </si>
  <si>
    <t>LTCG tax rate</t>
  </si>
  <si>
    <t>Tax percentage applied to estimated qualifying gains above the exemption on a full redemption.</t>
  </si>
  <si>
    <t>LTCG exemption</t>
  </si>
  <si>
    <t>Amount of qualifying long-term capital gain excluded from the simplified tax calculation.</t>
  </si>
  <si>
    <t>OUTPUT &amp; CALCULATION FLOW</t>
  </si>
  <si>
    <t>Output</t>
  </si>
  <si>
    <t>Meaning / calculation flow</t>
  </si>
  <si>
    <t>Total amount invested</t>
  </si>
  <si>
    <t>Lumpsum + monthly SIP × 12 × tenure. This is contributed capital, excluding returns.</t>
  </si>
  <si>
    <t>Future value (nominal)</t>
  </si>
  <si>
    <t>Lumpsum growth plus the future value of all month-end SIP contributions before tax and inflation.</t>
  </si>
  <si>
    <t>Investment gain (nominal)</t>
  </si>
  <si>
    <t>Nominal future value less total amount invested.</t>
  </si>
  <si>
    <t>Estimated LTCG tax</t>
  </si>
  <si>
    <t>Maximum of zero and (nominal gain − exemption), multiplied by the LTCG tax rate.</t>
  </si>
  <si>
    <t>Post-tax value (nominal)</t>
  </si>
  <si>
    <t>Nominal future value less estimated LTCG tax.</t>
  </si>
  <si>
    <t>Post-tax value (real)</t>
  </si>
  <si>
    <t>Post-tax nominal value divided by (1 + inflation rate) raised to the elapsed years.</t>
  </si>
  <si>
    <t>Real gain vs contributions</t>
  </si>
  <si>
    <t>ASSUMPTIONS &amp; LIMITATIONS</t>
  </si>
  <si>
    <t>1. Returns are constant and compounded monthly; actual market returns will vary and may include losses.</t>
  </si>
  <si>
    <t>2. Monthly SIPs are assumed to occur at each month-end, with no missed payments, step-up SIP, withdrawals, or rebalancing.</t>
  </si>
  <si>
    <t>3. Tax is estimated as if the full portfolio were redeemed at each year-end and all gains qualified for Section 112A LTCG. Recent SIP instalments may actually be short-term; cess, surcharge, grandfathering, loss set-off, and tax harvesting are excluded.</t>
  </si>
  <si>
    <t>4. Expense ratios, exit loads, transaction costs, tracking error, and advisory fees are excluded, so actual net values may be lower.</t>
  </si>
  <si>
    <t>5. Inflation is assumed constant. “Real value” means purchasing power in today’s rupees, not the amount visible in the future account statement.</t>
  </si>
  <si>
    <t>6. This is an illustration for scenario comparison, not a return guarantee, tax filing computation, or personalized investment recommendation.</t>
  </si>
  <si>
    <t>Loan amount</t>
  </si>
  <si>
    <t>Principal borrowed. A larger amount increases the EMI, total repayment, and total interest proportionally.</t>
  </si>
  <si>
    <t>Annual interest rate</t>
  </si>
  <si>
    <t>Nominal annual borrowing rate divided by 12 for the monthly EMI and amortization calculations.</t>
  </si>
  <si>
    <t>Repayment period in years. A longer tenure usually lowers EMI but increases total interest.</t>
  </si>
  <si>
    <t>Fixed monthly payment calculated using the loan amount, monthly interest rate, and total number of monthly payments.</t>
  </si>
  <si>
    <t>Total payment</t>
  </si>
  <si>
    <t>Monthly EMI × 12 × tenure. This is the total cash paid to the lender if the rate and schedule remain unchanged.</t>
  </si>
  <si>
    <t>Total interest</t>
  </si>
  <si>
    <t>Total payment less the original loan amount. It is the modeled cost of borrowing before fees, taxes, or benefits.</t>
  </si>
  <si>
    <t>Opening balance</t>
  </si>
  <si>
    <t>Outstanding principal at the beginning of each year.</t>
  </si>
  <si>
    <t>Principal paid</t>
  </si>
  <si>
    <t>The part of that year’s EMIs that reduces the outstanding loan balance.</t>
  </si>
  <si>
    <t>Interest paid</t>
  </si>
  <si>
    <t>The part of that year’s EMIs charged as borrowing cost; it generally declines as the balance falls.</t>
  </si>
  <si>
    <t>Closing balance</t>
  </si>
  <si>
    <t>Opening balance less principal paid. It becomes the next year’s opening balance and reaches zero at maturity.</t>
  </si>
  <si>
    <t>1. The interest rate is fixed for the full tenure and interest is calculated monthly on the reducing principal balance.</t>
  </si>
  <si>
    <t>2. EMIs are paid at each month-end, on time, with no missed payments, prepayments, part-payments, moratorium, or refinancing.</t>
  </si>
  <si>
    <t>3. The schedule excludes processing fees, insurance, legal charges, penalties, taxes, and other lender costs.</t>
  </si>
  <si>
    <t>4. Home-loan tax deductions or subsidies are excluded; actual after-tax borrowing cost depends on eligibility and tax rules.</t>
  </si>
  <si>
    <t>5. Values are rounded for display, so displayed yearly figures may differ slightly from exact underlying formulas.</t>
  </si>
  <si>
    <t>6. This is an illustration of a standard amortizing loan; the lender’s actual schedule may differ because of payment dates, day-count conventions, or rate resets.</t>
  </si>
  <si>
    <t>HOME FINANCE PLANNING WORKBOOK</t>
  </si>
  <si>
    <t>CONTENTS</t>
  </si>
  <si>
    <t>PURPOSE</t>
  </si>
  <si>
    <t>Rent vs Buy</t>
  </si>
  <si>
    <t>Compares purchasing a home with renting and investing the avoided down payment and monthly savings.</t>
  </si>
  <si>
    <t>Home Loan Analysis</t>
  </si>
  <si>
    <t>Evaluates home ownership against SIP investing under common long-term assumptions.</t>
  </si>
  <si>
    <t>EMI Calculator</t>
  </si>
  <si>
    <t>Calculates EMI and provides a yearly principal-and-interest repayment schedule.</t>
  </si>
  <si>
    <t>SIP Growth</t>
  </si>
  <si>
    <t>Projects yearly SIP growth, tax, inflation-adjusted value, and model assumptions.</t>
  </si>
  <si>
    <t>RENT VS BUY — LONG-TERM WEALTH COMPARISON</t>
  </si>
  <si>
    <t>MODEL INPUTS</t>
  </si>
  <si>
    <t>DECISION SUMMARY</t>
  </si>
  <si>
    <t>HOW TO READ THE RESULT</t>
  </si>
  <si>
    <t>Loan Interest (% p.a.)</t>
  </si>
  <si>
    <t>Maintenance (% p.a.)</t>
  </si>
  <si>
    <t>Property Appreciation (% p.a.)</t>
  </si>
  <si>
    <t>Inflation (% p.a.)</t>
  </si>
  <si>
    <t>Starting Monthly Rent (₹)</t>
  </si>
  <si>
    <t>Annual Rent Increase (%)</t>
  </si>
  <si>
    <t>Buyer Total Cash Outlay</t>
  </si>
  <si>
    <t>Total Rent Paid</t>
  </si>
  <si>
    <t>Buy Net Wealth (Real)</t>
  </si>
  <si>
    <t>Rent + Invest Wealth (Real)</t>
  </si>
  <si>
    <t>Buy Advantage / (Rent Advantage)</t>
  </si>
  <si>
    <t>Current Decision</t>
  </si>
  <si>
    <t>KEY ASSUMPTIONS &amp; LIMITATIONS</t>
  </si>
  <si>
    <t>1. Buyer wealth equals property value less outstanding loan; both are inflation-adjusted for the real comparison.</t>
  </si>
  <si>
    <t>2. The buyer pays EMI and flat annual maintenance. The renter invests the monthly difference; if rent exceeds ownership cost, the model treats the difference as a portfolio withdrawal.</t>
  </si>
  <si>
    <t>3. Renter tax assumes a full year-end redemption and qualifying Section 112A LTCG above the exemption. Recent SIP instalments, cess, surcharge, and tax harvesting are excluded.</t>
  </si>
  <si>
    <t>5. Returns, appreciation, inflation, rent escalation, and interest rates are constant assumptions—not forecasts or guarantees.</t>
  </si>
  <si>
    <t>6. Net contributions after any modeled withdrawals are used as a simplified tax cost basis; actual tax-lot calculations may differ.</t>
  </si>
  <si>
    <t>YEARLY RENT VS BUY WEALTH SCHEDULE</t>
  </si>
  <si>
    <t>Annual Rent</t>
  </si>
  <si>
    <t>Monthly Invest Difference</t>
  </si>
  <si>
    <t>Renter Net Contributions</t>
  </si>
  <si>
    <t>Property Value</t>
  </si>
  <si>
    <t>Loan Balance</t>
  </si>
  <si>
    <t>Buy Net Wealth</t>
  </si>
  <si>
    <t>Renter Portfolio</t>
  </si>
  <si>
    <t>Estimated Tax</t>
  </si>
  <si>
    <t>Renter Post-Tax Wealth (Real)</t>
  </si>
  <si>
    <t>Buying means living in the ready-possession home and repaying the loan over the selected tenure; renting means investing the avoided down payment plus EMI and maintenance saved after paying rent.</t>
  </si>
  <si>
    <t>NOMINAL VS REAL WEALTH — A SIMPLE GUIDE</t>
  </si>
  <si>
    <t>Why a large future amount may not buy as much as it appears to—and how inflation-adjusted values improve financial decisions.</t>
  </si>
  <si>
    <t>1. THE BASIC IDEA</t>
  </si>
  <si>
    <t>Nominal wealth is the amount of money shown in your future account statement. It is measured in future rupees and does not adjust for rising prices. If your portfolio becomes ₹1 crore after 20 years, ₹1 crore is its nominal value.</t>
  </si>
  <si>
    <t>Real wealth expresses that future money in today’s purchasing power. It answers a more practical question: “What would this future amount be able to buy compared with what money can buy today?”</t>
  </si>
  <si>
    <t>The difference matters because inflation normally raises the prices of food, housing, education, healthcare, travel, and other expenses. As prices rise, each rupee buys less.</t>
  </si>
  <si>
    <t>2. NOMINAL AND REAL WEALTH COMPARED</t>
  </si>
  <si>
    <t>Term</t>
  </si>
  <si>
    <t>Simple meaning</t>
  </si>
  <si>
    <t>Nominal wealth</t>
  </si>
  <si>
    <t>The future rupee amount before adjusting for inflation. This is the balance you expect to see in the account.</t>
  </si>
  <si>
    <t>Real wealth</t>
  </si>
  <si>
    <t>The inflation-adjusted value of that future balance, expressed in today’s rupees.</t>
  </si>
  <si>
    <t>Nominal return</t>
  </si>
  <si>
    <t>The stated investment growth rate before removing inflation.</t>
  </si>
  <si>
    <t>Real return</t>
  </si>
  <si>
    <t>The increase in purchasing power after accounting for inflation.</t>
  </si>
  <si>
    <t>Purchasing power</t>
  </si>
  <si>
    <t>The quantity of goods and services that money can buy. Inflation reduces it over time.</t>
  </si>
  <si>
    <t>3. HOW REAL WEALTH IS CALCULATED</t>
  </si>
  <si>
    <t>A future amount is converted into today’s money by dividing it by the inflation growth factor: Real Value = Nominal Value ÷ (1 + Inflation Rate) ^ Number of Years.</t>
  </si>
  <si>
    <t>4. NOMINAL RETURN IS NOT THE SAME AS REAL RETURN</t>
  </si>
  <si>
    <t>A quick estimate of real return is nominal return minus inflation. For example, a 12% return with 6% inflation is roughly a 6% real return. This shortcut is useful, but it is not exact.</t>
  </si>
  <si>
    <t>Taxes, fees, and investment costs reduce the return further. Therefore, post-tax real return is usually the most useful measure when planning future spending.</t>
  </si>
  <si>
    <t>5. WHY THIS MATTERS FOR FINANCIAL PLANNING</t>
  </si>
  <si>
    <t>1. Retirement: A future corpus may look large, but retirement expenses will also be higher. Plan using inflation-adjusted spending needs.</t>
  </si>
  <si>
    <t>2. Education and healthcare: These costs may rise faster than general inflation, so a single inflation assumption may understate the required amount.</t>
  </si>
  <si>
    <t>3. Comparing investments: Compare alternatives using the same time period, inflation assumption, tax treatment, and risk level.</t>
  </si>
  <si>
    <t>4. Goals: Set goals in today’s rupees first, then inflate them to estimate the future nominal amount required.</t>
  </si>
  <si>
    <t>5. Decisions: Use nominal values for expected account balances and real values for understanding lifestyle and purchasing power.</t>
  </si>
  <si>
    <t>6. COMMON MISTAKES TO AVOID</t>
  </si>
  <si>
    <t>Do not compare a future nominal portfolio directly with today’s expenses. Do not treat expected returns as guaranteed. Do not ignore taxes and fees. Also, do not subtract inflation from the final corpus as a simple percentage—the adjustment compounds over every year.</t>
  </si>
  <si>
    <t>7. BOTTOM LINE</t>
  </si>
  <si>
    <t>Nominal wealth tells you how many future rupees you may have. Real wealth tells you what those rupees may actually be worth. Both figures are useful, but real wealth is usually better for judging whether your future money can support the lifestyle or goal you are planning for.</t>
  </si>
  <si>
    <t>Remember: real wealth is still an estimate because future returns, inflation, taxes, and costs are uncertain. Use several scenarios rather than relying on one forecast.</t>
  </si>
  <si>
    <t>Loan affordability, repayment, investment growth, and a practical roadmap for the wider financial journey</t>
  </si>
  <si>
    <t>RECOMMENDED CALCULATOR ROADMAP</t>
  </si>
  <si>
    <t>Priority</t>
  </si>
  <si>
    <t>Calculator to create</t>
  </si>
  <si>
    <t>What it should answer</t>
  </si>
  <si>
    <t>Mutual Fund Expense-Ratio Impact</t>
  </si>
  <si>
    <t>How much wealth is lost over time because of fund expenses? Compare two expense ratios, direct vs regular plans, and show the rupee cost after 5–30 years.</t>
  </si>
  <si>
    <t>Home-Loan Part-Payment &amp; Prepayment</t>
  </si>
  <si>
    <t>Step-Up SIP Goal Planner</t>
  </si>
  <si>
    <t>Prepay Loan vs Invest</t>
  </si>
  <si>
    <t>Should surplus cash be used to prepay the loan or invested? Compare guaranteed interest savings with uncertain post-tax investment returns.</t>
  </si>
  <si>
    <t>Retirement Corpus &amp; SWP</t>
  </si>
  <si>
    <t>How large a retirement corpus is required, and how long could it last under inflation, returns, taxes, and monthly withdrawals?</t>
  </si>
  <si>
    <t>Emergency-Fund Calculator</t>
  </si>
  <si>
    <t>How many months of essential expenses should be held, and how long will it take to build the target?</t>
  </si>
  <si>
    <t>Net-Worth &amp; Monthly Cash-Flow Tracker</t>
  </si>
  <si>
    <t>What is the household’s current net worth, savings rate, debt burden, and monthly surplus available for goals?</t>
  </si>
  <si>
    <t>Term-Insurance Need Calculator</t>
  </si>
  <si>
    <t>How much life cover may be needed after considering dependants, debts, future goals, existing assets, and current insurance?</t>
  </si>
  <si>
    <t>Asset-Allocation &amp; Rebalancing Tool</t>
  </si>
  <si>
    <t>What equity, debt, gold, and cash mix matches the goal horizon and risk comfort, and what trades restore the target allocation?</t>
  </si>
  <si>
    <t>Goal-Based Investment Dashboard</t>
  </si>
  <si>
    <t>Track several goals together, show funded percentage, monthly gap, required SIP, and priority when cash is limited.</t>
  </si>
  <si>
    <t>ARTICLE &amp; LEARNING ROADMAP</t>
  </si>
  <si>
    <t>Article to write</t>
  </si>
  <si>
    <t>Simple-language focus</t>
  </si>
  <si>
    <t>How to Build an Emergency Fund</t>
  </si>
  <si>
    <t>What counts as an emergency, where to keep the money, and why emergency savings come before aggressive investing.</t>
  </si>
  <si>
    <t>Needs, Wants, Savings and Debt</t>
  </si>
  <si>
    <t>A simple monthly-money system, savings rate, debt priorities, and how to avoid investing money needed soon.</t>
  </si>
  <si>
    <t>How Expense Ratio Quietly Reduces Wealth</t>
  </si>
  <si>
    <t>Explain TER, daily NAV deduction, compounding drag, and why a small annual percentage can create a large long-term rupee difference.</t>
  </si>
  <si>
    <t>How to Choose a Mutual Fund Without Technical Jargon</t>
  </si>
  <si>
    <t>Start with the goal and horizon, select a suitable category, check the SEBI Riskometer, understand costs, compare consistency, and avoid chasing last year’s winner.</t>
  </si>
  <si>
    <t>Direct vs Regular Mutual Funds</t>
  </si>
  <si>
    <t>Same portfolio but different costs and support: who may prefer DIY direct plans and who may value professional guidance.</t>
  </si>
  <si>
    <t>SIP, Lumpsum and Step-Up SIP</t>
  </si>
  <si>
    <t>When each method may fit, how cash-flow timing changes results, and why discipline matters more than predicting the market.</t>
  </si>
  <si>
    <t>How Part-Payment Reduces Home-Loan Interest</t>
  </si>
  <si>
    <t>Why early prepayments save more interest, the difference between reducing EMI and tenure, and what to confirm with the lender.</t>
  </si>
  <si>
    <t>Compare certainty, liquidity, tax, risk, return assumptions, and the emotional benefit of becoming debt-free.</t>
  </si>
  <si>
    <t>Retirement</t>
  </si>
  <si>
    <t>Nominal Wealth vs Real Wealth</t>
  </si>
  <si>
    <t>Show why inflation changes purchasing power and why retirement and long-term goals must be planned in today’s rupees.</t>
  </si>
  <si>
    <t>Sequence-of-Returns Risk in Retirement</t>
  </si>
  <si>
    <t>Explain why poor returns early in retirement can be damaging even when the long-term average return looks acceptable.</t>
  </si>
  <si>
    <t>Term Insurance and Health Insurance Basics</t>
  </si>
  <si>
    <t>Explain what each policy protects, common exclusions, adequate cover, and why insurance is not an investment return product.</t>
  </si>
  <si>
    <t>Common Investor Mistakes</t>
  </si>
  <si>
    <t>Chasing returns, panic selling, over-diversifying, ignoring costs and tax, borrowing to invest, and changing plans too often.</t>
  </si>
  <si>
    <t>Order</t>
  </si>
  <si>
    <t>Mutual Fund Selection Guide</t>
  </si>
  <si>
    <t>WRITING PRINCIPLES FOR EVERY ARTICLE</t>
  </si>
  <si>
    <t>Use one relatable rupee example, distinguish assumptions from facts, show both benefits and risks, explain tax and inflation separately, avoid promising returns, and end with a short checklist the reader can act on.</t>
  </si>
  <si>
    <t>MUTUAL FUND EXPENSE-RATIO IMPACT CALCULATOR</t>
  </si>
  <si>
    <t>Compare direct and regular plans using the same gross return; the difference shows how annual fund expenses compound into a long-term rupee cost.</t>
  </si>
  <si>
    <t>Lumpsum at Start (₹)</t>
  </si>
  <si>
    <t>Gross Return Before Expenses (% p.a.)</t>
  </si>
  <si>
    <t>Direct Plan Expense Ratio (% p.a.)</t>
  </si>
  <si>
    <t>Regular Plan Expense Ratio (% p.a.)</t>
  </si>
  <si>
    <t>Selected Horizon (5–30 years)</t>
  </si>
  <si>
    <t>SELECTED-HORIZON SUMMARY</t>
  </si>
  <si>
    <t>Direct Net Return</t>
  </si>
  <si>
    <t>Regular Net Return</t>
  </si>
  <si>
    <t>Direct Value Before Tax</t>
  </si>
  <si>
    <t>Regular Value Before Tax</t>
  </si>
  <si>
    <t>Wealth Lost Before Tax</t>
  </si>
  <si>
    <t>Direct Post-Tax Value (Real)</t>
  </si>
  <si>
    <t>Regular Post-Tax Value (Real)</t>
  </si>
  <si>
    <t>Real Wealth Lost to Higher TER</t>
  </si>
  <si>
    <t>4. Both plans are assumed to earn the same gross return before expenses; only the expense ratio differs.</t>
  </si>
  <si>
    <t>5. Tax is estimated as if the full portfolio were redeemed at each year-end and all gains qualified for the selected LTCG treatment.</t>
  </si>
  <si>
    <t>6. Returns, inflation, expenses, and tax inputs are assumptions—not forecasts or guarantees.</t>
  </si>
  <si>
    <t>5–30 YEAR MILESTONE COMPARISON</t>
  </si>
  <si>
    <t>Pre-Tax Wealth Lost</t>
  </si>
  <si>
    <t>Direct Post-Tax Real</t>
  </si>
  <si>
    <t>Regular Post-Tax Real</t>
  </si>
  <si>
    <t>Real Wealth Lost</t>
  </si>
  <si>
    <t>YEARLY EXPENSE-RATIO IMPACT SCHEDULE</t>
  </si>
  <si>
    <t>Direct LTCG Tax</t>
  </si>
  <si>
    <t>Direct Post-Tax Value</t>
  </si>
  <si>
    <t>Regular LTCG Tax</t>
  </si>
  <si>
    <t>Regular Post-Tax Value</t>
  </si>
  <si>
    <t>1. Net return is modeled as gross annual return minus the annual expense ratio, compounded monthly. Actual NAVs deduct expenses daily and realized returns vary.</t>
  </si>
  <si>
    <t>2. Direct and regular plans are assumed to hold the same portfolio. Distributor advice, service quality, exit loads, tracking differences, cess, surcharge, and tax-lot timing are excluded.</t>
  </si>
  <si>
    <t>3. The tax estimate assumes one full year-end redemption and qualifying long-term gains above the exemption; recent SIP instalments may not qualify as long term.</t>
  </si>
  <si>
    <t>Expense Ratio Impact</t>
  </si>
  <si>
    <t>Compares direct and regular mutual fund expense ratios and shows the long-term rupee cost over 5–30 years.</t>
  </si>
  <si>
    <t>1 — Built</t>
  </si>
  <si>
    <t>2 — Built</t>
  </si>
  <si>
    <t>How much interest and tenure can be saved with one-time or annual prepayments? Choose Reduce EMI or Reduce Tenure and compare the outcome.</t>
  </si>
  <si>
    <t>LOAN &amp; PREPAYMENT INPUTS</t>
  </si>
  <si>
    <t>Interest Rate (% p.a.)</t>
  </si>
  <si>
    <t>Original Tenure (years)</t>
  </si>
  <si>
    <t>Preferred Strategy</t>
  </si>
  <si>
    <t>Total Repayment</t>
  </si>
  <si>
    <t>Total Prepayment</t>
  </si>
  <si>
    <t>Interest Saved</t>
  </si>
  <si>
    <t>Reduce EMI</t>
  </si>
  <si>
    <t>YEARLY COMPARISON SCHEDULE</t>
  </si>
  <si>
    <t>MID-TERM RATE CHANGE</t>
  </si>
  <si>
    <t>New Rate Starts in Month</t>
  </si>
  <si>
    <t>New Interest Rate (% p.a.)</t>
  </si>
  <si>
    <t>Lender Treatment</t>
  </si>
  <si>
    <t>Keep EMI, change tenure</t>
  </si>
  <si>
    <t>Monthly Extra Payment (₹)</t>
  </si>
  <si>
    <t>Monthly Extra Starts in Month</t>
  </si>
  <si>
    <t>LUMP-SUM PREPAYMENTS</t>
  </si>
  <si>
    <t>Payment Month</t>
  </si>
  <si>
    <t>Amount (₹)</t>
  </si>
  <si>
    <t>Monthly Extra Ends in Month</t>
  </si>
  <si>
    <t>Interest is calculated monthly on the reducing balance. EMI is applied first, followed by monthly extra and any lump sum scheduled for that month. Up to five lump sums are supported; enter 0 for unused rows. The model excludes fees, penalties, insurance, taxes, tax benefits, missed payments, and lender-specific day-count rules. Results are planning estimates; confirm the lender’s revised schedule.</t>
  </si>
  <si>
    <t>Detailed Scenario</t>
  </si>
  <si>
    <t>Combination of All</t>
  </si>
  <si>
    <t>Normal Loan</t>
  </si>
  <si>
    <t>Rate %</t>
  </si>
  <si>
    <t>Scheduled EMI</t>
  </si>
  <si>
    <t>Interest</t>
  </si>
  <si>
    <t>Principal</t>
  </si>
  <si>
    <t>Prepayment</t>
  </si>
  <si>
    <t>Multiple Lump Sums</t>
  </si>
  <si>
    <t>Monthly Extra Payment</t>
  </si>
  <si>
    <t>Mid-Term Rate Change</t>
  </si>
  <si>
    <t>NORMAL LOAN SUMMARY</t>
  </si>
  <si>
    <t>Original Tenure</t>
  </si>
  <si>
    <t>Payoff Month</t>
  </si>
  <si>
    <t>SELECTED SCENARIO SUMMARY</t>
  </si>
  <si>
    <t>Chosen Scenario</t>
  </si>
  <si>
    <t>Payoff Months</t>
  </si>
  <si>
    <t>Payoff Years</t>
  </si>
  <si>
    <t>EMI After Rate Change</t>
  </si>
  <si>
    <t>FIVE-SCENARIO COMPARISON</t>
  </si>
  <si>
    <t>Scenario</t>
  </si>
  <si>
    <t>Initial EMI</t>
  </si>
  <si>
    <t>Interest Savings</t>
  </si>
  <si>
    <t>—</t>
  </si>
  <si>
    <t>SELECTED-SCENARIO YEARLY SCHEDULE</t>
  </si>
  <si>
    <t>Ending Rate %</t>
  </si>
  <si>
    <t>HOME-LOAN PREPAYMENT &amp; RATE-CHANGE SCENARIO CALCULATOR</t>
  </si>
  <si>
    <t>Compare a normal loan, multiple lump sums, monthly extra payments, a mid-term rate change, and their combined effect.</t>
  </si>
  <si>
    <t>1. Enter the outstanding loan, current rate and remaining tenure.  2. Add up to five lump sums in A12:B16; use 0 for unused rows.  3. Set monthly extra payment in B8, its start in B9 and end in E16.  4. E11:E13 controls the new rate and whether EMI or tenure changes.  5. Choose the prepayment treatment in E15 and the detailed scenario in H13.</t>
  </si>
  <si>
    <t>STEP-UP SIP GOAL PLANNER</t>
  </si>
  <si>
    <t>Estimate the starting monthly SIP and annual increase needed to fund a future goal after inflation and simplified long-term capital-gains tax.</t>
  </si>
  <si>
    <t>GOAL &amp; INVESTMENT INPUTS</t>
  </si>
  <si>
    <t>GOAL FUNDING SUMMARY</t>
  </si>
  <si>
    <t>Goal Type</t>
  </si>
  <si>
    <t>Goal Cost Today (₹)</t>
  </si>
  <si>
    <t>Years to Goal</t>
  </si>
  <si>
    <t>Current Invested Corpus (₹)</t>
  </si>
  <si>
    <t>Expected Return (% p.a.)</t>
  </si>
  <si>
    <t>Annual SIP Step-Up (%)</t>
  </si>
  <si>
    <t>Inflation-Adjusted Goal</t>
  </si>
  <si>
    <t>Future Value of Current Corpus</t>
  </si>
  <si>
    <t>Required Starting Monthly SIP</t>
  </si>
  <si>
    <t>First-Year Contribution</t>
  </si>
  <si>
    <t>Final-Year Monthly SIP</t>
  </si>
  <si>
    <t>Total Contributions</t>
  </si>
  <si>
    <t>Projected Pre-Tax Corpus</t>
  </si>
  <si>
    <t>Projected Post-Tax Corpus</t>
  </si>
  <si>
    <t>Funding Surplus / (Gap)</t>
  </si>
  <si>
    <t>1. Goal cost is entered in today’s rupees; inflation converts it into the future amount required.</t>
  </si>
  <si>
    <t>2. Required starting SIP increases annually by the selected step-up percentage.</t>
  </si>
  <si>
    <t>3. Return, inflation and tax are assumptions—not guaranteed outcomes.</t>
  </si>
  <si>
    <t>4. Tax assumes one final redemption and qualifying gains above the selected exemption.</t>
  </si>
  <si>
    <t>5. Current corpus is treated as invested today and as part of the tax cost basis.</t>
  </si>
  <si>
    <t>6. Use a lower return or higher inflation for a more conservative plan.</t>
  </si>
  <si>
    <t>YEARLY STEP-UP SIP PROJECTION</t>
  </si>
  <si>
    <t>Opening Corpus</t>
  </si>
  <si>
    <t>Annual Contribution</t>
  </si>
  <si>
    <t>Investment Growth</t>
  </si>
  <si>
    <t>Closing Pre-Tax Corpus</t>
  </si>
  <si>
    <t>Cumulative Contributions</t>
  </si>
  <si>
    <t>Post-Tax Corpus</t>
  </si>
  <si>
    <t>Funding %</t>
  </si>
  <si>
    <t>Funding Gap</t>
  </si>
  <si>
    <t>Loan Prepayment</t>
  </si>
  <si>
    <t>Models normal repayment, five lump sums, monthly extra payments, rate changes, and a combined scenario.</t>
  </si>
  <si>
    <t>Step-Up SIP Goal</t>
  </si>
  <si>
    <t>Calculates the starting SIP and annual step-up needed for an inflation-adjusted future goal after simplified tax.</t>
  </si>
  <si>
    <t>3 — Built</t>
  </si>
  <si>
    <t>What starting SIP and annual increase are needed for a future goal after inflation and simplified tax? Includes a 30-year funding schedule.</t>
  </si>
  <si>
    <t>Status / journey stage</t>
  </si>
  <si>
    <t>Pending — Start here</t>
  </si>
  <si>
    <t>Covered in calculator — Mutual funds</t>
  </si>
  <si>
    <t>Pending — Mutual funds</t>
  </si>
  <si>
    <t>Covered in calculators — Mutual funds</t>
  </si>
  <si>
    <t>Covered in calculator — Home loans</t>
  </si>
  <si>
    <t>Pending — Home loans</t>
  </si>
  <si>
    <t>Built article — Retirement</t>
  </si>
  <si>
    <t>Pending — Retirement</t>
  </si>
  <si>
    <t>Pending — Protection</t>
  </si>
  <si>
    <t>Pending — Behaviour</t>
  </si>
  <si>
    <t>CURRENT WORKBOOK STATUS</t>
  </si>
  <si>
    <t>Item</t>
  </si>
  <si>
    <t>Status</t>
  </si>
  <si>
    <t>Detail</t>
  </si>
  <si>
    <t>Visible financial tools</t>
  </si>
  <si>
    <t>Roadmap calculators</t>
  </si>
  <si>
    <t>Full educational articles</t>
  </si>
  <si>
    <t>1 built</t>
  </si>
  <si>
    <t>Nominal Wealth vs Real Wealth is included in SIP Growth.</t>
  </si>
  <si>
    <t>Embedded learning guides</t>
  </si>
  <si>
    <t>Hidden calculation support</t>
  </si>
  <si>
    <t>Pending</t>
  </si>
  <si>
    <t>Still the highest-priority standalone article for beginner investors.</t>
  </si>
  <si>
    <t>Workbook status</t>
  </si>
  <si>
    <t>Present Value of SIP Contributions (Real)</t>
  </si>
  <si>
    <t>Lump sum paid today plus each monthly SIP contribution discounted to present value using the same year-by-year inflation convention applied to home-loan interest.</t>
  </si>
  <si>
    <t>Inflation-adjusted post-tax future value less the present value of all SIP contributions, discounted consistently with the house-side cost methodology.</t>
  </si>
  <si>
    <t>PREPAY LOAN VS INVEST — DECISION CALCULATOR</t>
  </si>
  <si>
    <t>Compare the certainty of loan-interest savings with the higher but uncertain potential of investing the same surplus.</t>
  </si>
  <si>
    <t>YOUR INPUTS</t>
  </si>
  <si>
    <t>Outstanding Loan (₹)</t>
  </si>
  <si>
    <t>Remaining Tenure (years)</t>
  </si>
  <si>
    <t>One-Time Surplus (₹)</t>
  </si>
  <si>
    <t>Lump Sum Applied in Month</t>
  </si>
  <si>
    <t>Monthly Surplus (₹)</t>
  </si>
  <si>
    <t>Monthly Surplus Starts in Month</t>
  </si>
  <si>
    <t>Monthly Surplus Ends in Month</t>
  </si>
  <si>
    <t>Expected Gross Investment Return (% p.a.)</t>
  </si>
  <si>
    <t>Investment Expense Ratio (% p.a.)</t>
  </si>
  <si>
    <t>Emergency Fund Ready?</t>
  </si>
  <si>
    <t>Yes</t>
  </si>
  <si>
    <t>Risk Comfort</t>
  </si>
  <si>
    <t>Medium</t>
  </si>
  <si>
    <t>Decision Preference</t>
  </si>
  <si>
    <t>Balanced</t>
  </si>
  <si>
    <t>Normal Monthly EMI</t>
  </si>
  <si>
    <t>Net Investment Return Assumption</t>
  </si>
  <si>
    <t>Invest Surplus: Post-Tax Wealth</t>
  </si>
  <si>
    <t>Prepay — Reduce Tenure: Liquid Wealth</t>
  </si>
  <si>
    <t>Prepay — Reduce EMI: Liquid Wealth</t>
  </si>
  <si>
    <t>Interest Saved — Reduce Tenure</t>
  </si>
  <si>
    <t>Interest Saved — Reduce EMI</t>
  </si>
  <si>
    <t>Loan-Free Month — Reduce Tenure</t>
  </si>
  <si>
    <t>Expected Wealth Edge vs Best Prepay</t>
  </si>
  <si>
    <t>Rule-of-Thumb Gross Return Hurdle</t>
  </si>
  <si>
    <t>Model Recommendation</t>
  </si>
  <si>
    <t>COACH'S READ</t>
  </si>
  <si>
    <t>1. Prepayment earns a certain return close to the loan rate: every rupee of interest avoided is guaranteed.</t>
  </si>
  <si>
    <t>2. Investing can create more wealth, but returns arrive unevenly and may fall below the assumption.</t>
  </si>
  <si>
    <t>3. Keep an emergency fund before either choice; prepayments are difficult to reverse when cash is needed.</t>
  </si>
  <si>
    <t>5. Reduce tenure usually saves more interest; reduce EMI improves monthly breathing room.</t>
  </si>
  <si>
    <t>6. Review the decision yearly when rates, income, tax rules, or risk comfort change.</t>
  </si>
  <si>
    <t>YEAR-END COMPARISON</t>
  </si>
  <si>
    <t>Normal Loan Balance</t>
  </si>
  <si>
    <t>Invest Post-Tax Wealth</t>
  </si>
  <si>
    <t>Reduce-Tenure Balance</t>
  </si>
  <si>
    <t>Reduce-Tenure Wealth</t>
  </si>
  <si>
    <t>Reduce-EMI Balance</t>
  </si>
  <si>
    <t>Reduce-EMI Wealth</t>
  </si>
  <si>
    <t>Expected Leader</t>
  </si>
  <si>
    <t>HOW TO USE THIS DECISION</t>
  </si>
  <si>
    <t>Question</t>
  </si>
  <si>
    <t>Finance-coach guidance</t>
  </si>
  <si>
    <t>What does prepayment earn?</t>
  </si>
  <si>
    <t>Approximately the loan interest rate, with certainty, before considering any eligible loan tax benefit.</t>
  </si>
  <si>
    <t>What must investing beat?</t>
  </si>
  <si>
    <t>The calculator shows a tax-adjusted gross-return hurdle. Treat it as a planning guide, not a precise forecast.</t>
  </si>
  <si>
    <t>When does prepayment fit best?</t>
  </si>
  <si>
    <t>When the emergency fund is ready, the loan rate is high, income is uncertain, risk comfort is low, or becoming debt-free has strong emotional value.</t>
  </si>
  <si>
    <t>When can investing fit better?</t>
  </si>
  <si>
    <t>When cash reserves are strong, the horizon is long, the investor can tolerate losses, and the expected post-tax return meaningfully exceeds the loan rate.</t>
  </si>
  <si>
    <t>Why compare reduce tenure and EMI?</t>
  </si>
  <si>
    <t>Reducing tenure normally maximizes interest savings; reducing EMI improves cash flow and may suit households with variable income.</t>
  </si>
  <si>
    <t>What is a sensible middle path?</t>
  </si>
  <si>
    <t>Split the surplus—for example, direct part to prepayment and invest the rest—especially when the modeled advantage is narrow.</t>
  </si>
  <si>
    <t>Important limitation</t>
  </si>
  <si>
    <t>Returns, inflation, expenses and tax are assumptions. The model excludes loan tax benefits, lender fees, penalties, cess, surcharge and tax-lot timing.</t>
  </si>
  <si>
    <t>Month</t>
  </si>
  <si>
    <t>Base Open</t>
  </si>
  <si>
    <t>Base Interest</t>
  </si>
  <si>
    <t>Base Payment</t>
  </si>
  <si>
    <t>Base Principal</t>
  </si>
  <si>
    <t>Base Close</t>
  </si>
  <si>
    <t>Invest Open</t>
  </si>
  <si>
    <t>Invest Contribution</t>
  </si>
  <si>
    <t>Invest Close</t>
  </si>
  <si>
    <t>Invest Cost Basis</t>
  </si>
  <si>
    <t>Invest Tax</t>
  </si>
  <si>
    <t>Invest Post-Tax</t>
  </si>
  <si>
    <t>Tenure Open</t>
  </si>
  <si>
    <t>Tenure Interest</t>
  </si>
  <si>
    <t>Tenure Payment</t>
  </si>
  <si>
    <t>Tenure Prepay</t>
  </si>
  <si>
    <t>Tenure Close</t>
  </si>
  <si>
    <t>Tenure Invest Open</t>
  </si>
  <si>
    <t>Tenure Invest Contribution</t>
  </si>
  <si>
    <t>Tenure Invest Close</t>
  </si>
  <si>
    <t>Tenure Cost Basis</t>
  </si>
  <si>
    <t>Tenure Tax</t>
  </si>
  <si>
    <t>Tenure Post-Tax</t>
  </si>
  <si>
    <t>EMI Open</t>
  </si>
  <si>
    <t>EMI Interest</t>
  </si>
  <si>
    <t>EMI Payment</t>
  </si>
  <si>
    <t>EMI Prepay</t>
  </si>
  <si>
    <t>EMI Close</t>
  </si>
  <si>
    <t>EMI Invest Open</t>
  </si>
  <si>
    <t>EMI Invest Contribution</t>
  </si>
  <si>
    <t>EMI Invest Close</t>
  </si>
  <si>
    <t>EMI Cost Basis</t>
  </si>
  <si>
    <t>EMI Tax</t>
  </si>
  <si>
    <t>EMI Post-Tax</t>
  </si>
  <si>
    <t>4 — Built</t>
  </si>
  <si>
    <t>RETIREMENT CORPUS &amp; SWP PLANNER</t>
  </si>
  <si>
    <t>Estimate the corpus needed at retirement, test your current saving path, and model inflation-linked withdrawals for up to 40 retirement years.</t>
  </si>
  <si>
    <t>RETIREMENT READINESS</t>
  </si>
  <si>
    <t>Current Age</t>
  </si>
  <si>
    <t>Retirement Age</t>
  </si>
  <si>
    <t>Life Expectancy</t>
  </si>
  <si>
    <t>Monthly Essential Lifestyle Today (₹)</t>
  </si>
  <si>
    <t>Current Retirement Corpus (₹)</t>
  </si>
  <si>
    <t>Monthly Retirement Investment (₹)</t>
  </si>
  <si>
    <t>Pre-Retirement Gross Return (% p.a.)</t>
  </si>
  <si>
    <t>Investment Cost Drag (% p.a.)</t>
  </si>
  <si>
    <t>LTCG Tax Rate at Retirement (%)</t>
  </si>
  <si>
    <t>Post-Retirement Gross Return (% p.a.)</t>
  </si>
  <si>
    <t>Post-Retirement Tax &amp; Cost Drag (% p.a.)</t>
  </si>
  <si>
    <t>Years to Retirement</t>
  </si>
  <si>
    <t>Retirement Years</t>
  </si>
  <si>
    <t>Monthly Expense at Retirement</t>
  </si>
  <si>
    <t>Required Corpus at Retirement</t>
  </si>
  <si>
    <t>Projected Corpus Before Tax</t>
  </si>
  <si>
    <t>Estimated Tax at Retirement</t>
  </si>
  <si>
    <t>Projected Available Corpus</t>
  </si>
  <si>
    <t>Surplus / (Gap)</t>
  </si>
  <si>
    <t>Required Monthly Investment</t>
  </si>
  <si>
    <t>Funding Readiness</t>
  </si>
  <si>
    <t>Years Funded in Model</t>
  </si>
  <si>
    <t>5. Post-retirement tax is represented as an annual return drag. Actual tax depends on asset mix, withdrawal lots, holding periods, and future law.</t>
  </si>
  <si>
    <t>6. Average returns hide sequence risk: weak returns early in retirement can shorten corpus life even when the long-term average looks acceptable.</t>
  </si>
  <si>
    <t>YEARLY RETIREMENT WITHDRAWAL SCHEDULE</t>
  </si>
  <si>
    <t>Retirement Year</t>
  </si>
  <si>
    <t>Age</t>
  </si>
  <si>
    <t>Opening Available Corpus</t>
  </si>
  <si>
    <t>Planned Withdrawal</t>
  </si>
  <si>
    <t>Actual Withdrawal</t>
  </si>
  <si>
    <t>Net Growth</t>
  </si>
  <si>
    <t>Closing Available Corpus</t>
  </si>
  <si>
    <t>Opening Required Corpus</t>
  </si>
  <si>
    <t>Required Withdrawal</t>
  </si>
  <si>
    <t>Closing Required Corpus</t>
  </si>
  <si>
    <t>METHOD: withdrawals occur at the start of each retirement year; the remaining corpus earns the selected net return. The tax estimate assumes one redemption at retirement and qualifying gains above the exemption. Returns and inflation are assumptions, not guarantees.</t>
  </si>
  <si>
    <t>EMERGENCY-FUND CALCULATOR</t>
  </si>
  <si>
    <t>Build a safety reserve from essential monthly expenses, then adjust the target for income stability, dependants, and medical risk.</t>
  </si>
  <si>
    <t>ESSENTIAL EXPENSES &amp; RISK INPUTS</t>
  </si>
  <si>
    <t>EMERGENCY-FUND PLAN</t>
  </si>
  <si>
    <t>Housing / Rent / EMI (₹ per month)</t>
  </si>
  <si>
    <t>Groceries &amp; Household (₹ per month)</t>
  </si>
  <si>
    <t>Utilities &amp; Communication (₹ per month)</t>
  </si>
  <si>
    <t>Transport (₹ per month)</t>
  </si>
  <si>
    <t>Insurance &amp; Medical (₹ per month)</t>
  </si>
  <si>
    <t>Other Debt EMIs (₹ per month)</t>
  </si>
  <si>
    <t>Dependants / Education Essentials (₹ per month)</t>
  </si>
  <si>
    <t>Other Essential Costs (₹ per month)</t>
  </si>
  <si>
    <t>Base Coverage (months)</t>
  </si>
  <si>
    <t>Income Stability</t>
  </si>
  <si>
    <t>Household Income Sources</t>
  </si>
  <si>
    <t>Number of Dependants</t>
  </si>
  <si>
    <t>Elevated Medical Risk?</t>
  </si>
  <si>
    <t>Current Emergency Savings (₹)</t>
  </si>
  <si>
    <t>Monthly Contribution (₹)</t>
  </si>
  <si>
    <t>Savings Return (% p.a.)</t>
  </si>
  <si>
    <t>Stable</t>
  </si>
  <si>
    <t>No</t>
  </si>
  <si>
    <t>Monthly Essential Expenses</t>
  </si>
  <si>
    <t>Risk Adjustment</t>
  </si>
  <si>
    <t>Recommended Coverage</t>
  </si>
  <si>
    <t>Target Emergency Fund</t>
  </si>
  <si>
    <t>Tier 1: Immediate Cash</t>
  </si>
  <si>
    <t>Tier 2: Liquid Reserve</t>
  </si>
  <si>
    <t>Current Emergency Savings</t>
  </si>
  <si>
    <t>Funded Percentage</t>
  </si>
  <si>
    <t>Months to Target</t>
  </si>
  <si>
    <t>Monthly Contribution / Expenses</t>
  </si>
  <si>
    <t>4. Keep roughly one month of essentials instantly accessible; hold the remainder in safe, liquid options rather than return-seeking assets.</t>
  </si>
  <si>
    <t>5. Refill the fund after use and recalculate after a job change, new dependant, major EMI, or material lifestyle change.</t>
  </si>
  <si>
    <t>6. This reserve is for genuine shocks—not planned annual expenses, vacations, market dips, or routine purchases.</t>
  </si>
  <si>
    <t>MONTHLY BUILD-UP SCHEDULE</t>
  </si>
  <si>
    <t>Contribution</t>
  </si>
  <si>
    <t>Interest Earned</t>
  </si>
  <si>
    <t>Target Fund</t>
  </si>
  <si>
    <t>TARGET RULE: start with the base months, then add 2 months for a single-income household, 2 for variable income or 4 for highly variable income, 1 when there are dependants, and 1 for elevated medical risk; the recommendation is capped at 12 months.</t>
  </si>
  <si>
    <t>Retirement SWP</t>
  </si>
  <si>
    <t>Calculates the retirement corpus required, tests the current saving path, and models inflation-linked withdrawals for up to 40 years.</t>
  </si>
  <si>
    <t>Emergency Fund</t>
  </si>
  <si>
    <t>Builds a risk-adjusted emergency target from essential expenses and projects the month-by-month funding path.</t>
  </si>
  <si>
    <t>5 — Built</t>
  </si>
  <si>
    <t>6 — Built</t>
  </si>
  <si>
    <t>Covered in calculator — Safety</t>
  </si>
  <si>
    <t>2 built</t>
  </si>
  <si>
    <t>NET WORTH &amp; MONTHLY CASH-FLOW TRACKER</t>
  </si>
  <si>
    <t>See what you own, what you owe, and how much monthly capacity is truly available for goals.</t>
  </si>
  <si>
    <t>AMOUNT (₹)</t>
  </si>
  <si>
    <t>Primary salary</t>
  </si>
  <si>
    <t>Second income</t>
  </si>
  <si>
    <t>Business / freelance</t>
  </si>
  <si>
    <t>Other recurring income</t>
  </si>
  <si>
    <t>TOTAL MONTHLY INCOME</t>
  </si>
  <si>
    <t>MONTHLY OUTGO</t>
  </si>
  <si>
    <t>Housing / rent</t>
  </si>
  <si>
    <t>Groceries &amp; household</t>
  </si>
  <si>
    <t>Utilities &amp; communication</t>
  </si>
  <si>
    <t>Transport</t>
  </si>
  <si>
    <t>Insurance premiums</t>
  </si>
  <si>
    <t>Education / childcare</t>
  </si>
  <si>
    <t>Lifestyle &amp; discretionary</t>
  </si>
  <si>
    <t>Debt EMIs</t>
  </si>
  <si>
    <t>Other expenses</t>
  </si>
  <si>
    <t>TOTAL MONTHLY OUTGO</t>
  </si>
  <si>
    <t>MONTHLY SURPLUS</t>
  </si>
  <si>
    <t>Savings rate</t>
  </si>
  <si>
    <t>Debt-service ratio</t>
  </si>
  <si>
    <t>Annual surplus</t>
  </si>
  <si>
    <t>ASSETS</t>
  </si>
  <si>
    <t>VALUE (₹)</t>
  </si>
  <si>
    <t>Cash &amp; bank</t>
  </si>
  <si>
    <t>EPF / PPF / NPS</t>
  </si>
  <si>
    <t>Mutual funds</t>
  </si>
  <si>
    <t>Stocks</t>
  </si>
  <si>
    <t>Gold</t>
  </si>
  <si>
    <t>Property</t>
  </si>
  <si>
    <t>Other assets</t>
  </si>
  <si>
    <t>TOTAL ASSETS</t>
  </si>
  <si>
    <t>LIABILITIES</t>
  </si>
  <si>
    <t>BALANCE (₹)</t>
  </si>
  <si>
    <t>Home loan</t>
  </si>
  <si>
    <t>Vehicle loan</t>
  </si>
  <si>
    <t>Personal loan</t>
  </si>
  <si>
    <t>Credit cards</t>
  </si>
  <si>
    <t>Other debt</t>
  </si>
  <si>
    <t>TOTAL LIABILITIES</t>
  </si>
  <si>
    <t>NET WORTH</t>
  </si>
  <si>
    <t>Debt / asset ratio</t>
  </si>
  <si>
    <t>Liquid financial assets</t>
  </si>
  <si>
    <t>CASH-FLOW SNAPSHOT</t>
  </si>
  <si>
    <t>Income</t>
  </si>
  <si>
    <t>Outgo</t>
  </si>
  <si>
    <t>Surplus</t>
  </si>
  <si>
    <t>MONTHLY GOAL ALLOCATION</t>
  </si>
  <si>
    <t>STATUS</t>
  </si>
  <si>
    <t>Emergency reserve</t>
  </si>
  <si>
    <t>Long term</t>
  </si>
  <si>
    <t>Children / education</t>
  </si>
  <si>
    <t>Goal linked</t>
  </si>
  <si>
    <t>Other goals</t>
  </si>
  <si>
    <t>Flexible</t>
  </si>
  <si>
    <t>TOTAL ALLOCATED</t>
  </si>
  <si>
    <t>UNALLOCATED SURPLUS</t>
  </si>
  <si>
    <t>TERM-INSURANCE NEED CALCULATOR</t>
  </si>
  <si>
    <t>Estimate protection from income replacement, debts and goals—then subtract only assets genuinely available to dependants.</t>
  </si>
  <si>
    <t>VALUE</t>
  </si>
  <si>
    <t>Current age</t>
  </si>
  <si>
    <t>Planned retirement age</t>
  </si>
  <si>
    <t>Gross annual household income (₹)</t>
  </si>
  <si>
    <t>Outstanding loans (₹)</t>
  </si>
  <si>
    <t>Existing life cover (₹)</t>
  </si>
  <si>
    <t>Financial assets (₹)</t>
  </si>
  <si>
    <t>Assets reserved for other needs</t>
  </si>
  <si>
    <t>Final expenses / transition fund (₹)</t>
  </si>
  <si>
    <t>Round cover to nearest (₹)</t>
  </si>
  <si>
    <t>COVER NEED</t>
  </si>
  <si>
    <t>Income replacement</t>
  </si>
  <si>
    <t>Debt repayment</t>
  </si>
  <si>
    <t>Future goals</t>
  </si>
  <si>
    <t>Final expenses</t>
  </si>
  <si>
    <t>GROSS FAMILY NEED</t>
  </si>
  <si>
    <t>Usable financial assets</t>
  </si>
  <si>
    <t>Existing life cover</t>
  </si>
  <si>
    <t>ADDITIONAL COVER NEEDED</t>
  </si>
  <si>
    <t>SUGGESTED COVER (ROUNDED)</t>
  </si>
  <si>
    <t>Suggested cover / income</t>
  </si>
  <si>
    <t>FUTURE FAMILY GOALS</t>
  </si>
  <si>
    <t>YEARS AWAY</t>
  </si>
  <si>
    <t>COST TODAY (₹)</t>
  </si>
  <si>
    <t>INFLATION</t>
  </si>
  <si>
    <t>FUTURE COST (₹)</t>
  </si>
  <si>
    <t>Child education</t>
  </si>
  <si>
    <t>Higher education</t>
  </si>
  <si>
    <t>Family support</t>
  </si>
  <si>
    <t>Marriage / milestone</t>
  </si>
  <si>
    <t>Other goal</t>
  </si>
  <si>
    <t>TOTAL</t>
  </si>
  <si>
    <t>ASSET-ALLOCATION &amp; REBALANCING TOOL</t>
  </si>
  <si>
    <t>Translate horizon and risk comfort into a target mix, then see the exact buys and reductions needed to rebalance.</t>
  </si>
  <si>
    <t>INVESTOR PROFILE</t>
  </si>
  <si>
    <t>Goal horizon (years)</t>
  </si>
  <si>
    <t>Risk comfort (1 low–5 high)</t>
  </si>
  <si>
    <t>Emergency fund ready?</t>
  </si>
  <si>
    <t>Rebalance threshold</t>
  </si>
  <si>
    <t>Total portfolio</t>
  </si>
  <si>
    <t>ASSET CLASS</t>
  </si>
  <si>
    <t>CURRENT VALUE</t>
  </si>
  <si>
    <t>CURRENT %</t>
  </si>
  <si>
    <t>TARGET %</t>
  </si>
  <si>
    <t>TARGET VALUE</t>
  </si>
  <si>
    <t>BUY / (REDUCE)</t>
  </si>
  <si>
    <t>ACTION</t>
  </si>
  <si>
    <t>Equity</t>
  </si>
  <si>
    <t>Debt</t>
  </si>
  <si>
    <t>Cash</t>
  </si>
  <si>
    <t>GOAL-BASED INVESTMENT DASHBOARD</t>
  </si>
  <si>
    <t>Coordinate several goals, calculate each required SIP, and allocate a limited monthly budget in priority order.</t>
  </si>
  <si>
    <t>PLAN SUMMARY</t>
  </si>
  <si>
    <t>Monthly investment budget (₹)</t>
  </si>
  <si>
    <t>Total required SIP</t>
  </si>
  <si>
    <t>Budget allocated</t>
  </si>
  <si>
    <t>Unallocated budget</t>
  </si>
  <si>
    <t>Monthly shortfall</t>
  </si>
  <si>
    <t>PORTFOLIO VIEW</t>
  </si>
  <si>
    <t>Current goal assets</t>
  </si>
  <si>
    <t>Future value of current assets</t>
  </si>
  <si>
    <t>Goals at least 100% funded</t>
  </si>
  <si>
    <t>Budget coverage</t>
  </si>
  <si>
    <t>PRIORITY</t>
  </si>
  <si>
    <t>GOAL</t>
  </si>
  <si>
    <t>TARGET TODAY</t>
  </si>
  <si>
    <t>CURRENT ASSET</t>
  </si>
  <si>
    <t>YEARS</t>
  </si>
  <si>
    <t>RETURN</t>
  </si>
  <si>
    <t>FUTURE TARGET</t>
  </si>
  <si>
    <t>FUTURE CURRENT</t>
  </si>
  <si>
    <t>FUNDING GAP</t>
  </si>
  <si>
    <t>REQUIRED SIP</t>
  </si>
  <si>
    <t>ALLOCATED SIP</t>
  </si>
  <si>
    <t>MONTHLY GAP</t>
  </si>
  <si>
    <t>Emergency fund</t>
  </si>
  <si>
    <t>Home down payment</t>
  </si>
  <si>
    <t>Car replacement</t>
  </si>
  <si>
    <t>Travel / experience</t>
  </si>
  <si>
    <t>Net Worth &amp; Cash Flow</t>
  </si>
  <si>
    <t>Tracks household net worth, savings rate, debt burden, liquidity, and monthly goal capacity.</t>
  </si>
  <si>
    <t>Pending manual review</t>
  </si>
  <si>
    <t>Term Insurance</t>
  </si>
  <si>
    <t>Estimates family protection from income replacement, loans, future goals, available assets, and existing cover.</t>
  </si>
  <si>
    <t>Asset Allocation</t>
  </si>
  <si>
    <t>Sets a horizon- and risk-based target mix and calculates practical rebalancing trades.</t>
  </si>
  <si>
    <t>Goal Dashboard</t>
  </si>
  <si>
    <t>Coordinates six goals, required SIPs, funding levels, and priority-based allocation of a limited monthly budget.</t>
  </si>
  <si>
    <t>REVIEW STATUS</t>
  </si>
  <si>
    <t>Reviewed by Ashwani</t>
  </si>
  <si>
    <t>7 — Built</t>
  </si>
  <si>
    <t>8 — Built</t>
  </si>
  <si>
    <t>9 — Built</t>
  </si>
  <si>
    <t>10 — Built</t>
  </si>
  <si>
    <t>10 built / 0 pending</t>
  </si>
  <si>
    <t>Priorities 1–10 are complete; the calculator roadmap is finished and ready for manual review.</t>
  </si>
  <si>
    <t>13 covered</t>
  </si>
  <si>
    <t>All calculators except Home Loan Analysis include embedded explanations, coaching guidance, or assumptions.</t>
  </si>
  <si>
    <t>Prepayment Engine and PVI Engine support the loan calculators and remain hidden.</t>
  </si>
  <si>
    <t>NEXT RECOMMENDED WORK</t>
  </si>
  <si>
    <t>Build / review</t>
  </si>
  <si>
    <t>Why it comes next</t>
  </si>
  <si>
    <t>Adds a beginner-friendly monthly money system to complement the cash-flow tracker.</t>
  </si>
  <si>
    <t>Explains category fit, Riskometer, costs, consistency, and avoiding performance chasing.</t>
  </si>
  <si>
    <t>Clarifies the cost-versus-advice trade-off without implying one choice suits everyone.</t>
  </si>
  <si>
    <t>Sequence-of-Returns Risk</t>
  </si>
  <si>
    <t>Deepens the retirement planner with a plain-language explanation of early-retirement risk.</t>
  </si>
  <si>
    <t>What is One-Time Surplus?</t>
  </si>
  <si>
    <t>A single amount available only once—such as a bonus, maturity proceeds, or idle cash. The calculator compares using this same amount to prepay the loan versus investing it.</t>
  </si>
  <si>
    <t>What is Lump Sum Applied in Month?</t>
  </si>
  <si>
    <t>The loan month when the one-time surplus is deployed. Month 1 means immediately; month 12 means after 12 monthly EMIs. With the current inputs, ₹5,00,000 is applied in month 12 in both comparison paths.</t>
  </si>
  <si>
    <t>Step-Up Multiple</t>
  </si>
  <si>
    <t>Future Value Factor</t>
  </si>
  <si>
    <t>Contribution Factor</t>
  </si>
  <si>
    <t>FV per ₹1 starting monthly SIP</t>
  </si>
  <si>
    <t>Contribution per ₹1 starting monthly SIP</t>
  </si>
  <si>
    <t>Required SIP before tax</t>
  </si>
  <si>
    <t>Gain at before-tax SIP</t>
  </si>
  <si>
    <t>Required SIP after tax</t>
  </si>
  <si>
    <t>Real Property Gain (After Financing &amp; Maintenance)</t>
  </si>
  <si>
    <t>RETURN SENSITIVITY</t>
  </si>
  <si>
    <t>Return</t>
  </si>
  <si>
    <t>Leader</t>
  </si>
  <si>
    <t>Lead (Real)</t>
  </si>
  <si>
    <t>Illustrative scenarios, not forecasts or guarantees. All other inputs remain unchanged.</t>
  </si>
  <si>
    <t>Net Contributions</t>
  </si>
  <si>
    <t>Buy Wealth (Real)</t>
  </si>
  <si>
    <t>Renter Wealth (Real)</t>
  </si>
  <si>
    <t>Illustrative Investment Return (% p.a.)</t>
  </si>
  <si>
    <t>COMMON ASSUMPTIONS — MODEL CONTROL</t>
  </si>
  <si>
    <t>Edit the blue cells only. Linked calculators update automatically; scenario-specific exceptions are listed below.</t>
  </si>
  <si>
    <t>PARAMETER</t>
  </si>
  <si>
    <t>DEFAULT</t>
  </si>
  <si>
    <t>UNIT</t>
  </si>
  <si>
    <t>APPLIES TO</t>
  </si>
  <si>
    <t>General inflation</t>
  </si>
  <si>
    <t>% p.a.</t>
  </si>
  <si>
    <t>Real-value and future-cost calculations</t>
  </si>
  <si>
    <t>Illustrative investment return</t>
  </si>
  <si>
    <t>Long-term SIP / equity illustrations</t>
  </si>
  <si>
    <t>Home / general loan rate</t>
  </si>
  <si>
    <t>Home-loan and loan-comparison calculators</t>
  </si>
  <si>
    <t>Property appreciation</t>
  </si>
  <si>
    <t>Property comparison models</t>
  </si>
  <si>
    <t>Property maintenance</t>
  </si>
  <si>
    <t>Direct-plan / investment cost</t>
  </si>
  <si>
    <t>Investment cost assumptions</t>
  </si>
  <si>
    <t>Regular-plan expense ratio</t>
  </si>
  <si>
    <t>Expense-ratio comparison only</t>
  </si>
  <si>
    <t>%</t>
  </si>
  <si>
    <t>Simplified investment tax illustrations</t>
  </si>
  <si>
    <t>₹</t>
  </si>
  <si>
    <t>Annual rent increase</t>
  </si>
  <si>
    <t>Rent vs Buy only</t>
  </si>
  <si>
    <t>Annual SIP step-up</t>
  </si>
  <si>
    <t>Step-Up SIP Goal only</t>
  </si>
  <si>
    <t>Post-retirement gross return</t>
  </si>
  <si>
    <t>Retirement withdrawal phase only</t>
  </si>
  <si>
    <t>Liquid savings return</t>
  </si>
  <si>
    <t>Emergency-fund savings only</t>
  </si>
  <si>
    <t>SCENARIO-SPECIFIC EXCEPTIONS</t>
  </si>
  <si>
    <t>Loan reset rate</t>
  </si>
  <si>
    <t>Kept in scenario sheet</t>
  </si>
  <si>
    <t>Goal-level return</t>
  </si>
  <si>
    <t>Post-retirement tax/cost drag</t>
  </si>
  <si>
    <t>Distinct from pre-retirement investment cost</t>
  </si>
  <si>
    <t>Linked to common loan rate by default</t>
  </si>
  <si>
    <t>Overwrite only to test a lender reset scenario</t>
  </si>
  <si>
    <t>12% for ordinary goals; 4% for emergency fund</t>
  </si>
  <si>
    <t>Separates long-term investment from liquid savings</t>
  </si>
  <si>
    <t>LTV loan-size threshold 1</t>
  </si>
  <si>
    <t>₹ loan amount</t>
  </si>
  <si>
    <t>LTV loan-size threshold 2</t>
  </si>
  <si>
    <t>Maximum LTV — band 1</t>
  </si>
  <si>
    <t>Maximum LTV — band 2</t>
  </si>
  <si>
    <t>Maximum LTV — band 3</t>
  </si>
  <si>
    <t>Tax rate on property sale gain</t>
  </si>
  <si>
    <t>Selling cost</t>
  </si>
  <si>
    <t>% of sale value</t>
  </si>
  <si>
    <t>Property comparisons</t>
  </si>
  <si>
    <t>Tax note: Instalments held 12 months or less are not treated as long-term; this model treats all gains as long-term.</t>
  </si>
  <si>
    <t>Invest wealth — real (today's rupees)</t>
  </si>
  <si>
    <t>Prepay reduce-tenure — real (today's rupees)</t>
  </si>
  <si>
    <t>Prepay reduce-EMI — real (today's rupees)</t>
  </si>
  <si>
    <t>4. Compare the modeled wealth difference with market risk, liquidity, and the certainty of interest saved; a small edge may not be decisive.</t>
  </si>
  <si>
    <t>MONTHLY TAKE-HOME INCOME (AFTER TAX AND EPF)</t>
  </si>
  <si>
    <t>Financial assets (all)</t>
  </si>
  <si>
    <t>Income-replacement multiple (years of income, capped at years to retirement)</t>
  </si>
  <si>
    <t>Caution: Suggested cover / income is an illustrative estimate, not advice. A very high multiple suggests checking the inputs.</t>
  </si>
  <si>
    <t>Illustrative reference mix (educational only, not advice)</t>
  </si>
  <si>
    <t>Note: This is a simple rule of thumb, not a recommendation.</t>
  </si>
  <si>
    <t>Rebalancing may trigger capital-gains tax and exit loads; this sheet ignores both.</t>
  </si>
  <si>
    <t>Sum of future goal costs (each at its own date)</t>
  </si>
  <si>
    <t>Total goal cost in today's rupees</t>
  </si>
  <si>
    <t>LTCG tax rate (%)</t>
  </si>
  <si>
    <t>LTCG exemption (₹)</t>
  </si>
  <si>
    <t>FUNDED % incl allocated SIP</t>
  </si>
  <si>
    <t>FUNDED BY CURRENT ASSETS ONLY</t>
  </si>
  <si>
    <t>ALLOCATION RANK</t>
  </si>
  <si>
    <t>Nominal property sale value less purchase price, maintenance, loan interest, modeled selling cost, and modeled tax on sale gain.</t>
  </si>
  <si>
    <t>Net property sale proceeds in today's rupees less the down payment and present values of monthly EMIs and maintenance.</t>
  </si>
  <si>
    <t>Future value of the lump sum and monthly SIP contributions using monthly compounding before tax and inflation.</t>
  </si>
  <si>
    <t>Decision caveat: This model compares taking a loan to buy an additional property against investing the same EMI and down payment amount in a SIP, assuming you already have a home to live in — it is not a rent-vs-buy comparison for your primary residence. It assumes the SIP is an equity-oriented investment eligible for Section 112A and is redeemed once at the end of the horizon. Property selling cost and sale-gain tax use the shared illustrative assumptions. It excludes rental income the second property might generate, rent increases, moving costs, stamp duty and registration, property taxes, insurance, home-loan tax benefits, SIP expense ratios, surcharge/cess, liquidity, and differences in risk. Include these before making a final personal decision.</t>
  </si>
  <si>
    <t>LTV Check</t>
  </si>
  <si>
    <t>4. Stamp duty, registration, property tax, insurance, loan tax benefits, rent deposits, moving costs, investment fees, and liquidity or risk differences are excluded. Selling cost and sale-gain tax use the shared illustrative assumptions.</t>
  </si>
  <si>
    <t>Prepay vs Invest</t>
  </si>
  <si>
    <t>Compares investing surplus with two loan-prepayment strategies using post-tax wealth, risk, and liquidity.</t>
  </si>
  <si>
    <t>Prepay Loan or Invest Surplus? A Decision Framework</t>
  </si>
  <si>
    <t>14 built; 5 reviewed</t>
  </si>
  <si>
    <t>All 14 visible financial tools are available; 5 are reviewed and 9 remain pending manual review.</t>
  </si>
  <si>
    <t>Calculator roadmap complete; 5 reviewed / 9 pending</t>
  </si>
  <si>
    <t>Nine calculators await manual review; the separate educational article roadmap remains open.</t>
  </si>
  <si>
    <t>Manual review of 9 pending calculators</t>
  </si>
  <si>
    <t>Validate assumptions, formulas, labels, and coaching across the calculators still marked pending manual review.</t>
  </si>
  <si>
    <t>Home Loan Analysis; Rent vs Buy — RBI Master Circular – Housing Finance (rbi.org.in)</t>
  </si>
  <si>
    <t>Property comparisons — Income Tax Department capital gains page; applies to property bought on or after 23 July 2024</t>
  </si>
  <si>
    <t>Months of outgo covered (cash &amp; bank)</t>
  </si>
  <si>
    <t>Break-even return: not computed. As a simple reference, compare the net return assumption with the Rule-of-Thumb Hurdle above.</t>
  </si>
  <si>
    <t>Real Gain vs Contributions (contributions in today's rupees)</t>
  </si>
  <si>
    <t>Post-tax real value less contributions brought to today's rupees year by year; both sides are in today's rupees.</t>
  </si>
  <si>
    <t>Meaning: Nominal future value shows the property after modeled selling cost and tax on sale gain and SIP after modeled LTCG tax. Inflation-adjusted future value expresses both post-cost, post-tax values in today's rupees.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</si>
</sst>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0"/>
    <numFmt numFmtId="166" formatCode="0.0%"/>
    <numFmt numFmtId="167" formatCode="\₹#,##0;[Red]\(\₹#,##0\)"/>
    <numFmt numFmtId="168" formatCode="0.00&quot;%&quot;"/>
    <numFmt numFmtId="169" formatCode="\₹###,##0"/>
    <numFmt numFmtId="170" formatCode="0.0\ &quot;years&quot;"/>
    <numFmt numFmtId="171" formatCode="0\ &quot;months&quot;"/>
    <numFmt numFmtId="172" formatCode="[$₹-4009]###,##0;[Red]\-[$₹-4009]###,##0"/>
    <numFmt numFmtId="173" formatCode="0.0\x"/>
    <numFmt numFmtId="174" formatCode="0.0&quot;%&quot;"/>
  </numFmts>
  <fonts count="53" x14ac:knownFonts="1">
    <font>
      <sz val="11"/>
      <color theme="1"/>
      <name val="Aptos Narrow"/>
      <family val="2"/>
      <scheme val="minor"/>
    </font>
    <font>
      <b/>
      <sz val="11"/>
      <color theme="1"/>
      <name val="Aptos Narrow"/>
      <family val="2"/>
      <scheme val="minor"/>
    </font>
    <font>
      <b/>
      <sz val="11"/>
      <color rgb="FFFFFFFF"/>
      <name val="Aptos Narrow"/>
      <family val="2"/>
      <scheme val="minor"/>
    </font>
    <font>
      <sz val="11"/>
      <color rgb="FF1F1F1F"/>
      <name val="Aptos Narrow"/>
      <family val="2"/>
      <scheme val="minor"/>
    </font>
    <font>
      <i/>
      <sz val="11"/>
      <color rgb="FF595959"/>
      <name val="Aptos Narrow"/>
      <family val="2"/>
      <scheme val="minor"/>
    </font>
    <font>
      <b/>
      <i/>
      <sz val="11"/>
      <color rgb="FFFFFFFF"/>
      <name val="Aptos Narrow"/>
      <family val="2"/>
      <scheme val="minor"/>
    </font>
    <font>
      <b/>
      <sz val="18"/>
      <color rgb="FFFFFFFF"/>
      <name val="Aptos Narrow"/>
      <family val="2"/>
      <scheme val="minor"/>
    </font>
    <font>
      <i/>
      <sz val="11"/>
      <color rgb="FF666666"/>
      <name val="Aptos Narrow"/>
      <family val="2"/>
      <scheme val="minor"/>
    </font>
    <font>
      <b/>
      <sz val="12"/>
      <color rgb="FF1F1F1F"/>
      <name val="Aptos Narrow"/>
      <family val="2"/>
      <scheme val="minor"/>
    </font>
    <font>
      <sz val="11"/>
      <color rgb="FF404040"/>
      <name val="Aptos Narrow"/>
      <family val="2"/>
      <scheme val="minor"/>
    </font>
    <font>
      <i/>
      <sz val="11"/>
      <color rgb="FF404040"/>
      <name val="Aptos Narrow"/>
      <family val="2"/>
      <scheme val="minor"/>
    </font>
    <font>
      <i/>
      <sz val="10"/>
      <color rgb="FF666666"/>
      <name val="Aptos Narrow"/>
      <family val="2"/>
      <scheme val="minor"/>
    </font>
    <font>
      <i/>
      <sz val="11"/>
      <color rgb="FF5B4A00"/>
      <name val="Aptos Narrow"/>
      <family val="2"/>
      <scheme val="minor"/>
    </font>
    <font>
      <sz val="11"/>
      <color rgb="FF333333"/>
      <name val="Aptos Narrow"/>
      <family val="2"/>
      <scheme val="minor"/>
    </font>
    <font>
      <b/>
      <sz val="11"/>
      <color rgb="FF333333"/>
      <name val="Aptos Narrow"/>
      <family val="2"/>
      <scheme val="minor"/>
    </font>
    <font>
      <sz val="11"/>
      <color rgb="FF5B4A00"/>
      <name val="Aptos Narrow"/>
      <family val="2"/>
      <scheme val="minor"/>
    </font>
    <font>
      <sz val="11"/>
      <color theme="1"/>
      <name val="Aptos"/>
    </font>
    <font>
      <b/>
      <sz val="11"/>
      <color rgb="FFFFFFFF"/>
      <name val="Aptos"/>
    </font>
    <font>
      <b/>
      <sz val="18"/>
      <color rgb="FFFFFFFF"/>
      <name val="Aptos"/>
    </font>
    <font>
      <sz val="11"/>
      <color rgb="FF5B6573"/>
      <name val="Aptos"/>
    </font>
    <font>
      <i/>
      <sz val="11"/>
      <color rgb="FF5B6573"/>
      <name val="Aptos"/>
    </font>
    <font>
      <b/>
      <sz val="11"/>
      <color theme="1"/>
      <name val="Aptos"/>
    </font>
    <font>
      <sz val="11"/>
      <color rgb="FF1F2937"/>
      <name val="Aptos"/>
    </font>
    <font>
      <sz val="10"/>
      <color theme="1"/>
      <name val="Aptos"/>
    </font>
    <font>
      <b/>
      <sz val="10"/>
      <color rgb="FFFFFFFF"/>
      <name val="Aptos"/>
    </font>
    <font>
      <sz val="10"/>
      <color rgb="FF5B6573"/>
      <name val="Aptos"/>
    </font>
    <font>
      <b/>
      <sz val="10"/>
      <color theme="1"/>
      <name val="Aptos"/>
    </font>
    <font>
      <b/>
      <sz val="10"/>
      <color rgb="FF0F766E"/>
      <name val="Aptos"/>
    </font>
    <font>
      <b/>
      <sz val="19"/>
      <color rgb="FFFFFFFF"/>
      <name val="Aptos"/>
    </font>
    <font>
      <i/>
      <sz val="10"/>
      <color rgb="FF425466"/>
      <name val="Aptos"/>
    </font>
    <font>
      <b/>
      <sz val="10"/>
      <color rgb="FF1B5E20"/>
      <name val="Aptos"/>
    </font>
    <font>
      <sz val="10"/>
      <color rgb="FF425466"/>
      <name val="Aptos"/>
    </font>
    <font>
      <b/>
      <sz val="20"/>
      <color rgb="FFFFFFFF"/>
      <name val="Aptos"/>
    </font>
    <font>
      <b/>
      <sz val="14"/>
      <color rgb="FF1B5E20"/>
      <name val="Aptos"/>
    </font>
    <font>
      <i/>
      <sz val="10"/>
      <color rgb="FF38556E"/>
      <name val="Aptos"/>
    </font>
    <font>
      <b/>
      <sz val="10"/>
      <color rgb="FF205522"/>
      <name val="Aptos"/>
    </font>
    <font>
      <sz val="10"/>
      <color rgb="FF284B5A"/>
      <name val="Aptos"/>
    </font>
    <font>
      <sz val="11"/>
      <color rgb="FF243746"/>
      <name val="Aptos"/>
    </font>
    <font>
      <b/>
      <sz val="22"/>
      <color rgb="FFFFFFFF"/>
      <name val="Aptos"/>
    </font>
    <font>
      <i/>
      <sz val="10"/>
      <color rgb="FF17365D"/>
      <name val="Aptos"/>
    </font>
    <font>
      <b/>
      <sz val="10"/>
      <color rgb="FF7F6000"/>
      <name val="Aptos"/>
    </font>
    <font>
      <b/>
      <sz val="10"/>
      <color rgb="FF375623"/>
      <name val="Aptos"/>
    </font>
    <font>
      <i/>
      <sz val="11"/>
      <color theme="1"/>
      <name val="Aptos Narrow"/>
      <family val="2"/>
      <scheme val="minor"/>
    </font>
    <font>
      <b/>
      <sz val="10"/>
      <color rgb="FF243447"/>
      <name val="Aptos"/>
    </font>
    <font>
      <sz val="10"/>
      <color rgb="FF243447"/>
      <name val="Aptos"/>
    </font>
    <font>
      <i/>
      <sz val="11"/>
      <color rgb="FFDCE8F2"/>
      <name val="Aptos"/>
    </font>
    <font>
      <b/>
      <sz val="12"/>
      <color rgb="FFFFFFFF"/>
      <name val="Aptos"/>
    </font>
    <font>
      <b/>
      <sz val="10"/>
      <color rgb="FF17324D"/>
      <name val="Aptos"/>
    </font>
    <font>
      <b/>
      <sz val="10"/>
      <color rgb="FF166534"/>
      <name val="Aptos"/>
    </font>
    <font>
      <b/>
      <sz val="10"/>
      <color rgb="FF8A5A00"/>
      <name val="Aptos"/>
    </font>
    <font>
      <i/>
      <sz val="10"/>
      <color rgb="FF40576B"/>
      <name val="Aptos"/>
    </font>
    <font>
      <i/>
      <sz val="10"/>
      <color rgb="FF385D7A"/>
      <name val="Aptos"/>
    </font>
    <font>
      <b/>
      <sz val="10"/>
      <color rgb="FF0B3D62"/>
      <name val="Aptos"/>
    </font>
  </fonts>
  <fills count="40">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EAF2F8"/>
        <bgColor indexed="64"/>
      </patternFill>
    </fill>
    <fill>
      <patternFill patternType="solid">
        <fgColor rgb="FFFFF4CC"/>
        <bgColor indexed="64"/>
      </patternFill>
    </fill>
    <fill>
      <patternFill patternType="solid">
        <fgColor rgb="FF5B9BD5"/>
        <bgColor indexed="64"/>
      </patternFill>
    </fill>
    <fill>
      <patternFill patternType="solid">
        <fgColor rgb="FFE2F0D9"/>
        <bgColor indexed="64"/>
      </patternFill>
    </fill>
    <fill>
      <patternFill patternType="solid">
        <fgColor rgb="FFF2F2F2"/>
        <bgColor indexed="64"/>
      </patternFill>
    </fill>
    <fill>
      <patternFill patternType="solid">
        <fgColor rgb="FF17365D"/>
        <bgColor indexed="64"/>
      </patternFill>
    </fill>
    <fill>
      <patternFill patternType="solid">
        <fgColor rgb="FF4472C4"/>
        <bgColor indexed="64"/>
      </patternFill>
    </fill>
    <fill>
      <patternFill patternType="solid">
        <fgColor rgb="FFFFF2CC"/>
        <bgColor indexed="64"/>
      </patternFill>
    </fill>
    <fill>
      <patternFill patternType="solid">
        <fgColor rgb="FFF3F6FA"/>
        <bgColor indexed="64"/>
      </patternFill>
    </fill>
    <fill>
      <patternFill patternType="solid">
        <fgColor rgb="FFF7F9FC"/>
        <bgColor indexed="64"/>
      </patternFill>
    </fill>
    <fill>
      <patternFill patternType="solid">
        <fgColor rgb="FFFFFFFF"/>
        <bgColor indexed="64"/>
      </patternFill>
    </fill>
    <fill>
      <patternFill patternType="solid">
        <fgColor rgb="FF17324D"/>
        <bgColor indexed="64"/>
      </patternFill>
    </fill>
    <fill>
      <patternFill patternType="solid">
        <fgColor rgb="FF0F766E"/>
        <bgColor indexed="64"/>
      </patternFill>
    </fill>
    <fill>
      <patternFill patternType="solid">
        <fgColor rgb="FFF4F7FA"/>
        <bgColor indexed="64"/>
      </patternFill>
    </fill>
    <fill>
      <patternFill patternType="solid">
        <fgColor rgb="FFE8F3F1"/>
        <bgColor indexed="64"/>
      </patternFill>
    </fill>
    <fill>
      <patternFill patternType="solid">
        <fgColor rgb="FF0F6B78"/>
        <bgColor indexed="64"/>
      </patternFill>
    </fill>
    <fill>
      <patternFill patternType="solid">
        <fgColor rgb="FFEAF0F5"/>
        <bgColor indexed="64"/>
      </patternFill>
    </fill>
    <fill>
      <patternFill patternType="solid">
        <fgColor rgb="FFF4F8FA"/>
        <bgColor indexed="64"/>
      </patternFill>
    </fill>
    <fill>
      <patternFill patternType="solid">
        <fgColor rgb="FFD9EAD3"/>
        <bgColor indexed="64"/>
      </patternFill>
    </fill>
    <fill>
      <patternFill patternType="solid">
        <fgColor rgb="FFF7F9FB"/>
        <bgColor indexed="64"/>
      </patternFill>
    </fill>
    <fill>
      <patternFill patternType="solid">
        <fgColor rgb="FFE7F4EF"/>
        <bgColor indexed="64"/>
      </patternFill>
    </fill>
    <fill>
      <patternFill patternType="solid">
        <fgColor rgb="FFD7EAD3"/>
        <bgColor indexed="64"/>
      </patternFill>
    </fill>
    <fill>
      <patternFill patternType="solid">
        <fgColor rgb="FFF7FBFC"/>
        <bgColor indexed="64"/>
      </patternFill>
    </fill>
    <fill>
      <patternFill patternType="solid">
        <fgColor rgb="FF274C77"/>
        <bgColor indexed="64"/>
      </patternFill>
    </fill>
    <fill>
      <patternFill patternType="solid">
        <fgColor rgb="FFF8FAFC"/>
        <bgColor indexed="64"/>
      </patternFill>
    </fill>
    <fill>
      <patternFill patternType="solid">
        <fgColor rgb="FF2F75B5"/>
        <bgColor indexed="64"/>
      </patternFill>
    </fill>
    <fill>
      <patternFill patternType="solid">
        <fgColor rgb="FFFFF7E6"/>
        <bgColor indexed="64"/>
      </patternFill>
    </fill>
    <fill>
      <patternFill patternType="solid">
        <fgColor rgb="FFF5F7FA"/>
        <bgColor indexed="64"/>
      </patternFill>
    </fill>
    <fill>
      <patternFill patternType="solid">
        <fgColor rgb="FFF8FBFD"/>
        <bgColor indexed="64"/>
      </patternFill>
    </fill>
    <fill>
      <patternFill patternType="solid">
        <fgColor rgb="FFDCEAF3"/>
        <bgColor indexed="64"/>
      </patternFill>
    </fill>
    <fill>
      <patternFill patternType="solid">
        <fgColor rgb="FFE8F5EE"/>
        <bgColor indexed="64"/>
      </patternFill>
    </fill>
    <fill>
      <patternFill patternType="solid">
        <fgColor rgb="FFFFF4D6"/>
        <bgColor indexed="64"/>
      </patternFill>
    </fill>
    <fill>
      <patternFill patternType="solid">
        <fgColor rgb="FFF6F8FA"/>
        <bgColor indexed="64"/>
      </patternFill>
    </fill>
    <fill>
      <patternFill patternType="solid">
        <fgColor rgb="FFEEF3F7"/>
        <bgColor indexed="64"/>
      </patternFill>
    </fill>
    <fill>
      <patternFill patternType="solid">
        <fgColor rgb="FFDCE6F1"/>
        <bgColor indexed="64"/>
      </patternFill>
    </fill>
    <fill>
      <patternFill patternType="solid">
        <fgColor rgb="FFDDEBF7"/>
        <bgColor indexed="64"/>
      </patternFill>
    </fill>
  </fills>
  <borders count="41">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rgb="FFD9E2F3"/>
      </right>
      <top style="thin">
        <color auto="1"/>
      </top>
      <bottom style="thin">
        <color rgb="FFD9E2F3"/>
      </bottom>
      <diagonal/>
    </border>
    <border>
      <left style="thin">
        <color rgb="FFD9E2F3"/>
      </left>
      <right style="thin">
        <color rgb="FFD9E2F3"/>
      </right>
      <top style="thin">
        <color auto="1"/>
      </top>
      <bottom style="thin">
        <color rgb="FFD9E2F3"/>
      </bottom>
      <diagonal/>
    </border>
    <border>
      <left style="thin">
        <color rgb="FFD9E2F3"/>
      </left>
      <right style="thin">
        <color auto="1"/>
      </right>
      <top style="thin">
        <color auto="1"/>
      </top>
      <bottom style="thin">
        <color rgb="FFD9E2F3"/>
      </bottom>
      <diagonal/>
    </border>
    <border>
      <left style="thin">
        <color auto="1"/>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auto="1"/>
      </right>
      <top style="thin">
        <color rgb="FFD9E2F3"/>
      </top>
      <bottom style="thin">
        <color rgb="FFD9E2F3"/>
      </bottom>
      <diagonal/>
    </border>
    <border>
      <left style="thin">
        <color auto="1"/>
      </left>
      <right style="thin">
        <color rgb="FFD9E2F3"/>
      </right>
      <top style="thin">
        <color rgb="FFD9E2F3"/>
      </top>
      <bottom style="thin">
        <color auto="1"/>
      </bottom>
      <diagonal/>
    </border>
    <border>
      <left style="thin">
        <color rgb="FFD9E2F3"/>
      </left>
      <right style="thin">
        <color rgb="FFD9E2F3"/>
      </right>
      <top style="thin">
        <color rgb="FFD9E2F3"/>
      </top>
      <bottom style="thin">
        <color auto="1"/>
      </bottom>
      <diagonal/>
    </border>
    <border>
      <left style="thin">
        <color rgb="FFD9E2F3"/>
      </left>
      <right style="thin">
        <color auto="1"/>
      </right>
      <top style="thin">
        <color rgb="FFD9E2F3"/>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rgb="FFB4C6E7"/>
      </top>
      <bottom style="thin">
        <color rgb="FFB4C6E7"/>
      </bottom>
      <diagonal/>
    </border>
    <border>
      <left style="thin">
        <color rgb="FFB4C6E7"/>
      </left>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style="thin">
        <color rgb="FFB4C6E7"/>
      </left>
      <right/>
      <top style="thin">
        <color auto="1"/>
      </top>
      <bottom style="thin">
        <color auto="1"/>
      </bottom>
      <diagonal/>
    </border>
    <border>
      <left/>
      <right style="thin">
        <color rgb="FFB4C6E7"/>
      </right>
      <top style="thin">
        <color auto="1"/>
      </top>
      <bottom style="thin">
        <color auto="1"/>
      </bottom>
      <diagonal/>
    </border>
    <border>
      <left/>
      <right style="thin">
        <color rgb="FFB4C6E7"/>
      </right>
      <top style="thin">
        <color rgb="FFB4C6E7"/>
      </top>
      <bottom style="thin">
        <color rgb="FFB4C6E7"/>
      </bottom>
      <diagonal/>
    </border>
    <border>
      <left/>
      <right/>
      <top/>
      <bottom style="thin">
        <color rgb="FFD9E1E8"/>
      </bottom>
      <diagonal/>
    </border>
    <border>
      <left/>
      <right/>
      <top style="thin">
        <color rgb="FFD9E1E8"/>
      </top>
      <bottom style="thin">
        <color rgb="FFD9E1E8"/>
      </bottom>
      <diagonal/>
    </border>
    <border>
      <left/>
      <right/>
      <top style="thin">
        <color rgb="FFD9E1E8"/>
      </top>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
      <left/>
      <right/>
      <top/>
      <bottom style="thin">
        <color rgb="FFD9E2F3"/>
      </bottom>
      <diagonal/>
    </border>
    <border>
      <left style="thin">
        <color rgb="FFB4C6E7"/>
      </left>
      <right style="thin">
        <color rgb="FFB4C6E7"/>
      </right>
      <top/>
      <bottom style="thin">
        <color rgb="FFB4C6E7"/>
      </bottom>
      <diagonal/>
    </border>
    <border>
      <left style="thin">
        <color rgb="FFB4C6E7"/>
      </left>
      <right style="thin">
        <color rgb="FFB4C6E7"/>
      </right>
      <top style="thin">
        <color rgb="FFB4C6E7"/>
      </top>
      <bottom/>
      <diagonal/>
    </border>
    <border>
      <left style="thin">
        <color auto="1"/>
      </left>
      <right style="thin">
        <color auto="1"/>
      </right>
      <top style="thin">
        <color rgb="FF8FA8BA"/>
      </top>
      <bottom style="hair">
        <color rgb="FFD9E2E8"/>
      </bottom>
      <diagonal/>
    </border>
    <border>
      <left/>
      <right/>
      <top style="thin">
        <color rgb="FF8FA8BA"/>
      </top>
      <bottom style="hair">
        <color rgb="FFD9E2E8"/>
      </bottom>
      <diagonal/>
    </border>
    <border>
      <left style="thin">
        <color auto="1"/>
      </left>
      <right style="thin">
        <color auto="1"/>
      </right>
      <top style="hair">
        <color rgb="FFD9E2E8"/>
      </top>
      <bottom style="hair">
        <color rgb="FFD9E2E8"/>
      </bottom>
      <diagonal/>
    </border>
    <border>
      <left/>
      <right/>
      <top style="hair">
        <color rgb="FFD9E2E8"/>
      </top>
      <bottom style="hair">
        <color rgb="FFD9E2E8"/>
      </bottom>
      <diagonal/>
    </border>
    <border>
      <left/>
      <right/>
      <top style="hair">
        <color rgb="FFD9E2E8"/>
      </top>
      <bottom/>
      <diagonal/>
    </border>
    <border>
      <left style="thin">
        <color rgb="FFB4C6E7"/>
      </left>
      <right style="thin">
        <color rgb="FFB4C6E7"/>
      </right>
      <top style="thin">
        <color rgb="FF8FA8BA"/>
      </top>
      <bottom style="hair">
        <color rgb="FFD9E2E8"/>
      </bottom>
      <diagonal/>
    </border>
    <border>
      <left style="thin">
        <color rgb="FFB4C6E7"/>
      </left>
      <right style="thin">
        <color rgb="FFB4C6E7"/>
      </right>
      <top style="hair">
        <color rgb="FFD9E2E8"/>
      </top>
      <bottom style="hair">
        <color rgb="FFD9E2E8"/>
      </bottom>
      <diagonal/>
    </border>
    <border>
      <left style="thin">
        <color rgb="FFB4C6E7"/>
      </left>
      <right style="thin">
        <color rgb="FFB4C6E7"/>
      </right>
      <top style="hair">
        <color rgb="FFD9E2E8"/>
      </top>
      <bottom style="thin">
        <color rgb="FFB4C6E7"/>
      </bottom>
      <diagonal/>
    </border>
  </borders>
  <cellStyleXfs count="1">
    <xf numFmtId="0" fontId="0" fillId="0" borderId="0"/>
  </cellStyleXfs>
  <cellXfs count="323">
    <xf numFmtId="0" fontId="0" fillId="0" borderId="0" xfId="0"/>
    <xf numFmtId="0" fontId="0" fillId="0" borderId="0" xfId="0" applyAlignment="1">
      <alignment horizontal="right"/>
    </xf>
    <xf numFmtId="164" fontId="0" fillId="0" borderId="3" xfId="0" applyNumberFormat="1" applyBorder="1" applyAlignment="1">
      <alignment horizontal="right"/>
    </xf>
    <xf numFmtId="166" fontId="0" fillId="0" borderId="3" xfId="0" applyNumberFormat="1" applyBorder="1" applyAlignment="1">
      <alignment horizontal="right"/>
    </xf>
    <xf numFmtId="0" fontId="1" fillId="2" borderId="0" xfId="0" applyFont="1" applyFill="1"/>
    <xf numFmtId="0" fontId="1" fillId="2" borderId="1" xfId="0" applyFont="1" applyFill="1" applyBorder="1"/>
    <xf numFmtId="0" fontId="1" fillId="4" borderId="2" xfId="0" applyFont="1" applyFill="1" applyBorder="1"/>
    <xf numFmtId="0" fontId="1" fillId="4" borderId="4" xfId="0" applyFont="1" applyFill="1" applyBorder="1"/>
    <xf numFmtId="164" fontId="0" fillId="0" borderId="5" xfId="0" applyNumberFormat="1" applyBorder="1" applyAlignment="1">
      <alignment horizontal="right"/>
    </xf>
    <xf numFmtId="164" fontId="3" fillId="5" borderId="0" xfId="0" applyNumberFormat="1" applyFont="1" applyFill="1" applyAlignment="1">
      <alignment horizontal="right"/>
    </xf>
    <xf numFmtId="165" fontId="3" fillId="5" borderId="0" xfId="0" applyNumberFormat="1" applyFont="1" applyFill="1" applyAlignment="1">
      <alignment horizontal="right"/>
    </xf>
    <xf numFmtId="165" fontId="3" fillId="5" borderId="1" xfId="0" applyNumberFormat="1" applyFont="1" applyFill="1" applyBorder="1" applyAlignment="1">
      <alignment horizontal="right"/>
    </xf>
    <xf numFmtId="0" fontId="4" fillId="0" borderId="0" xfId="0" applyFont="1" applyAlignment="1">
      <alignment wrapText="1"/>
    </xf>
    <xf numFmtId="0" fontId="2" fillId="6" borderId="7" xfId="0" applyFont="1" applyFill="1" applyBorder="1" applyAlignment="1">
      <alignment horizontal="center"/>
    </xf>
    <xf numFmtId="0" fontId="2" fillId="6" borderId="8" xfId="0" applyFont="1" applyFill="1" applyBorder="1" applyAlignment="1">
      <alignment horizontal="center"/>
    </xf>
    <xf numFmtId="0" fontId="1" fillId="0" borderId="10" xfId="0" applyFont="1" applyBorder="1"/>
    <xf numFmtId="167" fontId="0" fillId="0" borderId="11" xfId="0" applyNumberFormat="1" applyBorder="1" applyAlignment="1">
      <alignment horizontal="right"/>
    </xf>
    <xf numFmtId="0" fontId="1" fillId="0" borderId="13" xfId="0" applyFont="1" applyBorder="1"/>
    <xf numFmtId="167" fontId="0" fillId="0" borderId="14" xfId="0" applyNumberFormat="1" applyBorder="1" applyAlignment="1">
      <alignment horizontal="right"/>
    </xf>
    <xf numFmtId="0" fontId="1" fillId="4" borderId="2" xfId="0" applyFont="1" applyFill="1" applyBorder="1" applyAlignment="1">
      <alignment wrapText="1"/>
    </xf>
    <xf numFmtId="0" fontId="0" fillId="0" borderId="0" xfId="0" applyAlignment="1">
      <alignment wrapText="1"/>
    </xf>
    <xf numFmtId="0" fontId="1" fillId="2" borderId="2" xfId="0" applyFont="1" applyFill="1" applyBorder="1"/>
    <xf numFmtId="164" fontId="0" fillId="11" borderId="3" xfId="0" applyNumberFormat="1" applyFill="1" applyBorder="1"/>
    <xf numFmtId="2" fontId="0" fillId="11" borderId="3" xfId="0" applyNumberFormat="1" applyFill="1" applyBorder="1"/>
    <xf numFmtId="1" fontId="0" fillId="11" borderId="3" xfId="0" applyNumberFormat="1" applyFill="1" applyBorder="1"/>
    <xf numFmtId="0" fontId="1" fillId="12" borderId="2" xfId="0" applyFont="1" applyFill="1" applyBorder="1"/>
    <xf numFmtId="164" fontId="1" fillId="7" borderId="3" xfId="0" applyNumberFormat="1" applyFont="1" applyFill="1" applyBorder="1"/>
    <xf numFmtId="0" fontId="2" fillId="9" borderId="0" xfId="0" applyFont="1" applyFill="1" applyAlignment="1">
      <alignment horizontal="center" wrapText="1"/>
    </xf>
    <xf numFmtId="1" fontId="0" fillId="0" borderId="16" xfId="0" applyNumberFormat="1" applyBorder="1" applyAlignment="1">
      <alignment horizontal="center"/>
    </xf>
    <xf numFmtId="164" fontId="0" fillId="0" borderId="16" xfId="0" applyNumberFormat="1" applyBorder="1" applyAlignment="1">
      <alignment horizontal="right"/>
    </xf>
    <xf numFmtId="1" fontId="0" fillId="13" borderId="16" xfId="0" applyNumberFormat="1" applyFill="1" applyBorder="1" applyAlignment="1">
      <alignment horizontal="center"/>
    </xf>
    <xf numFmtId="164" fontId="0" fillId="13" borderId="16" xfId="0" applyNumberFormat="1" applyFill="1" applyBorder="1" applyAlignment="1">
      <alignment horizontal="right"/>
    </xf>
    <xf numFmtId="0" fontId="2" fillId="9" borderId="0" xfId="0" applyFont="1" applyFill="1" applyAlignment="1">
      <alignment horizontal="center"/>
    </xf>
    <xf numFmtId="164" fontId="14" fillId="7" borderId="20" xfId="0" applyNumberFormat="1" applyFont="1" applyFill="1" applyBorder="1" applyAlignment="1">
      <alignment wrapText="1"/>
    </xf>
    <xf numFmtId="2" fontId="14" fillId="7" borderId="20" xfId="0" applyNumberFormat="1" applyFont="1" applyFill="1" applyBorder="1" applyAlignment="1">
      <alignment wrapText="1"/>
    </xf>
    <xf numFmtId="1" fontId="14" fillId="7" borderId="20" xfId="0" applyNumberFormat="1" applyFont="1" applyFill="1" applyBorder="1" applyAlignment="1">
      <alignment wrapText="1"/>
    </xf>
    <xf numFmtId="0" fontId="1" fillId="2" borderId="20" xfId="0" applyFont="1" applyFill="1" applyBorder="1"/>
    <xf numFmtId="164" fontId="0" fillId="11" borderId="20" xfId="0" applyNumberFormat="1" applyFill="1" applyBorder="1"/>
    <xf numFmtId="2" fontId="0" fillId="11" borderId="20" xfId="0" applyNumberFormat="1" applyFill="1" applyBorder="1"/>
    <xf numFmtId="1" fontId="0" fillId="11" borderId="20" xfId="0" applyNumberFormat="1" applyFill="1" applyBorder="1"/>
    <xf numFmtId="0" fontId="1" fillId="12" borderId="20" xfId="0" applyFont="1" applyFill="1" applyBorder="1"/>
    <xf numFmtId="167" fontId="1" fillId="7" borderId="20" xfId="0" applyNumberFormat="1" applyFont="1" applyFill="1" applyBorder="1"/>
    <xf numFmtId="0" fontId="2" fillId="9" borderId="20" xfId="0" applyFont="1" applyFill="1" applyBorder="1"/>
    <xf numFmtId="1" fontId="0" fillId="0" borderId="20" xfId="0" applyNumberFormat="1" applyBorder="1" applyAlignment="1">
      <alignment horizontal="center"/>
    </xf>
    <xf numFmtId="167" fontId="0" fillId="0" borderId="20" xfId="0" applyNumberFormat="1" applyBorder="1" applyAlignment="1">
      <alignment horizontal="right"/>
    </xf>
    <xf numFmtId="1" fontId="0" fillId="13" borderId="20" xfId="0" applyNumberFormat="1" applyFill="1" applyBorder="1" applyAlignment="1">
      <alignment horizontal="center"/>
    </xf>
    <xf numFmtId="167" fontId="0" fillId="13" borderId="20" xfId="0" applyNumberFormat="1" applyFill="1" applyBorder="1" applyAlignment="1">
      <alignment horizontal="right"/>
    </xf>
    <xf numFmtId="0" fontId="16" fillId="0" borderId="0" xfId="0" applyFont="1"/>
    <xf numFmtId="0" fontId="21" fillId="0" borderId="0" xfId="0" applyFont="1"/>
    <xf numFmtId="0" fontId="21" fillId="0" borderId="0" xfId="0" applyFont="1" applyAlignment="1">
      <alignment vertical="center"/>
    </xf>
    <xf numFmtId="0" fontId="16" fillId="0" borderId="0" xfId="0" applyFont="1" applyAlignment="1">
      <alignment vertical="center"/>
    </xf>
    <xf numFmtId="164" fontId="16" fillId="11" borderId="0" xfId="0" applyNumberFormat="1" applyFont="1" applyFill="1" applyAlignment="1">
      <alignment horizontal="right"/>
    </xf>
    <xf numFmtId="2" fontId="16" fillId="11" borderId="0" xfId="0" applyNumberFormat="1" applyFont="1" applyFill="1" applyAlignment="1">
      <alignment horizontal="right"/>
    </xf>
    <xf numFmtId="1" fontId="16" fillId="11" borderId="0" xfId="0" applyNumberFormat="1" applyFont="1" applyFill="1" applyAlignment="1">
      <alignment horizontal="right"/>
    </xf>
    <xf numFmtId="164" fontId="21" fillId="7" borderId="0" xfId="0" applyNumberFormat="1" applyFont="1" applyFill="1" applyAlignment="1">
      <alignment horizontal="right"/>
    </xf>
    <xf numFmtId="0" fontId="17" fillId="9" borderId="0" xfId="0" applyFont="1" applyFill="1" applyAlignment="1">
      <alignment horizontal="right" wrapText="1"/>
    </xf>
    <xf numFmtId="0" fontId="16" fillId="0" borderId="0" xfId="0" applyFont="1" applyAlignment="1">
      <alignment horizontal="right"/>
    </xf>
    <xf numFmtId="164" fontId="16" fillId="0" borderId="0" xfId="0" applyNumberFormat="1" applyFont="1" applyAlignment="1">
      <alignment horizontal="right"/>
    </xf>
    <xf numFmtId="164" fontId="16" fillId="0" borderId="1" xfId="0" applyNumberFormat="1" applyFont="1" applyBorder="1" applyAlignment="1">
      <alignment horizontal="right"/>
    </xf>
    <xf numFmtId="0" fontId="17" fillId="9" borderId="0" xfId="0" applyFont="1" applyFill="1" applyAlignment="1">
      <alignment horizontal="center" vertical="center" wrapText="1"/>
    </xf>
    <xf numFmtId="1" fontId="16" fillId="0" borderId="0" xfId="0" applyNumberFormat="1" applyFont="1" applyAlignment="1">
      <alignment horizontal="center" vertical="center"/>
    </xf>
    <xf numFmtId="1" fontId="16" fillId="0" borderId="1" xfId="0" applyNumberFormat="1" applyFont="1" applyBorder="1" applyAlignment="1">
      <alignment horizontal="center" vertical="center"/>
    </xf>
    <xf numFmtId="0" fontId="16" fillId="0" borderId="0" xfId="0" applyFont="1" applyAlignment="1">
      <alignment horizontal="center" vertical="center"/>
    </xf>
    <xf numFmtId="168" fontId="21" fillId="7" borderId="0" xfId="0" applyNumberFormat="1" applyFont="1" applyFill="1" applyAlignment="1">
      <alignment horizontal="right"/>
    </xf>
    <xf numFmtId="2" fontId="0" fillId="0" borderId="0" xfId="0" applyNumberFormat="1"/>
    <xf numFmtId="0" fontId="23" fillId="14" borderId="0" xfId="0" applyFont="1" applyFill="1" applyAlignment="1">
      <alignment vertical="center"/>
    </xf>
    <xf numFmtId="0" fontId="26" fillId="17" borderId="0" xfId="0" applyFont="1" applyFill="1" applyAlignment="1">
      <alignment vertical="center"/>
    </xf>
    <xf numFmtId="0" fontId="23" fillId="0" borderId="0" xfId="0" applyFont="1" applyAlignment="1">
      <alignment vertical="center"/>
    </xf>
    <xf numFmtId="0" fontId="24" fillId="19" borderId="0" xfId="0" applyFont="1" applyFill="1" applyAlignment="1">
      <alignment vertical="center"/>
    </xf>
    <xf numFmtId="0" fontId="24" fillId="15" borderId="0" xfId="0" applyFont="1" applyFill="1" applyAlignment="1">
      <alignment vertical="center"/>
    </xf>
    <xf numFmtId="0" fontId="26" fillId="14" borderId="0" xfId="0" applyFont="1" applyFill="1" applyAlignment="1">
      <alignment vertical="center"/>
    </xf>
    <xf numFmtId="1" fontId="26" fillId="11" borderId="0" xfId="0" applyNumberFormat="1" applyFont="1" applyFill="1" applyAlignment="1">
      <alignment vertical="center"/>
    </xf>
    <xf numFmtId="2" fontId="26" fillId="11" borderId="0" xfId="0" applyNumberFormat="1" applyFont="1" applyFill="1" applyAlignment="1">
      <alignment vertical="center"/>
    </xf>
    <xf numFmtId="0" fontId="26" fillId="11" borderId="0" xfId="0" applyFont="1" applyFill="1" applyAlignment="1">
      <alignment vertical="center"/>
    </xf>
    <xf numFmtId="1" fontId="23" fillId="14" borderId="25" xfId="0" applyNumberFormat="1" applyFont="1" applyFill="1" applyBorder="1" applyAlignment="1">
      <alignment horizontal="center" vertical="center"/>
    </xf>
    <xf numFmtId="1" fontId="23" fillId="14" borderId="26" xfId="0" applyNumberFormat="1" applyFont="1" applyFill="1" applyBorder="1" applyAlignment="1">
      <alignment horizontal="center" vertical="center"/>
    </xf>
    <xf numFmtId="0" fontId="26" fillId="0" borderId="0" xfId="0" applyFont="1" applyAlignment="1">
      <alignment vertical="center"/>
    </xf>
    <xf numFmtId="167" fontId="26" fillId="11" borderId="0" xfId="0" applyNumberFormat="1" applyFont="1" applyFill="1" applyAlignment="1">
      <alignment vertical="center"/>
    </xf>
    <xf numFmtId="0" fontId="26" fillId="21" borderId="0" xfId="0" applyFont="1" applyFill="1" applyAlignment="1">
      <alignment vertical="center"/>
    </xf>
    <xf numFmtId="0" fontId="24" fillId="15" borderId="0" xfId="0" applyFont="1" applyFill="1" applyAlignment="1">
      <alignment horizontal="left" vertical="center" wrapText="1"/>
    </xf>
    <xf numFmtId="0" fontId="24" fillId="15" borderId="0" xfId="0" applyFont="1" applyFill="1" applyAlignment="1">
      <alignment horizontal="right" vertical="center" wrapText="1"/>
    </xf>
    <xf numFmtId="0" fontId="24" fillId="15" borderId="0" xfId="0" applyFont="1" applyFill="1" applyAlignment="1">
      <alignment vertical="center" wrapText="1"/>
    </xf>
    <xf numFmtId="1" fontId="24" fillId="15" borderId="24" xfId="0" applyNumberFormat="1" applyFont="1" applyFill="1" applyBorder="1" applyAlignment="1">
      <alignment horizontal="center" vertical="center" wrapText="1"/>
    </xf>
    <xf numFmtId="169" fontId="24" fillId="15" borderId="24" xfId="0" applyNumberFormat="1" applyFont="1" applyFill="1" applyBorder="1" applyAlignment="1">
      <alignment horizontal="right" vertical="center" wrapText="1"/>
    </xf>
    <xf numFmtId="0" fontId="26" fillId="14" borderId="27" xfId="0" applyFont="1" applyFill="1" applyBorder="1" applyAlignment="1">
      <alignment horizontal="left" vertical="center"/>
    </xf>
    <xf numFmtId="0" fontId="26" fillId="14" borderId="28" xfId="0" applyFont="1" applyFill="1" applyBorder="1" applyAlignment="1">
      <alignment horizontal="left" vertical="center"/>
    </xf>
    <xf numFmtId="170" fontId="23" fillId="14" borderId="28" xfId="0" applyNumberFormat="1" applyFont="1" applyFill="1" applyBorder="1" applyAlignment="1">
      <alignment horizontal="right" vertical="center"/>
    </xf>
    <xf numFmtId="0" fontId="26" fillId="14" borderId="29" xfId="0" applyFont="1" applyFill="1" applyBorder="1" applyAlignment="1">
      <alignment vertical="center"/>
    </xf>
    <xf numFmtId="167" fontId="26" fillId="21" borderId="0" xfId="0" applyNumberFormat="1" applyFont="1" applyFill="1" applyAlignment="1">
      <alignment vertical="center"/>
    </xf>
    <xf numFmtId="170" fontId="26" fillId="21" borderId="0" xfId="0" applyNumberFormat="1" applyFont="1" applyFill="1" applyAlignment="1">
      <alignment vertical="center"/>
    </xf>
    <xf numFmtId="171" fontId="26" fillId="21" borderId="0" xfId="0" applyNumberFormat="1" applyFont="1" applyFill="1" applyAlignment="1">
      <alignment vertical="center"/>
    </xf>
    <xf numFmtId="167" fontId="30" fillId="22" borderId="0" xfId="0" applyNumberFormat="1" applyFont="1" applyFill="1" applyAlignment="1">
      <alignment vertical="center"/>
    </xf>
    <xf numFmtId="167" fontId="27" fillId="21" borderId="0" xfId="0" applyNumberFormat="1" applyFont="1" applyFill="1" applyAlignment="1">
      <alignment vertical="center"/>
    </xf>
    <xf numFmtId="167" fontId="23" fillId="14" borderId="27" xfId="0" applyNumberFormat="1" applyFont="1" applyFill="1" applyBorder="1" applyAlignment="1">
      <alignment horizontal="right" vertical="center"/>
    </xf>
    <xf numFmtId="167" fontId="23" fillId="14" borderId="28" xfId="0" applyNumberFormat="1" applyFont="1" applyFill="1" applyBorder="1" applyAlignment="1">
      <alignment horizontal="right" vertical="center"/>
    </xf>
    <xf numFmtId="167" fontId="23" fillId="14" borderId="29" xfId="0" applyNumberFormat="1" applyFont="1" applyFill="1" applyBorder="1" applyAlignment="1">
      <alignment vertical="center"/>
    </xf>
    <xf numFmtId="171" fontId="23" fillId="14" borderId="27" xfId="0" applyNumberFormat="1" applyFont="1" applyFill="1" applyBorder="1" applyAlignment="1">
      <alignment horizontal="right" vertical="center"/>
    </xf>
    <xf numFmtId="171" fontId="23" fillId="14" borderId="28" xfId="0" applyNumberFormat="1" applyFont="1" applyFill="1" applyBorder="1" applyAlignment="1">
      <alignment horizontal="right" vertical="center"/>
    </xf>
    <xf numFmtId="171" fontId="23" fillId="14" borderId="29" xfId="0" applyNumberFormat="1" applyFont="1" applyFill="1" applyBorder="1" applyAlignment="1">
      <alignment vertical="center"/>
    </xf>
    <xf numFmtId="170" fontId="23" fillId="14" borderId="27" xfId="0" applyNumberFormat="1" applyFont="1" applyFill="1" applyBorder="1" applyAlignment="1">
      <alignment horizontal="right" vertical="center"/>
    </xf>
    <xf numFmtId="170" fontId="23" fillId="14" borderId="29" xfId="0" applyNumberFormat="1" applyFont="1" applyFill="1" applyBorder="1" applyAlignment="1">
      <alignment vertical="center"/>
    </xf>
    <xf numFmtId="167" fontId="26" fillId="18" borderId="27" xfId="0" applyNumberFormat="1" applyFont="1" applyFill="1" applyBorder="1" applyAlignment="1">
      <alignment horizontal="right" vertical="center"/>
    </xf>
    <xf numFmtId="167" fontId="25" fillId="14" borderId="27" xfId="0" applyNumberFormat="1" applyFont="1" applyFill="1" applyBorder="1" applyAlignment="1">
      <alignment vertical="center" wrapText="1"/>
    </xf>
    <xf numFmtId="167" fontId="26" fillId="18" borderId="28" xfId="0" applyNumberFormat="1" applyFont="1" applyFill="1" applyBorder="1" applyAlignment="1">
      <alignment horizontal="right" vertical="center"/>
    </xf>
    <xf numFmtId="167" fontId="25" fillId="14" borderId="28" xfId="0" applyNumberFormat="1" applyFont="1" applyFill="1" applyBorder="1" applyAlignment="1">
      <alignment vertical="center" wrapText="1"/>
    </xf>
    <xf numFmtId="167" fontId="23" fillId="14" borderId="25" xfId="0" applyNumberFormat="1" applyFont="1" applyFill="1" applyBorder="1" applyAlignment="1">
      <alignment horizontal="right" vertical="center"/>
    </xf>
    <xf numFmtId="167" fontId="23" fillId="14" borderId="26" xfId="0" applyNumberFormat="1" applyFont="1" applyFill="1" applyBorder="1" applyAlignment="1">
      <alignment horizontal="right" vertical="center"/>
    </xf>
    <xf numFmtId="2" fontId="23" fillId="14" borderId="25" xfId="0" applyNumberFormat="1" applyFont="1" applyFill="1" applyBorder="1" applyAlignment="1">
      <alignment horizontal="right" vertical="center"/>
    </xf>
    <xf numFmtId="2" fontId="23" fillId="14" borderId="26" xfId="0" applyNumberFormat="1" applyFont="1" applyFill="1" applyBorder="1" applyAlignment="1">
      <alignment horizontal="right" vertical="center"/>
    </xf>
    <xf numFmtId="0" fontId="26" fillId="20" borderId="0" xfId="0" applyFont="1" applyFill="1" applyAlignment="1">
      <alignment vertical="center"/>
    </xf>
    <xf numFmtId="167" fontId="33" fillId="22" borderId="0" xfId="0" applyNumberFormat="1" applyFont="1" applyFill="1" applyAlignment="1">
      <alignment vertical="center"/>
    </xf>
    <xf numFmtId="1" fontId="23" fillId="0" borderId="27" xfId="0" applyNumberFormat="1" applyFont="1" applyBorder="1" applyAlignment="1">
      <alignment horizontal="center" vertical="center"/>
    </xf>
    <xf numFmtId="1" fontId="23" fillId="0" borderId="28" xfId="0" applyNumberFormat="1" applyFont="1" applyBorder="1" applyAlignment="1">
      <alignment horizontal="center" vertical="center"/>
    </xf>
    <xf numFmtId="1" fontId="23" fillId="0" borderId="29" xfId="0" applyNumberFormat="1" applyFont="1" applyBorder="1" applyAlignment="1">
      <alignment horizontal="center" vertical="center"/>
    </xf>
    <xf numFmtId="167" fontId="23" fillId="0" borderId="27" xfId="0" applyNumberFormat="1" applyFont="1" applyBorder="1" applyAlignment="1">
      <alignment vertical="center"/>
    </xf>
    <xf numFmtId="167" fontId="23" fillId="0" borderId="28" xfId="0" applyNumberFormat="1" applyFont="1" applyBorder="1" applyAlignment="1">
      <alignment vertical="center"/>
    </xf>
    <xf numFmtId="167" fontId="23" fillId="0" borderId="29" xfId="0" applyNumberFormat="1" applyFont="1" applyBorder="1" applyAlignment="1">
      <alignment vertical="center"/>
    </xf>
    <xf numFmtId="166" fontId="23" fillId="0" borderId="27" xfId="0" applyNumberFormat="1" applyFont="1" applyBorder="1" applyAlignment="1">
      <alignment vertical="center"/>
    </xf>
    <xf numFmtId="166" fontId="23" fillId="0" borderId="28" xfId="0" applyNumberFormat="1" applyFont="1" applyBorder="1" applyAlignment="1">
      <alignment vertical="center"/>
    </xf>
    <xf numFmtId="166" fontId="23" fillId="0" borderId="29" xfId="0" applyNumberFormat="1" applyFont="1" applyBorder="1" applyAlignment="1">
      <alignment vertical="center"/>
    </xf>
    <xf numFmtId="0" fontId="23" fillId="0" borderId="0" xfId="0" applyFont="1"/>
    <xf numFmtId="0" fontId="26" fillId="11" borderId="0" xfId="0" applyFont="1" applyFill="1" applyAlignment="1">
      <alignment horizontal="left" vertical="center"/>
    </xf>
    <xf numFmtId="0" fontId="24" fillId="27" borderId="0" xfId="0" applyFont="1" applyFill="1" applyAlignment="1">
      <alignment vertical="center"/>
    </xf>
    <xf numFmtId="0" fontId="24" fillId="27" borderId="0" xfId="0" applyFont="1" applyFill="1" applyAlignment="1">
      <alignment vertical="center" wrapText="1"/>
    </xf>
    <xf numFmtId="0" fontId="23" fillId="0" borderId="0" xfId="0" applyFont="1" applyAlignment="1">
      <alignment horizontal="left" vertical="center"/>
    </xf>
    <xf numFmtId="0" fontId="23" fillId="0" borderId="27" xfId="0" applyFont="1" applyBorder="1" applyAlignment="1">
      <alignment horizontal="left" vertical="center"/>
    </xf>
    <xf numFmtId="0" fontId="23" fillId="28" borderId="0" xfId="0" applyFont="1" applyFill="1" applyAlignment="1">
      <alignment horizontal="left" vertical="center"/>
    </xf>
    <xf numFmtId="0" fontId="26" fillId="4" borderId="0" xfId="0" applyFont="1" applyFill="1" applyAlignment="1">
      <alignment vertical="center"/>
    </xf>
    <xf numFmtId="164" fontId="26" fillId="11" borderId="0" xfId="0" applyNumberFormat="1" applyFont="1" applyFill="1" applyAlignment="1">
      <alignment horizontal="right" vertical="center"/>
    </xf>
    <xf numFmtId="2" fontId="26" fillId="11" borderId="0" xfId="0" applyNumberFormat="1" applyFont="1" applyFill="1" applyAlignment="1">
      <alignment horizontal="right" vertical="center"/>
    </xf>
    <xf numFmtId="1" fontId="26" fillId="11" borderId="0" xfId="0" applyNumberFormat="1" applyFont="1" applyFill="1" applyAlignment="1">
      <alignment horizontal="right" vertical="center"/>
    </xf>
    <xf numFmtId="164" fontId="26" fillId="24" borderId="0" xfId="0" applyNumberFormat="1" applyFont="1" applyFill="1" applyAlignment="1">
      <alignment horizontal="right" vertical="center"/>
    </xf>
    <xf numFmtId="166" fontId="26" fillId="24" borderId="0" xfId="0" applyNumberFormat="1" applyFont="1" applyFill="1" applyAlignment="1">
      <alignment horizontal="right" vertical="center"/>
    </xf>
    <xf numFmtId="171" fontId="26" fillId="24" borderId="0" xfId="0" applyNumberFormat="1" applyFont="1" applyFill="1" applyAlignment="1">
      <alignment horizontal="right" vertical="center"/>
    </xf>
    <xf numFmtId="168" fontId="26" fillId="24" borderId="0" xfId="0" applyNumberFormat="1" applyFont="1" applyFill="1" applyAlignment="1">
      <alignment horizontal="right" vertical="center"/>
    </xf>
    <xf numFmtId="1" fontId="23" fillId="28" borderId="0" xfId="0" applyNumberFormat="1" applyFont="1" applyFill="1" applyAlignment="1">
      <alignment horizontal="center" vertical="center"/>
    </xf>
    <xf numFmtId="1" fontId="23" fillId="0" borderId="0" xfId="0" applyNumberFormat="1" applyFont="1" applyAlignment="1">
      <alignment horizontal="center" vertical="center"/>
    </xf>
    <xf numFmtId="164" fontId="23" fillId="28" borderId="0" xfId="0" applyNumberFormat="1" applyFont="1" applyFill="1" applyAlignment="1">
      <alignment horizontal="right" vertical="center"/>
    </xf>
    <xf numFmtId="164" fontId="23" fillId="0" borderId="0" xfId="0" applyNumberFormat="1" applyFont="1" applyAlignment="1">
      <alignment horizontal="right" vertical="center"/>
    </xf>
    <xf numFmtId="164" fontId="23" fillId="0" borderId="27" xfId="0" applyNumberFormat="1" applyFont="1" applyBorder="1" applyAlignment="1">
      <alignment horizontal="right" vertical="center"/>
    </xf>
    <xf numFmtId="0" fontId="37" fillId="0" borderId="0" xfId="0" applyFont="1"/>
    <xf numFmtId="0" fontId="21" fillId="30" borderId="0" xfId="0" applyFont="1" applyFill="1"/>
    <xf numFmtId="0" fontId="21" fillId="31" borderId="0" xfId="0" applyFont="1" applyFill="1"/>
    <xf numFmtId="164" fontId="21" fillId="0" borderId="0" xfId="0" applyNumberFormat="1" applyFont="1"/>
    <xf numFmtId="164" fontId="21" fillId="30" borderId="0" xfId="0" applyNumberFormat="1" applyFont="1" applyFill="1"/>
    <xf numFmtId="2" fontId="21" fillId="30" borderId="0" xfId="0" applyNumberFormat="1" applyFont="1" applyFill="1"/>
    <xf numFmtId="167" fontId="21" fillId="0" borderId="0" xfId="0" applyNumberFormat="1" applyFont="1"/>
    <xf numFmtId="9" fontId="21" fillId="0" borderId="0" xfId="0" applyNumberFormat="1" applyFont="1"/>
    <xf numFmtId="0" fontId="17" fillId="29" borderId="0" xfId="0" applyFont="1" applyFill="1" applyAlignment="1">
      <alignment wrapText="1"/>
    </xf>
    <xf numFmtId="164" fontId="16" fillId="0" borderId="0" xfId="0" applyNumberFormat="1" applyFont="1"/>
    <xf numFmtId="0" fontId="16" fillId="0" borderId="1" xfId="0" applyFont="1" applyBorder="1"/>
    <xf numFmtId="164" fontId="16" fillId="0" borderId="1" xfId="0" applyNumberFormat="1" applyFont="1" applyBorder="1"/>
    <xf numFmtId="9" fontId="16" fillId="0" borderId="0" xfId="0" applyNumberFormat="1" applyFont="1"/>
    <xf numFmtId="0" fontId="24" fillId="29" borderId="0" xfId="0" applyFont="1" applyFill="1"/>
    <xf numFmtId="0" fontId="40" fillId="11" borderId="0" xfId="0" applyFont="1" applyFill="1"/>
    <xf numFmtId="0" fontId="41" fillId="7" borderId="0" xfId="0" applyFont="1" applyFill="1"/>
    <xf numFmtId="172" fontId="40" fillId="11" borderId="0" xfId="0" applyNumberFormat="1" applyFont="1" applyFill="1"/>
    <xf numFmtId="172" fontId="23" fillId="0" borderId="0" xfId="0" applyNumberFormat="1" applyFont="1"/>
    <xf numFmtId="172" fontId="24" fillId="29" borderId="0" xfId="0" applyNumberFormat="1" applyFont="1" applyFill="1"/>
    <xf numFmtId="172" fontId="41" fillId="7" borderId="0" xfId="0" applyNumberFormat="1" applyFont="1" applyFill="1"/>
    <xf numFmtId="166" fontId="41" fillId="7" borderId="0" xfId="0" applyNumberFormat="1" applyFont="1" applyFill="1"/>
    <xf numFmtId="0" fontId="23" fillId="0" borderId="0" xfId="0" applyFont="1" applyAlignment="1">
      <alignment wrapText="1"/>
    </xf>
    <xf numFmtId="9" fontId="40" fillId="11" borderId="0" xfId="0" applyNumberFormat="1" applyFont="1" applyFill="1"/>
    <xf numFmtId="173" fontId="41" fillId="7" borderId="0" xfId="0" applyNumberFormat="1" applyFont="1" applyFill="1"/>
    <xf numFmtId="166" fontId="40" fillId="11" borderId="0" xfId="0" applyNumberFormat="1" applyFont="1" applyFill="1"/>
    <xf numFmtId="9" fontId="41" fillId="7" borderId="0" xfId="0" applyNumberFormat="1" applyFont="1" applyFill="1"/>
    <xf numFmtId="0" fontId="26" fillId="4" borderId="0" xfId="0" applyFont="1" applyFill="1" applyAlignment="1">
      <alignment vertical="center" wrapText="1"/>
    </xf>
    <xf numFmtId="0" fontId="2" fillId="6" borderId="9" xfId="0" applyFont="1" applyFill="1" applyBorder="1" applyAlignment="1">
      <alignment horizontal="center" wrapText="1"/>
    </xf>
    <xf numFmtId="167" fontId="0" fillId="0" borderId="12" xfId="0" applyNumberFormat="1" applyBorder="1" applyAlignment="1">
      <alignment horizontal="right" wrapText="1"/>
    </xf>
    <xf numFmtId="0" fontId="0" fillId="0" borderId="15" xfId="0" applyBorder="1" applyAlignment="1">
      <alignment horizontal="right" wrapText="1"/>
    </xf>
    <xf numFmtId="0" fontId="2" fillId="3" borderId="0" xfId="0" applyFont="1" applyFill="1"/>
    <xf numFmtId="174" fontId="0" fillId="0" borderId="0" xfId="0" applyNumberFormat="1"/>
    <xf numFmtId="167" fontId="0" fillId="0" borderId="0" xfId="0" applyNumberFormat="1"/>
    <xf numFmtId="174" fontId="0" fillId="0" borderId="30" xfId="0" applyNumberFormat="1" applyBorder="1"/>
    <xf numFmtId="0" fontId="0" fillId="0" borderId="30" xfId="0" applyBorder="1"/>
    <xf numFmtId="167" fontId="0" fillId="0" borderId="30" xfId="0" applyNumberFormat="1" applyBorder="1"/>
    <xf numFmtId="174" fontId="1" fillId="7" borderId="0" xfId="0" applyNumberFormat="1" applyFont="1" applyFill="1"/>
    <xf numFmtId="0" fontId="1" fillId="7" borderId="0" xfId="0" applyFont="1" applyFill="1"/>
    <xf numFmtId="167" fontId="1" fillId="7" borderId="0" xfId="0" applyNumberFormat="1" applyFont="1" applyFill="1"/>
    <xf numFmtId="0" fontId="44" fillId="14" borderId="0" xfId="0" applyFont="1" applyFill="1" applyAlignment="1">
      <alignment vertical="center" wrapText="1"/>
    </xf>
    <xf numFmtId="0" fontId="43" fillId="14" borderId="0" xfId="0" applyFont="1" applyFill="1" applyAlignment="1">
      <alignment vertical="center" wrapText="1"/>
    </xf>
    <xf numFmtId="0" fontId="46" fillId="16" borderId="0" xfId="0" applyFont="1" applyFill="1" applyAlignment="1">
      <alignment horizontal="center" vertical="center" wrapText="1"/>
    </xf>
    <xf numFmtId="0" fontId="43" fillId="14" borderId="31" xfId="0" applyFont="1" applyFill="1" applyBorder="1" applyAlignment="1">
      <alignment vertical="center" wrapText="1"/>
    </xf>
    <xf numFmtId="0" fontId="44" fillId="14" borderId="31" xfId="0" applyFont="1" applyFill="1" applyBorder="1" applyAlignment="1">
      <alignment vertical="center" wrapText="1"/>
    </xf>
    <xf numFmtId="0" fontId="43" fillId="14" borderId="32" xfId="0" applyFont="1" applyFill="1" applyBorder="1" applyAlignment="1">
      <alignment vertical="center" wrapText="1"/>
    </xf>
    <xf numFmtId="0" fontId="47" fillId="33" borderId="0" xfId="0" applyFont="1" applyFill="1" applyAlignment="1">
      <alignment vertical="center" wrapText="1"/>
    </xf>
    <xf numFmtId="0" fontId="43" fillId="14" borderId="33" xfId="0" applyFont="1" applyFill="1" applyBorder="1" applyAlignment="1">
      <alignment vertical="center" wrapText="1"/>
    </xf>
    <xf numFmtId="0" fontId="44" fillId="14" borderId="33" xfId="0" applyFont="1" applyFill="1" applyBorder="1" applyAlignment="1">
      <alignment vertical="center" wrapText="1"/>
    </xf>
    <xf numFmtId="0" fontId="43" fillId="14" borderId="35" xfId="0" applyFont="1" applyFill="1" applyBorder="1" applyAlignment="1">
      <alignment vertical="center" wrapText="1"/>
    </xf>
    <xf numFmtId="0" fontId="44" fillId="14" borderId="35" xfId="0" applyFont="1" applyFill="1" applyBorder="1" applyAlignment="1">
      <alignment vertical="center" wrapText="1"/>
    </xf>
    <xf numFmtId="0" fontId="44" fillId="14" borderId="36" xfId="0" applyFont="1" applyFill="1" applyBorder="1" applyAlignment="1">
      <alignment vertical="center" wrapText="1"/>
    </xf>
    <xf numFmtId="0" fontId="43" fillId="14" borderId="36" xfId="0" applyFont="1" applyFill="1" applyBorder="1" applyAlignment="1">
      <alignment vertical="center" wrapText="1"/>
    </xf>
    <xf numFmtId="0" fontId="43" fillId="14" borderId="37" xfId="0" applyFont="1" applyFill="1" applyBorder="1" applyAlignment="1">
      <alignment vertical="center" wrapText="1"/>
    </xf>
    <xf numFmtId="0" fontId="44" fillId="14" borderId="37" xfId="0" applyFont="1" applyFill="1" applyBorder="1" applyAlignment="1">
      <alignment vertical="center" wrapText="1"/>
    </xf>
    <xf numFmtId="0" fontId="47" fillId="33" borderId="0" xfId="0" applyFont="1" applyFill="1" applyAlignment="1">
      <alignment horizontal="center" vertical="center" wrapText="1"/>
    </xf>
    <xf numFmtId="0" fontId="43" fillId="14" borderId="38" xfId="0" applyFont="1" applyFill="1" applyBorder="1" applyAlignment="1">
      <alignment vertical="center" wrapText="1"/>
    </xf>
    <xf numFmtId="0" fontId="44" fillId="14" borderId="38" xfId="0" applyFont="1" applyFill="1" applyBorder="1" applyAlignment="1">
      <alignment vertical="center" wrapText="1"/>
    </xf>
    <xf numFmtId="0" fontId="43" fillId="14" borderId="39" xfId="0" applyFont="1" applyFill="1" applyBorder="1" applyAlignment="1">
      <alignment vertical="center" wrapText="1"/>
    </xf>
    <xf numFmtId="0" fontId="44" fillId="14" borderId="39" xfId="0" applyFont="1" applyFill="1" applyBorder="1" applyAlignment="1">
      <alignment vertical="center" wrapText="1"/>
    </xf>
    <xf numFmtId="0" fontId="43" fillId="14" borderId="40" xfId="0" applyFont="1" applyFill="1" applyBorder="1" applyAlignment="1">
      <alignment vertical="center" wrapText="1"/>
    </xf>
    <xf numFmtId="0" fontId="44" fillId="14" borderId="40" xfId="0" applyFont="1" applyFill="1" applyBorder="1" applyAlignment="1">
      <alignment vertical="center" wrapText="1"/>
    </xf>
    <xf numFmtId="0" fontId="47" fillId="33" borderId="32" xfId="0" applyFont="1" applyFill="1" applyBorder="1" applyAlignment="1">
      <alignment vertical="center" wrapText="1"/>
    </xf>
    <xf numFmtId="0" fontId="48" fillId="34" borderId="34" xfId="0" applyFont="1" applyFill="1" applyBorder="1" applyAlignment="1">
      <alignment vertical="center" wrapText="1"/>
    </xf>
    <xf numFmtId="0" fontId="48" fillId="34" borderId="36" xfId="0" applyFont="1" applyFill="1" applyBorder="1" applyAlignment="1">
      <alignment vertical="center" wrapText="1"/>
    </xf>
    <xf numFmtId="0" fontId="49" fillId="35" borderId="36" xfId="0" applyFont="1" applyFill="1" applyBorder="1" applyAlignment="1">
      <alignment vertical="center" wrapText="1"/>
    </xf>
    <xf numFmtId="0" fontId="49" fillId="35" borderId="37" xfId="0" applyFont="1" applyFill="1" applyBorder="1" applyAlignment="1">
      <alignment vertical="center" wrapText="1"/>
    </xf>
    <xf numFmtId="0" fontId="48" fillId="34" borderId="38" xfId="0" applyFont="1" applyFill="1" applyBorder="1" applyAlignment="1">
      <alignment vertical="center" wrapText="1"/>
    </xf>
    <xf numFmtId="0" fontId="48" fillId="34" borderId="39" xfId="0" applyFont="1" applyFill="1" applyBorder="1" applyAlignment="1">
      <alignment vertical="center" wrapText="1"/>
    </xf>
    <xf numFmtId="0" fontId="48" fillId="34" borderId="40" xfId="0" applyFont="1" applyFill="1" applyBorder="1" applyAlignment="1">
      <alignment vertical="center" wrapText="1"/>
    </xf>
    <xf numFmtId="0" fontId="43" fillId="36" borderId="38" xfId="0" applyFont="1" applyFill="1" applyBorder="1" applyAlignment="1">
      <alignment vertical="center" wrapText="1"/>
    </xf>
    <xf numFmtId="0" fontId="43" fillId="36" borderId="39" xfId="0" applyFont="1" applyFill="1" applyBorder="1" applyAlignment="1">
      <alignment vertical="center" wrapText="1"/>
    </xf>
    <xf numFmtId="0" fontId="43" fillId="36" borderId="37" xfId="0" applyFont="1" applyFill="1" applyBorder="1" applyAlignment="1">
      <alignment vertical="center" wrapText="1"/>
    </xf>
    <xf numFmtId="0" fontId="23" fillId="8" borderId="0" xfId="0" applyFont="1" applyFill="1"/>
    <xf numFmtId="0" fontId="24" fillId="3" borderId="0" xfId="0" applyFont="1" applyFill="1"/>
    <xf numFmtId="174" fontId="52" fillId="2" borderId="0" xfId="0" applyNumberFormat="1" applyFont="1" applyFill="1"/>
    <xf numFmtId="164" fontId="52" fillId="2" borderId="0" xfId="0" applyNumberFormat="1" applyFont="1" applyFill="1"/>
    <xf numFmtId="0" fontId="23" fillId="0" borderId="30" xfId="0" applyFont="1" applyBorder="1"/>
    <xf numFmtId="174" fontId="52" fillId="2" borderId="30" xfId="0" applyNumberFormat="1" applyFont="1" applyFill="1" applyBorder="1"/>
    <xf numFmtId="0" fontId="23" fillId="0" borderId="30" xfId="0" applyFont="1" applyBorder="1" applyAlignment="1">
      <alignment wrapText="1"/>
    </xf>
    <xf numFmtId="0" fontId="23" fillId="8" borderId="0" xfId="0" applyFont="1" applyFill="1" applyAlignment="1">
      <alignment wrapText="1"/>
    </xf>
    <xf numFmtId="164" fontId="0" fillId="39" borderId="0" xfId="0" applyNumberFormat="1" applyFill="1"/>
    <xf numFmtId="165" fontId="0" fillId="39" borderId="0" xfId="0" applyNumberFormat="1" applyFill="1"/>
    <xf numFmtId="164" fontId="23" fillId="0" borderId="0" xfId="0" applyNumberFormat="1" applyFont="1" applyAlignment="1">
      <alignment vertical="center"/>
    </xf>
    <xf numFmtId="166" fontId="23" fillId="0" borderId="0" xfId="0" applyNumberFormat="1" applyFont="1" applyAlignment="1">
      <alignment vertical="center"/>
    </xf>
    <xf numFmtId="9" fontId="0" fillId="0" borderId="0" xfId="0" applyNumberFormat="1"/>
    <xf numFmtId="166" fontId="0" fillId="0" borderId="0" xfId="0" applyNumberFormat="1"/>
    <xf numFmtId="164" fontId="41" fillId="7" borderId="0" xfId="0" applyNumberFormat="1" applyFont="1" applyFill="1"/>
    <xf numFmtId="173" fontId="23" fillId="0" borderId="0" xfId="0" applyNumberFormat="1" applyFont="1"/>
    <xf numFmtId="165" fontId="23" fillId="0" borderId="0" xfId="0" applyNumberFormat="1" applyFont="1"/>
    <xf numFmtId="164" fontId="23" fillId="0" borderId="0" xfId="0" applyNumberFormat="1" applyFont="1"/>
    <xf numFmtId="0" fontId="23" fillId="0" borderId="0" xfId="0" applyFont="1" applyAlignment="1">
      <alignment vertical="center" wrapText="1"/>
    </xf>
    <xf numFmtId="0" fontId="9" fillId="0" borderId="0" xfId="0" applyFont="1" applyAlignment="1">
      <alignment wrapText="1"/>
    </xf>
    <xf numFmtId="0" fontId="10" fillId="8" borderId="0" xfId="0" applyFont="1" applyFill="1" applyAlignment="1">
      <alignment horizontal="left" vertical="top" wrapText="1"/>
    </xf>
    <xf numFmtId="0" fontId="2" fillId="3" borderId="6" xfId="0" applyFont="1" applyFill="1" applyBorder="1" applyAlignment="1">
      <alignment horizontal="left"/>
    </xf>
    <xf numFmtId="0" fontId="2" fillId="3" borderId="0" xfId="0" applyFont="1" applyFill="1" applyAlignment="1">
      <alignment horizontal="left"/>
    </xf>
    <xf numFmtId="0" fontId="5" fillId="3" borderId="0" xfId="0" applyFont="1" applyFill="1" applyAlignment="1">
      <alignment horizontal="left" wrapText="1"/>
    </xf>
    <xf numFmtId="0" fontId="6" fillId="3" borderId="0" xfId="0" applyFont="1" applyFill="1" applyAlignment="1">
      <alignment horizontal="left"/>
    </xf>
    <xf numFmtId="0" fontId="7" fillId="0" borderId="0" xfId="0" applyFont="1" applyAlignment="1">
      <alignment wrapText="1"/>
    </xf>
    <xf numFmtId="0" fontId="8" fillId="7" borderId="0" xfId="0" applyFont="1" applyFill="1" applyAlignment="1">
      <alignment wrapText="1"/>
    </xf>
    <xf numFmtId="0" fontId="46" fillId="16" borderId="0" xfId="0" applyFont="1" applyFill="1" applyAlignment="1">
      <alignment vertical="center" wrapText="1"/>
    </xf>
    <xf numFmtId="0" fontId="50" fillId="37" borderId="0" xfId="0" applyFont="1" applyFill="1" applyAlignment="1">
      <alignment vertical="center" wrapText="1"/>
    </xf>
    <xf numFmtId="0" fontId="38" fillId="15" borderId="0" xfId="0" applyFont="1" applyFill="1" applyAlignment="1">
      <alignment horizontal="left" vertical="center" wrapText="1"/>
    </xf>
    <xf numFmtId="0" fontId="45" fillId="15" borderId="0" xfId="0" applyFont="1" applyFill="1" applyAlignment="1">
      <alignment vertical="center" wrapText="1"/>
    </xf>
    <xf numFmtId="0" fontId="43" fillId="14" borderId="0" xfId="0" applyFont="1" applyFill="1" applyAlignment="1">
      <alignment vertical="center" wrapText="1"/>
    </xf>
    <xf numFmtId="0" fontId="43" fillId="14" borderId="37" xfId="0" applyFont="1" applyFill="1" applyBorder="1" applyAlignment="1">
      <alignment vertical="center" wrapText="1"/>
    </xf>
    <xf numFmtId="0" fontId="18" fillId="9" borderId="0" xfId="0" applyFont="1" applyFill="1"/>
    <xf numFmtId="0" fontId="51" fillId="38" borderId="0" xfId="0" applyFont="1" applyFill="1" applyAlignment="1">
      <alignment wrapText="1"/>
    </xf>
    <xf numFmtId="0" fontId="24" fillId="6" borderId="0" xfId="0" applyFont="1" applyFill="1"/>
    <xf numFmtId="0" fontId="24" fillId="6" borderId="0" xfId="0" applyFont="1" applyFill="1" applyAlignment="1">
      <alignment wrapText="1"/>
    </xf>
    <xf numFmtId="0" fontId="42" fillId="11" borderId="0" xfId="0" applyFont="1" applyFill="1" applyAlignment="1">
      <alignment wrapText="1"/>
    </xf>
    <xf numFmtId="0" fontId="15" fillId="11" borderId="0" xfId="0" applyFont="1" applyFill="1" applyAlignment="1">
      <alignment wrapText="1"/>
    </xf>
    <xf numFmtId="0" fontId="2" fillId="10" borderId="0" xfId="0" applyFont="1" applyFill="1"/>
    <xf numFmtId="0" fontId="6" fillId="9" borderId="0" xfId="0" applyFont="1" applyFill="1"/>
    <xf numFmtId="0" fontId="6" fillId="9" borderId="0" xfId="0" applyFont="1" applyFill="1" applyAlignment="1">
      <alignment wrapText="1"/>
    </xf>
    <xf numFmtId="0" fontId="11" fillId="0" borderId="0" xfId="0" applyFont="1" applyAlignment="1">
      <alignment wrapText="1"/>
    </xf>
    <xf numFmtId="0" fontId="2" fillId="10" borderId="0" xfId="0" applyFont="1" applyFill="1" applyAlignment="1">
      <alignment wrapText="1"/>
    </xf>
    <xf numFmtId="0" fontId="13" fillId="12" borderId="0" xfId="0" applyFont="1" applyFill="1" applyAlignment="1">
      <alignment wrapText="1"/>
    </xf>
    <xf numFmtId="0" fontId="2" fillId="9" borderId="0" xfId="0" applyFont="1" applyFill="1" applyAlignment="1">
      <alignment wrapText="1"/>
    </xf>
    <xf numFmtId="0" fontId="2" fillId="9" borderId="0" xfId="0" applyFont="1" applyFill="1"/>
    <xf numFmtId="0" fontId="15" fillId="11" borderId="2" xfId="0" applyFont="1" applyFill="1" applyBorder="1" applyAlignment="1">
      <alignment wrapText="1"/>
    </xf>
    <xf numFmtId="0" fontId="15" fillId="11" borderId="17" xfId="0" applyFont="1" applyFill="1" applyBorder="1" applyAlignment="1">
      <alignment wrapText="1"/>
    </xf>
    <xf numFmtId="0" fontId="15" fillId="11" borderId="3" xfId="0" applyFont="1" applyFill="1" applyBorder="1" applyAlignment="1">
      <alignment wrapText="1"/>
    </xf>
    <xf numFmtId="0" fontId="14" fillId="14" borderId="20" xfId="0" applyFont="1" applyFill="1" applyBorder="1" applyAlignment="1">
      <alignment wrapText="1"/>
    </xf>
    <xf numFmtId="0" fontId="13" fillId="14" borderId="20" xfId="0" applyFont="1" applyFill="1" applyBorder="1" applyAlignment="1">
      <alignment wrapText="1"/>
    </xf>
    <xf numFmtId="0" fontId="2" fillId="9" borderId="0" xfId="0" applyFont="1" applyFill="1" applyAlignment="1">
      <alignment horizontal="center"/>
    </xf>
    <xf numFmtId="0" fontId="13" fillId="12" borderId="19" xfId="0" applyFont="1" applyFill="1" applyBorder="1" applyAlignment="1">
      <alignment wrapText="1"/>
    </xf>
    <xf numFmtId="0" fontId="13" fillId="12" borderId="18" xfId="0" applyFont="1" applyFill="1" applyBorder="1" applyAlignment="1">
      <alignment wrapText="1"/>
    </xf>
    <xf numFmtId="0" fontId="13" fillId="12" borderId="23" xfId="0" applyFont="1" applyFill="1" applyBorder="1" applyAlignment="1">
      <alignment wrapText="1"/>
    </xf>
    <xf numFmtId="0" fontId="6" fillId="9" borderId="0" xfId="0" applyFont="1" applyFill="1" applyAlignment="1">
      <alignment vertical="center"/>
    </xf>
    <xf numFmtId="0" fontId="2" fillId="10" borderId="0" xfId="0" applyFont="1" applyFill="1" applyAlignment="1">
      <alignment horizontal="left"/>
    </xf>
    <xf numFmtId="0" fontId="13" fillId="11" borderId="21" xfId="0" applyFont="1" applyFill="1" applyBorder="1" applyAlignment="1">
      <alignment wrapText="1"/>
    </xf>
    <xf numFmtId="0" fontId="13" fillId="11" borderId="17" xfId="0" applyFont="1" applyFill="1" applyBorder="1" applyAlignment="1">
      <alignment wrapText="1"/>
    </xf>
    <xf numFmtId="0" fontId="13" fillId="11" borderId="22" xfId="0" applyFont="1" applyFill="1" applyBorder="1" applyAlignment="1">
      <alignment wrapText="1"/>
    </xf>
    <xf numFmtId="0" fontId="13" fillId="12" borderId="21" xfId="0" applyFont="1" applyFill="1" applyBorder="1" applyAlignment="1">
      <alignment wrapText="1"/>
    </xf>
    <xf numFmtId="0" fontId="13" fillId="12" borderId="17" xfId="0" applyFont="1" applyFill="1" applyBorder="1" applyAlignment="1">
      <alignment wrapText="1"/>
    </xf>
    <xf numFmtId="0" fontId="13" fillId="12" borderId="22" xfId="0" applyFont="1" applyFill="1" applyBorder="1" applyAlignment="1">
      <alignment wrapText="1"/>
    </xf>
    <xf numFmtId="0" fontId="13" fillId="7" borderId="21" xfId="0" applyFont="1" applyFill="1" applyBorder="1" applyAlignment="1">
      <alignment wrapText="1"/>
    </xf>
    <xf numFmtId="0" fontId="13" fillId="7" borderId="17" xfId="0" applyFont="1" applyFill="1" applyBorder="1" applyAlignment="1">
      <alignment wrapText="1"/>
    </xf>
    <xf numFmtId="0" fontId="13" fillId="7" borderId="22" xfId="0" applyFont="1" applyFill="1" applyBorder="1" applyAlignment="1">
      <alignment wrapText="1"/>
    </xf>
    <xf numFmtId="0" fontId="1" fillId="2" borderId="20" xfId="0" applyFont="1" applyFill="1" applyBorder="1" applyAlignment="1">
      <alignment wrapText="1"/>
    </xf>
    <xf numFmtId="0" fontId="0" fillId="14" borderId="20" xfId="0" applyFill="1" applyBorder="1" applyAlignment="1">
      <alignment wrapText="1"/>
    </xf>
    <xf numFmtId="0" fontId="11" fillId="11" borderId="0" xfId="0" applyFont="1" applyFill="1" applyAlignment="1">
      <alignment wrapText="1"/>
    </xf>
    <xf numFmtId="164" fontId="14" fillId="7" borderId="20" xfId="0" applyNumberFormat="1" applyFont="1" applyFill="1" applyBorder="1" applyAlignment="1">
      <alignment wrapText="1"/>
    </xf>
    <xf numFmtId="0" fontId="14" fillId="7" borderId="20" xfId="0" applyFont="1" applyFill="1" applyBorder="1" applyAlignment="1">
      <alignment wrapText="1"/>
    </xf>
    <xf numFmtId="2" fontId="14" fillId="7" borderId="20" xfId="0" applyNumberFormat="1" applyFont="1" applyFill="1" applyBorder="1" applyAlignment="1">
      <alignment wrapText="1"/>
    </xf>
    <xf numFmtId="1" fontId="14" fillId="7" borderId="20" xfId="0" applyNumberFormat="1" applyFont="1" applyFill="1" applyBorder="1" applyAlignment="1">
      <alignment wrapText="1"/>
    </xf>
    <xf numFmtId="0" fontId="13" fillId="12" borderId="2" xfId="0" applyFont="1" applyFill="1" applyBorder="1" applyAlignment="1">
      <alignment wrapText="1"/>
    </xf>
    <xf numFmtId="0" fontId="13" fillId="12" borderId="3" xfId="0" applyFont="1" applyFill="1" applyBorder="1" applyAlignment="1">
      <alignment wrapText="1"/>
    </xf>
    <xf numFmtId="0" fontId="12" fillId="11" borderId="0" xfId="0" applyFont="1" applyFill="1" applyAlignment="1">
      <alignment wrapText="1"/>
    </xf>
    <xf numFmtId="0" fontId="17" fillId="10" borderId="0" xfId="0" applyFont="1" applyFill="1" applyAlignment="1">
      <alignment horizontal="center" vertical="center"/>
    </xf>
    <xf numFmtId="0" fontId="17" fillId="10" borderId="0" xfId="0" applyFont="1" applyFill="1" applyAlignment="1">
      <alignment horizontal="right"/>
    </xf>
    <xf numFmtId="0" fontId="17" fillId="10" borderId="0" xfId="0" applyFont="1" applyFill="1" applyAlignment="1">
      <alignment vertical="center"/>
    </xf>
    <xf numFmtId="0" fontId="17" fillId="10" borderId="0" xfId="0" applyFont="1" applyFill="1"/>
    <xf numFmtId="0" fontId="19" fillId="0" borderId="0" xfId="0" applyFont="1" applyAlignment="1">
      <alignment vertical="center" wrapText="1"/>
    </xf>
    <xf numFmtId="0" fontId="19" fillId="0" borderId="0" xfId="0" applyFont="1" applyAlignment="1">
      <alignment wrapText="1"/>
    </xf>
    <xf numFmtId="0" fontId="20" fillId="0" borderId="0" xfId="0" applyFont="1"/>
    <xf numFmtId="0" fontId="22" fillId="2" borderId="0" xfId="0" applyFont="1" applyFill="1" applyAlignment="1">
      <alignment wrapText="1"/>
    </xf>
    <xf numFmtId="0" fontId="24" fillId="19" borderId="0" xfId="0" applyFont="1" applyFill="1" applyAlignment="1">
      <alignment vertical="center"/>
    </xf>
    <xf numFmtId="0" fontId="28" fillId="15" borderId="0" xfId="0" applyFont="1" applyFill="1" applyAlignment="1">
      <alignment vertical="center"/>
    </xf>
    <xf numFmtId="0" fontId="29" fillId="20" borderId="0" xfId="0" applyFont="1" applyFill="1" applyAlignment="1">
      <alignment vertical="center"/>
    </xf>
    <xf numFmtId="0" fontId="24" fillId="16" borderId="0" xfId="0" applyFont="1" applyFill="1" applyAlignment="1">
      <alignment vertical="center"/>
    </xf>
    <xf numFmtId="0" fontId="31" fillId="23" borderId="0" xfId="0" applyFont="1" applyFill="1" applyAlignment="1">
      <alignment vertical="center" wrapText="1"/>
    </xf>
    <xf numFmtId="0" fontId="23" fillId="14" borderId="0" xfId="0" applyFont="1" applyFill="1" applyAlignment="1">
      <alignment vertical="center" wrapText="1"/>
    </xf>
    <xf numFmtId="0" fontId="24" fillId="19" borderId="0" xfId="0" applyFont="1" applyFill="1" applyAlignment="1">
      <alignment vertical="center" wrapText="1"/>
    </xf>
    <xf numFmtId="0" fontId="32" fillId="15" borderId="0" xfId="0" applyFont="1" applyFill="1" applyAlignment="1">
      <alignment vertical="center"/>
    </xf>
    <xf numFmtId="0" fontId="36" fillId="26" borderId="0" xfId="0" applyFont="1" applyFill="1" applyAlignment="1">
      <alignment vertical="center" wrapText="1"/>
    </xf>
    <xf numFmtId="0" fontId="18" fillId="15" borderId="0" xfId="0" applyFont="1" applyFill="1" applyAlignment="1">
      <alignment horizontal="center" vertical="center"/>
    </xf>
    <xf numFmtId="0" fontId="34" fillId="4" borderId="0" xfId="0" applyFont="1" applyFill="1" applyAlignment="1">
      <alignment horizontal="center" vertical="center"/>
    </xf>
    <xf numFmtId="0" fontId="24" fillId="19" borderId="0" xfId="0" applyFont="1" applyFill="1" applyAlignment="1">
      <alignment horizontal="left" vertical="center"/>
    </xf>
    <xf numFmtId="0" fontId="23" fillId="28" borderId="0" xfId="0" applyFont="1" applyFill="1" applyAlignment="1">
      <alignment vertical="center" wrapText="1"/>
    </xf>
    <xf numFmtId="0" fontId="35" fillId="25" borderId="0" xfId="0" applyFont="1" applyFill="1" applyAlignment="1">
      <alignment vertical="center" wrapText="1"/>
    </xf>
    <xf numFmtId="0" fontId="24" fillId="27" borderId="0" xfId="0" applyFont="1" applyFill="1" applyAlignment="1">
      <alignment vertical="center"/>
    </xf>
    <xf numFmtId="0" fontId="37" fillId="32" borderId="0" xfId="0" applyFont="1" applyFill="1" applyAlignment="1">
      <alignment wrapText="1"/>
    </xf>
    <xf numFmtId="0" fontId="18" fillId="15" borderId="0" xfId="0" applyFont="1" applyFill="1"/>
    <xf numFmtId="0" fontId="37" fillId="4" borderId="0" xfId="0" applyFont="1" applyFill="1"/>
    <xf numFmtId="0" fontId="17" fillId="29" borderId="0" xfId="0" applyFont="1" applyFill="1"/>
    <xf numFmtId="0" fontId="16" fillId="30" borderId="0" xfId="0" applyFont="1" applyFill="1" applyAlignment="1">
      <alignment wrapText="1"/>
    </xf>
    <xf numFmtId="0" fontId="17" fillId="15" borderId="0" xfId="0" applyFont="1" applyFill="1"/>
    <xf numFmtId="0" fontId="38" fillId="9" borderId="0" xfId="0" applyFont="1" applyFill="1"/>
    <xf numFmtId="0" fontId="23" fillId="9" borderId="0" xfId="0" applyFont="1" applyFill="1"/>
    <xf numFmtId="0" fontId="39" fillId="2" borderId="0" xfId="0" applyFont="1" applyFill="1"/>
    <xf numFmtId="0" fontId="23" fillId="2" borderId="0" xfId="0" applyFont="1" applyFill="1"/>
    <xf numFmtId="0" fontId="23" fillId="0" borderId="0" xfId="0" applyFont="1" applyAlignment="1">
      <alignment wrapText="1"/>
    </xf>
  </cellXfs>
  <cellStyles count="1">
    <cellStyle name="Normal" xfId="0" builtinId="0"/>
  </cellStyles>
  <dxfs count="8">
    <dxf>
      <font>
        <color rgb="FF205522"/>
      </font>
      <fill>
        <patternFill patternType="solid">
          <fgColor indexed="64"/>
          <bgColor rgb="FFD7EAD3"/>
        </patternFill>
      </fill>
    </dxf>
    <dxf>
      <font>
        <color rgb="FF17324D"/>
      </font>
      <fill>
        <patternFill patternType="solid">
          <fgColor indexed="64"/>
          <bgColor rgb="FFDCEAF7"/>
        </patternFill>
      </fill>
    </dxf>
    <dxf>
      <font>
        <color rgb="FF9C2F25"/>
      </font>
      <fill>
        <patternFill patternType="solid">
          <fgColor indexed="64"/>
          <bgColor rgb="FFFCE0DD"/>
        </patternFill>
      </fill>
    </dxf>
    <dxf>
      <font>
        <color rgb="FF205522"/>
      </font>
      <fill>
        <patternFill patternType="solid">
          <fgColor indexed="64"/>
          <bgColor rgb="FFD7EAD3"/>
        </patternFill>
      </fill>
    </dxf>
    <dxf>
      <font>
        <color rgb="FF9C0006"/>
      </font>
      <fill>
        <patternFill patternType="solid">
          <fgColor indexed="64"/>
          <bgColor rgb="FFFFC7CE"/>
        </patternFill>
      </fill>
    </dxf>
    <dxf>
      <font>
        <color rgb="FF1B5E20"/>
      </font>
      <fill>
        <patternFill patternType="solid">
          <fgColor indexed="64"/>
          <bgColor rgb="FFE2F0D9"/>
        </patternFill>
      </fill>
    </dxf>
    <dxf>
      <font>
        <color rgb="FF9C0006"/>
      </font>
      <fill>
        <patternFill patternType="solid">
          <fgColor indexed="64"/>
          <bgColor rgb="FFFFC7CE"/>
        </patternFill>
      </fill>
    </dxf>
    <dxf>
      <font>
        <color rgb="FF1B5E20"/>
      </font>
      <fill>
        <patternFill patternType="solid">
          <fgColor indexed="64"/>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Selected Scenario — Closing Balance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'Loan Prepayment'!$H$64:$H$93</c:f>
              <c:strCache>
                <c:ptCount val="30"/>
                <c:pt idx="0">
                  <c:v>Closing Balance</c:v>
                </c:pt>
                <c:pt idx="1">
                  <c:v>₹92,75,681</c:v>
                </c:pt>
                <c:pt idx="2">
                  <c:v>₹90,46,312</c:v>
                </c:pt>
                <c:pt idx="3">
                  <c:v>₹82,99,136</c:v>
                </c:pt>
                <c:pt idx="4">
                  <c:v>₹80,47,908</c:v>
                </c:pt>
                <c:pt idx="5">
                  <c:v>₹72,77,176</c:v>
                </c:pt>
                <c:pt idx="6">
                  <c:v>₹69,30,460</c:v>
                </c:pt>
                <c:pt idx="7">
                  <c:v>₹65,60,524</c:v>
                </c:pt>
                <c:pt idx="8">
                  <c:v>₹61,65,813</c:v>
                </c:pt>
                <c:pt idx="9">
                  <c:v>₹57,44,667</c:v>
                </c:pt>
                <c:pt idx="10">
                  <c:v>₹52,95,316</c:v>
                </c:pt>
                <c:pt idx="11">
                  <c:v>₹48,15,872</c:v>
                </c:pt>
                <c:pt idx="12">
                  <c:v>₹43,04,318</c:v>
                </c:pt>
                <c:pt idx="13">
                  <c:v>₹37,58,504</c:v>
                </c:pt>
                <c:pt idx="14">
                  <c:v>₹31,76,137</c:v>
                </c:pt>
                <c:pt idx="15">
                  <c:v>₹25,54,767</c:v>
                </c:pt>
                <c:pt idx="16">
                  <c:v>₹18,91,782</c:v>
                </c:pt>
                <c:pt idx="17">
                  <c:v>₹11,84,397</c:v>
                </c:pt>
                <c:pt idx="18">
                  <c:v>₹4,29,637</c:v>
                </c:pt>
                <c:pt idx="19">
                  <c:v>₹0</c:v>
                </c:pt>
              </c:strCache>
            </c:strRef>
          </c:tx>
          <c:spPr>
            <a:ln w="28575" cap="rnd">
              <a:solidFill>
                <a:schemeClr val="accent1"/>
              </a:solidFill>
              <a:round/>
            </a:ln>
            <a:effectLst/>
          </c:spPr>
          <c:marker>
            <c:symbol val="none"/>
          </c:marker>
          <c:cat>
            <c:numRef>
              <c:f>'Loan Prepayment'!$A$65:$A$94</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'Loan Prepayment'!$H$94</c:f>
              <c:numCache>
                <c:formatCode>\₹#,##0;[Red]\(\₹#,##0\)</c:formatCode>
                <c:ptCount val="1"/>
                <c:pt idx="0">
                  <c:v>0</c:v>
                </c:pt>
              </c:numCache>
            </c:numRef>
          </c:val>
          <c:smooth val="0"/>
          <c:extLst>
            <c:ext xmlns:c16="http://schemas.microsoft.com/office/drawing/2014/chart" uri="{C3380CC4-5D6E-409C-BE32-E72D297353CC}">
              <c16:uniqueId val="{00000000-CA35-4FF6-92CF-4BA9B78D74E5}"/>
            </c:ext>
          </c:extLst>
        </c:ser>
        <c:dLbls>
          <c:showLegendKey val="0"/>
          <c:showVal val="0"/>
          <c:showCatName val="0"/>
          <c:showSerName val="0"/>
          <c:showPercent val="0"/>
          <c:showBubbleSize val="0"/>
        </c:dLbls>
        <c:smooth val="0"/>
        <c:axId val="452150799"/>
        <c:axId val="245231439"/>
      </c:lineChart>
      <c:catAx>
        <c:axId val="452150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31439"/>
        <c:crosses val="autoZero"/>
        <c:auto val="1"/>
        <c:lblAlgn val="ctr"/>
        <c:lblOffset val="100"/>
        <c:noMultiLvlLbl val="0"/>
      </c:catAx>
      <c:valAx>
        <c:axId val="24523143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Outstanding balance (₹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5079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Post-Tax Corpus vs Inflation-Adjusted Goal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Post-Tax Corpus</c:v>
          </c:tx>
          <c:spPr>
            <a:ln w="28575" cap="rnd">
              <a:solidFill>
                <a:schemeClr val="accent1"/>
              </a:solidFill>
              <a:round/>
            </a:ln>
            <a:effectLst/>
          </c:spPr>
          <c:marker>
            <c:symbol val="none"/>
          </c:marker>
          <c:cat>
            <c:numRef>
              <c:f>'Step-Up SIP Goal'!$A$18:$A$47</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'Step-Up SIP Goal'!$I$18:$I$47</c:f>
              <c:numCache>
                <c:formatCode>\₹#,##0;[Red]\(\₹#,##0\)</c:formatCode>
                <c:ptCount val="30"/>
                <c:pt idx="0">
                  <c:v>224742.56426341389</c:v>
                </c:pt>
                <c:pt idx="1">
                  <c:v>500462.36743781279</c:v>
                </c:pt>
                <c:pt idx="2">
                  <c:v>834996.19291810656</c:v>
                </c:pt>
                <c:pt idx="3">
                  <c:v>1224874.6452757344</c:v>
                </c:pt>
                <c:pt idx="4">
                  <c:v>1689424.4732501251</c:v>
                </c:pt>
                <c:pt idx="5">
                  <c:v>2240638.3792187404</c:v>
                </c:pt>
                <c:pt idx="6">
                  <c:v>2892282.2906909138</c:v>
                </c:pt>
                <c:pt idx="7">
                  <c:v>3660145.474667781</c:v>
                </c:pt>
                <c:pt idx="8">
                  <c:v>4562324.8952663578</c:v>
                </c:pt>
                <c:pt idx="9">
                  <c:v>5619548.4097610665</c:v>
                </c:pt>
                <c:pt idx="10">
                  <c:v>6855542.0062014954</c:v>
                </c:pt>
                <c:pt idx="11">
                  <c:v>8297446.9734034743</c:v>
                </c:pt>
                <c:pt idx="12">
                  <c:v>9976293.6717333607</c:v>
                </c:pt>
                <c:pt idx="13">
                  <c:v>11927539.45240248</c:v>
                </c:pt>
                <c:pt idx="14">
                  <c:v>14191679.267160084</c:v>
                </c:pt>
                <c:pt idx="15">
                  <c:v>16814938.634223584</c:v>
                </c:pt>
                <c:pt idx="16">
                  <c:v>19850059.896842781</c:v>
                </c:pt>
                <c:pt idx="17">
                  <c:v>23357194.147060126</c:v>
                </c:pt>
                <c:pt idx="18">
                  <c:v>27404912.810451668</c:v>
                </c:pt>
                <c:pt idx="19">
                  <c:v>32071354.722128443</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5D14-4F59-BF6D-D9A0EF303117}"/>
            </c:ext>
          </c:extLst>
        </c:ser>
        <c:ser>
          <c:idx val="1"/>
          <c:order val="1"/>
          <c:tx>
            <c:v>Inflation-Adjusted Goal</c:v>
          </c:tx>
          <c:spPr>
            <a:ln w="28575" cap="rnd">
              <a:solidFill>
                <a:schemeClr val="accent2"/>
              </a:solidFill>
              <a:round/>
            </a:ln>
            <a:effectLst/>
          </c:spPr>
          <c:marker>
            <c:symbol val="none"/>
          </c:marker>
          <c:cat>
            <c:numRef>
              <c:f>'Step-Up SIP Goal'!$A$18:$A$47</c:f>
              <c:numCache>
                <c:formatCode>0</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'Step-Up SIP Goal'!$K$18:$K$47</c:f>
              <c:numCache>
                <c:formatCode>\₹#,##0;[Red]\(\₹#,##0\)</c:formatCode>
                <c:ptCount val="30"/>
                <c:pt idx="0">
                  <c:v>10600000</c:v>
                </c:pt>
                <c:pt idx="1">
                  <c:v>11236000.000000002</c:v>
                </c:pt>
                <c:pt idx="2">
                  <c:v>11910160.000000004</c:v>
                </c:pt>
                <c:pt idx="3">
                  <c:v>12624769.600000003</c:v>
                </c:pt>
                <c:pt idx="4">
                  <c:v>13382255.776000004</c:v>
                </c:pt>
                <c:pt idx="5">
                  <c:v>14185191.122560006</c:v>
                </c:pt>
                <c:pt idx="6">
                  <c:v>15036302.589913609</c:v>
                </c:pt>
                <c:pt idx="7">
                  <c:v>15938480.745308423</c:v>
                </c:pt>
                <c:pt idx="8">
                  <c:v>16894789.59002693</c:v>
                </c:pt>
                <c:pt idx="9">
                  <c:v>17908476.965428546</c:v>
                </c:pt>
                <c:pt idx="10">
                  <c:v>18982985.583354261</c:v>
                </c:pt>
                <c:pt idx="11">
                  <c:v>20121964.718355518</c:v>
                </c:pt>
                <c:pt idx="12">
                  <c:v>21329282.601456851</c:v>
                </c:pt>
                <c:pt idx="13">
                  <c:v>22609039.557544261</c:v>
                </c:pt>
                <c:pt idx="14">
                  <c:v>23965581.930996925</c:v>
                </c:pt>
                <c:pt idx="15">
                  <c:v>25403516.846856732</c:v>
                </c:pt>
                <c:pt idx="16">
                  <c:v>26927727.857668139</c:v>
                </c:pt>
                <c:pt idx="17">
                  <c:v>28543391.529128227</c:v>
                </c:pt>
                <c:pt idx="18">
                  <c:v>30255995.020875927</c:v>
                </c:pt>
                <c:pt idx="19">
                  <c:v>32071354.722128481</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5D14-4F59-BF6D-D9A0EF303117}"/>
            </c:ext>
          </c:extLst>
        </c:ser>
        <c:dLbls>
          <c:showLegendKey val="0"/>
          <c:showVal val="0"/>
          <c:showCatName val="0"/>
          <c:showSerName val="0"/>
          <c:showPercent val="0"/>
          <c:showBubbleSize val="0"/>
        </c:dLbls>
        <c:smooth val="0"/>
        <c:axId val="521449983"/>
        <c:axId val="245242479"/>
      </c:lineChart>
      <c:catAx>
        <c:axId val="521449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42479"/>
        <c:crosses val="autoZero"/>
        <c:auto val="1"/>
        <c:lblAlgn val="ctr"/>
        <c:lblOffset val="100"/>
        <c:noMultiLvlLbl val="0"/>
      </c:catAx>
      <c:valAx>
        <c:axId val="24524247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Value (₹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4998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a:t>Post-Tax Liquid Wealth at Loan-Tenure End</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Post-Tax Wealth</c:v>
          </c:tx>
          <c:spPr>
            <a:solidFill>
              <a:schemeClr val="accent1"/>
            </a:solidFill>
            <a:ln>
              <a:noFill/>
            </a:ln>
            <a:effectLst/>
          </c:spPr>
          <c:invertIfNegative val="0"/>
          <c:dPt>
            <c:idx val="0"/>
            <c:invertIfNegative val="0"/>
            <c:bubble3D val="0"/>
            <c:spPr>
              <a:solidFill>
                <a:srgbClr val="2E5B88"/>
              </a:solidFill>
              <a:ln>
                <a:noFill/>
              </a:ln>
              <a:effectLst/>
            </c:spPr>
            <c:extLst>
              <c:ext xmlns:c16="http://schemas.microsoft.com/office/drawing/2014/chart" uri="{C3380CC4-5D6E-409C-BE32-E72D297353CC}">
                <c16:uniqueId val="{00000001-54CA-4ADA-BFE4-85017B0338A8}"/>
              </c:ext>
            </c:extLst>
          </c:dPt>
          <c:dPt>
            <c:idx val="1"/>
            <c:invertIfNegative val="0"/>
            <c:bubble3D val="0"/>
            <c:spPr>
              <a:solidFill>
                <a:srgbClr val="0F6B78"/>
              </a:solidFill>
              <a:ln>
                <a:noFill/>
              </a:ln>
              <a:effectLst/>
            </c:spPr>
            <c:extLst>
              <c:ext xmlns:c16="http://schemas.microsoft.com/office/drawing/2014/chart" uri="{C3380CC4-5D6E-409C-BE32-E72D297353CC}">
                <c16:uniqueId val="{00000002-54CA-4ADA-BFE4-85017B0338A8}"/>
              </c:ext>
            </c:extLst>
          </c:dPt>
          <c:dPt>
            <c:idx val="2"/>
            <c:invertIfNegative val="0"/>
            <c:bubble3D val="0"/>
            <c:spPr>
              <a:solidFill>
                <a:srgbClr val="D49A28"/>
              </a:solidFill>
              <a:ln>
                <a:noFill/>
              </a:ln>
              <a:effectLst/>
            </c:spPr>
            <c:extLst>
              <c:ext xmlns:c16="http://schemas.microsoft.com/office/drawing/2014/chart" uri="{C3380CC4-5D6E-409C-BE32-E72D297353CC}">
                <c16:uniqueId val="{00000003-54CA-4ADA-BFE4-85017B0338A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'Prepay vs Invest'!$D$7:$D$9</c:f>
              <c:strCache>
                <c:ptCount val="3"/>
                <c:pt idx="0">
                  <c:v>Invest Surplus: Post-Tax Wealth</c:v>
                </c:pt>
                <c:pt idx="1">
                  <c:v>Prepay — Reduce Tenure: Liquid Wealth</c:v>
                </c:pt>
                <c:pt idx="2">
                  <c:v>Prepay — Reduce EMI: Liquid Wealth</c:v>
                </c:pt>
              </c:strCache>
            </c:strRef>
          </c:cat>
          <c:val>
            <c:numRef>
              <c:f>'Prepay vs Invest'!$E$7:$E$9</c:f>
              <c:numCache>
                <c:formatCode>\₹#,##0</c:formatCode>
                <c:ptCount val="3"/>
                <c:pt idx="0">
                  <c:v>12322162.184301388</c:v>
                </c:pt>
                <c:pt idx="1">
                  <c:v>8289116.710812198</c:v>
                </c:pt>
                <c:pt idx="2">
                  <c:v>10096414.292595878</c:v>
                </c:pt>
              </c:numCache>
            </c:numRef>
          </c:val>
          <c:extLst>
            <c:ext xmlns:c16="http://schemas.microsoft.com/office/drawing/2014/chart" uri="{C3380CC4-5D6E-409C-BE32-E72D297353CC}">
              <c16:uniqueId val="{00000000-54CA-4ADA-BFE4-85017B0338A8}"/>
            </c:ext>
          </c:extLst>
        </c:ser>
        <c:dLbls>
          <c:showLegendKey val="0"/>
          <c:showVal val="0"/>
          <c:showCatName val="0"/>
          <c:showSerName val="0"/>
          <c:showPercent val="0"/>
          <c:showBubbleSize val="0"/>
        </c:dLbls>
        <c:gapWidth val="182"/>
        <c:axId val="1054224495"/>
        <c:axId val="1046757455"/>
      </c:barChart>
      <c:catAx>
        <c:axId val="105422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57455"/>
        <c:crosses val="autoZero"/>
        <c:auto val="1"/>
        <c:lblAlgn val="ctr"/>
        <c:lblOffset val="100"/>
        <c:noMultiLvlLbl val="0"/>
      </c:catAx>
      <c:valAx>
        <c:axId val="1046757455"/>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224495"/>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Available Corpus vs Required Path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Projected Available Corpus</c:v>
          </c:tx>
          <c:spPr>
            <a:ln w="28575" cap="rnd">
              <a:solidFill>
                <a:schemeClr val="accent1"/>
              </a:solidFill>
              <a:round/>
            </a:ln>
            <a:effectLst/>
          </c:spPr>
          <c:marker>
            <c:symbol val="none"/>
          </c:marker>
          <c:cat>
            <c:strRef>
              <c:f>'Retirement SWP'!$A$21:$A$60</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'Retirement SWP'!$G$60</c:f>
              <c:numCache>
                <c:formatCode>\₹#,##0</c:formatCode>
                <c:ptCount val="1"/>
                <c:pt idx="0">
                  <c:v>0</c:v>
                </c:pt>
              </c:numCache>
            </c:numRef>
          </c:val>
          <c:smooth val="0"/>
          <c:extLst>
            <c:ext xmlns:c16="http://schemas.microsoft.com/office/drawing/2014/chart" uri="{C3380CC4-5D6E-409C-BE32-E72D297353CC}">
              <c16:uniqueId val="{00000000-8C19-4118-AE2C-D74BEA5707A1}"/>
            </c:ext>
          </c:extLst>
        </c:ser>
        <c:ser>
          <c:idx val="1"/>
          <c:order val="1"/>
          <c:tx>
            <c:v>Required Corpus Path</c:v>
          </c:tx>
          <c:spPr>
            <a:ln w="28575" cap="rnd">
              <a:solidFill>
                <a:schemeClr val="accent2"/>
              </a:solidFill>
              <a:round/>
            </a:ln>
            <a:effectLst/>
          </c:spPr>
          <c:marker>
            <c:symbol val="none"/>
          </c:marker>
          <c:cat>
            <c:strRef>
              <c:f>'Retirement SWP'!$A$21:$A$60</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'Retirement SWP'!$J$21:$J$60</c:f>
              <c:numCache>
                <c:formatCode>\₹#,##0</c:formatCode>
                <c:ptCount val="40"/>
                <c:pt idx="0">
                  <c:v>104052131.55814035</c:v>
                </c:pt>
                <c:pt idx="1">
                  <c:v>106970741.1041096</c:v>
                </c:pt>
                <c:pt idx="2">
                  <c:v>109831750.93851067</c:v>
                </c:pt>
                <c:pt idx="3">
                  <c:v>112615414.93874662</c:v>
                </c:pt>
                <c:pt idx="4">
                  <c:v>115299661.90507148</c:v>
                </c:pt>
                <c:pt idx="5">
                  <c:v>117859876.23427586</c:v>
                </c:pt>
                <c:pt idx="6">
                  <c:v>120268659.84627549</c:v>
                </c:pt>
                <c:pt idx="7">
                  <c:v>122495573.84765112</c:v>
                </c:pt>
                <c:pt idx="8">
                  <c:v>124506858.29785123</c:v>
                </c:pt>
                <c:pt idx="9">
                  <c:v>126265128.31641723</c:v>
                </c:pt>
                <c:pt idx="10">
                  <c:v>127729044.63254581</c:v>
                </c:pt>
                <c:pt idx="11">
                  <c:v>128852956.53084216</c:v>
                </c:pt>
                <c:pt idx="12">
                  <c:v>129586514.98846035</c:v>
                </c:pt>
                <c:pt idx="13">
                  <c:v>129874253.62813936</c:v>
                </c:pt>
                <c:pt idx="14">
                  <c:v>129655134.92802511</c:v>
                </c:pt>
                <c:pt idx="15">
                  <c:v>128862058.93165782</c:v>
                </c:pt>
                <c:pt idx="16">
                  <c:v>127421331.48906507</c:v>
                </c:pt>
                <c:pt idx="17">
                  <c:v>125252088.8314223</c:v>
                </c:pt>
                <c:pt idx="18">
                  <c:v>122265675.0360319</c:v>
                </c:pt>
                <c:pt idx="19">
                  <c:v>118364968.67414877</c:v>
                </c:pt>
                <c:pt idx="20">
                  <c:v>113443654.6500695</c:v>
                </c:pt>
                <c:pt idx="21">
                  <c:v>107385436.93442851</c:v>
                </c:pt>
                <c:pt idx="22">
                  <c:v>100063187.56622389</c:v>
                </c:pt>
                <c:pt idx="23">
                  <c:v>91338026.945028052</c:v>
                </c:pt>
                <c:pt idx="24">
                  <c:v>81058330.055298626</c:v>
                </c:pt>
                <c:pt idx="25">
                  <c:v>69058652.856735259</c:v>
                </c:pt>
                <c:pt idx="26">
                  <c:v>55158572.636126392</c:v>
                </c:pt>
                <c:pt idx="27">
                  <c:v>39161435.644840084</c:v>
                </c:pt>
                <c:pt idx="28">
                  <c:v>20853004.83961482</c:v>
                </c:pt>
                <c:pt idx="29">
                  <c:v>1.9412115216255189E-6</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8C19-4118-AE2C-D74BEA5707A1}"/>
            </c:ext>
          </c:extLst>
        </c:ser>
        <c:dLbls>
          <c:showLegendKey val="0"/>
          <c:showVal val="0"/>
          <c:showCatName val="0"/>
          <c:showSerName val="0"/>
          <c:showPercent val="0"/>
          <c:showBubbleSize val="0"/>
        </c:dLbls>
        <c:smooth val="0"/>
        <c:axId val="1122526143"/>
        <c:axId val="1046786255"/>
      </c:lineChart>
      <c:catAx>
        <c:axId val="112252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Retirement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86255"/>
        <c:crosses val="autoZero"/>
        <c:auto val="1"/>
        <c:lblAlgn val="ctr"/>
        <c:lblOffset val="100"/>
        <c:tickLblSkip val="2"/>
        <c:noMultiLvlLbl val="0"/>
      </c:catAx>
      <c:valAx>
        <c:axId val="104678625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Corpus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261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Emergency Fund Build-Up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Projected Fund</c:v>
          </c:tx>
          <c:spPr>
            <a:ln w="28575" cap="rnd">
              <a:solidFill>
                <a:schemeClr val="accent1"/>
              </a:solidFill>
              <a:round/>
            </a:ln>
            <a:effectLst/>
          </c:spPr>
          <c:marker>
            <c:symbol val="none"/>
          </c:marker>
          <c:cat>
            <c:numRef>
              <c:f>'Emergency Fund'!$A$25:$A$84</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'Emergency Fund'!$E$25:$E$84</c:f>
              <c:numCache>
                <c:formatCode>\₹#,##0</c:formatCode>
                <c:ptCount val="60"/>
                <c:pt idx="0">
                  <c:v>225666.66666666666</c:v>
                </c:pt>
                <c:pt idx="1">
                  <c:v>251418.88888888888</c:v>
                </c:pt>
                <c:pt idx="2">
                  <c:v>277256.95185185183</c:v>
                </c:pt>
                <c:pt idx="3">
                  <c:v>303181.141691358</c:v>
                </c:pt>
                <c:pt idx="4">
                  <c:v>329191.74549699586</c:v>
                </c:pt>
                <c:pt idx="5">
                  <c:v>355289.0513153192</c:v>
                </c:pt>
                <c:pt idx="6">
                  <c:v>381473.3481530369</c:v>
                </c:pt>
                <c:pt idx="7">
                  <c:v>407744.92598021368</c:v>
                </c:pt>
                <c:pt idx="8">
                  <c:v>434104.07573348103</c:v>
                </c:pt>
                <c:pt idx="9">
                  <c:v>460551.08931925928</c:v>
                </c:pt>
                <c:pt idx="10">
                  <c:v>487086.25961699017</c:v>
                </c:pt>
                <c:pt idx="11">
                  <c:v>513709.88048238016</c:v>
                </c:pt>
                <c:pt idx="12">
                  <c:v>540422.24675065477</c:v>
                </c:pt>
                <c:pt idx="13">
                  <c:v>567223.65423982358</c:v>
                </c:pt>
                <c:pt idx="14">
                  <c:v>594114.39975395636</c:v>
                </c:pt>
                <c:pt idx="15">
                  <c:v>621094.78108646953</c:v>
                </c:pt>
                <c:pt idx="16">
                  <c:v>648165.09702342446</c:v>
                </c:pt>
                <c:pt idx="17">
                  <c:v>665000</c:v>
                </c:pt>
                <c:pt idx="18">
                  <c:v>665000</c:v>
                </c:pt>
                <c:pt idx="19">
                  <c:v>665000</c:v>
                </c:pt>
                <c:pt idx="20">
                  <c:v>665000</c:v>
                </c:pt>
                <c:pt idx="21">
                  <c:v>665000</c:v>
                </c:pt>
                <c:pt idx="22">
                  <c:v>665000</c:v>
                </c:pt>
                <c:pt idx="23">
                  <c:v>665000</c:v>
                </c:pt>
                <c:pt idx="24">
                  <c:v>665000</c:v>
                </c:pt>
                <c:pt idx="25">
                  <c:v>665000</c:v>
                </c:pt>
                <c:pt idx="26">
                  <c:v>665000</c:v>
                </c:pt>
                <c:pt idx="27">
                  <c:v>665000</c:v>
                </c:pt>
                <c:pt idx="28">
                  <c:v>665000</c:v>
                </c:pt>
                <c:pt idx="29">
                  <c:v>665000</c:v>
                </c:pt>
                <c:pt idx="30">
                  <c:v>665000</c:v>
                </c:pt>
                <c:pt idx="31">
                  <c:v>665000</c:v>
                </c:pt>
                <c:pt idx="32">
                  <c:v>665000</c:v>
                </c:pt>
                <c:pt idx="33">
                  <c:v>665000</c:v>
                </c:pt>
                <c:pt idx="34">
                  <c:v>665000</c:v>
                </c:pt>
                <c:pt idx="35">
                  <c:v>665000</c:v>
                </c:pt>
                <c:pt idx="36">
                  <c:v>665000</c:v>
                </c:pt>
                <c:pt idx="37">
                  <c:v>665000</c:v>
                </c:pt>
                <c:pt idx="38">
                  <c:v>665000</c:v>
                </c:pt>
                <c:pt idx="39">
                  <c:v>665000</c:v>
                </c:pt>
                <c:pt idx="40">
                  <c:v>665000</c:v>
                </c:pt>
                <c:pt idx="41">
                  <c:v>665000</c:v>
                </c:pt>
                <c:pt idx="42">
                  <c:v>665000</c:v>
                </c:pt>
                <c:pt idx="43">
                  <c:v>665000</c:v>
                </c:pt>
                <c:pt idx="44">
                  <c:v>665000</c:v>
                </c:pt>
                <c:pt idx="45">
                  <c:v>665000</c:v>
                </c:pt>
                <c:pt idx="46">
                  <c:v>665000</c:v>
                </c:pt>
                <c:pt idx="47">
                  <c:v>665000</c:v>
                </c:pt>
                <c:pt idx="48">
                  <c:v>665000</c:v>
                </c:pt>
                <c:pt idx="49">
                  <c:v>665000</c:v>
                </c:pt>
                <c:pt idx="50">
                  <c:v>665000</c:v>
                </c:pt>
                <c:pt idx="51">
                  <c:v>665000</c:v>
                </c:pt>
                <c:pt idx="52">
                  <c:v>665000</c:v>
                </c:pt>
                <c:pt idx="53">
                  <c:v>665000</c:v>
                </c:pt>
                <c:pt idx="54">
                  <c:v>665000</c:v>
                </c:pt>
                <c:pt idx="55">
                  <c:v>665000</c:v>
                </c:pt>
                <c:pt idx="56">
                  <c:v>665000</c:v>
                </c:pt>
                <c:pt idx="57">
                  <c:v>665000</c:v>
                </c:pt>
                <c:pt idx="58">
                  <c:v>665000</c:v>
                </c:pt>
                <c:pt idx="59">
                  <c:v>665000</c:v>
                </c:pt>
              </c:numCache>
            </c:numRef>
          </c:val>
          <c:smooth val="0"/>
          <c:extLst>
            <c:ext xmlns:c16="http://schemas.microsoft.com/office/drawing/2014/chart" uri="{C3380CC4-5D6E-409C-BE32-E72D297353CC}">
              <c16:uniqueId val="{00000000-6EBC-418D-84A0-18632665582E}"/>
            </c:ext>
          </c:extLst>
        </c:ser>
        <c:ser>
          <c:idx val="1"/>
          <c:order val="1"/>
          <c:tx>
            <c:v>Target Fund</c:v>
          </c:tx>
          <c:spPr>
            <a:ln w="28575" cap="rnd">
              <a:solidFill>
                <a:schemeClr val="accent2"/>
              </a:solidFill>
              <a:round/>
            </a:ln>
            <a:effectLst/>
          </c:spPr>
          <c:marker>
            <c:symbol val="none"/>
          </c:marker>
          <c:cat>
            <c:numRef>
              <c:f>'Emergency Fund'!$A$25:$A$84</c:f>
              <c:numCache>
                <c:formatCode>General</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'Emergency Fund'!$F$25:$F$84</c:f>
              <c:numCache>
                <c:formatCode>\₹#,##0</c:formatCode>
                <c:ptCount val="60"/>
                <c:pt idx="0">
                  <c:v>665000</c:v>
                </c:pt>
                <c:pt idx="1">
                  <c:v>665000</c:v>
                </c:pt>
                <c:pt idx="2">
                  <c:v>665000</c:v>
                </c:pt>
                <c:pt idx="3">
                  <c:v>665000</c:v>
                </c:pt>
                <c:pt idx="4">
                  <c:v>665000</c:v>
                </c:pt>
                <c:pt idx="5">
                  <c:v>665000</c:v>
                </c:pt>
                <c:pt idx="6">
                  <c:v>665000</c:v>
                </c:pt>
                <c:pt idx="7">
                  <c:v>665000</c:v>
                </c:pt>
                <c:pt idx="8">
                  <c:v>665000</c:v>
                </c:pt>
                <c:pt idx="9">
                  <c:v>665000</c:v>
                </c:pt>
                <c:pt idx="10">
                  <c:v>665000</c:v>
                </c:pt>
                <c:pt idx="11">
                  <c:v>665000</c:v>
                </c:pt>
                <c:pt idx="12">
                  <c:v>665000</c:v>
                </c:pt>
                <c:pt idx="13">
                  <c:v>665000</c:v>
                </c:pt>
                <c:pt idx="14">
                  <c:v>665000</c:v>
                </c:pt>
                <c:pt idx="15">
                  <c:v>665000</c:v>
                </c:pt>
                <c:pt idx="16">
                  <c:v>665000</c:v>
                </c:pt>
                <c:pt idx="17">
                  <c:v>665000</c:v>
                </c:pt>
                <c:pt idx="18">
                  <c:v>665000</c:v>
                </c:pt>
                <c:pt idx="19">
                  <c:v>665000</c:v>
                </c:pt>
                <c:pt idx="20">
                  <c:v>665000</c:v>
                </c:pt>
                <c:pt idx="21">
                  <c:v>665000</c:v>
                </c:pt>
                <c:pt idx="22">
                  <c:v>665000</c:v>
                </c:pt>
                <c:pt idx="23">
                  <c:v>665000</c:v>
                </c:pt>
                <c:pt idx="24">
                  <c:v>665000</c:v>
                </c:pt>
                <c:pt idx="25">
                  <c:v>665000</c:v>
                </c:pt>
                <c:pt idx="26">
                  <c:v>665000</c:v>
                </c:pt>
                <c:pt idx="27">
                  <c:v>665000</c:v>
                </c:pt>
                <c:pt idx="28">
                  <c:v>665000</c:v>
                </c:pt>
                <c:pt idx="29">
                  <c:v>665000</c:v>
                </c:pt>
                <c:pt idx="30">
                  <c:v>665000</c:v>
                </c:pt>
                <c:pt idx="31">
                  <c:v>665000</c:v>
                </c:pt>
                <c:pt idx="32">
                  <c:v>665000</c:v>
                </c:pt>
                <c:pt idx="33">
                  <c:v>665000</c:v>
                </c:pt>
                <c:pt idx="34">
                  <c:v>665000</c:v>
                </c:pt>
                <c:pt idx="35">
                  <c:v>665000</c:v>
                </c:pt>
                <c:pt idx="36">
                  <c:v>665000</c:v>
                </c:pt>
                <c:pt idx="37">
                  <c:v>665000</c:v>
                </c:pt>
                <c:pt idx="38">
                  <c:v>665000</c:v>
                </c:pt>
                <c:pt idx="39">
                  <c:v>665000</c:v>
                </c:pt>
                <c:pt idx="40">
                  <c:v>665000</c:v>
                </c:pt>
                <c:pt idx="41">
                  <c:v>665000</c:v>
                </c:pt>
                <c:pt idx="42">
                  <c:v>665000</c:v>
                </c:pt>
                <c:pt idx="43">
                  <c:v>665000</c:v>
                </c:pt>
                <c:pt idx="44">
                  <c:v>665000</c:v>
                </c:pt>
                <c:pt idx="45">
                  <c:v>665000</c:v>
                </c:pt>
                <c:pt idx="46">
                  <c:v>665000</c:v>
                </c:pt>
                <c:pt idx="47">
                  <c:v>665000</c:v>
                </c:pt>
                <c:pt idx="48">
                  <c:v>665000</c:v>
                </c:pt>
                <c:pt idx="49">
                  <c:v>665000</c:v>
                </c:pt>
                <c:pt idx="50">
                  <c:v>665000</c:v>
                </c:pt>
                <c:pt idx="51">
                  <c:v>665000</c:v>
                </c:pt>
                <c:pt idx="52">
                  <c:v>665000</c:v>
                </c:pt>
                <c:pt idx="53">
                  <c:v>665000</c:v>
                </c:pt>
                <c:pt idx="54">
                  <c:v>665000</c:v>
                </c:pt>
                <c:pt idx="55">
                  <c:v>665000</c:v>
                </c:pt>
                <c:pt idx="56">
                  <c:v>665000</c:v>
                </c:pt>
                <c:pt idx="57">
                  <c:v>665000</c:v>
                </c:pt>
                <c:pt idx="58">
                  <c:v>665000</c:v>
                </c:pt>
                <c:pt idx="59">
                  <c:v>665000</c:v>
                </c:pt>
              </c:numCache>
            </c:numRef>
          </c:val>
          <c:smooth val="0"/>
          <c:extLst>
            <c:ext xmlns:c16="http://schemas.microsoft.com/office/drawing/2014/chart" uri="{C3380CC4-5D6E-409C-BE32-E72D297353CC}">
              <c16:uniqueId val="{00000001-6EBC-418D-84A0-18632665582E}"/>
            </c:ext>
          </c:extLst>
        </c:ser>
        <c:dLbls>
          <c:showLegendKey val="0"/>
          <c:showVal val="0"/>
          <c:showCatName val="0"/>
          <c:showSerName val="0"/>
          <c:showPercent val="0"/>
          <c:showBubbleSize val="0"/>
        </c:dLbls>
        <c:smooth val="0"/>
        <c:axId val="1122704783"/>
        <c:axId val="1046788175"/>
      </c:lineChart>
      <c:catAx>
        <c:axId val="112270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88175"/>
        <c:crosses val="autoZero"/>
        <c:auto val="1"/>
        <c:lblAlgn val="ctr"/>
        <c:lblOffset val="100"/>
        <c:tickLblSkip val="3"/>
        <c:noMultiLvlLbl val="0"/>
      </c:catAx>
      <c:valAx>
        <c:axId val="1046788175"/>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Fund Value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04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a:t>Monthly Cash-Flow Capacity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endParaRPr lang="en-US"/>
        </a:p>
      </c:txPr>
    </c:title>
    <c:autoTitleDeleted val="0"/>
    <c:plotArea>
      <c:layout/>
      <c:barChart>
        <c:barDir val="col"/>
        <c:grouping val="clustered"/>
        <c:varyColors val="0"/>
        <c:ser>
          <c:idx val="0"/>
          <c:order val="0"/>
          <c:tx>
            <c:v>Amount (₹)</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Worth &amp; Cash Flow'!$D$28:$D$30</c:f>
              <c:strCache>
                <c:ptCount val="2"/>
                <c:pt idx="0">
                  <c:v>Outgo</c:v>
                </c:pt>
                <c:pt idx="1">
                  <c:v>Surplus</c:v>
                </c:pt>
              </c:strCache>
            </c:strRef>
          </c:cat>
          <c:val>
            <c:numRef>
              <c:f>'Net Worth &amp; Cash Flow'!$E$28:$E$30</c:f>
              <c:numCache>
                <c:formatCode>General</c:formatCode>
                <c:ptCount val="3"/>
                <c:pt idx="0">
                  <c:v>160000</c:v>
                </c:pt>
                <c:pt idx="1">
                  <c:v>60000</c:v>
                </c:pt>
              </c:numCache>
            </c:numRef>
          </c:val>
          <c:extLst>
            <c:ext xmlns:c16="http://schemas.microsoft.com/office/drawing/2014/chart" uri="{C3380CC4-5D6E-409C-BE32-E72D297353CC}">
              <c16:uniqueId val="{00000000-7CFB-4DC9-8482-9DB37DBC8CF9}"/>
            </c:ext>
          </c:extLst>
        </c:ser>
        <c:dLbls>
          <c:showLegendKey val="0"/>
          <c:showVal val="0"/>
          <c:showCatName val="0"/>
          <c:showSerName val="0"/>
          <c:showPercent val="0"/>
          <c:showBubbleSize val="0"/>
        </c:dLbls>
        <c:gapWidth val="219"/>
        <c:overlap val="-27"/>
        <c:axId val="1054134943"/>
        <c:axId val="631276591"/>
      </c:barChart>
      <c:catAx>
        <c:axId val="105413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276591"/>
        <c:crosses val="autoZero"/>
        <c:auto val="1"/>
        <c:lblAlgn val="ctr"/>
        <c:lblOffset val="100"/>
        <c:noMultiLvlLbl val="0"/>
      </c:catAx>
      <c:valAx>
        <c:axId val="63127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1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a:t>What Drives the Cover Need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endParaRPr lang="en-US"/>
        </a:p>
      </c:txPr>
    </c:title>
    <c:autoTitleDeleted val="0"/>
    <c:plotArea>
      <c:layout/>
      <c:barChart>
        <c:barDir val="bar"/>
        <c:grouping val="clustered"/>
        <c:varyColors val="0"/>
        <c:ser>
          <c:idx val="0"/>
          <c:order val="0"/>
          <c:tx>
            <c:v>Need (₹)</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'Term Insurance'!$D$5:$D$8</c:f>
              <c:strCache>
                <c:ptCount val="4"/>
                <c:pt idx="0">
                  <c:v>Income replacement</c:v>
                </c:pt>
                <c:pt idx="1">
                  <c:v>Debt repayment</c:v>
                </c:pt>
                <c:pt idx="2">
                  <c:v>Future goals</c:v>
                </c:pt>
                <c:pt idx="3">
                  <c:v>Final expenses</c:v>
                </c:pt>
              </c:strCache>
            </c:strRef>
          </c:cat>
          <c:val>
            <c:numRef>
              <c:f>'Term Insurance'!$E$5:$E$8</c:f>
              <c:numCache>
                <c:formatCode>[$₹-4009]###,##0;[Red]\-[$₹-4009]###,##0</c:formatCode>
                <c:ptCount val="4"/>
                <c:pt idx="0">
                  <c:v>31680000</c:v>
                </c:pt>
                <c:pt idx="1">
                  <c:v>5750000</c:v>
                </c:pt>
                <c:pt idx="2">
                  <c:v>18105407.787089884</c:v>
                </c:pt>
                <c:pt idx="3">
                  <c:v>500000</c:v>
                </c:pt>
              </c:numCache>
            </c:numRef>
          </c:val>
          <c:extLst>
            <c:ext xmlns:c16="http://schemas.microsoft.com/office/drawing/2014/chart" uri="{C3380CC4-5D6E-409C-BE32-E72D297353CC}">
              <c16:uniqueId val="{00000000-A60C-487C-94E1-05669F7FA4BC}"/>
            </c:ext>
          </c:extLst>
        </c:ser>
        <c:dLbls>
          <c:showLegendKey val="0"/>
          <c:showVal val="0"/>
          <c:showCatName val="0"/>
          <c:showSerName val="0"/>
          <c:showPercent val="0"/>
          <c:showBubbleSize val="0"/>
        </c:dLbls>
        <c:gapWidth val="182"/>
        <c:axId val="1138969471"/>
        <c:axId val="1046798255"/>
      </c:barChart>
      <c:catAx>
        <c:axId val="113896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98255"/>
        <c:crosses val="autoZero"/>
        <c:auto val="1"/>
        <c:lblAlgn val="ctr"/>
        <c:lblOffset val="100"/>
        <c:noMultiLvlLbl val="0"/>
      </c:catAx>
      <c:valAx>
        <c:axId val="10467982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6947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a:t>Current vs Target Allocation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endParaRPr lang="en-US"/>
        </a:p>
      </c:txPr>
    </c:title>
    <c:autoTitleDeleted val="0"/>
    <c:plotArea>
      <c:layout/>
      <c:barChart>
        <c:barDir val="col"/>
        <c:grouping val="clustered"/>
        <c:varyColors val="0"/>
        <c:ser>
          <c:idx val="0"/>
          <c:order val="0"/>
          <c:tx>
            <c:v>Current %</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'Asset Allocation'!$D$5:$D$8</c:f>
              <c:strCache>
                <c:ptCount val="4"/>
                <c:pt idx="0">
                  <c:v>Equity</c:v>
                </c:pt>
                <c:pt idx="1">
                  <c:v>Debt</c:v>
                </c:pt>
                <c:pt idx="2">
                  <c:v>Gold</c:v>
                </c:pt>
                <c:pt idx="3">
                  <c:v>Cash</c:v>
                </c:pt>
              </c:strCache>
            </c:strRef>
          </c:cat>
          <c:val>
            <c:numRef>
              <c:f>'Asset Allocation'!$F$5:$F$8</c:f>
              <c:numCache>
                <c:formatCode>0%</c:formatCode>
                <c:ptCount val="4"/>
                <c:pt idx="0">
                  <c:v>0.52777777777777779</c:v>
                </c:pt>
                <c:pt idx="1">
                  <c:v>0.30555555555555558</c:v>
                </c:pt>
                <c:pt idx="2">
                  <c:v>8.3333333333333329E-2</c:v>
                </c:pt>
                <c:pt idx="3">
                  <c:v>8.3333333333333329E-2</c:v>
                </c:pt>
              </c:numCache>
            </c:numRef>
          </c:val>
          <c:extLst>
            <c:ext xmlns:c16="http://schemas.microsoft.com/office/drawing/2014/chart" uri="{C3380CC4-5D6E-409C-BE32-E72D297353CC}">
              <c16:uniqueId val="{00000000-38B9-4BB3-85D4-42456411D095}"/>
            </c:ext>
          </c:extLst>
        </c:ser>
        <c:ser>
          <c:idx val="1"/>
          <c:order val="1"/>
          <c:tx>
            <c:v>Target %</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'Asset Allocation'!$D$5:$D$8</c:f>
              <c:strCache>
                <c:ptCount val="4"/>
                <c:pt idx="0">
                  <c:v>Equity</c:v>
                </c:pt>
                <c:pt idx="1">
                  <c:v>Debt</c:v>
                </c:pt>
                <c:pt idx="2">
                  <c:v>Gold</c:v>
                </c:pt>
                <c:pt idx="3">
                  <c:v>Cash</c:v>
                </c:pt>
              </c:strCache>
            </c:strRef>
          </c:cat>
          <c:val>
            <c:numRef>
              <c:f>'Asset Allocation'!$G$5:$G$8</c:f>
              <c:numCache>
                <c:formatCode>0%</c:formatCode>
                <c:ptCount val="4"/>
                <c:pt idx="0">
                  <c:v>0.70000000000000007</c:v>
                </c:pt>
                <c:pt idx="1">
                  <c:v>0.19999999999999993</c:v>
                </c:pt>
                <c:pt idx="2">
                  <c:v>0.05</c:v>
                </c:pt>
                <c:pt idx="3">
                  <c:v>0.05</c:v>
                </c:pt>
              </c:numCache>
            </c:numRef>
          </c:val>
          <c:extLst>
            <c:ext xmlns:c16="http://schemas.microsoft.com/office/drawing/2014/chart" uri="{C3380CC4-5D6E-409C-BE32-E72D297353CC}">
              <c16:uniqueId val="{00000001-38B9-4BB3-85D4-42456411D095}"/>
            </c:ext>
          </c:extLst>
        </c:ser>
        <c:dLbls>
          <c:showLegendKey val="0"/>
          <c:showVal val="0"/>
          <c:showCatName val="0"/>
          <c:showSerName val="0"/>
          <c:showPercent val="0"/>
          <c:showBubbleSize val="0"/>
        </c:dLbls>
        <c:gapWidth val="219"/>
        <c:overlap val="-27"/>
        <c:axId val="1138898943"/>
        <c:axId val="1046796335"/>
      </c:barChart>
      <c:catAx>
        <c:axId val="11388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96335"/>
        <c:crosses val="autoZero"/>
        <c:auto val="1"/>
        <c:lblAlgn val="ctr"/>
        <c:lblOffset val="100"/>
        <c:noMultiLvlLbl val="0"/>
      </c:catAx>
      <c:valAx>
        <c:axId val="104679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9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r>
              <a:rPr lang="en-US"/>
              <a:t>Required vs Allocated Monthly SIP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65D"/>
              </a:solidFill>
              <a:latin typeface="+mn-lt"/>
              <a:ea typeface="+mn-ea"/>
              <a:cs typeface="+mn-cs"/>
            </a:defRPr>
          </a:pPr>
          <a:endParaRPr lang="en-US"/>
        </a:p>
      </c:txPr>
    </c:title>
    <c:autoTitleDeleted val="0"/>
    <c:plotArea>
      <c:layout/>
      <c:barChart>
        <c:barDir val="bar"/>
        <c:grouping val="clustered"/>
        <c:varyColors val="0"/>
        <c:ser>
          <c:idx val="0"/>
          <c:order val="0"/>
          <c:tx>
            <c:v>Required SIP</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Dashboard'!$B$11:$B$16</c:f>
              <c:strCache>
                <c:ptCount val="6"/>
                <c:pt idx="0">
                  <c:v>Emergency fund</c:v>
                </c:pt>
                <c:pt idx="1">
                  <c:v>Home down payment</c:v>
                </c:pt>
                <c:pt idx="2">
                  <c:v>Child education</c:v>
                </c:pt>
                <c:pt idx="3">
                  <c:v>Retirement</c:v>
                </c:pt>
                <c:pt idx="4">
                  <c:v>Car replacement</c:v>
                </c:pt>
                <c:pt idx="5">
                  <c:v>Travel / experience</c:v>
                </c:pt>
              </c:strCache>
            </c:strRef>
          </c:cat>
          <c:val>
            <c:numRef>
              <c:f>'Goal Dashboard'!$K$11:$K$16</c:f>
              <c:numCache>
                <c:formatCode>[$₹-4009]###,##0;[Red]\-[$₹-4009]###,##0</c:formatCode>
                <c:ptCount val="6"/>
                <c:pt idx="0">
                  <c:v>37378.038784266668</c:v>
                </c:pt>
                <c:pt idx="1">
                  <c:v>22840.671186078787</c:v>
                </c:pt>
                <c:pt idx="2">
                  <c:v>20588.992023075181</c:v>
                </c:pt>
                <c:pt idx="3">
                  <c:v>157469.21016751963</c:v>
                </c:pt>
                <c:pt idx="4">
                  <c:v>35445.225245322981</c:v>
                </c:pt>
                <c:pt idx="5">
                  <c:v>16120.529472703614</c:v>
                </c:pt>
              </c:numCache>
            </c:numRef>
          </c:val>
          <c:extLst>
            <c:ext xmlns:c16="http://schemas.microsoft.com/office/drawing/2014/chart" uri="{C3380CC4-5D6E-409C-BE32-E72D297353CC}">
              <c16:uniqueId val="{00000000-0CD9-461B-8D92-870C9421AF9F}"/>
            </c:ext>
          </c:extLst>
        </c:ser>
        <c:ser>
          <c:idx val="1"/>
          <c:order val="1"/>
          <c:tx>
            <c:v>Allocated SIP</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Dashboard'!$B$11:$B$16</c:f>
              <c:strCache>
                <c:ptCount val="6"/>
                <c:pt idx="0">
                  <c:v>Emergency fund</c:v>
                </c:pt>
                <c:pt idx="1">
                  <c:v>Home down payment</c:v>
                </c:pt>
                <c:pt idx="2">
                  <c:v>Child education</c:v>
                </c:pt>
                <c:pt idx="3">
                  <c:v>Retirement</c:v>
                </c:pt>
                <c:pt idx="4">
                  <c:v>Car replacement</c:v>
                </c:pt>
                <c:pt idx="5">
                  <c:v>Travel / experience</c:v>
                </c:pt>
              </c:strCache>
            </c:strRef>
          </c:cat>
          <c:val>
            <c:numRef>
              <c:f>'Goal Dashboard'!$L$11:$L$16</c:f>
              <c:numCache>
                <c:formatCode>[$₹-4009]###,##0;[Red]\-[$₹-4009]###,##0</c:formatCode>
                <c:ptCount val="6"/>
                <c:pt idx="0">
                  <c:v>37378.038784266668</c:v>
                </c:pt>
                <c:pt idx="1">
                  <c:v>22840.671186078787</c:v>
                </c:pt>
                <c:pt idx="2">
                  <c:v>20588.992023075181</c:v>
                </c:pt>
                <c:pt idx="3">
                  <c:v>19192.298006579367</c:v>
                </c:pt>
                <c:pt idx="4">
                  <c:v>0</c:v>
                </c:pt>
                <c:pt idx="5">
                  <c:v>0</c:v>
                </c:pt>
              </c:numCache>
            </c:numRef>
          </c:val>
          <c:extLst>
            <c:ext xmlns:c16="http://schemas.microsoft.com/office/drawing/2014/chart" uri="{C3380CC4-5D6E-409C-BE32-E72D297353CC}">
              <c16:uniqueId val="{00000001-0CD9-461B-8D92-870C9421AF9F}"/>
            </c:ext>
          </c:extLst>
        </c:ser>
        <c:dLbls>
          <c:showLegendKey val="0"/>
          <c:showVal val="0"/>
          <c:showCatName val="0"/>
          <c:showSerName val="0"/>
          <c:showPercent val="0"/>
          <c:showBubbleSize val="0"/>
        </c:dLbls>
        <c:gapWidth val="182"/>
        <c:axId val="1138879455"/>
        <c:axId val="1046807375"/>
      </c:barChart>
      <c:catAx>
        <c:axId val="113887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07375"/>
        <c:crosses val="autoZero"/>
        <c:auto val="1"/>
        <c:lblAlgn val="ctr"/>
        <c:lblOffset val="100"/>
        <c:noMultiLvlLbl val="0"/>
      </c:catAx>
      <c:valAx>
        <c:axId val="10468073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7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0</xdr:colOff>
      <xdr:row>33</xdr:row>
      <xdr:rowOff>38100</xdr:rowOff>
    </xdr:from>
    <xdr:to>
      <xdr:col>16</xdr:col>
      <xdr:colOff>946150</xdr:colOff>
      <xdr:row>51</xdr:row>
      <xdr:rowOff>85725</xdr:rowOff>
    </xdr:to>
    <xdr:graphicFrame macro="">
      <xdr:nvGraphicFramePr>
        <xdr:cNvPr id="4" name="Selected Scenario Balance">
          <a:extLst>
            <a:ext uri="{FF2B5EF4-FFF2-40B4-BE49-F238E27FC236}">
              <a16:creationId xmlns:a16="http://schemas.microsoft.com/office/drawing/2014/main" id="{42C3610B-0571-59C1-E9F4-C6FF6975E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3</xdr:row>
      <xdr:rowOff>12699</xdr:rowOff>
    </xdr:from>
    <xdr:to>
      <xdr:col>21</xdr:col>
      <xdr:colOff>0</xdr:colOff>
      <xdr:row>19</xdr:row>
      <xdr:rowOff>12699</xdr:rowOff>
    </xdr:to>
    <xdr:graphicFrame macro="">
      <xdr:nvGraphicFramePr>
        <xdr:cNvPr id="3" name="Goal Funding Path">
          <a:extLst>
            <a:ext uri="{FF2B5EF4-FFF2-40B4-BE49-F238E27FC236}">
              <a16:creationId xmlns:a16="http://schemas.microsoft.com/office/drawing/2014/main" id="{27CDD291-3B61-6CBA-3219-9C9441CB0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22</xdr:row>
      <xdr:rowOff>63500</xdr:rowOff>
    </xdr:from>
    <xdr:to>
      <xdr:col>19</xdr:col>
      <xdr:colOff>419100</xdr:colOff>
      <xdr:row>40</xdr:row>
      <xdr:rowOff>120650</xdr:rowOff>
    </xdr:to>
    <xdr:graphicFrame macro="">
      <xdr:nvGraphicFramePr>
        <xdr:cNvPr id="2" name="Decision Wealth Comparison">
          <a:extLst>
            <a:ext uri="{FF2B5EF4-FFF2-40B4-BE49-F238E27FC236}">
              <a16:creationId xmlns:a16="http://schemas.microsoft.com/office/drawing/2014/main" id="{241A0F4E-D40D-B57B-4093-52E1A17B2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25400</xdr:colOff>
      <xdr:row>18</xdr:row>
      <xdr:rowOff>57150</xdr:rowOff>
    </xdr:from>
    <xdr:to>
      <xdr:col>18</xdr:col>
      <xdr:colOff>25400</xdr:colOff>
      <xdr:row>37</xdr:row>
      <xdr:rowOff>120650</xdr:rowOff>
    </xdr:to>
    <xdr:graphicFrame macro="">
      <xdr:nvGraphicFramePr>
        <xdr:cNvPr id="2" name="Retirement Corpus Path">
          <a:extLst>
            <a:ext uri="{FF2B5EF4-FFF2-40B4-BE49-F238E27FC236}">
              <a16:creationId xmlns:a16="http://schemas.microsoft.com/office/drawing/2014/main" id="{264F77FE-6ABE-564E-6C53-466EDA5FD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6350</xdr:colOff>
      <xdr:row>22</xdr:row>
      <xdr:rowOff>66675</xdr:rowOff>
    </xdr:from>
    <xdr:to>
      <xdr:col>14</xdr:col>
      <xdr:colOff>603250</xdr:colOff>
      <xdr:row>41</xdr:row>
      <xdr:rowOff>120650</xdr:rowOff>
    </xdr:to>
    <xdr:graphicFrame macro="">
      <xdr:nvGraphicFramePr>
        <xdr:cNvPr id="2" name="Emergency Fund Build Path">
          <a:extLst>
            <a:ext uri="{FF2B5EF4-FFF2-40B4-BE49-F238E27FC236}">
              <a16:creationId xmlns:a16="http://schemas.microsoft.com/office/drawing/2014/main" id="{81486AB8-4045-C59D-C989-D196F4CE2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215900</xdr:colOff>
      <xdr:row>31</xdr:row>
      <xdr:rowOff>95250</xdr:rowOff>
    </xdr:from>
    <xdr:to>
      <xdr:col>11</xdr:col>
      <xdr:colOff>219075</xdr:colOff>
      <xdr:row>47</xdr:row>
      <xdr:rowOff>142875</xdr:rowOff>
    </xdr:to>
    <xdr:graphicFrame macro="">
      <xdr:nvGraphicFramePr>
        <xdr:cNvPr id="2" name="Monthly Cash-Flow Capacity">
          <a:extLst>
            <a:ext uri="{FF2B5EF4-FFF2-40B4-BE49-F238E27FC236}">
              <a16:creationId xmlns:a16="http://schemas.microsoft.com/office/drawing/2014/main" id="{B551EF53-BE2F-FB9A-4F96-E9E1A7F0A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76200</xdr:rowOff>
    </xdr:from>
    <xdr:to>
      <xdr:col>9</xdr:col>
      <xdr:colOff>1136650</xdr:colOff>
      <xdr:row>43</xdr:row>
      <xdr:rowOff>133350</xdr:rowOff>
    </xdr:to>
    <xdr:graphicFrame macro="">
      <xdr:nvGraphicFramePr>
        <xdr:cNvPr id="2" name="What Drives the Cover Need">
          <a:extLst>
            <a:ext uri="{FF2B5EF4-FFF2-40B4-BE49-F238E27FC236}">
              <a16:creationId xmlns:a16="http://schemas.microsoft.com/office/drawing/2014/main" id="{71683FAC-C38D-F179-1983-C183FAB66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18</xdr:row>
      <xdr:rowOff>53975</xdr:rowOff>
    </xdr:from>
    <xdr:to>
      <xdr:col>9</xdr:col>
      <xdr:colOff>1073150</xdr:colOff>
      <xdr:row>36</xdr:row>
      <xdr:rowOff>111125</xdr:rowOff>
    </xdr:to>
    <xdr:graphicFrame macro="">
      <xdr:nvGraphicFramePr>
        <xdr:cNvPr id="2" name="Current vs Target Allocation">
          <a:extLst>
            <a:ext uri="{FF2B5EF4-FFF2-40B4-BE49-F238E27FC236}">
              <a16:creationId xmlns:a16="http://schemas.microsoft.com/office/drawing/2014/main" id="{E87A4AF1-3935-8496-2FF6-9E48C8C69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26</xdr:row>
      <xdr:rowOff>82550</xdr:rowOff>
    </xdr:from>
    <xdr:to>
      <xdr:col>14</xdr:col>
      <xdr:colOff>28575</xdr:colOff>
      <xdr:row>46</xdr:row>
      <xdr:rowOff>149225</xdr:rowOff>
    </xdr:to>
    <xdr:graphicFrame macro="">
      <xdr:nvGraphicFramePr>
        <xdr:cNvPr id="2" name="Required vs Allocated Monthly SIP">
          <a:extLst>
            <a:ext uri="{FF2B5EF4-FFF2-40B4-BE49-F238E27FC236}">
              <a16:creationId xmlns:a16="http://schemas.microsoft.com/office/drawing/2014/main" id="{94E2A82A-209F-6B31-41A3-0E979B045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2A110-5FAA-4E33-9DE1-56E9C71566A1}">
  <sheetPr>
    <tabColor rgb="FF0F766E"/>
  </sheetPr>
  <dimension ref="A1:C104"/>
  <sheetViews>
    <sheetView topLeftCell="A47" zoomScaleNormal="100" workbookViewId="0">
      <selection activeCell="E10" sqref="E10"/>
    </sheetView>
  </sheetViews>
  <sheetFormatPr defaultRowHeight="14.5" x14ac:dyDescent="0.35"/>
  <cols>
    <col min="1" max="1" width="34.54296875" customWidth="1"/>
    <col min="2" max="2" width="44.54296875" customWidth="1"/>
    <col min="3" max="3" width="74.54296875" customWidth="1"/>
  </cols>
  <sheetData>
    <row r="1" spans="1:3" ht="42" customHeight="1" x14ac:dyDescent="0.35">
      <c r="A1" s="241" t="s">
        <v>166</v>
      </c>
      <c r="B1" s="241"/>
      <c r="C1" s="241"/>
    </row>
    <row r="2" spans="1:3" ht="34" customHeight="1" x14ac:dyDescent="0.35">
      <c r="A2" s="242" t="s">
        <v>245</v>
      </c>
      <c r="B2" s="242"/>
      <c r="C2" s="242"/>
    </row>
    <row r="3" spans="1:3" ht="10" customHeight="1" x14ac:dyDescent="0.35">
      <c r="A3" s="179"/>
      <c r="B3" s="179"/>
      <c r="C3" s="179"/>
    </row>
    <row r="4" spans="1:3" ht="28" customHeight="1" x14ac:dyDescent="0.35">
      <c r="A4" s="185" t="s">
        <v>167</v>
      </c>
      <c r="B4" s="185" t="s">
        <v>168</v>
      </c>
      <c r="C4" s="185" t="s">
        <v>784</v>
      </c>
    </row>
    <row r="5" spans="1:3" ht="39" x14ac:dyDescent="0.35">
      <c r="A5" s="186" t="s">
        <v>169</v>
      </c>
      <c r="B5" s="187" t="s">
        <v>170</v>
      </c>
      <c r="C5" s="202" t="s">
        <v>785</v>
      </c>
    </row>
    <row r="6" spans="1:3" ht="26" x14ac:dyDescent="0.35">
      <c r="A6" s="188" t="s">
        <v>171</v>
      </c>
      <c r="B6" s="189" t="s">
        <v>172</v>
      </c>
      <c r="C6" s="203" t="s">
        <v>785</v>
      </c>
    </row>
    <row r="7" spans="1:3" ht="26" x14ac:dyDescent="0.35">
      <c r="A7" s="188" t="s">
        <v>173</v>
      </c>
      <c r="B7" s="189" t="s">
        <v>174</v>
      </c>
      <c r="C7" s="203" t="s">
        <v>785</v>
      </c>
    </row>
    <row r="8" spans="1:3" ht="26" x14ac:dyDescent="0.35">
      <c r="A8" s="188" t="s">
        <v>175</v>
      </c>
      <c r="B8" s="189" t="s">
        <v>176</v>
      </c>
      <c r="C8" s="203" t="s">
        <v>785</v>
      </c>
    </row>
    <row r="9" spans="1:3" ht="39" x14ac:dyDescent="0.35">
      <c r="A9" s="188" t="s">
        <v>331</v>
      </c>
      <c r="B9" s="189" t="s">
        <v>332</v>
      </c>
      <c r="C9" s="203" t="s">
        <v>785</v>
      </c>
    </row>
    <row r="10" spans="1:3" ht="39" x14ac:dyDescent="0.35">
      <c r="A10" s="191" t="s">
        <v>420</v>
      </c>
      <c r="B10" s="190" t="s">
        <v>421</v>
      </c>
      <c r="C10" s="204" t="s">
        <v>777</v>
      </c>
    </row>
    <row r="11" spans="1:3" ht="39" x14ac:dyDescent="0.35">
      <c r="A11" s="191" t="s">
        <v>422</v>
      </c>
      <c r="B11" s="190" t="s">
        <v>423</v>
      </c>
      <c r="C11" s="204" t="s">
        <v>777</v>
      </c>
    </row>
    <row r="12" spans="1:3" ht="39" x14ac:dyDescent="0.35">
      <c r="A12" s="191" t="s">
        <v>628</v>
      </c>
      <c r="B12" s="190" t="s">
        <v>629</v>
      </c>
      <c r="C12" s="204" t="s">
        <v>777</v>
      </c>
    </row>
    <row r="13" spans="1:3" ht="39" x14ac:dyDescent="0.35">
      <c r="A13" s="191" t="s">
        <v>630</v>
      </c>
      <c r="B13" s="190" t="s">
        <v>631</v>
      </c>
      <c r="C13" s="204" t="s">
        <v>777</v>
      </c>
    </row>
    <row r="14" spans="1:3" ht="26" x14ac:dyDescent="0.35">
      <c r="A14" s="191" t="s">
        <v>775</v>
      </c>
      <c r="B14" s="190" t="s">
        <v>776</v>
      </c>
      <c r="C14" s="204" t="s">
        <v>777</v>
      </c>
    </row>
    <row r="15" spans="1:3" ht="39" x14ac:dyDescent="0.35">
      <c r="A15" s="191" t="s">
        <v>778</v>
      </c>
      <c r="B15" s="190" t="s">
        <v>779</v>
      </c>
      <c r="C15" s="204" t="s">
        <v>777</v>
      </c>
    </row>
    <row r="16" spans="1:3" ht="26" x14ac:dyDescent="0.35">
      <c r="A16" s="191" t="s">
        <v>780</v>
      </c>
      <c r="B16" s="190" t="s">
        <v>781</v>
      </c>
      <c r="C16" s="204" t="s">
        <v>777</v>
      </c>
    </row>
    <row r="17" spans="1:3" ht="39" x14ac:dyDescent="0.35">
      <c r="A17" s="192" t="s">
        <v>782</v>
      </c>
      <c r="B17" s="193" t="s">
        <v>783</v>
      </c>
      <c r="C17" s="205" t="s">
        <v>777</v>
      </c>
    </row>
    <row r="18" spans="1:3" ht="12" customHeight="1" x14ac:dyDescent="0.35">
      <c r="A18" s="180" t="s">
        <v>901</v>
      </c>
      <c r="B18" s="179" t="s">
        <v>902</v>
      </c>
      <c r="C18" s="179" t="s">
        <v>777</v>
      </c>
    </row>
    <row r="19" spans="1:3" ht="30" customHeight="1" x14ac:dyDescent="0.35">
      <c r="A19" s="239" t="s">
        <v>246</v>
      </c>
      <c r="B19" s="239"/>
      <c r="C19" s="239"/>
    </row>
    <row r="20" spans="1:3" ht="28" customHeight="1" x14ac:dyDescent="0.35">
      <c r="A20" s="194" t="s">
        <v>247</v>
      </c>
      <c r="B20" s="194" t="s">
        <v>248</v>
      </c>
      <c r="C20" s="194" t="s">
        <v>249</v>
      </c>
    </row>
    <row r="21" spans="1:3" ht="26" x14ac:dyDescent="0.35">
      <c r="A21" s="206" t="s">
        <v>333</v>
      </c>
      <c r="B21" s="195" t="s">
        <v>250</v>
      </c>
      <c r="C21" s="196" t="s">
        <v>251</v>
      </c>
    </row>
    <row r="22" spans="1:3" ht="26" x14ac:dyDescent="0.35">
      <c r="A22" s="207" t="s">
        <v>334</v>
      </c>
      <c r="B22" s="197" t="s">
        <v>252</v>
      </c>
      <c r="C22" s="198" t="s">
        <v>335</v>
      </c>
    </row>
    <row r="23" spans="1:3" ht="26" x14ac:dyDescent="0.35">
      <c r="A23" s="207" t="s">
        <v>424</v>
      </c>
      <c r="B23" s="197" t="s">
        <v>253</v>
      </c>
      <c r="C23" s="198" t="s">
        <v>425</v>
      </c>
    </row>
    <row r="24" spans="1:3" ht="26" x14ac:dyDescent="0.35">
      <c r="A24" s="207" t="s">
        <v>548</v>
      </c>
      <c r="B24" s="197" t="s">
        <v>254</v>
      </c>
      <c r="C24" s="198" t="s">
        <v>255</v>
      </c>
    </row>
    <row r="25" spans="1:3" ht="26" x14ac:dyDescent="0.35">
      <c r="A25" s="207" t="s">
        <v>632</v>
      </c>
      <c r="B25" s="197" t="s">
        <v>256</v>
      </c>
      <c r="C25" s="198" t="s">
        <v>257</v>
      </c>
    </row>
    <row r="26" spans="1:3" ht="26" x14ac:dyDescent="0.35">
      <c r="A26" s="207" t="s">
        <v>633</v>
      </c>
      <c r="B26" s="197" t="s">
        <v>258</v>
      </c>
      <c r="C26" s="198" t="s">
        <v>259</v>
      </c>
    </row>
    <row r="27" spans="1:3" ht="26" x14ac:dyDescent="0.35">
      <c r="A27" s="207" t="s">
        <v>786</v>
      </c>
      <c r="B27" s="197" t="s">
        <v>260</v>
      </c>
      <c r="C27" s="198" t="s">
        <v>261</v>
      </c>
    </row>
    <row r="28" spans="1:3" ht="26" x14ac:dyDescent="0.35">
      <c r="A28" s="207" t="s">
        <v>787</v>
      </c>
      <c r="B28" s="197" t="s">
        <v>262</v>
      </c>
      <c r="C28" s="198" t="s">
        <v>263</v>
      </c>
    </row>
    <row r="29" spans="1:3" ht="26" x14ac:dyDescent="0.35">
      <c r="A29" s="207" t="s">
        <v>788</v>
      </c>
      <c r="B29" s="197" t="s">
        <v>264</v>
      </c>
      <c r="C29" s="198" t="s">
        <v>265</v>
      </c>
    </row>
    <row r="30" spans="1:3" ht="26" x14ac:dyDescent="0.35">
      <c r="A30" s="208" t="s">
        <v>789</v>
      </c>
      <c r="B30" s="199" t="s">
        <v>266</v>
      </c>
      <c r="C30" s="200" t="s">
        <v>267</v>
      </c>
    </row>
    <row r="31" spans="1:3" ht="12" customHeight="1" x14ac:dyDescent="0.35">
      <c r="A31" s="179"/>
      <c r="B31" s="179"/>
      <c r="C31" s="179"/>
    </row>
    <row r="32" spans="1:3" ht="30" customHeight="1" x14ac:dyDescent="0.35">
      <c r="A32" s="239" t="s">
        <v>268</v>
      </c>
      <c r="B32" s="239"/>
      <c r="C32" s="239"/>
    </row>
    <row r="33" spans="1:3" ht="28" customHeight="1" x14ac:dyDescent="0.35">
      <c r="A33" s="194" t="s">
        <v>426</v>
      </c>
      <c r="B33" s="194" t="s">
        <v>269</v>
      </c>
      <c r="C33" s="194" t="s">
        <v>270</v>
      </c>
    </row>
    <row r="34" spans="1:3" ht="26" x14ac:dyDescent="0.35">
      <c r="A34" s="195" t="s">
        <v>634</v>
      </c>
      <c r="B34" s="195" t="s">
        <v>271</v>
      </c>
      <c r="C34" s="196" t="s">
        <v>272</v>
      </c>
    </row>
    <row r="35" spans="1:3" ht="26" x14ac:dyDescent="0.35">
      <c r="A35" s="197" t="s">
        <v>427</v>
      </c>
      <c r="B35" s="197" t="s">
        <v>273</v>
      </c>
      <c r="C35" s="198" t="s">
        <v>274</v>
      </c>
    </row>
    <row r="36" spans="1:3" ht="26" x14ac:dyDescent="0.35">
      <c r="A36" s="197" t="s">
        <v>428</v>
      </c>
      <c r="B36" s="197" t="s">
        <v>275</v>
      </c>
      <c r="C36" s="198" t="s">
        <v>276</v>
      </c>
    </row>
    <row r="37" spans="1:3" ht="26" x14ac:dyDescent="0.35">
      <c r="A37" s="197" t="s">
        <v>429</v>
      </c>
      <c r="B37" s="197" t="s">
        <v>277</v>
      </c>
      <c r="C37" s="198" t="s">
        <v>278</v>
      </c>
    </row>
    <row r="38" spans="1:3" ht="26" x14ac:dyDescent="0.35">
      <c r="A38" s="197" t="s">
        <v>429</v>
      </c>
      <c r="B38" s="197" t="s">
        <v>279</v>
      </c>
      <c r="C38" s="198" t="s">
        <v>280</v>
      </c>
    </row>
    <row r="39" spans="1:3" ht="26" x14ac:dyDescent="0.35">
      <c r="A39" s="197" t="s">
        <v>430</v>
      </c>
      <c r="B39" s="197" t="s">
        <v>281</v>
      </c>
      <c r="C39" s="198" t="s">
        <v>282</v>
      </c>
    </row>
    <row r="40" spans="1:3" ht="26" x14ac:dyDescent="0.35">
      <c r="A40" s="197" t="s">
        <v>431</v>
      </c>
      <c r="B40" s="197" t="s">
        <v>283</v>
      </c>
      <c r="C40" s="198" t="s">
        <v>284</v>
      </c>
    </row>
    <row r="41" spans="1:3" ht="26" x14ac:dyDescent="0.35">
      <c r="A41" s="197" t="s">
        <v>432</v>
      </c>
      <c r="B41" s="197" t="s">
        <v>903</v>
      </c>
      <c r="C41" s="198" t="s">
        <v>285</v>
      </c>
    </row>
    <row r="42" spans="1:3" ht="26" x14ac:dyDescent="0.35">
      <c r="A42" s="197" t="s">
        <v>433</v>
      </c>
      <c r="B42" s="197" t="s">
        <v>287</v>
      </c>
      <c r="C42" s="198" t="s">
        <v>288</v>
      </c>
    </row>
    <row r="43" spans="1:3" ht="26" x14ac:dyDescent="0.35">
      <c r="A43" s="197" t="s">
        <v>434</v>
      </c>
      <c r="B43" s="197" t="s">
        <v>289</v>
      </c>
      <c r="C43" s="198" t="s">
        <v>290</v>
      </c>
    </row>
    <row r="44" spans="1:3" ht="26" x14ac:dyDescent="0.35">
      <c r="A44" s="199" t="s">
        <v>435</v>
      </c>
      <c r="B44" s="199" t="s">
        <v>291</v>
      </c>
      <c r="C44" s="200" t="s">
        <v>292</v>
      </c>
    </row>
    <row r="45" spans="1:3" ht="12" customHeight="1" x14ac:dyDescent="0.35">
      <c r="A45" s="182" t="s">
        <v>436</v>
      </c>
      <c r="B45" s="182" t="s">
        <v>293</v>
      </c>
      <c r="C45" s="183" t="s">
        <v>294</v>
      </c>
    </row>
    <row r="46" spans="1:3" ht="12" customHeight="1" x14ac:dyDescent="0.35">
      <c r="A46" s="179"/>
      <c r="B46" s="179"/>
      <c r="C46" s="179"/>
    </row>
    <row r="47" spans="1:3" ht="30" customHeight="1" x14ac:dyDescent="0.35">
      <c r="A47" s="239" t="s">
        <v>437</v>
      </c>
      <c r="B47" s="239"/>
      <c r="C47" s="239"/>
    </row>
    <row r="48" spans="1:3" ht="28" customHeight="1" x14ac:dyDescent="0.35">
      <c r="A48" s="194" t="s">
        <v>438</v>
      </c>
      <c r="B48" s="194" t="s">
        <v>439</v>
      </c>
      <c r="C48" s="194" t="s">
        <v>440</v>
      </c>
    </row>
    <row r="49" spans="1:3" ht="26" x14ac:dyDescent="0.35">
      <c r="A49" s="209" t="s">
        <v>441</v>
      </c>
      <c r="B49" s="209" t="s">
        <v>904</v>
      </c>
      <c r="C49" s="196" t="s">
        <v>905</v>
      </c>
    </row>
    <row r="50" spans="1:3" ht="26" x14ac:dyDescent="0.35">
      <c r="A50" s="210" t="s">
        <v>442</v>
      </c>
      <c r="B50" s="210" t="s">
        <v>790</v>
      </c>
      <c r="C50" s="198" t="s">
        <v>791</v>
      </c>
    </row>
    <row r="51" spans="1:3" x14ac:dyDescent="0.35">
      <c r="A51" s="210" t="s">
        <v>443</v>
      </c>
      <c r="B51" s="210" t="s">
        <v>444</v>
      </c>
      <c r="C51" s="198" t="s">
        <v>445</v>
      </c>
    </row>
    <row r="52" spans="1:3" ht="26" x14ac:dyDescent="0.35">
      <c r="A52" s="210" t="s">
        <v>446</v>
      </c>
      <c r="B52" s="210" t="s">
        <v>792</v>
      </c>
      <c r="C52" s="198" t="s">
        <v>793</v>
      </c>
    </row>
    <row r="53" spans="1:3" x14ac:dyDescent="0.35">
      <c r="A53" s="210" t="s">
        <v>447</v>
      </c>
      <c r="B53" s="210" t="s">
        <v>635</v>
      </c>
      <c r="C53" s="198" t="s">
        <v>794</v>
      </c>
    </row>
    <row r="54" spans="1:3" x14ac:dyDescent="0.35">
      <c r="A54" s="210" t="s">
        <v>296</v>
      </c>
      <c r="B54" s="210" t="s">
        <v>448</v>
      </c>
      <c r="C54" s="198" t="s">
        <v>449</v>
      </c>
    </row>
    <row r="55" spans="1:3" ht="26" x14ac:dyDescent="0.35">
      <c r="A55" s="210" t="s">
        <v>450</v>
      </c>
      <c r="B55" s="210" t="s">
        <v>906</v>
      </c>
      <c r="C55" s="198" t="s">
        <v>907</v>
      </c>
    </row>
    <row r="56" spans="1:3" x14ac:dyDescent="0.35">
      <c r="A56" s="211" t="s">
        <v>795</v>
      </c>
      <c r="B56" s="211"/>
      <c r="C56" s="192"/>
    </row>
    <row r="57" spans="1:3" ht="12" customHeight="1" x14ac:dyDescent="0.35">
      <c r="A57" s="243"/>
      <c r="B57" s="243"/>
      <c r="C57" s="243"/>
    </row>
    <row r="58" spans="1:3" ht="30" customHeight="1" x14ac:dyDescent="0.35">
      <c r="A58" s="181" t="s">
        <v>295</v>
      </c>
      <c r="B58" s="181" t="s">
        <v>796</v>
      </c>
      <c r="C58" s="181" t="s">
        <v>797</v>
      </c>
    </row>
    <row r="59" spans="1:3" ht="12" customHeight="1" x14ac:dyDescent="0.35">
      <c r="A59" s="184">
        <v>1</v>
      </c>
      <c r="B59" s="184" t="s">
        <v>908</v>
      </c>
      <c r="C59" s="184" t="s">
        <v>909</v>
      </c>
    </row>
    <row r="60" spans="1:3" ht="28" customHeight="1" x14ac:dyDescent="0.35">
      <c r="A60" s="201">
        <v>2</v>
      </c>
      <c r="B60" s="201" t="s">
        <v>273</v>
      </c>
      <c r="C60" s="201" t="s">
        <v>798</v>
      </c>
    </row>
    <row r="61" spans="1:3" x14ac:dyDescent="0.35">
      <c r="A61" s="195">
        <v>3</v>
      </c>
      <c r="B61" s="195" t="s">
        <v>296</v>
      </c>
      <c r="C61" s="196" t="s">
        <v>799</v>
      </c>
    </row>
    <row r="62" spans="1:3" x14ac:dyDescent="0.35">
      <c r="A62" s="197">
        <v>4</v>
      </c>
      <c r="B62" s="197" t="s">
        <v>279</v>
      </c>
      <c r="C62" s="198" t="s">
        <v>800</v>
      </c>
    </row>
    <row r="63" spans="1:3" x14ac:dyDescent="0.35">
      <c r="A63" s="197">
        <v>5</v>
      </c>
      <c r="B63" s="197" t="s">
        <v>801</v>
      </c>
      <c r="C63" s="198" t="s">
        <v>802</v>
      </c>
    </row>
    <row r="64" spans="1:3" x14ac:dyDescent="0.35">
      <c r="A64" s="190"/>
      <c r="B64" s="191"/>
      <c r="C64" s="190"/>
    </row>
    <row r="65" spans="1:3" x14ac:dyDescent="0.35">
      <c r="A65" s="244" t="s">
        <v>297</v>
      </c>
      <c r="B65" s="244"/>
      <c r="C65" s="244"/>
    </row>
    <row r="66" spans="1:3" ht="30" customHeight="1" x14ac:dyDescent="0.35">
      <c r="A66" s="239" t="s">
        <v>298</v>
      </c>
      <c r="B66" s="239"/>
      <c r="C66" s="239"/>
    </row>
    <row r="67" spans="1:3" ht="54" customHeight="1" x14ac:dyDescent="0.35">
      <c r="A67" s="240"/>
      <c r="B67" s="240"/>
      <c r="C67" s="240"/>
    </row>
    <row r="68" spans="1:3" x14ac:dyDescent="0.35">
      <c r="B68" s="20"/>
      <c r="C68" s="20"/>
    </row>
    <row r="69" spans="1:3" x14ac:dyDescent="0.35">
      <c r="B69" s="20"/>
      <c r="C69" s="20"/>
    </row>
    <row r="70" spans="1:3" x14ac:dyDescent="0.35">
      <c r="B70" s="20"/>
      <c r="C70" s="20"/>
    </row>
    <row r="71" spans="1:3" x14ac:dyDescent="0.35">
      <c r="B71" s="20"/>
      <c r="C71" s="20"/>
    </row>
    <row r="72" spans="1:3" x14ac:dyDescent="0.35">
      <c r="B72" s="20"/>
      <c r="C72" s="20"/>
    </row>
    <row r="73" spans="1:3" x14ac:dyDescent="0.35">
      <c r="B73" s="20"/>
      <c r="C73" s="20"/>
    </row>
    <row r="74" spans="1:3" x14ac:dyDescent="0.35">
      <c r="B74" s="20"/>
      <c r="C74" s="20"/>
    </row>
    <row r="75" spans="1:3" x14ac:dyDescent="0.35">
      <c r="B75" s="20"/>
      <c r="C75" s="20"/>
    </row>
    <row r="76" spans="1:3" x14ac:dyDescent="0.35">
      <c r="B76" s="20"/>
      <c r="C76" s="20"/>
    </row>
    <row r="77" spans="1:3" x14ac:dyDescent="0.35">
      <c r="B77" s="20"/>
      <c r="C77" s="20"/>
    </row>
    <row r="78" spans="1:3" x14ac:dyDescent="0.35">
      <c r="B78" s="20"/>
      <c r="C78" s="20"/>
    </row>
    <row r="79" spans="1:3" x14ac:dyDescent="0.35">
      <c r="B79" s="20"/>
      <c r="C79" s="20"/>
    </row>
    <row r="80" spans="1:3" x14ac:dyDescent="0.35">
      <c r="B80" s="20"/>
      <c r="C80" s="20"/>
    </row>
    <row r="81" spans="2:3" x14ac:dyDescent="0.35">
      <c r="B81" s="20"/>
      <c r="C81" s="20"/>
    </row>
    <row r="82" spans="2:3" x14ac:dyDescent="0.35">
      <c r="B82" s="20"/>
      <c r="C82" s="20"/>
    </row>
    <row r="83" spans="2:3" x14ac:dyDescent="0.35">
      <c r="B83" s="20"/>
      <c r="C83" s="20"/>
    </row>
    <row r="84" spans="2:3" x14ac:dyDescent="0.35">
      <c r="B84" s="20"/>
      <c r="C84" s="20"/>
    </row>
    <row r="85" spans="2:3" x14ac:dyDescent="0.35">
      <c r="B85" s="20"/>
      <c r="C85" s="20"/>
    </row>
    <row r="86" spans="2:3" x14ac:dyDescent="0.35">
      <c r="B86" s="20"/>
      <c r="C86" s="20"/>
    </row>
    <row r="87" spans="2:3" x14ac:dyDescent="0.35">
      <c r="B87" s="20"/>
      <c r="C87" s="20"/>
    </row>
    <row r="88" spans="2:3" x14ac:dyDescent="0.35">
      <c r="B88" s="20"/>
      <c r="C88" s="20"/>
    </row>
    <row r="89" spans="2:3" x14ac:dyDescent="0.35">
      <c r="B89" s="20"/>
      <c r="C89" s="20"/>
    </row>
    <row r="90" spans="2:3" x14ac:dyDescent="0.35">
      <c r="B90" s="20"/>
      <c r="C90" s="20"/>
    </row>
    <row r="91" spans="2:3" x14ac:dyDescent="0.35">
      <c r="B91" s="20"/>
      <c r="C91" s="20"/>
    </row>
    <row r="92" spans="2:3" x14ac:dyDescent="0.35">
      <c r="B92" s="20"/>
      <c r="C92" s="20"/>
    </row>
    <row r="93" spans="2:3" x14ac:dyDescent="0.35">
      <c r="B93" s="20"/>
      <c r="C93" s="20"/>
    </row>
    <row r="94" spans="2:3" x14ac:dyDescent="0.35">
      <c r="B94" s="20"/>
      <c r="C94" s="20"/>
    </row>
    <row r="95" spans="2:3" x14ac:dyDescent="0.35">
      <c r="B95" s="20"/>
      <c r="C95" s="20"/>
    </row>
    <row r="96" spans="2:3" x14ac:dyDescent="0.35">
      <c r="B96" s="20"/>
      <c r="C96" s="20"/>
    </row>
    <row r="97" spans="2:3" x14ac:dyDescent="0.35">
      <c r="B97" s="20"/>
      <c r="C97" s="20"/>
    </row>
    <row r="98" spans="2:3" x14ac:dyDescent="0.35">
      <c r="B98" s="20"/>
      <c r="C98" s="20"/>
    </row>
    <row r="99" spans="2:3" x14ac:dyDescent="0.35">
      <c r="B99" s="20"/>
      <c r="C99" s="20"/>
    </row>
    <row r="100" spans="2:3" x14ac:dyDescent="0.35">
      <c r="B100" s="20"/>
      <c r="C100" s="20"/>
    </row>
    <row r="101" spans="2:3" x14ac:dyDescent="0.35">
      <c r="B101" s="20"/>
      <c r="C101" s="20"/>
    </row>
    <row r="102" spans="2:3" x14ac:dyDescent="0.35">
      <c r="B102" s="20"/>
      <c r="C102" s="20"/>
    </row>
    <row r="103" spans="2:3" x14ac:dyDescent="0.35">
      <c r="B103" s="20"/>
      <c r="C103" s="20"/>
    </row>
    <row r="104" spans="2:3" x14ac:dyDescent="0.35">
      <c r="B104" s="20"/>
      <c r="C104" s="20"/>
    </row>
  </sheetData>
  <mergeCells count="8">
    <mergeCell ref="A66:C67"/>
    <mergeCell ref="A32:C32"/>
    <mergeCell ref="A47:C47"/>
    <mergeCell ref="A1:C1"/>
    <mergeCell ref="A2:C2"/>
    <mergeCell ref="A19:C19"/>
    <mergeCell ref="A57:C57"/>
    <mergeCell ref="A65:C6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1898-CA7D-4892-9E96-1BB1A366468A}">
  <dimension ref="A1:D29"/>
  <sheetViews>
    <sheetView workbookViewId="0">
      <pane ySplit="4" topLeftCell="A5" activePane="bottomLeft" state="frozen"/>
      <selection pane="bottomLeft" activeCell="E10" sqref="E10"/>
    </sheetView>
  </sheetViews>
  <sheetFormatPr defaultRowHeight="14.5" x14ac:dyDescent="0.35"/>
  <cols>
    <col min="1" max="1" width="34.54296875" customWidth="1"/>
    <col min="2" max="2" width="20.90625" customWidth="1"/>
    <col min="3" max="3" width="12.7265625" customWidth="1"/>
    <col min="4" max="4" width="47.26953125" customWidth="1"/>
  </cols>
  <sheetData>
    <row r="1" spans="1:4" ht="34" customHeight="1" x14ac:dyDescent="0.55000000000000004">
      <c r="A1" s="245" t="s">
        <v>825</v>
      </c>
      <c r="B1" s="245"/>
      <c r="C1" s="245"/>
      <c r="D1" s="245"/>
    </row>
    <row r="2" spans="1:4" ht="28" customHeight="1" x14ac:dyDescent="0.35">
      <c r="A2" s="246" t="s">
        <v>826</v>
      </c>
      <c r="B2" s="246"/>
      <c r="C2" s="246"/>
      <c r="D2" s="246"/>
    </row>
    <row r="3" spans="1:4" ht="20" customHeight="1" x14ac:dyDescent="0.35">
      <c r="A3" s="120"/>
      <c r="B3" s="120"/>
      <c r="C3" s="120"/>
      <c r="D3" s="120"/>
    </row>
    <row r="4" spans="1:4" ht="24" customHeight="1" x14ac:dyDescent="0.35">
      <c r="A4" s="213" t="s">
        <v>827</v>
      </c>
      <c r="B4" s="213" t="s">
        <v>828</v>
      </c>
      <c r="C4" s="213" t="s">
        <v>829</v>
      </c>
      <c r="D4" s="213" t="s">
        <v>830</v>
      </c>
    </row>
    <row r="5" spans="1:4" ht="20" customHeight="1" x14ac:dyDescent="0.35">
      <c r="A5" s="120" t="s">
        <v>831</v>
      </c>
      <c r="B5" s="214">
        <v>6</v>
      </c>
      <c r="C5" s="120" t="s">
        <v>832</v>
      </c>
      <c r="D5" s="161" t="s">
        <v>833</v>
      </c>
    </row>
    <row r="6" spans="1:4" ht="20" customHeight="1" x14ac:dyDescent="0.35">
      <c r="A6" s="120" t="s">
        <v>834</v>
      </c>
      <c r="B6" s="214">
        <v>12</v>
      </c>
      <c r="C6" s="120" t="s">
        <v>832</v>
      </c>
      <c r="D6" s="161" t="s">
        <v>835</v>
      </c>
    </row>
    <row r="7" spans="1:4" ht="20" customHeight="1" x14ac:dyDescent="0.35">
      <c r="A7" s="120" t="s">
        <v>836</v>
      </c>
      <c r="B7" s="214">
        <v>7.5</v>
      </c>
      <c r="C7" s="120" t="s">
        <v>832</v>
      </c>
      <c r="D7" s="161" t="s">
        <v>837</v>
      </c>
    </row>
    <row r="8" spans="1:4" ht="20" customHeight="1" x14ac:dyDescent="0.35">
      <c r="A8" s="120" t="s">
        <v>838</v>
      </c>
      <c r="B8" s="214">
        <v>10</v>
      </c>
      <c r="C8" s="120" t="s">
        <v>832</v>
      </c>
      <c r="D8" s="161" t="s">
        <v>839</v>
      </c>
    </row>
    <row r="9" spans="1:4" ht="20" customHeight="1" x14ac:dyDescent="0.35">
      <c r="A9" s="120" t="s">
        <v>840</v>
      </c>
      <c r="B9" s="214">
        <v>1</v>
      </c>
      <c r="C9" s="120" t="s">
        <v>832</v>
      </c>
      <c r="D9" s="161" t="s">
        <v>839</v>
      </c>
    </row>
    <row r="10" spans="1:4" ht="20" customHeight="1" x14ac:dyDescent="0.35">
      <c r="A10" s="120" t="s">
        <v>841</v>
      </c>
      <c r="B10" s="214">
        <v>0.5</v>
      </c>
      <c r="C10" s="120" t="s">
        <v>832</v>
      </c>
      <c r="D10" s="161" t="s">
        <v>842</v>
      </c>
    </row>
    <row r="11" spans="1:4" ht="20" customHeight="1" x14ac:dyDescent="0.35">
      <c r="A11" s="120" t="s">
        <v>843</v>
      </c>
      <c r="B11" s="214">
        <v>1.5</v>
      </c>
      <c r="C11" s="120" t="s">
        <v>832</v>
      </c>
      <c r="D11" s="161" t="s">
        <v>844</v>
      </c>
    </row>
    <row r="12" spans="1:4" ht="20" customHeight="1" x14ac:dyDescent="0.35">
      <c r="A12" s="120" t="s">
        <v>115</v>
      </c>
      <c r="B12" s="214">
        <v>12.5</v>
      </c>
      <c r="C12" s="120" t="s">
        <v>845</v>
      </c>
      <c r="D12" s="161" t="s">
        <v>846</v>
      </c>
    </row>
    <row r="13" spans="1:4" ht="20" customHeight="1" x14ac:dyDescent="0.35">
      <c r="A13" s="120" t="s">
        <v>117</v>
      </c>
      <c r="B13" s="215">
        <v>125000</v>
      </c>
      <c r="C13" s="120" t="s">
        <v>847</v>
      </c>
      <c r="D13" s="161" t="s">
        <v>846</v>
      </c>
    </row>
    <row r="14" spans="1:4" ht="20" customHeight="1" x14ac:dyDescent="0.35">
      <c r="A14" s="120" t="s">
        <v>848</v>
      </c>
      <c r="B14" s="214">
        <v>10</v>
      </c>
      <c r="C14" s="120" t="s">
        <v>832</v>
      </c>
      <c r="D14" s="161" t="s">
        <v>849</v>
      </c>
    </row>
    <row r="15" spans="1:4" ht="20" customHeight="1" x14ac:dyDescent="0.35">
      <c r="A15" s="120" t="s">
        <v>850</v>
      </c>
      <c r="B15" s="214">
        <v>10</v>
      </c>
      <c r="C15" s="120" t="s">
        <v>832</v>
      </c>
      <c r="D15" s="161" t="s">
        <v>851</v>
      </c>
    </row>
    <row r="16" spans="1:4" ht="20" customHeight="1" x14ac:dyDescent="0.35">
      <c r="A16" s="120" t="s">
        <v>852</v>
      </c>
      <c r="B16" s="214">
        <v>8</v>
      </c>
      <c r="C16" s="120" t="s">
        <v>832</v>
      </c>
      <c r="D16" s="161" t="s">
        <v>853</v>
      </c>
    </row>
    <row r="17" spans="1:4" ht="20" customHeight="1" x14ac:dyDescent="0.35">
      <c r="A17" s="216" t="s">
        <v>854</v>
      </c>
      <c r="B17" s="217">
        <v>4</v>
      </c>
      <c r="C17" s="216" t="s">
        <v>832</v>
      </c>
      <c r="D17" s="218" t="s">
        <v>855</v>
      </c>
    </row>
    <row r="18" spans="1:4" ht="20" customHeight="1" x14ac:dyDescent="0.35">
      <c r="A18" s="120"/>
      <c r="B18" s="120"/>
      <c r="C18" s="120"/>
      <c r="D18" s="161"/>
    </row>
    <row r="19" spans="1:4" ht="20" customHeight="1" x14ac:dyDescent="0.35">
      <c r="A19" s="247" t="s">
        <v>856</v>
      </c>
      <c r="B19" s="247"/>
      <c r="C19" s="247"/>
      <c r="D19" s="248"/>
    </row>
    <row r="20" spans="1:4" ht="26.5" x14ac:dyDescent="0.35">
      <c r="A20" s="212" t="s">
        <v>857</v>
      </c>
      <c r="B20" s="219" t="s">
        <v>862</v>
      </c>
      <c r="C20" s="212"/>
      <c r="D20" s="219" t="s">
        <v>863</v>
      </c>
    </row>
    <row r="21" spans="1:4" ht="26.5" x14ac:dyDescent="0.35">
      <c r="A21" s="212" t="s">
        <v>859</v>
      </c>
      <c r="B21" s="219" t="s">
        <v>864</v>
      </c>
      <c r="C21" s="212"/>
      <c r="D21" s="219" t="s">
        <v>865</v>
      </c>
    </row>
    <row r="22" spans="1:4" x14ac:dyDescent="0.35">
      <c r="A22" s="212" t="s">
        <v>860</v>
      </c>
      <c r="B22" s="219" t="s">
        <v>858</v>
      </c>
      <c r="C22" s="212"/>
      <c r="D22" s="219" t="s">
        <v>861</v>
      </c>
    </row>
    <row r="23" spans="1:4" x14ac:dyDescent="0.35">
      <c r="A23" t="s">
        <v>866</v>
      </c>
      <c r="B23" s="220">
        <v>3000000</v>
      </c>
      <c r="C23" t="s">
        <v>867</v>
      </c>
      <c r="D23" t="s">
        <v>910</v>
      </c>
    </row>
    <row r="24" spans="1:4" x14ac:dyDescent="0.35">
      <c r="A24" t="s">
        <v>868</v>
      </c>
      <c r="B24" s="220">
        <v>7500000</v>
      </c>
      <c r="C24" t="s">
        <v>867</v>
      </c>
      <c r="D24" t="s">
        <v>910</v>
      </c>
    </row>
    <row r="25" spans="1:4" x14ac:dyDescent="0.35">
      <c r="A25" t="s">
        <v>869</v>
      </c>
      <c r="B25" s="221">
        <v>90</v>
      </c>
      <c r="C25" t="s">
        <v>845</v>
      </c>
      <c r="D25" t="s">
        <v>910</v>
      </c>
    </row>
    <row r="26" spans="1:4" x14ac:dyDescent="0.35">
      <c r="A26" t="s">
        <v>870</v>
      </c>
      <c r="B26" s="221">
        <v>80</v>
      </c>
      <c r="C26" t="s">
        <v>845</v>
      </c>
      <c r="D26" t="s">
        <v>910</v>
      </c>
    </row>
    <row r="27" spans="1:4" x14ac:dyDescent="0.35">
      <c r="A27" t="s">
        <v>871</v>
      </c>
      <c r="B27" s="221">
        <v>75</v>
      </c>
      <c r="C27" t="s">
        <v>845</v>
      </c>
      <c r="D27" t="s">
        <v>910</v>
      </c>
    </row>
    <row r="28" spans="1:4" x14ac:dyDescent="0.35">
      <c r="A28" t="s">
        <v>872</v>
      </c>
      <c r="B28" s="221">
        <v>12.5</v>
      </c>
      <c r="C28" t="s">
        <v>845</v>
      </c>
      <c r="D28" t="s">
        <v>911</v>
      </c>
    </row>
    <row r="29" spans="1:4" x14ac:dyDescent="0.35">
      <c r="A29" t="s">
        <v>873</v>
      </c>
      <c r="B29" s="221">
        <v>0</v>
      </c>
      <c r="C29" t="s">
        <v>874</v>
      </c>
      <c r="D29" t="s">
        <v>875</v>
      </c>
    </row>
  </sheetData>
  <mergeCells count="3">
    <mergeCell ref="A1:D1"/>
    <mergeCell ref="A2:D2"/>
    <mergeCell ref="A19:D19"/>
  </mergeCells>
  <dataValidations count="4">
    <dataValidation type="decimal" operator="greaterThan" allowBlank="1" showInputMessage="1" showErrorMessage="1" errorTitle="Invalid input" error="Enter an amount above 0." promptTitle="Loan-size threshold" prompt="Enter a positive rupee threshold; leave blank until RBI limits are verified." sqref="B23:B24" xr:uid="{2D19E27F-112F-4B66-BA74-F448183DC822}">
      <formula1>0</formula1>
    </dataValidation>
    <dataValidation type="decimal" allowBlank="1" showInputMessage="1" showErrorMessage="1" errorTitle="Invalid input" error="Enter a value from 0 to 100." promptTitle="Percentage" prompt="Enter 0% to 100%; LTV caps may remain blank until verified." sqref="B25:B29" xr:uid="{FC08D255-9CE8-464A-8BB3-2995498B5170}">
      <formula1>0</formula1>
      <formula2>100</formula2>
    </dataValidation>
    <dataValidation type="decimal" allowBlank="1" showInputMessage="1" showErrorMessage="1" errorTitle="Invalid input" error="Rate must be 0 to 100." promptTitle="LTCG tax rate" prompt="Enter 0% to 100%." sqref="B12" xr:uid="{1D1A7224-E67E-4BA3-AC14-E13023B46C2A}">
      <formula1>0</formula1>
      <formula2>100</formula2>
    </dataValidation>
    <dataValidation type="decimal" operator="greaterThanOrEqual" allowBlank="1" showInputMessage="1" showErrorMessage="1" errorTitle="Invalid input" error="Amount cannot be negative." promptTitle="LTCG exemption" prompt="Enter zero or a positive amount." sqref="B13" xr:uid="{EE047DA6-F5D2-4CCA-94B7-1B1AB09C80C6}">
      <formula1>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2697A-9CF6-43CE-8D12-4F91F0B7AFA2}">
  <dimension ref="A1:O40"/>
  <sheetViews>
    <sheetView workbookViewId="0">
      <selection activeCell="E6" sqref="E6"/>
    </sheetView>
  </sheetViews>
  <sheetFormatPr defaultRowHeight="14.5" x14ac:dyDescent="0.35"/>
  <cols>
    <col min="1" max="1" width="34.36328125" bestFit="1" customWidth="1"/>
    <col min="2" max="2" width="11.453125" bestFit="1" customWidth="1"/>
    <col min="3" max="3" width="14.1796875" customWidth="1"/>
    <col min="4" max="4" width="30.26953125" bestFit="1" customWidth="1"/>
    <col min="5" max="5" width="14.90625" customWidth="1"/>
    <col min="6" max="6" width="14.1796875" customWidth="1"/>
    <col min="7" max="7" width="70.90625" customWidth="1"/>
    <col min="8" max="8" width="15.453125" customWidth="1"/>
    <col min="9" max="9" width="16" customWidth="1"/>
    <col min="10" max="10" width="13.08984375" customWidth="1"/>
    <col min="11" max="11" width="16.36328125" customWidth="1"/>
    <col min="13" max="15" width="20" customWidth="1"/>
  </cols>
  <sheetData>
    <row r="1" spans="1:15" ht="23.5" x14ac:dyDescent="0.55000000000000004">
      <c r="A1" s="252" t="s">
        <v>177</v>
      </c>
      <c r="B1" s="252"/>
      <c r="C1" s="252"/>
      <c r="D1" s="252"/>
      <c r="E1" s="252"/>
      <c r="F1" s="252"/>
      <c r="G1" s="253"/>
      <c r="H1" s="252"/>
      <c r="I1" s="252"/>
      <c r="J1" s="252"/>
      <c r="K1" s="252"/>
    </row>
    <row r="2" spans="1:15" x14ac:dyDescent="0.35">
      <c r="A2" s="254" t="s">
        <v>209</v>
      </c>
      <c r="B2" s="254"/>
      <c r="C2" s="254"/>
      <c r="D2" s="254"/>
      <c r="E2" s="254"/>
      <c r="F2" s="254"/>
      <c r="G2" s="254"/>
      <c r="H2" s="254"/>
      <c r="I2" s="254"/>
      <c r="J2" s="254"/>
      <c r="K2" s="254"/>
    </row>
    <row r="3" spans="1:15" x14ac:dyDescent="0.35">
      <c r="G3" s="20"/>
    </row>
    <row r="4" spans="1:15" x14ac:dyDescent="0.35">
      <c r="A4" s="251" t="s">
        <v>178</v>
      </c>
      <c r="B4" s="251"/>
      <c r="D4" s="251" t="s">
        <v>179</v>
      </c>
      <c r="E4" s="251"/>
      <c r="G4" s="255" t="s">
        <v>180</v>
      </c>
      <c r="H4" s="251"/>
      <c r="I4" s="251"/>
      <c r="J4" s="251"/>
      <c r="K4" s="251"/>
      <c r="M4" s="170" t="s">
        <v>816</v>
      </c>
      <c r="N4" s="170"/>
      <c r="O4" s="170"/>
    </row>
    <row r="5" spans="1:15" x14ac:dyDescent="0.35">
      <c r="A5" s="36" t="s">
        <v>0</v>
      </c>
      <c r="B5" s="37">
        <v>10000000</v>
      </c>
      <c r="D5" s="40" t="s">
        <v>10</v>
      </c>
      <c r="E5" s="41">
        <f>-PMT($B$7/1200,$B$8*12,$B$6)</f>
        <v>60419.48951638554</v>
      </c>
      <c r="G5" s="256" t="str">
        <f>"1. After "&amp;TEXT($B$8,"0")&amp;" years, buying creates real net wealth of ₹"&amp;TEXT($E$9,"##,##,##0")&amp;" versus ₹"&amp;TEXT($E$10,"##,##,##0")&amp;" from renting and investing."</f>
        <v>1. After 20 years, buying creates real net wealth of ₹1,87,44,336 versus ₹1,26,30,239 from renting and investing.</v>
      </c>
      <c r="H5" s="256"/>
      <c r="I5" s="256"/>
      <c r="J5" s="256"/>
      <c r="K5" s="256"/>
      <c r="M5" s="4" t="s">
        <v>817</v>
      </c>
      <c r="N5" s="4" t="s">
        <v>818</v>
      </c>
      <c r="O5" s="4" t="s">
        <v>819</v>
      </c>
    </row>
    <row r="6" spans="1:15" x14ac:dyDescent="0.35">
      <c r="A6" s="36" t="s">
        <v>1</v>
      </c>
      <c r="B6" s="37">
        <v>7500000</v>
      </c>
      <c r="D6" s="40" t="s">
        <v>14</v>
      </c>
      <c r="E6" s="41">
        <f>$B$5*$B$9/100</f>
        <v>100000</v>
      </c>
      <c r="G6" s="256" t="str">
        <f>"2. "&amp;IF($E$11&gt;=0,"Buying leads by ₹","Renting and investing leads by ₹")&amp;TEXT(ABS($E$11),"##,##,##0")&amp;" in today’s rupees under the selected assumptions."</f>
        <v>2. Buying leads by ₹61,14,097 in today’s rupees under the selected assumptions.</v>
      </c>
      <c r="H6" s="256"/>
      <c r="I6" s="256"/>
      <c r="J6" s="256"/>
      <c r="K6" s="256"/>
      <c r="M6" s="171">
        <v>8</v>
      </c>
      <c r="N6" t="str">
        <f>IF('Rent Buy Sensitivity'!L21&gt;=0,"Buy","Rent + Invest")</f>
        <v>Buy</v>
      </c>
      <c r="O6" s="172">
        <f>ABS('Rent Buy Sensitivity'!L21)</f>
        <v>13253942.693273127</v>
      </c>
    </row>
    <row r="7" spans="1:15" x14ac:dyDescent="0.35">
      <c r="A7" s="36" t="s">
        <v>181</v>
      </c>
      <c r="B7" s="38">
        <f>'Common Assumptions'!$B$7</f>
        <v>7.5</v>
      </c>
      <c r="D7" s="40" t="s">
        <v>187</v>
      </c>
      <c r="E7" s="41">
        <f>$B$5-$B$6+$E$5*$B$8*12+$E$6*$B$8</f>
        <v>19000677.483932529</v>
      </c>
      <c r="G7" s="256" t="str">
        <f>"3. The renter starts by investing the avoided down payment of ₹"&amp;TEXT($B$5-$B$6,"##,##,##0")&amp;" and then invests EMI plus maintenance less rent each month."</f>
        <v>3. The renter starts by investing the avoided down payment of ₹25,00,000 and then invests EMI plus maintenance less rent each month.</v>
      </c>
      <c r="H7" s="256"/>
      <c r="I7" s="256"/>
      <c r="J7" s="256"/>
      <c r="K7" s="256"/>
      <c r="M7" s="171">
        <v>10</v>
      </c>
      <c r="N7" t="str">
        <f>IF('Rent Buy Sensitivity'!L41&gt;=0,"Buy","Rent + Invest")</f>
        <v>Buy</v>
      </c>
      <c r="O7" s="172">
        <f>ABS('Rent Buy Sensitivity'!L41)</f>
        <v>10347580.918156596</v>
      </c>
    </row>
    <row r="8" spans="1:15" x14ac:dyDescent="0.35">
      <c r="A8" s="36" t="s">
        <v>3</v>
      </c>
      <c r="B8" s="39">
        <v>20</v>
      </c>
      <c r="D8" s="40" t="s">
        <v>188</v>
      </c>
      <c r="E8" s="41">
        <f>$B$13*12*IF($B$14=0,$B$8,((1+$B$14/100)^$B$8-1)/($B$14/100))</f>
        <v>17182499.847976826</v>
      </c>
      <c r="G8" s="256" t="str">
        <f>"4. Starting rent is ₹"&amp;TEXT($B$13,"##,##,##0")&amp;" per month, rising "&amp;TEXT($B$14/100,"0.0%")&amp;" yearly; investment returns are assumed at "&amp;TEXT($B$12/100,"0.0%")&amp;" nominally."</f>
        <v>4. Starting rent is ₹25,000 per month, rising 10.0% yearly; investment returns are assumed at 12.0% nominally.</v>
      </c>
      <c r="H8" s="256"/>
      <c r="I8" s="256"/>
      <c r="J8" s="256"/>
      <c r="K8" s="256"/>
      <c r="M8" s="176">
        <v>12</v>
      </c>
      <c r="N8" s="177" t="str">
        <f>IF('Rent Buy Sensitivity'!L61&gt;=0,"Buy","Rent + Invest")</f>
        <v>Buy</v>
      </c>
      <c r="O8" s="178">
        <f>ABS('Rent Buy Sensitivity'!L61)</f>
        <v>6114096.8102760632</v>
      </c>
    </row>
    <row r="9" spans="1:15" x14ac:dyDescent="0.35">
      <c r="A9" s="36" t="s">
        <v>182</v>
      </c>
      <c r="B9" s="38">
        <f>'Common Assumptions'!$B$9</f>
        <v>1</v>
      </c>
      <c r="D9" s="40" t="s">
        <v>189</v>
      </c>
      <c r="E9" s="41" cm="1">
        <f t="array" ref="E9">INDEX($H$21:$H$40,$B$8)</f>
        <v>18744335.896456756</v>
      </c>
      <c r="G9" s="20"/>
      <c r="M9" s="171">
        <v>14</v>
      </c>
      <c r="N9" t="str">
        <f>IF('Rent Buy Sensitivity'!L81&gt;=0,"Buy","Rent + Invest")</f>
        <v>Rent + Invest</v>
      </c>
      <c r="O9" s="172">
        <f>ABS('Rent Buy Sensitivity'!L81)</f>
        <v>47883.547828767449</v>
      </c>
    </row>
    <row r="10" spans="1:15" x14ac:dyDescent="0.35">
      <c r="A10" s="36" t="s">
        <v>183</v>
      </c>
      <c r="B10" s="38">
        <f>'Common Assumptions'!$B$8</f>
        <v>10</v>
      </c>
      <c r="D10" s="40" t="s">
        <v>190</v>
      </c>
      <c r="E10" s="41" cm="1">
        <f t="array" ref="E10">INDEX($K$21:$K$40,$B$8)</f>
        <v>12630239.086180693</v>
      </c>
      <c r="G10" s="257" t="s">
        <v>193</v>
      </c>
      <c r="H10" s="258"/>
      <c r="I10" s="258"/>
      <c r="J10" s="258"/>
      <c r="K10" s="258"/>
      <c r="M10" s="173">
        <v>16</v>
      </c>
      <c r="N10" s="174" t="str">
        <f>IF('Rent Buy Sensitivity'!L101&gt;=0,"Buy","Rent + Invest")</f>
        <v>Rent + Invest</v>
      </c>
      <c r="O10" s="175">
        <f>ABS('Rent Buy Sensitivity'!L101)</f>
        <v>9013194.6362622567</v>
      </c>
    </row>
    <row r="11" spans="1:15" x14ac:dyDescent="0.35">
      <c r="A11" s="36" t="s">
        <v>184</v>
      </c>
      <c r="B11" s="38">
        <f>'Common Assumptions'!$B$5</f>
        <v>6</v>
      </c>
      <c r="D11" s="40" t="s">
        <v>191</v>
      </c>
      <c r="E11" s="41">
        <f>E9-E10</f>
        <v>6114096.8102760632</v>
      </c>
      <c r="G11" s="250" t="s">
        <v>194</v>
      </c>
      <c r="H11" s="250"/>
      <c r="I11" s="250"/>
      <c r="J11" s="250"/>
      <c r="K11" s="250"/>
    </row>
    <row r="12" spans="1:15" x14ac:dyDescent="0.35">
      <c r="A12" s="36" t="s">
        <v>824</v>
      </c>
      <c r="B12" s="38">
        <f>'Common Assumptions'!$B$6</f>
        <v>12</v>
      </c>
      <c r="D12" s="40" t="s">
        <v>192</v>
      </c>
      <c r="E12" s="42" t="str">
        <f>IF(E11&gt;=0,"BUY LEADS","RENT + INVEST LEADS")</f>
        <v>BUY LEADS</v>
      </c>
      <c r="G12" s="250" t="s">
        <v>195</v>
      </c>
      <c r="H12" s="250"/>
      <c r="I12" s="250"/>
      <c r="J12" s="250"/>
      <c r="K12" s="250"/>
      <c r="M12" s="249" t="s">
        <v>820</v>
      </c>
      <c r="N12" s="249"/>
      <c r="O12" s="249"/>
    </row>
    <row r="13" spans="1:15" x14ac:dyDescent="0.35">
      <c r="A13" s="36" t="s">
        <v>185</v>
      </c>
      <c r="B13" s="37">
        <v>25000</v>
      </c>
      <c r="G13" s="250" t="s">
        <v>196</v>
      </c>
      <c r="H13" s="250"/>
      <c r="I13" s="250"/>
      <c r="J13" s="250"/>
      <c r="K13" s="250"/>
    </row>
    <row r="14" spans="1:15" x14ac:dyDescent="0.35">
      <c r="A14" s="36" t="s">
        <v>186</v>
      </c>
      <c r="B14" s="38">
        <f>'Common Assumptions'!$B$14</f>
        <v>10</v>
      </c>
      <c r="G14" s="250" t="s">
        <v>900</v>
      </c>
      <c r="H14" s="250"/>
      <c r="I14" s="250"/>
      <c r="J14" s="250"/>
      <c r="K14" s="250"/>
    </row>
    <row r="15" spans="1:15" x14ac:dyDescent="0.35">
      <c r="A15" s="36" t="s">
        <v>86</v>
      </c>
      <c r="B15" s="38">
        <f>'Common Assumptions'!$B$12</f>
        <v>12.5</v>
      </c>
      <c r="G15" s="250" t="s">
        <v>197</v>
      </c>
      <c r="H15" s="250"/>
      <c r="I15" s="250"/>
      <c r="J15" s="250"/>
      <c r="K15" s="250"/>
    </row>
    <row r="16" spans="1:15" x14ac:dyDescent="0.35">
      <c r="A16" s="36" t="s">
        <v>87</v>
      </c>
      <c r="B16" s="37">
        <f>'Common Assumptions'!$B$13</f>
        <v>125000</v>
      </c>
      <c r="G16" s="250" t="s">
        <v>198</v>
      </c>
      <c r="H16" s="250"/>
      <c r="I16" s="250"/>
      <c r="J16" s="250"/>
      <c r="K16" s="250"/>
    </row>
    <row r="17" spans="1:11" x14ac:dyDescent="0.35">
      <c r="A17" t="s">
        <v>13</v>
      </c>
      <c r="B17" s="225">
        <f>$B$6/$B$5</f>
        <v>0.75</v>
      </c>
      <c r="D17" t="s">
        <v>899</v>
      </c>
      <c r="E17" t="str">
        <f>IF(OR('Common Assumptions'!$B$23="",'Common Assumptions'!$B$24="",'Common Assumptions'!$B$25="",'Common Assumptions'!$B$26="",'Common Assumptions'!$B$27=""),"",IF(B17&gt;IF($B$6&lt;='Common Assumptions'!$B$23,'Common Assumptions'!$B$25/100,IF($B$6&lt;='Common Assumptions'!$B$24,'Common Assumptions'!$B$26/100,'Common Assumptions'!$B$27/100)),"Above regulatory LTV limit for this loan size: verify with your lender","Within configured LTV limit"))</f>
        <v>Within configured LTV limit</v>
      </c>
    </row>
    <row r="19" spans="1:11" x14ac:dyDescent="0.35">
      <c r="A19" s="251" t="s">
        <v>199</v>
      </c>
      <c r="B19" s="251"/>
      <c r="C19" s="251"/>
      <c r="D19" s="251"/>
      <c r="E19" s="251"/>
      <c r="F19" s="251"/>
      <c r="G19" s="251"/>
      <c r="H19" s="251"/>
      <c r="I19" s="251"/>
      <c r="J19" s="251"/>
      <c r="K19" s="251"/>
    </row>
    <row r="20" spans="1:11" ht="29" x14ac:dyDescent="0.35">
      <c r="A20" s="27" t="s">
        <v>73</v>
      </c>
      <c r="B20" s="27" t="s">
        <v>200</v>
      </c>
      <c r="C20" s="27" t="s">
        <v>201</v>
      </c>
      <c r="D20" s="27" t="s">
        <v>202</v>
      </c>
      <c r="E20" s="27" t="s">
        <v>203</v>
      </c>
      <c r="F20" s="27" t="s">
        <v>204</v>
      </c>
      <c r="G20" s="27" t="s">
        <v>205</v>
      </c>
      <c r="H20" s="27" t="s">
        <v>189</v>
      </c>
      <c r="I20" s="27" t="s">
        <v>206</v>
      </c>
      <c r="J20" s="27" t="s">
        <v>207</v>
      </c>
      <c r="K20" s="27" t="s">
        <v>208</v>
      </c>
    </row>
    <row r="21" spans="1:11" x14ac:dyDescent="0.35">
      <c r="A21" s="45">
        <f>1</f>
        <v>1</v>
      </c>
      <c r="B21" s="46">
        <f>$B$13*12*(1+$B$14/100)^(A21-1)</f>
        <v>300000</v>
      </c>
      <c r="C21" s="46">
        <f>$E$5+$E$6/12-$B$13*(1+$B$14/100)^(A21-1)</f>
        <v>43752.822849718868</v>
      </c>
      <c r="D21" s="46">
        <f>$B$5-$B$6+C21*12</f>
        <v>3025033.8741966262</v>
      </c>
      <c r="E21" s="46">
        <f>$B$5*(1+$B$10/100)^A21</f>
        <v>11000000</v>
      </c>
      <c r="F21" s="46">
        <f>IF(A21&gt;=$B$8,0,MAX(0,-FV($B$7/1200,A21*12,-$E$5,$B$6)))</f>
        <v>7331760.9725863561</v>
      </c>
      <c r="G21" s="46">
        <f>E21-E21*'Common Assumptions'!$B$29/100-MAX(0,E21-$B$5-E21*'Common Assumptions'!$B$29/100)*'Common Assumptions'!$B$28/100-F21</f>
        <v>3543239.0274136439</v>
      </c>
      <c r="H21" s="46">
        <f>G21/(1+$B$11/100)^A21</f>
        <v>3342678.3277487205</v>
      </c>
      <c r="I21" s="46">
        <f>($B$5-$B$6)*(1+$B$12/1200)^12+FV($B$12/1200,12,-C21,0,0)</f>
        <v>3371957.8829573574</v>
      </c>
      <c r="J21" s="46">
        <f>MAX(0,I21-D21-$B$16)*$B$15/100</f>
        <v>27740.501095091404</v>
      </c>
      <c r="K21" s="46">
        <f>(I21-J21)/(1+$B$11/100)^A21</f>
        <v>3154922.0583606283</v>
      </c>
    </row>
    <row r="22" spans="1:11" x14ac:dyDescent="0.35">
      <c r="A22" s="43">
        <f>A21+1</f>
        <v>2</v>
      </c>
      <c r="B22" s="44">
        <f>$B$13*12*(1+$B$14/100)^(A22-1)</f>
        <v>330000</v>
      </c>
      <c r="C22" s="44">
        <f>$E$5+$E$6/12-$B$13*(1+$B$14/100)^(A22-1)</f>
        <v>41252.822849718868</v>
      </c>
      <c r="D22" s="44">
        <f>D21+C22*12</f>
        <v>3520067.7483932525</v>
      </c>
      <c r="E22" s="44">
        <f>$B$5*(1+$B$10/100)^A22</f>
        <v>12100000.000000002</v>
      </c>
      <c r="F22" s="44">
        <f>IF(A22&gt;=$B$8,0,MAX(0,-FV($B$7/1200,A22*12,-$E$5,$B$6)))</f>
        <v>7150461.1122455802</v>
      </c>
      <c r="G22" s="44">
        <f>E22-E22*'Common Assumptions'!$B$29/100-MAX(0,E22-$B$5-E22*'Common Assumptions'!$B$29/100)*'Common Assumptions'!$B$28/100-F22</f>
        <v>4687038.8877544217</v>
      </c>
      <c r="H22" s="44">
        <f>G22/(1+$B$11/100)^A22</f>
        <v>4171447.9243097375</v>
      </c>
      <c r="I22" s="44">
        <f>I21*(1+$B$12/1200)^12+FV($B$12/1200,12,-C22,0,0)</f>
        <v>4322795.5931615978</v>
      </c>
      <c r="J22" s="44">
        <f>MAX(0,I22-D22-$B$16)*$B$15/100</f>
        <v>84715.980596043169</v>
      </c>
      <c r="K22" s="44">
        <f>(I22-J22)/(1+$B$11/100)^A22</f>
        <v>3771875.7676802725</v>
      </c>
    </row>
    <row r="23" spans="1:11" x14ac:dyDescent="0.35">
      <c r="A23" s="45">
        <f t="shared" ref="A23:A40" si="0">A22+1</f>
        <v>3</v>
      </c>
      <c r="B23" s="46">
        <f t="shared" ref="B23:B40" si="1">$B$13*12*(1+$B$14/100)^(A23-1)</f>
        <v>363000.00000000006</v>
      </c>
      <c r="C23" s="46">
        <f t="shared" ref="C23:C40" si="2">$E$5+$E$6/12-$B$13*(1+$B$14/100)^(A23-1)</f>
        <v>38502.822849718868</v>
      </c>
      <c r="D23" s="46">
        <f t="shared" ref="D23:D40" si="3">D22+C23*12</f>
        <v>3982101.6225898787</v>
      </c>
      <c r="E23" s="46">
        <f t="shared" ref="E23:E40" si="4">$B$5*(1+$B$10/100)^A23</f>
        <v>13310000.000000004</v>
      </c>
      <c r="F23" s="46">
        <f t="shared" ref="F23:F40" si="5">IF(A23&gt;=$B$8,0,MAX(0,-FV($B$7/1200,A23*12,-$E$5,$B$6)))</f>
        <v>6955086.4725743141</v>
      </c>
      <c r="G23" s="46">
        <f>E23-E23*'Common Assumptions'!$B$29/100-MAX(0,E23-$B$5-E23*'Common Assumptions'!$B$29/100)*'Common Assumptions'!$B$28/100-F23</f>
        <v>5941163.5274256896</v>
      </c>
      <c r="H23" s="46">
        <f t="shared" ref="H23:H40" si="6">G23/(1+$B$11/100)^A23</f>
        <v>4988315.4612748176</v>
      </c>
      <c r="I23" s="46">
        <f t="shared" ref="I23:I40" si="7">I22*(1+$B$12/1200)^12+FV($B$12/1200,12,-C23,0,0)</f>
        <v>5359346.4413268128</v>
      </c>
      <c r="J23" s="46">
        <f t="shared" ref="J23:J40" si="8">MAX(0,I23-D23-$B$16)*$B$15/100</f>
        <v>156530.60234211676</v>
      </c>
      <c r="K23" s="46">
        <f t="shared" ref="K23:K40" si="9">(I23-J23)/(1+$B$11/100)^A23</f>
        <v>4368384.5044774339</v>
      </c>
    </row>
    <row r="24" spans="1:11" x14ac:dyDescent="0.35">
      <c r="A24" s="43">
        <f t="shared" si="0"/>
        <v>4</v>
      </c>
      <c r="B24" s="44">
        <f t="shared" si="1"/>
        <v>399300.00000000012</v>
      </c>
      <c r="C24" s="44">
        <f t="shared" si="2"/>
        <v>35477.822849718861</v>
      </c>
      <c r="D24" s="44">
        <f t="shared" si="3"/>
        <v>4407835.496786505</v>
      </c>
      <c r="E24" s="44">
        <f t="shared" si="4"/>
        <v>14641000.000000004</v>
      </c>
      <c r="F24" s="44">
        <f t="shared" si="5"/>
        <v>6744544.3918748088</v>
      </c>
      <c r="G24" s="44">
        <f>E24-E24*'Common Assumptions'!$B$29/100-MAX(0,E24-$B$5-E24*'Common Assumptions'!$B$29/100)*'Common Assumptions'!$B$28/100-F24</f>
        <v>7316330.6081251949</v>
      </c>
      <c r="H24" s="44">
        <f t="shared" si="6"/>
        <v>5795219.1128503392</v>
      </c>
      <c r="I24" s="44">
        <f t="shared" si="7"/>
        <v>6488993.3104289789</v>
      </c>
      <c r="J24" s="44">
        <f t="shared" si="8"/>
        <v>244519.72670530924</v>
      </c>
      <c r="K24" s="44">
        <f t="shared" si="9"/>
        <v>4946207.9559247307</v>
      </c>
    </row>
    <row r="25" spans="1:11" x14ac:dyDescent="0.35">
      <c r="A25" s="45">
        <f t="shared" si="0"/>
        <v>5</v>
      </c>
      <c r="B25" s="46">
        <f t="shared" si="1"/>
        <v>439230.00000000012</v>
      </c>
      <c r="C25" s="46">
        <f t="shared" si="2"/>
        <v>32150.322849718861</v>
      </c>
      <c r="D25" s="46">
        <f t="shared" si="3"/>
        <v>4793639.3709831312</v>
      </c>
      <c r="E25" s="46">
        <f t="shared" si="4"/>
        <v>16105100.000000006</v>
      </c>
      <c r="F25" s="46">
        <f t="shared" si="5"/>
        <v>6517657.3822820429</v>
      </c>
      <c r="G25" s="46">
        <f>E25-E25*'Common Assumptions'!$B$29/100-MAX(0,E25-$B$5-E25*'Common Assumptions'!$B$29/100)*'Common Assumptions'!$B$28/100-F25</f>
        <v>8824305.1177179627</v>
      </c>
      <c r="H25" s="46">
        <f t="shared" si="6"/>
        <v>6594034.1190785198</v>
      </c>
      <c r="I25" s="46">
        <f t="shared" si="7"/>
        <v>7719706.6489670994</v>
      </c>
      <c r="J25" s="46">
        <f t="shared" si="8"/>
        <v>350133.40974799602</v>
      </c>
      <c r="K25" s="46">
        <f t="shared" si="9"/>
        <v>5506973.8335414557</v>
      </c>
    </row>
    <row r="26" spans="1:11" x14ac:dyDescent="0.35">
      <c r="A26" s="43">
        <f t="shared" si="0"/>
        <v>6</v>
      </c>
      <c r="B26" s="44">
        <f t="shared" si="1"/>
        <v>483153.00000000017</v>
      </c>
      <c r="C26" s="44">
        <f t="shared" si="2"/>
        <v>28490.072849718854</v>
      </c>
      <c r="D26" s="44">
        <f t="shared" si="3"/>
        <v>5135520.2451797575</v>
      </c>
      <c r="E26" s="44">
        <f t="shared" si="4"/>
        <v>17715610.000000007</v>
      </c>
      <c r="F26" s="44">
        <f t="shared" si="5"/>
        <v>6273156.5444879187</v>
      </c>
      <c r="G26" s="44">
        <f>E26-E26*'Common Assumptions'!$B$29/100-MAX(0,E26-$B$5-E26*'Common Assumptions'!$B$29/100)*'Common Assumptions'!$B$28/100-F26</f>
        <v>10478002.205512088</v>
      </c>
      <c r="H26" s="44">
        <f t="shared" si="6"/>
        <v>7386578.0975259217</v>
      </c>
      <c r="I26" s="44">
        <f t="shared" si="7"/>
        <v>9060084.1120950803</v>
      </c>
      <c r="J26" s="44">
        <f t="shared" si="8"/>
        <v>474945.4833644153</v>
      </c>
      <c r="K26" s="44">
        <f t="shared" si="9"/>
        <v>6052183.9674595119</v>
      </c>
    </row>
    <row r="27" spans="1:11" x14ac:dyDescent="0.35">
      <c r="A27" s="45">
        <f t="shared" si="0"/>
        <v>7</v>
      </c>
      <c r="B27" s="46">
        <f t="shared" si="1"/>
        <v>531468.30000000028</v>
      </c>
      <c r="C27" s="46">
        <f t="shared" si="2"/>
        <v>24463.797849718845</v>
      </c>
      <c r="D27" s="46">
        <f t="shared" si="3"/>
        <v>5429085.8193763839</v>
      </c>
      <c r="E27" s="46">
        <f t="shared" si="4"/>
        <v>19487171.000000011</v>
      </c>
      <c r="F27" s="46">
        <f t="shared" si="5"/>
        <v>6009674.4712333586</v>
      </c>
      <c r="G27" s="46">
        <f>E27-E27*'Common Assumptions'!$B$29/100-MAX(0,E27-$B$5-E27*'Common Assumptions'!$B$29/100)*'Common Assumptions'!$B$28/100-F27</f>
        <v>12291600.153766653</v>
      </c>
      <c r="H27" s="46">
        <f t="shared" si="6"/>
        <v>8174616.1200639112</v>
      </c>
      <c r="I27" s="46">
        <f t="shared" si="7"/>
        <v>10519391.74255302</v>
      </c>
      <c r="J27" s="46">
        <f t="shared" si="8"/>
        <v>620663.2403970795</v>
      </c>
      <c r="K27" s="46">
        <f t="shared" si="9"/>
        <v>6583219.8061749795</v>
      </c>
    </row>
    <row r="28" spans="1:11" x14ac:dyDescent="0.35">
      <c r="A28" s="43">
        <f t="shared" si="0"/>
        <v>8</v>
      </c>
      <c r="B28" s="44">
        <f t="shared" si="1"/>
        <v>584615.13000000035</v>
      </c>
      <c r="C28" s="44">
        <f t="shared" si="2"/>
        <v>20034.895349718841</v>
      </c>
      <c r="D28" s="44">
        <f t="shared" si="3"/>
        <v>5669504.5635730103</v>
      </c>
      <c r="E28" s="44">
        <f t="shared" si="4"/>
        <v>21435888.100000013</v>
      </c>
      <c r="F28" s="44">
        <f t="shared" si="5"/>
        <v>5725737.5998800723</v>
      </c>
      <c r="G28" s="44">
        <f>E28-E28*'Common Assumptions'!$B$29/100-MAX(0,E28-$B$5-E28*'Common Assumptions'!$B$29/100)*'Common Assumptions'!$B$28/100-F28</f>
        <v>14280664.487619936</v>
      </c>
      <c r="H28" s="44">
        <f t="shared" si="6"/>
        <v>8959865.5705146343</v>
      </c>
      <c r="I28" s="44">
        <f t="shared" si="7"/>
        <v>12107606.537914196</v>
      </c>
      <c r="J28" s="44">
        <f t="shared" si="8"/>
        <v>789137.74679264834</v>
      </c>
      <c r="K28" s="44">
        <f t="shared" si="9"/>
        <v>7101347.3441960271</v>
      </c>
    </row>
    <row r="29" spans="1:11" x14ac:dyDescent="0.35">
      <c r="A29" s="45">
        <f t="shared" si="0"/>
        <v>9</v>
      </c>
      <c r="B29" s="46">
        <f t="shared" si="1"/>
        <v>643076.64300000039</v>
      </c>
      <c r="C29" s="46">
        <f t="shared" si="2"/>
        <v>15163.102599718841</v>
      </c>
      <c r="D29" s="46">
        <f t="shared" si="3"/>
        <v>5851461.7947696364</v>
      </c>
      <c r="E29" s="46">
        <f t="shared" si="4"/>
        <v>23579476.910000015</v>
      </c>
      <c r="F29" s="46">
        <f t="shared" si="5"/>
        <v>5419757.9712925795</v>
      </c>
      <c r="G29" s="46">
        <f>E29-E29*'Common Assumptions'!$B$29/100-MAX(0,E29-$B$5-E29*'Common Assumptions'!$B$29/100)*'Common Assumptions'!$B$28/100-F29</f>
        <v>16462284.324957432</v>
      </c>
      <c r="H29" s="46">
        <f t="shared" si="6"/>
        <v>9744000.7981367186</v>
      </c>
      <c r="I29" s="46">
        <f t="shared" si="7"/>
        <v>13835460.196321547</v>
      </c>
      <c r="J29" s="46">
        <f t="shared" si="8"/>
        <v>982374.80019398883</v>
      </c>
      <c r="K29" s="46">
        <f t="shared" si="9"/>
        <v>7607721.4975881036</v>
      </c>
    </row>
    <row r="30" spans="1:11" x14ac:dyDescent="0.35">
      <c r="A30" s="43">
        <f t="shared" si="0"/>
        <v>10</v>
      </c>
      <c r="B30" s="44">
        <f t="shared" si="1"/>
        <v>707384.30730000045</v>
      </c>
      <c r="C30" s="44">
        <f t="shared" si="2"/>
        <v>9804.1305747188308</v>
      </c>
      <c r="D30" s="44">
        <f t="shared" si="3"/>
        <v>5969111.3616662621</v>
      </c>
      <c r="E30" s="44">
        <f t="shared" si="4"/>
        <v>25937424.601000018</v>
      </c>
      <c r="F30" s="44">
        <f t="shared" si="5"/>
        <v>5090024.3489408363</v>
      </c>
      <c r="G30" s="44">
        <f>E30-E30*'Common Assumptions'!$B$29/100-MAX(0,E30-$B$5-E30*'Common Assumptions'!$B$29/100)*'Common Assumptions'!$B$28/100-F30</f>
        <v>18855222.176934183</v>
      </c>
      <c r="H30" s="44">
        <f t="shared" si="6"/>
        <v>10528657.581174146</v>
      </c>
      <c r="I30" s="44">
        <f t="shared" si="7"/>
        <v>15714483.768165344</v>
      </c>
      <c r="J30" s="44">
        <f t="shared" si="8"/>
        <v>1202546.5508123853</v>
      </c>
      <c r="K30" s="44">
        <f t="shared" si="9"/>
        <v>8103389.9450900014</v>
      </c>
    </row>
    <row r="31" spans="1:11" x14ac:dyDescent="0.35">
      <c r="A31" s="45">
        <f t="shared" si="0"/>
        <v>11</v>
      </c>
      <c r="B31" s="46">
        <f t="shared" si="1"/>
        <v>778122.73803000059</v>
      </c>
      <c r="C31" s="46">
        <f t="shared" si="2"/>
        <v>3909.2613472188241</v>
      </c>
      <c r="D31" s="46">
        <f t="shared" si="3"/>
        <v>6016022.4978328878</v>
      </c>
      <c r="E31" s="46">
        <f t="shared" si="4"/>
        <v>28531167.061100025</v>
      </c>
      <c r="F31" s="46">
        <f t="shared" si="5"/>
        <v>4734692.6485557146</v>
      </c>
      <c r="G31" s="46">
        <f>E31-E31*'Common Assumptions'!$B$29/100-MAX(0,E31-$B$5-E31*'Common Assumptions'!$B$29/100)*'Common Assumptions'!$B$28/100-F31</f>
        <v>21480078.529906806</v>
      </c>
      <c r="H31" s="46">
        <f t="shared" si="6"/>
        <v>11315437.413987285</v>
      </c>
      <c r="I31" s="46">
        <f t="shared" si="7"/>
        <v>17757052.864386741</v>
      </c>
      <c r="J31" s="46">
        <f t="shared" si="8"/>
        <v>1452003.7958192318</v>
      </c>
      <c r="K31" s="46">
        <f t="shared" si="9"/>
        <v>8589296.4502196256</v>
      </c>
    </row>
    <row r="32" spans="1:11" x14ac:dyDescent="0.35">
      <c r="A32" s="43">
        <f t="shared" si="0"/>
        <v>12</v>
      </c>
      <c r="B32" s="44">
        <f t="shared" si="1"/>
        <v>855935.0118330007</v>
      </c>
      <c r="C32" s="44">
        <f t="shared" si="2"/>
        <v>-2575.0948030311993</v>
      </c>
      <c r="D32" s="44">
        <f t="shared" si="3"/>
        <v>5985121.3601965131</v>
      </c>
      <c r="E32" s="44">
        <f t="shared" si="4"/>
        <v>31384283.767210025</v>
      </c>
      <c r="F32" s="44">
        <f t="shared" si="5"/>
        <v>4351775.6248137653</v>
      </c>
      <c r="G32" s="44">
        <f>E32-E32*'Common Assumptions'!$B$29/100-MAX(0,E32-$B$5-E32*'Common Assumptions'!$B$29/100)*'Common Assumptions'!$B$28/100-F32</f>
        <v>24359472.671495005</v>
      </c>
      <c r="H32" s="44">
        <f t="shared" si="6"/>
        <v>12105911.630624209</v>
      </c>
      <c r="I32" s="44">
        <f t="shared" si="7"/>
        <v>19976432.981368858</v>
      </c>
      <c r="J32" s="44">
        <f t="shared" si="8"/>
        <v>1733288.9526465433</v>
      </c>
      <c r="K32" s="44">
        <f t="shared" si="9"/>
        <v>9066283.6775976866</v>
      </c>
    </row>
    <row r="33" spans="1:11" x14ac:dyDescent="0.35">
      <c r="A33" s="45">
        <f t="shared" si="0"/>
        <v>13</v>
      </c>
      <c r="B33" s="46">
        <f t="shared" si="1"/>
        <v>941528.51301630074</v>
      </c>
      <c r="C33" s="46">
        <f t="shared" si="2"/>
        <v>-9707.8865683062031</v>
      </c>
      <c r="D33" s="46">
        <f t="shared" si="3"/>
        <v>5868626.7213768391</v>
      </c>
      <c r="E33" s="46">
        <f t="shared" si="4"/>
        <v>34522712.143931031</v>
      </c>
      <c r="F33" s="46">
        <f t="shared" si="5"/>
        <v>3939131.7573725078</v>
      </c>
      <c r="G33" s="46">
        <f>E33-E33*'Common Assumptions'!$B$29/100-MAX(0,E33-$B$5-E33*'Common Assumptions'!$B$29/100)*'Common Assumptions'!$B$28/100-F33</f>
        <v>27518241.368567146</v>
      </c>
      <c r="H33" s="46">
        <f t="shared" si="6"/>
        <v>12901625.37707085</v>
      </c>
      <c r="I33" s="46">
        <f t="shared" si="7"/>
        <v>22386824.39550592</v>
      </c>
      <c r="J33" s="46">
        <f t="shared" si="8"/>
        <v>2049149.709266135</v>
      </c>
      <c r="K33" s="46">
        <f t="shared" si="9"/>
        <v>9535095.5145817529</v>
      </c>
    </row>
    <row r="34" spans="1:11" x14ac:dyDescent="0.35">
      <c r="A34" s="43">
        <f t="shared" si="0"/>
        <v>14</v>
      </c>
      <c r="B34" s="44">
        <f t="shared" si="1"/>
        <v>1035681.3643179309</v>
      </c>
      <c r="C34" s="44">
        <f t="shared" si="2"/>
        <v>-17553.95751010871</v>
      </c>
      <c r="D34" s="44">
        <f t="shared" si="3"/>
        <v>5657979.231255535</v>
      </c>
      <c r="E34" s="44">
        <f t="shared" si="4"/>
        <v>37974983.35832414</v>
      </c>
      <c r="F34" s="44">
        <f t="shared" si="5"/>
        <v>3494453.2740997896</v>
      </c>
      <c r="G34" s="44">
        <f>E34-E34*'Common Assumptions'!$B$29/100-MAX(0,E34-$B$5-E34*'Common Assumptions'!$B$29/100)*'Common Assumptions'!$B$28/100-F34</f>
        <v>30983657.164433829</v>
      </c>
      <c r="H34" s="44">
        <f t="shared" si="6"/>
        <v>13704101.443838244</v>
      </c>
      <c r="I34" s="44">
        <f t="shared" si="7"/>
        <v>25003405.955009591</v>
      </c>
      <c r="J34" s="44">
        <f t="shared" si="8"/>
        <v>2402553.340469257</v>
      </c>
      <c r="K34" s="44">
        <f t="shared" si="9"/>
        <v>9996378.9072140418</v>
      </c>
    </row>
    <row r="35" spans="1:11" x14ac:dyDescent="0.35">
      <c r="A35" s="45">
        <f t="shared" si="0"/>
        <v>15</v>
      </c>
      <c r="B35" s="46">
        <f t="shared" si="1"/>
        <v>1139249.5007497242</v>
      </c>
      <c r="C35" s="46">
        <f t="shared" si="2"/>
        <v>-26184.635546091478</v>
      </c>
      <c r="D35" s="46">
        <f t="shared" si="3"/>
        <v>5343763.6047024373</v>
      </c>
      <c r="E35" s="46">
        <f t="shared" si="4"/>
        <v>41772481.69415655</v>
      </c>
      <c r="F35" s="46">
        <f t="shared" si="5"/>
        <v>3015253.2445152439</v>
      </c>
      <c r="G35" s="46">
        <f>E35-E35*'Common Assumptions'!$B$29/100-MAX(0,E35-$B$5-E35*'Common Assumptions'!$B$29/100)*'Common Assumptions'!$B$28/100-F35</f>
        <v>34785668.237871736</v>
      </c>
      <c r="H35" s="46">
        <f t="shared" si="6"/>
        <v>14514843.970001906</v>
      </c>
      <c r="I35" s="46">
        <f t="shared" si="7"/>
        <v>27842376.949442785</v>
      </c>
      <c r="J35" s="46">
        <f t="shared" si="8"/>
        <v>2796701.6680925433</v>
      </c>
      <c r="K35" s="46">
        <f t="shared" si="9"/>
        <v>10450685.21743523</v>
      </c>
    </row>
    <row r="36" spans="1:11" x14ac:dyDescent="0.35">
      <c r="A36" s="43">
        <f t="shared" si="0"/>
        <v>16</v>
      </c>
      <c r="B36" s="44">
        <f t="shared" si="1"/>
        <v>1253174.4508246966</v>
      </c>
      <c r="C36" s="44">
        <f t="shared" si="2"/>
        <v>-35678.381385672517</v>
      </c>
      <c r="D36" s="44">
        <f t="shared" si="3"/>
        <v>4915623.028074367</v>
      </c>
      <c r="E36" s="44">
        <f t="shared" si="4"/>
        <v>45949729.86357221</v>
      </c>
      <c r="F36" s="44">
        <f t="shared" si="5"/>
        <v>2498851.6712621674</v>
      </c>
      <c r="G36" s="44">
        <f>E36-E36*'Common Assumptions'!$B$29/100-MAX(0,E36-$B$5-E36*'Common Assumptions'!$B$29/100)*'Common Assumptions'!$B$28/100-F36</f>
        <v>38957161.959363513</v>
      </c>
      <c r="H36" s="44">
        <f t="shared" si="6"/>
        <v>15335342.029300097</v>
      </c>
      <c r="I36" s="44">
        <f t="shared" si="7"/>
        <v>30920996.065571744</v>
      </c>
      <c r="J36" s="44">
        <f t="shared" si="8"/>
        <v>3235046.6296871724</v>
      </c>
      <c r="K36" s="44">
        <f t="shared" si="9"/>
        <v>10898471.106495734</v>
      </c>
    </row>
    <row r="37" spans="1:11" x14ac:dyDescent="0.35">
      <c r="A37" s="45">
        <f t="shared" si="0"/>
        <v>17</v>
      </c>
      <c r="B37" s="46">
        <f t="shared" si="1"/>
        <v>1378491.8959071664</v>
      </c>
      <c r="C37" s="46">
        <f t="shared" si="2"/>
        <v>-46121.501809211652</v>
      </c>
      <c r="D37" s="46">
        <f t="shared" si="3"/>
        <v>4362165.0063638268</v>
      </c>
      <c r="E37" s="46">
        <f t="shared" si="4"/>
        <v>50544702.84992943</v>
      </c>
      <c r="F37" s="46">
        <f t="shared" si="5"/>
        <v>1942360.5018241107</v>
      </c>
      <c r="G37" s="46">
        <f>E37-E37*'Common Assumptions'!$B$29/100-MAX(0,E37-$B$5-E37*'Common Assumptions'!$B$29/100)*'Common Assumptions'!$B$28/100-F37</f>
        <v>43534254.491864137</v>
      </c>
      <c r="H37" s="46">
        <f t="shared" si="6"/>
        <v>16167073.108423071</v>
      </c>
      <c r="I37" s="46">
        <f t="shared" si="7"/>
        <v>34257616.237629905</v>
      </c>
      <c r="J37" s="46">
        <f t="shared" si="8"/>
        <v>3721306.4039082597</v>
      </c>
      <c r="K37" s="46">
        <f t="shared" si="9"/>
        <v>11340098.947496567</v>
      </c>
    </row>
    <row r="38" spans="1:11" x14ac:dyDescent="0.35">
      <c r="A38" s="43">
        <f t="shared" si="0"/>
        <v>18</v>
      </c>
      <c r="B38" s="44">
        <f t="shared" si="1"/>
        <v>1516341.0854978829</v>
      </c>
      <c r="C38" s="44">
        <f t="shared" si="2"/>
        <v>-57608.934275104708</v>
      </c>
      <c r="D38" s="44">
        <f t="shared" si="3"/>
        <v>3670857.7950625704</v>
      </c>
      <c r="E38" s="44">
        <f t="shared" si="4"/>
        <v>55599173.134922378</v>
      </c>
      <c r="F38" s="44">
        <f t="shared" si="5"/>
        <v>1342667.4766621441</v>
      </c>
      <c r="G38" s="44">
        <f>E38-E38*'Common Assumptions'!$B$29/100-MAX(0,E38-$B$5-E38*'Common Assumptions'!$B$29/100)*'Common Assumptions'!$B$28/100-F38</f>
        <v>48556609.016394936</v>
      </c>
      <c r="H38" s="44">
        <f t="shared" si="6"/>
        <v>17011506.487182308</v>
      </c>
      <c r="I38" s="44">
        <f t="shared" si="7"/>
        <v>37871713.96668569</v>
      </c>
      <c r="J38" s="44">
        <f t="shared" si="8"/>
        <v>4259482.0214528898</v>
      </c>
      <c r="K38" s="44">
        <f t="shared" si="9"/>
        <v>11775836.76800701</v>
      </c>
    </row>
    <row r="39" spans="1:11" x14ac:dyDescent="0.35">
      <c r="A39" s="45">
        <f t="shared" si="0"/>
        <v>19</v>
      </c>
      <c r="B39" s="46">
        <f t="shared" si="1"/>
        <v>1667975.1940476713</v>
      </c>
      <c r="C39" s="46">
        <f t="shared" si="2"/>
        <v>-70245.109987587071</v>
      </c>
      <c r="D39" s="46">
        <f t="shared" si="3"/>
        <v>2827916.4752115253</v>
      </c>
      <c r="E39" s="46">
        <f t="shared" si="4"/>
        <v>61159090.448414631</v>
      </c>
      <c r="F39" s="46">
        <f t="shared" si="5"/>
        <v>696418.72344102338</v>
      </c>
      <c r="G39" s="46">
        <f>E39-E39*'Common Assumptions'!$B$29/100-MAX(0,E39-$B$5-E39*'Common Assumptions'!$B$29/100)*'Common Assumptions'!$B$28/100-F39</f>
        <v>54067785.418921784</v>
      </c>
      <c r="H39" s="46">
        <f t="shared" si="6"/>
        <v>17870106.529835254</v>
      </c>
      <c r="I39" s="46">
        <f t="shared" si="7"/>
        <v>41783911.412580013</v>
      </c>
      <c r="J39" s="46">
        <f t="shared" si="8"/>
        <v>4853874.3671710612</v>
      </c>
      <c r="K39" s="46">
        <f t="shared" si="9"/>
        <v>12205857.721726915</v>
      </c>
    </row>
    <row r="40" spans="1:11" x14ac:dyDescent="0.35">
      <c r="A40" s="43">
        <f t="shared" si="0"/>
        <v>20</v>
      </c>
      <c r="B40" s="44">
        <f t="shared" si="1"/>
        <v>1834772.7134524391</v>
      </c>
      <c r="C40" s="44">
        <f t="shared" si="2"/>
        <v>-84144.9032713177</v>
      </c>
      <c r="D40" s="44">
        <f t="shared" si="3"/>
        <v>1818177.635955713</v>
      </c>
      <c r="E40" s="44">
        <f t="shared" si="4"/>
        <v>67274999.493256092</v>
      </c>
      <c r="F40" s="44">
        <f t="shared" si="5"/>
        <v>0</v>
      </c>
      <c r="G40" s="44">
        <f>E40-E40*'Common Assumptions'!$B$29/100-MAX(0,E40-$B$5-E40*'Common Assumptions'!$B$29/100)*'Common Assumptions'!$B$28/100-F40</f>
        <v>60115624.556599081</v>
      </c>
      <c r="H40" s="44">
        <f t="shared" si="6"/>
        <v>18744335.896456756</v>
      </c>
      <c r="I40" s="44">
        <f t="shared" si="7"/>
        <v>46015989.247228369</v>
      </c>
      <c r="J40" s="44">
        <f t="shared" si="8"/>
        <v>5509101.4514090829</v>
      </c>
      <c r="K40" s="44">
        <f t="shared" si="9"/>
        <v>12630239.086180693</v>
      </c>
    </row>
  </sheetData>
  <mergeCells count="18">
    <mergeCell ref="A19:K19"/>
    <mergeCell ref="G12:K12"/>
    <mergeCell ref="A1:K1"/>
    <mergeCell ref="A2:K2"/>
    <mergeCell ref="A4:B4"/>
    <mergeCell ref="D4:E4"/>
    <mergeCell ref="G4:K4"/>
    <mergeCell ref="G5:K5"/>
    <mergeCell ref="G6:K6"/>
    <mergeCell ref="G7:K7"/>
    <mergeCell ref="G8:K8"/>
    <mergeCell ref="G10:K10"/>
    <mergeCell ref="G11:K11"/>
    <mergeCell ref="M12:O12"/>
    <mergeCell ref="G13:K13"/>
    <mergeCell ref="G14:K14"/>
    <mergeCell ref="G15:K15"/>
    <mergeCell ref="G16:K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C1C-1CA9-4765-9E99-F5090DB66CB3}">
  <dimension ref="A1:C51"/>
  <sheetViews>
    <sheetView tabSelected="1" topLeftCell="A34" workbookViewId="0">
      <selection activeCell="E47" sqref="E47"/>
    </sheetView>
  </sheetViews>
  <sheetFormatPr defaultRowHeight="14.5" x14ac:dyDescent="0.35"/>
  <cols>
    <col min="1" max="1" width="47.26953125" customWidth="1"/>
    <col min="2" max="2" width="11.453125" bestFit="1" customWidth="1"/>
    <col min="3" max="3" width="36.36328125" style="20" customWidth="1"/>
    <col min="7" max="7" width="8.7265625" customWidth="1"/>
  </cols>
  <sheetData>
    <row r="1" spans="1:3" ht="29" x14ac:dyDescent="0.35">
      <c r="A1" s="4" t="s">
        <v>0</v>
      </c>
      <c r="B1" s="9">
        <v>10000000</v>
      </c>
      <c r="C1" s="12" t="s">
        <v>26</v>
      </c>
    </row>
    <row r="2" spans="1:3" x14ac:dyDescent="0.35">
      <c r="A2" s="4" t="s">
        <v>1</v>
      </c>
      <c r="B2" s="9">
        <v>7500000</v>
      </c>
      <c r="C2" s="12" t="s">
        <v>27</v>
      </c>
    </row>
    <row r="3" spans="1:3" ht="29" x14ac:dyDescent="0.35">
      <c r="A3" s="4" t="s">
        <v>2</v>
      </c>
      <c r="B3" s="10">
        <f>'Common Assumptions'!$B$7</f>
        <v>7.5</v>
      </c>
      <c r="C3" s="12" t="s">
        <v>28</v>
      </c>
    </row>
    <row r="4" spans="1:3" ht="29" x14ac:dyDescent="0.35">
      <c r="A4" s="4" t="s">
        <v>3</v>
      </c>
      <c r="B4" s="10">
        <v>20</v>
      </c>
      <c r="C4" s="12" t="s">
        <v>29</v>
      </c>
    </row>
    <row r="5" spans="1:3" ht="43.5" x14ac:dyDescent="0.35">
      <c r="A5" s="4" t="s">
        <v>4</v>
      </c>
      <c r="B5" s="10">
        <f>'Common Assumptions'!$B$9</f>
        <v>1</v>
      </c>
      <c r="C5" s="12" t="s">
        <v>30</v>
      </c>
    </row>
    <row r="6" spans="1:3" ht="29" x14ac:dyDescent="0.35">
      <c r="A6" s="4" t="s">
        <v>5</v>
      </c>
      <c r="B6" s="10">
        <f>'Common Assumptions'!$B$8</f>
        <v>10</v>
      </c>
      <c r="C6" s="12" t="s">
        <v>31</v>
      </c>
    </row>
    <row r="7" spans="1:3" ht="29" x14ac:dyDescent="0.35">
      <c r="A7" s="4" t="s">
        <v>6</v>
      </c>
      <c r="B7" s="10">
        <f>'Common Assumptions'!$B$5</f>
        <v>6</v>
      </c>
      <c r="C7" s="12" t="s">
        <v>32</v>
      </c>
    </row>
    <row r="8" spans="1:3" ht="29" x14ac:dyDescent="0.35">
      <c r="A8" s="5" t="s">
        <v>7</v>
      </c>
      <c r="B8" s="11">
        <f>'Common Assumptions'!$B$6</f>
        <v>12</v>
      </c>
      <c r="C8" s="12" t="s">
        <v>33</v>
      </c>
    </row>
    <row r="9" spans="1:3" x14ac:dyDescent="0.35">
      <c r="B9" s="1"/>
      <c r="C9" s="12"/>
    </row>
    <row r="10" spans="1:3" x14ac:dyDescent="0.35">
      <c r="A10" s="233" t="s">
        <v>8</v>
      </c>
      <c r="B10" s="234"/>
      <c r="C10" s="235"/>
    </row>
    <row r="11" spans="1:3" ht="29" x14ac:dyDescent="0.35">
      <c r="A11" s="6" t="s">
        <v>9</v>
      </c>
      <c r="B11" s="2">
        <f>B1-B2</f>
        <v>2500000</v>
      </c>
      <c r="C11" s="12" t="s">
        <v>34</v>
      </c>
    </row>
    <row r="12" spans="1:3" ht="29" x14ac:dyDescent="0.35">
      <c r="A12" s="6" t="s">
        <v>10</v>
      </c>
      <c r="B12" s="2">
        <f>PMT(B3/1200,B4*12,-B2)</f>
        <v>60419.48951638554</v>
      </c>
      <c r="C12" s="12" t="s">
        <v>35</v>
      </c>
    </row>
    <row r="13" spans="1:3" ht="29" x14ac:dyDescent="0.35">
      <c r="A13" s="6" t="s">
        <v>11</v>
      </c>
      <c r="B13" s="2">
        <f>B12*B4*12</f>
        <v>14500677.483932529</v>
      </c>
      <c r="C13" s="12" t="s">
        <v>36</v>
      </c>
    </row>
    <row r="14" spans="1:3" ht="29" x14ac:dyDescent="0.35">
      <c r="A14" s="6" t="s">
        <v>12</v>
      </c>
      <c r="B14" s="2">
        <f>B13-B2</f>
        <v>7000677.4839325286</v>
      </c>
      <c r="C14" s="12" t="s">
        <v>37</v>
      </c>
    </row>
    <row r="15" spans="1:3" x14ac:dyDescent="0.35">
      <c r="A15" s="6" t="s">
        <v>13</v>
      </c>
      <c r="B15" s="3">
        <f>B2/B1</f>
        <v>0.75</v>
      </c>
      <c r="C15" s="12" t="str">
        <f>IF(OR('Common Assumptions'!$B$23="",'Common Assumptions'!$B$24="",'Common Assumptions'!$B$25="",'Common Assumptions'!$B$26="",'Common Assumptions'!$B$27=""),"",IF(B15&gt;IF($B$2&lt;='Common Assumptions'!$B$23,'Common Assumptions'!$B$25/100,IF($B$2&lt;='Common Assumptions'!$B$24,'Common Assumptions'!$B$26/100,'Common Assumptions'!$B$27/100)),"Above regulatory LTV limit for this loan size: verify with your lender","Within configured LTV limit"))</f>
        <v>Within configured LTV limit</v>
      </c>
    </row>
    <row r="16" spans="1:3" ht="29" x14ac:dyDescent="0.35">
      <c r="A16" s="6" t="s">
        <v>14</v>
      </c>
      <c r="B16" s="2">
        <f>B1*B5/100</f>
        <v>100000</v>
      </c>
      <c r="C16" s="12" t="s">
        <v>38</v>
      </c>
    </row>
    <row r="17" spans="1:3" ht="29" x14ac:dyDescent="0.35">
      <c r="A17" s="6" t="s">
        <v>15</v>
      </c>
      <c r="B17" s="2">
        <f>B16*B4</f>
        <v>2000000</v>
      </c>
      <c r="C17" s="12" t="s">
        <v>39</v>
      </c>
    </row>
    <row r="18" spans="1:3" ht="29" x14ac:dyDescent="0.35">
      <c r="A18" s="6" t="s">
        <v>24</v>
      </c>
      <c r="B18" s="2">
        <f>B1*(1+B6/100)^B4</f>
        <v>67274999.493256092</v>
      </c>
      <c r="C18" s="12" t="s">
        <v>40</v>
      </c>
    </row>
    <row r="19" spans="1:3" ht="29" x14ac:dyDescent="0.35">
      <c r="A19" s="6" t="s">
        <v>25</v>
      </c>
      <c r="B19" s="2">
        <f>B18/(1+B7/100)^B4</f>
        <v>20976662.843256176</v>
      </c>
      <c r="C19" s="12" t="s">
        <v>41</v>
      </c>
    </row>
    <row r="20" spans="1:3" ht="43.5" x14ac:dyDescent="0.35">
      <c r="A20" s="19" t="s">
        <v>57</v>
      </c>
      <c r="B20" s="2">
        <f>B18-B1-B17-B14-(B18*'Common Assumptions'!$B$29/100)-(MAX(0,B18-B1-(B18*'Common Assumptions'!$B$29/100)) * 'Common Assumptions'!$B$28/100)</f>
        <v>41114947.072666556</v>
      </c>
      <c r="C20" s="12" t="s">
        <v>895</v>
      </c>
    </row>
    <row r="21" spans="1:3" ht="43.5" x14ac:dyDescent="0.35">
      <c r="A21" s="19" t="s">
        <v>815</v>
      </c>
      <c r="B21" s="2">
        <f>(B18-(B18*'Common Assumptions'!$B$29/100)-(MAX(0,B18-B1-(B18*'Common Assumptions'!$B$29/100)) * 'Common Assumptions'!$B$28/100))/(1+B7/100)^B4-B11-B12*12*IF(B7=0,B4,(1-(1+B7/100)^(-B4))/(B7/100))-IF(B7=0,B16*B4,B16*(1-(1+B7/100)^(-B4))/(B7/100))</f>
        <v>6781262.3567737658</v>
      </c>
      <c r="C21" s="12" t="s">
        <v>896</v>
      </c>
    </row>
    <row r="22" spans="1:3" x14ac:dyDescent="0.35">
      <c r="C22" s="12"/>
    </row>
    <row r="23" spans="1:3" x14ac:dyDescent="0.35">
      <c r="A23" s="233" t="s">
        <v>16</v>
      </c>
      <c r="B23" s="234"/>
      <c r="C23" s="235"/>
    </row>
    <row r="24" spans="1:3" ht="29" x14ac:dyDescent="0.35">
      <c r="A24" s="6" t="s">
        <v>17</v>
      </c>
      <c r="B24" s="2">
        <f>B11</f>
        <v>2500000</v>
      </c>
      <c r="C24" s="12" t="s">
        <v>42</v>
      </c>
    </row>
    <row r="25" spans="1:3" ht="29" x14ac:dyDescent="0.35">
      <c r="A25" s="6" t="s">
        <v>18</v>
      </c>
      <c r="B25" s="2">
        <f>B12</f>
        <v>60419.48951638554</v>
      </c>
      <c r="C25" s="12" t="s">
        <v>43</v>
      </c>
    </row>
    <row r="26" spans="1:3" ht="29" x14ac:dyDescent="0.35">
      <c r="A26" s="6" t="s">
        <v>19</v>
      </c>
      <c r="B26" s="2">
        <f>B24+B25*B4*12</f>
        <v>17000677.483932529</v>
      </c>
      <c r="C26" s="12" t="s">
        <v>44</v>
      </c>
    </row>
    <row r="27" spans="1:3" ht="43.5" x14ac:dyDescent="0.35">
      <c r="A27" s="6" t="s">
        <v>20</v>
      </c>
      <c r="B27" s="2">
        <f>B24*(1+B8/1200)^(B4*12)+FV(B8/1200,B4*12,-B25,0,0)</f>
        <v>87001688.312733993</v>
      </c>
      <c r="C27" s="12" t="s">
        <v>897</v>
      </c>
    </row>
    <row r="28" spans="1:3" ht="29" x14ac:dyDescent="0.35">
      <c r="A28" s="6" t="s">
        <v>21</v>
      </c>
      <c r="B28" s="2">
        <f>B27/(1+B7/100)^B4</f>
        <v>27127537.662980255</v>
      </c>
      <c r="C28" s="12" t="s">
        <v>45</v>
      </c>
    </row>
    <row r="29" spans="1:3" ht="29" x14ac:dyDescent="0.35">
      <c r="A29" s="7" t="s">
        <v>22</v>
      </c>
      <c r="B29" s="8">
        <f>B27-B26</f>
        <v>70001010.828801468</v>
      </c>
      <c r="C29" s="12" t="s">
        <v>46</v>
      </c>
    </row>
    <row r="30" spans="1:3" ht="43.5" x14ac:dyDescent="0.35">
      <c r="A30" s="7" t="str">
        <f>"LTCG Tax ("&amp;TEXT('Common Assumptions'!$B$12/100,"0.0%")&amp;", ₹"&amp;TEXT('Common Assumptions'!$B$13/100000,"0.00")&amp;"L Exemption)"</f>
        <v>LTCG Tax (12.5%, ₹1.25L Exemption)</v>
      </c>
      <c r="B30" s="8">
        <f>MAX(0,B29-'Common Assumptions'!$B$13)*'Common Assumptions'!$B$12/100</f>
        <v>8734501.3536001835</v>
      </c>
      <c r="C30" s="12" t="str">
        <f>"Tax on the nominal investment gain above ₹"&amp;TEXT('Common Assumptions'!$B$13,"##,##,##0")&amp;", using the shared illustrative LTCG rate."</f>
        <v>Tax on the nominal investment gain above ₹1,25,000, using the shared illustrative LTCG rate.</v>
      </c>
    </row>
    <row r="31" spans="1:3" ht="29" x14ac:dyDescent="0.35">
      <c r="A31" s="7" t="s">
        <v>58</v>
      </c>
      <c r="B31" s="8">
        <f>B29-B30</f>
        <v>61266509.475201286</v>
      </c>
      <c r="C31" s="12" t="s">
        <v>59</v>
      </c>
    </row>
    <row r="32" spans="1:3" ht="43.5" x14ac:dyDescent="0.35">
      <c r="A32" s="7" t="s">
        <v>60</v>
      </c>
      <c r="B32" s="8">
        <f>B26+B31</f>
        <v>78267186.959133819</v>
      </c>
      <c r="C32" s="12" t="s">
        <v>61</v>
      </c>
    </row>
    <row r="33" spans="1:3" ht="43.5" x14ac:dyDescent="0.35">
      <c r="A33" s="7" t="s">
        <v>62</v>
      </c>
      <c r="B33" s="8">
        <f>B32/(1+B7/100)^B4</f>
        <v>24404078.853934817</v>
      </c>
      <c r="C33" s="12" t="s">
        <v>63</v>
      </c>
    </row>
    <row r="34" spans="1:3" ht="58" x14ac:dyDescent="0.35">
      <c r="A34" s="7" t="s">
        <v>23</v>
      </c>
      <c r="B34" s="8">
        <f>B33-B35</f>
        <v>13587997.436108354</v>
      </c>
      <c r="C34" s="12" t="s">
        <v>453</v>
      </c>
    </row>
    <row r="35" spans="1:3" ht="58" x14ac:dyDescent="0.35">
      <c r="A35" s="7" t="s">
        <v>451</v>
      </c>
      <c r="B35" s="8">
        <f>B24+B25*12*IF(B7=0,B4,(1-(1+B7/100)^(-B4))/(B7/100))</f>
        <v>10816081.417826463</v>
      </c>
      <c r="C35" s="12" t="s">
        <v>452</v>
      </c>
    </row>
    <row r="36" spans="1:3" ht="30" customHeight="1" x14ac:dyDescent="0.55000000000000004">
      <c r="A36" s="236" t="s">
        <v>47</v>
      </c>
      <c r="B36" s="236"/>
      <c r="C36" s="236"/>
    </row>
    <row r="37" spans="1:3" x14ac:dyDescent="0.35">
      <c r="A37" s="237" t="s">
        <v>48</v>
      </c>
      <c r="B37" s="237"/>
      <c r="C37" s="237"/>
    </row>
    <row r="39" spans="1:3" x14ac:dyDescent="0.35">
      <c r="A39" s="13" t="s">
        <v>49</v>
      </c>
      <c r="B39" s="14" t="s">
        <v>50</v>
      </c>
      <c r="C39" s="167" t="s">
        <v>51</v>
      </c>
    </row>
    <row r="40" spans="1:3" x14ac:dyDescent="0.35">
      <c r="A40" s="15" t="s">
        <v>52</v>
      </c>
      <c r="B40" s="16">
        <f>B11+B13+B17</f>
        <v>19000677.483932529</v>
      </c>
      <c r="C40" s="168">
        <f>B26</f>
        <v>17000677.483932529</v>
      </c>
    </row>
    <row r="41" spans="1:3" x14ac:dyDescent="0.35">
      <c r="A41" s="15" t="s">
        <v>53</v>
      </c>
      <c r="B41" s="16">
        <f>B18-(B18*'Common Assumptions'!$B$29/100)-(MAX(0,B18-B1-(B18*'Common Assumptions'!$B$29/100)) * 'Common Assumptions'!$B$28/100)</f>
        <v>60115624.556599081</v>
      </c>
      <c r="C41" s="168">
        <f>B32</f>
        <v>78267186.959133819</v>
      </c>
    </row>
    <row r="42" spans="1:3" x14ac:dyDescent="0.35">
      <c r="A42" s="15" t="s">
        <v>54</v>
      </c>
      <c r="B42" s="16">
        <f>B41/(1+B7/100)^B4</f>
        <v>18744335.896456756</v>
      </c>
      <c r="C42" s="168">
        <f>B33</f>
        <v>24404078.853934817</v>
      </c>
    </row>
    <row r="43" spans="1:3" x14ac:dyDescent="0.35">
      <c r="A43" s="15" t="s">
        <v>55</v>
      </c>
      <c r="B43" s="16">
        <f>B21</f>
        <v>6781262.3567737658</v>
      </c>
      <c r="C43" s="168">
        <f>B34</f>
        <v>13587997.436108354</v>
      </c>
    </row>
    <row r="44" spans="1:3" x14ac:dyDescent="0.35">
      <c r="A44" s="17" t="s">
        <v>56</v>
      </c>
      <c r="B44" s="18">
        <f>B43-C43</f>
        <v>-6806735.0793345887</v>
      </c>
      <c r="C44" s="169" t="str">
        <f>IF(B44&gt;=0,"House leads","SIP leads")</f>
        <v>SIP leads</v>
      </c>
    </row>
    <row r="45" spans="1:3" ht="16" x14ac:dyDescent="0.4">
      <c r="A45" s="238" t="str">
        <f>IF(B44&gt;=0,"CONCLUSION: Buying the house is better under the current assumptions by ₹"&amp;TEXT(ABS(B44),"##,##,##0")&amp;" of real gain.","CONCLUSION: SIP investing is better under the current assumptions by ₹"&amp;TEXT(ABS(B44),"##,##,##0")&amp;" of real gain.")</f>
        <v>CONCLUSION: SIP investing is better under the current assumptions by ₹68,06,735 of real gain.</v>
      </c>
      <c r="B45" s="238"/>
      <c r="C45" s="238"/>
    </row>
    <row r="46" spans="1:3" ht="72.5" x14ac:dyDescent="0.35">
      <c r="A46" s="20" t="s">
        <v>916</v>
      </c>
      <c r="B46" s="20"/>
    </row>
    <row r="47" spans="1:3" x14ac:dyDescent="0.35">
      <c r="A47" s="231" t="str">
        <f>"1. Real outcome: House real gain is ₹"&amp;TEXT(B43,"##,##,##0")&amp;" versus SIP real gain of ₹"&amp;TEXT(C43,"##,##,##0")&amp;" after modeled costs and tax."</f>
        <v>1. Real outcome: House real gain is ₹67,81,262 versus SIP real gain of ₹1,35,87,997 after modeled costs and tax.</v>
      </c>
      <c r="B47" s="231"/>
      <c r="C47" s="231"/>
    </row>
    <row r="48" spans="1:3" x14ac:dyDescent="0.35">
      <c r="A48" s="231" t="str">
        <f>"2. Portfolio size: SIP reaches "&amp;_xlfn.UNICHAR(8377)&amp;TEXT(C41,"##,##,##0")&amp;" nominally versus the property's "&amp;_xlfn.UNICHAR(8377)&amp;TEXT(B41,"##,##,##0")&amp;", with both values after modeled costs and tax."</f>
        <v>2. Portfolio size: SIP reaches ₹7,82,67,187 nominally versus the property's ₹6,01,15,625, with both values after modeled costs and tax.</v>
      </c>
      <c r="B48" s="231"/>
      <c r="C48" s="231"/>
    </row>
    <row r="49" spans="1:3" x14ac:dyDescent="0.35">
      <c r="A49" s="231" t="str">
        <f>"3. Cash commitment: The house requires ₹"&amp;TEXT(ABS(B40-C40),"##,##,##0")&amp;IF(B40&gt;=C40," more"," less")&amp;" modeled cash outlay, mainly because maintenance is not invested in the SIP scenario."</f>
        <v>3. Cash commitment: The house requires ₹20,00,000 more modeled cash outlay, mainly because maintenance is not invested in the SIP scenario.</v>
      </c>
      <c r="B49" s="231"/>
      <c r="C49" s="231"/>
    </row>
    <row r="50" spans="1:3" x14ac:dyDescent="0.35">
      <c r="A50" s="20"/>
      <c r="B50" s="20"/>
    </row>
    <row r="51" spans="1:3" ht="60.5" customHeight="1" x14ac:dyDescent="0.35">
      <c r="A51" s="232" t="s">
        <v>898</v>
      </c>
      <c r="B51" s="232"/>
      <c r="C51" s="232"/>
    </row>
  </sheetData>
  <mergeCells count="9">
    <mergeCell ref="A47:C47"/>
    <mergeCell ref="A48:C48"/>
    <mergeCell ref="A49:C49"/>
    <mergeCell ref="A51:C51"/>
    <mergeCell ref="A10:C10"/>
    <mergeCell ref="A23:C23"/>
    <mergeCell ref="A36:C36"/>
    <mergeCell ref="A37:C37"/>
    <mergeCell ref="A45:C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19200-13CF-43D8-B914-E18ADBE305B9}">
  <dimension ref="A1:F62"/>
  <sheetViews>
    <sheetView workbookViewId="0">
      <selection activeCell="H22" sqref="H22"/>
    </sheetView>
  </sheetViews>
  <sheetFormatPr defaultRowHeight="14.5" x14ac:dyDescent="0.35"/>
  <cols>
    <col min="1" max="1" width="26.36328125" customWidth="1"/>
    <col min="2" max="6" width="20" customWidth="1"/>
  </cols>
  <sheetData>
    <row r="1" spans="1:6" ht="30" customHeight="1" x14ac:dyDescent="0.35">
      <c r="A1" s="268" t="s">
        <v>65</v>
      </c>
      <c r="B1" s="268"/>
      <c r="C1" s="268"/>
      <c r="D1" s="268"/>
      <c r="E1" s="268"/>
      <c r="F1" s="268"/>
    </row>
    <row r="2" spans="1:6" ht="24" customHeight="1" x14ac:dyDescent="0.35">
      <c r="A2" s="254" t="s">
        <v>66</v>
      </c>
      <c r="B2" s="254"/>
      <c r="C2" s="254"/>
      <c r="D2" s="254"/>
      <c r="E2" s="254"/>
      <c r="F2" s="254"/>
    </row>
    <row r="4" spans="1:6" x14ac:dyDescent="0.35">
      <c r="A4" s="269" t="s">
        <v>67</v>
      </c>
      <c r="B4" s="269"/>
      <c r="D4" s="269" t="s">
        <v>68</v>
      </c>
      <c r="E4" s="269"/>
      <c r="F4" s="269"/>
    </row>
    <row r="5" spans="1:6" x14ac:dyDescent="0.35">
      <c r="A5" s="21" t="s">
        <v>1</v>
      </c>
      <c r="B5" s="22">
        <v>2000000</v>
      </c>
      <c r="D5" s="25" t="s">
        <v>10</v>
      </c>
      <c r="E5" s="26">
        <f>-PMT($B$6/1200,$B$7*12,$B$5)</f>
        <v>16111.863871036145</v>
      </c>
    </row>
    <row r="6" spans="1:6" x14ac:dyDescent="0.35">
      <c r="A6" s="21" t="s">
        <v>64</v>
      </c>
      <c r="B6" s="23">
        <f>'Common Assumptions'!$B$7</f>
        <v>7.5</v>
      </c>
      <c r="D6" s="25" t="s">
        <v>69</v>
      </c>
      <c r="E6" s="26">
        <f>E5*$B$7*12</f>
        <v>3866847.3290486746</v>
      </c>
    </row>
    <row r="7" spans="1:6" x14ac:dyDescent="0.35">
      <c r="A7" s="21" t="s">
        <v>3</v>
      </c>
      <c r="B7" s="24">
        <v>20</v>
      </c>
      <c r="D7" s="25" t="s">
        <v>70</v>
      </c>
      <c r="E7" s="26">
        <f>E6-$B$5</f>
        <v>1866847.3290486746</v>
      </c>
    </row>
    <row r="8" spans="1:6" x14ac:dyDescent="0.35">
      <c r="D8" s="25" t="s">
        <v>71</v>
      </c>
      <c r="E8" s="26">
        <f>$B$5</f>
        <v>2000000</v>
      </c>
    </row>
    <row r="10" spans="1:6" x14ac:dyDescent="0.35">
      <c r="A10" s="269" t="s">
        <v>72</v>
      </c>
      <c r="B10" s="269"/>
      <c r="C10" s="269"/>
      <c r="D10" s="269"/>
      <c r="E10" s="269"/>
      <c r="F10" s="269"/>
    </row>
    <row r="11" spans="1:6" ht="30" customHeight="1" x14ac:dyDescent="0.35">
      <c r="A11" s="27" t="s">
        <v>73</v>
      </c>
      <c r="B11" s="27" t="s">
        <v>74</v>
      </c>
      <c r="C11" s="27" t="s">
        <v>75</v>
      </c>
      <c r="D11" s="27" t="s">
        <v>76</v>
      </c>
      <c r="E11" s="27" t="s">
        <v>77</v>
      </c>
      <c r="F11" s="27" t="s">
        <v>78</v>
      </c>
    </row>
    <row r="12" spans="1:6" x14ac:dyDescent="0.35">
      <c r="A12" s="30">
        <f>1</f>
        <v>1</v>
      </c>
      <c r="B12" s="31">
        <f>$B$5</f>
        <v>2000000</v>
      </c>
      <c r="C12" s="31">
        <f>$E$5*12</f>
        <v>193342.36645243375</v>
      </c>
      <c r="D12" s="31">
        <f>-CUMPRINC($B$6/1200,$B$7*12,$B$5,1,12,0)</f>
        <v>44863.74064363791</v>
      </c>
      <c r="E12" s="31">
        <f>-CUMIPMT($B$6/1200,$B$7*12,$B$5,1,12,0)</f>
        <v>148478.62580879586</v>
      </c>
      <c r="F12" s="31">
        <f>MAX(0,B12-D12)</f>
        <v>1955136.259356362</v>
      </c>
    </row>
    <row r="13" spans="1:6" x14ac:dyDescent="0.35">
      <c r="A13" s="28">
        <f>A12+1</f>
        <v>2</v>
      </c>
      <c r="B13" s="29">
        <f>F12</f>
        <v>1955136.259356362</v>
      </c>
      <c r="C13" s="29">
        <f>$E$5*12</f>
        <v>193342.36645243375</v>
      </c>
      <c r="D13" s="29">
        <f>-CUMPRINC($B$6/1200,$B$7*12,$B$5,(A13-1)*12+1,A13*12,0)</f>
        <v>48346.629424206418</v>
      </c>
      <c r="E13" s="29">
        <f>-CUMIPMT($B$6/1200,$B$7*12,$B$5,(A13-1)*12+1,A13*12,0)</f>
        <v>144995.73702822733</v>
      </c>
      <c r="F13" s="29">
        <f>MAX(0,B13-D13)</f>
        <v>1906789.6299321556</v>
      </c>
    </row>
    <row r="14" spans="1:6" x14ac:dyDescent="0.35">
      <c r="A14" s="30">
        <f t="shared" ref="A14:A31" si="0">A13+1</f>
        <v>3</v>
      </c>
      <c r="B14" s="31">
        <f t="shared" ref="B14:B31" si="1">F13</f>
        <v>1906789.6299321556</v>
      </c>
      <c r="C14" s="31">
        <f t="shared" ref="C14:C31" si="2">$E$5*12</f>
        <v>193342.36645243375</v>
      </c>
      <c r="D14" s="31">
        <f t="shared" ref="D14:D31" si="3">-CUMPRINC($B$6/1200,$B$7*12,$B$5,(A14-1)*12+1,A14*12,0)</f>
        <v>52099.90391233698</v>
      </c>
      <c r="E14" s="31">
        <f t="shared" ref="E14:E31" si="4">-CUMIPMT($B$6/1200,$B$7*12,$B$5,(A14-1)*12+1,A14*12,0)</f>
        <v>141242.46254009678</v>
      </c>
      <c r="F14" s="31">
        <f t="shared" ref="F14:F31" si="5">MAX(0,B14-D14)</f>
        <v>1854689.7260198186</v>
      </c>
    </row>
    <row r="15" spans="1:6" x14ac:dyDescent="0.35">
      <c r="A15" s="28">
        <f t="shared" si="0"/>
        <v>4</v>
      </c>
      <c r="B15" s="29">
        <f t="shared" si="1"/>
        <v>1854689.7260198186</v>
      </c>
      <c r="C15" s="29">
        <f t="shared" si="2"/>
        <v>193342.36645243375</v>
      </c>
      <c r="D15" s="29">
        <f t="shared" si="3"/>
        <v>56144.554853201153</v>
      </c>
      <c r="E15" s="29">
        <f t="shared" si="4"/>
        <v>137197.81159923261</v>
      </c>
      <c r="F15" s="29">
        <f t="shared" si="5"/>
        <v>1798545.1711666174</v>
      </c>
    </row>
    <row r="16" spans="1:6" x14ac:dyDescent="0.35">
      <c r="A16" s="30">
        <f t="shared" si="0"/>
        <v>5</v>
      </c>
      <c r="B16" s="31">
        <f t="shared" si="1"/>
        <v>1798545.1711666174</v>
      </c>
      <c r="C16" s="31">
        <f t="shared" si="2"/>
        <v>193342.36645243375</v>
      </c>
      <c r="D16" s="31">
        <f t="shared" si="3"/>
        <v>60503.202558070087</v>
      </c>
      <c r="E16" s="31">
        <f t="shared" si="4"/>
        <v>132839.16389436368</v>
      </c>
      <c r="F16" s="31">
        <f t="shared" si="5"/>
        <v>1738041.9686085472</v>
      </c>
    </row>
    <row r="17" spans="1:6" x14ac:dyDescent="0.35">
      <c r="A17" s="28">
        <f t="shared" si="0"/>
        <v>6</v>
      </c>
      <c r="B17" s="29">
        <f t="shared" si="1"/>
        <v>1738041.9686085472</v>
      </c>
      <c r="C17" s="29">
        <f t="shared" si="2"/>
        <v>193342.36645243375</v>
      </c>
      <c r="D17" s="29">
        <f t="shared" si="3"/>
        <v>65200.223411765881</v>
      </c>
      <c r="E17" s="29">
        <f t="shared" si="4"/>
        <v>128142.14304066787</v>
      </c>
      <c r="F17" s="29">
        <f t="shared" si="5"/>
        <v>1672841.7451967814</v>
      </c>
    </row>
    <row r="18" spans="1:6" x14ac:dyDescent="0.35">
      <c r="A18" s="30">
        <f t="shared" si="0"/>
        <v>7</v>
      </c>
      <c r="B18" s="31">
        <f t="shared" si="1"/>
        <v>1672841.7451967814</v>
      </c>
      <c r="C18" s="31">
        <f t="shared" si="2"/>
        <v>193342.36645243375</v>
      </c>
      <c r="D18" s="31">
        <f t="shared" si="3"/>
        <v>70261.886201215035</v>
      </c>
      <c r="E18" s="31">
        <f t="shared" si="4"/>
        <v>123080.48025121872</v>
      </c>
      <c r="F18" s="31">
        <f t="shared" si="5"/>
        <v>1602579.8589955664</v>
      </c>
    </row>
    <row r="19" spans="1:6" x14ac:dyDescent="0.35">
      <c r="A19" s="28">
        <f t="shared" si="0"/>
        <v>8</v>
      </c>
      <c r="B19" s="29">
        <f t="shared" si="1"/>
        <v>1602579.8589955664</v>
      </c>
      <c r="C19" s="29">
        <f t="shared" si="2"/>
        <v>193342.36645243375</v>
      </c>
      <c r="D19" s="29">
        <f t="shared" si="3"/>
        <v>75716.499027541984</v>
      </c>
      <c r="E19" s="29">
        <f t="shared" si="4"/>
        <v>117625.86742489177</v>
      </c>
      <c r="F19" s="29">
        <f t="shared" si="5"/>
        <v>1526863.3599680243</v>
      </c>
    </row>
    <row r="20" spans="1:6" x14ac:dyDescent="0.35">
      <c r="A20" s="30">
        <f t="shared" si="0"/>
        <v>9</v>
      </c>
      <c r="B20" s="31">
        <f t="shared" si="1"/>
        <v>1526863.3599680243</v>
      </c>
      <c r="C20" s="31">
        <f t="shared" si="2"/>
        <v>193342.36645243375</v>
      </c>
      <c r="D20" s="31">
        <f t="shared" si="3"/>
        <v>81594.567623330164</v>
      </c>
      <c r="E20" s="31">
        <f t="shared" si="4"/>
        <v>111747.79882910359</v>
      </c>
      <c r="F20" s="31">
        <f t="shared" si="5"/>
        <v>1445268.792344694</v>
      </c>
    </row>
    <row r="21" spans="1:6" x14ac:dyDescent="0.35">
      <c r="A21" s="28">
        <f t="shared" si="0"/>
        <v>10</v>
      </c>
      <c r="B21" s="29">
        <f t="shared" si="1"/>
        <v>1445268.792344694</v>
      </c>
      <c r="C21" s="29">
        <f t="shared" si="2"/>
        <v>193342.36645243375</v>
      </c>
      <c r="D21" s="29">
        <f t="shared" si="3"/>
        <v>87928.965960463363</v>
      </c>
      <c r="E21" s="29">
        <f t="shared" si="4"/>
        <v>105413.40049197039</v>
      </c>
      <c r="F21" s="29">
        <f t="shared" si="5"/>
        <v>1357339.8263842307</v>
      </c>
    </row>
    <row r="22" spans="1:6" x14ac:dyDescent="0.35">
      <c r="A22" s="30">
        <f t="shared" si="0"/>
        <v>11</v>
      </c>
      <c r="B22" s="31">
        <f t="shared" si="1"/>
        <v>1357339.8263842307</v>
      </c>
      <c r="C22" s="31">
        <f t="shared" si="2"/>
        <v>193342.36645243375</v>
      </c>
      <c r="D22" s="31">
        <f t="shared" si="3"/>
        <v>94755.120102697547</v>
      </c>
      <c r="E22" s="31">
        <f t="shared" si="4"/>
        <v>98587.246349736204</v>
      </c>
      <c r="F22" s="31">
        <f t="shared" si="5"/>
        <v>1262584.7062815332</v>
      </c>
    </row>
    <row r="23" spans="1:6" x14ac:dyDescent="0.35">
      <c r="A23" s="28">
        <f t="shared" si="0"/>
        <v>12</v>
      </c>
      <c r="B23" s="29">
        <f t="shared" si="1"/>
        <v>1262584.7062815332</v>
      </c>
      <c r="C23" s="29">
        <f t="shared" si="2"/>
        <v>193342.36645243375</v>
      </c>
      <c r="D23" s="29">
        <f t="shared" si="3"/>
        <v>102111.20633118523</v>
      </c>
      <c r="E23" s="29">
        <f t="shared" si="4"/>
        <v>91231.160121248526</v>
      </c>
      <c r="F23" s="29">
        <f t="shared" si="5"/>
        <v>1160473.4999503479</v>
      </c>
    </row>
    <row r="24" spans="1:6" x14ac:dyDescent="0.35">
      <c r="A24" s="30">
        <f t="shared" si="0"/>
        <v>13</v>
      </c>
      <c r="B24" s="31">
        <f t="shared" si="1"/>
        <v>1160473.4999503479</v>
      </c>
      <c r="C24" s="31">
        <f t="shared" si="2"/>
        <v>193342.36645243375</v>
      </c>
      <c r="D24" s="31">
        <f t="shared" si="3"/>
        <v>110038.36465099943</v>
      </c>
      <c r="E24" s="31">
        <f t="shared" si="4"/>
        <v>83304.001801434322</v>
      </c>
      <c r="F24" s="31">
        <f t="shared" si="5"/>
        <v>1050435.1352993485</v>
      </c>
    </row>
    <row r="25" spans="1:6" x14ac:dyDescent="0.35">
      <c r="A25" s="28">
        <f t="shared" si="0"/>
        <v>14</v>
      </c>
      <c r="B25" s="29">
        <f t="shared" si="1"/>
        <v>1050435.1352993485</v>
      </c>
      <c r="C25" s="29">
        <f t="shared" si="2"/>
        <v>193342.36645243375</v>
      </c>
      <c r="D25" s="29">
        <f t="shared" si="3"/>
        <v>118580.92887272403</v>
      </c>
      <c r="E25" s="29">
        <f t="shared" si="4"/>
        <v>74761.437579709716</v>
      </c>
      <c r="F25" s="29">
        <f t="shared" si="5"/>
        <v>931854.20642662444</v>
      </c>
    </row>
    <row r="26" spans="1:6" x14ac:dyDescent="0.35">
      <c r="A26" s="30">
        <f t="shared" si="0"/>
        <v>15</v>
      </c>
      <c r="B26" s="31">
        <f t="shared" si="1"/>
        <v>931854.20642662444</v>
      </c>
      <c r="C26" s="31">
        <f t="shared" si="2"/>
        <v>193342.36645243375</v>
      </c>
      <c r="D26" s="31">
        <f t="shared" si="3"/>
        <v>127786.67455587567</v>
      </c>
      <c r="E26" s="31">
        <f t="shared" si="4"/>
        <v>65555.691896558084</v>
      </c>
      <c r="F26" s="31">
        <f t="shared" si="5"/>
        <v>804067.53187074873</v>
      </c>
    </row>
    <row r="27" spans="1:6" x14ac:dyDescent="0.35">
      <c r="A27" s="28">
        <f t="shared" si="0"/>
        <v>16</v>
      </c>
      <c r="B27" s="29">
        <f t="shared" si="1"/>
        <v>804067.53187074873</v>
      </c>
      <c r="C27" s="29">
        <f t="shared" si="2"/>
        <v>193342.36645243375</v>
      </c>
      <c r="D27" s="29">
        <f t="shared" si="3"/>
        <v>137707.08620081801</v>
      </c>
      <c r="E27" s="29">
        <f t="shared" si="4"/>
        <v>55635.280251615739</v>
      </c>
      <c r="F27" s="29">
        <f t="shared" si="5"/>
        <v>666360.44566993066</v>
      </c>
    </row>
    <row r="28" spans="1:6" x14ac:dyDescent="0.35">
      <c r="A28" s="30">
        <f t="shared" si="0"/>
        <v>17</v>
      </c>
      <c r="B28" s="31">
        <f t="shared" si="1"/>
        <v>666360.44566993066</v>
      </c>
      <c r="C28" s="31">
        <f t="shared" si="2"/>
        <v>193342.36645243375</v>
      </c>
      <c r="D28" s="31">
        <f t="shared" si="3"/>
        <v>148397.64518347886</v>
      </c>
      <c r="E28" s="31">
        <f t="shared" si="4"/>
        <v>44944.721268954891</v>
      </c>
      <c r="F28" s="31">
        <f t="shared" si="5"/>
        <v>517962.80048645183</v>
      </c>
    </row>
    <row r="29" spans="1:6" x14ac:dyDescent="0.35">
      <c r="A29" s="28">
        <f t="shared" si="0"/>
        <v>18</v>
      </c>
      <c r="B29" s="29">
        <f t="shared" si="1"/>
        <v>517962.80048645183</v>
      </c>
      <c r="C29" s="29">
        <f t="shared" si="2"/>
        <v>193342.36645243375</v>
      </c>
      <c r="D29" s="29">
        <f t="shared" si="3"/>
        <v>159918.14004318736</v>
      </c>
      <c r="E29" s="29">
        <f t="shared" si="4"/>
        <v>33424.226409246388</v>
      </c>
      <c r="F29" s="29">
        <f t="shared" si="5"/>
        <v>358044.66044326447</v>
      </c>
    </row>
    <row r="30" spans="1:6" x14ac:dyDescent="0.35">
      <c r="A30" s="30">
        <f t="shared" si="0"/>
        <v>19</v>
      </c>
      <c r="B30" s="31">
        <f t="shared" si="1"/>
        <v>358044.66044326447</v>
      </c>
      <c r="C30" s="31">
        <f t="shared" si="2"/>
        <v>193342.36645243375</v>
      </c>
      <c r="D30" s="31">
        <f t="shared" si="3"/>
        <v>172333.00085896254</v>
      </c>
      <c r="E30" s="31">
        <f t="shared" si="4"/>
        <v>21009.365593471215</v>
      </c>
      <c r="F30" s="31">
        <f t="shared" si="5"/>
        <v>185711.65958430193</v>
      </c>
    </row>
    <row r="31" spans="1:6" x14ac:dyDescent="0.35">
      <c r="A31" s="28">
        <f t="shared" si="0"/>
        <v>20</v>
      </c>
      <c r="B31" s="29">
        <f t="shared" si="1"/>
        <v>185711.65958430193</v>
      </c>
      <c r="C31" s="29">
        <f t="shared" si="2"/>
        <v>193342.36645243375</v>
      </c>
      <c r="D31" s="29">
        <f t="shared" si="3"/>
        <v>185711.65958430228</v>
      </c>
      <c r="E31" s="29">
        <f t="shared" si="4"/>
        <v>7630.7068681314704</v>
      </c>
      <c r="F31" s="29">
        <f t="shared" si="5"/>
        <v>0</v>
      </c>
    </row>
    <row r="33" spans="1:6" ht="22" customHeight="1" x14ac:dyDescent="0.35">
      <c r="A33" s="251" t="s">
        <v>101</v>
      </c>
      <c r="B33" s="251"/>
      <c r="C33" s="251"/>
      <c r="D33" s="251"/>
      <c r="E33" s="251"/>
      <c r="F33" s="251"/>
    </row>
    <row r="34" spans="1:6" ht="30" customHeight="1" x14ac:dyDescent="0.35">
      <c r="A34" s="265" t="str">
        <f>"1. A loan of ₹"&amp;TEXT($B$5,"##,##,##0")&amp;" at "&amp;TEXT($B$6/100,"0.00%")&amp;" for "&amp;TEXT($B$7,"0")&amp;" years requires a monthly EMI of ₹"&amp;TEXT($E$5,"##,##,##0")&amp;"."</f>
        <v>1. A loan of ₹20,00,000 at 7.50% for 20 years requires a monthly EMI of ₹16,112.</v>
      </c>
      <c r="B34" s="266"/>
      <c r="C34" s="266"/>
      <c r="D34" s="266"/>
      <c r="E34" s="266"/>
      <c r="F34" s="267"/>
    </row>
    <row r="35" spans="1:6" ht="30" customHeight="1" x14ac:dyDescent="0.35">
      <c r="A35" s="265" t="str">
        <f>"2. Total repayment over "&amp;TEXT($B$7,"0")&amp;" years is ₹"&amp;TEXT($E$6,"##,##,##0")&amp;", consisting of ₹"&amp;TEXT($E$8,"##,##,##0")&amp;" principal and ₹"&amp;TEXT($E$7,"##,##,##0")&amp;" interest."</f>
        <v>2. Total repayment over 20 years is ₹38,66,847, consisting of ₹20,00,000 principal and ₹18,66,847 interest.</v>
      </c>
      <c r="B35" s="266"/>
      <c r="C35" s="266"/>
      <c r="D35" s="266"/>
      <c r="E35" s="266"/>
      <c r="F35" s="267"/>
    </row>
    <row r="36" spans="1:6" ht="30" customHeight="1" x14ac:dyDescent="0.35">
      <c r="A36" s="265" t="str">
        <f>"3. Interest represents "&amp;TEXT($E$7/$E$6,"0.0%")&amp;" of total repayments; the remaining "&amp;TEXT($E$8/$E$6,"0.0%")&amp;" repays principal."</f>
        <v>3. Interest represents 48.3% of total repayments; the remaining 51.7% repays principal.</v>
      </c>
      <c r="B36" s="266"/>
      <c r="C36" s="266"/>
      <c r="D36" s="266"/>
      <c r="E36" s="266"/>
      <c r="F36" s="267"/>
    </row>
    <row r="37" spans="1:6" ht="30" customHeight="1" x14ac:dyDescent="0.35">
      <c r="A37" s="265" t="str">
        <f>"4. In year 1, ₹"&amp;TEXT($D$12,"##,##,##0")&amp;" of payments reduces principal and ₹"&amp;TEXT($E$12,"##,##,##0")&amp;" pays interest; this mix shifts toward principal over time."</f>
        <v>4. In year 1, ₹44,864 of payments reduces principal and ₹1,48,479 pays interest; this mix shifts toward principal over time.</v>
      </c>
      <c r="B37" s="266"/>
      <c r="C37" s="266"/>
      <c r="D37" s="266"/>
      <c r="E37" s="266"/>
      <c r="F37" s="267"/>
    </row>
    <row r="39" spans="1:6" ht="22" customHeight="1" x14ac:dyDescent="0.35">
      <c r="A39" s="251" t="s">
        <v>102</v>
      </c>
      <c r="B39" s="251"/>
      <c r="C39" s="251"/>
      <c r="D39" s="251"/>
      <c r="E39" s="251"/>
      <c r="F39" s="251"/>
    </row>
    <row r="40" spans="1:6" ht="24" customHeight="1" x14ac:dyDescent="0.35">
      <c r="A40" s="264" t="s">
        <v>103</v>
      </c>
      <c r="B40" s="264"/>
      <c r="C40" s="264" t="s">
        <v>104</v>
      </c>
      <c r="D40" s="264"/>
      <c r="E40" s="264"/>
      <c r="F40" s="32" t="s">
        <v>105</v>
      </c>
    </row>
    <row r="41" spans="1:6" ht="34" customHeight="1" x14ac:dyDescent="0.35">
      <c r="A41" s="262" t="s">
        <v>142</v>
      </c>
      <c r="B41" s="262"/>
      <c r="C41" s="263" t="s">
        <v>143</v>
      </c>
      <c r="D41" s="263"/>
      <c r="E41" s="263"/>
      <c r="F41" s="33">
        <f>B5</f>
        <v>2000000</v>
      </c>
    </row>
    <row r="42" spans="1:6" ht="34" customHeight="1" x14ac:dyDescent="0.35">
      <c r="A42" s="262" t="s">
        <v>144</v>
      </c>
      <c r="B42" s="262"/>
      <c r="C42" s="263" t="s">
        <v>145</v>
      </c>
      <c r="D42" s="263"/>
      <c r="E42" s="263"/>
      <c r="F42" s="34">
        <f>B6</f>
        <v>7.5</v>
      </c>
    </row>
    <row r="43" spans="1:6" ht="34" customHeight="1" x14ac:dyDescent="0.35">
      <c r="A43" s="262" t="s">
        <v>111</v>
      </c>
      <c r="B43" s="262"/>
      <c r="C43" s="263" t="s">
        <v>146</v>
      </c>
      <c r="D43" s="263"/>
      <c r="E43" s="263"/>
      <c r="F43" s="35">
        <f>B7</f>
        <v>20</v>
      </c>
    </row>
    <row r="45" spans="1:6" ht="22" customHeight="1" x14ac:dyDescent="0.35">
      <c r="A45" s="251" t="s">
        <v>119</v>
      </c>
      <c r="B45" s="251"/>
      <c r="C45" s="251"/>
      <c r="D45" s="251"/>
      <c r="E45" s="251"/>
      <c r="F45" s="251"/>
    </row>
    <row r="46" spans="1:6" ht="24" customHeight="1" x14ac:dyDescent="0.35">
      <c r="A46" s="264" t="s">
        <v>120</v>
      </c>
      <c r="B46" s="264"/>
      <c r="C46" s="264" t="s">
        <v>121</v>
      </c>
      <c r="D46" s="264"/>
      <c r="E46" s="264"/>
      <c r="F46" s="264"/>
    </row>
    <row r="47" spans="1:6" ht="34" customHeight="1" x14ac:dyDescent="0.35">
      <c r="A47" s="262" t="s">
        <v>10</v>
      </c>
      <c r="B47" s="262"/>
      <c r="C47" s="263" t="s">
        <v>147</v>
      </c>
      <c r="D47" s="263"/>
      <c r="E47" s="263"/>
      <c r="F47" s="263"/>
    </row>
    <row r="48" spans="1:6" ht="34" customHeight="1" x14ac:dyDescent="0.35">
      <c r="A48" s="262" t="s">
        <v>148</v>
      </c>
      <c r="B48" s="262"/>
      <c r="C48" s="263" t="s">
        <v>149</v>
      </c>
      <c r="D48" s="263"/>
      <c r="E48" s="263"/>
      <c r="F48" s="263"/>
    </row>
    <row r="49" spans="1:6" ht="34" customHeight="1" x14ac:dyDescent="0.35">
      <c r="A49" s="262" t="s">
        <v>150</v>
      </c>
      <c r="B49" s="262"/>
      <c r="C49" s="263" t="s">
        <v>151</v>
      </c>
      <c r="D49" s="263"/>
      <c r="E49" s="263"/>
      <c r="F49" s="263"/>
    </row>
    <row r="50" spans="1:6" ht="34" customHeight="1" x14ac:dyDescent="0.35">
      <c r="A50" s="262" t="s">
        <v>152</v>
      </c>
      <c r="B50" s="262"/>
      <c r="C50" s="263" t="s">
        <v>153</v>
      </c>
      <c r="D50" s="263"/>
      <c r="E50" s="263"/>
      <c r="F50" s="263"/>
    </row>
    <row r="51" spans="1:6" ht="34" customHeight="1" x14ac:dyDescent="0.35">
      <c r="A51" s="262" t="s">
        <v>154</v>
      </c>
      <c r="B51" s="262"/>
      <c r="C51" s="263" t="s">
        <v>155</v>
      </c>
      <c r="D51" s="263"/>
      <c r="E51" s="263"/>
      <c r="F51" s="263"/>
    </row>
    <row r="52" spans="1:6" ht="34" customHeight="1" x14ac:dyDescent="0.35">
      <c r="A52" s="262" t="s">
        <v>156</v>
      </c>
      <c r="B52" s="262"/>
      <c r="C52" s="263" t="s">
        <v>157</v>
      </c>
      <c r="D52" s="263"/>
      <c r="E52" s="263"/>
      <c r="F52" s="263"/>
    </row>
    <row r="53" spans="1:6" ht="34" customHeight="1" x14ac:dyDescent="0.35">
      <c r="A53" s="262" t="s">
        <v>158</v>
      </c>
      <c r="B53" s="262"/>
      <c r="C53" s="263" t="s">
        <v>159</v>
      </c>
      <c r="D53" s="263"/>
      <c r="E53" s="263"/>
      <c r="F53" s="263"/>
    </row>
    <row r="56" spans="1:6" ht="22" customHeight="1" x14ac:dyDescent="0.35">
      <c r="A56" s="251" t="s">
        <v>135</v>
      </c>
      <c r="B56" s="251"/>
      <c r="C56" s="251"/>
      <c r="D56" s="251"/>
      <c r="E56" s="251"/>
      <c r="F56" s="251"/>
    </row>
    <row r="57" spans="1:6" ht="34" customHeight="1" x14ac:dyDescent="0.35">
      <c r="A57" s="259" t="s">
        <v>160</v>
      </c>
      <c r="B57" s="260"/>
      <c r="C57" s="260"/>
      <c r="D57" s="260"/>
      <c r="E57" s="260"/>
      <c r="F57" s="261"/>
    </row>
    <row r="58" spans="1:6" ht="34" customHeight="1" x14ac:dyDescent="0.35">
      <c r="A58" s="259" t="s">
        <v>161</v>
      </c>
      <c r="B58" s="260"/>
      <c r="C58" s="260"/>
      <c r="D58" s="260"/>
      <c r="E58" s="260"/>
      <c r="F58" s="261"/>
    </row>
    <row r="59" spans="1:6" ht="34" customHeight="1" x14ac:dyDescent="0.35">
      <c r="A59" s="259" t="s">
        <v>162</v>
      </c>
      <c r="B59" s="260"/>
      <c r="C59" s="260"/>
      <c r="D59" s="260"/>
      <c r="E59" s="260"/>
      <c r="F59" s="261"/>
    </row>
    <row r="60" spans="1:6" ht="34" customHeight="1" x14ac:dyDescent="0.35">
      <c r="A60" s="259" t="s">
        <v>163</v>
      </c>
      <c r="B60" s="260"/>
      <c r="C60" s="260"/>
      <c r="D60" s="260"/>
      <c r="E60" s="260"/>
      <c r="F60" s="261"/>
    </row>
    <row r="61" spans="1:6" ht="34" customHeight="1" x14ac:dyDescent="0.35">
      <c r="A61" s="259" t="s">
        <v>164</v>
      </c>
      <c r="B61" s="260"/>
      <c r="C61" s="260"/>
      <c r="D61" s="260"/>
      <c r="E61" s="260"/>
      <c r="F61" s="261"/>
    </row>
    <row r="62" spans="1:6" ht="34" customHeight="1" x14ac:dyDescent="0.35">
      <c r="A62" s="259" t="s">
        <v>165</v>
      </c>
      <c r="B62" s="260"/>
      <c r="C62" s="260"/>
      <c r="D62" s="260"/>
      <c r="E62" s="260"/>
      <c r="F62" s="261"/>
    </row>
  </sheetData>
  <mergeCells count="43">
    <mergeCell ref="A1:F1"/>
    <mergeCell ref="A2:F2"/>
    <mergeCell ref="A4:B4"/>
    <mergeCell ref="D4:F4"/>
    <mergeCell ref="A10:F10"/>
    <mergeCell ref="A33:F33"/>
    <mergeCell ref="A34:F34"/>
    <mergeCell ref="A35:F35"/>
    <mergeCell ref="A36:F36"/>
    <mergeCell ref="A37:F37"/>
    <mergeCell ref="A39:F39"/>
    <mergeCell ref="A40:B40"/>
    <mergeCell ref="C40:E40"/>
    <mergeCell ref="A41:B41"/>
    <mergeCell ref="C41:E41"/>
    <mergeCell ref="A42:B42"/>
    <mergeCell ref="C42:E42"/>
    <mergeCell ref="A43:B43"/>
    <mergeCell ref="C43:E43"/>
    <mergeCell ref="A45:F45"/>
    <mergeCell ref="A46:B46"/>
    <mergeCell ref="C46:F46"/>
    <mergeCell ref="A47:B47"/>
    <mergeCell ref="C47:F47"/>
    <mergeCell ref="A48:B48"/>
    <mergeCell ref="C48:F48"/>
    <mergeCell ref="A49:B49"/>
    <mergeCell ref="C49:F49"/>
    <mergeCell ref="A50:B50"/>
    <mergeCell ref="C50:F50"/>
    <mergeCell ref="A51:B51"/>
    <mergeCell ref="C51:F51"/>
    <mergeCell ref="A52:B52"/>
    <mergeCell ref="C52:F52"/>
    <mergeCell ref="A53:B53"/>
    <mergeCell ref="C53:F53"/>
    <mergeCell ref="A56:F56"/>
    <mergeCell ref="A62:F62"/>
    <mergeCell ref="A57:F57"/>
    <mergeCell ref="A58:F58"/>
    <mergeCell ref="A59:F59"/>
    <mergeCell ref="A60:F60"/>
    <mergeCell ref="A61:F6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2754-C105-4623-A70C-203BE47175A5}">
  <dimension ref="A1:I130"/>
  <sheetViews>
    <sheetView topLeftCell="A11" workbookViewId="0">
      <selection activeCell="J29" sqref="J29"/>
    </sheetView>
  </sheetViews>
  <sheetFormatPr defaultRowHeight="14.5" x14ac:dyDescent="0.35"/>
  <cols>
    <col min="1" max="1" width="10.54296875" customWidth="1"/>
    <col min="2" max="3" width="16.7265625" customWidth="1"/>
    <col min="4" max="6" width="17.453125" customWidth="1"/>
    <col min="7" max="7" width="16" customWidth="1"/>
    <col min="8" max="8" width="18.1796875" customWidth="1"/>
    <col min="9" max="9" width="19.6328125" customWidth="1"/>
  </cols>
  <sheetData>
    <row r="1" spans="1:9" ht="30" customHeight="1" x14ac:dyDescent="0.35">
      <c r="A1" s="268" t="s">
        <v>82</v>
      </c>
      <c r="B1" s="268"/>
      <c r="C1" s="268"/>
      <c r="D1" s="268"/>
      <c r="E1" s="268"/>
      <c r="F1" s="268"/>
      <c r="G1" s="268"/>
      <c r="H1" s="268"/>
      <c r="I1" s="268"/>
    </row>
    <row r="2" spans="1:9" ht="24" customHeight="1" x14ac:dyDescent="0.35">
      <c r="A2" s="254" t="s">
        <v>83</v>
      </c>
      <c r="B2" s="254"/>
      <c r="C2" s="254"/>
      <c r="D2" s="254"/>
      <c r="E2" s="254"/>
      <c r="F2" s="254"/>
      <c r="G2" s="254"/>
      <c r="H2" s="254"/>
      <c r="I2" s="254"/>
    </row>
    <row r="4" spans="1:9" x14ac:dyDescent="0.35">
      <c r="A4" s="251" t="s">
        <v>84</v>
      </c>
      <c r="B4" s="251"/>
      <c r="D4" s="251" t="s">
        <v>85</v>
      </c>
      <c r="E4" s="251"/>
      <c r="F4" s="251"/>
    </row>
    <row r="5" spans="1:9" x14ac:dyDescent="0.35">
      <c r="A5" s="21" t="s">
        <v>81</v>
      </c>
      <c r="B5" s="22">
        <v>0</v>
      </c>
      <c r="D5" s="25" t="s">
        <v>19</v>
      </c>
      <c r="E5" s="26">
        <f>$B$5+$B$6*$B$8*12</f>
        <v>4800000</v>
      </c>
    </row>
    <row r="6" spans="1:9" x14ac:dyDescent="0.35">
      <c r="A6" s="21" t="s">
        <v>79</v>
      </c>
      <c r="B6" s="22">
        <v>20000</v>
      </c>
      <c r="D6" s="25" t="s">
        <v>88</v>
      </c>
      <c r="E6" s="26">
        <f>$B$5*(1+$B$7/1200)^($B$8*12)+FV($B$7/1200,$B$8*12,-$B$6,0,0)</f>
        <v>19785107.30774726</v>
      </c>
    </row>
    <row r="7" spans="1:9" x14ac:dyDescent="0.35">
      <c r="A7" s="21" t="s">
        <v>80</v>
      </c>
      <c r="B7" s="23">
        <f>'Common Assumptions'!$B$6</f>
        <v>12</v>
      </c>
      <c r="D7" s="25" t="s">
        <v>22</v>
      </c>
      <c r="E7" s="26">
        <f>E6-E5</f>
        <v>14985107.30774726</v>
      </c>
    </row>
    <row r="8" spans="1:9" x14ac:dyDescent="0.35">
      <c r="A8" s="21" t="s">
        <v>3</v>
      </c>
      <c r="B8" s="24">
        <v>20</v>
      </c>
      <c r="D8" s="25" t="s">
        <v>89</v>
      </c>
      <c r="E8" s="26">
        <f>MAX(0,E7-$B$11)*$B$10/100</f>
        <v>1857513.4134684075</v>
      </c>
    </row>
    <row r="9" spans="1:9" x14ac:dyDescent="0.35">
      <c r="A9" s="21" t="s">
        <v>6</v>
      </c>
      <c r="B9" s="23">
        <f>'Common Assumptions'!$B$5</f>
        <v>6</v>
      </c>
      <c r="D9" s="25" t="s">
        <v>90</v>
      </c>
      <c r="E9" s="26">
        <f>E6-E8</f>
        <v>17927593.894278854</v>
      </c>
    </row>
    <row r="10" spans="1:9" x14ac:dyDescent="0.35">
      <c r="A10" s="21" t="s">
        <v>86</v>
      </c>
      <c r="B10" s="23">
        <f>'Common Assumptions'!$B$12</f>
        <v>12.5</v>
      </c>
      <c r="D10" s="25" t="s">
        <v>91</v>
      </c>
      <c r="E10" s="26">
        <f>E9/(1+$B$9/100)^$B$8</f>
        <v>5589908.5179302497</v>
      </c>
    </row>
    <row r="11" spans="1:9" x14ac:dyDescent="0.35">
      <c r="A11" s="21" t="s">
        <v>87</v>
      </c>
      <c r="B11" s="22">
        <f>'Common Assumptions'!$B$13</f>
        <v>125000</v>
      </c>
      <c r="D11" s="25" t="s">
        <v>914</v>
      </c>
      <c r="E11" s="26">
        <f>E10-($B$5+IF($B$9=0,$B$6*12*$B$8,$B$6*12*(1-(1+$B$9/100)^(-$B$8))/($B$9/100)))</f>
        <v>2837127.4254745864</v>
      </c>
    </row>
    <row r="13" spans="1:9" ht="42" customHeight="1" x14ac:dyDescent="0.35">
      <c r="A13" s="288" t="s">
        <v>92</v>
      </c>
      <c r="B13" s="288"/>
      <c r="C13" s="288"/>
      <c r="D13" s="288"/>
      <c r="E13" s="288"/>
      <c r="F13" s="288"/>
      <c r="G13" s="288"/>
      <c r="H13" s="288"/>
      <c r="I13" s="288"/>
    </row>
    <row r="15" spans="1:9" x14ac:dyDescent="0.35">
      <c r="A15" s="251" t="s">
        <v>93</v>
      </c>
      <c r="B15" s="251"/>
      <c r="C15" s="251"/>
      <c r="D15" s="251"/>
      <c r="E15" s="251"/>
      <c r="F15" s="251"/>
      <c r="G15" s="251"/>
      <c r="H15" s="251"/>
      <c r="I15" s="251"/>
    </row>
    <row r="16" spans="1:9" ht="32" customHeight="1" x14ac:dyDescent="0.35">
      <c r="A16" s="27" t="s">
        <v>73</v>
      </c>
      <c r="B16" s="27" t="s">
        <v>94</v>
      </c>
      <c r="C16" s="27" t="s">
        <v>95</v>
      </c>
      <c r="D16" s="27" t="s">
        <v>96</v>
      </c>
      <c r="E16" s="27" t="s">
        <v>97</v>
      </c>
      <c r="F16" s="27" t="s">
        <v>98</v>
      </c>
      <c r="G16" s="27" t="s">
        <v>89</v>
      </c>
      <c r="H16" s="27" t="s">
        <v>99</v>
      </c>
      <c r="I16" s="27" t="s">
        <v>100</v>
      </c>
    </row>
    <row r="17" spans="1:9" x14ac:dyDescent="0.35">
      <c r="A17" s="30">
        <f t="shared" ref="A17:A56" si="0">IF(ROW()-16&lt;=$B$8,ROW()-16,"")</f>
        <v>1</v>
      </c>
      <c r="B17" s="31">
        <f>IF($A17="","",$B$5)</f>
        <v>0</v>
      </c>
      <c r="C17" s="31">
        <f t="shared" ref="C17:C56" si="1">IF($A17="","",$B$6*12)</f>
        <v>240000</v>
      </c>
      <c r="D17" s="31">
        <f>IF($A17="","",$B$5+C17)</f>
        <v>240000</v>
      </c>
      <c r="E17" s="31">
        <f>IF($A17="","",$B$5*(1+$B$7/1200)^12+FV($B$7/1200,12,-$B$6,0,0))</f>
        <v>253650.06026393952</v>
      </c>
      <c r="F17" s="31">
        <f t="shared" ref="F17:F56" si="2">IF($A17="","",E17-D17)</f>
        <v>13650.060263939522</v>
      </c>
      <c r="G17" s="31">
        <f t="shared" ref="G17:G56" si="3">IF($A17="","",MAX(0,F17-$B$11)*$B$10/100)</f>
        <v>0</v>
      </c>
      <c r="H17" s="31">
        <f t="shared" ref="H17:H56" si="4">IF($A17="","",E17-G17)</f>
        <v>253650.06026393952</v>
      </c>
      <c r="I17" s="31">
        <f t="shared" ref="I17:I56" si="5">IF($A17="","",H17/(1+$B$9/100)^A17)</f>
        <v>239292.5096829618</v>
      </c>
    </row>
    <row r="18" spans="1:9" x14ac:dyDescent="0.35">
      <c r="A18" s="28">
        <f t="shared" si="0"/>
        <v>2</v>
      </c>
      <c r="B18" s="29">
        <f t="shared" ref="B18:B56" si="6">IF($A18="","",E17)</f>
        <v>253650.06026393952</v>
      </c>
      <c r="C18" s="29">
        <f t="shared" si="1"/>
        <v>240000</v>
      </c>
      <c r="D18" s="29">
        <f t="shared" ref="D18:D56" si="7">IF($A18="","",D17+C18)</f>
        <v>480000</v>
      </c>
      <c r="E18" s="29">
        <f t="shared" ref="E18:E56" si="8">IF($A18="","",E17*(1+$B$7/1200)^12+FV($B$7/1200,12,-$B$6,0,0))</f>
        <v>539469.29706382914</v>
      </c>
      <c r="F18" s="29">
        <f t="shared" si="2"/>
        <v>59469.297063829144</v>
      </c>
      <c r="G18" s="29">
        <f t="shared" si="3"/>
        <v>0</v>
      </c>
      <c r="H18" s="29">
        <f t="shared" si="4"/>
        <v>539469.29706382914</v>
      </c>
      <c r="I18" s="29">
        <f t="shared" si="5"/>
        <v>480125.75388379232</v>
      </c>
    </row>
    <row r="19" spans="1:9" x14ac:dyDescent="0.35">
      <c r="A19" s="30">
        <f t="shared" si="0"/>
        <v>3</v>
      </c>
      <c r="B19" s="31">
        <f t="shared" si="6"/>
        <v>539469.29706382914</v>
      </c>
      <c r="C19" s="31">
        <f t="shared" si="1"/>
        <v>240000</v>
      </c>
      <c r="D19" s="31">
        <f t="shared" si="7"/>
        <v>720000</v>
      </c>
      <c r="E19" s="31">
        <f t="shared" si="8"/>
        <v>861537.56718316139</v>
      </c>
      <c r="F19" s="31">
        <f t="shared" si="2"/>
        <v>141537.56718316139</v>
      </c>
      <c r="G19" s="31">
        <f t="shared" si="3"/>
        <v>2067.1958978951734</v>
      </c>
      <c r="H19" s="31">
        <f t="shared" si="4"/>
        <v>859470.37128526624</v>
      </c>
      <c r="I19" s="31">
        <f t="shared" si="5"/>
        <v>721627.89692604134</v>
      </c>
    </row>
    <row r="20" spans="1:9" x14ac:dyDescent="0.35">
      <c r="A20" s="28">
        <f t="shared" si="0"/>
        <v>4</v>
      </c>
      <c r="B20" s="29">
        <f t="shared" si="6"/>
        <v>861537.56718316139</v>
      </c>
      <c r="C20" s="29">
        <f t="shared" si="1"/>
        <v>240000</v>
      </c>
      <c r="D20" s="29">
        <f t="shared" si="7"/>
        <v>960000</v>
      </c>
      <c r="E20" s="29">
        <f t="shared" si="8"/>
        <v>1224452.1553649292</v>
      </c>
      <c r="F20" s="29">
        <f t="shared" si="2"/>
        <v>264452.15536492923</v>
      </c>
      <c r="G20" s="29">
        <f t="shared" si="3"/>
        <v>17431.519420616154</v>
      </c>
      <c r="H20" s="29">
        <f t="shared" si="4"/>
        <v>1207020.6359443131</v>
      </c>
      <c r="I20" s="29">
        <f t="shared" si="5"/>
        <v>956073.397129016</v>
      </c>
    </row>
    <row r="21" spans="1:9" x14ac:dyDescent="0.35">
      <c r="A21" s="30">
        <f t="shared" si="0"/>
        <v>5</v>
      </c>
      <c r="B21" s="31">
        <f t="shared" si="6"/>
        <v>1224452.1553649292</v>
      </c>
      <c r="C21" s="31">
        <f t="shared" si="1"/>
        <v>240000</v>
      </c>
      <c r="D21" s="31">
        <f t="shared" si="7"/>
        <v>1200000</v>
      </c>
      <c r="E21" s="31">
        <f t="shared" si="8"/>
        <v>1633393.3971281811</v>
      </c>
      <c r="F21" s="31">
        <f t="shared" si="2"/>
        <v>433393.39712818107</v>
      </c>
      <c r="G21" s="31">
        <f t="shared" si="3"/>
        <v>38549.174641022633</v>
      </c>
      <c r="H21" s="31">
        <f t="shared" si="4"/>
        <v>1594844.2224871584</v>
      </c>
      <c r="I21" s="31">
        <f t="shared" si="5"/>
        <v>1191760.379701741</v>
      </c>
    </row>
    <row r="22" spans="1:9" x14ac:dyDescent="0.35">
      <c r="A22" s="28">
        <f t="shared" si="0"/>
        <v>6</v>
      </c>
      <c r="B22" s="29">
        <f t="shared" si="6"/>
        <v>1633393.3971281811</v>
      </c>
      <c r="C22" s="29">
        <f t="shared" si="1"/>
        <v>240000</v>
      </c>
      <c r="D22" s="29">
        <f t="shared" si="7"/>
        <v>1440000</v>
      </c>
      <c r="E22" s="29">
        <f t="shared" si="8"/>
        <v>2094198.6242002626</v>
      </c>
      <c r="F22" s="29">
        <f t="shared" si="2"/>
        <v>654198.62420026259</v>
      </c>
      <c r="G22" s="29">
        <f t="shared" si="3"/>
        <v>66149.828025032824</v>
      </c>
      <c r="H22" s="29">
        <f t="shared" si="4"/>
        <v>2028048.7961752298</v>
      </c>
      <c r="I22" s="29">
        <f t="shared" si="5"/>
        <v>1429694.375389725</v>
      </c>
    </row>
    <row r="23" spans="1:9" x14ac:dyDescent="0.35">
      <c r="A23" s="30">
        <f t="shared" si="0"/>
        <v>7</v>
      </c>
      <c r="B23" s="31">
        <f t="shared" si="6"/>
        <v>2094198.6242002626</v>
      </c>
      <c r="C23" s="31">
        <f t="shared" si="1"/>
        <v>240000</v>
      </c>
      <c r="D23" s="31">
        <f t="shared" si="7"/>
        <v>1680000</v>
      </c>
      <c r="E23" s="31">
        <f t="shared" si="8"/>
        <v>2613445.4880807302</v>
      </c>
      <c r="F23" s="31">
        <f t="shared" si="2"/>
        <v>933445.4880807302</v>
      </c>
      <c r="G23" s="31">
        <f t="shared" si="3"/>
        <v>101055.68601009127</v>
      </c>
      <c r="H23" s="31">
        <f t="shared" si="4"/>
        <v>2512389.8020706391</v>
      </c>
      <c r="I23" s="31">
        <f t="shared" si="5"/>
        <v>1670882.7100592915</v>
      </c>
    </row>
    <row r="24" spans="1:9" x14ac:dyDescent="0.35">
      <c r="A24" s="28">
        <f t="shared" si="0"/>
        <v>8</v>
      </c>
      <c r="B24" s="29">
        <f t="shared" si="6"/>
        <v>2613445.4880807302</v>
      </c>
      <c r="C24" s="29">
        <f t="shared" si="1"/>
        <v>240000</v>
      </c>
      <c r="D24" s="29">
        <f t="shared" si="7"/>
        <v>1920000</v>
      </c>
      <c r="E24" s="29">
        <f t="shared" si="8"/>
        <v>3198545.851118769</v>
      </c>
      <c r="F24" s="29">
        <f t="shared" si="2"/>
        <v>1278545.851118769</v>
      </c>
      <c r="G24" s="29">
        <f t="shared" si="3"/>
        <v>144193.23138984613</v>
      </c>
      <c r="H24" s="29">
        <f t="shared" si="4"/>
        <v>3054352.6197289228</v>
      </c>
      <c r="I24" s="29">
        <f t="shared" si="5"/>
        <v>1916338.6200582436</v>
      </c>
    </row>
    <row r="25" spans="1:9" x14ac:dyDescent="0.35">
      <c r="A25" s="30">
        <f t="shared" si="0"/>
        <v>9</v>
      </c>
      <c r="B25" s="31">
        <f t="shared" si="6"/>
        <v>3198545.851118769</v>
      </c>
      <c r="C25" s="31">
        <f t="shared" si="1"/>
        <v>240000</v>
      </c>
      <c r="D25" s="31">
        <f t="shared" si="7"/>
        <v>2160000</v>
      </c>
      <c r="E25" s="31">
        <f t="shared" si="8"/>
        <v>3857851.5853293333</v>
      </c>
      <c r="F25" s="31">
        <f t="shared" si="2"/>
        <v>1697851.5853293333</v>
      </c>
      <c r="G25" s="31">
        <f t="shared" si="3"/>
        <v>196606.44816616667</v>
      </c>
      <c r="H25" s="31">
        <f t="shared" si="4"/>
        <v>3661245.1371631669</v>
      </c>
      <c r="I25" s="31">
        <f t="shared" si="5"/>
        <v>2167085.3712936542</v>
      </c>
    </row>
    <row r="26" spans="1:9" x14ac:dyDescent="0.35">
      <c r="A26" s="28">
        <f t="shared" si="0"/>
        <v>10</v>
      </c>
      <c r="B26" s="29">
        <f t="shared" si="6"/>
        <v>3857851.5853293333</v>
      </c>
      <c r="C26" s="29">
        <f t="shared" si="1"/>
        <v>240000</v>
      </c>
      <c r="D26" s="29">
        <f t="shared" si="7"/>
        <v>2400000</v>
      </c>
      <c r="E26" s="29">
        <f t="shared" si="8"/>
        <v>4600773.7891473323</v>
      </c>
      <c r="F26" s="29">
        <f t="shared" si="2"/>
        <v>2200773.7891473323</v>
      </c>
      <c r="G26" s="29">
        <f t="shared" si="3"/>
        <v>259471.72364341654</v>
      </c>
      <c r="H26" s="29">
        <f t="shared" si="4"/>
        <v>4341302.0655039158</v>
      </c>
      <c r="I26" s="29">
        <f t="shared" si="5"/>
        <v>2424160.3983881995</v>
      </c>
    </row>
    <row r="27" spans="1:9" x14ac:dyDescent="0.35">
      <c r="A27" s="30">
        <f t="shared" si="0"/>
        <v>11</v>
      </c>
      <c r="B27" s="31">
        <f t="shared" si="6"/>
        <v>4600773.7891473323</v>
      </c>
      <c r="C27" s="31">
        <f t="shared" si="1"/>
        <v>240000</v>
      </c>
      <c r="D27" s="31">
        <f t="shared" si="7"/>
        <v>2640000</v>
      </c>
      <c r="E27" s="31">
        <f t="shared" si="8"/>
        <v>5437917.123850259</v>
      </c>
      <c r="F27" s="31">
        <f t="shared" si="2"/>
        <v>2797917.123850259</v>
      </c>
      <c r="G27" s="31">
        <f t="shared" si="3"/>
        <v>334114.64048128237</v>
      </c>
      <c r="H27" s="31">
        <f t="shared" si="4"/>
        <v>5103802.483368977</v>
      </c>
      <c r="I27" s="31">
        <f t="shared" si="5"/>
        <v>2688619.4803015511</v>
      </c>
    </row>
    <row r="28" spans="1:9" x14ac:dyDescent="0.35">
      <c r="A28" s="28">
        <f t="shared" si="0"/>
        <v>12</v>
      </c>
      <c r="B28" s="29">
        <f t="shared" si="6"/>
        <v>5437917.123850259</v>
      </c>
      <c r="C28" s="29">
        <f t="shared" si="1"/>
        <v>240000</v>
      </c>
      <c r="D28" s="29">
        <f t="shared" si="7"/>
        <v>2880000</v>
      </c>
      <c r="E28" s="29">
        <f t="shared" si="8"/>
        <v>6381231.187201662</v>
      </c>
      <c r="F28" s="29">
        <f t="shared" si="2"/>
        <v>3501231.187201662</v>
      </c>
      <c r="G28" s="29">
        <f t="shared" si="3"/>
        <v>422028.89840020775</v>
      </c>
      <c r="H28" s="29">
        <f t="shared" si="4"/>
        <v>5959202.288801454</v>
      </c>
      <c r="I28" s="29">
        <f t="shared" si="5"/>
        <v>2961540.9688922632</v>
      </c>
    </row>
    <row r="29" spans="1:9" x14ac:dyDescent="0.35">
      <c r="A29" s="30">
        <f t="shared" si="0"/>
        <v>13</v>
      </c>
      <c r="B29" s="31">
        <f t="shared" si="6"/>
        <v>6381231.187201662</v>
      </c>
      <c r="C29" s="31">
        <f t="shared" si="1"/>
        <v>240000</v>
      </c>
      <c r="D29" s="31">
        <f t="shared" si="7"/>
        <v>3120000</v>
      </c>
      <c r="E29" s="31">
        <f t="shared" si="8"/>
        <v>7444181.0850615175</v>
      </c>
      <c r="F29" s="31">
        <f t="shared" si="2"/>
        <v>4324181.0850615175</v>
      </c>
      <c r="G29" s="31">
        <f t="shared" si="3"/>
        <v>524897.63563268969</v>
      </c>
      <c r="H29" s="31">
        <f t="shared" si="4"/>
        <v>6919283.4494288275</v>
      </c>
      <c r="I29" s="31">
        <f t="shared" si="5"/>
        <v>3244030.0870486009</v>
      </c>
    </row>
    <row r="30" spans="1:9" x14ac:dyDescent="0.35">
      <c r="A30" s="28">
        <f t="shared" si="0"/>
        <v>14</v>
      </c>
      <c r="B30" s="29">
        <f t="shared" si="6"/>
        <v>7444181.0850615175</v>
      </c>
      <c r="C30" s="29">
        <f t="shared" si="1"/>
        <v>240000</v>
      </c>
      <c r="D30" s="29">
        <f t="shared" si="7"/>
        <v>3360000</v>
      </c>
      <c r="E30" s="29">
        <f t="shared" si="8"/>
        <v>8641939.6357462239</v>
      </c>
      <c r="F30" s="29">
        <f t="shared" si="2"/>
        <v>5281939.6357462239</v>
      </c>
      <c r="G30" s="29">
        <f t="shared" si="3"/>
        <v>644617.45446827798</v>
      </c>
      <c r="H30" s="29">
        <f t="shared" si="4"/>
        <v>7997322.1812779456</v>
      </c>
      <c r="I30" s="29">
        <f t="shared" si="5"/>
        <v>3537223.3132341844</v>
      </c>
    </row>
    <row r="31" spans="1:9" x14ac:dyDescent="0.35">
      <c r="A31" s="30">
        <f t="shared" si="0"/>
        <v>15</v>
      </c>
      <c r="B31" s="31">
        <f t="shared" si="6"/>
        <v>8641939.6357462239</v>
      </c>
      <c r="C31" s="31">
        <f t="shared" si="1"/>
        <v>240000</v>
      </c>
      <c r="D31" s="31">
        <f t="shared" si="7"/>
        <v>3600000</v>
      </c>
      <c r="E31" s="31">
        <f t="shared" si="8"/>
        <v>9991603.9507123418</v>
      </c>
      <c r="F31" s="31">
        <f t="shared" si="2"/>
        <v>6391603.9507123418</v>
      </c>
      <c r="G31" s="31">
        <f t="shared" si="3"/>
        <v>783325.49383904273</v>
      </c>
      <c r="H31" s="31">
        <f t="shared" si="4"/>
        <v>9208278.4568732996</v>
      </c>
      <c r="I31" s="31">
        <f t="shared" si="5"/>
        <v>3842292.869577005</v>
      </c>
    </row>
    <row r="32" spans="1:9" x14ac:dyDescent="0.35">
      <c r="A32" s="28">
        <f t="shared" si="0"/>
        <v>16</v>
      </c>
      <c r="B32" s="29">
        <f t="shared" si="6"/>
        <v>9991603.9507123418</v>
      </c>
      <c r="C32" s="29">
        <f t="shared" si="1"/>
        <v>240000</v>
      </c>
      <c r="D32" s="29">
        <f t="shared" si="7"/>
        <v>3840000</v>
      </c>
      <c r="E32" s="29">
        <f t="shared" si="8"/>
        <v>11512439.483092083</v>
      </c>
      <c r="F32" s="29">
        <f t="shared" si="2"/>
        <v>7672439.4830920827</v>
      </c>
      <c r="G32" s="29">
        <f t="shared" si="3"/>
        <v>943429.93538651033</v>
      </c>
      <c r="H32" s="29">
        <f t="shared" si="4"/>
        <v>10569009.547705572</v>
      </c>
      <c r="I32" s="29">
        <f t="shared" si="5"/>
        <v>4160451.3309791251</v>
      </c>
    </row>
    <row r="33" spans="1:9" x14ac:dyDescent="0.35">
      <c r="A33" s="30">
        <f t="shared" si="0"/>
        <v>17</v>
      </c>
      <c r="B33" s="31">
        <f t="shared" si="6"/>
        <v>11512439.483092083</v>
      </c>
      <c r="C33" s="31">
        <f t="shared" si="1"/>
        <v>240000</v>
      </c>
      <c r="D33" s="31">
        <f t="shared" si="7"/>
        <v>4080000</v>
      </c>
      <c r="E33" s="31">
        <f t="shared" si="8"/>
        <v>13226155.027691653</v>
      </c>
      <c r="F33" s="31">
        <f t="shared" si="2"/>
        <v>9146155.027691653</v>
      </c>
      <c r="G33" s="31">
        <f t="shared" si="3"/>
        <v>1127644.3784614566</v>
      </c>
      <c r="H33" s="31">
        <f t="shared" si="4"/>
        <v>12098510.649230197</v>
      </c>
      <c r="I33" s="31">
        <f t="shared" si="5"/>
        <v>4492956.3731404599</v>
      </c>
    </row>
    <row r="34" spans="1:9" x14ac:dyDescent="0.35">
      <c r="A34" s="28">
        <f t="shared" si="0"/>
        <v>18</v>
      </c>
      <c r="B34" s="29">
        <f t="shared" si="6"/>
        <v>13226155.027691653</v>
      </c>
      <c r="C34" s="29">
        <f t="shared" si="1"/>
        <v>240000</v>
      </c>
      <c r="D34" s="29">
        <f t="shared" si="7"/>
        <v>4320000</v>
      </c>
      <c r="E34" s="29">
        <f t="shared" si="8"/>
        <v>15157212.597872689</v>
      </c>
      <c r="F34" s="29">
        <f t="shared" si="2"/>
        <v>10837212.597872689</v>
      </c>
      <c r="G34" s="29">
        <f t="shared" si="3"/>
        <v>1339026.5747340862</v>
      </c>
      <c r="H34" s="29">
        <f t="shared" si="4"/>
        <v>13818186.023138603</v>
      </c>
      <c r="I34" s="29">
        <f t="shared" si="5"/>
        <v>4841115.6778749609</v>
      </c>
    </row>
    <row r="35" spans="1:9" x14ac:dyDescent="0.35">
      <c r="A35" s="30">
        <f t="shared" si="0"/>
        <v>19</v>
      </c>
      <c r="B35" s="31">
        <f t="shared" si="6"/>
        <v>15157212.597872689</v>
      </c>
      <c r="C35" s="31">
        <f t="shared" si="1"/>
        <v>240000</v>
      </c>
      <c r="D35" s="31">
        <f t="shared" si="7"/>
        <v>4560000</v>
      </c>
      <c r="E35" s="31">
        <f t="shared" si="8"/>
        <v>17333176.602578506</v>
      </c>
      <c r="F35" s="31">
        <f t="shared" si="2"/>
        <v>12773176.602578506</v>
      </c>
      <c r="G35" s="31">
        <f t="shared" si="3"/>
        <v>1581022.0753223132</v>
      </c>
      <c r="H35" s="31">
        <f t="shared" si="4"/>
        <v>15752154.527256193</v>
      </c>
      <c r="I35" s="31">
        <f t="shared" si="5"/>
        <v>5206292.014652824</v>
      </c>
    </row>
    <row r="36" spans="1:9" x14ac:dyDescent="0.35">
      <c r="A36" s="28">
        <f t="shared" si="0"/>
        <v>20</v>
      </c>
      <c r="B36" s="29">
        <f t="shared" si="6"/>
        <v>17333176.602578506</v>
      </c>
      <c r="C36" s="29">
        <f t="shared" si="1"/>
        <v>240000</v>
      </c>
      <c r="D36" s="29">
        <f t="shared" si="7"/>
        <v>4800000</v>
      </c>
      <c r="E36" s="29">
        <f t="shared" si="8"/>
        <v>19785107.307747219</v>
      </c>
      <c r="F36" s="29">
        <f t="shared" si="2"/>
        <v>14985107.307747219</v>
      </c>
      <c r="G36" s="29">
        <f t="shared" si="3"/>
        <v>1857513.4134684023</v>
      </c>
      <c r="H36" s="29">
        <f t="shared" si="4"/>
        <v>17927593.894278817</v>
      </c>
      <c r="I36" s="29">
        <f t="shared" si="5"/>
        <v>5589908.5179302385</v>
      </c>
    </row>
    <row r="37" spans="1:9" x14ac:dyDescent="0.35">
      <c r="A37" s="28" t="str">
        <f t="shared" si="0"/>
        <v/>
      </c>
      <c r="B37" s="29" t="str">
        <f t="shared" si="6"/>
        <v/>
      </c>
      <c r="C37" s="29" t="str">
        <f t="shared" si="1"/>
        <v/>
      </c>
      <c r="D37" s="29" t="str">
        <f t="shared" si="7"/>
        <v/>
      </c>
      <c r="E37" s="29" t="str">
        <f t="shared" si="8"/>
        <v/>
      </c>
      <c r="F37" s="29" t="str">
        <f t="shared" si="2"/>
        <v/>
      </c>
      <c r="G37" s="29" t="str">
        <f t="shared" si="3"/>
        <v/>
      </c>
      <c r="H37" s="29" t="str">
        <f t="shared" si="4"/>
        <v/>
      </c>
      <c r="I37" s="29" t="str">
        <f t="shared" si="5"/>
        <v/>
      </c>
    </row>
    <row r="38" spans="1:9" x14ac:dyDescent="0.35">
      <c r="A38" s="28" t="str">
        <f t="shared" si="0"/>
        <v/>
      </c>
      <c r="B38" s="29" t="str">
        <f t="shared" si="6"/>
        <v/>
      </c>
      <c r="C38" s="29" t="str">
        <f t="shared" si="1"/>
        <v/>
      </c>
      <c r="D38" s="29" t="str">
        <f t="shared" si="7"/>
        <v/>
      </c>
      <c r="E38" s="29" t="str">
        <f t="shared" si="8"/>
        <v/>
      </c>
      <c r="F38" s="29" t="str">
        <f t="shared" si="2"/>
        <v/>
      </c>
      <c r="G38" s="29" t="str">
        <f t="shared" si="3"/>
        <v/>
      </c>
      <c r="H38" s="29" t="str">
        <f t="shared" si="4"/>
        <v/>
      </c>
      <c r="I38" s="29" t="str">
        <f t="shared" si="5"/>
        <v/>
      </c>
    </row>
    <row r="39" spans="1:9" x14ac:dyDescent="0.35">
      <c r="A39" s="28" t="str">
        <f t="shared" si="0"/>
        <v/>
      </c>
      <c r="B39" s="29" t="str">
        <f t="shared" si="6"/>
        <v/>
      </c>
      <c r="C39" s="29" t="str">
        <f t="shared" si="1"/>
        <v/>
      </c>
      <c r="D39" s="29" t="str">
        <f t="shared" si="7"/>
        <v/>
      </c>
      <c r="E39" s="29" t="str">
        <f t="shared" si="8"/>
        <v/>
      </c>
      <c r="F39" s="29" t="str">
        <f t="shared" si="2"/>
        <v/>
      </c>
      <c r="G39" s="29" t="str">
        <f t="shared" si="3"/>
        <v/>
      </c>
      <c r="H39" s="29" t="str">
        <f t="shared" si="4"/>
        <v/>
      </c>
      <c r="I39" s="29" t="str">
        <f t="shared" si="5"/>
        <v/>
      </c>
    </row>
    <row r="40" spans="1:9" x14ac:dyDescent="0.35">
      <c r="A40" s="28" t="str">
        <f t="shared" si="0"/>
        <v/>
      </c>
      <c r="B40" s="29" t="str">
        <f t="shared" si="6"/>
        <v/>
      </c>
      <c r="C40" s="29" t="str">
        <f t="shared" si="1"/>
        <v/>
      </c>
      <c r="D40" s="29" t="str">
        <f t="shared" si="7"/>
        <v/>
      </c>
      <c r="E40" s="29" t="str">
        <f t="shared" si="8"/>
        <v/>
      </c>
      <c r="F40" s="29" t="str">
        <f t="shared" si="2"/>
        <v/>
      </c>
      <c r="G40" s="29" t="str">
        <f t="shared" si="3"/>
        <v/>
      </c>
      <c r="H40" s="29" t="str">
        <f t="shared" si="4"/>
        <v/>
      </c>
      <c r="I40" s="29" t="str">
        <f t="shared" si="5"/>
        <v/>
      </c>
    </row>
    <row r="41" spans="1:9" x14ac:dyDescent="0.35">
      <c r="A41" s="28" t="str">
        <f t="shared" si="0"/>
        <v/>
      </c>
      <c r="B41" s="29" t="str">
        <f t="shared" si="6"/>
        <v/>
      </c>
      <c r="C41" s="29" t="str">
        <f t="shared" si="1"/>
        <v/>
      </c>
      <c r="D41" s="29" t="str">
        <f t="shared" si="7"/>
        <v/>
      </c>
      <c r="E41" s="29" t="str">
        <f t="shared" si="8"/>
        <v/>
      </c>
      <c r="F41" s="29" t="str">
        <f t="shared" si="2"/>
        <v/>
      </c>
      <c r="G41" s="29" t="str">
        <f t="shared" si="3"/>
        <v/>
      </c>
      <c r="H41" s="29" t="str">
        <f t="shared" si="4"/>
        <v/>
      </c>
      <c r="I41" s="29" t="str">
        <f t="shared" si="5"/>
        <v/>
      </c>
    </row>
    <row r="42" spans="1:9" x14ac:dyDescent="0.35">
      <c r="A42" s="28" t="str">
        <f t="shared" si="0"/>
        <v/>
      </c>
      <c r="B42" s="29" t="str">
        <f t="shared" si="6"/>
        <v/>
      </c>
      <c r="C42" s="29" t="str">
        <f t="shared" si="1"/>
        <v/>
      </c>
      <c r="D42" s="29" t="str">
        <f t="shared" si="7"/>
        <v/>
      </c>
      <c r="E42" s="29" t="str">
        <f t="shared" si="8"/>
        <v/>
      </c>
      <c r="F42" s="29" t="str">
        <f t="shared" si="2"/>
        <v/>
      </c>
      <c r="G42" s="29" t="str">
        <f t="shared" si="3"/>
        <v/>
      </c>
      <c r="H42" s="29" t="str">
        <f t="shared" si="4"/>
        <v/>
      </c>
      <c r="I42" s="29" t="str">
        <f t="shared" si="5"/>
        <v/>
      </c>
    </row>
    <row r="43" spans="1:9" x14ac:dyDescent="0.35">
      <c r="A43" s="28" t="str">
        <f t="shared" si="0"/>
        <v/>
      </c>
      <c r="B43" s="29" t="str">
        <f t="shared" si="6"/>
        <v/>
      </c>
      <c r="C43" s="29" t="str">
        <f t="shared" si="1"/>
        <v/>
      </c>
      <c r="D43" s="29" t="str">
        <f t="shared" si="7"/>
        <v/>
      </c>
      <c r="E43" s="29" t="str">
        <f t="shared" si="8"/>
        <v/>
      </c>
      <c r="F43" s="29" t="str">
        <f t="shared" si="2"/>
        <v/>
      </c>
      <c r="G43" s="29" t="str">
        <f t="shared" si="3"/>
        <v/>
      </c>
      <c r="H43" s="29" t="str">
        <f t="shared" si="4"/>
        <v/>
      </c>
      <c r="I43" s="29" t="str">
        <f t="shared" si="5"/>
        <v/>
      </c>
    </row>
    <row r="44" spans="1:9" x14ac:dyDescent="0.35">
      <c r="A44" s="28" t="str">
        <f t="shared" si="0"/>
        <v/>
      </c>
      <c r="B44" s="29" t="str">
        <f t="shared" si="6"/>
        <v/>
      </c>
      <c r="C44" s="29" t="str">
        <f t="shared" si="1"/>
        <v/>
      </c>
      <c r="D44" s="29" t="str">
        <f t="shared" si="7"/>
        <v/>
      </c>
      <c r="E44" s="29" t="str">
        <f t="shared" si="8"/>
        <v/>
      </c>
      <c r="F44" s="29" t="str">
        <f t="shared" si="2"/>
        <v/>
      </c>
      <c r="G44" s="29" t="str">
        <f t="shared" si="3"/>
        <v/>
      </c>
      <c r="H44" s="29" t="str">
        <f t="shared" si="4"/>
        <v/>
      </c>
      <c r="I44" s="29" t="str">
        <f t="shared" si="5"/>
        <v/>
      </c>
    </row>
    <row r="45" spans="1:9" x14ac:dyDescent="0.35">
      <c r="A45" s="28" t="str">
        <f t="shared" si="0"/>
        <v/>
      </c>
      <c r="B45" s="29" t="str">
        <f t="shared" si="6"/>
        <v/>
      </c>
      <c r="C45" s="29" t="str">
        <f t="shared" si="1"/>
        <v/>
      </c>
      <c r="D45" s="29" t="str">
        <f t="shared" si="7"/>
        <v/>
      </c>
      <c r="E45" s="29" t="str">
        <f t="shared" si="8"/>
        <v/>
      </c>
      <c r="F45" s="29" t="str">
        <f t="shared" si="2"/>
        <v/>
      </c>
      <c r="G45" s="29" t="str">
        <f t="shared" si="3"/>
        <v/>
      </c>
      <c r="H45" s="29" t="str">
        <f t="shared" si="4"/>
        <v/>
      </c>
      <c r="I45" s="29" t="str">
        <f t="shared" si="5"/>
        <v/>
      </c>
    </row>
    <row r="46" spans="1:9" x14ac:dyDescent="0.35">
      <c r="A46" s="28" t="str">
        <f t="shared" si="0"/>
        <v/>
      </c>
      <c r="B46" s="29" t="str">
        <f t="shared" si="6"/>
        <v/>
      </c>
      <c r="C46" s="29" t="str">
        <f t="shared" si="1"/>
        <v/>
      </c>
      <c r="D46" s="29" t="str">
        <f t="shared" si="7"/>
        <v/>
      </c>
      <c r="E46" s="29" t="str">
        <f t="shared" si="8"/>
        <v/>
      </c>
      <c r="F46" s="29" t="str">
        <f t="shared" si="2"/>
        <v/>
      </c>
      <c r="G46" s="29" t="str">
        <f t="shared" si="3"/>
        <v/>
      </c>
      <c r="H46" s="29" t="str">
        <f t="shared" si="4"/>
        <v/>
      </c>
      <c r="I46" s="29" t="str">
        <f t="shared" si="5"/>
        <v/>
      </c>
    </row>
    <row r="47" spans="1:9" x14ac:dyDescent="0.35">
      <c r="A47" s="28" t="str">
        <f t="shared" si="0"/>
        <v/>
      </c>
      <c r="B47" s="29" t="str">
        <f t="shared" si="6"/>
        <v/>
      </c>
      <c r="C47" s="29" t="str">
        <f t="shared" si="1"/>
        <v/>
      </c>
      <c r="D47" s="29" t="str">
        <f t="shared" si="7"/>
        <v/>
      </c>
      <c r="E47" s="29" t="str">
        <f t="shared" si="8"/>
        <v/>
      </c>
      <c r="F47" s="29" t="str">
        <f t="shared" si="2"/>
        <v/>
      </c>
      <c r="G47" s="29" t="str">
        <f t="shared" si="3"/>
        <v/>
      </c>
      <c r="H47" s="29" t="str">
        <f t="shared" si="4"/>
        <v/>
      </c>
      <c r="I47" s="29" t="str">
        <f t="shared" si="5"/>
        <v/>
      </c>
    </row>
    <row r="48" spans="1:9" x14ac:dyDescent="0.35">
      <c r="A48" s="28" t="str">
        <f t="shared" si="0"/>
        <v/>
      </c>
      <c r="B48" s="29" t="str">
        <f t="shared" si="6"/>
        <v/>
      </c>
      <c r="C48" s="29" t="str">
        <f t="shared" si="1"/>
        <v/>
      </c>
      <c r="D48" s="29" t="str">
        <f t="shared" si="7"/>
        <v/>
      </c>
      <c r="E48" s="29" t="str">
        <f t="shared" si="8"/>
        <v/>
      </c>
      <c r="F48" s="29" t="str">
        <f t="shared" si="2"/>
        <v/>
      </c>
      <c r="G48" s="29" t="str">
        <f t="shared" si="3"/>
        <v/>
      </c>
      <c r="H48" s="29" t="str">
        <f t="shared" si="4"/>
        <v/>
      </c>
      <c r="I48" s="29" t="str">
        <f t="shared" si="5"/>
        <v/>
      </c>
    </row>
    <row r="49" spans="1:9" x14ac:dyDescent="0.35">
      <c r="A49" s="28" t="str">
        <f t="shared" si="0"/>
        <v/>
      </c>
      <c r="B49" s="29" t="str">
        <f t="shared" si="6"/>
        <v/>
      </c>
      <c r="C49" s="29" t="str">
        <f t="shared" si="1"/>
        <v/>
      </c>
      <c r="D49" s="29" t="str">
        <f t="shared" si="7"/>
        <v/>
      </c>
      <c r="E49" s="29" t="str">
        <f t="shared" si="8"/>
        <v/>
      </c>
      <c r="F49" s="29" t="str">
        <f t="shared" si="2"/>
        <v/>
      </c>
      <c r="G49" s="29" t="str">
        <f t="shared" si="3"/>
        <v/>
      </c>
      <c r="H49" s="29" t="str">
        <f t="shared" si="4"/>
        <v/>
      </c>
      <c r="I49" s="29" t="str">
        <f t="shared" si="5"/>
        <v/>
      </c>
    </row>
    <row r="50" spans="1:9" x14ac:dyDescent="0.35">
      <c r="A50" s="28" t="str">
        <f t="shared" si="0"/>
        <v/>
      </c>
      <c r="B50" s="29" t="str">
        <f t="shared" si="6"/>
        <v/>
      </c>
      <c r="C50" s="29" t="str">
        <f t="shared" si="1"/>
        <v/>
      </c>
      <c r="D50" s="29" t="str">
        <f t="shared" si="7"/>
        <v/>
      </c>
      <c r="E50" s="29" t="str">
        <f t="shared" si="8"/>
        <v/>
      </c>
      <c r="F50" s="29" t="str">
        <f t="shared" si="2"/>
        <v/>
      </c>
      <c r="G50" s="29" t="str">
        <f t="shared" si="3"/>
        <v/>
      </c>
      <c r="H50" s="29" t="str">
        <f t="shared" si="4"/>
        <v/>
      </c>
      <c r="I50" s="29" t="str">
        <f t="shared" si="5"/>
        <v/>
      </c>
    </row>
    <row r="51" spans="1:9" x14ac:dyDescent="0.35">
      <c r="A51" s="28" t="str">
        <f t="shared" si="0"/>
        <v/>
      </c>
      <c r="B51" s="29" t="str">
        <f t="shared" si="6"/>
        <v/>
      </c>
      <c r="C51" s="29" t="str">
        <f t="shared" si="1"/>
        <v/>
      </c>
      <c r="D51" s="29" t="str">
        <f t="shared" si="7"/>
        <v/>
      </c>
      <c r="E51" s="29" t="str">
        <f t="shared" si="8"/>
        <v/>
      </c>
      <c r="F51" s="29" t="str">
        <f t="shared" si="2"/>
        <v/>
      </c>
      <c r="G51" s="29" t="str">
        <f t="shared" si="3"/>
        <v/>
      </c>
      <c r="H51" s="29" t="str">
        <f t="shared" si="4"/>
        <v/>
      </c>
      <c r="I51" s="29" t="str">
        <f t="shared" si="5"/>
        <v/>
      </c>
    </row>
    <row r="52" spans="1:9" x14ac:dyDescent="0.35">
      <c r="A52" s="28" t="str">
        <f t="shared" si="0"/>
        <v/>
      </c>
      <c r="B52" s="29" t="str">
        <f t="shared" si="6"/>
        <v/>
      </c>
      <c r="C52" s="29" t="str">
        <f t="shared" si="1"/>
        <v/>
      </c>
      <c r="D52" s="29" t="str">
        <f t="shared" si="7"/>
        <v/>
      </c>
      <c r="E52" s="29" t="str">
        <f t="shared" si="8"/>
        <v/>
      </c>
      <c r="F52" s="29" t="str">
        <f t="shared" si="2"/>
        <v/>
      </c>
      <c r="G52" s="29" t="str">
        <f t="shared" si="3"/>
        <v/>
      </c>
      <c r="H52" s="29" t="str">
        <f t="shared" si="4"/>
        <v/>
      </c>
      <c r="I52" s="29" t="str">
        <f t="shared" si="5"/>
        <v/>
      </c>
    </row>
    <row r="53" spans="1:9" x14ac:dyDescent="0.35">
      <c r="A53" s="28" t="str">
        <f t="shared" si="0"/>
        <v/>
      </c>
      <c r="B53" s="29" t="str">
        <f t="shared" si="6"/>
        <v/>
      </c>
      <c r="C53" s="29" t="str">
        <f t="shared" si="1"/>
        <v/>
      </c>
      <c r="D53" s="29" t="str">
        <f t="shared" si="7"/>
        <v/>
      </c>
      <c r="E53" s="29" t="str">
        <f t="shared" si="8"/>
        <v/>
      </c>
      <c r="F53" s="29" t="str">
        <f t="shared" si="2"/>
        <v/>
      </c>
      <c r="G53" s="29" t="str">
        <f t="shared" si="3"/>
        <v/>
      </c>
      <c r="H53" s="29" t="str">
        <f t="shared" si="4"/>
        <v/>
      </c>
      <c r="I53" s="29" t="str">
        <f t="shared" si="5"/>
        <v/>
      </c>
    </row>
    <row r="54" spans="1:9" x14ac:dyDescent="0.35">
      <c r="A54" s="28" t="str">
        <f t="shared" si="0"/>
        <v/>
      </c>
      <c r="B54" s="29" t="str">
        <f t="shared" si="6"/>
        <v/>
      </c>
      <c r="C54" s="29" t="str">
        <f t="shared" si="1"/>
        <v/>
      </c>
      <c r="D54" s="29" t="str">
        <f t="shared" si="7"/>
        <v/>
      </c>
      <c r="E54" s="29" t="str">
        <f t="shared" si="8"/>
        <v/>
      </c>
      <c r="F54" s="29" t="str">
        <f t="shared" si="2"/>
        <v/>
      </c>
      <c r="G54" s="29" t="str">
        <f t="shared" si="3"/>
        <v/>
      </c>
      <c r="H54" s="29" t="str">
        <f t="shared" si="4"/>
        <v/>
      </c>
      <c r="I54" s="29" t="str">
        <f t="shared" si="5"/>
        <v/>
      </c>
    </row>
    <row r="55" spans="1:9" x14ac:dyDescent="0.35">
      <c r="A55" s="28" t="str">
        <f t="shared" si="0"/>
        <v/>
      </c>
      <c r="B55" s="29" t="str">
        <f t="shared" si="6"/>
        <v/>
      </c>
      <c r="C55" s="29" t="str">
        <f t="shared" si="1"/>
        <v/>
      </c>
      <c r="D55" s="29" t="str">
        <f t="shared" si="7"/>
        <v/>
      </c>
      <c r="E55" s="29" t="str">
        <f t="shared" si="8"/>
        <v/>
      </c>
      <c r="F55" s="29" t="str">
        <f t="shared" si="2"/>
        <v/>
      </c>
      <c r="G55" s="29" t="str">
        <f t="shared" si="3"/>
        <v/>
      </c>
      <c r="H55" s="29" t="str">
        <f t="shared" si="4"/>
        <v/>
      </c>
      <c r="I55" s="29" t="str">
        <f t="shared" si="5"/>
        <v/>
      </c>
    </row>
    <row r="56" spans="1:9" x14ac:dyDescent="0.35">
      <c r="A56" s="28" t="str">
        <f t="shared" si="0"/>
        <v/>
      </c>
      <c r="B56" s="29" t="str">
        <f t="shared" si="6"/>
        <v/>
      </c>
      <c r="C56" s="29" t="str">
        <f t="shared" si="1"/>
        <v/>
      </c>
      <c r="D56" s="29" t="str">
        <f t="shared" si="7"/>
        <v/>
      </c>
      <c r="E56" s="29" t="str">
        <f t="shared" si="8"/>
        <v/>
      </c>
      <c r="F56" s="29" t="str">
        <f t="shared" si="2"/>
        <v/>
      </c>
      <c r="G56" s="29" t="str">
        <f t="shared" si="3"/>
        <v/>
      </c>
      <c r="H56" s="29" t="str">
        <f t="shared" si="4"/>
        <v/>
      </c>
      <c r="I56" s="29" t="str">
        <f t="shared" si="5"/>
        <v/>
      </c>
    </row>
    <row r="58" spans="1:9" ht="22" customHeight="1" x14ac:dyDescent="0.35">
      <c r="A58" s="251" t="s">
        <v>101</v>
      </c>
      <c r="B58" s="251"/>
      <c r="C58" s="251"/>
      <c r="D58" s="251"/>
      <c r="E58" s="251"/>
      <c r="F58" s="251"/>
      <c r="G58" s="251"/>
      <c r="H58" s="251"/>
      <c r="I58" s="251"/>
    </row>
    <row r="59" spans="1:9" ht="30" customHeight="1" x14ac:dyDescent="0.35">
      <c r="A59" s="286" t="str">
        <f>"1. Over "&amp;TEXT($B$8,"0")&amp;" years, total contributions are ₹"&amp;TEXT($E$5,"##,##,##0")&amp;" and the projected nominal portfolio is ₹"&amp;TEXT($E$6,"##,##,##0")&amp;"."</f>
        <v>1. Over 20 years, total contributions are ₹48,00,000 and the projected nominal portfolio is ₹1,97,85,107.</v>
      </c>
      <c r="B59" s="274"/>
      <c r="C59" s="274"/>
      <c r="D59" s="274"/>
      <c r="E59" s="274"/>
      <c r="F59" s="274"/>
      <c r="G59" s="274"/>
      <c r="H59" s="274"/>
      <c r="I59" s="287"/>
    </row>
    <row r="60" spans="1:9" ht="30" customHeight="1" x14ac:dyDescent="0.35">
      <c r="A60" s="286" t="str">
        <f>"2. The projected nominal gain is ₹"&amp;TEXT($E$7,"##,##,##0")&amp;"; estimated tax on a full final redemption is ₹"&amp;TEXT($E$8,"##,##,##0")&amp;", leaving ₹"&amp;TEXT($E$9,"##,##,##0")&amp;" nominally."</f>
        <v>2. The projected nominal gain is ₹1,49,85,107; estimated tax on a full final redemption is ₹18,57,513, leaving ₹1,79,27,594 nominally.</v>
      </c>
      <c r="B60" s="274"/>
      <c r="C60" s="274"/>
      <c r="D60" s="274"/>
      <c r="E60" s="274"/>
      <c r="F60" s="274"/>
      <c r="G60" s="274"/>
      <c r="H60" s="274"/>
      <c r="I60" s="287"/>
    </row>
    <row r="61" spans="1:9" ht="30" customHeight="1" x14ac:dyDescent="0.35">
      <c r="A61" s="286" t="str">
        <f>"3. After adjusting the post-tax corpus for "&amp;TEXT($B$9/100,"0.0%")&amp;" annual inflation, its value in today’s rupees is ₹"&amp;TEXT($E$10,"##,##,##0")&amp;"."</f>
        <v>3. After adjusting the post-tax corpus for 6.0% annual inflation, its value in today’s rupees is ₹55,89,909.</v>
      </c>
      <c r="B61" s="274"/>
      <c r="C61" s="274"/>
      <c r="D61" s="274"/>
      <c r="E61" s="274"/>
      <c r="F61" s="274"/>
      <c r="G61" s="274"/>
      <c r="H61" s="274"/>
      <c r="I61" s="287"/>
    </row>
    <row r="62" spans="1:9" ht="30" customHeight="1" x14ac:dyDescent="0.35">
      <c r="A62" s="286" t="str">
        <f>"4. Contributions are brought to today's rupees year by year (each year's twelve instalments divided by (1 + inflation) for that year). The real gain of ₹" &amp; TEXT($E$11,"##,##,##0") &amp; " compares the post-tax real value with those contributions."</f>
        <v>4. Contributions are brought to today's rupees year by year (each year's twelve instalments divided by (1 + inflation) for that year). The real gain of ₹28,37,127 compares the post-tax real value with those contributions.</v>
      </c>
      <c r="B62" s="274"/>
      <c r="C62" s="274"/>
      <c r="D62" s="274"/>
      <c r="E62" s="274"/>
      <c r="F62" s="274"/>
      <c r="G62" s="274"/>
      <c r="H62" s="274"/>
      <c r="I62" s="287"/>
    </row>
    <row r="64" spans="1:9" ht="22" customHeight="1" x14ac:dyDescent="0.35">
      <c r="A64" s="251" t="s">
        <v>102</v>
      </c>
      <c r="B64" s="251"/>
      <c r="C64" s="251"/>
      <c r="D64" s="251"/>
      <c r="E64" s="251"/>
      <c r="F64" s="251"/>
      <c r="G64" s="251"/>
      <c r="H64" s="251"/>
      <c r="I64" s="251"/>
    </row>
    <row r="65" spans="1:9" ht="24" customHeight="1" x14ac:dyDescent="0.35">
      <c r="A65" s="264" t="s">
        <v>103</v>
      </c>
      <c r="B65" s="264"/>
      <c r="C65" s="264" t="s">
        <v>104</v>
      </c>
      <c r="D65" s="264"/>
      <c r="E65" s="264"/>
      <c r="F65" s="264"/>
      <c r="G65" s="264" t="s">
        <v>105</v>
      </c>
      <c r="H65" s="264"/>
      <c r="I65" s="264"/>
    </row>
    <row r="66" spans="1:9" ht="34" customHeight="1" x14ac:dyDescent="0.35">
      <c r="A66" s="262" t="s">
        <v>81</v>
      </c>
      <c r="B66" s="262"/>
      <c r="C66" s="263" t="s">
        <v>106</v>
      </c>
      <c r="D66" s="263"/>
      <c r="E66" s="263"/>
      <c r="F66" s="263"/>
      <c r="G66" s="282">
        <f t="shared" ref="G66:G72" si="9">B5</f>
        <v>0</v>
      </c>
      <c r="H66" s="283"/>
      <c r="I66" s="283"/>
    </row>
    <row r="67" spans="1:9" ht="34" customHeight="1" x14ac:dyDescent="0.35">
      <c r="A67" s="262" t="s">
        <v>107</v>
      </c>
      <c r="B67" s="262"/>
      <c r="C67" s="263" t="s">
        <v>108</v>
      </c>
      <c r="D67" s="263"/>
      <c r="E67" s="263"/>
      <c r="F67" s="263"/>
      <c r="G67" s="282">
        <f t="shared" si="9"/>
        <v>20000</v>
      </c>
      <c r="H67" s="283"/>
      <c r="I67" s="283"/>
    </row>
    <row r="68" spans="1:9" ht="34" customHeight="1" x14ac:dyDescent="0.35">
      <c r="A68" s="262" t="s">
        <v>109</v>
      </c>
      <c r="B68" s="262"/>
      <c r="C68" s="263" t="s">
        <v>110</v>
      </c>
      <c r="D68" s="263"/>
      <c r="E68" s="263"/>
      <c r="F68" s="263"/>
      <c r="G68" s="284">
        <f t="shared" si="9"/>
        <v>12</v>
      </c>
      <c r="H68" s="283"/>
      <c r="I68" s="283"/>
    </row>
    <row r="69" spans="1:9" ht="34" customHeight="1" x14ac:dyDescent="0.35">
      <c r="A69" s="262" t="s">
        <v>111</v>
      </c>
      <c r="B69" s="262"/>
      <c r="C69" s="263" t="s">
        <v>112</v>
      </c>
      <c r="D69" s="263"/>
      <c r="E69" s="263"/>
      <c r="F69" s="263"/>
      <c r="G69" s="285">
        <f t="shared" si="9"/>
        <v>20</v>
      </c>
      <c r="H69" s="283"/>
      <c r="I69" s="283"/>
    </row>
    <row r="70" spans="1:9" ht="34" customHeight="1" x14ac:dyDescent="0.35">
      <c r="A70" s="262" t="s">
        <v>113</v>
      </c>
      <c r="B70" s="262"/>
      <c r="C70" s="263" t="s">
        <v>114</v>
      </c>
      <c r="D70" s="263"/>
      <c r="E70" s="263"/>
      <c r="F70" s="263"/>
      <c r="G70" s="284">
        <f t="shared" si="9"/>
        <v>6</v>
      </c>
      <c r="H70" s="283"/>
      <c r="I70" s="283"/>
    </row>
    <row r="71" spans="1:9" ht="34" customHeight="1" x14ac:dyDescent="0.35">
      <c r="A71" s="262" t="s">
        <v>115</v>
      </c>
      <c r="B71" s="262"/>
      <c r="C71" s="263" t="s">
        <v>116</v>
      </c>
      <c r="D71" s="263"/>
      <c r="E71" s="263"/>
      <c r="F71" s="263"/>
      <c r="G71" s="284">
        <f t="shared" si="9"/>
        <v>12.5</v>
      </c>
      <c r="H71" s="283"/>
      <c r="I71" s="283"/>
    </row>
    <row r="72" spans="1:9" ht="34" customHeight="1" x14ac:dyDescent="0.35">
      <c r="A72" s="262" t="s">
        <v>117</v>
      </c>
      <c r="B72" s="262"/>
      <c r="C72" s="263" t="s">
        <v>118</v>
      </c>
      <c r="D72" s="263"/>
      <c r="E72" s="263"/>
      <c r="F72" s="263"/>
      <c r="G72" s="282">
        <f t="shared" si="9"/>
        <v>125000</v>
      </c>
      <c r="H72" s="283"/>
      <c r="I72" s="283"/>
    </row>
    <row r="74" spans="1:9" ht="22" customHeight="1" x14ac:dyDescent="0.35">
      <c r="A74" s="251" t="s">
        <v>119</v>
      </c>
      <c r="B74" s="251"/>
      <c r="C74" s="251"/>
      <c r="D74" s="251"/>
      <c r="E74" s="251"/>
      <c r="F74" s="251"/>
      <c r="G74" s="251"/>
      <c r="H74" s="251"/>
      <c r="I74" s="251"/>
    </row>
    <row r="75" spans="1:9" ht="24" customHeight="1" x14ac:dyDescent="0.35">
      <c r="A75" s="264" t="s">
        <v>120</v>
      </c>
      <c r="B75" s="264"/>
      <c r="C75" s="264"/>
      <c r="D75" s="264" t="s">
        <v>121</v>
      </c>
      <c r="E75" s="264"/>
      <c r="F75" s="264"/>
      <c r="G75" s="264"/>
      <c r="H75" s="264"/>
      <c r="I75" s="264"/>
    </row>
    <row r="76" spans="1:9" ht="34" customHeight="1" x14ac:dyDescent="0.35">
      <c r="A76" s="262" t="s">
        <v>122</v>
      </c>
      <c r="B76" s="262"/>
      <c r="C76" s="262"/>
      <c r="D76" s="263" t="s">
        <v>123</v>
      </c>
      <c r="E76" s="263"/>
      <c r="F76" s="263"/>
      <c r="G76" s="263"/>
      <c r="H76" s="263"/>
      <c r="I76" s="263"/>
    </row>
    <row r="77" spans="1:9" ht="34" customHeight="1" x14ac:dyDescent="0.35">
      <c r="A77" s="262" t="s">
        <v>124</v>
      </c>
      <c r="B77" s="262"/>
      <c r="C77" s="262"/>
      <c r="D77" s="263" t="s">
        <v>125</v>
      </c>
      <c r="E77" s="263"/>
      <c r="F77" s="263"/>
      <c r="G77" s="263"/>
      <c r="H77" s="263"/>
      <c r="I77" s="263"/>
    </row>
    <row r="78" spans="1:9" ht="34" customHeight="1" x14ac:dyDescent="0.35">
      <c r="A78" s="262" t="s">
        <v>126</v>
      </c>
      <c r="B78" s="262"/>
      <c r="C78" s="262"/>
      <c r="D78" s="263" t="s">
        <v>127</v>
      </c>
      <c r="E78" s="263"/>
      <c r="F78" s="263"/>
      <c r="G78" s="263"/>
      <c r="H78" s="263"/>
      <c r="I78" s="263"/>
    </row>
    <row r="79" spans="1:9" ht="34" customHeight="1" x14ac:dyDescent="0.35">
      <c r="A79" s="262" t="s">
        <v>128</v>
      </c>
      <c r="B79" s="262"/>
      <c r="C79" s="262"/>
      <c r="D79" s="263" t="s">
        <v>129</v>
      </c>
      <c r="E79" s="263"/>
      <c r="F79" s="263"/>
      <c r="G79" s="263"/>
      <c r="H79" s="263"/>
      <c r="I79" s="263"/>
    </row>
    <row r="80" spans="1:9" ht="34" customHeight="1" x14ac:dyDescent="0.35">
      <c r="A80" s="262" t="s">
        <v>130</v>
      </c>
      <c r="B80" s="262"/>
      <c r="C80" s="262"/>
      <c r="D80" s="263" t="s">
        <v>131</v>
      </c>
      <c r="E80" s="263"/>
      <c r="F80" s="263"/>
      <c r="G80" s="263"/>
      <c r="H80" s="263"/>
      <c r="I80" s="263"/>
    </row>
    <row r="81" spans="1:9" ht="34" customHeight="1" x14ac:dyDescent="0.35">
      <c r="A81" s="262" t="s">
        <v>132</v>
      </c>
      <c r="B81" s="262"/>
      <c r="C81" s="262"/>
      <c r="D81" s="263" t="s">
        <v>133</v>
      </c>
      <c r="E81" s="263"/>
      <c r="F81" s="263"/>
      <c r="G81" s="263"/>
      <c r="H81" s="263"/>
      <c r="I81" s="263"/>
    </row>
    <row r="82" spans="1:9" ht="34" customHeight="1" x14ac:dyDescent="0.35">
      <c r="A82" s="262" t="s">
        <v>134</v>
      </c>
      <c r="B82" s="262"/>
      <c r="C82" s="262"/>
      <c r="D82" s="263" t="s">
        <v>915</v>
      </c>
      <c r="E82" s="263"/>
      <c r="F82" s="263"/>
      <c r="G82" s="263"/>
      <c r="H82" s="263"/>
      <c r="I82" s="263"/>
    </row>
    <row r="84" spans="1:9" ht="22" customHeight="1" x14ac:dyDescent="0.35">
      <c r="A84" s="251" t="s">
        <v>135</v>
      </c>
      <c r="B84" s="251"/>
      <c r="C84" s="251"/>
      <c r="D84" s="251"/>
      <c r="E84" s="251"/>
      <c r="F84" s="251"/>
      <c r="G84" s="251"/>
      <c r="H84" s="251"/>
      <c r="I84" s="251"/>
    </row>
    <row r="85" spans="1:9" ht="34" customHeight="1" x14ac:dyDescent="0.35">
      <c r="A85" s="259" t="s">
        <v>136</v>
      </c>
      <c r="B85" s="260"/>
      <c r="C85" s="260"/>
      <c r="D85" s="260"/>
      <c r="E85" s="260"/>
      <c r="F85" s="260"/>
      <c r="G85" s="260"/>
      <c r="H85" s="260"/>
      <c r="I85" s="261"/>
    </row>
    <row r="86" spans="1:9" ht="34" customHeight="1" x14ac:dyDescent="0.35">
      <c r="A86" s="259" t="s">
        <v>137</v>
      </c>
      <c r="B86" s="260"/>
      <c r="C86" s="260"/>
      <c r="D86" s="260"/>
      <c r="E86" s="260"/>
      <c r="F86" s="260"/>
      <c r="G86" s="260"/>
      <c r="H86" s="260"/>
      <c r="I86" s="261"/>
    </row>
    <row r="87" spans="1:9" ht="34" customHeight="1" x14ac:dyDescent="0.35">
      <c r="A87" s="259" t="s">
        <v>138</v>
      </c>
      <c r="B87" s="260"/>
      <c r="C87" s="260"/>
      <c r="D87" s="260"/>
      <c r="E87" s="260"/>
      <c r="F87" s="260"/>
      <c r="G87" s="260"/>
      <c r="H87" s="260"/>
      <c r="I87" s="261"/>
    </row>
    <row r="88" spans="1:9" ht="34" customHeight="1" x14ac:dyDescent="0.35">
      <c r="A88" s="259" t="s">
        <v>139</v>
      </c>
      <c r="B88" s="260"/>
      <c r="C88" s="260"/>
      <c r="D88" s="260"/>
      <c r="E88" s="260"/>
      <c r="F88" s="260"/>
      <c r="G88" s="260"/>
      <c r="H88" s="260"/>
      <c r="I88" s="261"/>
    </row>
    <row r="89" spans="1:9" ht="34" customHeight="1" x14ac:dyDescent="0.35">
      <c r="A89" s="259" t="s">
        <v>140</v>
      </c>
      <c r="B89" s="260"/>
      <c r="C89" s="260"/>
      <c r="D89" s="260"/>
      <c r="E89" s="260"/>
      <c r="F89" s="260"/>
      <c r="G89" s="260"/>
      <c r="H89" s="260"/>
      <c r="I89" s="261"/>
    </row>
    <row r="90" spans="1:9" ht="34" customHeight="1" x14ac:dyDescent="0.35">
      <c r="A90" s="259" t="s">
        <v>141</v>
      </c>
      <c r="B90" s="260"/>
      <c r="C90" s="260"/>
      <c r="D90" s="260"/>
      <c r="E90" s="260"/>
      <c r="F90" s="260"/>
      <c r="G90" s="260"/>
      <c r="H90" s="260"/>
      <c r="I90" s="261"/>
    </row>
    <row r="92" spans="1:9" ht="30" customHeight="1" x14ac:dyDescent="0.55000000000000004">
      <c r="A92" s="253" t="s">
        <v>210</v>
      </c>
      <c r="B92" s="253"/>
      <c r="C92" s="253"/>
      <c r="D92" s="253"/>
      <c r="E92" s="253"/>
      <c r="F92" s="253"/>
      <c r="G92" s="253"/>
      <c r="H92" s="253"/>
      <c r="I92" s="253"/>
    </row>
    <row r="93" spans="1:9" ht="24" customHeight="1" x14ac:dyDescent="0.35">
      <c r="A93" s="281" t="s">
        <v>211</v>
      </c>
      <c r="B93" s="281"/>
      <c r="C93" s="281"/>
      <c r="D93" s="281"/>
      <c r="E93" s="281"/>
      <c r="F93" s="281"/>
      <c r="G93" s="281"/>
      <c r="H93" s="281"/>
      <c r="I93" s="281"/>
    </row>
    <row r="95" spans="1:9" ht="22" customHeight="1" x14ac:dyDescent="0.35">
      <c r="A95" s="255" t="s">
        <v>212</v>
      </c>
      <c r="B95" s="255"/>
      <c r="C95" s="255"/>
      <c r="D95" s="255"/>
      <c r="E95" s="255"/>
      <c r="F95" s="255"/>
      <c r="G95" s="255"/>
      <c r="H95" s="255"/>
      <c r="I95" s="255"/>
    </row>
    <row r="96" spans="1:9" ht="38" customHeight="1" x14ac:dyDescent="0.35">
      <c r="A96" s="273" t="s">
        <v>213</v>
      </c>
      <c r="B96" s="274"/>
      <c r="C96" s="274"/>
      <c r="D96" s="274"/>
      <c r="E96" s="274"/>
      <c r="F96" s="274"/>
      <c r="G96" s="274"/>
      <c r="H96" s="274"/>
      <c r="I96" s="275"/>
    </row>
    <row r="97" spans="1:9" ht="38" customHeight="1" x14ac:dyDescent="0.35">
      <c r="A97" s="273" t="s">
        <v>214</v>
      </c>
      <c r="B97" s="274"/>
      <c r="C97" s="274"/>
      <c r="D97" s="274"/>
      <c r="E97" s="274"/>
      <c r="F97" s="274"/>
      <c r="G97" s="274"/>
      <c r="H97" s="274"/>
      <c r="I97" s="275"/>
    </row>
    <row r="98" spans="1:9" ht="38" customHeight="1" x14ac:dyDescent="0.35">
      <c r="A98" s="273" t="s">
        <v>215</v>
      </c>
      <c r="B98" s="274"/>
      <c r="C98" s="274"/>
      <c r="D98" s="274"/>
      <c r="E98" s="274"/>
      <c r="F98" s="274"/>
      <c r="G98" s="274"/>
      <c r="H98" s="274"/>
      <c r="I98" s="275"/>
    </row>
    <row r="100" spans="1:9" ht="22" customHeight="1" x14ac:dyDescent="0.35">
      <c r="A100" s="255" t="s">
        <v>216</v>
      </c>
      <c r="B100" s="255"/>
      <c r="C100" s="255"/>
      <c r="D100" s="255"/>
      <c r="E100" s="255"/>
      <c r="F100" s="255"/>
      <c r="G100" s="255"/>
      <c r="H100" s="255"/>
      <c r="I100" s="255"/>
    </row>
    <row r="101" spans="1:9" x14ac:dyDescent="0.35">
      <c r="A101" s="264" t="s">
        <v>217</v>
      </c>
      <c r="B101" s="264"/>
      <c r="C101" s="264"/>
      <c r="D101" s="264" t="s">
        <v>218</v>
      </c>
      <c r="E101" s="264"/>
      <c r="F101" s="264"/>
      <c r="G101" s="264"/>
      <c r="H101" s="264"/>
      <c r="I101" s="264"/>
    </row>
    <row r="102" spans="1:9" ht="32" customHeight="1" x14ac:dyDescent="0.35">
      <c r="A102" s="279" t="s">
        <v>219</v>
      </c>
      <c r="B102" s="279"/>
      <c r="C102" s="279"/>
      <c r="D102" s="280" t="s">
        <v>220</v>
      </c>
      <c r="E102" s="280"/>
      <c r="F102" s="280"/>
      <c r="G102" s="280"/>
      <c r="H102" s="280"/>
      <c r="I102" s="280"/>
    </row>
    <row r="103" spans="1:9" ht="32" customHeight="1" x14ac:dyDescent="0.35">
      <c r="A103" s="279" t="s">
        <v>221</v>
      </c>
      <c r="B103" s="279"/>
      <c r="C103" s="279"/>
      <c r="D103" s="280" t="s">
        <v>222</v>
      </c>
      <c r="E103" s="280"/>
      <c r="F103" s="280"/>
      <c r="G103" s="280"/>
      <c r="H103" s="280"/>
      <c r="I103" s="280"/>
    </row>
    <row r="104" spans="1:9" ht="32" customHeight="1" x14ac:dyDescent="0.35">
      <c r="A104" s="279" t="s">
        <v>223</v>
      </c>
      <c r="B104" s="279"/>
      <c r="C104" s="279"/>
      <c r="D104" s="280" t="s">
        <v>224</v>
      </c>
      <c r="E104" s="280"/>
      <c r="F104" s="280"/>
      <c r="G104" s="280"/>
      <c r="H104" s="280"/>
      <c r="I104" s="280"/>
    </row>
    <row r="105" spans="1:9" ht="32" customHeight="1" x14ac:dyDescent="0.35">
      <c r="A105" s="279" t="s">
        <v>225</v>
      </c>
      <c r="B105" s="279"/>
      <c r="C105" s="279"/>
      <c r="D105" s="280" t="s">
        <v>226</v>
      </c>
      <c r="E105" s="280"/>
      <c r="F105" s="280"/>
      <c r="G105" s="280"/>
      <c r="H105" s="280"/>
      <c r="I105" s="280"/>
    </row>
    <row r="106" spans="1:9" ht="32" customHeight="1" x14ac:dyDescent="0.35">
      <c r="A106" s="279" t="s">
        <v>227</v>
      </c>
      <c r="B106" s="279"/>
      <c r="C106" s="279"/>
      <c r="D106" s="280" t="s">
        <v>228</v>
      </c>
      <c r="E106" s="280"/>
      <c r="F106" s="280"/>
      <c r="G106" s="280"/>
      <c r="H106" s="280"/>
      <c r="I106" s="280"/>
    </row>
    <row r="108" spans="1:9" ht="22" customHeight="1" x14ac:dyDescent="0.35">
      <c r="A108" s="251" t="s">
        <v>229</v>
      </c>
      <c r="B108" s="251"/>
      <c r="C108" s="251"/>
      <c r="D108" s="251"/>
      <c r="E108" s="251"/>
      <c r="F108" s="251"/>
      <c r="G108" s="251"/>
      <c r="H108" s="251"/>
      <c r="I108" s="251"/>
    </row>
    <row r="109" spans="1:9" ht="34" customHeight="1" x14ac:dyDescent="0.35">
      <c r="A109" s="273" t="s">
        <v>230</v>
      </c>
      <c r="B109" s="274"/>
      <c r="C109" s="274"/>
      <c r="D109" s="274"/>
      <c r="E109" s="274"/>
      <c r="F109" s="274"/>
      <c r="G109" s="274"/>
      <c r="H109" s="274"/>
      <c r="I109" s="275"/>
    </row>
    <row r="110" spans="1:9" ht="34" customHeight="1" x14ac:dyDescent="0.35">
      <c r="A110" s="276" t="str">
        <f>"Using this sheet: ₹"&amp;TEXT($E$9,"##,##,##0")&amp;" of post-tax nominal wealth after "&amp;TEXT($B$8,"0")&amp;" years becomes ₹"&amp;TEXT($E$10,"##,##,##0")&amp;" in today’s rupees when inflation is "&amp;TEXT($B$9/100,"0.0%")&amp;" per year."</f>
        <v>Using this sheet: ₹1,79,27,594 of post-tax nominal wealth after 20 years becomes ₹55,89,909 in today’s rupees when inflation is 6.0% per year.</v>
      </c>
      <c r="B110" s="277"/>
      <c r="C110" s="277"/>
      <c r="D110" s="277"/>
      <c r="E110" s="277"/>
      <c r="F110" s="277"/>
      <c r="G110" s="277"/>
      <c r="H110" s="277"/>
      <c r="I110" s="278"/>
    </row>
    <row r="111" spans="1:9" ht="34" customHeight="1" x14ac:dyDescent="0.35">
      <c r="A111" s="276" t="str">
        <f>"In other words, the nominal account balance is about "&amp;TEXT($E$9/$E$10,"0.00")&amp;" times the real value because prices are assumed to rise throughout the period."</f>
        <v>In other words, the nominal account balance is about 3.21 times the real value because prices are assumed to rise throughout the period.</v>
      </c>
      <c r="B111" s="277"/>
      <c r="C111" s="277"/>
      <c r="D111" s="277"/>
      <c r="E111" s="277"/>
      <c r="F111" s="277"/>
      <c r="G111" s="277"/>
      <c r="H111" s="277"/>
      <c r="I111" s="278"/>
    </row>
    <row r="113" spans="1:9" ht="22" customHeight="1" x14ac:dyDescent="0.35">
      <c r="A113" s="251" t="s">
        <v>231</v>
      </c>
      <c r="B113" s="251"/>
      <c r="C113" s="251"/>
      <c r="D113" s="251"/>
      <c r="E113" s="251"/>
      <c r="F113" s="251"/>
      <c r="G113" s="251"/>
      <c r="H113" s="251"/>
      <c r="I113" s="251"/>
    </row>
    <row r="114" spans="1:9" ht="34" customHeight="1" x14ac:dyDescent="0.35">
      <c r="A114" s="273" t="s">
        <v>232</v>
      </c>
      <c r="B114" s="274"/>
      <c r="C114" s="274"/>
      <c r="D114" s="274"/>
      <c r="E114" s="274"/>
      <c r="F114" s="274"/>
      <c r="G114" s="274"/>
      <c r="H114" s="274"/>
      <c r="I114" s="275"/>
    </row>
    <row r="115" spans="1:9" ht="34" customHeight="1" x14ac:dyDescent="0.35">
      <c r="A115" s="276" t="str">
        <f>"The exact real return for the current assumptions is "&amp;TEXT((1+$B$7/100)/(1+$B$9/100)-1,"0.00%")&amp;", calculated as (1 + nominal return) ÷ (1 + inflation) − 1."</f>
        <v>The exact real return for the current assumptions is 5.66%, calculated as (1 + nominal return) ÷ (1 + inflation) − 1.</v>
      </c>
      <c r="B115" s="277"/>
      <c r="C115" s="277"/>
      <c r="D115" s="277"/>
      <c r="E115" s="277"/>
      <c r="F115" s="277"/>
      <c r="G115" s="277"/>
      <c r="H115" s="277"/>
      <c r="I115" s="278"/>
    </row>
    <row r="116" spans="1:9" ht="34" customHeight="1" x14ac:dyDescent="0.35">
      <c r="A116" s="273" t="s">
        <v>233</v>
      </c>
      <c r="B116" s="274"/>
      <c r="C116" s="274"/>
      <c r="D116" s="274"/>
      <c r="E116" s="274"/>
      <c r="F116" s="274"/>
      <c r="G116" s="274"/>
      <c r="H116" s="274"/>
      <c r="I116" s="275"/>
    </row>
    <row r="118" spans="1:9" ht="22" customHeight="1" x14ac:dyDescent="0.35">
      <c r="A118" s="251" t="s">
        <v>234</v>
      </c>
      <c r="B118" s="251"/>
      <c r="C118" s="251"/>
      <c r="D118" s="251"/>
      <c r="E118" s="251"/>
      <c r="F118" s="251"/>
      <c r="G118" s="251"/>
      <c r="H118" s="251"/>
      <c r="I118" s="251"/>
    </row>
    <row r="119" spans="1:9" ht="30" customHeight="1" x14ac:dyDescent="0.35">
      <c r="A119" s="273" t="s">
        <v>235</v>
      </c>
      <c r="B119" s="274"/>
      <c r="C119" s="274"/>
      <c r="D119" s="274"/>
      <c r="E119" s="274"/>
      <c r="F119" s="274"/>
      <c r="G119" s="274"/>
      <c r="H119" s="274"/>
      <c r="I119" s="275"/>
    </row>
    <row r="120" spans="1:9" ht="30" customHeight="1" x14ac:dyDescent="0.35">
      <c r="A120" s="273" t="s">
        <v>236</v>
      </c>
      <c r="B120" s="274"/>
      <c r="C120" s="274"/>
      <c r="D120" s="274"/>
      <c r="E120" s="274"/>
      <c r="F120" s="274"/>
      <c r="G120" s="274"/>
      <c r="H120" s="274"/>
      <c r="I120" s="275"/>
    </row>
    <row r="121" spans="1:9" ht="30" customHeight="1" x14ac:dyDescent="0.35">
      <c r="A121" s="273" t="s">
        <v>237</v>
      </c>
      <c r="B121" s="274"/>
      <c r="C121" s="274"/>
      <c r="D121" s="274"/>
      <c r="E121" s="274"/>
      <c r="F121" s="274"/>
      <c r="G121" s="274"/>
      <c r="H121" s="274"/>
      <c r="I121" s="275"/>
    </row>
    <row r="122" spans="1:9" ht="30" customHeight="1" x14ac:dyDescent="0.35">
      <c r="A122" s="273" t="s">
        <v>238</v>
      </c>
      <c r="B122" s="274"/>
      <c r="C122" s="274"/>
      <c r="D122" s="274"/>
      <c r="E122" s="274"/>
      <c r="F122" s="274"/>
      <c r="G122" s="274"/>
      <c r="H122" s="274"/>
      <c r="I122" s="275"/>
    </row>
    <row r="123" spans="1:9" ht="30" customHeight="1" x14ac:dyDescent="0.35">
      <c r="A123" s="273" t="s">
        <v>239</v>
      </c>
      <c r="B123" s="274"/>
      <c r="C123" s="274"/>
      <c r="D123" s="274"/>
      <c r="E123" s="274"/>
      <c r="F123" s="274"/>
      <c r="G123" s="274"/>
      <c r="H123" s="274"/>
      <c r="I123" s="275"/>
    </row>
    <row r="125" spans="1:9" ht="22" customHeight="1" x14ac:dyDescent="0.35">
      <c r="A125" s="251" t="s">
        <v>240</v>
      </c>
      <c r="B125" s="251"/>
      <c r="C125" s="251"/>
      <c r="D125" s="251"/>
      <c r="E125" s="251"/>
      <c r="F125" s="251"/>
      <c r="G125" s="251"/>
      <c r="H125" s="251"/>
      <c r="I125" s="251"/>
    </row>
    <row r="126" spans="1:9" ht="42" customHeight="1" x14ac:dyDescent="0.35">
      <c r="A126" s="273" t="s">
        <v>241</v>
      </c>
      <c r="B126" s="274"/>
      <c r="C126" s="274"/>
      <c r="D126" s="274"/>
      <c r="E126" s="274"/>
      <c r="F126" s="274"/>
      <c r="G126" s="274"/>
      <c r="H126" s="274"/>
      <c r="I126" s="275"/>
    </row>
    <row r="128" spans="1:9" ht="22" customHeight="1" x14ac:dyDescent="0.35">
      <c r="A128" s="251" t="s">
        <v>242</v>
      </c>
      <c r="B128" s="251"/>
      <c r="C128" s="251"/>
      <c r="D128" s="251"/>
      <c r="E128" s="251"/>
      <c r="F128" s="251"/>
      <c r="G128" s="251"/>
      <c r="H128" s="251"/>
      <c r="I128" s="251"/>
    </row>
    <row r="129" spans="1:9" ht="38" customHeight="1" x14ac:dyDescent="0.35">
      <c r="A129" s="273" t="s">
        <v>243</v>
      </c>
      <c r="B129" s="274"/>
      <c r="C129" s="274"/>
      <c r="D129" s="274"/>
      <c r="E129" s="274"/>
      <c r="F129" s="274"/>
      <c r="G129" s="274"/>
      <c r="H129" s="274"/>
      <c r="I129" s="275"/>
    </row>
    <row r="130" spans="1:9" ht="38" customHeight="1" x14ac:dyDescent="0.35">
      <c r="A130" s="270" t="s">
        <v>244</v>
      </c>
      <c r="B130" s="271"/>
      <c r="C130" s="271"/>
      <c r="D130" s="271"/>
      <c r="E130" s="271"/>
      <c r="F130" s="271"/>
      <c r="G130" s="271"/>
      <c r="H130" s="271"/>
      <c r="I130" s="272"/>
    </row>
  </sheetData>
  <mergeCells count="98">
    <mergeCell ref="A1:I1"/>
    <mergeCell ref="A2:I2"/>
    <mergeCell ref="A4:B4"/>
    <mergeCell ref="D4:F4"/>
    <mergeCell ref="A13:I13"/>
    <mergeCell ref="A15:I15"/>
    <mergeCell ref="A58:I58"/>
    <mergeCell ref="A59:I59"/>
    <mergeCell ref="A60:I60"/>
    <mergeCell ref="A61:I61"/>
    <mergeCell ref="A62:I62"/>
    <mergeCell ref="A64:I64"/>
    <mergeCell ref="A65:B65"/>
    <mergeCell ref="C65:F65"/>
    <mergeCell ref="G65:I65"/>
    <mergeCell ref="A66:B66"/>
    <mergeCell ref="C66:F66"/>
    <mergeCell ref="G66:I66"/>
    <mergeCell ref="A67:B67"/>
    <mergeCell ref="C67:F67"/>
    <mergeCell ref="G67:I67"/>
    <mergeCell ref="A68:B68"/>
    <mergeCell ref="C68:F68"/>
    <mergeCell ref="G68:I68"/>
    <mergeCell ref="A69:B69"/>
    <mergeCell ref="C69:F69"/>
    <mergeCell ref="G69:I69"/>
    <mergeCell ref="A70:B70"/>
    <mergeCell ref="C70:F70"/>
    <mergeCell ref="G70:I70"/>
    <mergeCell ref="A71:B71"/>
    <mergeCell ref="C71:F71"/>
    <mergeCell ref="G71:I71"/>
    <mergeCell ref="A72:B72"/>
    <mergeCell ref="C72:F72"/>
    <mergeCell ref="G72:I72"/>
    <mergeCell ref="A74:I74"/>
    <mergeCell ref="A75:C75"/>
    <mergeCell ref="D75:I75"/>
    <mergeCell ref="A76:C76"/>
    <mergeCell ref="D76:I76"/>
    <mergeCell ref="A77:C77"/>
    <mergeCell ref="D77:I77"/>
    <mergeCell ref="A78:C78"/>
    <mergeCell ref="D78:I78"/>
    <mergeCell ref="A79:C79"/>
    <mergeCell ref="D79:I79"/>
    <mergeCell ref="A80:C80"/>
    <mergeCell ref="D80:I80"/>
    <mergeCell ref="A81:C81"/>
    <mergeCell ref="D81:I81"/>
    <mergeCell ref="A82:C82"/>
    <mergeCell ref="D82:I82"/>
    <mergeCell ref="A84:I84"/>
    <mergeCell ref="A85:I85"/>
    <mergeCell ref="A86:I86"/>
    <mergeCell ref="A87:I87"/>
    <mergeCell ref="A88:I88"/>
    <mergeCell ref="A89:I89"/>
    <mergeCell ref="A90:I90"/>
    <mergeCell ref="A92:I92"/>
    <mergeCell ref="A93:I93"/>
    <mergeCell ref="A95:I95"/>
    <mergeCell ref="A96:I96"/>
    <mergeCell ref="A97:I97"/>
    <mergeCell ref="A98:I98"/>
    <mergeCell ref="A100:I100"/>
    <mergeCell ref="A101:C101"/>
    <mergeCell ref="D101:I101"/>
    <mergeCell ref="A102:C102"/>
    <mergeCell ref="D102:I102"/>
    <mergeCell ref="A103:C103"/>
    <mergeCell ref="D103:I103"/>
    <mergeCell ref="A104:C104"/>
    <mergeCell ref="D104:I104"/>
    <mergeCell ref="A105:C105"/>
    <mergeCell ref="D105:I105"/>
    <mergeCell ref="A106:C106"/>
    <mergeCell ref="D106:I106"/>
    <mergeCell ref="A108:I108"/>
    <mergeCell ref="A109:I109"/>
    <mergeCell ref="A110:I110"/>
    <mergeCell ref="A111:I111"/>
    <mergeCell ref="A113:I113"/>
    <mergeCell ref="A114:I114"/>
    <mergeCell ref="A115:I115"/>
    <mergeCell ref="A116:I116"/>
    <mergeCell ref="A118:I118"/>
    <mergeCell ref="A119:I119"/>
    <mergeCell ref="A120:I120"/>
    <mergeCell ref="A121:I121"/>
    <mergeCell ref="A122:I122"/>
    <mergeCell ref="A130:I130"/>
    <mergeCell ref="A123:I123"/>
    <mergeCell ref="A125:I125"/>
    <mergeCell ref="A126:I126"/>
    <mergeCell ref="A128:I128"/>
    <mergeCell ref="A129:I129"/>
  </mergeCells>
  <conditionalFormatting sqref="G17:G56">
    <cfRule type="colorScale" priority="1">
      <colorScale>
        <cfvo type="min"/>
        <cfvo type="percentile" val="50"/>
        <cfvo type="max"/>
        <color rgb="FFFFFFFF"/>
        <color rgb="FFFFF2CC"/>
        <color rgb="FFF4CCCC"/>
      </colorScale>
    </cfRule>
  </conditionalFormatting>
  <conditionalFormatting sqref="I17:I56">
    <cfRule type="dataBar" priority="2">
      <dataBar>
        <cfvo type="min"/>
        <cfvo type="max"/>
        <color rgb="FF638EC6"/>
      </dataBar>
      <extLst>
        <ext xmlns:x14="http://schemas.microsoft.com/office/spreadsheetml/2009/9/main" uri="{B025F937-C7B1-47D3-B67F-A62EFF666E3E}">
          <x14:id>{E5BF5A44-CD86-43CA-B634-FABA401057D5}</x14:id>
        </ext>
      </extLst>
    </cfRule>
  </conditionalFormatting>
  <dataValidations count="5">
    <dataValidation type="decimal" operator="greaterThanOrEqual" allowBlank="1" showInputMessage="1" showErrorMessage="1" errorTitle="Invalid input" error="Enter a decimal number of 0 or more." promptTitle="Lumpsum at start" prompt="Enter an amount of 0 or more." sqref="B5" xr:uid="{E373F4A5-EB0B-4F94-BE8C-F15F25184694}">
      <formula1>0</formula1>
    </dataValidation>
    <dataValidation type="decimal" operator="greaterThanOrEqual" allowBlank="1" showInputMessage="1" showErrorMessage="1" errorTitle="Invalid input" error="Enter a decimal number of 0 or more." promptTitle="Monthly SIP amount" prompt="Enter an amount of 0 or more." sqref="B6" xr:uid="{A01F2ACF-2212-4FE3-B42B-D8401D94D815}">
      <formula1>0</formula1>
    </dataValidation>
    <dataValidation type="decimal" allowBlank="1" showInputMessage="1" showErrorMessage="1" errorTitle="Invalid input" error="Enter a decimal number from 0 to 30." promptTitle="Expected annual return" prompt="Enter a percentage from 0 to 30." sqref="B7" xr:uid="{853084FB-8613-4495-ACE5-40CF0809E916}">
      <formula1>0</formula1>
      <formula2>30</formula2>
    </dataValidation>
    <dataValidation type="whole" allowBlank="1" showInputMessage="1" showErrorMessage="1" errorTitle="Invalid input" error="Enter a whole number from 1 to 40." promptTitle="Tenure" prompt="Enter a whole number of years from 1 to 40." sqref="B8" xr:uid="{D0EAB653-E74F-4655-98E1-57644B7657F0}">
      <formula1>1</formula1>
      <formula2>40</formula2>
    </dataValidation>
    <dataValidation type="decimal" allowBlank="1" showInputMessage="1" showErrorMessage="1" errorTitle="Invalid input" error="Enter a decimal number from 0 to 30." promptTitle="Inflation" prompt="Enter a percentage from 0 to 30." sqref="B9" xr:uid="{EE4C415A-983A-4446-8837-10163362F7C3}">
      <formula1>0</formula1>
      <formula2>30</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5BF5A44-CD86-43CA-B634-FABA401057D5}">
            <x14:dataBar minLength="0" maxLength="100" negativeBarColorSameAsPositive="1" axisPosition="none">
              <x14:cfvo type="min"/>
              <x14:cfvo type="max"/>
            </x14:dataBar>
          </x14:cfRule>
          <xm:sqref>I17:I56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E506-D6AD-49AF-B730-368C722BE7EB}">
  <dimension ref="A1:L62"/>
  <sheetViews>
    <sheetView workbookViewId="0">
      <selection activeCell="F13" sqref="F13"/>
    </sheetView>
  </sheetViews>
  <sheetFormatPr defaultRowHeight="14.5" x14ac:dyDescent="0.35"/>
  <cols>
    <col min="1" max="1" width="30" customWidth="1"/>
    <col min="2" max="2" width="19.08984375" customWidth="1"/>
    <col min="3" max="3" width="20.36328125" customWidth="1"/>
    <col min="4" max="10" width="21.453125" customWidth="1"/>
    <col min="11" max="12" width="20.36328125" customWidth="1"/>
  </cols>
  <sheetData>
    <row r="1" spans="1:12" ht="30" customHeight="1" x14ac:dyDescent="0.55000000000000004">
      <c r="A1" s="245" t="s">
        <v>299</v>
      </c>
      <c r="B1" s="245"/>
      <c r="C1" s="245"/>
      <c r="D1" s="245"/>
      <c r="E1" s="245"/>
      <c r="F1" s="245"/>
      <c r="G1" s="245"/>
      <c r="H1" s="245"/>
      <c r="I1" s="245"/>
      <c r="J1" s="245"/>
      <c r="K1" s="245"/>
      <c r="L1" s="245"/>
    </row>
    <row r="2" spans="1:12" ht="28" customHeight="1" x14ac:dyDescent="0.35">
      <c r="A2" s="295" t="s">
        <v>300</v>
      </c>
      <c r="B2" s="295"/>
      <c r="C2" s="295"/>
      <c r="D2" s="295"/>
      <c r="E2" s="295"/>
      <c r="F2" s="295"/>
      <c r="G2" s="295"/>
      <c r="H2" s="295"/>
      <c r="I2" s="295"/>
      <c r="J2" s="295"/>
      <c r="K2" s="295"/>
      <c r="L2" s="295"/>
    </row>
    <row r="3" spans="1:12" ht="20" customHeight="1" x14ac:dyDescent="0.35">
      <c r="A3" s="47"/>
      <c r="B3" s="47"/>
      <c r="C3" s="47"/>
      <c r="D3" s="47"/>
      <c r="E3" s="47"/>
      <c r="F3" s="47"/>
      <c r="G3" s="47"/>
      <c r="H3" s="47"/>
      <c r="I3" s="47"/>
      <c r="J3" s="47"/>
      <c r="K3" s="47"/>
      <c r="L3" s="47"/>
    </row>
    <row r="4" spans="1:12" ht="22" customHeight="1" x14ac:dyDescent="0.35">
      <c r="A4" s="292" t="s">
        <v>178</v>
      </c>
      <c r="B4" s="292"/>
      <c r="C4" s="47"/>
      <c r="D4" s="292" t="s">
        <v>306</v>
      </c>
      <c r="E4" s="292"/>
      <c r="F4" s="292"/>
      <c r="G4" s="47"/>
      <c r="H4" s="292" t="s">
        <v>180</v>
      </c>
      <c r="I4" s="292"/>
      <c r="J4" s="292"/>
      <c r="K4" s="292"/>
      <c r="L4" s="292"/>
    </row>
    <row r="5" spans="1:12" ht="30" customHeight="1" x14ac:dyDescent="0.35">
      <c r="A5" s="49" t="s">
        <v>301</v>
      </c>
      <c r="B5" s="51">
        <v>0</v>
      </c>
      <c r="C5" s="47"/>
      <c r="D5" s="48" t="s">
        <v>307</v>
      </c>
      <c r="E5" s="63">
        <f>B7-B8</f>
        <v>11.5</v>
      </c>
      <c r="F5" s="47"/>
      <c r="G5" s="47"/>
      <c r="H5" s="296" t="str">
        <f>"1. At year "&amp;TEXT($B$10,"0")&amp;", the higher expense ratio reduces pre-tax wealth by "&amp;TEXT($E$10,"₹#,##0")&amp;"."</f>
        <v>1. At year 20, the higher expense ratio reduces pre-tax wealth by ₹22,91,924.</v>
      </c>
      <c r="I5" s="296"/>
      <c r="J5" s="296"/>
      <c r="K5" s="296"/>
      <c r="L5" s="296"/>
    </row>
    <row r="6" spans="1:12" ht="30" customHeight="1" x14ac:dyDescent="0.35">
      <c r="A6" s="49" t="s">
        <v>79</v>
      </c>
      <c r="B6" s="51">
        <v>20000</v>
      </c>
      <c r="C6" s="47"/>
      <c r="D6" s="48" t="s">
        <v>308</v>
      </c>
      <c r="E6" s="63">
        <f>B7-B9</f>
        <v>10.5</v>
      </c>
      <c r="F6" s="47"/>
      <c r="G6" s="47"/>
      <c r="H6" s="296" t="str">
        <f>"2. In today’s rupees after simplified tax, the wealth gap is "&amp;TEXT($E$13,"₹#,##0")&amp;"."</f>
        <v>2. In today’s rupees after simplified tax, the wealth gap is ₹6,25,304.</v>
      </c>
      <c r="I6" s="296"/>
      <c r="J6" s="296"/>
      <c r="K6" s="296"/>
      <c r="L6" s="296"/>
    </row>
    <row r="7" spans="1:12" ht="30" customHeight="1" x14ac:dyDescent="0.35">
      <c r="A7" s="49" t="s">
        <v>302</v>
      </c>
      <c r="B7" s="52">
        <f>'Common Assumptions'!$B$6</f>
        <v>12</v>
      </c>
      <c r="C7" s="47"/>
      <c r="D7" s="48" t="s">
        <v>19</v>
      </c>
      <c r="E7" s="54">
        <f>B5+B6*12*B10</f>
        <v>4800000</v>
      </c>
      <c r="F7" s="47"/>
      <c r="G7" s="47"/>
      <c r="H7" s="296" t="str">
        <f>"3. The annual TER difference is "&amp;TEXT($B$9-$B$8,"0.00")&amp;" percentage points; the cost accelerates as the portfolio grows."</f>
        <v>3. The annual TER difference is 1.00 percentage points; the cost accelerates as the portfolio grows.</v>
      </c>
      <c r="I7" s="296"/>
      <c r="J7" s="296"/>
      <c r="K7" s="296"/>
      <c r="L7" s="296"/>
    </row>
    <row r="8" spans="1:12" ht="30" customHeight="1" x14ac:dyDescent="0.35">
      <c r="A8" s="49" t="s">
        <v>303</v>
      </c>
      <c r="B8" s="52">
        <f>'Common Assumptions'!$B$10</f>
        <v>0.5</v>
      </c>
      <c r="C8" s="47"/>
      <c r="D8" s="48" t="s">
        <v>309</v>
      </c>
      <c r="E8" s="54" cm="1">
        <f t="array" ref="E8">INDEX(C27:C56,B10)</f>
        <v>18502021.194827691</v>
      </c>
      <c r="F8" s="47"/>
      <c r="G8" s="47"/>
      <c r="H8" s="296" t="s">
        <v>315</v>
      </c>
      <c r="I8" s="296"/>
      <c r="J8" s="296"/>
      <c r="K8" s="296"/>
      <c r="L8" s="296"/>
    </row>
    <row r="9" spans="1:12" ht="30" customHeight="1" x14ac:dyDescent="0.35">
      <c r="A9" s="49" t="s">
        <v>304</v>
      </c>
      <c r="B9" s="52">
        <f>'Common Assumptions'!$B$11</f>
        <v>1.5</v>
      </c>
      <c r="C9" s="47"/>
      <c r="D9" s="48" t="s">
        <v>310</v>
      </c>
      <c r="E9" s="54" cm="1">
        <f t="array" ref="E9">INDEX(G27:G56,B10)</f>
        <v>16210097.521766502</v>
      </c>
      <c r="F9" s="47"/>
      <c r="G9" s="47"/>
      <c r="H9" s="296" t="s">
        <v>316</v>
      </c>
      <c r="I9" s="296"/>
      <c r="J9" s="296"/>
      <c r="K9" s="296"/>
      <c r="L9" s="296"/>
    </row>
    <row r="10" spans="1:12" ht="30" customHeight="1" x14ac:dyDescent="0.35">
      <c r="A10" s="49" t="s">
        <v>305</v>
      </c>
      <c r="B10" s="53">
        <v>20</v>
      </c>
      <c r="C10" s="47"/>
      <c r="D10" s="48" t="s">
        <v>311</v>
      </c>
      <c r="E10" s="54">
        <f>E8-E9</f>
        <v>2291923.6730611883</v>
      </c>
      <c r="F10" s="47"/>
      <c r="G10" s="47"/>
      <c r="H10" s="296" t="s">
        <v>317</v>
      </c>
      <c r="I10" s="296"/>
      <c r="J10" s="296"/>
      <c r="K10" s="296"/>
      <c r="L10" s="296"/>
    </row>
    <row r="11" spans="1:12" ht="20" customHeight="1" x14ac:dyDescent="0.35">
      <c r="A11" s="49" t="s">
        <v>184</v>
      </c>
      <c r="B11" s="52">
        <f>'Common Assumptions'!$B$5</f>
        <v>6</v>
      </c>
      <c r="C11" s="47"/>
      <c r="D11" s="48" t="s">
        <v>312</v>
      </c>
      <c r="E11" s="54" cm="1">
        <f t="array" ref="E11">INDEX(F27:F56,B10)</f>
        <v>5239845.2422963129</v>
      </c>
      <c r="F11" s="47"/>
      <c r="G11" s="47"/>
      <c r="H11" s="47"/>
      <c r="I11" s="47"/>
      <c r="J11" s="47"/>
      <c r="K11" s="47"/>
      <c r="L11" s="47"/>
    </row>
    <row r="12" spans="1:12" ht="20" customHeight="1" x14ac:dyDescent="0.35">
      <c r="A12" s="49" t="s">
        <v>86</v>
      </c>
      <c r="B12" s="52">
        <f>'Common Assumptions'!$B$12</f>
        <v>12.5</v>
      </c>
      <c r="C12" s="47"/>
      <c r="D12" s="48" t="s">
        <v>313</v>
      </c>
      <c r="E12" s="54" cm="1">
        <f t="array" ref="E12">INDEX(J27:J56,B10)</f>
        <v>4614541.6867390424</v>
      </c>
      <c r="F12" s="47"/>
      <c r="G12" s="47"/>
      <c r="H12" s="47"/>
      <c r="I12" s="47"/>
      <c r="J12" s="47"/>
      <c r="K12" s="47"/>
      <c r="L12" s="47"/>
    </row>
    <row r="13" spans="1:12" ht="20" customHeight="1" x14ac:dyDescent="0.35">
      <c r="A13" s="49" t="s">
        <v>87</v>
      </c>
      <c r="B13" s="51">
        <f>'Common Assumptions'!$B$13</f>
        <v>125000</v>
      </c>
      <c r="C13" s="47"/>
      <c r="D13" s="48" t="s">
        <v>314</v>
      </c>
      <c r="E13" s="54">
        <f>E11-E12</f>
        <v>625303.55555727053</v>
      </c>
      <c r="F13" s="47"/>
      <c r="G13" s="47"/>
      <c r="H13" s="47"/>
      <c r="I13" s="47"/>
      <c r="J13" s="47"/>
      <c r="K13" s="47"/>
      <c r="L13" s="47"/>
    </row>
    <row r="14" spans="1:12" ht="20" customHeight="1" x14ac:dyDescent="0.35">
      <c r="A14" s="50"/>
      <c r="B14" s="47"/>
      <c r="C14" s="47"/>
      <c r="D14" s="47"/>
      <c r="E14" s="47"/>
      <c r="F14" s="47"/>
      <c r="G14" s="47"/>
      <c r="H14" s="47"/>
      <c r="I14" s="47"/>
      <c r="J14" s="47"/>
      <c r="K14" s="47"/>
      <c r="L14" s="47"/>
    </row>
    <row r="15" spans="1:12" ht="20" customHeight="1" x14ac:dyDescent="0.35">
      <c r="A15" s="50"/>
      <c r="B15" s="47"/>
      <c r="C15" s="47"/>
      <c r="D15" s="47"/>
      <c r="E15" s="47"/>
      <c r="F15" s="47"/>
      <c r="G15" s="47"/>
      <c r="H15" s="47"/>
      <c r="I15" s="47"/>
      <c r="J15" s="47"/>
      <c r="K15" s="47"/>
      <c r="L15" s="47"/>
    </row>
    <row r="16" spans="1:12" ht="22" customHeight="1" x14ac:dyDescent="0.35">
      <c r="A16" s="291" t="s">
        <v>318</v>
      </c>
      <c r="B16" s="292"/>
      <c r="C16" s="292"/>
      <c r="D16" s="292"/>
      <c r="E16" s="292"/>
      <c r="F16" s="292"/>
      <c r="G16" s="292"/>
      <c r="H16" s="292"/>
      <c r="I16" s="47"/>
      <c r="J16" s="47"/>
      <c r="K16" s="47"/>
      <c r="L16" s="47"/>
    </row>
    <row r="17" spans="1:12" ht="34" customHeight="1" x14ac:dyDescent="0.35">
      <c r="A17" s="59" t="s">
        <v>73</v>
      </c>
      <c r="B17" s="55" t="s">
        <v>96</v>
      </c>
      <c r="C17" s="55" t="s">
        <v>309</v>
      </c>
      <c r="D17" s="55" t="s">
        <v>310</v>
      </c>
      <c r="E17" s="55" t="s">
        <v>319</v>
      </c>
      <c r="F17" s="55" t="s">
        <v>320</v>
      </c>
      <c r="G17" s="55" t="s">
        <v>321</v>
      </c>
      <c r="H17" s="55" t="s">
        <v>322</v>
      </c>
      <c r="I17" s="56"/>
      <c r="J17" s="56"/>
      <c r="K17" s="56"/>
      <c r="L17" s="56"/>
    </row>
    <row r="18" spans="1:12" ht="20" customHeight="1" x14ac:dyDescent="0.35">
      <c r="A18" s="60">
        <v>5</v>
      </c>
      <c r="B18" s="57" cm="1">
        <f t="array" ref="B18">INDEX($B$27:$B$56,$A18)</f>
        <v>1200000</v>
      </c>
      <c r="C18" s="57" cm="1">
        <f t="array" ref="C18">INDEX($C$27:$C$56,$A18)</f>
        <v>1611697.8264042505</v>
      </c>
      <c r="D18" s="57" cm="1">
        <f t="array" ref="D18">INDEX($G$27:$G$56,$A18)</f>
        <v>1569378.2442259365</v>
      </c>
      <c r="E18" s="57">
        <f t="shared" ref="E18:E23" si="0">C18-D18</f>
        <v>42319.582178313984</v>
      </c>
      <c r="F18" s="57" cm="1">
        <f t="array" ref="F18">INDEX($F$27:$F$56,$A18)</f>
        <v>1177574.7112305968</v>
      </c>
      <c r="G18" s="57" cm="1">
        <f t="array" ref="G18">INDEX($J$27:$J$56,$A18)</f>
        <v>1149904.0142824526</v>
      </c>
      <c r="H18" s="57">
        <f t="shared" ref="H18:H23" si="1">F18-G18</f>
        <v>27670.696948144119</v>
      </c>
      <c r="I18" s="56"/>
      <c r="J18" s="56"/>
      <c r="K18" s="56"/>
      <c r="L18" s="56"/>
    </row>
    <row r="19" spans="1:12" ht="20" customHeight="1" x14ac:dyDescent="0.35">
      <c r="A19" s="60">
        <v>10</v>
      </c>
      <c r="B19" s="57" cm="1">
        <f t="array" ref="B19">INDEX($B$27:$B$56,$A19)</f>
        <v>2400000</v>
      </c>
      <c r="C19" s="57" cm="1">
        <f t="array" ref="C19">INDEX($C$27:$C$56,$A19)</f>
        <v>4468064.5553841731</v>
      </c>
      <c r="D19" s="57" cm="1">
        <f t="array" ref="D19">INDEX($G$27:$G$56,$A19)</f>
        <v>4216296.2705861107</v>
      </c>
      <c r="E19" s="57">
        <f t="shared" si="0"/>
        <v>251768.28479806241</v>
      </c>
      <c r="F19" s="57" cm="1">
        <f t="array" ref="F19">INDEX($F$27:$F$56,$A19)</f>
        <v>2359319.2732791635</v>
      </c>
      <c r="G19" s="57" cm="1">
        <f t="array" ref="G19">INDEX($J$27:$J$56,$A19)</f>
        <v>2236306.439958062</v>
      </c>
      <c r="H19" s="57">
        <f t="shared" si="1"/>
        <v>123012.8333211015</v>
      </c>
      <c r="I19" s="56"/>
      <c r="J19" s="56"/>
      <c r="K19" s="56"/>
      <c r="L19" s="56"/>
    </row>
    <row r="20" spans="1:12" ht="20" customHeight="1" x14ac:dyDescent="0.35">
      <c r="A20" s="60">
        <v>15</v>
      </c>
      <c r="B20" s="57" cm="1">
        <f t="array" ref="B20">INDEX($B$27:$B$56,$A20)</f>
        <v>3600000</v>
      </c>
      <c r="C20" s="57" cm="1">
        <f t="array" ref="C20">INDEX($C$27:$C$56,$A20)</f>
        <v>9530322.9742753096</v>
      </c>
      <c r="D20" s="57" cm="1">
        <f t="array" ref="D20">INDEX($G$27:$G$56,$A20)</f>
        <v>8680596.1065546498</v>
      </c>
      <c r="E20" s="57">
        <f t="shared" si="0"/>
        <v>849726.86772065982</v>
      </c>
      <c r="F20" s="57" cm="1">
        <f t="array" ref="F20">INDEX($F$27:$F$56,$A20)</f>
        <v>3673875.9892590009</v>
      </c>
      <c r="G20" s="57" cm="1">
        <f t="array" ref="G20">INDEX($J$27:$J$56,$A20)</f>
        <v>3363634.8228244293</v>
      </c>
      <c r="H20" s="57">
        <f t="shared" si="1"/>
        <v>310241.16643457161</v>
      </c>
      <c r="I20" s="56"/>
      <c r="J20" s="56"/>
      <c r="K20" s="56"/>
      <c r="L20" s="56"/>
    </row>
    <row r="21" spans="1:12" ht="20" customHeight="1" x14ac:dyDescent="0.35">
      <c r="A21" s="60">
        <v>20</v>
      </c>
      <c r="B21" s="57" cm="1">
        <f t="array" ref="B21">INDEX($B$27:$B$56,$A21)</f>
        <v>4800000</v>
      </c>
      <c r="C21" s="57" cm="1">
        <f t="array" ref="C21">INDEX($C$27:$C$56,$A21)</f>
        <v>18502021.194827691</v>
      </c>
      <c r="D21" s="57" cm="1">
        <f t="array" ref="D21">INDEX($G$27:$G$56,$A21)</f>
        <v>16210097.521766502</v>
      </c>
      <c r="E21" s="57">
        <f t="shared" si="0"/>
        <v>2291923.6730611883</v>
      </c>
      <c r="F21" s="57" cm="1">
        <f t="array" ref="F21">INDEX($F$27:$F$56,$A21)</f>
        <v>5239845.2422963129</v>
      </c>
      <c r="G21" s="57" cm="1">
        <f t="array" ref="G21">INDEX($J$27:$J$56,$A21)</f>
        <v>4614541.6867390424</v>
      </c>
      <c r="H21" s="57">
        <f t="shared" si="1"/>
        <v>625303.55555727053</v>
      </c>
      <c r="I21" s="56"/>
      <c r="J21" s="56"/>
      <c r="K21" s="56"/>
      <c r="L21" s="56"/>
    </row>
    <row r="22" spans="1:12" ht="20" customHeight="1" x14ac:dyDescent="0.35">
      <c r="A22" s="60">
        <v>25</v>
      </c>
      <c r="B22" s="57" cm="1">
        <f t="array" ref="B22">INDEX($B$27:$B$56,$A22)</f>
        <v>6000000</v>
      </c>
      <c r="C22" s="57" cm="1">
        <f t="array" ref="C22">INDEX($C$27:$C$56,$A22)</f>
        <v>34402309.623464249</v>
      </c>
      <c r="D22" s="57" cm="1">
        <f t="array" ref="D22">INDEX($G$27:$G$56,$A22)</f>
        <v>28909377.060497928</v>
      </c>
      <c r="E22" s="57">
        <f t="shared" si="0"/>
        <v>5492932.5629663207</v>
      </c>
      <c r="F22" s="57" cm="1">
        <f t="array" ref="F22">INDEX($F$27:$F$56,$A22)</f>
        <v>7192119.2263629232</v>
      </c>
      <c r="G22" s="57" cm="1">
        <f t="array" ref="G22">INDEX($J$27:$J$56,$A22)</f>
        <v>6072254.1823191941</v>
      </c>
      <c r="H22" s="57">
        <f t="shared" si="1"/>
        <v>1119865.0440437291</v>
      </c>
      <c r="I22" s="56"/>
      <c r="J22" s="56"/>
      <c r="K22" s="56"/>
      <c r="L22" s="56"/>
    </row>
    <row r="23" spans="1:12" ht="20" customHeight="1" x14ac:dyDescent="0.35">
      <c r="A23" s="61">
        <v>30</v>
      </c>
      <c r="B23" s="58" cm="1">
        <f t="array" ref="B23">INDEX($B$27:$B$56,$A23)</f>
        <v>7200000</v>
      </c>
      <c r="C23" s="58" cm="1">
        <f t="array" ref="C23">INDEX($C$27:$C$56,$A23)</f>
        <v>62581943.612342209</v>
      </c>
      <c r="D23" s="58" cm="1">
        <f t="array" ref="D23">INDEX($G$27:$G$56,$A23)</f>
        <v>50328019.797854416</v>
      </c>
      <c r="E23" s="58">
        <f t="shared" si="0"/>
        <v>12253923.814487793</v>
      </c>
      <c r="F23" s="58" cm="1">
        <f t="array" ref="F23">INDEX($F$27:$F$56,$A23)</f>
        <v>9693551.1842285283</v>
      </c>
      <c r="G23" s="58" cm="1">
        <f t="array" ref="G23">INDEX($J$27:$J$56,$A23)</f>
        <v>7826710.4396577971</v>
      </c>
      <c r="H23" s="58">
        <f t="shared" si="1"/>
        <v>1866840.7445707312</v>
      </c>
      <c r="I23" s="56"/>
      <c r="J23" s="56"/>
      <c r="K23" s="56"/>
      <c r="L23" s="56"/>
    </row>
    <row r="24" spans="1:12" ht="20" customHeight="1" x14ac:dyDescent="0.35">
      <c r="A24" s="62"/>
      <c r="B24" s="56"/>
      <c r="C24" s="56"/>
      <c r="D24" s="56"/>
      <c r="E24" s="56"/>
      <c r="F24" s="56"/>
      <c r="G24" s="56"/>
      <c r="H24" s="56"/>
      <c r="I24" s="56"/>
      <c r="J24" s="56"/>
      <c r="K24" s="56"/>
      <c r="L24" s="56"/>
    </row>
    <row r="25" spans="1:12" ht="22" customHeight="1" x14ac:dyDescent="0.35">
      <c r="A25" s="289" t="s">
        <v>323</v>
      </c>
      <c r="B25" s="290"/>
      <c r="C25" s="290"/>
      <c r="D25" s="290"/>
      <c r="E25" s="290"/>
      <c r="F25" s="290"/>
      <c r="G25" s="290"/>
      <c r="H25" s="290"/>
      <c r="I25" s="290"/>
      <c r="J25" s="290"/>
      <c r="K25" s="290"/>
      <c r="L25" s="290"/>
    </row>
    <row r="26" spans="1:12" ht="42" customHeight="1" x14ac:dyDescent="0.35">
      <c r="A26" s="59" t="s">
        <v>73</v>
      </c>
      <c r="B26" s="55" t="s">
        <v>96</v>
      </c>
      <c r="C26" s="55" t="s">
        <v>309</v>
      </c>
      <c r="D26" s="55" t="s">
        <v>324</v>
      </c>
      <c r="E26" s="55" t="s">
        <v>325</v>
      </c>
      <c r="F26" s="55" t="s">
        <v>320</v>
      </c>
      <c r="G26" s="55" t="s">
        <v>310</v>
      </c>
      <c r="H26" s="55" t="s">
        <v>326</v>
      </c>
      <c r="I26" s="55" t="s">
        <v>327</v>
      </c>
      <c r="J26" s="55" t="s">
        <v>321</v>
      </c>
      <c r="K26" s="55" t="s">
        <v>319</v>
      </c>
      <c r="L26" s="55" t="s">
        <v>322</v>
      </c>
    </row>
    <row r="27" spans="1:12" ht="20" customHeight="1" x14ac:dyDescent="0.35">
      <c r="A27" s="60">
        <f>ROW()-26</f>
        <v>1</v>
      </c>
      <c r="B27" s="57">
        <f>$B$5+$B$6*12*A27</f>
        <v>240000</v>
      </c>
      <c r="C27" s="57">
        <f>$B$5*(1+($B$7-$B$8)/1200)^(12*A27)+FV(($B$7-$B$8)/1200,12*A27,-$B$6,0,0)</f>
        <v>253062.94567933845</v>
      </c>
      <c r="D27" s="57">
        <f>MAX(0,C27-B27-$B$13)*$B$12/100</f>
        <v>0</v>
      </c>
      <c r="E27" s="57">
        <f>C27-D27</f>
        <v>253062.94567933845</v>
      </c>
      <c r="F27" s="57">
        <f>E27/(1+$B$11/100)^A27</f>
        <v>238738.62799937587</v>
      </c>
      <c r="G27" s="57">
        <f>$B$5*(1+($B$7-$B$9)/1200)^(12*A27)+FV(($B$7-$B$9)/1200,12*A27,-$B$6,0,0)</f>
        <v>251893.60103274029</v>
      </c>
      <c r="H27" s="57">
        <f>MAX(0,G27-B27-$B$13)*$B$12/100</f>
        <v>0</v>
      </c>
      <c r="I27" s="57">
        <f>G27-H27</f>
        <v>251893.60103274029</v>
      </c>
      <c r="J27" s="57">
        <f>I27/(1+$B$11/100)^A27</f>
        <v>237635.47267239648</v>
      </c>
      <c r="K27" s="57">
        <f>C27-G27</f>
        <v>1169.3446465981542</v>
      </c>
      <c r="L27" s="57">
        <f>F27-J27</f>
        <v>1103.1553269793803</v>
      </c>
    </row>
    <row r="28" spans="1:12" ht="20" customHeight="1" x14ac:dyDescent="0.35">
      <c r="A28" s="60">
        <f t="shared" ref="A28:A56" si="2">ROW()-26</f>
        <v>2</v>
      </c>
      <c r="B28" s="57">
        <f t="shared" ref="B28:B56" si="3">$B$5+$B$6*12*A28</f>
        <v>480000</v>
      </c>
      <c r="C28" s="57">
        <f t="shared" ref="C28:C56" si="4">$B$5*(1+($B$7-$B$8)/1200)^(12*A28)+FV(($B$7-$B$8)/1200,12*A28,-$B$6,0,0)</f>
        <v>536812.1341283808</v>
      </c>
      <c r="D28" s="57">
        <f t="shared" ref="D28:D56" si="5">MAX(0,C28-B28-$B$13)*$B$12/100</f>
        <v>0</v>
      </c>
      <c r="E28" s="57">
        <f t="shared" ref="E28:E56" si="6">C28-D28</f>
        <v>536812.1341283808</v>
      </c>
      <c r="F28" s="57">
        <f t="shared" ref="F28:F56" si="7">E28/(1+$B$11/100)^A28</f>
        <v>477760.88833070552</v>
      </c>
      <c r="G28" s="57">
        <f t="shared" ref="G28:G56" si="8">$B$5*(1+($B$7-$B$9)/1200)^(12*A28)+FV(($B$7-$B$9)/1200,12*A28,-$B$6,0,0)</f>
        <v>531546.74604602391</v>
      </c>
      <c r="H28" s="57">
        <f t="shared" ref="H28:H56" si="9">MAX(0,G28-B28-$B$13)*$B$12/100</f>
        <v>0</v>
      </c>
      <c r="I28" s="57">
        <f t="shared" ref="I28:I56" si="10">G28-H28</f>
        <v>531546.74604602391</v>
      </c>
      <c r="J28" s="57">
        <f t="shared" ref="J28:J56" si="11">I28/(1+$B$11/100)^A28</f>
        <v>473074.71168211446</v>
      </c>
      <c r="K28" s="57">
        <f t="shared" ref="K28:K56" si="12">C28-G28</f>
        <v>5265.3880823568907</v>
      </c>
      <c r="L28" s="57">
        <f t="shared" ref="L28:L56" si="13">F28-J28</f>
        <v>4686.176648591063</v>
      </c>
    </row>
    <row r="29" spans="1:12" ht="20" customHeight="1" x14ac:dyDescent="0.35">
      <c r="A29" s="60">
        <f t="shared" si="2"/>
        <v>3</v>
      </c>
      <c r="B29" s="57">
        <f t="shared" si="3"/>
        <v>720000</v>
      </c>
      <c r="C29" s="57">
        <f t="shared" si="4"/>
        <v>854968.55852846173</v>
      </c>
      <c r="D29" s="57">
        <f t="shared" si="5"/>
        <v>1246.0698160577158</v>
      </c>
      <c r="E29" s="57">
        <f t="shared" si="6"/>
        <v>853722.48871240404</v>
      </c>
      <c r="F29" s="57">
        <f t="shared" si="7"/>
        <v>716801.86388126086</v>
      </c>
      <c r="G29" s="57">
        <f t="shared" si="8"/>
        <v>842018.63256947603</v>
      </c>
      <c r="H29" s="57">
        <f t="shared" si="9"/>
        <v>0</v>
      </c>
      <c r="I29" s="57">
        <f t="shared" si="10"/>
        <v>842018.63256947603</v>
      </c>
      <c r="J29" s="57">
        <f t="shared" si="11"/>
        <v>706975.08057782252</v>
      </c>
      <c r="K29" s="57">
        <f t="shared" si="12"/>
        <v>12949.925958985696</v>
      </c>
      <c r="L29" s="57">
        <f t="shared" si="13"/>
        <v>9826.7833034383366</v>
      </c>
    </row>
    <row r="30" spans="1:12" ht="20" customHeight="1" x14ac:dyDescent="0.35">
      <c r="A30" s="60">
        <f t="shared" si="2"/>
        <v>4</v>
      </c>
      <c r="B30" s="57">
        <f t="shared" si="3"/>
        <v>960000</v>
      </c>
      <c r="C30" s="57">
        <f t="shared" si="4"/>
        <v>1211704.4171940896</v>
      </c>
      <c r="D30" s="57">
        <f t="shared" si="5"/>
        <v>15838.052149261204</v>
      </c>
      <c r="E30" s="57">
        <f t="shared" si="6"/>
        <v>1195866.3650448285</v>
      </c>
      <c r="F30" s="57">
        <f t="shared" si="7"/>
        <v>947238.16983149399</v>
      </c>
      <c r="G30" s="57">
        <f t="shared" si="8"/>
        <v>1186705.592256099</v>
      </c>
      <c r="H30" s="57">
        <f t="shared" si="9"/>
        <v>12713.199032012373</v>
      </c>
      <c r="I30" s="57">
        <f t="shared" si="10"/>
        <v>1173992.3932240866</v>
      </c>
      <c r="J30" s="57">
        <f t="shared" si="11"/>
        <v>929911.93536243727</v>
      </c>
      <c r="K30" s="57">
        <f t="shared" si="12"/>
        <v>24998.824937990634</v>
      </c>
      <c r="L30" s="57">
        <f t="shared" si="13"/>
        <v>17326.234469056712</v>
      </c>
    </row>
    <row r="31" spans="1:12" ht="20" customHeight="1" x14ac:dyDescent="0.35">
      <c r="A31" s="60">
        <f t="shared" si="2"/>
        <v>5</v>
      </c>
      <c r="B31" s="57">
        <f t="shared" si="3"/>
        <v>1200000</v>
      </c>
      <c r="C31" s="57">
        <f t="shared" si="4"/>
        <v>1611697.8264042505</v>
      </c>
      <c r="D31" s="57">
        <f t="shared" si="5"/>
        <v>35837.228300531307</v>
      </c>
      <c r="E31" s="57">
        <f t="shared" si="6"/>
        <v>1575860.5981037191</v>
      </c>
      <c r="F31" s="57">
        <f t="shared" si="7"/>
        <v>1177574.7112305968</v>
      </c>
      <c r="G31" s="57">
        <f t="shared" si="8"/>
        <v>1569378.2442259365</v>
      </c>
      <c r="H31" s="57">
        <f t="shared" si="9"/>
        <v>30547.280528242056</v>
      </c>
      <c r="I31" s="57">
        <f t="shared" si="10"/>
        <v>1538830.9636976945</v>
      </c>
      <c r="J31" s="57">
        <f t="shared" si="11"/>
        <v>1149904.0142824526</v>
      </c>
      <c r="K31" s="57">
        <f t="shared" si="12"/>
        <v>42319.582178313984</v>
      </c>
      <c r="L31" s="57">
        <f t="shared" si="13"/>
        <v>27670.696948144119</v>
      </c>
    </row>
    <row r="32" spans="1:12" ht="20" customHeight="1" x14ac:dyDescent="0.35">
      <c r="A32" s="60">
        <f t="shared" si="2"/>
        <v>6</v>
      </c>
      <c r="B32" s="57">
        <f t="shared" si="3"/>
        <v>1440000</v>
      </c>
      <c r="C32" s="57">
        <f t="shared" si="4"/>
        <v>2060194.1676748698</v>
      </c>
      <c r="D32" s="57">
        <f t="shared" si="5"/>
        <v>61899.270959358721</v>
      </c>
      <c r="E32" s="57">
        <f t="shared" si="6"/>
        <v>1998294.8967155111</v>
      </c>
      <c r="F32" s="57">
        <f t="shared" si="7"/>
        <v>1408719.0503464139</v>
      </c>
      <c r="G32" s="57">
        <f t="shared" si="8"/>
        <v>1994222.7428364009</v>
      </c>
      <c r="H32" s="57">
        <f t="shared" si="9"/>
        <v>53652.842854550108</v>
      </c>
      <c r="I32" s="57">
        <f t="shared" si="10"/>
        <v>1940569.8999818508</v>
      </c>
      <c r="J32" s="57">
        <f t="shared" si="11"/>
        <v>1368025.2054521739</v>
      </c>
      <c r="K32" s="57">
        <f t="shared" si="12"/>
        <v>65971.424838468898</v>
      </c>
      <c r="L32" s="57">
        <f t="shared" si="13"/>
        <v>40693.844894239912</v>
      </c>
    </row>
    <row r="33" spans="1:12" ht="20" customHeight="1" x14ac:dyDescent="0.35">
      <c r="A33" s="60">
        <f t="shared" si="2"/>
        <v>7</v>
      </c>
      <c r="B33" s="57">
        <f t="shared" si="3"/>
        <v>1680000</v>
      </c>
      <c r="C33" s="57">
        <f t="shared" si="4"/>
        <v>2563074.8739603227</v>
      </c>
      <c r="D33" s="57">
        <f t="shared" si="5"/>
        <v>94759.359245040338</v>
      </c>
      <c r="E33" s="57">
        <f t="shared" si="6"/>
        <v>2468315.5147152822</v>
      </c>
      <c r="F33" s="57">
        <f t="shared" si="7"/>
        <v>1641570.7917257764</v>
      </c>
      <c r="G33" s="57">
        <f t="shared" si="8"/>
        <v>2465886.5710992133</v>
      </c>
      <c r="H33" s="57">
        <f t="shared" si="9"/>
        <v>82610.821387401666</v>
      </c>
      <c r="I33" s="57">
        <f t="shared" si="10"/>
        <v>2383275.7497118115</v>
      </c>
      <c r="J33" s="57">
        <f t="shared" si="11"/>
        <v>1585014.4910694463</v>
      </c>
      <c r="K33" s="57">
        <f t="shared" si="12"/>
        <v>97188.302861109376</v>
      </c>
      <c r="L33" s="57">
        <f t="shared" si="13"/>
        <v>56556.300656330073</v>
      </c>
    </row>
    <row r="34" spans="1:12" ht="20" customHeight="1" x14ac:dyDescent="0.35">
      <c r="A34" s="60">
        <f t="shared" si="2"/>
        <v>8</v>
      </c>
      <c r="B34" s="57">
        <f t="shared" si="3"/>
        <v>1920000</v>
      </c>
      <c r="C34" s="57">
        <f t="shared" si="4"/>
        <v>3126934.5568235219</v>
      </c>
      <c r="D34" s="57">
        <f t="shared" si="5"/>
        <v>135241.81960294023</v>
      </c>
      <c r="E34" s="57">
        <f t="shared" si="6"/>
        <v>2991692.7372205816</v>
      </c>
      <c r="F34" s="57">
        <f t="shared" si="7"/>
        <v>1877025.034585685</v>
      </c>
      <c r="G34" s="57">
        <f t="shared" si="8"/>
        <v>2989529.3806899036</v>
      </c>
      <c r="H34" s="57">
        <f t="shared" si="9"/>
        <v>118066.17258623795</v>
      </c>
      <c r="I34" s="57">
        <f t="shared" si="10"/>
        <v>2871463.2081036656</v>
      </c>
      <c r="J34" s="57">
        <f t="shared" si="11"/>
        <v>1801591.5406171295</v>
      </c>
      <c r="K34" s="57">
        <f t="shared" si="12"/>
        <v>137405.17613361822</v>
      </c>
      <c r="L34" s="57">
        <f t="shared" si="13"/>
        <v>75433.493968555471</v>
      </c>
    </row>
    <row r="35" spans="1:12" ht="20" customHeight="1" x14ac:dyDescent="0.35">
      <c r="A35" s="60">
        <f t="shared" si="2"/>
        <v>9</v>
      </c>
      <c r="B35" s="57">
        <f t="shared" si="3"/>
        <v>2160000</v>
      </c>
      <c r="C35" s="57">
        <f t="shared" si="4"/>
        <v>3759167.4859948256</v>
      </c>
      <c r="D35" s="57">
        <f t="shared" si="5"/>
        <v>184270.9357493532</v>
      </c>
      <c r="E35" s="57">
        <f t="shared" si="6"/>
        <v>3574896.5502454722</v>
      </c>
      <c r="F35" s="57">
        <f t="shared" si="7"/>
        <v>2115975.7753690816</v>
      </c>
      <c r="G35" s="57">
        <f t="shared" si="8"/>
        <v>3570879.4347017757</v>
      </c>
      <c r="H35" s="57">
        <f t="shared" si="9"/>
        <v>160734.92933772196</v>
      </c>
      <c r="I35" s="57">
        <f t="shared" si="10"/>
        <v>3410144.5053640539</v>
      </c>
      <c r="J35" s="57">
        <f t="shared" si="11"/>
        <v>2018459.2931403406</v>
      </c>
      <c r="K35" s="57">
        <f t="shared" si="12"/>
        <v>188288.05129304994</v>
      </c>
      <c r="L35" s="57">
        <f t="shared" si="13"/>
        <v>97516.48222874105</v>
      </c>
    </row>
    <row r="36" spans="1:12" ht="20" customHeight="1" x14ac:dyDescent="0.35">
      <c r="A36" s="60">
        <f t="shared" si="2"/>
        <v>10</v>
      </c>
      <c r="B36" s="57">
        <f t="shared" si="3"/>
        <v>2400000</v>
      </c>
      <c r="C36" s="57">
        <f t="shared" si="4"/>
        <v>4468064.5553841731</v>
      </c>
      <c r="D36" s="57">
        <f t="shared" si="5"/>
        <v>242883.06942302163</v>
      </c>
      <c r="E36" s="57">
        <f t="shared" si="6"/>
        <v>4225181.4859611513</v>
      </c>
      <c r="F36" s="57">
        <f t="shared" si="7"/>
        <v>2359319.2732791635</v>
      </c>
      <c r="G36" s="57">
        <f t="shared" si="8"/>
        <v>4216296.2705861107</v>
      </c>
      <c r="H36" s="57">
        <f t="shared" si="9"/>
        <v>211412.03382326383</v>
      </c>
      <c r="I36" s="57">
        <f t="shared" si="10"/>
        <v>4004884.2367628468</v>
      </c>
      <c r="J36" s="57">
        <f t="shared" si="11"/>
        <v>2236306.439958062</v>
      </c>
      <c r="K36" s="57">
        <f t="shared" si="12"/>
        <v>251768.28479806241</v>
      </c>
      <c r="L36" s="57">
        <f t="shared" si="13"/>
        <v>123012.8333211015</v>
      </c>
    </row>
    <row r="37" spans="1:12" ht="20" customHeight="1" x14ac:dyDescent="0.35">
      <c r="A37" s="60">
        <f t="shared" si="2"/>
        <v>11</v>
      </c>
      <c r="B37" s="57">
        <f t="shared" si="3"/>
        <v>2640000</v>
      </c>
      <c r="C37" s="57">
        <f t="shared" si="4"/>
        <v>5262922.0071266824</v>
      </c>
      <c r="D37" s="57">
        <f t="shared" si="5"/>
        <v>312240.2508908353</v>
      </c>
      <c r="E37" s="57">
        <f t="shared" si="6"/>
        <v>4950681.7562358472</v>
      </c>
      <c r="F37" s="57">
        <f t="shared" si="7"/>
        <v>2607957.3913689242</v>
      </c>
      <c r="G37" s="57">
        <f t="shared" si="8"/>
        <v>4932840.2687645992</v>
      </c>
      <c r="H37" s="57">
        <f t="shared" si="9"/>
        <v>270980.0335955749</v>
      </c>
      <c r="I37" s="57">
        <f t="shared" si="10"/>
        <v>4661860.2351690242</v>
      </c>
      <c r="J37" s="57">
        <f t="shared" si="11"/>
        <v>2455809.8170062886</v>
      </c>
      <c r="K37" s="57">
        <f t="shared" si="12"/>
        <v>330081.73836208321</v>
      </c>
      <c r="L37" s="57">
        <f t="shared" si="13"/>
        <v>152147.57436263561</v>
      </c>
    </row>
    <row r="38" spans="1:12" ht="20" customHeight="1" x14ac:dyDescent="0.35">
      <c r="A38" s="60">
        <f t="shared" si="2"/>
        <v>12</v>
      </c>
      <c r="B38" s="57">
        <f t="shared" si="3"/>
        <v>2880000</v>
      </c>
      <c r="C38" s="57">
        <f t="shared" si="4"/>
        <v>6154163.3394329837</v>
      </c>
      <c r="D38" s="57">
        <f t="shared" si="5"/>
        <v>393645.4174291229</v>
      </c>
      <c r="E38" s="57">
        <f t="shared" si="6"/>
        <v>5760517.9220038606</v>
      </c>
      <c r="F38" s="57">
        <f t="shared" si="7"/>
        <v>2862800.9255721639</v>
      </c>
      <c r="G38" s="57">
        <f t="shared" si="8"/>
        <v>5728349.8879428999</v>
      </c>
      <c r="H38" s="57">
        <f t="shared" si="9"/>
        <v>340418.73599286249</v>
      </c>
      <c r="I38" s="57">
        <f t="shared" si="10"/>
        <v>5387931.1519500371</v>
      </c>
      <c r="J38" s="57">
        <f t="shared" si="11"/>
        <v>2677636.7155813053</v>
      </c>
      <c r="K38" s="57">
        <f t="shared" si="12"/>
        <v>425813.45149008371</v>
      </c>
      <c r="L38" s="57">
        <f t="shared" si="13"/>
        <v>185164.20999085857</v>
      </c>
    </row>
    <row r="39" spans="1:12" ht="20" customHeight="1" x14ac:dyDescent="0.35">
      <c r="A39" s="60">
        <f t="shared" si="2"/>
        <v>13</v>
      </c>
      <c r="B39" s="57">
        <f t="shared" si="3"/>
        <v>3120000</v>
      </c>
      <c r="C39" s="57">
        <f t="shared" si="4"/>
        <v>7153475.996903576</v>
      </c>
      <c r="D39" s="57">
        <f t="shared" si="5"/>
        <v>488559.49961294694</v>
      </c>
      <c r="E39" s="57">
        <f t="shared" si="6"/>
        <v>6664916.497290629</v>
      </c>
      <c r="F39" s="57">
        <f t="shared" si="7"/>
        <v>3124772.9339173348</v>
      </c>
      <c r="G39" s="57">
        <f t="shared" si="8"/>
        <v>6611527.4120222675</v>
      </c>
      <c r="H39" s="57">
        <f t="shared" si="9"/>
        <v>420815.92650278343</v>
      </c>
      <c r="I39" s="57">
        <f t="shared" si="10"/>
        <v>6190711.4855194837</v>
      </c>
      <c r="J39" s="57">
        <f t="shared" si="11"/>
        <v>2902447.11985608</v>
      </c>
      <c r="K39" s="57">
        <f t="shared" si="12"/>
        <v>541948.58488130849</v>
      </c>
      <c r="L39" s="57">
        <f t="shared" si="13"/>
        <v>222325.81406125473</v>
      </c>
    </row>
    <row r="40" spans="1:12" ht="20" customHeight="1" x14ac:dyDescent="0.35">
      <c r="A40" s="60">
        <f t="shared" si="2"/>
        <v>14</v>
      </c>
      <c r="B40" s="57">
        <f t="shared" si="3"/>
        <v>3360000</v>
      </c>
      <c r="C40" s="57">
        <f t="shared" si="4"/>
        <v>8273964.6358188698</v>
      </c>
      <c r="D40" s="57">
        <f t="shared" si="5"/>
        <v>598620.57947735873</v>
      </c>
      <c r="E40" s="57">
        <f t="shared" si="6"/>
        <v>7675344.0563415112</v>
      </c>
      <c r="F40" s="57">
        <f t="shared" si="7"/>
        <v>3394812.0780656408</v>
      </c>
      <c r="G40" s="57">
        <f t="shared" si="8"/>
        <v>7592034.1466166805</v>
      </c>
      <c r="H40" s="57">
        <f t="shared" si="9"/>
        <v>513379.26832708507</v>
      </c>
      <c r="I40" s="57">
        <f t="shared" si="10"/>
        <v>7078654.8782895952</v>
      </c>
      <c r="J40" s="57">
        <f t="shared" si="11"/>
        <v>3130895.8791783643</v>
      </c>
      <c r="K40" s="57">
        <f t="shared" si="12"/>
        <v>681930.48920218926</v>
      </c>
      <c r="L40" s="57">
        <f t="shared" si="13"/>
        <v>263916.19888727646</v>
      </c>
    </row>
    <row r="41" spans="1:12" ht="20" customHeight="1" x14ac:dyDescent="0.35">
      <c r="A41" s="60">
        <f t="shared" si="2"/>
        <v>15</v>
      </c>
      <c r="B41" s="57">
        <f t="shared" si="3"/>
        <v>3600000</v>
      </c>
      <c r="C41" s="57">
        <f t="shared" si="4"/>
        <v>9530322.9742753096</v>
      </c>
      <c r="D41" s="57">
        <f t="shared" si="5"/>
        <v>725665.3717844137</v>
      </c>
      <c r="E41" s="57">
        <f t="shared" si="6"/>
        <v>8804657.6024908964</v>
      </c>
      <c r="F41" s="57">
        <f t="shared" si="7"/>
        <v>3673875.9892590009</v>
      </c>
      <c r="G41" s="57">
        <f t="shared" si="8"/>
        <v>8680596.1065546498</v>
      </c>
      <c r="H41" s="57">
        <f t="shared" si="9"/>
        <v>619449.51331933122</v>
      </c>
      <c r="I41" s="57">
        <f t="shared" si="10"/>
        <v>8061146.5932353185</v>
      </c>
      <c r="J41" s="57">
        <f t="shared" si="11"/>
        <v>3363634.8228244293</v>
      </c>
      <c r="K41" s="57">
        <f t="shared" si="12"/>
        <v>849726.86772065982</v>
      </c>
      <c r="L41" s="57">
        <f t="shared" si="13"/>
        <v>310241.16643457161</v>
      </c>
    </row>
    <row r="42" spans="1:12" ht="20" customHeight="1" x14ac:dyDescent="0.35">
      <c r="A42" s="60">
        <f t="shared" si="2"/>
        <v>16</v>
      </c>
      <c r="B42" s="57">
        <f t="shared" si="3"/>
        <v>3840000</v>
      </c>
      <c r="C42" s="57">
        <f t="shared" si="4"/>
        <v>10939026.480753576</v>
      </c>
      <c r="D42" s="57">
        <f t="shared" si="5"/>
        <v>871753.31009419705</v>
      </c>
      <c r="E42" s="57">
        <f t="shared" si="6"/>
        <v>10067273.17065938</v>
      </c>
      <c r="F42" s="57">
        <f t="shared" si="7"/>
        <v>3962944.6707513803</v>
      </c>
      <c r="G42" s="57">
        <f t="shared" si="8"/>
        <v>9889121.3505083788</v>
      </c>
      <c r="H42" s="57">
        <f t="shared" si="9"/>
        <v>740515.16881354735</v>
      </c>
      <c r="I42" s="57">
        <f t="shared" si="10"/>
        <v>9148606.1816948317</v>
      </c>
      <c r="J42" s="57">
        <f t="shared" si="11"/>
        <v>3601314.8245758819</v>
      </c>
      <c r="K42" s="57">
        <f t="shared" si="12"/>
        <v>1049905.1302451976</v>
      </c>
      <c r="L42" s="57">
        <f t="shared" si="13"/>
        <v>361629.84617549833</v>
      </c>
    </row>
    <row r="43" spans="1:12" ht="20" customHeight="1" x14ac:dyDescent="0.35">
      <c r="A43" s="60">
        <f t="shared" si="2"/>
        <v>17</v>
      </c>
      <c r="B43" s="57">
        <f t="shared" si="3"/>
        <v>4080000</v>
      </c>
      <c r="C43" s="57">
        <f t="shared" si="4"/>
        <v>12518548.427973064</v>
      </c>
      <c r="D43" s="57">
        <f t="shared" si="5"/>
        <v>1039193.5534966331</v>
      </c>
      <c r="E43" s="57">
        <f t="shared" si="6"/>
        <v>11479354.874476431</v>
      </c>
      <c r="F43" s="57">
        <f t="shared" si="7"/>
        <v>4263023.9488280788</v>
      </c>
      <c r="G43" s="57">
        <f t="shared" si="8"/>
        <v>11230830.246303942</v>
      </c>
      <c r="H43" s="57">
        <f t="shared" si="9"/>
        <v>878228.78078799276</v>
      </c>
      <c r="I43" s="57">
        <f t="shared" si="10"/>
        <v>10352601.465515949</v>
      </c>
      <c r="J43" s="57">
        <f t="shared" si="11"/>
        <v>3844587.8242073311</v>
      </c>
      <c r="K43" s="57">
        <f t="shared" si="12"/>
        <v>1287718.1816691216</v>
      </c>
      <c r="L43" s="57">
        <f t="shared" si="13"/>
        <v>418436.12462074775</v>
      </c>
    </row>
    <row r="44" spans="1:12" ht="20" customHeight="1" x14ac:dyDescent="0.35">
      <c r="A44" s="60">
        <f t="shared" si="2"/>
        <v>18</v>
      </c>
      <c r="B44" s="57">
        <f t="shared" si="3"/>
        <v>4320000</v>
      </c>
      <c r="C44" s="57">
        <f t="shared" si="4"/>
        <v>14289602.145291636</v>
      </c>
      <c r="D44" s="57">
        <f t="shared" si="5"/>
        <v>1230575.2681614545</v>
      </c>
      <c r="E44" s="57">
        <f t="shared" si="6"/>
        <v>13059026.877130181</v>
      </c>
      <c r="F44" s="57">
        <f t="shared" si="7"/>
        <v>4575148.9845919618</v>
      </c>
      <c r="G44" s="57">
        <f t="shared" si="8"/>
        <v>12720400.091918087</v>
      </c>
      <c r="H44" s="57">
        <f t="shared" si="9"/>
        <v>1034425.0114897608</v>
      </c>
      <c r="I44" s="57">
        <f t="shared" si="10"/>
        <v>11685975.080428327</v>
      </c>
      <c r="J44" s="57">
        <f t="shared" si="11"/>
        <v>4094108.8127186685</v>
      </c>
      <c r="K44" s="57">
        <f t="shared" si="12"/>
        <v>1569202.0533735491</v>
      </c>
      <c r="L44" s="57">
        <f t="shared" si="13"/>
        <v>481040.17187329335</v>
      </c>
    </row>
    <row r="45" spans="1:12" ht="20" customHeight="1" x14ac:dyDescent="0.35">
      <c r="A45" s="60">
        <f t="shared" si="2"/>
        <v>19</v>
      </c>
      <c r="B45" s="57">
        <f t="shared" si="3"/>
        <v>4560000</v>
      </c>
      <c r="C45" s="57">
        <f t="shared" si="4"/>
        <v>16275412.646468597</v>
      </c>
      <c r="D45" s="57">
        <f t="shared" si="5"/>
        <v>1448801.5808085746</v>
      </c>
      <c r="E45" s="57">
        <f t="shared" si="6"/>
        <v>14826611.065660022</v>
      </c>
      <c r="F45" s="57">
        <f t="shared" si="7"/>
        <v>4900387.8588127773</v>
      </c>
      <c r="G45" s="57">
        <f t="shared" si="8"/>
        <v>14374125.674207902</v>
      </c>
      <c r="H45" s="57">
        <f t="shared" si="9"/>
        <v>1211140.7092759877</v>
      </c>
      <c r="I45" s="57">
        <f t="shared" si="10"/>
        <v>13162984.964931915</v>
      </c>
      <c r="J45" s="57">
        <f t="shared" si="11"/>
        <v>4350537.7879160028</v>
      </c>
      <c r="K45" s="57">
        <f t="shared" si="12"/>
        <v>1901286.972260695</v>
      </c>
      <c r="L45" s="57">
        <f t="shared" si="13"/>
        <v>549850.07089677453</v>
      </c>
    </row>
    <row r="46" spans="1:12" ht="20" customHeight="1" x14ac:dyDescent="0.35">
      <c r="A46" s="60">
        <f t="shared" si="2"/>
        <v>20</v>
      </c>
      <c r="B46" s="57">
        <f t="shared" si="3"/>
        <v>4800000</v>
      </c>
      <c r="C46" s="57">
        <f t="shared" si="4"/>
        <v>18502021.194827691</v>
      </c>
      <c r="D46" s="57">
        <f t="shared" si="5"/>
        <v>1697127.6493534613</v>
      </c>
      <c r="E46" s="57">
        <f t="shared" si="6"/>
        <v>16804893.545474231</v>
      </c>
      <c r="F46" s="57">
        <f t="shared" si="7"/>
        <v>5239845.2422963129</v>
      </c>
      <c r="G46" s="57">
        <f t="shared" si="8"/>
        <v>16210097.521766502</v>
      </c>
      <c r="H46" s="57">
        <f t="shared" si="9"/>
        <v>1410637.1902208128</v>
      </c>
      <c r="I46" s="57">
        <f t="shared" si="10"/>
        <v>14799460.33154569</v>
      </c>
      <c r="J46" s="57">
        <f t="shared" si="11"/>
        <v>4614541.6867390424</v>
      </c>
      <c r="K46" s="57">
        <f t="shared" si="12"/>
        <v>2291923.6730611883</v>
      </c>
      <c r="L46" s="57">
        <f t="shared" si="13"/>
        <v>625303.55555727053</v>
      </c>
    </row>
    <row r="47" spans="1:12" ht="20" customHeight="1" x14ac:dyDescent="0.35">
      <c r="A47" s="60">
        <f t="shared" si="2"/>
        <v>21</v>
      </c>
      <c r="B47" s="57">
        <f t="shared" si="3"/>
        <v>5040000</v>
      </c>
      <c r="C47" s="57">
        <f t="shared" si="4"/>
        <v>20998626.799787175</v>
      </c>
      <c r="D47" s="57">
        <f t="shared" si="5"/>
        <v>1979203.3499733969</v>
      </c>
      <c r="E47" s="57">
        <f t="shared" si="6"/>
        <v>19019423.449813779</v>
      </c>
      <c r="F47" s="57">
        <f t="shared" si="7"/>
        <v>5594666.1644339347</v>
      </c>
      <c r="G47" s="57">
        <f t="shared" si="8"/>
        <v>18248399.80185847</v>
      </c>
      <c r="H47" s="57">
        <f t="shared" si="9"/>
        <v>1635424.9752323087</v>
      </c>
      <c r="I47" s="57">
        <f t="shared" si="10"/>
        <v>16612974.826626161</v>
      </c>
      <c r="J47" s="57">
        <f t="shared" si="11"/>
        <v>4886796.3005486438</v>
      </c>
      <c r="K47" s="57">
        <f t="shared" si="12"/>
        <v>2750226.9979287051</v>
      </c>
      <c r="L47" s="57">
        <f t="shared" si="13"/>
        <v>707869.86388529092</v>
      </c>
    </row>
    <row r="48" spans="1:12" ht="20" customHeight="1" x14ac:dyDescent="0.35">
      <c r="A48" s="60">
        <f t="shared" si="2"/>
        <v>22</v>
      </c>
      <c r="B48" s="57">
        <f t="shared" si="3"/>
        <v>5280000</v>
      </c>
      <c r="C48" s="57">
        <f t="shared" si="4"/>
        <v>23797969.123029657</v>
      </c>
      <c r="D48" s="57">
        <f t="shared" si="5"/>
        <v>2299121.1403787071</v>
      </c>
      <c r="E48" s="57">
        <f t="shared" si="6"/>
        <v>21498847.982650951</v>
      </c>
      <c r="F48" s="57">
        <f t="shared" si="7"/>
        <v>5966039.8928407989</v>
      </c>
      <c r="G48" s="57">
        <f t="shared" si="8"/>
        <v>20511330.026280392</v>
      </c>
      <c r="H48" s="57">
        <f t="shared" si="9"/>
        <v>1888291.253285049</v>
      </c>
      <c r="I48" s="57">
        <f t="shared" si="10"/>
        <v>18623038.772995342</v>
      </c>
      <c r="J48" s="57">
        <f t="shared" si="11"/>
        <v>5167988.1794257471</v>
      </c>
      <c r="K48" s="57">
        <f t="shared" si="12"/>
        <v>3286639.0967492647</v>
      </c>
      <c r="L48" s="57">
        <f t="shared" si="13"/>
        <v>798051.71341505181</v>
      </c>
    </row>
    <row r="49" spans="1:12" ht="20" customHeight="1" x14ac:dyDescent="0.35">
      <c r="A49" s="60">
        <f t="shared" si="2"/>
        <v>23</v>
      </c>
      <c r="B49" s="57">
        <f t="shared" si="3"/>
        <v>5520000</v>
      </c>
      <c r="C49" s="57">
        <f t="shared" si="4"/>
        <v>26936757.815616824</v>
      </c>
      <c r="D49" s="57">
        <f t="shared" si="5"/>
        <v>2661469.726952103</v>
      </c>
      <c r="E49" s="57">
        <f t="shared" si="6"/>
        <v>24275288.088664722</v>
      </c>
      <c r="F49" s="57">
        <f t="shared" si="7"/>
        <v>6355203.9372830549</v>
      </c>
      <c r="G49" s="57">
        <f t="shared" si="8"/>
        <v>23023642.969565339</v>
      </c>
      <c r="H49" s="57">
        <f t="shared" si="9"/>
        <v>2172330.3711956674</v>
      </c>
      <c r="I49" s="57">
        <f t="shared" si="10"/>
        <v>20851312.598369673</v>
      </c>
      <c r="J49" s="57">
        <f t="shared" si="11"/>
        <v>5458816.5313908644</v>
      </c>
      <c r="K49" s="57">
        <f t="shared" si="12"/>
        <v>3913114.8460514843</v>
      </c>
      <c r="L49" s="57">
        <f t="shared" si="13"/>
        <v>896387.40589219052</v>
      </c>
    </row>
    <row r="50" spans="1:12" ht="20" customHeight="1" x14ac:dyDescent="0.35">
      <c r="A50" s="60">
        <f t="shared" si="2"/>
        <v>24</v>
      </c>
      <c r="B50" s="57">
        <f t="shared" si="3"/>
        <v>5760000</v>
      </c>
      <c r="C50" s="57">
        <f t="shared" si="4"/>
        <v>30456153.916234326</v>
      </c>
      <c r="D50" s="57">
        <f t="shared" si="5"/>
        <v>3071394.2395292907</v>
      </c>
      <c r="E50" s="57">
        <f t="shared" si="6"/>
        <v>27384759.676705036</v>
      </c>
      <c r="F50" s="57">
        <f t="shared" si="7"/>
        <v>6763448.1914316006</v>
      </c>
      <c r="G50" s="57">
        <f t="shared" si="8"/>
        <v>25812821.467815056</v>
      </c>
      <c r="H50" s="57">
        <f t="shared" si="9"/>
        <v>2490977.6834768821</v>
      </c>
      <c r="I50" s="57">
        <f t="shared" si="10"/>
        <v>23321843.784338176</v>
      </c>
      <c r="J50" s="57">
        <f t="shared" si="11"/>
        <v>5759995.1223311713</v>
      </c>
      <c r="K50" s="57">
        <f t="shared" si="12"/>
        <v>4643332.4484192692</v>
      </c>
      <c r="L50" s="57">
        <f t="shared" si="13"/>
        <v>1003453.0691004293</v>
      </c>
    </row>
    <row r="51" spans="1:12" ht="20" customHeight="1" x14ac:dyDescent="0.35">
      <c r="A51" s="60">
        <f t="shared" si="2"/>
        <v>25</v>
      </c>
      <c r="B51" s="57">
        <f t="shared" si="3"/>
        <v>6000000</v>
      </c>
      <c r="C51" s="57">
        <f t="shared" si="4"/>
        <v>34402309.623464249</v>
      </c>
      <c r="D51" s="57">
        <f t="shared" si="5"/>
        <v>3534663.7029330311</v>
      </c>
      <c r="E51" s="57">
        <f t="shared" si="6"/>
        <v>30867645.920531217</v>
      </c>
      <c r="F51" s="57">
        <f t="shared" si="7"/>
        <v>7192119.2263629232</v>
      </c>
      <c r="G51" s="57">
        <f t="shared" si="8"/>
        <v>28909377.060497928</v>
      </c>
      <c r="H51" s="57">
        <f t="shared" si="9"/>
        <v>2848047.1325622411</v>
      </c>
      <c r="I51" s="57">
        <f t="shared" si="10"/>
        <v>26061329.927935686</v>
      </c>
      <c r="J51" s="57">
        <f t="shared" si="11"/>
        <v>6072254.1823191941</v>
      </c>
      <c r="K51" s="57">
        <f t="shared" si="12"/>
        <v>5492932.5629663207</v>
      </c>
      <c r="L51" s="57">
        <f t="shared" si="13"/>
        <v>1119865.0440437291</v>
      </c>
    </row>
    <row r="52" spans="1:12" ht="20" customHeight="1" x14ac:dyDescent="0.35">
      <c r="A52" s="60">
        <f t="shared" si="2"/>
        <v>26</v>
      </c>
      <c r="B52" s="57">
        <f t="shared" si="3"/>
        <v>6240000</v>
      </c>
      <c r="C52" s="57">
        <f t="shared" si="4"/>
        <v>38826973.520480886</v>
      </c>
      <c r="D52" s="57">
        <f t="shared" si="5"/>
        <v>4057746.6900601108</v>
      </c>
      <c r="E52" s="57">
        <f t="shared" si="6"/>
        <v>34769226.830420777</v>
      </c>
      <c r="F52" s="57">
        <f t="shared" si="7"/>
        <v>7642624.7501578601</v>
      </c>
      <c r="G52" s="57">
        <f t="shared" si="8"/>
        <v>32347183.764010347</v>
      </c>
      <c r="H52" s="57">
        <f t="shared" si="9"/>
        <v>3247772.9705012934</v>
      </c>
      <c r="I52" s="57">
        <f t="shared" si="10"/>
        <v>29099410.793509055</v>
      </c>
      <c r="J52" s="57">
        <f t="shared" si="11"/>
        <v>6396342.3239225261</v>
      </c>
      <c r="K52" s="57">
        <f t="shared" si="12"/>
        <v>6479789.7564705387</v>
      </c>
      <c r="L52" s="57">
        <f t="shared" si="13"/>
        <v>1246282.426235334</v>
      </c>
    </row>
    <row r="53" spans="1:12" ht="20" customHeight="1" x14ac:dyDescent="0.35">
      <c r="A53" s="60">
        <f t="shared" si="2"/>
        <v>27</v>
      </c>
      <c r="B53" s="57">
        <f t="shared" si="3"/>
        <v>6480000</v>
      </c>
      <c r="C53" s="57">
        <f t="shared" si="4"/>
        <v>43788169.188886292</v>
      </c>
      <c r="D53" s="57">
        <f t="shared" si="5"/>
        <v>4647896.1486107865</v>
      </c>
      <c r="E53" s="57">
        <f t="shared" si="6"/>
        <v>39140273.040275507</v>
      </c>
      <c r="F53" s="57">
        <f t="shared" si="7"/>
        <v>8116438.2484271303</v>
      </c>
      <c r="G53" s="57">
        <f t="shared" si="8"/>
        <v>36163848.628236249</v>
      </c>
      <c r="H53" s="57">
        <f t="shared" si="9"/>
        <v>3694856.0785295311</v>
      </c>
      <c r="I53" s="57">
        <f t="shared" si="10"/>
        <v>32468992.54970672</v>
      </c>
      <c r="J53" s="57">
        <f t="shared" si="11"/>
        <v>6733028.4780374169</v>
      </c>
      <c r="K53" s="57">
        <f t="shared" si="12"/>
        <v>7624320.5606500432</v>
      </c>
      <c r="L53" s="57">
        <f t="shared" si="13"/>
        <v>1383409.7703897133</v>
      </c>
    </row>
    <row r="54" spans="1:12" ht="20" customHeight="1" x14ac:dyDescent="0.35">
      <c r="A54" s="60">
        <f t="shared" si="2"/>
        <v>28</v>
      </c>
      <c r="B54" s="57">
        <f t="shared" si="3"/>
        <v>6720000</v>
      </c>
      <c r="C54" s="57">
        <f t="shared" si="4"/>
        <v>49350956.110803775</v>
      </c>
      <c r="D54" s="57">
        <f t="shared" si="5"/>
        <v>5313244.5138504719</v>
      </c>
      <c r="E54" s="57">
        <f t="shared" si="6"/>
        <v>44037711.596953303</v>
      </c>
      <c r="F54" s="57">
        <f t="shared" si="7"/>
        <v>8615103.8211204745</v>
      </c>
      <c r="G54" s="57">
        <f t="shared" si="8"/>
        <v>40401123.129718088</v>
      </c>
      <c r="H54" s="57">
        <f t="shared" si="9"/>
        <v>4194515.391214761</v>
      </c>
      <c r="I54" s="57">
        <f t="shared" si="10"/>
        <v>36206607.738503329</v>
      </c>
      <c r="J54" s="57">
        <f t="shared" si="11"/>
        <v>7083103.8527299464</v>
      </c>
      <c r="K54" s="57">
        <f t="shared" si="12"/>
        <v>8949832.9810856879</v>
      </c>
      <c r="L54" s="57">
        <f t="shared" si="13"/>
        <v>1531999.9683905281</v>
      </c>
    </row>
    <row r="55" spans="1:12" ht="20" customHeight="1" x14ac:dyDescent="0.35">
      <c r="A55" s="60">
        <f t="shared" si="2"/>
        <v>29</v>
      </c>
      <c r="B55" s="57">
        <f t="shared" si="3"/>
        <v>6960000</v>
      </c>
      <c r="C55" s="57">
        <f t="shared" si="4"/>
        <v>55588282.837447904</v>
      </c>
      <c r="D55" s="57">
        <f t="shared" si="5"/>
        <v>6062910.354680988</v>
      </c>
      <c r="E55" s="57">
        <f t="shared" si="6"/>
        <v>49525372.482766919</v>
      </c>
      <c r="F55" s="57">
        <f t="shared" si="7"/>
        <v>9140241.2315548211</v>
      </c>
      <c r="G55" s="57">
        <f t="shared" si="8"/>
        <v>45105359.901774749</v>
      </c>
      <c r="H55" s="57">
        <f t="shared" si="9"/>
        <v>4752544.9877218436</v>
      </c>
      <c r="I55" s="57">
        <f t="shared" si="10"/>
        <v>40352814.914052904</v>
      </c>
      <c r="J55" s="57">
        <f t="shared" si="11"/>
        <v>7447383.9205362471</v>
      </c>
      <c r="K55" s="57">
        <f t="shared" si="12"/>
        <v>10482922.935673155</v>
      </c>
      <c r="L55" s="57">
        <f t="shared" si="13"/>
        <v>1692857.3110185741</v>
      </c>
    </row>
    <row r="56" spans="1:12" ht="20" customHeight="1" x14ac:dyDescent="0.35">
      <c r="A56" s="60">
        <f t="shared" si="2"/>
        <v>30</v>
      </c>
      <c r="B56" s="57">
        <f t="shared" si="3"/>
        <v>7200000</v>
      </c>
      <c r="C56" s="57">
        <f t="shared" si="4"/>
        <v>62581943.612342209</v>
      </c>
      <c r="D56" s="57">
        <f t="shared" si="5"/>
        <v>6907117.9515427761</v>
      </c>
      <c r="E56" s="57">
        <f t="shared" si="6"/>
        <v>55674825.660799429</v>
      </c>
      <c r="F56" s="57">
        <f t="shared" si="7"/>
        <v>9693551.1842285283</v>
      </c>
      <c r="G56" s="57">
        <f t="shared" si="8"/>
        <v>50328019.797854416</v>
      </c>
      <c r="H56" s="57">
        <f t="shared" si="9"/>
        <v>5375377.474731802</v>
      </c>
      <c r="I56" s="57">
        <f t="shared" si="10"/>
        <v>44952642.323122613</v>
      </c>
      <c r="J56" s="57">
        <f t="shared" si="11"/>
        <v>7826710.4396577971</v>
      </c>
      <c r="K56" s="57">
        <f t="shared" si="12"/>
        <v>12253923.814487793</v>
      </c>
      <c r="L56" s="57">
        <f t="shared" si="13"/>
        <v>1866840.7445707312</v>
      </c>
    </row>
    <row r="57" spans="1:12" ht="20" customHeight="1" x14ac:dyDescent="0.35">
      <c r="A57" s="50"/>
      <c r="B57" s="47"/>
      <c r="C57" s="47"/>
      <c r="D57" s="47"/>
      <c r="E57" s="47"/>
      <c r="F57" s="47"/>
      <c r="G57" s="47"/>
      <c r="H57" s="47"/>
      <c r="I57" s="47"/>
      <c r="J57" s="47"/>
      <c r="K57" s="47"/>
      <c r="L57" s="47"/>
    </row>
    <row r="58" spans="1:12" ht="20" customHeight="1" x14ac:dyDescent="0.35">
      <c r="A58" s="50"/>
      <c r="B58" s="47"/>
      <c r="C58" s="47"/>
      <c r="D58" s="47"/>
      <c r="E58" s="47"/>
      <c r="F58" s="47"/>
      <c r="G58" s="47"/>
      <c r="H58" s="47"/>
      <c r="I58" s="47"/>
      <c r="J58" s="47"/>
      <c r="K58" s="47"/>
      <c r="L58" s="47"/>
    </row>
    <row r="59" spans="1:12" ht="22" customHeight="1" x14ac:dyDescent="0.35">
      <c r="A59" s="291" t="s">
        <v>135</v>
      </c>
      <c r="B59" s="292"/>
      <c r="C59" s="292"/>
      <c r="D59" s="292"/>
      <c r="E59" s="292"/>
      <c r="F59" s="292"/>
      <c r="G59" s="292"/>
      <c r="H59" s="292"/>
      <c r="I59" s="292"/>
      <c r="J59" s="292"/>
      <c r="K59" s="292"/>
      <c r="L59" s="292"/>
    </row>
    <row r="60" spans="1:12" ht="30" customHeight="1" x14ac:dyDescent="0.35">
      <c r="A60" s="293" t="s">
        <v>328</v>
      </c>
      <c r="B60" s="294"/>
      <c r="C60" s="294"/>
      <c r="D60" s="294"/>
      <c r="E60" s="294"/>
      <c r="F60" s="294"/>
      <c r="G60" s="294"/>
      <c r="H60" s="294"/>
      <c r="I60" s="294"/>
      <c r="J60" s="294"/>
      <c r="K60" s="294"/>
      <c r="L60" s="294"/>
    </row>
    <row r="61" spans="1:12" ht="30" customHeight="1" x14ac:dyDescent="0.35">
      <c r="A61" s="293" t="s">
        <v>329</v>
      </c>
      <c r="B61" s="294"/>
      <c r="C61" s="294"/>
      <c r="D61" s="294"/>
      <c r="E61" s="294"/>
      <c r="F61" s="294"/>
      <c r="G61" s="294"/>
      <c r="H61" s="294"/>
      <c r="I61" s="294"/>
      <c r="J61" s="294"/>
      <c r="K61" s="294"/>
      <c r="L61" s="294"/>
    </row>
    <row r="62" spans="1:12" ht="30" customHeight="1" x14ac:dyDescent="0.35">
      <c r="A62" s="293" t="s">
        <v>330</v>
      </c>
      <c r="B62" s="294"/>
      <c r="C62" s="294"/>
      <c r="D62" s="294"/>
      <c r="E62" s="294"/>
      <c r="F62" s="294"/>
      <c r="G62" s="294"/>
      <c r="H62" s="294"/>
      <c r="I62" s="294"/>
      <c r="J62" s="294"/>
      <c r="K62" s="294"/>
      <c r="L62" s="294"/>
    </row>
  </sheetData>
  <mergeCells count="17">
    <mergeCell ref="A16:H16"/>
    <mergeCell ref="A1:L1"/>
    <mergeCell ref="A2:L2"/>
    <mergeCell ref="A4:B4"/>
    <mergeCell ref="D4:F4"/>
    <mergeCell ref="H4:L4"/>
    <mergeCell ref="H5:L5"/>
    <mergeCell ref="H6:L6"/>
    <mergeCell ref="H7:L7"/>
    <mergeCell ref="H8:L8"/>
    <mergeCell ref="H9:L9"/>
    <mergeCell ref="H10:L10"/>
    <mergeCell ref="A25:L25"/>
    <mergeCell ref="A59:L59"/>
    <mergeCell ref="A60:L60"/>
    <mergeCell ref="A61:L61"/>
    <mergeCell ref="A62:L62"/>
  </mergeCells>
  <dataValidations count="1">
    <dataValidation type="whole" allowBlank="1" showInputMessage="1" showErrorMessage="1" errorTitle="Enter 5 to 30 years" error="The selected horizon must be a whole number from 5 to 30." promptTitle="Selected horizon" prompt="Choose a whole number from 5 to 30 years." sqref="B10" xr:uid="{84FCEF3E-BBA9-4797-812C-D2C3827345C3}">
      <formula1>5</formula1>
      <formula2>30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2A3E-0AF4-4219-BB47-5C73DAF5893C}">
  <dimension ref="A1:H396"/>
  <sheetViews>
    <sheetView workbookViewId="0">
      <selection activeCell="D10" sqref="D10:E10"/>
    </sheetView>
  </sheetViews>
  <sheetFormatPr defaultRowHeight="14.5" x14ac:dyDescent="0.35"/>
  <cols>
    <col min="1" max="1" width="32.7265625" customWidth="1"/>
    <col min="2" max="2" width="21.453125" customWidth="1"/>
    <col min="3" max="3" width="22.7265625" customWidth="1"/>
    <col min="4" max="4" width="27.26953125" customWidth="1"/>
    <col min="5" max="5" width="22.7265625" customWidth="1"/>
    <col min="6" max="7" width="21.81640625" customWidth="1"/>
    <col min="8" max="8" width="30" customWidth="1"/>
    <col min="9" max="11" width="20" customWidth="1"/>
    <col min="12" max="12" width="10.90625" customWidth="1"/>
    <col min="14" max="20" width="13.6328125" customWidth="1"/>
  </cols>
  <sheetData>
    <row r="1" spans="1:8" ht="32" customHeight="1" x14ac:dyDescent="0.35">
      <c r="A1" s="298" t="s">
        <v>383</v>
      </c>
      <c r="B1" s="298"/>
      <c r="C1" s="298"/>
      <c r="D1" s="298"/>
      <c r="E1" s="298"/>
      <c r="F1" s="298"/>
      <c r="G1" s="298"/>
      <c r="H1" s="298"/>
    </row>
    <row r="2" spans="1:8" ht="28" customHeight="1" x14ac:dyDescent="0.35">
      <c r="A2" s="299" t="s">
        <v>384</v>
      </c>
      <c r="B2" s="299"/>
      <c r="C2" s="299"/>
      <c r="D2" s="299"/>
      <c r="E2" s="299"/>
      <c r="F2" s="299"/>
      <c r="G2" s="299"/>
      <c r="H2" s="299"/>
    </row>
    <row r="3" spans="1:8" ht="19" customHeight="1" x14ac:dyDescent="0.35">
      <c r="A3" s="65"/>
      <c r="B3" s="65"/>
      <c r="C3" s="65"/>
      <c r="D3" s="65"/>
      <c r="E3" s="65"/>
      <c r="F3" s="65"/>
      <c r="G3" s="65"/>
      <c r="H3" s="65"/>
    </row>
    <row r="4" spans="1:8" ht="23" customHeight="1" x14ac:dyDescent="0.35">
      <c r="A4" s="297" t="s">
        <v>336</v>
      </c>
      <c r="B4" s="297"/>
      <c r="C4" s="65"/>
      <c r="D4" s="297" t="s">
        <v>368</v>
      </c>
      <c r="E4" s="297"/>
      <c r="F4" s="65"/>
      <c r="G4" s="297" t="s">
        <v>371</v>
      </c>
      <c r="H4" s="297"/>
    </row>
    <row r="5" spans="1:8" ht="19" customHeight="1" x14ac:dyDescent="0.35">
      <c r="A5" s="66" t="s">
        <v>1</v>
      </c>
      <c r="B5" s="77">
        <v>10000000</v>
      </c>
      <c r="C5" s="65"/>
      <c r="D5" s="78" t="s">
        <v>10</v>
      </c>
      <c r="E5" s="88">
        <f>-PMT($B$6/1200,$B$7*12,$B$5)</f>
        <v>80559.31935518072</v>
      </c>
      <c r="F5" s="65"/>
      <c r="G5" s="78" t="s">
        <v>372</v>
      </c>
      <c r="H5" s="78" t="str">
        <f>$H$13</f>
        <v>Combination of All</v>
      </c>
    </row>
    <row r="6" spans="1:8" ht="19" customHeight="1" x14ac:dyDescent="0.35">
      <c r="A6" s="66" t="s">
        <v>337</v>
      </c>
      <c r="B6" s="72">
        <f>'Common Assumptions'!$B$7</f>
        <v>7.5</v>
      </c>
      <c r="C6" s="65"/>
      <c r="D6" s="78" t="s">
        <v>70</v>
      </c>
      <c r="E6" s="88">
        <f>SUM('Prepayment Engine'!$E$2:$E$481)</f>
        <v>9334236.6452433839</v>
      </c>
      <c r="F6" s="65"/>
      <c r="G6" s="78" t="s">
        <v>373</v>
      </c>
      <c r="H6" s="90">
        <f>INDEX($D$36:$D$40,MATCH($H$13,$A$36:$A$40,0))</f>
        <v>223</v>
      </c>
    </row>
    <row r="7" spans="1:8" ht="19" customHeight="1" x14ac:dyDescent="0.35">
      <c r="A7" s="66" t="s">
        <v>338</v>
      </c>
      <c r="B7" s="71">
        <v>20</v>
      </c>
      <c r="C7" s="65"/>
      <c r="D7" s="78" t="s">
        <v>340</v>
      </c>
      <c r="E7" s="88">
        <f>$B$5+$E$6</f>
        <v>19334236.645243384</v>
      </c>
      <c r="F7" s="65"/>
      <c r="G7" s="78" t="s">
        <v>374</v>
      </c>
      <c r="H7" s="89">
        <f>$H$6/12</f>
        <v>18.583333333333332</v>
      </c>
    </row>
    <row r="8" spans="1:8" ht="19" customHeight="1" x14ac:dyDescent="0.35">
      <c r="A8" s="76" t="s">
        <v>350</v>
      </c>
      <c r="B8" s="77">
        <v>0</v>
      </c>
      <c r="C8" s="65"/>
      <c r="D8" s="78" t="s">
        <v>369</v>
      </c>
      <c r="E8" s="89">
        <f>$B$7</f>
        <v>20</v>
      </c>
      <c r="F8" s="65"/>
      <c r="G8" s="78" t="s">
        <v>70</v>
      </c>
      <c r="H8" s="88">
        <f>INDEX($F$36:$F$40,MATCH($H$13,$A$36:$A$40,0))</f>
        <v>6993795.3448760286</v>
      </c>
    </row>
    <row r="9" spans="1:8" ht="19" customHeight="1" x14ac:dyDescent="0.35">
      <c r="A9" s="76" t="s">
        <v>351</v>
      </c>
      <c r="B9" s="71">
        <v>1</v>
      </c>
      <c r="C9" s="65"/>
      <c r="D9" s="78" t="s">
        <v>370</v>
      </c>
      <c r="E9" s="90" cm="1">
        <f t="array" ref="E9">IFERROR(_xlfn.XMATCH(TRUE,'Prepayment Engine'!$H$2:$H$481&lt;=0.01,0),480)</f>
        <v>240</v>
      </c>
      <c r="F9" s="65"/>
      <c r="G9" s="78" t="s">
        <v>342</v>
      </c>
      <c r="H9" s="91">
        <f>INDEX($G$36:$G$40,MATCH($H$13,$A$36:$A$40,0))</f>
        <v>2340441.3003673553</v>
      </c>
    </row>
    <row r="10" spans="1:8" ht="23" customHeight="1" x14ac:dyDescent="0.35">
      <c r="A10" s="297" t="s">
        <v>352</v>
      </c>
      <c r="B10" s="297"/>
      <c r="C10" s="65"/>
      <c r="D10" s="297" t="s">
        <v>345</v>
      </c>
      <c r="E10" s="297"/>
      <c r="F10" s="65"/>
      <c r="G10" s="78" t="s">
        <v>341</v>
      </c>
      <c r="H10" s="92">
        <f>INDEX($H$36:$H$40,MATCH($H$13,$A$36:$A$40,0))</f>
        <v>1500000</v>
      </c>
    </row>
    <row r="11" spans="1:8" ht="19" customHeight="1" x14ac:dyDescent="0.35">
      <c r="A11" s="69" t="s">
        <v>353</v>
      </c>
      <c r="B11" s="69" t="s">
        <v>354</v>
      </c>
      <c r="C11" s="65"/>
      <c r="D11" s="70" t="s">
        <v>346</v>
      </c>
      <c r="E11" s="71">
        <v>61</v>
      </c>
      <c r="F11" s="65"/>
      <c r="G11" s="78" t="s">
        <v>375</v>
      </c>
      <c r="H11" s="88">
        <f>INDEX($C$36:$C$40,MATCH($H$13,$A$36:$A$40,0))</f>
        <v>67460.316473241648</v>
      </c>
    </row>
    <row r="12" spans="1:8" ht="19" customHeight="1" x14ac:dyDescent="0.35">
      <c r="A12" s="71">
        <v>12</v>
      </c>
      <c r="B12" s="77">
        <v>500000</v>
      </c>
      <c r="C12" s="65"/>
      <c r="D12" s="70" t="s">
        <v>347</v>
      </c>
      <c r="E12" s="72">
        <f>$B$6-1</f>
        <v>6.5</v>
      </c>
      <c r="F12" s="65"/>
      <c r="G12" s="65"/>
      <c r="H12" s="65"/>
    </row>
    <row r="13" spans="1:8" ht="19" customHeight="1" x14ac:dyDescent="0.35">
      <c r="A13" s="71">
        <v>36</v>
      </c>
      <c r="B13" s="77">
        <v>500000</v>
      </c>
      <c r="C13" s="65"/>
      <c r="D13" s="70" t="s">
        <v>348</v>
      </c>
      <c r="E13" s="73" t="s">
        <v>349</v>
      </c>
      <c r="F13" s="65"/>
      <c r="G13" s="70" t="s">
        <v>357</v>
      </c>
      <c r="H13" s="73" t="s">
        <v>358</v>
      </c>
    </row>
    <row r="14" spans="1:8" ht="19" customHeight="1" x14ac:dyDescent="0.35">
      <c r="A14" s="71">
        <v>60</v>
      </c>
      <c r="B14" s="77">
        <v>500000</v>
      </c>
      <c r="C14" s="65"/>
      <c r="D14" s="70"/>
      <c r="E14" s="73"/>
      <c r="F14" s="65"/>
      <c r="G14" s="65"/>
      <c r="H14" s="65"/>
    </row>
    <row r="15" spans="1:8" ht="19" customHeight="1" x14ac:dyDescent="0.35">
      <c r="A15" s="71">
        <v>0</v>
      </c>
      <c r="B15" s="77">
        <v>0</v>
      </c>
      <c r="C15" s="65"/>
      <c r="D15" s="70" t="s">
        <v>339</v>
      </c>
      <c r="E15" s="73" t="s">
        <v>343</v>
      </c>
      <c r="F15" s="65"/>
      <c r="G15" s="65"/>
      <c r="H15" s="65"/>
    </row>
    <row r="16" spans="1:8" ht="19" customHeight="1" x14ac:dyDescent="0.35">
      <c r="A16" s="71">
        <v>0</v>
      </c>
      <c r="B16" s="77">
        <v>0</v>
      </c>
      <c r="C16" s="65"/>
      <c r="D16" s="70" t="s">
        <v>355</v>
      </c>
      <c r="E16" s="71">
        <v>240</v>
      </c>
      <c r="F16" s="65"/>
      <c r="G16" s="65"/>
      <c r="H16" s="65"/>
    </row>
    <row r="17" spans="1:8" ht="19" customHeight="1" x14ac:dyDescent="0.35">
      <c r="A17" s="71">
        <v>0</v>
      </c>
      <c r="B17" s="77">
        <v>0</v>
      </c>
      <c r="C17" s="65"/>
      <c r="D17" s="70"/>
      <c r="E17" s="71"/>
      <c r="F17" s="65"/>
      <c r="G17" s="65"/>
      <c r="H17" s="65"/>
    </row>
    <row r="18" spans="1:8" ht="19" customHeight="1" x14ac:dyDescent="0.35">
      <c r="A18" s="71">
        <v>0</v>
      </c>
      <c r="B18" s="77">
        <v>0</v>
      </c>
      <c r="C18" s="65"/>
      <c r="D18" s="70"/>
      <c r="E18" s="71"/>
      <c r="F18" s="65"/>
      <c r="G18" s="65"/>
      <c r="H18" s="65"/>
    </row>
    <row r="19" spans="1:8" ht="19" customHeight="1" x14ac:dyDescent="0.35">
      <c r="A19" s="71">
        <v>0</v>
      </c>
      <c r="B19" s="77">
        <v>0</v>
      </c>
      <c r="C19" s="65"/>
      <c r="D19" s="70"/>
      <c r="E19" s="71"/>
      <c r="F19" s="65"/>
      <c r="G19" s="65"/>
      <c r="H19" s="65"/>
    </row>
    <row r="20" spans="1:8" ht="19" customHeight="1" x14ac:dyDescent="0.35">
      <c r="A20" s="71">
        <v>0</v>
      </c>
      <c r="B20" s="77">
        <v>0</v>
      </c>
      <c r="C20" s="65"/>
      <c r="D20" s="70"/>
      <c r="E20" s="71"/>
      <c r="F20" s="65"/>
      <c r="G20" s="65"/>
      <c r="H20" s="65"/>
    </row>
    <row r="21" spans="1:8" ht="19" customHeight="1" x14ac:dyDescent="0.35">
      <c r="A21" s="71">
        <v>0</v>
      </c>
      <c r="B21" s="77">
        <v>0</v>
      </c>
      <c r="C21" s="65"/>
      <c r="D21" s="70"/>
      <c r="E21" s="71"/>
      <c r="F21" s="65"/>
      <c r="G21" s="65"/>
      <c r="H21" s="65"/>
    </row>
    <row r="22" spans="1:8" ht="19" customHeight="1" x14ac:dyDescent="0.35">
      <c r="A22" s="71">
        <v>0</v>
      </c>
      <c r="B22" s="77">
        <v>0</v>
      </c>
      <c r="C22" s="65"/>
      <c r="D22" s="70"/>
      <c r="E22" s="71"/>
      <c r="F22" s="65"/>
      <c r="G22" s="65"/>
      <c r="H22" s="65"/>
    </row>
    <row r="23" spans="1:8" ht="19" customHeight="1" x14ac:dyDescent="0.35">
      <c r="A23" s="71">
        <v>0</v>
      </c>
      <c r="B23" s="77">
        <v>0</v>
      </c>
      <c r="C23" s="65"/>
      <c r="D23" s="70"/>
      <c r="E23" s="71"/>
      <c r="F23" s="65"/>
      <c r="G23" s="65"/>
      <c r="H23" s="65"/>
    </row>
    <row r="24" spans="1:8" ht="19" customHeight="1" x14ac:dyDescent="0.35">
      <c r="A24" s="71">
        <v>0</v>
      </c>
      <c r="B24" s="77">
        <v>0</v>
      </c>
      <c r="C24" s="65"/>
      <c r="D24" s="70"/>
      <c r="E24" s="71"/>
      <c r="F24" s="65"/>
      <c r="G24" s="65"/>
      <c r="H24" s="65"/>
    </row>
    <row r="25" spans="1:8" ht="19" customHeight="1" x14ac:dyDescent="0.35">
      <c r="A25" s="71">
        <v>0</v>
      </c>
      <c r="B25" s="77">
        <v>0</v>
      </c>
      <c r="C25" s="65"/>
      <c r="D25" s="70"/>
      <c r="E25" s="71"/>
      <c r="F25" s="65"/>
      <c r="G25" s="65"/>
      <c r="H25" s="65"/>
    </row>
    <row r="26" spans="1:8" ht="19" customHeight="1" x14ac:dyDescent="0.35">
      <c r="A26" s="71">
        <v>0</v>
      </c>
      <c r="B26" s="77">
        <v>0</v>
      </c>
      <c r="C26" s="65"/>
      <c r="D26" s="70"/>
      <c r="E26" s="71"/>
      <c r="F26" s="65"/>
      <c r="G26" s="65"/>
      <c r="H26" s="65"/>
    </row>
    <row r="27" spans="1:8" ht="19" customHeight="1" x14ac:dyDescent="0.35">
      <c r="A27" s="71">
        <v>0</v>
      </c>
      <c r="B27" s="77">
        <v>0</v>
      </c>
      <c r="C27" s="65"/>
      <c r="D27" s="70"/>
      <c r="E27" s="71"/>
      <c r="F27" s="65"/>
      <c r="G27" s="65"/>
      <c r="H27" s="65"/>
    </row>
    <row r="28" spans="1:8" ht="19" customHeight="1" x14ac:dyDescent="0.35">
      <c r="A28" s="71">
        <v>0</v>
      </c>
      <c r="B28" s="77">
        <v>0</v>
      </c>
      <c r="C28" s="65"/>
      <c r="D28" s="70"/>
      <c r="E28" s="71"/>
      <c r="F28" s="65"/>
      <c r="G28" s="65"/>
      <c r="H28" s="65"/>
    </row>
    <row r="29" spans="1:8" ht="19" customHeight="1" x14ac:dyDescent="0.35">
      <c r="A29" s="71">
        <v>0</v>
      </c>
      <c r="B29" s="77">
        <v>0</v>
      </c>
      <c r="C29" s="65"/>
      <c r="D29" s="70"/>
      <c r="E29" s="71"/>
      <c r="F29" s="65"/>
      <c r="G29" s="65"/>
      <c r="H29" s="65"/>
    </row>
    <row r="30" spans="1:8" ht="19" customHeight="1" x14ac:dyDescent="0.35">
      <c r="A30" s="71">
        <v>0</v>
      </c>
      <c r="B30" s="77">
        <v>0</v>
      </c>
      <c r="C30" s="65"/>
      <c r="D30" s="70"/>
      <c r="E30" s="71"/>
      <c r="F30" s="65"/>
      <c r="G30" s="65"/>
      <c r="H30" s="65"/>
    </row>
    <row r="31" spans="1:8" ht="19" customHeight="1" x14ac:dyDescent="0.35">
      <c r="A31" s="71">
        <v>0</v>
      </c>
      <c r="B31" s="77">
        <v>0</v>
      </c>
      <c r="C31" s="65"/>
      <c r="D31" s="70"/>
      <c r="E31" s="71"/>
      <c r="F31" s="65"/>
      <c r="G31" s="65"/>
      <c r="H31" s="65"/>
    </row>
    <row r="32" spans="1:8" ht="19" customHeight="1" x14ac:dyDescent="0.35">
      <c r="A32" s="65"/>
      <c r="B32" s="65"/>
      <c r="C32" s="65"/>
      <c r="D32" s="70"/>
      <c r="E32" s="73"/>
      <c r="F32" s="65"/>
      <c r="G32" s="65"/>
      <c r="H32" s="65"/>
    </row>
    <row r="33" spans="1:8" ht="19" customHeight="1" x14ac:dyDescent="0.35">
      <c r="A33" s="65"/>
      <c r="B33" s="65"/>
      <c r="C33" s="65"/>
      <c r="D33" s="65"/>
      <c r="E33" s="65"/>
      <c r="F33" s="65"/>
      <c r="G33" s="65"/>
      <c r="H33" s="65"/>
    </row>
    <row r="34" spans="1:8" ht="23" customHeight="1" x14ac:dyDescent="0.35">
      <c r="A34" s="297" t="s">
        <v>376</v>
      </c>
      <c r="B34" s="297"/>
      <c r="C34" s="297"/>
      <c r="D34" s="297"/>
      <c r="E34" s="297"/>
      <c r="F34" s="297"/>
      <c r="G34" s="297"/>
      <c r="H34" s="297"/>
    </row>
    <row r="35" spans="1:8" ht="31" customHeight="1" x14ac:dyDescent="0.35">
      <c r="A35" s="79" t="s">
        <v>377</v>
      </c>
      <c r="B35" s="80" t="s">
        <v>378</v>
      </c>
      <c r="C35" s="80" t="s">
        <v>375</v>
      </c>
      <c r="D35" s="80" t="s">
        <v>373</v>
      </c>
      <c r="E35" s="80" t="s">
        <v>374</v>
      </c>
      <c r="F35" s="80" t="s">
        <v>70</v>
      </c>
      <c r="G35" s="80" t="s">
        <v>379</v>
      </c>
      <c r="H35" s="81" t="s">
        <v>341</v>
      </c>
    </row>
    <row r="36" spans="1:8" ht="19" customHeight="1" x14ac:dyDescent="0.35">
      <c r="A36" s="84" t="s">
        <v>359</v>
      </c>
      <c r="B36" s="93">
        <f>'Prepayment Engine'!$D$2</f>
        <v>80559.31935518072</v>
      </c>
      <c r="C36" s="93" t="s">
        <v>380</v>
      </c>
      <c r="D36" s="96" cm="1">
        <f t="array" ref="D36">IFERROR(_xlfn.XMATCH(TRUE,'Prepayment Engine'!$H$2:$H$481&lt;=0.01,0),480)</f>
        <v>240</v>
      </c>
      <c r="E36" s="99">
        <f>D36/12</f>
        <v>20</v>
      </c>
      <c r="F36" s="93">
        <f>SUM('Prepayment Engine'!$E$2:$E$481)</f>
        <v>9334236.6452433839</v>
      </c>
      <c r="G36" s="101">
        <f>$F$36-F36</f>
        <v>0</v>
      </c>
      <c r="H36" s="102">
        <f>SUM('Prepayment Engine'!$G$2:$G$481)</f>
        <v>0</v>
      </c>
    </row>
    <row r="37" spans="1:8" ht="19" customHeight="1" x14ac:dyDescent="0.35">
      <c r="A37" s="85" t="s">
        <v>365</v>
      </c>
      <c r="B37" s="94">
        <f>'Prepayment Engine'!$L$2</f>
        <v>80559.31935518072</v>
      </c>
      <c r="C37" s="94" t="s">
        <v>380</v>
      </c>
      <c r="D37" s="97" cm="1">
        <f t="array" ref="D37">IFERROR(_xlfn.XMATCH(TRUE,'Prepayment Engine'!$P$2:$P$481&lt;=0.01,0),480)</f>
        <v>240</v>
      </c>
      <c r="E37" s="86">
        <f>D37/12</f>
        <v>20</v>
      </c>
      <c r="F37" s="94">
        <f>SUM('Prepayment Engine'!$M$2:$M$481)</f>
        <v>8174392.0817872379</v>
      </c>
      <c r="G37" s="103">
        <f>$F$36-F37</f>
        <v>1159844.563456146</v>
      </c>
      <c r="H37" s="104">
        <f>SUM('Prepayment Engine'!$O$2:$O$481)</f>
        <v>1500000</v>
      </c>
    </row>
    <row r="38" spans="1:8" ht="19" customHeight="1" x14ac:dyDescent="0.35">
      <c r="A38" s="85" t="s">
        <v>366</v>
      </c>
      <c r="B38" s="94">
        <f>'Prepayment Engine'!$T$2</f>
        <v>80559.31935518072</v>
      </c>
      <c r="C38" s="94" t="s">
        <v>380</v>
      </c>
      <c r="D38" s="97" cm="1">
        <f t="array" ref="D38">IFERROR(_xlfn.XMATCH(TRUE,'Prepayment Engine'!$X$2:$X$481&lt;=0.01,0),480)</f>
        <v>240</v>
      </c>
      <c r="E38" s="86">
        <f>D38/12</f>
        <v>20</v>
      </c>
      <c r="F38" s="94">
        <f>SUM('Prepayment Engine'!$U$2:$U$481)</f>
        <v>9334236.6452433839</v>
      </c>
      <c r="G38" s="103">
        <f>$F$36-F38</f>
        <v>0</v>
      </c>
      <c r="H38" s="104">
        <f>SUM('Prepayment Engine'!$W$2:$W$481)</f>
        <v>0</v>
      </c>
    </row>
    <row r="39" spans="1:8" ht="19" customHeight="1" x14ac:dyDescent="0.35">
      <c r="A39" s="85" t="s">
        <v>367</v>
      </c>
      <c r="B39" s="94">
        <f>'Prepayment Engine'!$AB$2</f>
        <v>80559.31935518072</v>
      </c>
      <c r="C39" s="94" cm="1">
        <f t="array" ref="C39">INDEX('Prepayment Engine'!$AB$2:$AB$481,$E$11)</f>
        <v>80559.31935518072</v>
      </c>
      <c r="D39" s="97" cm="1">
        <f t="array" ref="D39">IFERROR(_xlfn.XMATCH(TRUE,'Prepayment Engine'!$AF$2:$AF$481&lt;=0.01,0),480)</f>
        <v>223</v>
      </c>
      <c r="E39" s="86">
        <f>D39/12</f>
        <v>18.583333333333332</v>
      </c>
      <c r="F39" s="94">
        <f>SUM('Prepayment Engine'!$AC$2:$AC$481)</f>
        <v>7924399.3582179127</v>
      </c>
      <c r="G39" s="103">
        <f>$F$36-F39</f>
        <v>1409837.2870254712</v>
      </c>
      <c r="H39" s="104">
        <f>SUM('Prepayment Engine'!$AE$2:$AE$481)</f>
        <v>0</v>
      </c>
    </row>
    <row r="40" spans="1:8" ht="19" customHeight="1" x14ac:dyDescent="0.35">
      <c r="A40" s="87" t="s">
        <v>358</v>
      </c>
      <c r="B40" s="95">
        <f>'Prepayment Engine'!$AJ$2</f>
        <v>80559.31935518072</v>
      </c>
      <c r="C40" s="95" cm="1">
        <f t="array" ref="C40">INDEX('Prepayment Engine'!$AJ$2:$AJ$481,$E$11)</f>
        <v>67460.316473241648</v>
      </c>
      <c r="D40" s="98" cm="1">
        <f t="array" ref="D40">IFERROR(_xlfn.XMATCH(TRUE,'Prepayment Engine'!$AN$2:$AN$481&lt;=0.01,0),480)</f>
        <v>223</v>
      </c>
      <c r="E40" s="100">
        <f>D40/12</f>
        <v>18.583333333333332</v>
      </c>
      <c r="F40" s="95">
        <f>SUM('Prepayment Engine'!$AK$2:$AK$481)</f>
        <v>6993795.3448760286</v>
      </c>
      <c r="G40" s="95">
        <f>$F$36-F40</f>
        <v>2340441.3003673553</v>
      </c>
      <c r="H40" s="95">
        <f>SUM('Prepayment Engine'!$AM$2:$AM$481)</f>
        <v>1500000</v>
      </c>
    </row>
    <row r="41" spans="1:8" ht="19" customHeight="1" x14ac:dyDescent="0.35">
      <c r="A41" s="65"/>
      <c r="B41" s="65"/>
      <c r="C41" s="65"/>
      <c r="D41" s="65"/>
      <c r="E41" s="65"/>
      <c r="F41" s="65"/>
      <c r="G41" s="65"/>
      <c r="H41" s="65"/>
    </row>
    <row r="42" spans="1:8" ht="19" customHeight="1" x14ac:dyDescent="0.35">
      <c r="A42" s="65"/>
      <c r="B42" s="65"/>
      <c r="C42" s="65"/>
      <c r="D42" s="65"/>
      <c r="E42" s="65"/>
      <c r="F42" s="65"/>
      <c r="G42" s="65"/>
      <c r="H42" s="65"/>
    </row>
    <row r="43" spans="1:8" ht="19" customHeight="1" x14ac:dyDescent="0.35">
      <c r="A43" s="65"/>
      <c r="B43" s="65"/>
      <c r="C43" s="65"/>
      <c r="D43" s="65"/>
      <c r="E43" s="65"/>
      <c r="F43" s="65"/>
      <c r="G43" s="65"/>
      <c r="H43" s="65"/>
    </row>
    <row r="44" spans="1:8" ht="23" customHeight="1" x14ac:dyDescent="0.35">
      <c r="A44" s="297" t="s">
        <v>180</v>
      </c>
      <c r="B44" s="297"/>
      <c r="C44" s="297"/>
      <c r="D44" s="297"/>
      <c r="E44" s="297"/>
      <c r="F44" s="297"/>
      <c r="G44" s="297"/>
      <c r="H44" s="297"/>
    </row>
    <row r="45" spans="1:8" s="20" customFormat="1" ht="58" customHeight="1" x14ac:dyDescent="0.35">
      <c r="A45" s="301" t="s">
        <v>385</v>
      </c>
      <c r="B45" s="301"/>
      <c r="C45" s="301"/>
      <c r="D45" s="301"/>
      <c r="E45" s="301"/>
      <c r="F45" s="301"/>
      <c r="G45" s="301"/>
      <c r="H45" s="301"/>
    </row>
    <row r="46" spans="1:8" s="20" customFormat="1" ht="19" customHeight="1" x14ac:dyDescent="0.35">
      <c r="A46" s="302"/>
      <c r="B46" s="302"/>
      <c r="C46" s="302"/>
      <c r="D46" s="302"/>
      <c r="E46" s="302"/>
      <c r="F46" s="302"/>
      <c r="G46" s="302"/>
      <c r="H46" s="302"/>
    </row>
    <row r="47" spans="1:8" s="20" customFormat="1" ht="19" customHeight="1" x14ac:dyDescent="0.35">
      <c r="A47" s="302"/>
      <c r="B47" s="302"/>
      <c r="C47" s="302"/>
      <c r="D47" s="302"/>
      <c r="E47" s="302"/>
      <c r="F47" s="302"/>
      <c r="G47" s="302"/>
      <c r="H47" s="302"/>
    </row>
    <row r="48" spans="1:8" s="20" customFormat="1" ht="19" customHeight="1" x14ac:dyDescent="0.35">
      <c r="A48" s="302"/>
      <c r="B48" s="302"/>
      <c r="C48" s="302"/>
      <c r="D48" s="302"/>
      <c r="E48" s="302"/>
      <c r="F48" s="302"/>
      <c r="G48" s="302"/>
      <c r="H48" s="302"/>
    </row>
    <row r="49" spans="1:8" s="20" customFormat="1" ht="19" customHeight="1" x14ac:dyDescent="0.35">
      <c r="A49" s="302"/>
      <c r="B49" s="302"/>
      <c r="C49" s="302"/>
      <c r="D49" s="302"/>
      <c r="E49" s="302"/>
      <c r="F49" s="302"/>
      <c r="G49" s="302"/>
      <c r="H49" s="302"/>
    </row>
    <row r="50" spans="1:8" s="20" customFormat="1" ht="19" customHeight="1" x14ac:dyDescent="0.35">
      <c r="A50" s="302"/>
      <c r="B50" s="302"/>
      <c r="C50" s="302"/>
      <c r="D50" s="302"/>
      <c r="E50" s="302"/>
      <c r="F50" s="302"/>
      <c r="G50" s="302"/>
      <c r="H50" s="302"/>
    </row>
    <row r="51" spans="1:8" ht="19" customHeight="1" x14ac:dyDescent="0.35">
      <c r="A51" s="65"/>
      <c r="B51" s="65"/>
      <c r="C51" s="65"/>
      <c r="D51" s="65"/>
      <c r="E51" s="65"/>
      <c r="F51" s="65"/>
      <c r="G51" s="65"/>
      <c r="H51" s="65"/>
    </row>
    <row r="52" spans="1:8" ht="19" customHeight="1" x14ac:dyDescent="0.35">
      <c r="A52" s="65"/>
      <c r="B52" s="65"/>
      <c r="C52" s="65"/>
      <c r="D52" s="65"/>
      <c r="E52" s="65"/>
      <c r="F52" s="65"/>
      <c r="G52" s="65"/>
      <c r="H52" s="65"/>
    </row>
    <row r="53" spans="1:8" ht="19" customHeight="1" x14ac:dyDescent="0.35">
      <c r="A53" s="300" t="s">
        <v>135</v>
      </c>
      <c r="B53" s="300"/>
      <c r="C53" s="300"/>
      <c r="D53" s="300"/>
      <c r="E53" s="300"/>
      <c r="F53" s="300"/>
      <c r="G53" s="300"/>
      <c r="H53" s="300"/>
    </row>
    <row r="54" spans="1:8" s="20" customFormat="1" ht="23" customHeight="1" x14ac:dyDescent="0.35">
      <c r="A54" s="303" t="s">
        <v>356</v>
      </c>
      <c r="B54" s="303"/>
      <c r="C54" s="303"/>
      <c r="D54" s="303"/>
      <c r="E54" s="303"/>
      <c r="F54" s="303"/>
      <c r="G54" s="303"/>
      <c r="H54" s="303"/>
    </row>
    <row r="55" spans="1:8" s="20" customFormat="1" ht="48" customHeight="1" x14ac:dyDescent="0.35">
      <c r="A55" s="301"/>
      <c r="B55" s="301"/>
      <c r="C55" s="301"/>
      <c r="D55" s="301"/>
      <c r="E55" s="301"/>
      <c r="F55" s="301"/>
      <c r="G55" s="301"/>
      <c r="H55" s="301"/>
    </row>
    <row r="56" spans="1:8" s="20" customFormat="1" ht="19" customHeight="1" x14ac:dyDescent="0.35">
      <c r="A56" s="302"/>
      <c r="B56" s="302"/>
      <c r="C56" s="302"/>
      <c r="D56" s="302"/>
      <c r="E56" s="302"/>
      <c r="F56" s="302"/>
      <c r="G56" s="302"/>
      <c r="H56" s="302"/>
    </row>
    <row r="57" spans="1:8" s="20" customFormat="1" ht="19" customHeight="1" x14ac:dyDescent="0.35">
      <c r="A57" s="302"/>
      <c r="B57" s="302"/>
      <c r="C57" s="302"/>
      <c r="D57" s="302"/>
      <c r="E57" s="302"/>
      <c r="F57" s="302"/>
      <c r="G57" s="302"/>
      <c r="H57" s="302"/>
    </row>
    <row r="58" spans="1:8" s="20" customFormat="1" ht="19" customHeight="1" x14ac:dyDescent="0.35">
      <c r="A58" s="302"/>
      <c r="B58" s="302"/>
      <c r="C58" s="302"/>
      <c r="D58" s="302"/>
      <c r="E58" s="302"/>
      <c r="F58" s="302"/>
      <c r="G58" s="302"/>
      <c r="H58" s="302"/>
    </row>
    <row r="59" spans="1:8" s="20" customFormat="1" ht="19" customHeight="1" x14ac:dyDescent="0.35">
      <c r="A59" s="302"/>
      <c r="B59" s="302"/>
      <c r="C59" s="302"/>
      <c r="D59" s="302"/>
      <c r="E59" s="302"/>
      <c r="F59" s="302"/>
      <c r="G59" s="302"/>
      <c r="H59" s="302"/>
    </row>
    <row r="60" spans="1:8" ht="19" customHeight="1" x14ac:dyDescent="0.35">
      <c r="A60" s="65"/>
      <c r="B60" s="65"/>
      <c r="C60" s="65"/>
      <c r="D60" s="65"/>
      <c r="E60" s="65"/>
      <c r="F60" s="65"/>
      <c r="G60" s="65"/>
      <c r="H60" s="65"/>
    </row>
    <row r="61" spans="1:8" ht="19" customHeight="1" x14ac:dyDescent="0.35">
      <c r="A61" s="65"/>
      <c r="B61" s="65"/>
      <c r="C61" s="65"/>
      <c r="D61" s="65"/>
      <c r="E61" s="65"/>
      <c r="F61" s="65"/>
      <c r="G61" s="65"/>
      <c r="H61" s="65"/>
    </row>
    <row r="62" spans="1:8" ht="19" customHeight="1" x14ac:dyDescent="0.35">
      <c r="A62" s="300" t="s">
        <v>344</v>
      </c>
      <c r="B62" s="300"/>
      <c r="C62" s="300"/>
      <c r="D62" s="300"/>
      <c r="E62" s="300"/>
      <c r="F62" s="300"/>
      <c r="G62" s="300"/>
      <c r="H62" s="300"/>
    </row>
    <row r="63" spans="1:8" ht="23" customHeight="1" x14ac:dyDescent="0.35">
      <c r="A63" s="297" t="s">
        <v>381</v>
      </c>
      <c r="B63" s="297"/>
      <c r="C63" s="297"/>
      <c r="D63" s="297"/>
      <c r="E63" s="297"/>
      <c r="F63" s="297"/>
      <c r="G63" s="297"/>
      <c r="H63" s="297"/>
    </row>
    <row r="64" spans="1:8" ht="31" customHeight="1" x14ac:dyDescent="0.35">
      <c r="A64" s="82" t="s">
        <v>73</v>
      </c>
      <c r="B64" s="83" t="s">
        <v>74</v>
      </c>
      <c r="C64" s="83" t="s">
        <v>382</v>
      </c>
      <c r="D64" s="83" t="s">
        <v>75</v>
      </c>
      <c r="E64" s="83" t="s">
        <v>77</v>
      </c>
      <c r="F64" s="83" t="s">
        <v>76</v>
      </c>
      <c r="G64" s="83" t="s">
        <v>364</v>
      </c>
      <c r="H64" s="83" t="s">
        <v>78</v>
      </c>
    </row>
    <row r="65" spans="1:8" ht="19" customHeight="1" x14ac:dyDescent="0.35">
      <c r="A65" s="74">
        <v>1</v>
      </c>
      <c r="B65" s="105" cm="1">
        <f t="array" ref="B65">IF((A65-1)*12&lt;$H$6,INDEX('Prepayment Engine'!$A$2:$AN$481,(A65-1)*12+1,MATCH($H$13,'Prepayment Engine'!$A$1:$AN$1,0)+1),"")</f>
        <v>10000000</v>
      </c>
      <c r="C65" s="107" cm="1">
        <f t="array" ref="C65">IF((A65-1)*12&lt;$H$6,INDEX('Prepayment Engine'!$A$2:$AN$481,MIN(A65*12,$H$6),MATCH($H$13,'Prepayment Engine'!$A$1:$AN$1,0)+2),"")</f>
        <v>7.5</v>
      </c>
      <c r="D65" s="105">
        <f>IF((A65-1)*12&lt;$H$6,SUM(INDEX('Prepayment Engine'!$A$2:$AN$481,(A65-1)*12+1,MATCH($H$13,'Prepayment Engine'!$A$1:$AN$1,0)+3):INDEX('Prepayment Engine'!$A$2:$AN$481,MIN(A65*12,$H$6),MATCH($H$13,'Prepayment Engine'!$A$1:$AN$1,0)+3)),"")</f>
        <v>966711.83226216864</v>
      </c>
      <c r="E65" s="105">
        <f>IF((A65-1)*12&lt;$H$6,SUM(INDEX('Prepayment Engine'!$A$2:$AN$481,(A65-1)*12+1,MATCH($H$13,'Prepayment Engine'!$A$1:$AN$1,0)+4):INDEX('Prepayment Engine'!$A$2:$AN$481,MIN(A65*12,$H$6),MATCH($H$13,'Prepayment Engine'!$A$1:$AN$1,0)+4)),"")</f>
        <v>742393.12904397922</v>
      </c>
      <c r="F65" s="105">
        <f>IF((A65-1)*12&lt;$H$6,SUM(INDEX('Prepayment Engine'!$A$2:$AN$481,(A65-1)*12+1,MATCH($H$13,'Prepayment Engine'!$A$1:$AN$1,0)+5):INDEX('Prepayment Engine'!$A$2:$AN$481,MIN(A65*12,$H$6),MATCH($H$13,'Prepayment Engine'!$A$1:$AN$1,0)+5)),"")</f>
        <v>224318.70321818948</v>
      </c>
      <c r="G65" s="105">
        <f>IF((A65-1)*12&lt;$H$6,SUM(INDEX('Prepayment Engine'!$A$2:$AN$481,(A65-1)*12+1,MATCH($H$13,'Prepayment Engine'!$A$1:$AN$1,0)+6):INDEX('Prepayment Engine'!$A$2:$AN$481,MIN(A65*12,$H$6),MATCH($H$13,'Prepayment Engine'!$A$1:$AN$1,0)+6)),"")</f>
        <v>500000</v>
      </c>
      <c r="H65" s="105" cm="1">
        <f t="array" ref="H65">IF((A65-1)*12&lt;$H$6,INDEX('Prepayment Engine'!$A$2:$AN$481,MIN(A65*12,$H$6),MATCH($H$13,'Prepayment Engine'!$A$1:$AN$1,0)+7),"")</f>
        <v>9275681.2967818119</v>
      </c>
    </row>
    <row r="66" spans="1:8" ht="19" customHeight="1" x14ac:dyDescent="0.35">
      <c r="A66" s="74">
        <f t="shared" ref="A66:A94" si="0">A65+1</f>
        <v>2</v>
      </c>
      <c r="B66" s="105" cm="1">
        <f t="array" ref="B66">IF((A66-1)*12&lt;$H$6,INDEX('Prepayment Engine'!$A$2:$AN$481,(A66-1)*12+1,MATCH($H$13,'Prepayment Engine'!$A$1:$AN$1,0)+1),"")</f>
        <v>9275681.2967818119</v>
      </c>
      <c r="C66" s="107" cm="1">
        <f t="array" ref="C66">IF((A66-1)*12&lt;$H$6,INDEX('Prepayment Engine'!$A$2:$AN$481,MIN(A66*12,$H$6),MATCH($H$13,'Prepayment Engine'!$A$1:$AN$1,0)+2),"")</f>
        <v>7.5</v>
      </c>
      <c r="D66" s="105">
        <f>IF((A66-1)*12&lt;$H$6,SUM(INDEX('Prepayment Engine'!$A$2:$AN$481,(A66-1)*12+1,MATCH($H$13,'Prepayment Engine'!$A$1:$AN$1,0)+3):INDEX('Prepayment Engine'!$A$2:$AN$481,MIN(A66*12,$H$6),MATCH($H$13,'Prepayment Engine'!$A$1:$AN$1,0)+3)),"")</f>
        <v>917267.10289172514</v>
      </c>
      <c r="E66" s="105">
        <f>IF((A66-1)*12&lt;$H$6,SUM(INDEX('Prepayment Engine'!$A$2:$AN$481,(A66-1)*12+1,MATCH($H$13,'Prepayment Engine'!$A$1:$AN$1,0)+4):INDEX('Prepayment Engine'!$A$2:$AN$481,MIN(A66*12,$H$6),MATCH($H$13,'Prepayment Engine'!$A$1:$AN$1,0)+4)),"")</f>
        <v>687897.96088615293</v>
      </c>
      <c r="F66" s="105">
        <f>IF((A66-1)*12&lt;$H$6,SUM(INDEX('Prepayment Engine'!$A$2:$AN$481,(A66-1)*12+1,MATCH($H$13,'Prepayment Engine'!$A$1:$AN$1,0)+5):INDEX('Prepayment Engine'!$A$2:$AN$481,MIN(A66*12,$H$6),MATCH($H$13,'Prepayment Engine'!$A$1:$AN$1,0)+5)),"")</f>
        <v>229369.14200557224</v>
      </c>
      <c r="G66" s="105">
        <f>IF((A66-1)*12&lt;$H$6,SUM(INDEX('Prepayment Engine'!$A$2:$AN$481,(A66-1)*12+1,MATCH($H$13,'Prepayment Engine'!$A$1:$AN$1,0)+6):INDEX('Prepayment Engine'!$A$2:$AN$481,MIN(A66*12,$H$6),MATCH($H$13,'Prepayment Engine'!$A$1:$AN$1,0)+6)),"")</f>
        <v>0</v>
      </c>
      <c r="H66" s="105" cm="1">
        <f t="array" ref="H66">IF((A66-1)*12&lt;$H$6,INDEX('Prepayment Engine'!$A$2:$AN$481,MIN(A66*12,$H$6),MATCH($H$13,'Prepayment Engine'!$A$1:$AN$1,0)+7),"")</f>
        <v>9046312.1547762398</v>
      </c>
    </row>
    <row r="67" spans="1:8" ht="19" customHeight="1" x14ac:dyDescent="0.35">
      <c r="A67" s="74">
        <f t="shared" si="0"/>
        <v>3</v>
      </c>
      <c r="B67" s="105" cm="1">
        <f t="array" ref="B67">IF((A67-1)*12&lt;$H$6,INDEX('Prepayment Engine'!$A$2:$AN$481,(A67-1)*12+1,MATCH($H$13,'Prepayment Engine'!$A$1:$AN$1,0)+1),"")</f>
        <v>9046312.1547762398</v>
      </c>
      <c r="C67" s="107" cm="1">
        <f t="array" ref="C67">IF((A67-1)*12&lt;$H$6,INDEX('Prepayment Engine'!$A$2:$AN$481,MIN(A67*12,$H$6),MATCH($H$13,'Prepayment Engine'!$A$1:$AN$1,0)+2),"")</f>
        <v>7.5</v>
      </c>
      <c r="D67" s="105">
        <f>IF((A67-1)*12&lt;$H$6,SUM(INDEX('Prepayment Engine'!$A$2:$AN$481,(A67-1)*12+1,MATCH($H$13,'Prepayment Engine'!$A$1:$AN$1,0)+3):INDEX('Prepayment Engine'!$A$2:$AN$481,MIN(A67*12,$H$6),MATCH($H$13,'Prepayment Engine'!$A$1:$AN$1,0)+3)),"")</f>
        <v>917267.10289172514</v>
      </c>
      <c r="E67" s="105">
        <f>IF((A67-1)*12&lt;$H$6,SUM(INDEX('Prepayment Engine'!$A$2:$AN$481,(A67-1)*12+1,MATCH($H$13,'Prepayment Engine'!$A$1:$AN$1,0)+4):INDEX('Prepayment Engine'!$A$2:$AN$481,MIN(A67*12,$H$6),MATCH($H$13,'Prepayment Engine'!$A$1:$AN$1,0)+4)),"")</f>
        <v>670091.43829488242</v>
      </c>
      <c r="F67" s="105">
        <f>IF((A67-1)*12&lt;$H$6,SUM(INDEX('Prepayment Engine'!$A$2:$AN$481,(A67-1)*12+1,MATCH($H$13,'Prepayment Engine'!$A$1:$AN$1,0)+5):INDEX('Prepayment Engine'!$A$2:$AN$481,MIN(A67*12,$H$6),MATCH($H$13,'Prepayment Engine'!$A$1:$AN$1,0)+5)),"")</f>
        <v>247175.66459684269</v>
      </c>
      <c r="G67" s="105">
        <f>IF((A67-1)*12&lt;$H$6,SUM(INDEX('Prepayment Engine'!$A$2:$AN$481,(A67-1)*12+1,MATCH($H$13,'Prepayment Engine'!$A$1:$AN$1,0)+6):INDEX('Prepayment Engine'!$A$2:$AN$481,MIN(A67*12,$H$6),MATCH($H$13,'Prepayment Engine'!$A$1:$AN$1,0)+6)),"")</f>
        <v>500000</v>
      </c>
      <c r="H67" s="105" cm="1">
        <f t="array" ref="H67">IF((A67-1)*12&lt;$H$6,INDEX('Prepayment Engine'!$A$2:$AN$481,MIN(A67*12,$H$6),MATCH($H$13,'Prepayment Engine'!$A$1:$AN$1,0)+7),"")</f>
        <v>8299136.4901793972</v>
      </c>
    </row>
    <row r="68" spans="1:8" ht="19" customHeight="1" x14ac:dyDescent="0.35">
      <c r="A68" s="74">
        <f t="shared" si="0"/>
        <v>4</v>
      </c>
      <c r="B68" s="105" cm="1">
        <f t="array" ref="B68">IF((A68-1)*12&lt;$H$6,INDEX('Prepayment Engine'!$A$2:$AN$481,(A68-1)*12+1,MATCH($H$13,'Prepayment Engine'!$A$1:$AN$1,0)+1),"")</f>
        <v>8299136.4901793972</v>
      </c>
      <c r="C68" s="107" cm="1">
        <f t="array" ref="C68">IF((A68-1)*12&lt;$H$6,INDEX('Prepayment Engine'!$A$2:$AN$481,MIN(A68*12,$H$6),MATCH($H$13,'Prepayment Engine'!$A$1:$AN$1,0)+2),"")</f>
        <v>7.5</v>
      </c>
      <c r="D68" s="105">
        <f>IF((A68-1)*12&lt;$H$6,SUM(INDEX('Prepayment Engine'!$A$2:$AN$481,(A68-1)*12+1,MATCH($H$13,'Prepayment Engine'!$A$1:$AN$1,0)+3):INDEX('Prepayment Engine'!$A$2:$AN$481,MIN(A68*12,$H$6),MATCH($H$13,'Prepayment Engine'!$A$1:$AN$1,0)+3)),"")</f>
        <v>865144.53927906405</v>
      </c>
      <c r="E68" s="105">
        <f>IF((A68-1)*12&lt;$H$6,SUM(INDEX('Prepayment Engine'!$A$2:$AN$481,(A68-1)*12+1,MATCH($H$13,'Prepayment Engine'!$A$1:$AN$1,0)+4):INDEX('Prepayment Engine'!$A$2:$AN$481,MIN(A68*12,$H$6),MATCH($H$13,'Prepayment Engine'!$A$1:$AN$1,0)+4)),"")</f>
        <v>613915.82033478213</v>
      </c>
      <c r="F68" s="105">
        <f>IF((A68-1)*12&lt;$H$6,SUM(INDEX('Prepayment Engine'!$A$2:$AN$481,(A68-1)*12+1,MATCH($H$13,'Prepayment Engine'!$A$1:$AN$1,0)+5):INDEX('Prepayment Engine'!$A$2:$AN$481,MIN(A68*12,$H$6),MATCH($H$13,'Prepayment Engine'!$A$1:$AN$1,0)+5)),"")</f>
        <v>251228.7189442821</v>
      </c>
      <c r="G68" s="105">
        <f>IF((A68-1)*12&lt;$H$6,SUM(INDEX('Prepayment Engine'!$A$2:$AN$481,(A68-1)*12+1,MATCH($H$13,'Prepayment Engine'!$A$1:$AN$1,0)+6):INDEX('Prepayment Engine'!$A$2:$AN$481,MIN(A68*12,$H$6),MATCH($H$13,'Prepayment Engine'!$A$1:$AN$1,0)+6)),"")</f>
        <v>0</v>
      </c>
      <c r="H68" s="105" cm="1">
        <f t="array" ref="H68">IF((A68-1)*12&lt;$H$6,INDEX('Prepayment Engine'!$A$2:$AN$481,MIN(A68*12,$H$6),MATCH($H$13,'Prepayment Engine'!$A$1:$AN$1,0)+7),"")</f>
        <v>8047907.771235114</v>
      </c>
    </row>
    <row r="69" spans="1:8" ht="19" customHeight="1" x14ac:dyDescent="0.35">
      <c r="A69" s="74">
        <f t="shared" si="0"/>
        <v>5</v>
      </c>
      <c r="B69" s="105" cm="1">
        <f t="array" ref="B69">IF((A69-1)*12&lt;$H$6,INDEX('Prepayment Engine'!$A$2:$AN$481,(A69-1)*12+1,MATCH($H$13,'Prepayment Engine'!$A$1:$AN$1,0)+1),"")</f>
        <v>8047907.771235114</v>
      </c>
      <c r="C69" s="107" cm="1">
        <f t="array" ref="C69">IF((A69-1)*12&lt;$H$6,INDEX('Prepayment Engine'!$A$2:$AN$481,MIN(A69*12,$H$6),MATCH($H$13,'Prepayment Engine'!$A$1:$AN$1,0)+2),"")</f>
        <v>7.5</v>
      </c>
      <c r="D69" s="105">
        <f>IF((A69-1)*12&lt;$H$6,SUM(INDEX('Prepayment Engine'!$A$2:$AN$481,(A69-1)*12+1,MATCH($H$13,'Prepayment Engine'!$A$1:$AN$1,0)+3):INDEX('Prepayment Engine'!$A$2:$AN$481,MIN(A69*12,$H$6),MATCH($H$13,'Prepayment Engine'!$A$1:$AN$1,0)+3)),"")</f>
        <v>865144.53927906405</v>
      </c>
      <c r="E69" s="105">
        <f>IF((A69-1)*12&lt;$H$6,SUM(INDEX('Prepayment Engine'!$A$2:$AN$481,(A69-1)*12+1,MATCH($H$13,'Prepayment Engine'!$A$1:$AN$1,0)+4):INDEX('Prepayment Engine'!$A$2:$AN$481,MIN(A69*12,$H$6),MATCH($H$13,'Prepayment Engine'!$A$1:$AN$1,0)+4)),"")</f>
        <v>594412.2819758663</v>
      </c>
      <c r="F69" s="105">
        <f>IF((A69-1)*12&lt;$H$6,SUM(INDEX('Prepayment Engine'!$A$2:$AN$481,(A69-1)*12+1,MATCH($H$13,'Prepayment Engine'!$A$1:$AN$1,0)+5):INDEX('Prepayment Engine'!$A$2:$AN$481,MIN(A69*12,$H$6),MATCH($H$13,'Prepayment Engine'!$A$1:$AN$1,0)+5)),"")</f>
        <v>270732.25730319798</v>
      </c>
      <c r="G69" s="105">
        <f>IF((A69-1)*12&lt;$H$6,SUM(INDEX('Prepayment Engine'!$A$2:$AN$481,(A69-1)*12+1,MATCH($H$13,'Prepayment Engine'!$A$1:$AN$1,0)+6):INDEX('Prepayment Engine'!$A$2:$AN$481,MIN(A69*12,$H$6),MATCH($H$13,'Prepayment Engine'!$A$1:$AN$1,0)+6)),"")</f>
        <v>500000</v>
      </c>
      <c r="H69" s="105" cm="1">
        <f t="array" ref="H69">IF((A69-1)*12&lt;$H$6,INDEX('Prepayment Engine'!$A$2:$AN$481,MIN(A69*12,$H$6),MATCH($H$13,'Prepayment Engine'!$A$1:$AN$1,0)+7),"")</f>
        <v>7277175.5139319152</v>
      </c>
    </row>
    <row r="70" spans="1:8" ht="19" customHeight="1" x14ac:dyDescent="0.35">
      <c r="A70" s="74">
        <f t="shared" si="0"/>
        <v>6</v>
      </c>
      <c r="B70" s="105" cm="1">
        <f t="array" ref="B70">IF((A70-1)*12&lt;$H$6,INDEX('Prepayment Engine'!$A$2:$AN$481,(A70-1)*12+1,MATCH($H$13,'Prepayment Engine'!$A$1:$AN$1,0)+1),"")</f>
        <v>7277175.5139319152</v>
      </c>
      <c r="C70" s="107" cm="1">
        <f t="array" ref="C70">IF((A70-1)*12&lt;$H$6,INDEX('Prepayment Engine'!$A$2:$AN$481,MIN(A70*12,$H$6),MATCH($H$13,'Prepayment Engine'!$A$1:$AN$1,0)+2),"")</f>
        <v>6.5</v>
      </c>
      <c r="D70" s="105">
        <f>IF((A70-1)*12&lt;$H$6,SUM(INDEX('Prepayment Engine'!$A$2:$AN$481,(A70-1)*12+1,MATCH($H$13,'Prepayment Engine'!$A$1:$AN$1,0)+3):INDEX('Prepayment Engine'!$A$2:$AN$481,MIN(A70*12,$H$6),MATCH($H$13,'Prepayment Engine'!$A$1:$AN$1,0)+3)),"")</f>
        <v>809523.79767889983</v>
      </c>
      <c r="E70" s="105">
        <f>IF((A70-1)*12&lt;$H$6,SUM(INDEX('Prepayment Engine'!$A$2:$AN$481,(A70-1)*12+1,MATCH($H$13,'Prepayment Engine'!$A$1:$AN$1,0)+4):INDEX('Prepayment Engine'!$A$2:$AN$481,MIN(A70*12,$H$6),MATCH($H$13,'Prepayment Engine'!$A$1:$AN$1,0)+4)),"")</f>
        <v>462808.0581069683</v>
      </c>
      <c r="F70" s="105">
        <f>IF((A70-1)*12&lt;$H$6,SUM(INDEX('Prepayment Engine'!$A$2:$AN$481,(A70-1)*12+1,MATCH($H$13,'Prepayment Engine'!$A$1:$AN$1,0)+5):INDEX('Prepayment Engine'!$A$2:$AN$481,MIN(A70*12,$H$6),MATCH($H$13,'Prepayment Engine'!$A$1:$AN$1,0)+5)),"")</f>
        <v>346715.73957193148</v>
      </c>
      <c r="G70" s="105">
        <f>IF((A70-1)*12&lt;$H$6,SUM(INDEX('Prepayment Engine'!$A$2:$AN$481,(A70-1)*12+1,MATCH($H$13,'Prepayment Engine'!$A$1:$AN$1,0)+6):INDEX('Prepayment Engine'!$A$2:$AN$481,MIN(A70*12,$H$6),MATCH($H$13,'Prepayment Engine'!$A$1:$AN$1,0)+6)),"")</f>
        <v>0</v>
      </c>
      <c r="H70" s="105" cm="1">
        <f t="array" ref="H70">IF((A70-1)*12&lt;$H$6,INDEX('Prepayment Engine'!$A$2:$AN$481,MIN(A70*12,$H$6),MATCH($H$13,'Prepayment Engine'!$A$1:$AN$1,0)+7),"")</f>
        <v>6930459.7743599825</v>
      </c>
    </row>
    <row r="71" spans="1:8" ht="19" customHeight="1" x14ac:dyDescent="0.35">
      <c r="A71" s="74">
        <f t="shared" si="0"/>
        <v>7</v>
      </c>
      <c r="B71" s="105" cm="1">
        <f t="array" ref="B71">IF((A71-1)*12&lt;$H$6,INDEX('Prepayment Engine'!$A$2:$AN$481,(A71-1)*12+1,MATCH($H$13,'Prepayment Engine'!$A$1:$AN$1,0)+1),"")</f>
        <v>6930459.7743599825</v>
      </c>
      <c r="C71" s="107" cm="1">
        <f t="array" ref="C71">IF((A71-1)*12&lt;$H$6,INDEX('Prepayment Engine'!$A$2:$AN$481,MIN(A71*12,$H$6),MATCH($H$13,'Prepayment Engine'!$A$1:$AN$1,0)+2),"")</f>
        <v>6.5</v>
      </c>
      <c r="D71" s="105">
        <f>IF((A71-1)*12&lt;$H$6,SUM(INDEX('Prepayment Engine'!$A$2:$AN$481,(A71-1)*12+1,MATCH($H$13,'Prepayment Engine'!$A$1:$AN$1,0)+3):INDEX('Prepayment Engine'!$A$2:$AN$481,MIN(A71*12,$H$6),MATCH($H$13,'Prepayment Engine'!$A$1:$AN$1,0)+3)),"")</f>
        <v>809523.79767889983</v>
      </c>
      <c r="E71" s="105">
        <f>IF((A71-1)*12&lt;$H$6,SUM(INDEX('Prepayment Engine'!$A$2:$AN$481,(A71-1)*12+1,MATCH($H$13,'Prepayment Engine'!$A$1:$AN$1,0)+4):INDEX('Prepayment Engine'!$A$2:$AN$481,MIN(A71*12,$H$6),MATCH($H$13,'Prepayment Engine'!$A$1:$AN$1,0)+4)),"")</f>
        <v>439587.86290940433</v>
      </c>
      <c r="F71" s="105">
        <f>IF((A71-1)*12&lt;$H$6,SUM(INDEX('Prepayment Engine'!$A$2:$AN$481,(A71-1)*12+1,MATCH($H$13,'Prepayment Engine'!$A$1:$AN$1,0)+5):INDEX('Prepayment Engine'!$A$2:$AN$481,MIN(A71*12,$H$6),MATCH($H$13,'Prepayment Engine'!$A$1:$AN$1,0)+5)),"")</f>
        <v>369935.93476949551</v>
      </c>
      <c r="G71" s="105">
        <f>IF((A71-1)*12&lt;$H$6,SUM(INDEX('Prepayment Engine'!$A$2:$AN$481,(A71-1)*12+1,MATCH($H$13,'Prepayment Engine'!$A$1:$AN$1,0)+6):INDEX('Prepayment Engine'!$A$2:$AN$481,MIN(A71*12,$H$6),MATCH($H$13,'Prepayment Engine'!$A$1:$AN$1,0)+6)),"")</f>
        <v>0</v>
      </c>
      <c r="H71" s="105" cm="1">
        <f t="array" ref="H71">IF((A71-1)*12&lt;$H$6,INDEX('Prepayment Engine'!$A$2:$AN$481,MIN(A71*12,$H$6),MATCH($H$13,'Prepayment Engine'!$A$1:$AN$1,0)+7),"")</f>
        <v>6560523.8395904861</v>
      </c>
    </row>
    <row r="72" spans="1:8" ht="19" customHeight="1" x14ac:dyDescent="0.35">
      <c r="A72" s="74">
        <f t="shared" si="0"/>
        <v>8</v>
      </c>
      <c r="B72" s="105" cm="1">
        <f t="array" ref="B72">IF((A72-1)*12&lt;$H$6,INDEX('Prepayment Engine'!$A$2:$AN$481,(A72-1)*12+1,MATCH($H$13,'Prepayment Engine'!$A$1:$AN$1,0)+1),"")</f>
        <v>6560523.8395904861</v>
      </c>
      <c r="C72" s="107" cm="1">
        <f t="array" ref="C72">IF((A72-1)*12&lt;$H$6,INDEX('Prepayment Engine'!$A$2:$AN$481,MIN(A72*12,$H$6),MATCH($H$13,'Prepayment Engine'!$A$1:$AN$1,0)+2),"")</f>
        <v>6.5</v>
      </c>
      <c r="D72" s="105">
        <f>IF((A72-1)*12&lt;$H$6,SUM(INDEX('Prepayment Engine'!$A$2:$AN$481,(A72-1)*12+1,MATCH($H$13,'Prepayment Engine'!$A$1:$AN$1,0)+3):INDEX('Prepayment Engine'!$A$2:$AN$481,MIN(A72*12,$H$6),MATCH($H$13,'Prepayment Engine'!$A$1:$AN$1,0)+3)),"")</f>
        <v>809523.79767889983</v>
      </c>
      <c r="E72" s="105">
        <f>IF((A72-1)*12&lt;$H$6,SUM(INDEX('Prepayment Engine'!$A$2:$AN$481,(A72-1)*12+1,MATCH($H$13,'Prepayment Engine'!$A$1:$AN$1,0)+4):INDEX('Prepayment Engine'!$A$2:$AN$481,MIN(A72*12,$H$6),MATCH($H$13,'Prepayment Engine'!$A$1:$AN$1,0)+4)),"")</f>
        <v>414812.56823559897</v>
      </c>
      <c r="F72" s="105">
        <f>IF((A72-1)*12&lt;$H$6,SUM(INDEX('Prepayment Engine'!$A$2:$AN$481,(A72-1)*12+1,MATCH($H$13,'Prepayment Engine'!$A$1:$AN$1,0)+5):INDEX('Prepayment Engine'!$A$2:$AN$481,MIN(A72*12,$H$6),MATCH($H$13,'Prepayment Engine'!$A$1:$AN$1,0)+5)),"")</f>
        <v>394711.22944330086</v>
      </c>
      <c r="G72" s="105">
        <f>IF((A72-1)*12&lt;$H$6,SUM(INDEX('Prepayment Engine'!$A$2:$AN$481,(A72-1)*12+1,MATCH($H$13,'Prepayment Engine'!$A$1:$AN$1,0)+6):INDEX('Prepayment Engine'!$A$2:$AN$481,MIN(A72*12,$H$6),MATCH($H$13,'Prepayment Engine'!$A$1:$AN$1,0)+6)),"")</f>
        <v>0</v>
      </c>
      <c r="H72" s="105" cm="1">
        <f t="array" ref="H72">IF((A72-1)*12&lt;$H$6,INDEX('Prepayment Engine'!$A$2:$AN$481,MIN(A72*12,$H$6),MATCH($H$13,'Prepayment Engine'!$A$1:$AN$1,0)+7),"")</f>
        <v>6165812.6101471866</v>
      </c>
    </row>
    <row r="73" spans="1:8" ht="19" customHeight="1" x14ac:dyDescent="0.35">
      <c r="A73" s="74">
        <f t="shared" si="0"/>
        <v>9</v>
      </c>
      <c r="B73" s="105" cm="1">
        <f t="array" ref="B73">IF((A73-1)*12&lt;$H$6,INDEX('Prepayment Engine'!$A$2:$AN$481,(A73-1)*12+1,MATCH($H$13,'Prepayment Engine'!$A$1:$AN$1,0)+1),"")</f>
        <v>6165812.6101471866</v>
      </c>
      <c r="C73" s="107" cm="1">
        <f t="array" ref="C73">IF((A73-1)*12&lt;$H$6,INDEX('Prepayment Engine'!$A$2:$AN$481,MIN(A73*12,$H$6),MATCH($H$13,'Prepayment Engine'!$A$1:$AN$1,0)+2),"")</f>
        <v>6.5</v>
      </c>
      <c r="D73" s="105">
        <f>IF((A73-1)*12&lt;$H$6,SUM(INDEX('Prepayment Engine'!$A$2:$AN$481,(A73-1)*12+1,MATCH($H$13,'Prepayment Engine'!$A$1:$AN$1,0)+3):INDEX('Prepayment Engine'!$A$2:$AN$481,MIN(A73*12,$H$6),MATCH($H$13,'Prepayment Engine'!$A$1:$AN$1,0)+3)),"")</f>
        <v>809523.79767889983</v>
      </c>
      <c r="E73" s="105">
        <f>IF((A73-1)*12&lt;$H$6,SUM(INDEX('Prepayment Engine'!$A$2:$AN$481,(A73-1)*12+1,MATCH($H$13,'Prepayment Engine'!$A$1:$AN$1,0)+4):INDEX('Prepayment Engine'!$A$2:$AN$481,MIN(A73*12,$H$6),MATCH($H$13,'Prepayment Engine'!$A$1:$AN$1,0)+4)),"")</f>
        <v>388378.02619358012</v>
      </c>
      <c r="F73" s="105">
        <f>IF((A73-1)*12&lt;$H$6,SUM(INDEX('Prepayment Engine'!$A$2:$AN$481,(A73-1)*12+1,MATCH($H$13,'Prepayment Engine'!$A$1:$AN$1,0)+5):INDEX('Prepayment Engine'!$A$2:$AN$481,MIN(A73*12,$H$6),MATCH($H$13,'Prepayment Engine'!$A$1:$AN$1,0)+5)),"")</f>
        <v>421145.77148531965</v>
      </c>
      <c r="G73" s="105">
        <f>IF((A73-1)*12&lt;$H$6,SUM(INDEX('Prepayment Engine'!$A$2:$AN$481,(A73-1)*12+1,MATCH($H$13,'Prepayment Engine'!$A$1:$AN$1,0)+6):INDEX('Prepayment Engine'!$A$2:$AN$481,MIN(A73*12,$H$6),MATCH($H$13,'Prepayment Engine'!$A$1:$AN$1,0)+6)),"")</f>
        <v>0</v>
      </c>
      <c r="H73" s="105" cm="1">
        <f t="array" ref="H73">IF((A73-1)*12&lt;$H$6,INDEX('Prepayment Engine'!$A$2:$AN$481,MIN(A73*12,$H$6),MATCH($H$13,'Prepayment Engine'!$A$1:$AN$1,0)+7),"")</f>
        <v>5744666.8386618681</v>
      </c>
    </row>
    <row r="74" spans="1:8" ht="19" customHeight="1" x14ac:dyDescent="0.35">
      <c r="A74" s="74">
        <f t="shared" si="0"/>
        <v>10</v>
      </c>
      <c r="B74" s="105" cm="1">
        <f t="array" ref="B74">IF((A74-1)*12&lt;$H$6,INDEX('Prepayment Engine'!$A$2:$AN$481,(A74-1)*12+1,MATCH($H$13,'Prepayment Engine'!$A$1:$AN$1,0)+1),"")</f>
        <v>5744666.8386618681</v>
      </c>
      <c r="C74" s="107" cm="1">
        <f t="array" ref="C74">IF((A74-1)*12&lt;$H$6,INDEX('Prepayment Engine'!$A$2:$AN$481,MIN(A74*12,$H$6),MATCH($H$13,'Prepayment Engine'!$A$1:$AN$1,0)+2),"")</f>
        <v>6.5</v>
      </c>
      <c r="D74" s="105">
        <f>IF((A74-1)*12&lt;$H$6,SUM(INDEX('Prepayment Engine'!$A$2:$AN$481,(A74-1)*12+1,MATCH($H$13,'Prepayment Engine'!$A$1:$AN$1,0)+3):INDEX('Prepayment Engine'!$A$2:$AN$481,MIN(A74*12,$H$6),MATCH($H$13,'Prepayment Engine'!$A$1:$AN$1,0)+3)),"")</f>
        <v>809523.79767889983</v>
      </c>
      <c r="E74" s="105">
        <f>IF((A74-1)*12&lt;$H$6,SUM(INDEX('Prepayment Engine'!$A$2:$AN$481,(A74-1)*12+1,MATCH($H$13,'Prepayment Engine'!$A$1:$AN$1,0)+4):INDEX('Prepayment Engine'!$A$2:$AN$481,MIN(A74*12,$H$6),MATCH($H$13,'Prepayment Engine'!$A$1:$AN$1,0)+4)),"")</f>
        <v>360173.11391416827</v>
      </c>
      <c r="F74" s="105">
        <f>IF((A74-1)*12&lt;$H$6,SUM(INDEX('Prepayment Engine'!$A$2:$AN$481,(A74-1)*12+1,MATCH($H$13,'Prepayment Engine'!$A$1:$AN$1,0)+5):INDEX('Prepayment Engine'!$A$2:$AN$481,MIN(A74*12,$H$6),MATCH($H$13,'Prepayment Engine'!$A$1:$AN$1,0)+5)),"")</f>
        <v>449350.68376473151</v>
      </c>
      <c r="G74" s="105">
        <f>IF((A74-1)*12&lt;$H$6,SUM(INDEX('Prepayment Engine'!$A$2:$AN$481,(A74-1)*12+1,MATCH($H$13,'Prepayment Engine'!$A$1:$AN$1,0)+6):INDEX('Prepayment Engine'!$A$2:$AN$481,MIN(A74*12,$H$6),MATCH($H$13,'Prepayment Engine'!$A$1:$AN$1,0)+6)),"")</f>
        <v>0</v>
      </c>
      <c r="H74" s="105" cm="1">
        <f t="array" ref="H74">IF((A74-1)*12&lt;$H$6,INDEX('Prepayment Engine'!$A$2:$AN$481,MIN(A74*12,$H$6),MATCH($H$13,'Prepayment Engine'!$A$1:$AN$1,0)+7),"")</f>
        <v>5295316.1548971357</v>
      </c>
    </row>
    <row r="75" spans="1:8" ht="19" customHeight="1" x14ac:dyDescent="0.35">
      <c r="A75" s="74">
        <f t="shared" si="0"/>
        <v>11</v>
      </c>
      <c r="B75" s="105" cm="1">
        <f t="array" ref="B75">IF((A75-1)*12&lt;$H$6,INDEX('Prepayment Engine'!$A$2:$AN$481,(A75-1)*12+1,MATCH($H$13,'Prepayment Engine'!$A$1:$AN$1,0)+1),"")</f>
        <v>5295316.1548971357</v>
      </c>
      <c r="C75" s="107" cm="1">
        <f t="array" ref="C75">IF((A75-1)*12&lt;$H$6,INDEX('Prepayment Engine'!$A$2:$AN$481,MIN(A75*12,$H$6),MATCH($H$13,'Prepayment Engine'!$A$1:$AN$1,0)+2),"")</f>
        <v>6.5</v>
      </c>
      <c r="D75" s="105">
        <f>IF((A75-1)*12&lt;$H$6,SUM(INDEX('Prepayment Engine'!$A$2:$AN$481,(A75-1)*12+1,MATCH($H$13,'Prepayment Engine'!$A$1:$AN$1,0)+3):INDEX('Prepayment Engine'!$A$2:$AN$481,MIN(A75*12,$H$6),MATCH($H$13,'Prepayment Engine'!$A$1:$AN$1,0)+3)),"")</f>
        <v>809523.79767889983</v>
      </c>
      <c r="E75" s="105">
        <f>IF((A75-1)*12&lt;$H$6,SUM(INDEX('Prepayment Engine'!$A$2:$AN$481,(A75-1)*12+1,MATCH($H$13,'Prepayment Engine'!$A$1:$AN$1,0)+4):INDEX('Prepayment Engine'!$A$2:$AN$481,MIN(A75*12,$H$6),MATCH($H$13,'Prepayment Engine'!$A$1:$AN$1,0)+4)),"")</f>
        <v>330079.26642383478</v>
      </c>
      <c r="F75" s="105">
        <f>IF((A75-1)*12&lt;$H$6,SUM(INDEX('Prepayment Engine'!$A$2:$AN$481,(A75-1)*12+1,MATCH($H$13,'Prepayment Engine'!$A$1:$AN$1,0)+5):INDEX('Prepayment Engine'!$A$2:$AN$481,MIN(A75*12,$H$6),MATCH($H$13,'Prepayment Engine'!$A$1:$AN$1,0)+5)),"")</f>
        <v>479444.531255065</v>
      </c>
      <c r="G75" s="105">
        <f>IF((A75-1)*12&lt;$H$6,SUM(INDEX('Prepayment Engine'!$A$2:$AN$481,(A75-1)*12+1,MATCH($H$13,'Prepayment Engine'!$A$1:$AN$1,0)+6):INDEX('Prepayment Engine'!$A$2:$AN$481,MIN(A75*12,$H$6),MATCH($H$13,'Prepayment Engine'!$A$1:$AN$1,0)+6)),"")</f>
        <v>0</v>
      </c>
      <c r="H75" s="105" cm="1">
        <f t="array" ref="H75">IF((A75-1)*12&lt;$H$6,INDEX('Prepayment Engine'!$A$2:$AN$481,MIN(A75*12,$H$6),MATCH($H$13,'Prepayment Engine'!$A$1:$AN$1,0)+7),"")</f>
        <v>4815871.6236420712</v>
      </c>
    </row>
    <row r="76" spans="1:8" ht="19" customHeight="1" x14ac:dyDescent="0.35">
      <c r="A76" s="74">
        <f t="shared" si="0"/>
        <v>12</v>
      </c>
      <c r="B76" s="105" cm="1">
        <f t="array" ref="B76">IF((A76-1)*12&lt;$H$6,INDEX('Prepayment Engine'!$A$2:$AN$481,(A76-1)*12+1,MATCH($H$13,'Prepayment Engine'!$A$1:$AN$1,0)+1),"")</f>
        <v>4815871.6236420712</v>
      </c>
      <c r="C76" s="107" cm="1">
        <f t="array" ref="C76">IF((A76-1)*12&lt;$H$6,INDEX('Prepayment Engine'!$A$2:$AN$481,MIN(A76*12,$H$6),MATCH($H$13,'Prepayment Engine'!$A$1:$AN$1,0)+2),"")</f>
        <v>6.5</v>
      </c>
      <c r="D76" s="105">
        <f>IF((A76-1)*12&lt;$H$6,SUM(INDEX('Prepayment Engine'!$A$2:$AN$481,(A76-1)*12+1,MATCH($H$13,'Prepayment Engine'!$A$1:$AN$1,0)+3):INDEX('Prepayment Engine'!$A$2:$AN$481,MIN(A76*12,$H$6),MATCH($H$13,'Prepayment Engine'!$A$1:$AN$1,0)+3)),"")</f>
        <v>809523.79767889983</v>
      </c>
      <c r="E76" s="105">
        <f>IF((A76-1)*12&lt;$H$6,SUM(INDEX('Prepayment Engine'!$A$2:$AN$481,(A76-1)*12+1,MATCH($H$13,'Prepayment Engine'!$A$1:$AN$1,0)+4):INDEX('Prepayment Engine'!$A$2:$AN$481,MIN(A76*12,$H$6),MATCH($H$13,'Prepayment Engine'!$A$1:$AN$1,0)+4)),"")</f>
        <v>297969.97823319153</v>
      </c>
      <c r="F76" s="105">
        <f>IF((A76-1)*12&lt;$H$6,SUM(INDEX('Prepayment Engine'!$A$2:$AN$481,(A76-1)*12+1,MATCH($H$13,'Prepayment Engine'!$A$1:$AN$1,0)+5):INDEX('Prepayment Engine'!$A$2:$AN$481,MIN(A76*12,$H$6),MATCH($H$13,'Prepayment Engine'!$A$1:$AN$1,0)+5)),"")</f>
        <v>511553.81944570818</v>
      </c>
      <c r="G76" s="105">
        <f>IF((A76-1)*12&lt;$H$6,SUM(INDEX('Prepayment Engine'!$A$2:$AN$481,(A76-1)*12+1,MATCH($H$13,'Prepayment Engine'!$A$1:$AN$1,0)+6):INDEX('Prepayment Engine'!$A$2:$AN$481,MIN(A76*12,$H$6),MATCH($H$13,'Prepayment Engine'!$A$1:$AN$1,0)+6)),"")</f>
        <v>0</v>
      </c>
      <c r="H76" s="105" cm="1">
        <f t="array" ref="H76">IF((A76-1)*12&lt;$H$6,INDEX('Prepayment Engine'!$A$2:$AN$481,MIN(A76*12,$H$6),MATCH($H$13,'Prepayment Engine'!$A$1:$AN$1,0)+7),"")</f>
        <v>4304317.8041963624</v>
      </c>
    </row>
    <row r="77" spans="1:8" ht="19" customHeight="1" x14ac:dyDescent="0.35">
      <c r="A77" s="74">
        <f t="shared" si="0"/>
        <v>13</v>
      </c>
      <c r="B77" s="105" cm="1">
        <f t="array" ref="B77">IF((A77-1)*12&lt;$H$6,INDEX('Prepayment Engine'!$A$2:$AN$481,(A77-1)*12+1,MATCH($H$13,'Prepayment Engine'!$A$1:$AN$1,0)+1),"")</f>
        <v>4304317.8041963624</v>
      </c>
      <c r="C77" s="107" cm="1">
        <f t="array" ref="C77">IF((A77-1)*12&lt;$H$6,INDEX('Prepayment Engine'!$A$2:$AN$481,MIN(A77*12,$H$6),MATCH($H$13,'Prepayment Engine'!$A$1:$AN$1,0)+2),"")</f>
        <v>6.5</v>
      </c>
      <c r="D77" s="105">
        <f>IF((A77-1)*12&lt;$H$6,SUM(INDEX('Prepayment Engine'!$A$2:$AN$481,(A77-1)*12+1,MATCH($H$13,'Prepayment Engine'!$A$1:$AN$1,0)+3):INDEX('Prepayment Engine'!$A$2:$AN$481,MIN(A77*12,$H$6),MATCH($H$13,'Prepayment Engine'!$A$1:$AN$1,0)+3)),"")</f>
        <v>809523.79767889983</v>
      </c>
      <c r="E77" s="105">
        <f>IF((A77-1)*12&lt;$H$6,SUM(INDEX('Prepayment Engine'!$A$2:$AN$481,(A77-1)*12+1,MATCH($H$13,'Prepayment Engine'!$A$1:$AN$1,0)+4):INDEX('Prepayment Engine'!$A$2:$AN$481,MIN(A77*12,$H$6),MATCH($H$13,'Prepayment Engine'!$A$1:$AN$1,0)+4)),"")</f>
        <v>263710.27154593752</v>
      </c>
      <c r="F77" s="105">
        <f>IF((A77-1)*12&lt;$H$6,SUM(INDEX('Prepayment Engine'!$A$2:$AN$481,(A77-1)*12+1,MATCH($H$13,'Prepayment Engine'!$A$1:$AN$1,0)+5):INDEX('Prepayment Engine'!$A$2:$AN$481,MIN(A77*12,$H$6),MATCH($H$13,'Prepayment Engine'!$A$1:$AN$1,0)+5)),"")</f>
        <v>545813.5261329622</v>
      </c>
      <c r="G77" s="105">
        <f>IF((A77-1)*12&lt;$H$6,SUM(INDEX('Prepayment Engine'!$A$2:$AN$481,(A77-1)*12+1,MATCH($H$13,'Prepayment Engine'!$A$1:$AN$1,0)+6):INDEX('Prepayment Engine'!$A$2:$AN$481,MIN(A77*12,$H$6),MATCH($H$13,'Prepayment Engine'!$A$1:$AN$1,0)+6)),"")</f>
        <v>0</v>
      </c>
      <c r="H77" s="105" cm="1">
        <f t="array" ref="H77">IF((A77-1)*12&lt;$H$6,INDEX('Prepayment Engine'!$A$2:$AN$481,MIN(A77*12,$H$6),MATCH($H$13,'Prepayment Engine'!$A$1:$AN$1,0)+7),"")</f>
        <v>3758504.2780633997</v>
      </c>
    </row>
    <row r="78" spans="1:8" ht="19" customHeight="1" x14ac:dyDescent="0.35">
      <c r="A78" s="74">
        <f t="shared" si="0"/>
        <v>14</v>
      </c>
      <c r="B78" s="105" cm="1">
        <f t="array" ref="B78">IF((A78-1)*12&lt;$H$6,INDEX('Prepayment Engine'!$A$2:$AN$481,(A78-1)*12+1,MATCH($H$13,'Prepayment Engine'!$A$1:$AN$1,0)+1),"")</f>
        <v>3758504.2780633997</v>
      </c>
      <c r="C78" s="107" cm="1">
        <f t="array" ref="C78">IF((A78-1)*12&lt;$H$6,INDEX('Prepayment Engine'!$A$2:$AN$481,MIN(A78*12,$H$6),MATCH($H$13,'Prepayment Engine'!$A$1:$AN$1,0)+2),"")</f>
        <v>6.5</v>
      </c>
      <c r="D78" s="105">
        <f>IF((A78-1)*12&lt;$H$6,SUM(INDEX('Prepayment Engine'!$A$2:$AN$481,(A78-1)*12+1,MATCH($H$13,'Prepayment Engine'!$A$1:$AN$1,0)+3):INDEX('Prepayment Engine'!$A$2:$AN$481,MIN(A78*12,$H$6),MATCH($H$13,'Prepayment Engine'!$A$1:$AN$1,0)+3)),"")</f>
        <v>809523.79767889983</v>
      </c>
      <c r="E78" s="105">
        <f>IF((A78-1)*12&lt;$H$6,SUM(INDEX('Prepayment Engine'!$A$2:$AN$481,(A78-1)*12+1,MATCH($H$13,'Prepayment Engine'!$A$1:$AN$1,0)+4):INDEX('Prepayment Engine'!$A$2:$AN$481,MIN(A78*12,$H$6),MATCH($H$13,'Prepayment Engine'!$A$1:$AN$1,0)+4)),"")</f>
        <v>227156.12885277419</v>
      </c>
      <c r="F78" s="105">
        <f>IF((A78-1)*12&lt;$H$6,SUM(INDEX('Prepayment Engine'!$A$2:$AN$481,(A78-1)*12+1,MATCH($H$13,'Prepayment Engine'!$A$1:$AN$1,0)+5):INDEX('Prepayment Engine'!$A$2:$AN$481,MIN(A78*12,$H$6),MATCH($H$13,'Prepayment Engine'!$A$1:$AN$1,0)+5)),"")</f>
        <v>582367.66882612556</v>
      </c>
      <c r="G78" s="105">
        <f>IF((A78-1)*12&lt;$H$6,SUM(INDEX('Prepayment Engine'!$A$2:$AN$481,(A78-1)*12+1,MATCH($H$13,'Prepayment Engine'!$A$1:$AN$1,0)+6):INDEX('Prepayment Engine'!$A$2:$AN$481,MIN(A78*12,$H$6),MATCH($H$13,'Prepayment Engine'!$A$1:$AN$1,0)+6)),"")</f>
        <v>0</v>
      </c>
      <c r="H78" s="105" cm="1">
        <f t="array" ref="H78">IF((A78-1)*12&lt;$H$6,INDEX('Prepayment Engine'!$A$2:$AN$481,MIN(A78*12,$H$6),MATCH($H$13,'Prepayment Engine'!$A$1:$AN$1,0)+7),"")</f>
        <v>3176136.6092372742</v>
      </c>
    </row>
    <row r="79" spans="1:8" ht="19" customHeight="1" x14ac:dyDescent="0.35">
      <c r="A79" s="74">
        <f t="shared" si="0"/>
        <v>15</v>
      </c>
      <c r="B79" s="105" cm="1">
        <f t="array" ref="B79">IF((A79-1)*12&lt;$H$6,INDEX('Prepayment Engine'!$A$2:$AN$481,(A79-1)*12+1,MATCH($H$13,'Prepayment Engine'!$A$1:$AN$1,0)+1),"")</f>
        <v>3176136.6092372742</v>
      </c>
      <c r="C79" s="107" cm="1">
        <f t="array" ref="C79">IF((A79-1)*12&lt;$H$6,INDEX('Prepayment Engine'!$A$2:$AN$481,MIN(A79*12,$H$6),MATCH($H$13,'Prepayment Engine'!$A$1:$AN$1,0)+2),"")</f>
        <v>6.5</v>
      </c>
      <c r="D79" s="105">
        <f>IF((A79-1)*12&lt;$H$6,SUM(INDEX('Prepayment Engine'!$A$2:$AN$481,(A79-1)*12+1,MATCH($H$13,'Prepayment Engine'!$A$1:$AN$1,0)+3):INDEX('Prepayment Engine'!$A$2:$AN$481,MIN(A79*12,$H$6),MATCH($H$13,'Prepayment Engine'!$A$1:$AN$1,0)+3)),"")</f>
        <v>809523.79767889983</v>
      </c>
      <c r="E79" s="105">
        <f>IF((A79-1)*12&lt;$H$6,SUM(INDEX('Prepayment Engine'!$A$2:$AN$481,(A79-1)*12+1,MATCH($H$13,'Prepayment Engine'!$A$1:$AN$1,0)+4):INDEX('Prepayment Engine'!$A$2:$AN$481,MIN(A79*12,$H$6),MATCH($H$13,'Prepayment Engine'!$A$1:$AN$1,0)+4)),"")</f>
        <v>188153.88752508449</v>
      </c>
      <c r="F79" s="105">
        <f>IF((A79-1)*12&lt;$H$6,SUM(INDEX('Prepayment Engine'!$A$2:$AN$481,(A79-1)*12+1,MATCH($H$13,'Prepayment Engine'!$A$1:$AN$1,0)+5):INDEX('Prepayment Engine'!$A$2:$AN$481,MIN(A79*12,$H$6),MATCH($H$13,'Prepayment Engine'!$A$1:$AN$1,0)+5)),"")</f>
        <v>621369.91015381529</v>
      </c>
      <c r="G79" s="105">
        <f>IF((A79-1)*12&lt;$H$6,SUM(INDEX('Prepayment Engine'!$A$2:$AN$481,(A79-1)*12+1,MATCH($H$13,'Prepayment Engine'!$A$1:$AN$1,0)+6):INDEX('Prepayment Engine'!$A$2:$AN$481,MIN(A79*12,$H$6),MATCH($H$13,'Prepayment Engine'!$A$1:$AN$1,0)+6)),"")</f>
        <v>0</v>
      </c>
      <c r="H79" s="105" cm="1">
        <f t="array" ref="H79">IF((A79-1)*12&lt;$H$6,INDEX('Prepayment Engine'!$A$2:$AN$481,MIN(A79*12,$H$6),MATCH($H$13,'Prepayment Engine'!$A$1:$AN$1,0)+7),"")</f>
        <v>2554766.6990834591</v>
      </c>
    </row>
    <row r="80" spans="1:8" ht="19" customHeight="1" x14ac:dyDescent="0.35">
      <c r="A80" s="74">
        <f t="shared" si="0"/>
        <v>16</v>
      </c>
      <c r="B80" s="105" cm="1">
        <f t="array" ref="B80">IF((A80-1)*12&lt;$H$6,INDEX('Prepayment Engine'!$A$2:$AN$481,(A80-1)*12+1,MATCH($H$13,'Prepayment Engine'!$A$1:$AN$1,0)+1),"")</f>
        <v>2554766.6990834591</v>
      </c>
      <c r="C80" s="107" cm="1">
        <f t="array" ref="C80">IF((A80-1)*12&lt;$H$6,INDEX('Prepayment Engine'!$A$2:$AN$481,MIN(A80*12,$H$6),MATCH($H$13,'Prepayment Engine'!$A$1:$AN$1,0)+2),"")</f>
        <v>6.5</v>
      </c>
      <c r="D80" s="105">
        <f>IF((A80-1)*12&lt;$H$6,SUM(INDEX('Prepayment Engine'!$A$2:$AN$481,(A80-1)*12+1,MATCH($H$13,'Prepayment Engine'!$A$1:$AN$1,0)+3):INDEX('Prepayment Engine'!$A$2:$AN$481,MIN(A80*12,$H$6),MATCH($H$13,'Prepayment Engine'!$A$1:$AN$1,0)+3)),"")</f>
        <v>809523.79767889983</v>
      </c>
      <c r="E80" s="105">
        <f>IF((A80-1)*12&lt;$H$6,SUM(INDEX('Prepayment Engine'!$A$2:$AN$481,(A80-1)*12+1,MATCH($H$13,'Prepayment Engine'!$A$1:$AN$1,0)+4):INDEX('Prepayment Engine'!$A$2:$AN$481,MIN(A80*12,$H$6),MATCH($H$13,'Prepayment Engine'!$A$1:$AN$1,0)+4)),"")</f>
        <v>146539.59386342921</v>
      </c>
      <c r="F80" s="105">
        <f>IF((A80-1)*12&lt;$H$6,SUM(INDEX('Prepayment Engine'!$A$2:$AN$481,(A80-1)*12+1,MATCH($H$13,'Prepayment Engine'!$A$1:$AN$1,0)+5):INDEX('Prepayment Engine'!$A$2:$AN$481,MIN(A80*12,$H$6),MATCH($H$13,'Prepayment Engine'!$A$1:$AN$1,0)+5)),"")</f>
        <v>662984.20381547045</v>
      </c>
      <c r="G80" s="105">
        <f>IF((A80-1)*12&lt;$H$6,SUM(INDEX('Prepayment Engine'!$A$2:$AN$481,(A80-1)*12+1,MATCH($H$13,'Prepayment Engine'!$A$1:$AN$1,0)+6):INDEX('Prepayment Engine'!$A$2:$AN$481,MIN(A80*12,$H$6),MATCH($H$13,'Prepayment Engine'!$A$1:$AN$1,0)+6)),"")</f>
        <v>0</v>
      </c>
      <c r="H80" s="105" cm="1">
        <f t="array" ref="H80">IF((A80-1)*12&lt;$H$6,INDEX('Prepayment Engine'!$A$2:$AN$481,MIN(A80*12,$H$6),MATCH($H$13,'Prepayment Engine'!$A$1:$AN$1,0)+7),"")</f>
        <v>1891782.4952679884</v>
      </c>
    </row>
    <row r="81" spans="1:8" ht="19" customHeight="1" x14ac:dyDescent="0.35">
      <c r="A81" s="74">
        <f t="shared" si="0"/>
        <v>17</v>
      </c>
      <c r="B81" s="105" cm="1">
        <f t="array" ref="B81">IF((A81-1)*12&lt;$H$6,INDEX('Prepayment Engine'!$A$2:$AN$481,(A81-1)*12+1,MATCH($H$13,'Prepayment Engine'!$A$1:$AN$1,0)+1),"")</f>
        <v>1891782.4952679884</v>
      </c>
      <c r="C81" s="107" cm="1">
        <f t="array" ref="C81">IF((A81-1)*12&lt;$H$6,INDEX('Prepayment Engine'!$A$2:$AN$481,MIN(A81*12,$H$6),MATCH($H$13,'Prepayment Engine'!$A$1:$AN$1,0)+2),"")</f>
        <v>6.5</v>
      </c>
      <c r="D81" s="105">
        <f>IF((A81-1)*12&lt;$H$6,SUM(INDEX('Prepayment Engine'!$A$2:$AN$481,(A81-1)*12+1,MATCH($H$13,'Prepayment Engine'!$A$1:$AN$1,0)+3):INDEX('Prepayment Engine'!$A$2:$AN$481,MIN(A81*12,$H$6),MATCH($H$13,'Prepayment Engine'!$A$1:$AN$1,0)+3)),"")</f>
        <v>809523.79767889983</v>
      </c>
      <c r="E81" s="105">
        <f>IF((A81-1)*12&lt;$H$6,SUM(INDEX('Prepayment Engine'!$A$2:$AN$481,(A81-1)*12+1,MATCH($H$13,'Prepayment Engine'!$A$1:$AN$1,0)+4):INDEX('Prepayment Engine'!$A$2:$AN$481,MIN(A81*12,$H$6),MATCH($H$13,'Prepayment Engine'!$A$1:$AN$1,0)+4)),"")</f>
        <v>102138.31388547516</v>
      </c>
      <c r="F81" s="105">
        <f>IF((A81-1)*12&lt;$H$6,SUM(INDEX('Prepayment Engine'!$A$2:$AN$481,(A81-1)*12+1,MATCH($H$13,'Prepayment Engine'!$A$1:$AN$1,0)+5):INDEX('Prepayment Engine'!$A$2:$AN$481,MIN(A81*12,$H$6),MATCH($H$13,'Prepayment Engine'!$A$1:$AN$1,0)+5)),"")</f>
        <v>707385.48379342456</v>
      </c>
      <c r="G81" s="105">
        <f>IF((A81-1)*12&lt;$H$6,SUM(INDEX('Prepayment Engine'!$A$2:$AN$481,(A81-1)*12+1,MATCH($H$13,'Prepayment Engine'!$A$1:$AN$1,0)+6):INDEX('Prepayment Engine'!$A$2:$AN$481,MIN(A81*12,$H$6),MATCH($H$13,'Prepayment Engine'!$A$1:$AN$1,0)+6)),"")</f>
        <v>0</v>
      </c>
      <c r="H81" s="105" cm="1">
        <f t="array" ref="H81">IF((A81-1)*12&lt;$H$6,INDEX('Prepayment Engine'!$A$2:$AN$481,MIN(A81*12,$H$6),MATCH($H$13,'Prepayment Engine'!$A$1:$AN$1,0)+7),"")</f>
        <v>1184397.0114745637</v>
      </c>
    </row>
    <row r="82" spans="1:8" ht="19" customHeight="1" x14ac:dyDescent="0.35">
      <c r="A82" s="74">
        <f t="shared" si="0"/>
        <v>18</v>
      </c>
      <c r="B82" s="105" cm="1">
        <f t="array" ref="B82">IF((A82-1)*12&lt;$H$6,INDEX('Prepayment Engine'!$A$2:$AN$481,(A82-1)*12+1,MATCH($H$13,'Prepayment Engine'!$A$1:$AN$1,0)+1),"")</f>
        <v>1184397.0114745637</v>
      </c>
      <c r="C82" s="107" cm="1">
        <f t="array" ref="C82">IF((A82-1)*12&lt;$H$6,INDEX('Prepayment Engine'!$A$2:$AN$481,MIN(A82*12,$H$6),MATCH($H$13,'Prepayment Engine'!$A$1:$AN$1,0)+2),"")</f>
        <v>6.5</v>
      </c>
      <c r="D82" s="105">
        <f>IF((A82-1)*12&lt;$H$6,SUM(INDEX('Prepayment Engine'!$A$2:$AN$481,(A82-1)*12+1,MATCH($H$13,'Prepayment Engine'!$A$1:$AN$1,0)+3):INDEX('Prepayment Engine'!$A$2:$AN$481,MIN(A82*12,$H$6),MATCH($H$13,'Prepayment Engine'!$A$1:$AN$1,0)+3)),"")</f>
        <v>809523.79767889983</v>
      </c>
      <c r="E82" s="105">
        <f>IF((A82-1)*12&lt;$H$6,SUM(INDEX('Prepayment Engine'!$A$2:$AN$481,(A82-1)*12+1,MATCH($H$13,'Prepayment Engine'!$A$1:$AN$1,0)+4):INDEX('Prepayment Engine'!$A$2:$AN$481,MIN(A82*12,$H$6),MATCH($H$13,'Prepayment Engine'!$A$1:$AN$1,0)+4)),"")</f>
        <v>54763.397956114059</v>
      </c>
      <c r="F82" s="105">
        <f>IF((A82-1)*12&lt;$H$6,SUM(INDEX('Prepayment Engine'!$A$2:$AN$481,(A82-1)*12+1,MATCH($H$13,'Prepayment Engine'!$A$1:$AN$1,0)+5):INDEX('Prepayment Engine'!$A$2:$AN$481,MIN(A82*12,$H$6),MATCH($H$13,'Prepayment Engine'!$A$1:$AN$1,0)+5)),"")</f>
        <v>754760.39972278569</v>
      </c>
      <c r="G82" s="105">
        <f>IF((A82-1)*12&lt;$H$6,SUM(INDEX('Prepayment Engine'!$A$2:$AN$481,(A82-1)*12+1,MATCH($H$13,'Prepayment Engine'!$A$1:$AN$1,0)+6):INDEX('Prepayment Engine'!$A$2:$AN$481,MIN(A82*12,$H$6),MATCH($H$13,'Prepayment Engine'!$A$1:$AN$1,0)+6)),"")</f>
        <v>0</v>
      </c>
      <c r="H82" s="105" cm="1">
        <f t="array" ref="H82">IF((A82-1)*12&lt;$H$6,INDEX('Prepayment Engine'!$A$2:$AN$481,MIN(A82*12,$H$6),MATCH($H$13,'Prepayment Engine'!$A$1:$AN$1,0)+7),"")</f>
        <v>429636.6117517777</v>
      </c>
    </row>
    <row r="83" spans="1:8" ht="19" customHeight="1" x14ac:dyDescent="0.35">
      <c r="A83" s="74">
        <f t="shared" si="0"/>
        <v>19</v>
      </c>
      <c r="B83" s="105" cm="1">
        <f t="array" ref="B83">IF((A83-1)*12&lt;$H$6,INDEX('Prepayment Engine'!$A$2:$AN$481,(A83-1)*12+1,MATCH($H$13,'Prepayment Engine'!$A$1:$AN$1,0)+1),"")</f>
        <v>429636.6117517777</v>
      </c>
      <c r="C83" s="107" cm="1">
        <f t="array" ref="C83">IF((A83-1)*12&lt;$H$6,INDEX('Prepayment Engine'!$A$2:$AN$481,MIN(A83*12,$H$6),MATCH($H$13,'Prepayment Engine'!$A$1:$AN$1,0)+2),"")</f>
        <v>6.5</v>
      </c>
      <c r="D83" s="105">
        <f>IF((A83-1)*12&lt;$H$6,SUM(INDEX('Prepayment Engine'!$A$2:$AN$481,(A83-1)*12+1,MATCH($H$13,'Prepayment Engine'!$A$1:$AN$1,0)+3):INDEX('Prepayment Engine'!$A$2:$AN$481,MIN(A83*12,$H$6),MATCH($H$13,'Prepayment Engine'!$A$1:$AN$1,0)+3)),"")</f>
        <v>438450.85844658111</v>
      </c>
      <c r="E83" s="105">
        <f>IF((A83-1)*12&lt;$H$6,SUM(INDEX('Prepayment Engine'!$A$2:$AN$481,(A83-1)*12+1,MATCH($H$13,'Prepayment Engine'!$A$1:$AN$1,0)+4):INDEX('Prepayment Engine'!$A$2:$AN$481,MIN(A83*12,$H$6),MATCH($H$13,'Prepayment Engine'!$A$1:$AN$1,0)+4)),"")</f>
        <v>8814.2466948034435</v>
      </c>
      <c r="F83" s="105">
        <f>IF((A83-1)*12&lt;$H$6,SUM(INDEX('Prepayment Engine'!$A$2:$AN$481,(A83-1)*12+1,MATCH($H$13,'Prepayment Engine'!$A$1:$AN$1,0)+5):INDEX('Prepayment Engine'!$A$2:$AN$481,MIN(A83*12,$H$6),MATCH($H$13,'Prepayment Engine'!$A$1:$AN$1,0)+5)),"")</f>
        <v>429636.61175177759</v>
      </c>
      <c r="G83" s="105">
        <f>IF((A83-1)*12&lt;$H$6,SUM(INDEX('Prepayment Engine'!$A$2:$AN$481,(A83-1)*12+1,MATCH($H$13,'Prepayment Engine'!$A$1:$AN$1,0)+6):INDEX('Prepayment Engine'!$A$2:$AN$481,MIN(A83*12,$H$6),MATCH($H$13,'Prepayment Engine'!$A$1:$AN$1,0)+6)),"")</f>
        <v>0</v>
      </c>
      <c r="H83" s="105" cm="1">
        <f t="array" ref="H83">IF((A83-1)*12&lt;$H$6,INDEX('Prepayment Engine'!$A$2:$AN$481,MIN(A83*12,$H$6),MATCH($H$13,'Prepayment Engine'!$A$1:$AN$1,0)+7),"")</f>
        <v>0</v>
      </c>
    </row>
    <row r="84" spans="1:8" ht="19" customHeight="1" x14ac:dyDescent="0.35">
      <c r="A84" s="74">
        <f t="shared" si="0"/>
        <v>20</v>
      </c>
      <c r="B84" s="105" t="str" cm="1">
        <f t="array" ref="B84">IF((A84-1)*12&lt;$H$6,INDEX('Prepayment Engine'!$A$2:$AN$481,(A84-1)*12+1,MATCH($H$13,'Prepayment Engine'!$A$1:$AN$1,0)+1),"")</f>
        <v/>
      </c>
      <c r="C84" s="107" t="str" cm="1">
        <f t="array" ref="C84">IF((A84-1)*12&lt;$H$6,INDEX('Prepayment Engine'!$A$2:$AN$481,MIN(A84*12,$H$6),MATCH($H$13,'Prepayment Engine'!$A$1:$AN$1,0)+2),"")</f>
        <v/>
      </c>
      <c r="D84" s="105" t="str">
        <f>IF((A84-1)*12&lt;$H$6,SUM(INDEX('Prepayment Engine'!$A$2:$AN$481,(A84-1)*12+1,MATCH($H$13,'Prepayment Engine'!$A$1:$AN$1,0)+3):INDEX('Prepayment Engine'!$A$2:$AN$481,MIN(A84*12,$H$6),MATCH($H$13,'Prepayment Engine'!$A$1:$AN$1,0)+3)),"")</f>
        <v/>
      </c>
      <c r="E84" s="105" t="str">
        <f>IF((A84-1)*12&lt;$H$6,SUM(INDEX('Prepayment Engine'!$A$2:$AN$481,(A84-1)*12+1,MATCH($H$13,'Prepayment Engine'!$A$1:$AN$1,0)+4):INDEX('Prepayment Engine'!$A$2:$AN$481,MIN(A84*12,$H$6),MATCH($H$13,'Prepayment Engine'!$A$1:$AN$1,0)+4)),"")</f>
        <v/>
      </c>
      <c r="F84" s="105" t="str">
        <f>IF((A84-1)*12&lt;$H$6,SUM(INDEX('Prepayment Engine'!$A$2:$AN$481,(A84-1)*12+1,MATCH($H$13,'Prepayment Engine'!$A$1:$AN$1,0)+5):INDEX('Prepayment Engine'!$A$2:$AN$481,MIN(A84*12,$H$6),MATCH($H$13,'Prepayment Engine'!$A$1:$AN$1,0)+5)),"")</f>
        <v/>
      </c>
      <c r="G84" s="105" t="str">
        <f>IF((A84-1)*12&lt;$H$6,SUM(INDEX('Prepayment Engine'!$A$2:$AN$481,(A84-1)*12+1,MATCH($H$13,'Prepayment Engine'!$A$1:$AN$1,0)+6):INDEX('Prepayment Engine'!$A$2:$AN$481,MIN(A84*12,$H$6),MATCH($H$13,'Prepayment Engine'!$A$1:$AN$1,0)+6)),"")</f>
        <v/>
      </c>
      <c r="H84" s="105" t="str" cm="1">
        <f t="array" ref="H84">IF((A84-1)*12&lt;$H$6,INDEX('Prepayment Engine'!$A$2:$AN$481,MIN(A84*12,$H$6),MATCH($H$13,'Prepayment Engine'!$A$1:$AN$1,0)+7),"")</f>
        <v/>
      </c>
    </row>
    <row r="85" spans="1:8" ht="19" customHeight="1" x14ac:dyDescent="0.35">
      <c r="A85" s="74">
        <f t="shared" si="0"/>
        <v>21</v>
      </c>
      <c r="B85" s="105" t="str" cm="1">
        <f t="array" ref="B85">IF((A85-1)*12&lt;$H$6,INDEX('Prepayment Engine'!$A$2:$AN$481,(A85-1)*12+1,MATCH($H$13,'Prepayment Engine'!$A$1:$AN$1,0)+1),"")</f>
        <v/>
      </c>
      <c r="C85" s="107" t="str" cm="1">
        <f t="array" ref="C85">IF((A85-1)*12&lt;$H$6,INDEX('Prepayment Engine'!$A$2:$AN$481,MIN(A85*12,$H$6),MATCH($H$13,'Prepayment Engine'!$A$1:$AN$1,0)+2),"")</f>
        <v/>
      </c>
      <c r="D85" s="105" t="str">
        <f>IF((A85-1)*12&lt;$H$6,SUM(INDEX('Prepayment Engine'!$A$2:$AN$481,(A85-1)*12+1,MATCH($H$13,'Prepayment Engine'!$A$1:$AN$1,0)+3):INDEX('Prepayment Engine'!$A$2:$AN$481,MIN(A85*12,$H$6),MATCH($H$13,'Prepayment Engine'!$A$1:$AN$1,0)+3)),"")</f>
        <v/>
      </c>
      <c r="E85" s="105" t="str">
        <f>IF((A85-1)*12&lt;$H$6,SUM(INDEX('Prepayment Engine'!$A$2:$AN$481,(A85-1)*12+1,MATCH($H$13,'Prepayment Engine'!$A$1:$AN$1,0)+4):INDEX('Prepayment Engine'!$A$2:$AN$481,MIN(A85*12,$H$6),MATCH($H$13,'Prepayment Engine'!$A$1:$AN$1,0)+4)),"")</f>
        <v/>
      </c>
      <c r="F85" s="105" t="str">
        <f>IF((A85-1)*12&lt;$H$6,SUM(INDEX('Prepayment Engine'!$A$2:$AN$481,(A85-1)*12+1,MATCH($H$13,'Prepayment Engine'!$A$1:$AN$1,0)+5):INDEX('Prepayment Engine'!$A$2:$AN$481,MIN(A85*12,$H$6),MATCH($H$13,'Prepayment Engine'!$A$1:$AN$1,0)+5)),"")</f>
        <v/>
      </c>
      <c r="G85" s="105" t="str">
        <f>IF((A85-1)*12&lt;$H$6,SUM(INDEX('Prepayment Engine'!$A$2:$AN$481,(A85-1)*12+1,MATCH($H$13,'Prepayment Engine'!$A$1:$AN$1,0)+6):INDEX('Prepayment Engine'!$A$2:$AN$481,MIN(A85*12,$H$6),MATCH($H$13,'Prepayment Engine'!$A$1:$AN$1,0)+6)),"")</f>
        <v/>
      </c>
      <c r="H85" s="105" t="str" cm="1">
        <f t="array" ref="H85">IF((A85-1)*12&lt;$H$6,INDEX('Prepayment Engine'!$A$2:$AN$481,MIN(A85*12,$H$6),MATCH($H$13,'Prepayment Engine'!$A$1:$AN$1,0)+7),"")</f>
        <v/>
      </c>
    </row>
    <row r="86" spans="1:8" ht="19" customHeight="1" x14ac:dyDescent="0.35">
      <c r="A86" s="74">
        <f t="shared" si="0"/>
        <v>22</v>
      </c>
      <c r="B86" s="105" t="str" cm="1">
        <f t="array" ref="B86">IF((A86-1)*12&lt;$H$6,INDEX('Prepayment Engine'!$A$2:$AN$481,(A86-1)*12+1,MATCH($H$13,'Prepayment Engine'!$A$1:$AN$1,0)+1),"")</f>
        <v/>
      </c>
      <c r="C86" s="107" t="str" cm="1">
        <f t="array" ref="C86">IF((A86-1)*12&lt;$H$6,INDEX('Prepayment Engine'!$A$2:$AN$481,MIN(A86*12,$H$6),MATCH($H$13,'Prepayment Engine'!$A$1:$AN$1,0)+2),"")</f>
        <v/>
      </c>
      <c r="D86" s="105" t="str">
        <f>IF((A86-1)*12&lt;$H$6,SUM(INDEX('Prepayment Engine'!$A$2:$AN$481,(A86-1)*12+1,MATCH($H$13,'Prepayment Engine'!$A$1:$AN$1,0)+3):INDEX('Prepayment Engine'!$A$2:$AN$481,MIN(A86*12,$H$6),MATCH($H$13,'Prepayment Engine'!$A$1:$AN$1,0)+3)),"")</f>
        <v/>
      </c>
      <c r="E86" s="105" t="str">
        <f>IF((A86-1)*12&lt;$H$6,SUM(INDEX('Prepayment Engine'!$A$2:$AN$481,(A86-1)*12+1,MATCH($H$13,'Prepayment Engine'!$A$1:$AN$1,0)+4):INDEX('Prepayment Engine'!$A$2:$AN$481,MIN(A86*12,$H$6),MATCH($H$13,'Prepayment Engine'!$A$1:$AN$1,0)+4)),"")</f>
        <v/>
      </c>
      <c r="F86" s="105" t="str">
        <f>IF((A86-1)*12&lt;$H$6,SUM(INDEX('Prepayment Engine'!$A$2:$AN$481,(A86-1)*12+1,MATCH($H$13,'Prepayment Engine'!$A$1:$AN$1,0)+5):INDEX('Prepayment Engine'!$A$2:$AN$481,MIN(A86*12,$H$6),MATCH($H$13,'Prepayment Engine'!$A$1:$AN$1,0)+5)),"")</f>
        <v/>
      </c>
      <c r="G86" s="105" t="str">
        <f>IF((A86-1)*12&lt;$H$6,SUM(INDEX('Prepayment Engine'!$A$2:$AN$481,(A86-1)*12+1,MATCH($H$13,'Prepayment Engine'!$A$1:$AN$1,0)+6):INDEX('Prepayment Engine'!$A$2:$AN$481,MIN(A86*12,$H$6),MATCH($H$13,'Prepayment Engine'!$A$1:$AN$1,0)+6)),"")</f>
        <v/>
      </c>
      <c r="H86" s="105" t="str" cm="1">
        <f t="array" ref="H86">IF((A86-1)*12&lt;$H$6,INDEX('Prepayment Engine'!$A$2:$AN$481,MIN(A86*12,$H$6),MATCH($H$13,'Prepayment Engine'!$A$1:$AN$1,0)+7),"")</f>
        <v/>
      </c>
    </row>
    <row r="87" spans="1:8" ht="19" customHeight="1" x14ac:dyDescent="0.35">
      <c r="A87" s="74">
        <f t="shared" si="0"/>
        <v>23</v>
      </c>
      <c r="B87" s="105" t="str" cm="1">
        <f t="array" ref="B87">IF((A87-1)*12&lt;$H$6,INDEX('Prepayment Engine'!$A$2:$AN$481,(A87-1)*12+1,MATCH($H$13,'Prepayment Engine'!$A$1:$AN$1,0)+1),"")</f>
        <v/>
      </c>
      <c r="C87" s="107" t="str" cm="1">
        <f t="array" ref="C87">IF((A87-1)*12&lt;$H$6,INDEX('Prepayment Engine'!$A$2:$AN$481,MIN(A87*12,$H$6),MATCH($H$13,'Prepayment Engine'!$A$1:$AN$1,0)+2),"")</f>
        <v/>
      </c>
      <c r="D87" s="105" t="str">
        <f>IF((A87-1)*12&lt;$H$6,SUM(INDEX('Prepayment Engine'!$A$2:$AN$481,(A87-1)*12+1,MATCH($H$13,'Prepayment Engine'!$A$1:$AN$1,0)+3):INDEX('Prepayment Engine'!$A$2:$AN$481,MIN(A87*12,$H$6),MATCH($H$13,'Prepayment Engine'!$A$1:$AN$1,0)+3)),"")</f>
        <v/>
      </c>
      <c r="E87" s="105" t="str">
        <f>IF((A87-1)*12&lt;$H$6,SUM(INDEX('Prepayment Engine'!$A$2:$AN$481,(A87-1)*12+1,MATCH($H$13,'Prepayment Engine'!$A$1:$AN$1,0)+4):INDEX('Prepayment Engine'!$A$2:$AN$481,MIN(A87*12,$H$6),MATCH($H$13,'Prepayment Engine'!$A$1:$AN$1,0)+4)),"")</f>
        <v/>
      </c>
      <c r="F87" s="105" t="str">
        <f>IF((A87-1)*12&lt;$H$6,SUM(INDEX('Prepayment Engine'!$A$2:$AN$481,(A87-1)*12+1,MATCH($H$13,'Prepayment Engine'!$A$1:$AN$1,0)+5):INDEX('Prepayment Engine'!$A$2:$AN$481,MIN(A87*12,$H$6),MATCH($H$13,'Prepayment Engine'!$A$1:$AN$1,0)+5)),"")</f>
        <v/>
      </c>
      <c r="G87" s="105" t="str">
        <f>IF((A87-1)*12&lt;$H$6,SUM(INDEX('Prepayment Engine'!$A$2:$AN$481,(A87-1)*12+1,MATCH($H$13,'Prepayment Engine'!$A$1:$AN$1,0)+6):INDEX('Prepayment Engine'!$A$2:$AN$481,MIN(A87*12,$H$6),MATCH($H$13,'Prepayment Engine'!$A$1:$AN$1,0)+6)),"")</f>
        <v/>
      </c>
      <c r="H87" s="105" t="str" cm="1">
        <f t="array" ref="H87">IF((A87-1)*12&lt;$H$6,INDEX('Prepayment Engine'!$A$2:$AN$481,MIN(A87*12,$H$6),MATCH($H$13,'Prepayment Engine'!$A$1:$AN$1,0)+7),"")</f>
        <v/>
      </c>
    </row>
    <row r="88" spans="1:8" ht="19" customHeight="1" x14ac:dyDescent="0.35">
      <c r="A88" s="74">
        <f t="shared" si="0"/>
        <v>24</v>
      </c>
      <c r="B88" s="105" t="str" cm="1">
        <f t="array" ref="B88">IF((A88-1)*12&lt;$H$6,INDEX('Prepayment Engine'!$A$2:$AN$481,(A88-1)*12+1,MATCH($H$13,'Prepayment Engine'!$A$1:$AN$1,0)+1),"")</f>
        <v/>
      </c>
      <c r="C88" s="107" t="str" cm="1">
        <f t="array" ref="C88">IF((A88-1)*12&lt;$H$6,INDEX('Prepayment Engine'!$A$2:$AN$481,MIN(A88*12,$H$6),MATCH($H$13,'Prepayment Engine'!$A$1:$AN$1,0)+2),"")</f>
        <v/>
      </c>
      <c r="D88" s="105" t="str">
        <f>IF((A88-1)*12&lt;$H$6,SUM(INDEX('Prepayment Engine'!$A$2:$AN$481,(A88-1)*12+1,MATCH($H$13,'Prepayment Engine'!$A$1:$AN$1,0)+3):INDEX('Prepayment Engine'!$A$2:$AN$481,MIN(A88*12,$H$6),MATCH($H$13,'Prepayment Engine'!$A$1:$AN$1,0)+3)),"")</f>
        <v/>
      </c>
      <c r="E88" s="105" t="str">
        <f>IF((A88-1)*12&lt;$H$6,SUM(INDEX('Prepayment Engine'!$A$2:$AN$481,(A88-1)*12+1,MATCH($H$13,'Prepayment Engine'!$A$1:$AN$1,0)+4):INDEX('Prepayment Engine'!$A$2:$AN$481,MIN(A88*12,$H$6),MATCH($H$13,'Prepayment Engine'!$A$1:$AN$1,0)+4)),"")</f>
        <v/>
      </c>
      <c r="F88" s="105" t="str">
        <f>IF((A88-1)*12&lt;$H$6,SUM(INDEX('Prepayment Engine'!$A$2:$AN$481,(A88-1)*12+1,MATCH($H$13,'Prepayment Engine'!$A$1:$AN$1,0)+5):INDEX('Prepayment Engine'!$A$2:$AN$481,MIN(A88*12,$H$6),MATCH($H$13,'Prepayment Engine'!$A$1:$AN$1,0)+5)),"")</f>
        <v/>
      </c>
      <c r="G88" s="105" t="str">
        <f>IF((A88-1)*12&lt;$H$6,SUM(INDEX('Prepayment Engine'!$A$2:$AN$481,(A88-1)*12+1,MATCH($H$13,'Prepayment Engine'!$A$1:$AN$1,0)+6):INDEX('Prepayment Engine'!$A$2:$AN$481,MIN(A88*12,$H$6),MATCH($H$13,'Prepayment Engine'!$A$1:$AN$1,0)+6)),"")</f>
        <v/>
      </c>
      <c r="H88" s="105" t="str" cm="1">
        <f t="array" ref="H88">IF((A88-1)*12&lt;$H$6,INDEX('Prepayment Engine'!$A$2:$AN$481,MIN(A88*12,$H$6),MATCH($H$13,'Prepayment Engine'!$A$1:$AN$1,0)+7),"")</f>
        <v/>
      </c>
    </row>
    <row r="89" spans="1:8" ht="19" customHeight="1" x14ac:dyDescent="0.35">
      <c r="A89" s="74">
        <f t="shared" si="0"/>
        <v>25</v>
      </c>
      <c r="B89" s="105" t="str" cm="1">
        <f t="array" ref="B89">IF((A89-1)*12&lt;$H$6,INDEX('Prepayment Engine'!$A$2:$AN$481,(A89-1)*12+1,MATCH($H$13,'Prepayment Engine'!$A$1:$AN$1,0)+1),"")</f>
        <v/>
      </c>
      <c r="C89" s="107" t="str" cm="1">
        <f t="array" ref="C89">IF((A89-1)*12&lt;$H$6,INDEX('Prepayment Engine'!$A$2:$AN$481,MIN(A89*12,$H$6),MATCH($H$13,'Prepayment Engine'!$A$1:$AN$1,0)+2),"")</f>
        <v/>
      </c>
      <c r="D89" s="105" t="str">
        <f>IF((A89-1)*12&lt;$H$6,SUM(INDEX('Prepayment Engine'!$A$2:$AN$481,(A89-1)*12+1,MATCH($H$13,'Prepayment Engine'!$A$1:$AN$1,0)+3):INDEX('Prepayment Engine'!$A$2:$AN$481,MIN(A89*12,$H$6),MATCH($H$13,'Prepayment Engine'!$A$1:$AN$1,0)+3)),"")</f>
        <v/>
      </c>
      <c r="E89" s="105" t="str">
        <f>IF((A89-1)*12&lt;$H$6,SUM(INDEX('Prepayment Engine'!$A$2:$AN$481,(A89-1)*12+1,MATCH($H$13,'Prepayment Engine'!$A$1:$AN$1,0)+4):INDEX('Prepayment Engine'!$A$2:$AN$481,MIN(A89*12,$H$6),MATCH($H$13,'Prepayment Engine'!$A$1:$AN$1,0)+4)),"")</f>
        <v/>
      </c>
      <c r="F89" s="105" t="str">
        <f>IF((A89-1)*12&lt;$H$6,SUM(INDEX('Prepayment Engine'!$A$2:$AN$481,(A89-1)*12+1,MATCH($H$13,'Prepayment Engine'!$A$1:$AN$1,0)+5):INDEX('Prepayment Engine'!$A$2:$AN$481,MIN(A89*12,$H$6),MATCH($H$13,'Prepayment Engine'!$A$1:$AN$1,0)+5)),"")</f>
        <v/>
      </c>
      <c r="G89" s="105" t="str">
        <f>IF((A89-1)*12&lt;$H$6,SUM(INDEX('Prepayment Engine'!$A$2:$AN$481,(A89-1)*12+1,MATCH($H$13,'Prepayment Engine'!$A$1:$AN$1,0)+6):INDEX('Prepayment Engine'!$A$2:$AN$481,MIN(A89*12,$H$6),MATCH($H$13,'Prepayment Engine'!$A$1:$AN$1,0)+6)),"")</f>
        <v/>
      </c>
      <c r="H89" s="105" t="str" cm="1">
        <f t="array" ref="H89">IF((A89-1)*12&lt;$H$6,INDEX('Prepayment Engine'!$A$2:$AN$481,MIN(A89*12,$H$6),MATCH($H$13,'Prepayment Engine'!$A$1:$AN$1,0)+7),"")</f>
        <v/>
      </c>
    </row>
    <row r="90" spans="1:8" ht="19" customHeight="1" x14ac:dyDescent="0.35">
      <c r="A90" s="74">
        <f t="shared" si="0"/>
        <v>26</v>
      </c>
      <c r="B90" s="105" t="str" cm="1">
        <f t="array" ref="B90">IF((A90-1)*12&lt;$H$6,INDEX('Prepayment Engine'!$A$2:$AN$481,(A90-1)*12+1,MATCH($H$13,'Prepayment Engine'!$A$1:$AN$1,0)+1),"")</f>
        <v/>
      </c>
      <c r="C90" s="107" t="str" cm="1">
        <f t="array" ref="C90">IF((A90-1)*12&lt;$H$6,INDEX('Prepayment Engine'!$A$2:$AN$481,MIN(A90*12,$H$6),MATCH($H$13,'Prepayment Engine'!$A$1:$AN$1,0)+2),"")</f>
        <v/>
      </c>
      <c r="D90" s="105" t="str">
        <f>IF((A90-1)*12&lt;$H$6,SUM(INDEX('Prepayment Engine'!$A$2:$AN$481,(A90-1)*12+1,MATCH($H$13,'Prepayment Engine'!$A$1:$AN$1,0)+3):INDEX('Prepayment Engine'!$A$2:$AN$481,MIN(A90*12,$H$6),MATCH($H$13,'Prepayment Engine'!$A$1:$AN$1,0)+3)),"")</f>
        <v/>
      </c>
      <c r="E90" s="105" t="str">
        <f>IF((A90-1)*12&lt;$H$6,SUM(INDEX('Prepayment Engine'!$A$2:$AN$481,(A90-1)*12+1,MATCH($H$13,'Prepayment Engine'!$A$1:$AN$1,0)+4):INDEX('Prepayment Engine'!$A$2:$AN$481,MIN(A90*12,$H$6),MATCH($H$13,'Prepayment Engine'!$A$1:$AN$1,0)+4)),"")</f>
        <v/>
      </c>
      <c r="F90" s="105" t="str">
        <f>IF((A90-1)*12&lt;$H$6,SUM(INDEX('Prepayment Engine'!$A$2:$AN$481,(A90-1)*12+1,MATCH($H$13,'Prepayment Engine'!$A$1:$AN$1,0)+5):INDEX('Prepayment Engine'!$A$2:$AN$481,MIN(A90*12,$H$6),MATCH($H$13,'Prepayment Engine'!$A$1:$AN$1,0)+5)),"")</f>
        <v/>
      </c>
      <c r="G90" s="105" t="str">
        <f>IF((A90-1)*12&lt;$H$6,SUM(INDEX('Prepayment Engine'!$A$2:$AN$481,(A90-1)*12+1,MATCH($H$13,'Prepayment Engine'!$A$1:$AN$1,0)+6):INDEX('Prepayment Engine'!$A$2:$AN$481,MIN(A90*12,$H$6),MATCH($H$13,'Prepayment Engine'!$A$1:$AN$1,0)+6)),"")</f>
        <v/>
      </c>
      <c r="H90" s="105" t="str" cm="1">
        <f t="array" ref="H90">IF((A90-1)*12&lt;$H$6,INDEX('Prepayment Engine'!$A$2:$AN$481,MIN(A90*12,$H$6),MATCH($H$13,'Prepayment Engine'!$A$1:$AN$1,0)+7),"")</f>
        <v/>
      </c>
    </row>
    <row r="91" spans="1:8" ht="19" customHeight="1" x14ac:dyDescent="0.35">
      <c r="A91" s="74">
        <f t="shared" si="0"/>
        <v>27</v>
      </c>
      <c r="B91" s="105" t="str" cm="1">
        <f t="array" ref="B91">IF((A91-1)*12&lt;$H$6,INDEX('Prepayment Engine'!$A$2:$AN$481,(A91-1)*12+1,MATCH($H$13,'Prepayment Engine'!$A$1:$AN$1,0)+1),"")</f>
        <v/>
      </c>
      <c r="C91" s="107" t="str" cm="1">
        <f t="array" ref="C91">IF((A91-1)*12&lt;$H$6,INDEX('Prepayment Engine'!$A$2:$AN$481,MIN(A91*12,$H$6),MATCH($H$13,'Prepayment Engine'!$A$1:$AN$1,0)+2),"")</f>
        <v/>
      </c>
      <c r="D91" s="105" t="str">
        <f>IF((A91-1)*12&lt;$H$6,SUM(INDEX('Prepayment Engine'!$A$2:$AN$481,(A91-1)*12+1,MATCH($H$13,'Prepayment Engine'!$A$1:$AN$1,0)+3):INDEX('Prepayment Engine'!$A$2:$AN$481,MIN(A91*12,$H$6),MATCH($H$13,'Prepayment Engine'!$A$1:$AN$1,0)+3)),"")</f>
        <v/>
      </c>
      <c r="E91" s="105" t="str">
        <f>IF((A91-1)*12&lt;$H$6,SUM(INDEX('Prepayment Engine'!$A$2:$AN$481,(A91-1)*12+1,MATCH($H$13,'Prepayment Engine'!$A$1:$AN$1,0)+4):INDEX('Prepayment Engine'!$A$2:$AN$481,MIN(A91*12,$H$6),MATCH($H$13,'Prepayment Engine'!$A$1:$AN$1,0)+4)),"")</f>
        <v/>
      </c>
      <c r="F91" s="105" t="str">
        <f>IF((A91-1)*12&lt;$H$6,SUM(INDEX('Prepayment Engine'!$A$2:$AN$481,(A91-1)*12+1,MATCH($H$13,'Prepayment Engine'!$A$1:$AN$1,0)+5):INDEX('Prepayment Engine'!$A$2:$AN$481,MIN(A91*12,$H$6),MATCH($H$13,'Prepayment Engine'!$A$1:$AN$1,0)+5)),"")</f>
        <v/>
      </c>
      <c r="G91" s="105" t="str">
        <f>IF((A91-1)*12&lt;$H$6,SUM(INDEX('Prepayment Engine'!$A$2:$AN$481,(A91-1)*12+1,MATCH($H$13,'Prepayment Engine'!$A$1:$AN$1,0)+6):INDEX('Prepayment Engine'!$A$2:$AN$481,MIN(A91*12,$H$6),MATCH($H$13,'Prepayment Engine'!$A$1:$AN$1,0)+6)),"")</f>
        <v/>
      </c>
      <c r="H91" s="105" t="str" cm="1">
        <f t="array" ref="H91">IF((A91-1)*12&lt;$H$6,INDEX('Prepayment Engine'!$A$2:$AN$481,MIN(A91*12,$H$6),MATCH($H$13,'Prepayment Engine'!$A$1:$AN$1,0)+7),"")</f>
        <v/>
      </c>
    </row>
    <row r="92" spans="1:8" ht="19" customHeight="1" x14ac:dyDescent="0.35">
      <c r="A92" s="74">
        <f t="shared" si="0"/>
        <v>28</v>
      </c>
      <c r="B92" s="105" t="str" cm="1">
        <f t="array" ref="B92">IF((A92-1)*12&lt;$H$6,INDEX('Prepayment Engine'!$A$2:$AN$481,(A92-1)*12+1,MATCH($H$13,'Prepayment Engine'!$A$1:$AN$1,0)+1),"")</f>
        <v/>
      </c>
      <c r="C92" s="107" t="str" cm="1">
        <f t="array" ref="C92">IF((A92-1)*12&lt;$H$6,INDEX('Prepayment Engine'!$A$2:$AN$481,MIN(A92*12,$H$6),MATCH($H$13,'Prepayment Engine'!$A$1:$AN$1,0)+2),"")</f>
        <v/>
      </c>
      <c r="D92" s="105" t="str">
        <f>IF((A92-1)*12&lt;$H$6,SUM(INDEX('Prepayment Engine'!$A$2:$AN$481,(A92-1)*12+1,MATCH($H$13,'Prepayment Engine'!$A$1:$AN$1,0)+3):INDEX('Prepayment Engine'!$A$2:$AN$481,MIN(A92*12,$H$6),MATCH($H$13,'Prepayment Engine'!$A$1:$AN$1,0)+3)),"")</f>
        <v/>
      </c>
      <c r="E92" s="105" t="str">
        <f>IF((A92-1)*12&lt;$H$6,SUM(INDEX('Prepayment Engine'!$A$2:$AN$481,(A92-1)*12+1,MATCH($H$13,'Prepayment Engine'!$A$1:$AN$1,0)+4):INDEX('Prepayment Engine'!$A$2:$AN$481,MIN(A92*12,$H$6),MATCH($H$13,'Prepayment Engine'!$A$1:$AN$1,0)+4)),"")</f>
        <v/>
      </c>
      <c r="F92" s="105" t="str">
        <f>IF((A92-1)*12&lt;$H$6,SUM(INDEX('Prepayment Engine'!$A$2:$AN$481,(A92-1)*12+1,MATCH($H$13,'Prepayment Engine'!$A$1:$AN$1,0)+5):INDEX('Prepayment Engine'!$A$2:$AN$481,MIN(A92*12,$H$6),MATCH($H$13,'Prepayment Engine'!$A$1:$AN$1,0)+5)),"")</f>
        <v/>
      </c>
      <c r="G92" s="105" t="str">
        <f>IF((A92-1)*12&lt;$H$6,SUM(INDEX('Prepayment Engine'!$A$2:$AN$481,(A92-1)*12+1,MATCH($H$13,'Prepayment Engine'!$A$1:$AN$1,0)+6):INDEX('Prepayment Engine'!$A$2:$AN$481,MIN(A92*12,$H$6),MATCH($H$13,'Prepayment Engine'!$A$1:$AN$1,0)+6)),"")</f>
        <v/>
      </c>
      <c r="H92" s="105" t="str" cm="1">
        <f t="array" ref="H92">IF((A92-1)*12&lt;$H$6,INDEX('Prepayment Engine'!$A$2:$AN$481,MIN(A92*12,$H$6),MATCH($H$13,'Prepayment Engine'!$A$1:$AN$1,0)+7),"")</f>
        <v/>
      </c>
    </row>
    <row r="93" spans="1:8" ht="19" customHeight="1" x14ac:dyDescent="0.35">
      <c r="A93" s="75">
        <f t="shared" si="0"/>
        <v>29</v>
      </c>
      <c r="B93" s="106" t="str" cm="1">
        <f t="array" ref="B93">IF((A93-1)*12&lt;$H$6,INDEX('Prepayment Engine'!$A$2:$AN$481,(A93-1)*12+1,MATCH($H$13,'Prepayment Engine'!$A$1:$AN$1,0)+1),"")</f>
        <v/>
      </c>
      <c r="C93" s="108" t="str" cm="1">
        <f t="array" ref="C93">IF((A93-1)*12&lt;$H$6,INDEX('Prepayment Engine'!$A$2:$AN$481,MIN(A93*12,$H$6),MATCH($H$13,'Prepayment Engine'!$A$1:$AN$1,0)+2),"")</f>
        <v/>
      </c>
      <c r="D93" s="106" t="str">
        <f>IF((A93-1)*12&lt;$H$6,SUM(INDEX('Prepayment Engine'!$A$2:$AN$481,(A93-1)*12+1,MATCH($H$13,'Prepayment Engine'!$A$1:$AN$1,0)+3):INDEX('Prepayment Engine'!$A$2:$AN$481,MIN(A93*12,$H$6),MATCH($H$13,'Prepayment Engine'!$A$1:$AN$1,0)+3)),"")</f>
        <v/>
      </c>
      <c r="E93" s="106" t="str">
        <f>IF((A93-1)*12&lt;$H$6,SUM(INDEX('Prepayment Engine'!$A$2:$AN$481,(A93-1)*12+1,MATCH($H$13,'Prepayment Engine'!$A$1:$AN$1,0)+4):INDEX('Prepayment Engine'!$A$2:$AN$481,MIN(A93*12,$H$6),MATCH($H$13,'Prepayment Engine'!$A$1:$AN$1,0)+4)),"")</f>
        <v/>
      </c>
      <c r="F93" s="106" t="str">
        <f>IF((A93-1)*12&lt;$H$6,SUM(INDEX('Prepayment Engine'!$A$2:$AN$481,(A93-1)*12+1,MATCH($H$13,'Prepayment Engine'!$A$1:$AN$1,0)+5):INDEX('Prepayment Engine'!$A$2:$AN$481,MIN(A93*12,$H$6),MATCH($H$13,'Prepayment Engine'!$A$1:$AN$1,0)+5)),"")</f>
        <v/>
      </c>
      <c r="G93" s="106" t="str">
        <f>IF((A93-1)*12&lt;$H$6,SUM(INDEX('Prepayment Engine'!$A$2:$AN$481,(A93-1)*12+1,MATCH($H$13,'Prepayment Engine'!$A$1:$AN$1,0)+6):INDEX('Prepayment Engine'!$A$2:$AN$481,MIN(A93*12,$H$6),MATCH($H$13,'Prepayment Engine'!$A$1:$AN$1,0)+6)),"")</f>
        <v/>
      </c>
      <c r="H93" s="106" t="str" cm="1">
        <f t="array" ref="H93">IF((A93-1)*12&lt;$H$6,INDEX('Prepayment Engine'!$A$2:$AN$481,MIN(A93*12,$H$6),MATCH($H$13,'Prepayment Engine'!$A$1:$AN$1,0)+7),"")</f>
        <v/>
      </c>
    </row>
    <row r="94" spans="1:8" ht="19" customHeight="1" x14ac:dyDescent="0.35">
      <c r="A94" s="75">
        <f t="shared" si="0"/>
        <v>30</v>
      </c>
      <c r="B94" s="106" t="str" cm="1">
        <f t="array" ref="B94">IF((A94-1)*12&lt;$H$6,INDEX('Prepayment Engine'!$A$2:$AN$481,(A94-1)*12+1,MATCH($H$13,'Prepayment Engine'!$A$1:$AN$1,0)+1),"")</f>
        <v/>
      </c>
      <c r="C94" s="108" t="str" cm="1">
        <f t="array" ref="C94">IF((A94-1)*12&lt;$H$6,INDEX('Prepayment Engine'!$A$2:$AN$481,MIN(A94*12,$H$6),MATCH($H$13,'Prepayment Engine'!$A$1:$AN$1,0)+2),"")</f>
        <v/>
      </c>
      <c r="D94" s="106" t="str">
        <f>IF((A94-1)*12&lt;$H$6,SUM(INDEX('Prepayment Engine'!$A$2:$AN$481,(A94-1)*12+1,MATCH($H$13,'Prepayment Engine'!$A$1:$AN$1,0)+3):INDEX('Prepayment Engine'!$A$2:$AN$481,MIN(A94*12,$H$6),MATCH($H$13,'Prepayment Engine'!$A$1:$AN$1,0)+3)),"")</f>
        <v/>
      </c>
      <c r="E94" s="106" t="str">
        <f>IF((A94-1)*12&lt;$H$6,SUM(INDEX('Prepayment Engine'!$A$2:$AN$481,(A94-1)*12+1,MATCH($H$13,'Prepayment Engine'!$A$1:$AN$1,0)+4):INDEX('Prepayment Engine'!$A$2:$AN$481,MIN(A94*12,$H$6),MATCH($H$13,'Prepayment Engine'!$A$1:$AN$1,0)+4)),"")</f>
        <v/>
      </c>
      <c r="F94" s="106" t="str">
        <f>IF((A94-1)*12&lt;$H$6,SUM(INDEX('Prepayment Engine'!$A$2:$AN$481,(A94-1)*12+1,MATCH($H$13,'Prepayment Engine'!$A$1:$AN$1,0)+5):INDEX('Prepayment Engine'!$A$2:$AN$481,MIN(A94*12,$H$6),MATCH($H$13,'Prepayment Engine'!$A$1:$AN$1,0)+5)),"")</f>
        <v/>
      </c>
      <c r="G94" s="106" t="str">
        <f>IF((A94-1)*12&lt;$H$6,SUM(INDEX('Prepayment Engine'!$A$2:$AN$481,(A94-1)*12+1,MATCH($H$13,'Prepayment Engine'!$A$1:$AN$1,0)+6):INDEX('Prepayment Engine'!$A$2:$AN$481,MIN(A94*12,$H$6),MATCH($H$13,'Prepayment Engine'!$A$1:$AN$1,0)+6)),"")</f>
        <v/>
      </c>
      <c r="H94" s="106" t="str" cm="1">
        <f t="array" ref="H94">IF((A94-1)*12&lt;$H$6,INDEX('Prepayment Engine'!$A$2:$AN$481,MIN(A94*12,$H$6),MATCH($H$13,'Prepayment Engine'!$A$1:$AN$1,0)+7),"")</f>
        <v/>
      </c>
    </row>
    <row r="95" spans="1:8" ht="18" customHeight="1" x14ac:dyDescent="0.35">
      <c r="A95">
        <f t="shared" ref="A95:A104" si="1">A94+1</f>
        <v>31</v>
      </c>
      <c r="B95" t="str" cm="1">
        <f t="array" ref="B95">IF((A95-1)*12&lt;$H$6,INDEX('Prepayment Engine'!$A$2:$AN$481,(A95-1)*12+1,MATCH($H$13,'Prepayment Engine'!$A$1:$AN$1,0)+1),"")</f>
        <v/>
      </c>
      <c r="C95" t="str" cm="1">
        <f t="array" ref="C95">IF((A95-1)*12&lt;$H$6,INDEX('Prepayment Engine'!$A$2:$AN$481,MIN(A95*12,$H$6),MATCH($H$13,'Prepayment Engine'!$A$1:$AN$1,0)+2),"")</f>
        <v/>
      </c>
      <c r="D95" t="str">
        <f>IF((A95-1)*12&lt;$H$6,SUM(INDEX('Prepayment Engine'!$A$2:$AN$481,(A95-1)*12+1,MATCH($H$13,'Prepayment Engine'!$A$1:$AN$1,0)+3):INDEX('Prepayment Engine'!$A$2:$AN$481,MIN(A95*12,$H$6),MATCH($H$13,'Prepayment Engine'!$A$1:$AN$1,0)+3)),"")</f>
        <v/>
      </c>
      <c r="E95" t="str">
        <f>IF((A95-1)*12&lt;$H$6,SUM(INDEX('Prepayment Engine'!$A$2:$AN$481,(A95-1)*12+1,MATCH($H$13,'Prepayment Engine'!$A$1:$AN$1,0)+4):INDEX('Prepayment Engine'!$A$2:$AN$481,MIN(A95*12,$H$6),MATCH($H$13,'Prepayment Engine'!$A$1:$AN$1,0)+4)),"")</f>
        <v/>
      </c>
      <c r="F95" t="str">
        <f>IF((A95-1)*12&lt;$H$6,SUM(INDEX('Prepayment Engine'!$A$2:$AN$481,(A95-1)*12+1,MATCH($H$13,'Prepayment Engine'!$A$1:$AN$1,0)+5):INDEX('Prepayment Engine'!$A$2:$AN$481,MIN(A95*12,$H$6),MATCH($H$13,'Prepayment Engine'!$A$1:$AN$1,0)+5)),"")</f>
        <v/>
      </c>
      <c r="G95" t="str">
        <f>IF((A95-1)*12&lt;$H$6,SUM(INDEX('Prepayment Engine'!$A$2:$AN$481,(A95-1)*12+1,MATCH($H$13,'Prepayment Engine'!$A$1:$AN$1,0)+6):INDEX('Prepayment Engine'!$A$2:$AN$481,MIN(A95*12,$H$6),MATCH($H$13,'Prepayment Engine'!$A$1:$AN$1,0)+6)),"")</f>
        <v/>
      </c>
      <c r="H95" t="str" cm="1">
        <f t="array" ref="H95">IF((A95-1)*12&lt;$H$6,INDEX('Prepayment Engine'!$A$2:$AN$481,MIN(A95*12,$H$6),MATCH($H$13,'Prepayment Engine'!$A$1:$AN$1,0)+7),"")</f>
        <v/>
      </c>
    </row>
    <row r="96" spans="1:8" ht="18" customHeight="1" x14ac:dyDescent="0.35">
      <c r="A96">
        <f t="shared" si="1"/>
        <v>32</v>
      </c>
      <c r="B96" t="str" cm="1">
        <f t="array" ref="B96">IF((A96-1)*12&lt;$H$6,INDEX('Prepayment Engine'!$A$2:$AN$481,(A96-1)*12+1,MATCH($H$13,'Prepayment Engine'!$A$1:$AN$1,0)+1),"")</f>
        <v/>
      </c>
      <c r="C96" t="str" cm="1">
        <f t="array" ref="C96">IF((A96-1)*12&lt;$H$6,INDEX('Prepayment Engine'!$A$2:$AN$481,MIN(A96*12,$H$6),MATCH($H$13,'Prepayment Engine'!$A$1:$AN$1,0)+2),"")</f>
        <v/>
      </c>
      <c r="D96" t="str">
        <f>IF((A96-1)*12&lt;$H$6,SUM(INDEX('Prepayment Engine'!$A$2:$AN$481,(A96-1)*12+1,MATCH($H$13,'Prepayment Engine'!$A$1:$AN$1,0)+3):INDEX('Prepayment Engine'!$A$2:$AN$481,MIN(A96*12,$H$6),MATCH($H$13,'Prepayment Engine'!$A$1:$AN$1,0)+3)),"")</f>
        <v/>
      </c>
      <c r="E96" t="str">
        <f>IF((A96-1)*12&lt;$H$6,SUM(INDEX('Prepayment Engine'!$A$2:$AN$481,(A96-1)*12+1,MATCH($H$13,'Prepayment Engine'!$A$1:$AN$1,0)+4):INDEX('Prepayment Engine'!$A$2:$AN$481,MIN(A96*12,$H$6),MATCH($H$13,'Prepayment Engine'!$A$1:$AN$1,0)+4)),"")</f>
        <v/>
      </c>
      <c r="F96" t="str">
        <f>IF((A96-1)*12&lt;$H$6,SUM(INDEX('Prepayment Engine'!$A$2:$AN$481,(A96-1)*12+1,MATCH($H$13,'Prepayment Engine'!$A$1:$AN$1,0)+5):INDEX('Prepayment Engine'!$A$2:$AN$481,MIN(A96*12,$H$6),MATCH($H$13,'Prepayment Engine'!$A$1:$AN$1,0)+5)),"")</f>
        <v/>
      </c>
      <c r="G96" t="str">
        <f>IF((A96-1)*12&lt;$H$6,SUM(INDEX('Prepayment Engine'!$A$2:$AN$481,(A96-1)*12+1,MATCH($H$13,'Prepayment Engine'!$A$1:$AN$1,0)+6):INDEX('Prepayment Engine'!$A$2:$AN$481,MIN(A96*12,$H$6),MATCH($H$13,'Prepayment Engine'!$A$1:$AN$1,0)+6)),"")</f>
        <v/>
      </c>
      <c r="H96" t="str" cm="1">
        <f t="array" ref="H96">IF((A96-1)*12&lt;$H$6,INDEX('Prepayment Engine'!$A$2:$AN$481,MIN(A96*12,$H$6),MATCH($H$13,'Prepayment Engine'!$A$1:$AN$1,0)+7),"")</f>
        <v/>
      </c>
    </row>
    <row r="97" spans="1:8" ht="18" customHeight="1" x14ac:dyDescent="0.35">
      <c r="A97">
        <f t="shared" si="1"/>
        <v>33</v>
      </c>
      <c r="B97" t="str" cm="1">
        <f t="array" ref="B97">IF((A97-1)*12&lt;$H$6,INDEX('Prepayment Engine'!$A$2:$AN$481,(A97-1)*12+1,MATCH($H$13,'Prepayment Engine'!$A$1:$AN$1,0)+1),"")</f>
        <v/>
      </c>
      <c r="C97" t="str" cm="1">
        <f t="array" ref="C97">IF((A97-1)*12&lt;$H$6,INDEX('Prepayment Engine'!$A$2:$AN$481,MIN(A97*12,$H$6),MATCH($H$13,'Prepayment Engine'!$A$1:$AN$1,0)+2),"")</f>
        <v/>
      </c>
      <c r="D97" t="str">
        <f>IF((A97-1)*12&lt;$H$6,SUM(INDEX('Prepayment Engine'!$A$2:$AN$481,(A97-1)*12+1,MATCH($H$13,'Prepayment Engine'!$A$1:$AN$1,0)+3):INDEX('Prepayment Engine'!$A$2:$AN$481,MIN(A97*12,$H$6),MATCH($H$13,'Prepayment Engine'!$A$1:$AN$1,0)+3)),"")</f>
        <v/>
      </c>
      <c r="E97" t="str">
        <f>IF((A97-1)*12&lt;$H$6,SUM(INDEX('Prepayment Engine'!$A$2:$AN$481,(A97-1)*12+1,MATCH($H$13,'Prepayment Engine'!$A$1:$AN$1,0)+4):INDEX('Prepayment Engine'!$A$2:$AN$481,MIN(A97*12,$H$6),MATCH($H$13,'Prepayment Engine'!$A$1:$AN$1,0)+4)),"")</f>
        <v/>
      </c>
      <c r="F97" t="str">
        <f>IF((A97-1)*12&lt;$H$6,SUM(INDEX('Prepayment Engine'!$A$2:$AN$481,(A97-1)*12+1,MATCH($H$13,'Prepayment Engine'!$A$1:$AN$1,0)+5):INDEX('Prepayment Engine'!$A$2:$AN$481,MIN(A97*12,$H$6),MATCH($H$13,'Prepayment Engine'!$A$1:$AN$1,0)+5)),"")</f>
        <v/>
      </c>
      <c r="G97" t="str">
        <f>IF((A97-1)*12&lt;$H$6,SUM(INDEX('Prepayment Engine'!$A$2:$AN$481,(A97-1)*12+1,MATCH($H$13,'Prepayment Engine'!$A$1:$AN$1,0)+6):INDEX('Prepayment Engine'!$A$2:$AN$481,MIN(A97*12,$H$6),MATCH($H$13,'Prepayment Engine'!$A$1:$AN$1,0)+6)),"")</f>
        <v/>
      </c>
      <c r="H97" t="str" cm="1">
        <f t="array" ref="H97">IF((A97-1)*12&lt;$H$6,INDEX('Prepayment Engine'!$A$2:$AN$481,MIN(A97*12,$H$6),MATCH($H$13,'Prepayment Engine'!$A$1:$AN$1,0)+7),"")</f>
        <v/>
      </c>
    </row>
    <row r="98" spans="1:8" ht="18" customHeight="1" x14ac:dyDescent="0.35">
      <c r="A98">
        <f t="shared" si="1"/>
        <v>34</v>
      </c>
      <c r="B98" t="str" cm="1">
        <f t="array" ref="B98">IF((A98-1)*12&lt;$H$6,INDEX('Prepayment Engine'!$A$2:$AN$481,(A98-1)*12+1,MATCH($H$13,'Prepayment Engine'!$A$1:$AN$1,0)+1),"")</f>
        <v/>
      </c>
      <c r="C98" t="str" cm="1">
        <f t="array" ref="C98">IF((A98-1)*12&lt;$H$6,INDEX('Prepayment Engine'!$A$2:$AN$481,MIN(A98*12,$H$6),MATCH($H$13,'Prepayment Engine'!$A$1:$AN$1,0)+2),"")</f>
        <v/>
      </c>
      <c r="D98" t="str">
        <f>IF((A98-1)*12&lt;$H$6,SUM(INDEX('Prepayment Engine'!$A$2:$AN$481,(A98-1)*12+1,MATCH($H$13,'Prepayment Engine'!$A$1:$AN$1,0)+3):INDEX('Prepayment Engine'!$A$2:$AN$481,MIN(A98*12,$H$6),MATCH($H$13,'Prepayment Engine'!$A$1:$AN$1,0)+3)),"")</f>
        <v/>
      </c>
      <c r="E98" t="str">
        <f>IF((A98-1)*12&lt;$H$6,SUM(INDEX('Prepayment Engine'!$A$2:$AN$481,(A98-1)*12+1,MATCH($H$13,'Prepayment Engine'!$A$1:$AN$1,0)+4):INDEX('Prepayment Engine'!$A$2:$AN$481,MIN(A98*12,$H$6),MATCH($H$13,'Prepayment Engine'!$A$1:$AN$1,0)+4)),"")</f>
        <v/>
      </c>
      <c r="F98" t="str">
        <f>IF((A98-1)*12&lt;$H$6,SUM(INDEX('Prepayment Engine'!$A$2:$AN$481,(A98-1)*12+1,MATCH($H$13,'Prepayment Engine'!$A$1:$AN$1,0)+5):INDEX('Prepayment Engine'!$A$2:$AN$481,MIN(A98*12,$H$6),MATCH($H$13,'Prepayment Engine'!$A$1:$AN$1,0)+5)),"")</f>
        <v/>
      </c>
      <c r="G98" t="str">
        <f>IF((A98-1)*12&lt;$H$6,SUM(INDEX('Prepayment Engine'!$A$2:$AN$481,(A98-1)*12+1,MATCH($H$13,'Prepayment Engine'!$A$1:$AN$1,0)+6):INDEX('Prepayment Engine'!$A$2:$AN$481,MIN(A98*12,$H$6),MATCH($H$13,'Prepayment Engine'!$A$1:$AN$1,0)+6)),"")</f>
        <v/>
      </c>
      <c r="H98" t="str" cm="1">
        <f t="array" ref="H98">IF((A98-1)*12&lt;$H$6,INDEX('Prepayment Engine'!$A$2:$AN$481,MIN(A98*12,$H$6),MATCH($H$13,'Prepayment Engine'!$A$1:$AN$1,0)+7),"")</f>
        <v/>
      </c>
    </row>
    <row r="99" spans="1:8" ht="18" customHeight="1" x14ac:dyDescent="0.35">
      <c r="A99">
        <f t="shared" si="1"/>
        <v>35</v>
      </c>
      <c r="B99" t="str" cm="1">
        <f t="array" ref="B99">IF((A99-1)*12&lt;$H$6,INDEX('Prepayment Engine'!$A$2:$AN$481,(A99-1)*12+1,MATCH($H$13,'Prepayment Engine'!$A$1:$AN$1,0)+1),"")</f>
        <v/>
      </c>
      <c r="C99" t="str" cm="1">
        <f t="array" ref="C99">IF((A99-1)*12&lt;$H$6,INDEX('Prepayment Engine'!$A$2:$AN$481,MIN(A99*12,$H$6),MATCH($H$13,'Prepayment Engine'!$A$1:$AN$1,0)+2),"")</f>
        <v/>
      </c>
      <c r="D99" t="str">
        <f>IF((A99-1)*12&lt;$H$6,SUM(INDEX('Prepayment Engine'!$A$2:$AN$481,(A99-1)*12+1,MATCH($H$13,'Prepayment Engine'!$A$1:$AN$1,0)+3):INDEX('Prepayment Engine'!$A$2:$AN$481,MIN(A99*12,$H$6),MATCH($H$13,'Prepayment Engine'!$A$1:$AN$1,0)+3)),"")</f>
        <v/>
      </c>
      <c r="E99" t="str">
        <f>IF((A99-1)*12&lt;$H$6,SUM(INDEX('Prepayment Engine'!$A$2:$AN$481,(A99-1)*12+1,MATCH($H$13,'Prepayment Engine'!$A$1:$AN$1,0)+4):INDEX('Prepayment Engine'!$A$2:$AN$481,MIN(A99*12,$H$6),MATCH($H$13,'Prepayment Engine'!$A$1:$AN$1,0)+4)),"")</f>
        <v/>
      </c>
      <c r="F99" t="str">
        <f>IF((A99-1)*12&lt;$H$6,SUM(INDEX('Prepayment Engine'!$A$2:$AN$481,(A99-1)*12+1,MATCH($H$13,'Prepayment Engine'!$A$1:$AN$1,0)+5):INDEX('Prepayment Engine'!$A$2:$AN$481,MIN(A99*12,$H$6),MATCH($H$13,'Prepayment Engine'!$A$1:$AN$1,0)+5)),"")</f>
        <v/>
      </c>
      <c r="G99" t="str">
        <f>IF((A99-1)*12&lt;$H$6,SUM(INDEX('Prepayment Engine'!$A$2:$AN$481,(A99-1)*12+1,MATCH($H$13,'Prepayment Engine'!$A$1:$AN$1,0)+6):INDEX('Prepayment Engine'!$A$2:$AN$481,MIN(A99*12,$H$6),MATCH($H$13,'Prepayment Engine'!$A$1:$AN$1,0)+6)),"")</f>
        <v/>
      </c>
      <c r="H99" t="str" cm="1">
        <f t="array" ref="H99">IF((A99-1)*12&lt;$H$6,INDEX('Prepayment Engine'!$A$2:$AN$481,MIN(A99*12,$H$6),MATCH($H$13,'Prepayment Engine'!$A$1:$AN$1,0)+7),"")</f>
        <v/>
      </c>
    </row>
    <row r="100" spans="1:8" ht="18" customHeight="1" x14ac:dyDescent="0.35">
      <c r="A100">
        <f t="shared" si="1"/>
        <v>36</v>
      </c>
      <c r="B100" t="str" cm="1">
        <f t="array" ref="B100">IF((A100-1)*12&lt;$H$6,INDEX('Prepayment Engine'!$A$2:$AN$481,(A100-1)*12+1,MATCH($H$13,'Prepayment Engine'!$A$1:$AN$1,0)+1),"")</f>
        <v/>
      </c>
      <c r="C100" t="str" cm="1">
        <f t="array" ref="C100">IF((A100-1)*12&lt;$H$6,INDEX('Prepayment Engine'!$A$2:$AN$481,MIN(A100*12,$H$6),MATCH($H$13,'Prepayment Engine'!$A$1:$AN$1,0)+2),"")</f>
        <v/>
      </c>
      <c r="D100" t="str">
        <f>IF((A100-1)*12&lt;$H$6,SUM(INDEX('Prepayment Engine'!$A$2:$AN$481,(A100-1)*12+1,MATCH($H$13,'Prepayment Engine'!$A$1:$AN$1,0)+3):INDEX('Prepayment Engine'!$A$2:$AN$481,MIN(A100*12,$H$6),MATCH($H$13,'Prepayment Engine'!$A$1:$AN$1,0)+3)),"")</f>
        <v/>
      </c>
      <c r="E100" t="str">
        <f>IF((A100-1)*12&lt;$H$6,SUM(INDEX('Prepayment Engine'!$A$2:$AN$481,(A100-1)*12+1,MATCH($H$13,'Prepayment Engine'!$A$1:$AN$1,0)+4):INDEX('Prepayment Engine'!$A$2:$AN$481,MIN(A100*12,$H$6),MATCH($H$13,'Prepayment Engine'!$A$1:$AN$1,0)+4)),"")</f>
        <v/>
      </c>
      <c r="F100" t="str">
        <f>IF((A100-1)*12&lt;$H$6,SUM(INDEX('Prepayment Engine'!$A$2:$AN$481,(A100-1)*12+1,MATCH($H$13,'Prepayment Engine'!$A$1:$AN$1,0)+5):INDEX('Prepayment Engine'!$A$2:$AN$481,MIN(A100*12,$H$6),MATCH($H$13,'Prepayment Engine'!$A$1:$AN$1,0)+5)),"")</f>
        <v/>
      </c>
      <c r="G100" t="str">
        <f>IF((A100-1)*12&lt;$H$6,SUM(INDEX('Prepayment Engine'!$A$2:$AN$481,(A100-1)*12+1,MATCH($H$13,'Prepayment Engine'!$A$1:$AN$1,0)+6):INDEX('Prepayment Engine'!$A$2:$AN$481,MIN(A100*12,$H$6),MATCH($H$13,'Prepayment Engine'!$A$1:$AN$1,0)+6)),"")</f>
        <v/>
      </c>
      <c r="H100" t="str" cm="1">
        <f t="array" ref="H100">IF((A100-1)*12&lt;$H$6,INDEX('Prepayment Engine'!$A$2:$AN$481,MIN(A100*12,$H$6),MATCH($H$13,'Prepayment Engine'!$A$1:$AN$1,0)+7),"")</f>
        <v/>
      </c>
    </row>
    <row r="101" spans="1:8" ht="18" customHeight="1" x14ac:dyDescent="0.35">
      <c r="A101">
        <f t="shared" si="1"/>
        <v>37</v>
      </c>
      <c r="B101" t="str" cm="1">
        <f t="array" ref="B101">IF((A101-1)*12&lt;$H$6,INDEX('Prepayment Engine'!$A$2:$AN$481,(A101-1)*12+1,MATCH($H$13,'Prepayment Engine'!$A$1:$AN$1,0)+1),"")</f>
        <v/>
      </c>
      <c r="C101" t="str" cm="1">
        <f t="array" ref="C101">IF((A101-1)*12&lt;$H$6,INDEX('Prepayment Engine'!$A$2:$AN$481,MIN(A101*12,$H$6),MATCH($H$13,'Prepayment Engine'!$A$1:$AN$1,0)+2),"")</f>
        <v/>
      </c>
      <c r="D101" t="str">
        <f>IF((A101-1)*12&lt;$H$6,SUM(INDEX('Prepayment Engine'!$A$2:$AN$481,(A101-1)*12+1,MATCH($H$13,'Prepayment Engine'!$A$1:$AN$1,0)+3):INDEX('Prepayment Engine'!$A$2:$AN$481,MIN(A101*12,$H$6),MATCH($H$13,'Prepayment Engine'!$A$1:$AN$1,0)+3)),"")</f>
        <v/>
      </c>
      <c r="E101" t="str">
        <f>IF((A101-1)*12&lt;$H$6,SUM(INDEX('Prepayment Engine'!$A$2:$AN$481,(A101-1)*12+1,MATCH($H$13,'Prepayment Engine'!$A$1:$AN$1,0)+4):INDEX('Prepayment Engine'!$A$2:$AN$481,MIN(A101*12,$H$6),MATCH($H$13,'Prepayment Engine'!$A$1:$AN$1,0)+4)),"")</f>
        <v/>
      </c>
      <c r="F101" t="str">
        <f>IF((A101-1)*12&lt;$H$6,SUM(INDEX('Prepayment Engine'!$A$2:$AN$481,(A101-1)*12+1,MATCH($H$13,'Prepayment Engine'!$A$1:$AN$1,0)+5):INDEX('Prepayment Engine'!$A$2:$AN$481,MIN(A101*12,$H$6),MATCH($H$13,'Prepayment Engine'!$A$1:$AN$1,0)+5)),"")</f>
        <v/>
      </c>
      <c r="G101" t="str">
        <f>IF((A101-1)*12&lt;$H$6,SUM(INDEX('Prepayment Engine'!$A$2:$AN$481,(A101-1)*12+1,MATCH($H$13,'Prepayment Engine'!$A$1:$AN$1,0)+6):INDEX('Prepayment Engine'!$A$2:$AN$481,MIN(A101*12,$H$6),MATCH($H$13,'Prepayment Engine'!$A$1:$AN$1,0)+6)),"")</f>
        <v/>
      </c>
      <c r="H101" t="str" cm="1">
        <f t="array" ref="H101">IF((A101-1)*12&lt;$H$6,INDEX('Prepayment Engine'!$A$2:$AN$481,MIN(A101*12,$H$6),MATCH($H$13,'Prepayment Engine'!$A$1:$AN$1,0)+7),"")</f>
        <v/>
      </c>
    </row>
    <row r="102" spans="1:8" ht="18" customHeight="1" x14ac:dyDescent="0.35">
      <c r="A102">
        <f t="shared" si="1"/>
        <v>38</v>
      </c>
      <c r="B102" t="str" cm="1">
        <f t="array" ref="B102">IF((A102-1)*12&lt;$H$6,INDEX('Prepayment Engine'!$A$2:$AN$481,(A102-1)*12+1,MATCH($H$13,'Prepayment Engine'!$A$1:$AN$1,0)+1),"")</f>
        <v/>
      </c>
      <c r="C102" t="str" cm="1">
        <f t="array" ref="C102">IF((A102-1)*12&lt;$H$6,INDEX('Prepayment Engine'!$A$2:$AN$481,MIN(A102*12,$H$6),MATCH($H$13,'Prepayment Engine'!$A$1:$AN$1,0)+2),"")</f>
        <v/>
      </c>
      <c r="D102" t="str">
        <f>IF((A102-1)*12&lt;$H$6,SUM(INDEX('Prepayment Engine'!$A$2:$AN$481,(A102-1)*12+1,MATCH($H$13,'Prepayment Engine'!$A$1:$AN$1,0)+3):INDEX('Prepayment Engine'!$A$2:$AN$481,MIN(A102*12,$H$6),MATCH($H$13,'Prepayment Engine'!$A$1:$AN$1,0)+3)),"")</f>
        <v/>
      </c>
      <c r="E102" t="str">
        <f>IF((A102-1)*12&lt;$H$6,SUM(INDEX('Prepayment Engine'!$A$2:$AN$481,(A102-1)*12+1,MATCH($H$13,'Prepayment Engine'!$A$1:$AN$1,0)+4):INDEX('Prepayment Engine'!$A$2:$AN$481,MIN(A102*12,$H$6),MATCH($H$13,'Prepayment Engine'!$A$1:$AN$1,0)+4)),"")</f>
        <v/>
      </c>
      <c r="F102" t="str">
        <f>IF((A102-1)*12&lt;$H$6,SUM(INDEX('Prepayment Engine'!$A$2:$AN$481,(A102-1)*12+1,MATCH($H$13,'Prepayment Engine'!$A$1:$AN$1,0)+5):INDEX('Prepayment Engine'!$A$2:$AN$481,MIN(A102*12,$H$6),MATCH($H$13,'Prepayment Engine'!$A$1:$AN$1,0)+5)),"")</f>
        <v/>
      </c>
      <c r="G102" t="str">
        <f>IF((A102-1)*12&lt;$H$6,SUM(INDEX('Prepayment Engine'!$A$2:$AN$481,(A102-1)*12+1,MATCH($H$13,'Prepayment Engine'!$A$1:$AN$1,0)+6):INDEX('Prepayment Engine'!$A$2:$AN$481,MIN(A102*12,$H$6),MATCH($H$13,'Prepayment Engine'!$A$1:$AN$1,0)+6)),"")</f>
        <v/>
      </c>
      <c r="H102" t="str" cm="1">
        <f t="array" ref="H102">IF((A102-1)*12&lt;$H$6,INDEX('Prepayment Engine'!$A$2:$AN$481,MIN(A102*12,$H$6),MATCH($H$13,'Prepayment Engine'!$A$1:$AN$1,0)+7),"")</f>
        <v/>
      </c>
    </row>
    <row r="103" spans="1:8" ht="18" customHeight="1" x14ac:dyDescent="0.35">
      <c r="A103">
        <f t="shared" si="1"/>
        <v>39</v>
      </c>
      <c r="B103" t="str" cm="1">
        <f t="array" ref="B103">IF((A103-1)*12&lt;$H$6,INDEX('Prepayment Engine'!$A$2:$AN$481,(A103-1)*12+1,MATCH($H$13,'Prepayment Engine'!$A$1:$AN$1,0)+1),"")</f>
        <v/>
      </c>
      <c r="C103" t="str" cm="1">
        <f t="array" ref="C103">IF((A103-1)*12&lt;$H$6,INDEX('Prepayment Engine'!$A$2:$AN$481,MIN(A103*12,$H$6),MATCH($H$13,'Prepayment Engine'!$A$1:$AN$1,0)+2),"")</f>
        <v/>
      </c>
      <c r="D103" t="str">
        <f>IF((A103-1)*12&lt;$H$6,SUM(INDEX('Prepayment Engine'!$A$2:$AN$481,(A103-1)*12+1,MATCH($H$13,'Prepayment Engine'!$A$1:$AN$1,0)+3):INDEX('Prepayment Engine'!$A$2:$AN$481,MIN(A103*12,$H$6),MATCH($H$13,'Prepayment Engine'!$A$1:$AN$1,0)+3)),"")</f>
        <v/>
      </c>
      <c r="E103" t="str">
        <f>IF((A103-1)*12&lt;$H$6,SUM(INDEX('Prepayment Engine'!$A$2:$AN$481,(A103-1)*12+1,MATCH($H$13,'Prepayment Engine'!$A$1:$AN$1,0)+4):INDEX('Prepayment Engine'!$A$2:$AN$481,MIN(A103*12,$H$6),MATCH($H$13,'Prepayment Engine'!$A$1:$AN$1,0)+4)),"")</f>
        <v/>
      </c>
      <c r="F103" t="str">
        <f>IF((A103-1)*12&lt;$H$6,SUM(INDEX('Prepayment Engine'!$A$2:$AN$481,(A103-1)*12+1,MATCH($H$13,'Prepayment Engine'!$A$1:$AN$1,0)+5):INDEX('Prepayment Engine'!$A$2:$AN$481,MIN(A103*12,$H$6),MATCH($H$13,'Prepayment Engine'!$A$1:$AN$1,0)+5)),"")</f>
        <v/>
      </c>
      <c r="G103" t="str">
        <f>IF((A103-1)*12&lt;$H$6,SUM(INDEX('Prepayment Engine'!$A$2:$AN$481,(A103-1)*12+1,MATCH($H$13,'Prepayment Engine'!$A$1:$AN$1,0)+6):INDEX('Prepayment Engine'!$A$2:$AN$481,MIN(A103*12,$H$6),MATCH($H$13,'Prepayment Engine'!$A$1:$AN$1,0)+6)),"")</f>
        <v/>
      </c>
      <c r="H103" t="str" cm="1">
        <f t="array" ref="H103">IF((A103-1)*12&lt;$H$6,INDEX('Prepayment Engine'!$A$2:$AN$481,MIN(A103*12,$H$6),MATCH($H$13,'Prepayment Engine'!$A$1:$AN$1,0)+7),"")</f>
        <v/>
      </c>
    </row>
    <row r="104" spans="1:8" ht="18" customHeight="1" x14ac:dyDescent="0.35">
      <c r="A104">
        <f t="shared" si="1"/>
        <v>40</v>
      </c>
      <c r="B104" t="str" cm="1">
        <f t="array" ref="B104">IF((A104-1)*12&lt;$H$6,INDEX('Prepayment Engine'!$A$2:$AN$481,(A104-1)*12+1,MATCH($H$13,'Prepayment Engine'!$A$1:$AN$1,0)+1),"")</f>
        <v/>
      </c>
      <c r="C104" t="str" cm="1">
        <f t="array" ref="C104">IF((A104-1)*12&lt;$H$6,INDEX('Prepayment Engine'!$A$2:$AN$481,MIN(A104*12,$H$6),MATCH($H$13,'Prepayment Engine'!$A$1:$AN$1,0)+2),"")</f>
        <v/>
      </c>
      <c r="D104" t="str">
        <f>IF((A104-1)*12&lt;$H$6,SUM(INDEX('Prepayment Engine'!$A$2:$AN$481,(A104-1)*12+1,MATCH($H$13,'Prepayment Engine'!$A$1:$AN$1,0)+3):INDEX('Prepayment Engine'!$A$2:$AN$481,MIN(A104*12,$H$6),MATCH($H$13,'Prepayment Engine'!$A$1:$AN$1,0)+3)),"")</f>
        <v/>
      </c>
      <c r="E104" t="str">
        <f>IF((A104-1)*12&lt;$H$6,SUM(INDEX('Prepayment Engine'!$A$2:$AN$481,(A104-1)*12+1,MATCH($H$13,'Prepayment Engine'!$A$1:$AN$1,0)+4):INDEX('Prepayment Engine'!$A$2:$AN$481,MIN(A104*12,$H$6),MATCH($H$13,'Prepayment Engine'!$A$1:$AN$1,0)+4)),"")</f>
        <v/>
      </c>
      <c r="F104" t="str">
        <f>IF((A104-1)*12&lt;$H$6,SUM(INDEX('Prepayment Engine'!$A$2:$AN$481,(A104-1)*12+1,MATCH($H$13,'Prepayment Engine'!$A$1:$AN$1,0)+5):INDEX('Prepayment Engine'!$A$2:$AN$481,MIN(A104*12,$H$6),MATCH($H$13,'Prepayment Engine'!$A$1:$AN$1,0)+5)),"")</f>
        <v/>
      </c>
      <c r="G104" t="str">
        <f>IF((A104-1)*12&lt;$H$6,SUM(INDEX('Prepayment Engine'!$A$2:$AN$481,(A104-1)*12+1,MATCH($H$13,'Prepayment Engine'!$A$1:$AN$1,0)+6):INDEX('Prepayment Engine'!$A$2:$AN$481,MIN(A104*12,$H$6),MATCH($H$13,'Prepayment Engine'!$A$1:$AN$1,0)+6)),"")</f>
        <v/>
      </c>
      <c r="H104" t="str" cm="1">
        <f t="array" ref="H104">IF((A104-1)*12&lt;$H$6,INDEX('Prepayment Engine'!$A$2:$AN$481,MIN(A104*12,$H$6),MATCH($H$13,'Prepayment Engine'!$A$1:$AN$1,0)+7),"")</f>
        <v/>
      </c>
    </row>
    <row r="105" spans="1:8" ht="18" customHeight="1" x14ac:dyDescent="0.35"/>
    <row r="106" spans="1:8" ht="18" customHeight="1" x14ac:dyDescent="0.35"/>
    <row r="107" spans="1:8" ht="18" customHeight="1" x14ac:dyDescent="0.35"/>
    <row r="108" spans="1:8" ht="18" customHeight="1" x14ac:dyDescent="0.35"/>
    <row r="109" spans="1:8" ht="18" customHeight="1" x14ac:dyDescent="0.35"/>
    <row r="110" spans="1:8" ht="18" customHeight="1" x14ac:dyDescent="0.35"/>
    <row r="111" spans="1:8" ht="18" customHeight="1" x14ac:dyDescent="0.35"/>
    <row r="112" spans="1:8"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21" ht="18" customHeight="1" x14ac:dyDescent="0.35"/>
    <row r="122" ht="18" customHeight="1" x14ac:dyDescent="0.35"/>
    <row r="123" ht="18" customHeight="1" x14ac:dyDescent="0.35"/>
    <row r="124" ht="18" customHeight="1" x14ac:dyDescent="0.35"/>
    <row r="125" ht="18" customHeight="1" x14ac:dyDescent="0.35"/>
    <row r="126" ht="18" customHeight="1" x14ac:dyDescent="0.35"/>
    <row r="127" ht="18" customHeight="1" x14ac:dyDescent="0.35"/>
    <row r="128"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ht="18" customHeight="1" x14ac:dyDescent="0.35"/>
    <row r="146" ht="18" customHeight="1" x14ac:dyDescent="0.35"/>
    <row r="147" ht="18" customHeight="1" x14ac:dyDescent="0.35"/>
    <row r="148" ht="18" customHeight="1" x14ac:dyDescent="0.35"/>
    <row r="149" ht="18" customHeight="1" x14ac:dyDescent="0.35"/>
    <row r="150" ht="18" customHeight="1" x14ac:dyDescent="0.35"/>
    <row r="151" ht="18" customHeight="1" x14ac:dyDescent="0.35"/>
    <row r="152" ht="18" customHeight="1" x14ac:dyDescent="0.35"/>
    <row r="153" ht="18" customHeight="1" x14ac:dyDescent="0.35"/>
    <row r="154" ht="18" customHeight="1" x14ac:dyDescent="0.35"/>
    <row r="155" ht="18" customHeight="1" x14ac:dyDescent="0.35"/>
    <row r="156" ht="18" customHeight="1" x14ac:dyDescent="0.35"/>
    <row r="157" ht="18" customHeight="1" x14ac:dyDescent="0.35"/>
    <row r="158" ht="18" customHeight="1" x14ac:dyDescent="0.35"/>
    <row r="159" ht="18" customHeight="1" x14ac:dyDescent="0.35"/>
    <row r="160"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ht="18" customHeight="1" x14ac:dyDescent="0.35"/>
    <row r="178" ht="18" customHeight="1" x14ac:dyDescent="0.35"/>
    <row r="179" ht="18" customHeight="1" x14ac:dyDescent="0.35"/>
    <row r="180" ht="18" customHeight="1" x14ac:dyDescent="0.35"/>
    <row r="181" ht="18" customHeight="1" x14ac:dyDescent="0.35"/>
    <row r="182" ht="18" customHeight="1" x14ac:dyDescent="0.35"/>
    <row r="183" ht="18" customHeight="1" x14ac:dyDescent="0.35"/>
    <row r="184" ht="18" customHeight="1" x14ac:dyDescent="0.35"/>
    <row r="185" ht="18" customHeight="1" x14ac:dyDescent="0.35"/>
    <row r="186" ht="18" customHeight="1" x14ac:dyDescent="0.35"/>
    <row r="187" ht="18" customHeight="1" x14ac:dyDescent="0.35"/>
    <row r="188" ht="18" customHeight="1" x14ac:dyDescent="0.35"/>
    <row r="189" ht="18" customHeight="1" x14ac:dyDescent="0.35"/>
    <row r="190" ht="18" customHeight="1" x14ac:dyDescent="0.35"/>
    <row r="191" ht="18" customHeight="1" x14ac:dyDescent="0.35"/>
    <row r="19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ht="18" customHeight="1" x14ac:dyDescent="0.35"/>
    <row r="210" ht="18" customHeight="1" x14ac:dyDescent="0.35"/>
    <row r="211" ht="18" customHeight="1" x14ac:dyDescent="0.35"/>
    <row r="212" ht="18" customHeight="1" x14ac:dyDescent="0.35"/>
    <row r="213" ht="18" customHeight="1" x14ac:dyDescent="0.35"/>
    <row r="214" ht="18" customHeight="1" x14ac:dyDescent="0.35"/>
    <row r="215" ht="18" customHeight="1" x14ac:dyDescent="0.35"/>
    <row r="216" ht="18" customHeight="1" x14ac:dyDescent="0.35"/>
    <row r="217" ht="18" customHeight="1" x14ac:dyDescent="0.35"/>
    <row r="218" ht="18" customHeight="1" x14ac:dyDescent="0.35"/>
    <row r="219" ht="18" customHeight="1" x14ac:dyDescent="0.35"/>
    <row r="220" ht="18" customHeight="1" x14ac:dyDescent="0.35"/>
    <row r="221" ht="18" customHeight="1" x14ac:dyDescent="0.35"/>
    <row r="222" ht="18" customHeight="1" x14ac:dyDescent="0.35"/>
    <row r="223" ht="18" customHeight="1" x14ac:dyDescent="0.35"/>
    <row r="224"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ht="18" customHeight="1" x14ac:dyDescent="0.35"/>
    <row r="242" ht="18" customHeight="1" x14ac:dyDescent="0.35"/>
    <row r="243" ht="18" customHeight="1" x14ac:dyDescent="0.35"/>
    <row r="244" ht="18" customHeight="1" x14ac:dyDescent="0.35"/>
    <row r="245" ht="18" customHeight="1" x14ac:dyDescent="0.35"/>
    <row r="246" ht="18" customHeight="1" x14ac:dyDescent="0.35"/>
    <row r="247" ht="18" customHeight="1" x14ac:dyDescent="0.35"/>
    <row r="248" ht="18" customHeight="1" x14ac:dyDescent="0.35"/>
    <row r="249" ht="18" customHeight="1" x14ac:dyDescent="0.35"/>
    <row r="250" ht="18" customHeight="1" x14ac:dyDescent="0.35"/>
    <row r="251" ht="18" customHeight="1" x14ac:dyDescent="0.35"/>
    <row r="252" ht="18" customHeight="1" x14ac:dyDescent="0.35"/>
    <row r="253" ht="18" customHeight="1" x14ac:dyDescent="0.35"/>
    <row r="254" ht="18" customHeight="1" x14ac:dyDescent="0.35"/>
    <row r="255" ht="18" customHeight="1" x14ac:dyDescent="0.35"/>
    <row r="256"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ht="18" customHeight="1" x14ac:dyDescent="0.35"/>
    <row r="274" ht="18" customHeight="1" x14ac:dyDescent="0.35"/>
    <row r="275" ht="18" customHeight="1" x14ac:dyDescent="0.35"/>
    <row r="276" ht="18" customHeight="1" x14ac:dyDescent="0.35"/>
    <row r="277" ht="18" customHeight="1" x14ac:dyDescent="0.35"/>
    <row r="278" ht="18" customHeight="1" x14ac:dyDescent="0.35"/>
    <row r="279" ht="18" customHeight="1" x14ac:dyDescent="0.35"/>
    <row r="280" ht="18" customHeight="1" x14ac:dyDescent="0.35"/>
    <row r="281" ht="18" customHeight="1" x14ac:dyDescent="0.35"/>
    <row r="282" ht="18" customHeight="1" x14ac:dyDescent="0.35"/>
    <row r="283" ht="18" customHeight="1" x14ac:dyDescent="0.35"/>
    <row r="284" ht="18" customHeight="1" x14ac:dyDescent="0.35"/>
    <row r="285" ht="18" customHeight="1" x14ac:dyDescent="0.35"/>
    <row r="286" ht="18" customHeight="1" x14ac:dyDescent="0.35"/>
    <row r="287" ht="18" customHeight="1" x14ac:dyDescent="0.35"/>
    <row r="288"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ht="18" customHeight="1" x14ac:dyDescent="0.35"/>
    <row r="306" ht="18" customHeight="1" x14ac:dyDescent="0.35"/>
    <row r="307" ht="18" customHeight="1" x14ac:dyDescent="0.35"/>
    <row r="308" ht="18" customHeight="1" x14ac:dyDescent="0.35"/>
    <row r="309" ht="18" customHeight="1" x14ac:dyDescent="0.35"/>
    <row r="310" ht="18" customHeight="1" x14ac:dyDescent="0.35"/>
    <row r="311" ht="18" customHeight="1" x14ac:dyDescent="0.35"/>
    <row r="312" ht="18" customHeight="1" x14ac:dyDescent="0.35"/>
    <row r="313" ht="18" customHeight="1" x14ac:dyDescent="0.35"/>
    <row r="314" ht="18" customHeight="1" x14ac:dyDescent="0.35"/>
    <row r="315" ht="18" customHeight="1" x14ac:dyDescent="0.35"/>
    <row r="316" ht="18" customHeight="1" x14ac:dyDescent="0.35"/>
    <row r="317" ht="18" customHeight="1" x14ac:dyDescent="0.35"/>
    <row r="318" ht="18" customHeight="1" x14ac:dyDescent="0.35"/>
    <row r="319" ht="18" customHeight="1" x14ac:dyDescent="0.35"/>
    <row r="320" ht="18" customHeight="1" x14ac:dyDescent="0.35"/>
    <row r="321" ht="18" customHeight="1" x14ac:dyDescent="0.35"/>
    <row r="322" ht="18" customHeight="1" x14ac:dyDescent="0.35"/>
    <row r="323" ht="18" customHeight="1" x14ac:dyDescent="0.35"/>
    <row r="324" ht="18" customHeight="1" x14ac:dyDescent="0.35"/>
    <row r="325" ht="18" customHeight="1" x14ac:dyDescent="0.35"/>
    <row r="326" ht="18" customHeight="1" x14ac:dyDescent="0.35"/>
    <row r="327" ht="18" customHeight="1" x14ac:dyDescent="0.35"/>
    <row r="328" ht="18" customHeight="1" x14ac:dyDescent="0.35"/>
    <row r="329" ht="18" customHeight="1" x14ac:dyDescent="0.35"/>
    <row r="330" ht="18" customHeight="1" x14ac:dyDescent="0.35"/>
    <row r="331" ht="18" customHeight="1" x14ac:dyDescent="0.35"/>
    <row r="332" ht="18" customHeight="1" x14ac:dyDescent="0.35"/>
    <row r="333" ht="18" customHeight="1" x14ac:dyDescent="0.35"/>
    <row r="334" ht="18" customHeight="1" x14ac:dyDescent="0.35"/>
    <row r="335" ht="18" customHeight="1" x14ac:dyDescent="0.35"/>
    <row r="336" ht="18" customHeight="1" x14ac:dyDescent="0.35"/>
    <row r="337" ht="18" customHeight="1" x14ac:dyDescent="0.35"/>
    <row r="338" ht="18" customHeight="1" x14ac:dyDescent="0.35"/>
    <row r="339" ht="18" customHeight="1" x14ac:dyDescent="0.35"/>
    <row r="340" ht="18" customHeight="1" x14ac:dyDescent="0.35"/>
    <row r="341" ht="18" customHeight="1" x14ac:dyDescent="0.35"/>
    <row r="342" ht="18" customHeight="1" x14ac:dyDescent="0.35"/>
    <row r="343" ht="18" customHeight="1" x14ac:dyDescent="0.35"/>
    <row r="344" ht="18" customHeight="1" x14ac:dyDescent="0.35"/>
    <row r="345" ht="18" customHeight="1" x14ac:dyDescent="0.35"/>
    <row r="346" ht="18" customHeight="1" x14ac:dyDescent="0.35"/>
    <row r="347" ht="18" customHeight="1" x14ac:dyDescent="0.35"/>
    <row r="348" ht="18" customHeight="1" x14ac:dyDescent="0.35"/>
    <row r="349" ht="18" customHeight="1" x14ac:dyDescent="0.35"/>
    <row r="350" ht="18" customHeight="1" x14ac:dyDescent="0.35"/>
    <row r="351" ht="18" customHeight="1" x14ac:dyDescent="0.35"/>
    <row r="352" ht="18" customHeight="1" x14ac:dyDescent="0.35"/>
    <row r="353" ht="18" customHeight="1" x14ac:dyDescent="0.35"/>
    <row r="354" ht="18" customHeight="1" x14ac:dyDescent="0.35"/>
    <row r="355" ht="18" customHeight="1" x14ac:dyDescent="0.35"/>
    <row r="356" ht="18" customHeight="1" x14ac:dyDescent="0.35"/>
    <row r="357" ht="18" customHeight="1" x14ac:dyDescent="0.35"/>
    <row r="358" ht="18" customHeight="1" x14ac:dyDescent="0.35"/>
    <row r="359" ht="18" customHeight="1" x14ac:dyDescent="0.35"/>
    <row r="360" ht="18" customHeight="1" x14ac:dyDescent="0.35"/>
    <row r="361" ht="18" customHeight="1" x14ac:dyDescent="0.35"/>
    <row r="362" ht="18" customHeight="1" x14ac:dyDescent="0.35"/>
    <row r="363" ht="18" customHeight="1" x14ac:dyDescent="0.35"/>
    <row r="364" ht="18" customHeight="1" x14ac:dyDescent="0.35"/>
    <row r="365" ht="18" customHeight="1" x14ac:dyDescent="0.35"/>
    <row r="366" ht="18" customHeight="1" x14ac:dyDescent="0.35"/>
    <row r="367" ht="18" customHeight="1" x14ac:dyDescent="0.35"/>
    <row r="368" ht="18" customHeight="1" x14ac:dyDescent="0.35"/>
    <row r="369" ht="18" customHeight="1" x14ac:dyDescent="0.35"/>
    <row r="370" ht="18" customHeight="1" x14ac:dyDescent="0.35"/>
    <row r="371" ht="18" customHeight="1" x14ac:dyDescent="0.35"/>
    <row r="372" ht="18" customHeight="1" x14ac:dyDescent="0.35"/>
    <row r="373" ht="18" customHeight="1" x14ac:dyDescent="0.35"/>
    <row r="374" ht="18" customHeight="1" x14ac:dyDescent="0.35"/>
    <row r="375" ht="18" customHeight="1" x14ac:dyDescent="0.35"/>
    <row r="376" ht="18" customHeight="1" x14ac:dyDescent="0.35"/>
    <row r="377" ht="18" customHeight="1" x14ac:dyDescent="0.35"/>
    <row r="378" ht="18" customHeight="1" x14ac:dyDescent="0.35"/>
    <row r="379" ht="18" customHeight="1" x14ac:dyDescent="0.35"/>
    <row r="380" ht="18" customHeight="1" x14ac:dyDescent="0.35"/>
    <row r="381" ht="18" customHeight="1" x14ac:dyDescent="0.35"/>
    <row r="382" ht="18" customHeight="1" x14ac:dyDescent="0.35"/>
    <row r="383" ht="18" customHeight="1" x14ac:dyDescent="0.35"/>
    <row r="384" ht="18" customHeight="1" x14ac:dyDescent="0.35"/>
    <row r="385" ht="18" customHeight="1" x14ac:dyDescent="0.35"/>
    <row r="386" ht="18" customHeight="1" x14ac:dyDescent="0.35"/>
    <row r="387" ht="18" customHeight="1" x14ac:dyDescent="0.35"/>
    <row r="388" ht="18" customHeight="1" x14ac:dyDescent="0.35"/>
    <row r="389" ht="18" customHeight="1" x14ac:dyDescent="0.35"/>
    <row r="390" ht="18" customHeight="1" x14ac:dyDescent="0.35"/>
    <row r="391" ht="18" customHeight="1" x14ac:dyDescent="0.35"/>
    <row r="392" ht="18" customHeight="1" x14ac:dyDescent="0.35"/>
    <row r="393" ht="18" customHeight="1" x14ac:dyDescent="0.35"/>
    <row r="394" ht="18" customHeight="1" x14ac:dyDescent="0.35"/>
    <row r="395" ht="18" customHeight="1" x14ac:dyDescent="0.35"/>
    <row r="396" ht="18" customHeight="1" x14ac:dyDescent="0.35"/>
  </sheetData>
  <mergeCells count="14">
    <mergeCell ref="A63:H63"/>
    <mergeCell ref="A44:H44"/>
    <mergeCell ref="A53:H53"/>
    <mergeCell ref="A62:H62"/>
    <mergeCell ref="A45:H50"/>
    <mergeCell ref="A54:H59"/>
    <mergeCell ref="A34:H34"/>
    <mergeCell ref="D10:E10"/>
    <mergeCell ref="A10:B10"/>
    <mergeCell ref="A1:H1"/>
    <mergeCell ref="A2:H2"/>
    <mergeCell ref="A4:B4"/>
    <mergeCell ref="D4:E4"/>
    <mergeCell ref="G4:H4"/>
  </mergeCells>
  <conditionalFormatting sqref="G36:G40">
    <cfRule type="expression" dxfId="7" priority="1">
      <formula>G36&gt;0</formula>
    </cfRule>
    <cfRule type="expression" dxfId="6" priority="2">
      <formula>G36&lt;0</formula>
    </cfRule>
  </conditionalFormatting>
  <dataValidations count="13">
    <dataValidation type="list" allowBlank="1" showInputMessage="1" showErrorMessage="1" sqref="E15" xr:uid="{C150FC67-88C8-4E98-9DD1-F14C0C767534}">
      <formula1>"Reduce Tenure,Reduce EMI"</formula1>
    </dataValidation>
    <dataValidation type="decimal" operator="greaterThan" allowBlank="1" showInputMessage="1" showErrorMessage="1" errorTitle="Invalid input" error="Loan amount must be above 0." promptTitle="Loan amount" prompt="Enter an amount above zero." sqref="B5" xr:uid="{31E6022F-70FE-469A-BF78-534947489EFB}">
      <formula1>0</formula1>
    </dataValidation>
    <dataValidation type="decimal" allowBlank="1" showInputMessage="1" showErrorMessage="1" errorTitle="Invalid input" error="Rate must be 0 to 30." promptTitle="New interest rate" prompt="Enter an annual rate from 0% to 30%." sqref="E12" xr:uid="{B369AE8B-50B5-4F2B-8594-D1F00AF43452}">
      <formula1>0</formula1>
      <formula2>30</formula2>
    </dataValidation>
    <dataValidation type="whole" allowBlank="1" showInputMessage="1" showErrorMessage="1" errorTitle="Invalid input" error="Tenure must be 1 to 40." promptTitle="Original tenure" prompt="Enter a whole number from 1 to 40 years." sqref="B7" xr:uid="{0C8CB179-27B7-4609-ACB3-787D66CB92D3}">
      <formula1>1</formula1>
      <formula2>40</formula2>
    </dataValidation>
    <dataValidation type="decimal" operator="greaterThanOrEqual" allowBlank="1" showInputMessage="1" showErrorMessage="1" errorTitle="Invalid input" error="Amount cannot be negative." promptTitle="Lump sum" prompt="Enter zero or a positive amount." sqref="B12:B16 B17:B31" xr:uid="{4BA2EB9B-6462-499D-AC24-B6AD3CD5A651}">
      <formula1>0</formula1>
    </dataValidation>
    <dataValidation type="whole" allowBlank="1" showInputMessage="1" showErrorMessage="1" errorTitle="Invalid input" error="Month must be 1 to 480." promptTitle="End month" prompt="Enter a month from 1 to 480." sqref="E16:E31" xr:uid="{0BC84933-3274-47AD-8C2C-FF0630EB3E43}">
      <formula1>1</formula1>
      <formula2>480</formula2>
    </dataValidation>
    <dataValidation type="list" allowBlank="1" showInputMessage="1" showErrorMessage="1" sqref="E14 E32 E13" xr:uid="{264D6AFB-2A85-4B24-884B-9BB98AEC1836}">
      <formula1>"Keep EMI, change tenure,Keep tenure, recalculate EMI"</formula1>
    </dataValidation>
    <dataValidation type="whole" allowBlank="1" showInputMessage="1" showErrorMessage="1" errorTitle="Invalid input" error="Month must be 0 to 480." promptTitle="Payment month" prompt="Enter 0 for unused or a month from 1 to 480." sqref="A12:A16 A17:A31" xr:uid="{D82CC21E-DE3F-43D9-B87F-3377025F1A7F}">
      <formula1>0</formula1>
      <formula2>480</formula2>
    </dataValidation>
    <dataValidation type="list" allowBlank="1" showInputMessage="1" showErrorMessage="1" sqref="H13" xr:uid="{AC50EF4E-0192-4284-BECD-92AAB76E5990}">
      <formula1>"Normal Loan,Multiple Lump Sums,Monthly Extra Payment,Mid-Term Rate Change,Combination of All"</formula1>
    </dataValidation>
    <dataValidation type="decimal" allowBlank="1" showInputMessage="1" showErrorMessage="1" errorTitle="Invalid input" error="Rate must be 0 to 30." promptTitle="Interest rate" prompt="Enter an annual rate from 0% to 30%." sqref="B6" xr:uid="{49B8FF40-634F-4539-89EA-50C0F445773D}">
      <formula1>0</formula1>
      <formula2>30</formula2>
    </dataValidation>
    <dataValidation type="decimal" operator="greaterThanOrEqual" allowBlank="1" showInputMessage="1" showErrorMessage="1" errorTitle="Invalid input" error="Amount cannot be negative." promptTitle="Monthly extra" prompt="Enter zero or a positive amount." sqref="B8" xr:uid="{A0F9B440-A48E-495B-9C0F-73C67F8BA106}">
      <formula1>0</formula1>
    </dataValidation>
    <dataValidation type="whole" allowBlank="1" showInputMessage="1" showErrorMessage="1" errorTitle="Invalid input" error="Month must be 1 to 480." promptTitle="Start month" prompt="Enter a month from 1 to 480." sqref="B9" xr:uid="{67C71CCC-40F8-4F08-A4F2-FE2349A95F4D}">
      <formula1>1</formula1>
      <formula2>480</formula2>
    </dataValidation>
    <dataValidation type="whole" allowBlank="1" showInputMessage="1" showErrorMessage="1" errorTitle="Invalid input" error="Month must be 1 to 480." promptTitle="Rate-change month" prompt="Enter a month from 1 to 480." sqref="E11" xr:uid="{45088654-F67B-4505-9007-48A3DC6CB851}">
      <formula1>1</formula1>
      <formula2>480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2601-0611-449D-A088-201EE2A635A7}">
  <dimension ref="A1:AN481"/>
  <sheetViews>
    <sheetView workbookViewId="0"/>
  </sheetViews>
  <sheetFormatPr defaultRowHeight="14.5" x14ac:dyDescent="0.35"/>
  <sheetData>
    <row r="1" spans="1:40" x14ac:dyDescent="0.35">
      <c r="A1" t="s">
        <v>359</v>
      </c>
      <c r="B1" t="s">
        <v>74</v>
      </c>
      <c r="C1" t="s">
        <v>360</v>
      </c>
      <c r="D1" t="s">
        <v>361</v>
      </c>
      <c r="E1" t="s">
        <v>362</v>
      </c>
      <c r="F1" t="s">
        <v>363</v>
      </c>
      <c r="G1" t="s">
        <v>364</v>
      </c>
      <c r="H1" t="s">
        <v>78</v>
      </c>
      <c r="I1" t="s">
        <v>365</v>
      </c>
      <c r="J1" t="s">
        <v>74</v>
      </c>
      <c r="K1" t="s">
        <v>360</v>
      </c>
      <c r="L1" t="s">
        <v>361</v>
      </c>
      <c r="M1" t="s">
        <v>362</v>
      </c>
      <c r="N1" t="s">
        <v>363</v>
      </c>
      <c r="O1" t="s">
        <v>364</v>
      </c>
      <c r="P1" t="s">
        <v>78</v>
      </c>
      <c r="Q1" t="s">
        <v>366</v>
      </c>
      <c r="R1" t="s">
        <v>74</v>
      </c>
      <c r="S1" t="s">
        <v>360</v>
      </c>
      <c r="T1" t="s">
        <v>361</v>
      </c>
      <c r="U1" t="s">
        <v>362</v>
      </c>
      <c r="V1" t="s">
        <v>363</v>
      </c>
      <c r="W1" t="s">
        <v>364</v>
      </c>
      <c r="X1" t="s">
        <v>78</v>
      </c>
      <c r="Y1" t="s">
        <v>367</v>
      </c>
      <c r="Z1" t="s">
        <v>74</v>
      </c>
      <c r="AA1" t="s">
        <v>360</v>
      </c>
      <c r="AB1" t="s">
        <v>361</v>
      </c>
      <c r="AC1" t="s">
        <v>362</v>
      </c>
      <c r="AD1" t="s">
        <v>363</v>
      </c>
      <c r="AE1" t="s">
        <v>364</v>
      </c>
      <c r="AF1" t="s">
        <v>78</v>
      </c>
      <c r="AG1" t="s">
        <v>358</v>
      </c>
      <c r="AH1" t="s">
        <v>74</v>
      </c>
      <c r="AI1" t="s">
        <v>360</v>
      </c>
      <c r="AJ1" t="s">
        <v>361</v>
      </c>
      <c r="AK1" t="s">
        <v>362</v>
      </c>
      <c r="AL1" t="s">
        <v>363</v>
      </c>
      <c r="AM1" t="s">
        <v>364</v>
      </c>
      <c r="AN1" t="s">
        <v>78</v>
      </c>
    </row>
    <row r="2" spans="1:40" x14ac:dyDescent="0.35">
      <c r="A2">
        <v>1</v>
      </c>
      <c r="B2">
        <f>'Loan Prepayment'!$B$5</f>
        <v>10000000</v>
      </c>
      <c r="C2" s="64">
        <f>'Loan Prepayment'!$B$6</f>
        <v>7.5</v>
      </c>
      <c r="D2">
        <f>IF(B2&lt;=0,0,MIN(-PMT('Loan Prepayment'!$B$6/1200,'Loan Prepayment'!$B$7*12,'Loan Prepayment'!$B$5),B2+E2))</f>
        <v>80559.31935518072</v>
      </c>
      <c r="E2">
        <f t="shared" ref="E2:E65" si="0">IF(B2&lt;=0,0,B2*C2/1200)</f>
        <v>62500</v>
      </c>
      <c r="F2">
        <f t="shared" ref="F2:F65" si="1">MAX(0,D2-E2)</f>
        <v>18059.31935518072</v>
      </c>
      <c r="G2">
        <v>0</v>
      </c>
      <c r="H2">
        <f t="shared" ref="H2:H65" si="2">MAX(0,B2-F2-G2)</f>
        <v>9981940.6806448195</v>
      </c>
      <c r="I2">
        <v>1</v>
      </c>
      <c r="J2">
        <f>'Loan Prepayment'!$B$5</f>
        <v>10000000</v>
      </c>
      <c r="K2" s="64">
        <f>'Loan Prepayment'!$B$6</f>
        <v>7.5</v>
      </c>
      <c r="L2">
        <f>IF(J2&lt;=0,0,MIN(-PMT(K2/1200,'Loan Prepayment'!$B$7*12,J2),J2+M2))</f>
        <v>80559.31935518072</v>
      </c>
      <c r="M2">
        <f t="shared" ref="M2:M65" si="3">IF(J2&lt;=0,0,J2*K2/1200)</f>
        <v>62500</v>
      </c>
      <c r="N2">
        <f t="shared" ref="N2:N65" si="4">MAX(0,L2-M2)</f>
        <v>18059.31935518072</v>
      </c>
      <c r="O2">
        <f>IF(J2&lt;=0,0,MIN(MAX(0,J2-N2),SUMIFS('Loan Prepayment'!$B$12:$B$31,'Loan Prepayment'!$A$12:$A$31,I2)+0))</f>
        <v>0</v>
      </c>
      <c r="P2">
        <f t="shared" ref="P2:P65" si="5">MAX(0,J2-N2-O2)</f>
        <v>9981940.6806448195</v>
      </c>
      <c r="Q2">
        <v>1</v>
      </c>
      <c r="R2">
        <f>'Loan Prepayment'!$B$5</f>
        <v>10000000</v>
      </c>
      <c r="S2" s="64">
        <f>'Loan Prepayment'!$B$6</f>
        <v>7.5</v>
      </c>
      <c r="T2">
        <f>IF(R2&lt;=0,0,MIN(-PMT(S2/1200,'Loan Prepayment'!$B$7*12,R2),R2+U2))</f>
        <v>80559.31935518072</v>
      </c>
      <c r="U2">
        <f t="shared" ref="U2:U65" si="6">IF(R2&lt;=0,0,R2*S2/1200)</f>
        <v>62500</v>
      </c>
      <c r="V2">
        <f t="shared" ref="V2:V65" si="7">MAX(0,T2-U2)</f>
        <v>18059.31935518072</v>
      </c>
      <c r="W2">
        <f>IF(R2&lt;=0,0,MIN(MAX(0,R2-V2),0+IF(AND(Q2&gt;='Loan Prepayment'!$B$9,Q2&lt;='Loan Prepayment'!$E$16),'Loan Prepayment'!$B$8,0)))</f>
        <v>0</v>
      </c>
      <c r="X2">
        <f t="shared" ref="X2:X65" si="8">MAX(0,R2-V2-W2)</f>
        <v>9981940.6806448195</v>
      </c>
      <c r="Y2">
        <v>1</v>
      </c>
      <c r="Z2">
        <f>'Loan Prepayment'!$B$5</f>
        <v>10000000</v>
      </c>
      <c r="AA2">
        <f>IF(Y2&gt;='Loan Prepayment'!$E$11,'Loan Prepayment'!$E$12,'Loan Prepayment'!$B$6)</f>
        <v>7.5</v>
      </c>
      <c r="AB2">
        <f>IF(Z2&lt;=0,0,MIN(-PMT(AA2/1200,'Loan Prepayment'!$B$7*12,Z2),Z2+AC2))</f>
        <v>80559.31935518072</v>
      </c>
      <c r="AC2">
        <f t="shared" ref="AC2:AC65" si="9">IF(Z2&lt;=0,0,Z2*AA2/1200)</f>
        <v>62500</v>
      </c>
      <c r="AD2">
        <f t="shared" ref="AD2:AD65" si="10">MAX(0,AB2-AC2)</f>
        <v>18059.31935518072</v>
      </c>
      <c r="AE2">
        <f t="shared" ref="AE2:AE65" si="11">IF(Z2&lt;=0,0,MIN(MAX(0,Z2-AD2),0))</f>
        <v>0</v>
      </c>
      <c r="AF2">
        <f t="shared" ref="AF2:AF65" si="12">MAX(0,Z2-AD2-AE2)</f>
        <v>9981940.6806448195</v>
      </c>
      <c r="AG2">
        <v>1</v>
      </c>
      <c r="AH2">
        <f>'Loan Prepayment'!$B$5</f>
        <v>10000000</v>
      </c>
      <c r="AI2">
        <f>IF(AG2&gt;='Loan Prepayment'!$E$11,'Loan Prepayment'!$E$12,'Loan Prepayment'!$B$6)</f>
        <v>7.5</v>
      </c>
      <c r="AJ2">
        <f>IF(AH2&lt;=0,0,MIN(-PMT(AI2/1200,'Loan Prepayment'!$B$7*12,AH2),AH2+AK2))</f>
        <v>80559.31935518072</v>
      </c>
      <c r="AK2">
        <f t="shared" ref="AK2:AK65" si="13">IF(AH2&lt;=0,0,AH2*AI2/1200)</f>
        <v>62500</v>
      </c>
      <c r="AL2">
        <f t="shared" ref="AL2:AL65" si="14">MAX(0,AJ2-AK2)</f>
        <v>18059.31935518072</v>
      </c>
      <c r="AM2">
        <f>IF(AH2&lt;=0,0,MIN(MAX(0,AH2-AL2),SUMIFS('Loan Prepayment'!$B$12:$B$31,'Loan Prepayment'!$A$12:$A$31,AG2)+IF(AND(AG2&gt;='Loan Prepayment'!$B$9,AG2&lt;='Loan Prepayment'!$E$16),'Loan Prepayment'!$B$8,0)))</f>
        <v>0</v>
      </c>
      <c r="AN2">
        <f t="shared" ref="AN2:AN65" si="15">MAX(0,AH2-AL2-AM2)</f>
        <v>9981940.6806448195</v>
      </c>
    </row>
    <row r="3" spans="1:40" x14ac:dyDescent="0.35">
      <c r="A3">
        <v>2</v>
      </c>
      <c r="B3">
        <f t="shared" ref="B3:B66" si="16">H2</f>
        <v>9981940.6806448195</v>
      </c>
      <c r="C3" s="64">
        <f>'Loan Prepayment'!$B$6</f>
        <v>7.5</v>
      </c>
      <c r="D3">
        <f>IF(B3&lt;=0,0,MIN(-PMT('Loan Prepayment'!$B$6/1200,'Loan Prepayment'!$B$7*12,'Loan Prepayment'!$B$5),B3+E3))</f>
        <v>80559.31935518072</v>
      </c>
      <c r="E3">
        <f t="shared" si="0"/>
        <v>62387.129254030129</v>
      </c>
      <c r="F3">
        <f t="shared" si="1"/>
        <v>18172.190101150591</v>
      </c>
      <c r="G3">
        <v>0</v>
      </c>
      <c r="H3">
        <f t="shared" si="2"/>
        <v>9963768.4905436691</v>
      </c>
      <c r="I3">
        <v>2</v>
      </c>
      <c r="J3">
        <f t="shared" ref="J3:J66" si="17">P2</f>
        <v>9981940.6806448195</v>
      </c>
      <c r="K3" s="64">
        <f>'Loan Prepayment'!$B$6</f>
        <v>7.5</v>
      </c>
      <c r="L3">
        <f>IF(J3&lt;=0,0,MIN(IF(AND('Loan Prepayment'!$E$15="Reduce EMI",O2&gt;0),-PMT(K3/1200,MAX(1,'Loan Prepayment'!$B$7*12-I3+1),J3),L2),J3+M3))</f>
        <v>80559.31935518072</v>
      </c>
      <c r="M3">
        <f t="shared" si="3"/>
        <v>62387.129254030129</v>
      </c>
      <c r="N3">
        <f t="shared" si="4"/>
        <v>18172.190101150591</v>
      </c>
      <c r="O3">
        <f>IF(J3&lt;=0,0,MIN(MAX(0,J3-N3),SUMIFS('Loan Prepayment'!$B$12:$B$31,'Loan Prepayment'!$A$12:$A$31,I3)+0))</f>
        <v>0</v>
      </c>
      <c r="P3">
        <f t="shared" si="5"/>
        <v>9963768.4905436691</v>
      </c>
      <c r="Q3">
        <v>2</v>
      </c>
      <c r="R3">
        <f t="shared" ref="R3:R66" si="18">X2</f>
        <v>9981940.6806448195</v>
      </c>
      <c r="S3" s="64">
        <f>'Loan Prepayment'!$B$6</f>
        <v>7.5</v>
      </c>
      <c r="T3">
        <f>IF(R3&lt;=0,0,MIN(IF(AND('Loan Prepayment'!$E$15="Reduce EMI",W2&gt;0),-PMT(S3/1200,MAX(1,'Loan Prepayment'!$B$7*12-Q3+1),R3),T2),R3+U3))</f>
        <v>80559.31935518072</v>
      </c>
      <c r="U3">
        <f t="shared" si="6"/>
        <v>62387.129254030129</v>
      </c>
      <c r="V3">
        <f t="shared" si="7"/>
        <v>18172.190101150591</v>
      </c>
      <c r="W3">
        <f>IF(R3&lt;=0,0,MIN(MAX(0,R3-V3),0+IF(AND(Q3&gt;='Loan Prepayment'!$B$9,Q3&lt;='Loan Prepayment'!$E$16),'Loan Prepayment'!$B$8,0)))</f>
        <v>0</v>
      </c>
      <c r="X3">
        <f t="shared" si="8"/>
        <v>9963768.4905436691</v>
      </c>
      <c r="Y3">
        <v>2</v>
      </c>
      <c r="Z3">
        <f t="shared" ref="Z3:Z66" si="19">AF2</f>
        <v>9981940.6806448195</v>
      </c>
      <c r="AA3">
        <f>IF(Y3&gt;='Loan Prepayment'!$E$11,'Loan Prepayment'!$E$12,'Loan Prepayment'!$B$6)</f>
        <v>7.5</v>
      </c>
      <c r="AB3">
        <f>IF(Z3&lt;=0,0,MIN(IF(Y3='Loan Prepayment'!$E$11,IF('Loan Prepayment'!$E$13="Keep tenure, recalculate EMI",-PMT(AA3/1200,MAX(1,'Loan Prepayment'!$B$7*12-Y3+1),Z3),AB2),AB2),Z3+AC3))</f>
        <v>80559.31935518072</v>
      </c>
      <c r="AC3">
        <f t="shared" si="9"/>
        <v>62387.129254030129</v>
      </c>
      <c r="AD3">
        <f t="shared" si="10"/>
        <v>18172.190101150591</v>
      </c>
      <c r="AE3">
        <f t="shared" si="11"/>
        <v>0</v>
      </c>
      <c r="AF3">
        <f t="shared" si="12"/>
        <v>9963768.4905436691</v>
      </c>
      <c r="AG3">
        <v>2</v>
      </c>
      <c r="AH3">
        <f t="shared" ref="AH3:AH66" si="20">AN2</f>
        <v>9981940.6806448195</v>
      </c>
      <c r="AI3">
        <f>IF(AG3&gt;='Loan Prepayment'!$E$11,'Loan Prepayment'!$E$12,'Loan Prepayment'!$B$6)</f>
        <v>7.5</v>
      </c>
      <c r="AJ3">
        <f>IF(AH3&lt;=0,0,MIN(IF(AG3='Loan Prepayment'!$E$11,IF('Loan Prepayment'!$E$13="Keep tenure, recalculate EMI",-PMT(AI3/1200,MAX(1,'Loan Prepayment'!$B$7*12-AG3+1),AH3),IF(AND('Loan Prepayment'!$E$15="Reduce EMI",AM2&gt;0),-PMT(AI2/1200,MAX(1,'Loan Prepayment'!$B$7*12-AG3+1),AH3),AJ2)),IF(AND('Loan Prepayment'!$E$15="Reduce EMI",AM2&gt;0),-PMT(AI3/1200,MAX(1,'Loan Prepayment'!$B$7*12-AG3+1),AH3),AJ2)),AH3+AK3))</f>
        <v>80559.31935518072</v>
      </c>
      <c r="AK3">
        <f t="shared" si="13"/>
        <v>62387.129254030129</v>
      </c>
      <c r="AL3">
        <f t="shared" si="14"/>
        <v>18172.190101150591</v>
      </c>
      <c r="AM3">
        <f>IF(AH3&lt;=0,0,MIN(MAX(0,AH3-AL3),SUMIFS('Loan Prepayment'!$B$12:$B$31,'Loan Prepayment'!$A$12:$A$31,AG3)+IF(AND(AG3&gt;='Loan Prepayment'!$B$9,AG3&lt;='Loan Prepayment'!$E$16),'Loan Prepayment'!$B$8,0)))</f>
        <v>0</v>
      </c>
      <c r="AN3">
        <f t="shared" si="15"/>
        <v>9963768.4905436691</v>
      </c>
    </row>
    <row r="4" spans="1:40" x14ac:dyDescent="0.35">
      <c r="A4">
        <v>3</v>
      </c>
      <c r="B4">
        <f t="shared" si="16"/>
        <v>9963768.4905436691</v>
      </c>
      <c r="C4" s="64">
        <f>'Loan Prepayment'!$B$6</f>
        <v>7.5</v>
      </c>
      <c r="D4">
        <f>IF(B4&lt;=0,0,MIN(-PMT('Loan Prepayment'!$B$6/1200,'Loan Prepayment'!$B$7*12,'Loan Prepayment'!$B$5),B4+E4))</f>
        <v>80559.31935518072</v>
      </c>
      <c r="E4">
        <f t="shared" si="0"/>
        <v>62273.553065897933</v>
      </c>
      <c r="F4">
        <f t="shared" si="1"/>
        <v>18285.766289282787</v>
      </c>
      <c r="G4">
        <v>0</v>
      </c>
      <c r="H4">
        <f t="shared" si="2"/>
        <v>9945482.7242543865</v>
      </c>
      <c r="I4">
        <v>3</v>
      </c>
      <c r="J4">
        <f t="shared" si="17"/>
        <v>9963768.4905436691</v>
      </c>
      <c r="K4" s="64">
        <f>'Loan Prepayment'!$B$6</f>
        <v>7.5</v>
      </c>
      <c r="L4">
        <f>IF(J4&lt;=0,0,MIN(IF(AND('Loan Prepayment'!$E$15="Reduce EMI",O3&gt;0),-PMT(K4/1200,MAX(1,'Loan Prepayment'!$B$7*12-I4+1),J4),L3),J4+M4))</f>
        <v>80559.31935518072</v>
      </c>
      <c r="M4">
        <f t="shared" si="3"/>
        <v>62273.553065897933</v>
      </c>
      <c r="N4">
        <f t="shared" si="4"/>
        <v>18285.766289282787</v>
      </c>
      <c r="O4">
        <f>IF(J4&lt;=0,0,MIN(MAX(0,J4-N4),SUMIFS('Loan Prepayment'!$B$12:$B$31,'Loan Prepayment'!$A$12:$A$31,I4)+0))</f>
        <v>0</v>
      </c>
      <c r="P4">
        <f t="shared" si="5"/>
        <v>9945482.7242543865</v>
      </c>
      <c r="Q4">
        <v>3</v>
      </c>
      <c r="R4">
        <f t="shared" si="18"/>
        <v>9963768.4905436691</v>
      </c>
      <c r="S4" s="64">
        <f>'Loan Prepayment'!$B$6</f>
        <v>7.5</v>
      </c>
      <c r="T4">
        <f>IF(R4&lt;=0,0,MIN(IF(AND('Loan Prepayment'!$E$15="Reduce EMI",W3&gt;0),-PMT(S4/1200,MAX(1,'Loan Prepayment'!$B$7*12-Q4+1),R4),T3),R4+U4))</f>
        <v>80559.31935518072</v>
      </c>
      <c r="U4">
        <f t="shared" si="6"/>
        <v>62273.553065897933</v>
      </c>
      <c r="V4">
        <f t="shared" si="7"/>
        <v>18285.766289282787</v>
      </c>
      <c r="W4">
        <f>IF(R4&lt;=0,0,MIN(MAX(0,R4-V4),0+IF(AND(Q4&gt;='Loan Prepayment'!$B$9,Q4&lt;='Loan Prepayment'!$E$16),'Loan Prepayment'!$B$8,0)))</f>
        <v>0</v>
      </c>
      <c r="X4">
        <f t="shared" si="8"/>
        <v>9945482.7242543865</v>
      </c>
      <c r="Y4">
        <v>3</v>
      </c>
      <c r="Z4">
        <f t="shared" si="19"/>
        <v>9963768.4905436691</v>
      </c>
      <c r="AA4">
        <f>IF(Y4&gt;='Loan Prepayment'!$E$11,'Loan Prepayment'!$E$12,'Loan Prepayment'!$B$6)</f>
        <v>7.5</v>
      </c>
      <c r="AB4">
        <f>IF(Z4&lt;=0,0,MIN(IF(Y4='Loan Prepayment'!$E$11,IF('Loan Prepayment'!$E$13="Keep tenure, recalculate EMI",-PMT(AA4/1200,MAX(1,'Loan Prepayment'!$B$7*12-Y4+1),Z4),AB3),AB3),Z4+AC4))</f>
        <v>80559.31935518072</v>
      </c>
      <c r="AC4">
        <f t="shared" si="9"/>
        <v>62273.553065897933</v>
      </c>
      <c r="AD4">
        <f t="shared" si="10"/>
        <v>18285.766289282787</v>
      </c>
      <c r="AE4">
        <f t="shared" si="11"/>
        <v>0</v>
      </c>
      <c r="AF4">
        <f t="shared" si="12"/>
        <v>9945482.7242543865</v>
      </c>
      <c r="AG4">
        <v>3</v>
      </c>
      <c r="AH4">
        <f t="shared" si="20"/>
        <v>9963768.4905436691</v>
      </c>
      <c r="AI4">
        <f>IF(AG4&gt;='Loan Prepayment'!$E$11,'Loan Prepayment'!$E$12,'Loan Prepayment'!$B$6)</f>
        <v>7.5</v>
      </c>
      <c r="AJ4">
        <f>IF(AH4&lt;=0,0,MIN(IF(AG4='Loan Prepayment'!$E$11,IF('Loan Prepayment'!$E$13="Keep tenure, recalculate EMI",-PMT(AI4/1200,MAX(1,'Loan Prepayment'!$B$7*12-AG4+1),AH4),IF(AND('Loan Prepayment'!$E$15="Reduce EMI",AM3&gt;0),-PMT(AI3/1200,MAX(1,'Loan Prepayment'!$B$7*12-AG4+1),AH4),AJ3)),IF(AND('Loan Prepayment'!$E$15="Reduce EMI",AM3&gt;0),-PMT(AI4/1200,MAX(1,'Loan Prepayment'!$B$7*12-AG4+1),AH4),AJ3)),AH4+AK4))</f>
        <v>80559.31935518072</v>
      </c>
      <c r="AK4">
        <f t="shared" si="13"/>
        <v>62273.553065897933</v>
      </c>
      <c r="AL4">
        <f t="shared" si="14"/>
        <v>18285.766289282787</v>
      </c>
      <c r="AM4">
        <f>IF(AH4&lt;=0,0,MIN(MAX(0,AH4-AL4),SUMIFS('Loan Prepayment'!$B$12:$B$31,'Loan Prepayment'!$A$12:$A$31,AG4)+IF(AND(AG4&gt;='Loan Prepayment'!$B$9,AG4&lt;='Loan Prepayment'!$E$16),'Loan Prepayment'!$B$8,0)))</f>
        <v>0</v>
      </c>
      <c r="AN4">
        <f t="shared" si="15"/>
        <v>9945482.7242543865</v>
      </c>
    </row>
    <row r="5" spans="1:40" x14ac:dyDescent="0.35">
      <c r="A5">
        <v>4</v>
      </c>
      <c r="B5">
        <f t="shared" si="16"/>
        <v>9945482.7242543865</v>
      </c>
      <c r="C5" s="64">
        <f>'Loan Prepayment'!$B$6</f>
        <v>7.5</v>
      </c>
      <c r="D5">
        <f>IF(B5&lt;=0,0,MIN(-PMT('Loan Prepayment'!$B$6/1200,'Loan Prepayment'!$B$7*12,'Loan Prepayment'!$B$5),B5+E5))</f>
        <v>80559.31935518072</v>
      </c>
      <c r="E5">
        <f t="shared" si="0"/>
        <v>62159.267026589907</v>
      </c>
      <c r="F5">
        <f t="shared" si="1"/>
        <v>18400.052328590813</v>
      </c>
      <c r="G5">
        <v>0</v>
      </c>
      <c r="H5">
        <f t="shared" si="2"/>
        <v>9927082.6719257962</v>
      </c>
      <c r="I5">
        <v>4</v>
      </c>
      <c r="J5">
        <f t="shared" si="17"/>
        <v>9945482.7242543865</v>
      </c>
      <c r="K5" s="64">
        <f>'Loan Prepayment'!$B$6</f>
        <v>7.5</v>
      </c>
      <c r="L5">
        <f>IF(J5&lt;=0,0,MIN(IF(AND('Loan Prepayment'!$E$15="Reduce EMI",O4&gt;0),-PMT(K5/1200,MAX(1,'Loan Prepayment'!$B$7*12-I5+1),J5),L4),J5+M5))</f>
        <v>80559.31935518072</v>
      </c>
      <c r="M5">
        <f t="shared" si="3"/>
        <v>62159.267026589907</v>
      </c>
      <c r="N5">
        <f t="shared" si="4"/>
        <v>18400.052328590813</v>
      </c>
      <c r="O5">
        <f>IF(J5&lt;=0,0,MIN(MAX(0,J5-N5),SUMIFS('Loan Prepayment'!$B$12:$B$31,'Loan Prepayment'!$A$12:$A$31,I5)+0))</f>
        <v>0</v>
      </c>
      <c r="P5">
        <f t="shared" si="5"/>
        <v>9927082.6719257962</v>
      </c>
      <c r="Q5">
        <v>4</v>
      </c>
      <c r="R5">
        <f t="shared" si="18"/>
        <v>9945482.7242543865</v>
      </c>
      <c r="S5" s="64">
        <f>'Loan Prepayment'!$B$6</f>
        <v>7.5</v>
      </c>
      <c r="T5">
        <f>IF(R5&lt;=0,0,MIN(IF(AND('Loan Prepayment'!$E$15="Reduce EMI",W4&gt;0),-PMT(S5/1200,MAX(1,'Loan Prepayment'!$B$7*12-Q5+1),R5),T4),R5+U5))</f>
        <v>80559.31935518072</v>
      </c>
      <c r="U5">
        <f t="shared" si="6"/>
        <v>62159.267026589907</v>
      </c>
      <c r="V5">
        <f t="shared" si="7"/>
        <v>18400.052328590813</v>
      </c>
      <c r="W5">
        <f>IF(R5&lt;=0,0,MIN(MAX(0,R5-V5),0+IF(AND(Q5&gt;='Loan Prepayment'!$B$9,Q5&lt;='Loan Prepayment'!$E$16),'Loan Prepayment'!$B$8,0)))</f>
        <v>0</v>
      </c>
      <c r="X5">
        <f t="shared" si="8"/>
        <v>9927082.6719257962</v>
      </c>
      <c r="Y5">
        <v>4</v>
      </c>
      <c r="Z5">
        <f t="shared" si="19"/>
        <v>9945482.7242543865</v>
      </c>
      <c r="AA5">
        <f>IF(Y5&gt;='Loan Prepayment'!$E$11,'Loan Prepayment'!$E$12,'Loan Prepayment'!$B$6)</f>
        <v>7.5</v>
      </c>
      <c r="AB5">
        <f>IF(Z5&lt;=0,0,MIN(IF(Y5='Loan Prepayment'!$E$11,IF('Loan Prepayment'!$E$13="Keep tenure, recalculate EMI",-PMT(AA5/1200,MAX(1,'Loan Prepayment'!$B$7*12-Y5+1),Z5),AB4),AB4),Z5+AC5))</f>
        <v>80559.31935518072</v>
      </c>
      <c r="AC5">
        <f t="shared" si="9"/>
        <v>62159.267026589907</v>
      </c>
      <c r="AD5">
        <f t="shared" si="10"/>
        <v>18400.052328590813</v>
      </c>
      <c r="AE5">
        <f t="shared" si="11"/>
        <v>0</v>
      </c>
      <c r="AF5">
        <f t="shared" si="12"/>
        <v>9927082.6719257962</v>
      </c>
      <c r="AG5">
        <v>4</v>
      </c>
      <c r="AH5">
        <f t="shared" si="20"/>
        <v>9945482.7242543865</v>
      </c>
      <c r="AI5">
        <f>IF(AG5&gt;='Loan Prepayment'!$E$11,'Loan Prepayment'!$E$12,'Loan Prepayment'!$B$6)</f>
        <v>7.5</v>
      </c>
      <c r="AJ5">
        <f>IF(AH5&lt;=0,0,MIN(IF(AG5='Loan Prepayment'!$E$11,IF('Loan Prepayment'!$E$13="Keep tenure, recalculate EMI",-PMT(AI5/1200,MAX(1,'Loan Prepayment'!$B$7*12-AG5+1),AH5),IF(AND('Loan Prepayment'!$E$15="Reduce EMI",AM4&gt;0),-PMT(AI4/1200,MAX(1,'Loan Prepayment'!$B$7*12-AG5+1),AH5),AJ4)),IF(AND('Loan Prepayment'!$E$15="Reduce EMI",AM4&gt;0),-PMT(AI5/1200,MAX(1,'Loan Prepayment'!$B$7*12-AG5+1),AH5),AJ4)),AH5+AK5))</f>
        <v>80559.31935518072</v>
      </c>
      <c r="AK5">
        <f t="shared" si="13"/>
        <v>62159.267026589907</v>
      </c>
      <c r="AL5">
        <f t="shared" si="14"/>
        <v>18400.052328590813</v>
      </c>
      <c r="AM5">
        <f>IF(AH5&lt;=0,0,MIN(MAX(0,AH5-AL5),SUMIFS('Loan Prepayment'!$B$12:$B$31,'Loan Prepayment'!$A$12:$A$31,AG5)+IF(AND(AG5&gt;='Loan Prepayment'!$B$9,AG5&lt;='Loan Prepayment'!$E$16),'Loan Prepayment'!$B$8,0)))</f>
        <v>0</v>
      </c>
      <c r="AN5">
        <f t="shared" si="15"/>
        <v>9927082.6719257962</v>
      </c>
    </row>
    <row r="6" spans="1:40" x14ac:dyDescent="0.35">
      <c r="A6">
        <v>5</v>
      </c>
      <c r="B6">
        <f t="shared" si="16"/>
        <v>9927082.6719257962</v>
      </c>
      <c r="C6" s="64">
        <f>'Loan Prepayment'!$B$6</f>
        <v>7.5</v>
      </c>
      <c r="D6">
        <f>IF(B6&lt;=0,0,MIN(-PMT('Loan Prepayment'!$B$6/1200,'Loan Prepayment'!$B$7*12,'Loan Prepayment'!$B$5),B6+E6))</f>
        <v>80559.31935518072</v>
      </c>
      <c r="E6">
        <f t="shared" si="0"/>
        <v>62044.266699536231</v>
      </c>
      <c r="F6">
        <f t="shared" si="1"/>
        <v>18515.052655644489</v>
      </c>
      <c r="G6">
        <v>0</v>
      </c>
      <c r="H6">
        <f t="shared" si="2"/>
        <v>9908567.6192701515</v>
      </c>
      <c r="I6">
        <v>5</v>
      </c>
      <c r="J6">
        <f t="shared" si="17"/>
        <v>9927082.6719257962</v>
      </c>
      <c r="K6" s="64">
        <f>'Loan Prepayment'!$B$6</f>
        <v>7.5</v>
      </c>
      <c r="L6">
        <f>IF(J6&lt;=0,0,MIN(IF(AND('Loan Prepayment'!$E$15="Reduce EMI",O5&gt;0),-PMT(K6/1200,MAX(1,'Loan Prepayment'!$B$7*12-I6+1),J6),L5),J6+M6))</f>
        <v>80559.31935518072</v>
      </c>
      <c r="M6">
        <f t="shared" si="3"/>
        <v>62044.266699536231</v>
      </c>
      <c r="N6">
        <f t="shared" si="4"/>
        <v>18515.052655644489</v>
      </c>
      <c r="O6">
        <f>IF(J6&lt;=0,0,MIN(MAX(0,J6-N6),SUMIFS('Loan Prepayment'!$B$12:$B$31,'Loan Prepayment'!$A$12:$A$31,I6)+0))</f>
        <v>0</v>
      </c>
      <c r="P6">
        <f t="shared" si="5"/>
        <v>9908567.6192701515</v>
      </c>
      <c r="Q6">
        <v>5</v>
      </c>
      <c r="R6">
        <f t="shared" si="18"/>
        <v>9927082.6719257962</v>
      </c>
      <c r="S6" s="64">
        <f>'Loan Prepayment'!$B$6</f>
        <v>7.5</v>
      </c>
      <c r="T6">
        <f>IF(R6&lt;=0,0,MIN(IF(AND('Loan Prepayment'!$E$15="Reduce EMI",W5&gt;0),-PMT(S6/1200,MAX(1,'Loan Prepayment'!$B$7*12-Q6+1),R6),T5),R6+U6))</f>
        <v>80559.31935518072</v>
      </c>
      <c r="U6">
        <f t="shared" si="6"/>
        <v>62044.266699536231</v>
      </c>
      <c r="V6">
        <f t="shared" si="7"/>
        <v>18515.052655644489</v>
      </c>
      <c r="W6">
        <f>IF(R6&lt;=0,0,MIN(MAX(0,R6-V6),0+IF(AND(Q6&gt;='Loan Prepayment'!$B$9,Q6&lt;='Loan Prepayment'!$E$16),'Loan Prepayment'!$B$8,0)))</f>
        <v>0</v>
      </c>
      <c r="X6">
        <f t="shared" si="8"/>
        <v>9908567.6192701515</v>
      </c>
      <c r="Y6">
        <v>5</v>
      </c>
      <c r="Z6">
        <f t="shared" si="19"/>
        <v>9927082.6719257962</v>
      </c>
      <c r="AA6">
        <f>IF(Y6&gt;='Loan Prepayment'!$E$11,'Loan Prepayment'!$E$12,'Loan Prepayment'!$B$6)</f>
        <v>7.5</v>
      </c>
      <c r="AB6">
        <f>IF(Z6&lt;=0,0,MIN(IF(Y6='Loan Prepayment'!$E$11,IF('Loan Prepayment'!$E$13="Keep tenure, recalculate EMI",-PMT(AA6/1200,MAX(1,'Loan Prepayment'!$B$7*12-Y6+1),Z6),AB5),AB5),Z6+AC6))</f>
        <v>80559.31935518072</v>
      </c>
      <c r="AC6">
        <f t="shared" si="9"/>
        <v>62044.266699536231</v>
      </c>
      <c r="AD6">
        <f t="shared" si="10"/>
        <v>18515.052655644489</v>
      </c>
      <c r="AE6">
        <f t="shared" si="11"/>
        <v>0</v>
      </c>
      <c r="AF6">
        <f t="shared" si="12"/>
        <v>9908567.6192701515</v>
      </c>
      <c r="AG6">
        <v>5</v>
      </c>
      <c r="AH6">
        <f t="shared" si="20"/>
        <v>9927082.6719257962</v>
      </c>
      <c r="AI6">
        <f>IF(AG6&gt;='Loan Prepayment'!$E$11,'Loan Prepayment'!$E$12,'Loan Prepayment'!$B$6)</f>
        <v>7.5</v>
      </c>
      <c r="AJ6">
        <f>IF(AH6&lt;=0,0,MIN(IF(AG6='Loan Prepayment'!$E$11,IF('Loan Prepayment'!$E$13="Keep tenure, recalculate EMI",-PMT(AI6/1200,MAX(1,'Loan Prepayment'!$B$7*12-AG6+1),AH6),IF(AND('Loan Prepayment'!$E$15="Reduce EMI",AM5&gt;0),-PMT(AI5/1200,MAX(1,'Loan Prepayment'!$B$7*12-AG6+1),AH6),AJ5)),IF(AND('Loan Prepayment'!$E$15="Reduce EMI",AM5&gt;0),-PMT(AI6/1200,MAX(1,'Loan Prepayment'!$B$7*12-AG6+1),AH6),AJ5)),AH6+AK6))</f>
        <v>80559.31935518072</v>
      </c>
      <c r="AK6">
        <f t="shared" si="13"/>
        <v>62044.266699536231</v>
      </c>
      <c r="AL6">
        <f t="shared" si="14"/>
        <v>18515.052655644489</v>
      </c>
      <c r="AM6">
        <f>IF(AH6&lt;=0,0,MIN(MAX(0,AH6-AL6),SUMIFS('Loan Prepayment'!$B$12:$B$31,'Loan Prepayment'!$A$12:$A$31,AG6)+IF(AND(AG6&gt;='Loan Prepayment'!$B$9,AG6&lt;='Loan Prepayment'!$E$16),'Loan Prepayment'!$B$8,0)))</f>
        <v>0</v>
      </c>
      <c r="AN6">
        <f t="shared" si="15"/>
        <v>9908567.6192701515</v>
      </c>
    </row>
    <row r="7" spans="1:40" x14ac:dyDescent="0.35">
      <c r="A7">
        <v>6</v>
      </c>
      <c r="B7">
        <f t="shared" si="16"/>
        <v>9908567.6192701515</v>
      </c>
      <c r="C7" s="64">
        <f>'Loan Prepayment'!$B$6</f>
        <v>7.5</v>
      </c>
      <c r="D7">
        <f>IF(B7&lt;=0,0,MIN(-PMT('Loan Prepayment'!$B$6/1200,'Loan Prepayment'!$B$7*12,'Loan Prepayment'!$B$5),B7+E7))</f>
        <v>80559.31935518072</v>
      </c>
      <c r="E7">
        <f t="shared" si="0"/>
        <v>61928.547620438447</v>
      </c>
      <c r="F7">
        <f t="shared" si="1"/>
        <v>18630.771734742273</v>
      </c>
      <c r="G7">
        <v>0</v>
      </c>
      <c r="H7">
        <f t="shared" si="2"/>
        <v>9889936.847535409</v>
      </c>
      <c r="I7">
        <v>6</v>
      </c>
      <c r="J7">
        <f t="shared" si="17"/>
        <v>9908567.6192701515</v>
      </c>
      <c r="K7" s="64">
        <f>'Loan Prepayment'!$B$6</f>
        <v>7.5</v>
      </c>
      <c r="L7">
        <f>IF(J7&lt;=0,0,MIN(IF(AND('Loan Prepayment'!$E$15="Reduce EMI",O6&gt;0),-PMT(K7/1200,MAX(1,'Loan Prepayment'!$B$7*12-I7+1),J7),L6),J7+M7))</f>
        <v>80559.31935518072</v>
      </c>
      <c r="M7">
        <f t="shared" si="3"/>
        <v>61928.547620438447</v>
      </c>
      <c r="N7">
        <f t="shared" si="4"/>
        <v>18630.771734742273</v>
      </c>
      <c r="O7">
        <f>IF(J7&lt;=0,0,MIN(MAX(0,J7-N7),SUMIFS('Loan Prepayment'!$B$12:$B$31,'Loan Prepayment'!$A$12:$A$31,I7)+0))</f>
        <v>0</v>
      </c>
      <c r="P7">
        <f t="shared" si="5"/>
        <v>9889936.847535409</v>
      </c>
      <c r="Q7">
        <v>6</v>
      </c>
      <c r="R7">
        <f t="shared" si="18"/>
        <v>9908567.6192701515</v>
      </c>
      <c r="S7" s="64">
        <f>'Loan Prepayment'!$B$6</f>
        <v>7.5</v>
      </c>
      <c r="T7">
        <f>IF(R7&lt;=0,0,MIN(IF(AND('Loan Prepayment'!$E$15="Reduce EMI",W6&gt;0),-PMT(S7/1200,MAX(1,'Loan Prepayment'!$B$7*12-Q7+1),R7),T6),R7+U7))</f>
        <v>80559.31935518072</v>
      </c>
      <c r="U7">
        <f t="shared" si="6"/>
        <v>61928.547620438447</v>
      </c>
      <c r="V7">
        <f t="shared" si="7"/>
        <v>18630.771734742273</v>
      </c>
      <c r="W7">
        <f>IF(R7&lt;=0,0,MIN(MAX(0,R7-V7),0+IF(AND(Q7&gt;='Loan Prepayment'!$B$9,Q7&lt;='Loan Prepayment'!$E$16),'Loan Prepayment'!$B$8,0)))</f>
        <v>0</v>
      </c>
      <c r="X7">
        <f t="shared" si="8"/>
        <v>9889936.847535409</v>
      </c>
      <c r="Y7">
        <v>6</v>
      </c>
      <c r="Z7">
        <f t="shared" si="19"/>
        <v>9908567.6192701515</v>
      </c>
      <c r="AA7">
        <f>IF(Y7&gt;='Loan Prepayment'!$E$11,'Loan Prepayment'!$E$12,'Loan Prepayment'!$B$6)</f>
        <v>7.5</v>
      </c>
      <c r="AB7">
        <f>IF(Z7&lt;=0,0,MIN(IF(Y7='Loan Prepayment'!$E$11,IF('Loan Prepayment'!$E$13="Keep tenure, recalculate EMI",-PMT(AA7/1200,MAX(1,'Loan Prepayment'!$B$7*12-Y7+1),Z7),AB6),AB6),Z7+AC7))</f>
        <v>80559.31935518072</v>
      </c>
      <c r="AC7">
        <f t="shared" si="9"/>
        <v>61928.547620438447</v>
      </c>
      <c r="AD7">
        <f t="shared" si="10"/>
        <v>18630.771734742273</v>
      </c>
      <c r="AE7">
        <f t="shared" si="11"/>
        <v>0</v>
      </c>
      <c r="AF7">
        <f t="shared" si="12"/>
        <v>9889936.847535409</v>
      </c>
      <c r="AG7">
        <v>6</v>
      </c>
      <c r="AH7">
        <f t="shared" si="20"/>
        <v>9908567.6192701515</v>
      </c>
      <c r="AI7">
        <f>IF(AG7&gt;='Loan Prepayment'!$E$11,'Loan Prepayment'!$E$12,'Loan Prepayment'!$B$6)</f>
        <v>7.5</v>
      </c>
      <c r="AJ7">
        <f>IF(AH7&lt;=0,0,MIN(IF(AG7='Loan Prepayment'!$E$11,IF('Loan Prepayment'!$E$13="Keep tenure, recalculate EMI",-PMT(AI7/1200,MAX(1,'Loan Prepayment'!$B$7*12-AG7+1),AH7),IF(AND('Loan Prepayment'!$E$15="Reduce EMI",AM6&gt;0),-PMT(AI6/1200,MAX(1,'Loan Prepayment'!$B$7*12-AG7+1),AH7),AJ6)),IF(AND('Loan Prepayment'!$E$15="Reduce EMI",AM6&gt;0),-PMT(AI7/1200,MAX(1,'Loan Prepayment'!$B$7*12-AG7+1),AH7),AJ6)),AH7+AK7))</f>
        <v>80559.31935518072</v>
      </c>
      <c r="AK7">
        <f t="shared" si="13"/>
        <v>61928.547620438447</v>
      </c>
      <c r="AL7">
        <f t="shared" si="14"/>
        <v>18630.771734742273</v>
      </c>
      <c r="AM7">
        <f>IF(AH7&lt;=0,0,MIN(MAX(0,AH7-AL7),SUMIFS('Loan Prepayment'!$B$12:$B$31,'Loan Prepayment'!$A$12:$A$31,AG7)+IF(AND(AG7&gt;='Loan Prepayment'!$B$9,AG7&lt;='Loan Prepayment'!$E$16),'Loan Prepayment'!$B$8,0)))</f>
        <v>0</v>
      </c>
      <c r="AN7">
        <f t="shared" si="15"/>
        <v>9889936.847535409</v>
      </c>
    </row>
    <row r="8" spans="1:40" x14ac:dyDescent="0.35">
      <c r="A8">
        <v>7</v>
      </c>
      <c r="B8">
        <f t="shared" si="16"/>
        <v>9889936.847535409</v>
      </c>
      <c r="C8" s="64">
        <f>'Loan Prepayment'!$B$6</f>
        <v>7.5</v>
      </c>
      <c r="D8">
        <f>IF(B8&lt;=0,0,MIN(-PMT('Loan Prepayment'!$B$6/1200,'Loan Prepayment'!$B$7*12,'Loan Prepayment'!$B$5),B8+E8))</f>
        <v>80559.31935518072</v>
      </c>
      <c r="E8">
        <f t="shared" si="0"/>
        <v>61812.105297096306</v>
      </c>
      <c r="F8">
        <f t="shared" si="1"/>
        <v>18747.214058084413</v>
      </c>
      <c r="G8">
        <v>0</v>
      </c>
      <c r="H8">
        <f t="shared" si="2"/>
        <v>9871189.6334773246</v>
      </c>
      <c r="I8">
        <v>7</v>
      </c>
      <c r="J8">
        <f t="shared" si="17"/>
        <v>9889936.847535409</v>
      </c>
      <c r="K8" s="64">
        <f>'Loan Prepayment'!$B$6</f>
        <v>7.5</v>
      </c>
      <c r="L8">
        <f>IF(J8&lt;=0,0,MIN(IF(AND('Loan Prepayment'!$E$15="Reduce EMI",O7&gt;0),-PMT(K8/1200,MAX(1,'Loan Prepayment'!$B$7*12-I8+1),J8),L7),J8+M8))</f>
        <v>80559.31935518072</v>
      </c>
      <c r="M8">
        <f t="shared" si="3"/>
        <v>61812.105297096306</v>
      </c>
      <c r="N8">
        <f t="shared" si="4"/>
        <v>18747.214058084413</v>
      </c>
      <c r="O8">
        <f>IF(J8&lt;=0,0,MIN(MAX(0,J8-N8),SUMIFS('Loan Prepayment'!$B$12:$B$31,'Loan Prepayment'!$A$12:$A$31,I8)+0))</f>
        <v>0</v>
      </c>
      <c r="P8">
        <f t="shared" si="5"/>
        <v>9871189.6334773246</v>
      </c>
      <c r="Q8">
        <v>7</v>
      </c>
      <c r="R8">
        <f t="shared" si="18"/>
        <v>9889936.847535409</v>
      </c>
      <c r="S8" s="64">
        <f>'Loan Prepayment'!$B$6</f>
        <v>7.5</v>
      </c>
      <c r="T8">
        <f>IF(R8&lt;=0,0,MIN(IF(AND('Loan Prepayment'!$E$15="Reduce EMI",W7&gt;0),-PMT(S8/1200,MAX(1,'Loan Prepayment'!$B$7*12-Q8+1),R8),T7),R8+U8))</f>
        <v>80559.31935518072</v>
      </c>
      <c r="U8">
        <f t="shared" si="6"/>
        <v>61812.105297096306</v>
      </c>
      <c r="V8">
        <f t="shared" si="7"/>
        <v>18747.214058084413</v>
      </c>
      <c r="W8">
        <f>IF(R8&lt;=0,0,MIN(MAX(0,R8-V8),0+IF(AND(Q8&gt;='Loan Prepayment'!$B$9,Q8&lt;='Loan Prepayment'!$E$16),'Loan Prepayment'!$B$8,0)))</f>
        <v>0</v>
      </c>
      <c r="X8">
        <f t="shared" si="8"/>
        <v>9871189.6334773246</v>
      </c>
      <c r="Y8">
        <v>7</v>
      </c>
      <c r="Z8">
        <f t="shared" si="19"/>
        <v>9889936.847535409</v>
      </c>
      <c r="AA8">
        <f>IF(Y8&gt;='Loan Prepayment'!$E$11,'Loan Prepayment'!$E$12,'Loan Prepayment'!$B$6)</f>
        <v>7.5</v>
      </c>
      <c r="AB8">
        <f>IF(Z8&lt;=0,0,MIN(IF(Y8='Loan Prepayment'!$E$11,IF('Loan Prepayment'!$E$13="Keep tenure, recalculate EMI",-PMT(AA8/1200,MAX(1,'Loan Prepayment'!$B$7*12-Y8+1),Z8),AB7),AB7),Z8+AC8))</f>
        <v>80559.31935518072</v>
      </c>
      <c r="AC8">
        <f t="shared" si="9"/>
        <v>61812.105297096306</v>
      </c>
      <c r="AD8">
        <f t="shared" si="10"/>
        <v>18747.214058084413</v>
      </c>
      <c r="AE8">
        <f t="shared" si="11"/>
        <v>0</v>
      </c>
      <c r="AF8">
        <f t="shared" si="12"/>
        <v>9871189.6334773246</v>
      </c>
      <c r="AG8">
        <v>7</v>
      </c>
      <c r="AH8">
        <f t="shared" si="20"/>
        <v>9889936.847535409</v>
      </c>
      <c r="AI8">
        <f>IF(AG8&gt;='Loan Prepayment'!$E$11,'Loan Prepayment'!$E$12,'Loan Prepayment'!$B$6)</f>
        <v>7.5</v>
      </c>
      <c r="AJ8">
        <f>IF(AH8&lt;=0,0,MIN(IF(AG8='Loan Prepayment'!$E$11,IF('Loan Prepayment'!$E$13="Keep tenure, recalculate EMI",-PMT(AI8/1200,MAX(1,'Loan Prepayment'!$B$7*12-AG8+1),AH8),IF(AND('Loan Prepayment'!$E$15="Reduce EMI",AM7&gt;0),-PMT(AI7/1200,MAX(1,'Loan Prepayment'!$B$7*12-AG8+1),AH8),AJ7)),IF(AND('Loan Prepayment'!$E$15="Reduce EMI",AM7&gt;0),-PMT(AI8/1200,MAX(1,'Loan Prepayment'!$B$7*12-AG8+1),AH8),AJ7)),AH8+AK8))</f>
        <v>80559.31935518072</v>
      </c>
      <c r="AK8">
        <f t="shared" si="13"/>
        <v>61812.105297096306</v>
      </c>
      <c r="AL8">
        <f t="shared" si="14"/>
        <v>18747.214058084413</v>
      </c>
      <c r="AM8">
        <f>IF(AH8&lt;=0,0,MIN(MAX(0,AH8-AL8),SUMIFS('Loan Prepayment'!$B$12:$B$31,'Loan Prepayment'!$A$12:$A$31,AG8)+IF(AND(AG8&gt;='Loan Prepayment'!$B$9,AG8&lt;='Loan Prepayment'!$E$16),'Loan Prepayment'!$B$8,0)))</f>
        <v>0</v>
      </c>
      <c r="AN8">
        <f t="shared" si="15"/>
        <v>9871189.6334773246</v>
      </c>
    </row>
    <row r="9" spans="1:40" x14ac:dyDescent="0.35">
      <c r="A9">
        <v>8</v>
      </c>
      <c r="B9">
        <f t="shared" si="16"/>
        <v>9871189.6334773246</v>
      </c>
      <c r="C9" s="64">
        <f>'Loan Prepayment'!$B$6</f>
        <v>7.5</v>
      </c>
      <c r="D9">
        <f>IF(B9&lt;=0,0,MIN(-PMT('Loan Prepayment'!$B$6/1200,'Loan Prepayment'!$B$7*12,'Loan Prepayment'!$B$5),B9+E9))</f>
        <v>80559.31935518072</v>
      </c>
      <c r="E9">
        <f t="shared" si="0"/>
        <v>61694.935209233277</v>
      </c>
      <c r="F9">
        <f t="shared" si="1"/>
        <v>18864.384145947442</v>
      </c>
      <c r="G9">
        <v>0</v>
      </c>
      <c r="H9">
        <f t="shared" si="2"/>
        <v>9852325.2493313774</v>
      </c>
      <c r="I9">
        <v>8</v>
      </c>
      <c r="J9">
        <f t="shared" si="17"/>
        <v>9871189.6334773246</v>
      </c>
      <c r="K9" s="64">
        <f>'Loan Prepayment'!$B$6</f>
        <v>7.5</v>
      </c>
      <c r="L9">
        <f>IF(J9&lt;=0,0,MIN(IF(AND('Loan Prepayment'!$E$15="Reduce EMI",O8&gt;0),-PMT(K9/1200,MAX(1,'Loan Prepayment'!$B$7*12-I9+1),J9),L8),J9+M9))</f>
        <v>80559.31935518072</v>
      </c>
      <c r="M9">
        <f t="shared" si="3"/>
        <v>61694.935209233277</v>
      </c>
      <c r="N9">
        <f t="shared" si="4"/>
        <v>18864.384145947442</v>
      </c>
      <c r="O9">
        <f>IF(J9&lt;=0,0,MIN(MAX(0,J9-N9),SUMIFS('Loan Prepayment'!$B$12:$B$31,'Loan Prepayment'!$A$12:$A$31,I9)+0))</f>
        <v>0</v>
      </c>
      <c r="P9">
        <f t="shared" si="5"/>
        <v>9852325.2493313774</v>
      </c>
      <c r="Q9">
        <v>8</v>
      </c>
      <c r="R9">
        <f t="shared" si="18"/>
        <v>9871189.6334773246</v>
      </c>
      <c r="S9" s="64">
        <f>'Loan Prepayment'!$B$6</f>
        <v>7.5</v>
      </c>
      <c r="T9">
        <f>IF(R9&lt;=0,0,MIN(IF(AND('Loan Prepayment'!$E$15="Reduce EMI",W8&gt;0),-PMT(S9/1200,MAX(1,'Loan Prepayment'!$B$7*12-Q9+1),R9),T8),R9+U9))</f>
        <v>80559.31935518072</v>
      </c>
      <c r="U9">
        <f t="shared" si="6"/>
        <v>61694.935209233277</v>
      </c>
      <c r="V9">
        <f t="shared" si="7"/>
        <v>18864.384145947442</v>
      </c>
      <c r="W9">
        <f>IF(R9&lt;=0,0,MIN(MAX(0,R9-V9),0+IF(AND(Q9&gt;='Loan Prepayment'!$B$9,Q9&lt;='Loan Prepayment'!$E$16),'Loan Prepayment'!$B$8,0)))</f>
        <v>0</v>
      </c>
      <c r="X9">
        <f t="shared" si="8"/>
        <v>9852325.2493313774</v>
      </c>
      <c r="Y9">
        <v>8</v>
      </c>
      <c r="Z9">
        <f t="shared" si="19"/>
        <v>9871189.6334773246</v>
      </c>
      <c r="AA9">
        <f>IF(Y9&gt;='Loan Prepayment'!$E$11,'Loan Prepayment'!$E$12,'Loan Prepayment'!$B$6)</f>
        <v>7.5</v>
      </c>
      <c r="AB9">
        <f>IF(Z9&lt;=0,0,MIN(IF(Y9='Loan Prepayment'!$E$11,IF('Loan Prepayment'!$E$13="Keep tenure, recalculate EMI",-PMT(AA9/1200,MAX(1,'Loan Prepayment'!$B$7*12-Y9+1),Z9),AB8),AB8),Z9+AC9))</f>
        <v>80559.31935518072</v>
      </c>
      <c r="AC9">
        <f t="shared" si="9"/>
        <v>61694.935209233277</v>
      </c>
      <c r="AD9">
        <f t="shared" si="10"/>
        <v>18864.384145947442</v>
      </c>
      <c r="AE9">
        <f t="shared" si="11"/>
        <v>0</v>
      </c>
      <c r="AF9">
        <f t="shared" si="12"/>
        <v>9852325.2493313774</v>
      </c>
      <c r="AG9">
        <v>8</v>
      </c>
      <c r="AH9">
        <f t="shared" si="20"/>
        <v>9871189.6334773246</v>
      </c>
      <c r="AI9">
        <f>IF(AG9&gt;='Loan Prepayment'!$E$11,'Loan Prepayment'!$E$12,'Loan Prepayment'!$B$6)</f>
        <v>7.5</v>
      </c>
      <c r="AJ9">
        <f>IF(AH9&lt;=0,0,MIN(IF(AG9='Loan Prepayment'!$E$11,IF('Loan Prepayment'!$E$13="Keep tenure, recalculate EMI",-PMT(AI9/1200,MAX(1,'Loan Prepayment'!$B$7*12-AG9+1),AH9),IF(AND('Loan Prepayment'!$E$15="Reduce EMI",AM8&gt;0),-PMT(AI8/1200,MAX(1,'Loan Prepayment'!$B$7*12-AG9+1),AH9),AJ8)),IF(AND('Loan Prepayment'!$E$15="Reduce EMI",AM8&gt;0),-PMT(AI9/1200,MAX(1,'Loan Prepayment'!$B$7*12-AG9+1),AH9),AJ8)),AH9+AK9))</f>
        <v>80559.31935518072</v>
      </c>
      <c r="AK9">
        <f t="shared" si="13"/>
        <v>61694.935209233277</v>
      </c>
      <c r="AL9">
        <f t="shared" si="14"/>
        <v>18864.384145947442</v>
      </c>
      <c r="AM9">
        <f>IF(AH9&lt;=0,0,MIN(MAX(0,AH9-AL9),SUMIFS('Loan Prepayment'!$B$12:$B$31,'Loan Prepayment'!$A$12:$A$31,AG9)+IF(AND(AG9&gt;='Loan Prepayment'!$B$9,AG9&lt;='Loan Prepayment'!$E$16),'Loan Prepayment'!$B$8,0)))</f>
        <v>0</v>
      </c>
      <c r="AN9">
        <f t="shared" si="15"/>
        <v>9852325.2493313774</v>
      </c>
    </row>
    <row r="10" spans="1:40" x14ac:dyDescent="0.35">
      <c r="A10">
        <v>9</v>
      </c>
      <c r="B10">
        <f t="shared" si="16"/>
        <v>9852325.2493313774</v>
      </c>
      <c r="C10" s="64">
        <f>'Loan Prepayment'!$B$6</f>
        <v>7.5</v>
      </c>
      <c r="D10">
        <f>IF(B10&lt;=0,0,MIN(-PMT('Loan Prepayment'!$B$6/1200,'Loan Prepayment'!$B$7*12,'Loan Prepayment'!$B$5),B10+E10))</f>
        <v>80559.31935518072</v>
      </c>
      <c r="E10">
        <f t="shared" si="0"/>
        <v>61577.032808321106</v>
      </c>
      <c r="F10">
        <f t="shared" si="1"/>
        <v>18982.286546859614</v>
      </c>
      <c r="G10">
        <v>0</v>
      </c>
      <c r="H10">
        <f t="shared" si="2"/>
        <v>9833342.9627845176</v>
      </c>
      <c r="I10">
        <v>9</v>
      </c>
      <c r="J10">
        <f t="shared" si="17"/>
        <v>9852325.2493313774</v>
      </c>
      <c r="K10" s="64">
        <f>'Loan Prepayment'!$B$6</f>
        <v>7.5</v>
      </c>
      <c r="L10">
        <f>IF(J10&lt;=0,0,MIN(IF(AND('Loan Prepayment'!$E$15="Reduce EMI",O9&gt;0),-PMT(K10/1200,MAX(1,'Loan Prepayment'!$B$7*12-I10+1),J10),L9),J10+M10))</f>
        <v>80559.31935518072</v>
      </c>
      <c r="M10">
        <f t="shared" si="3"/>
        <v>61577.032808321106</v>
      </c>
      <c r="N10">
        <f t="shared" si="4"/>
        <v>18982.286546859614</v>
      </c>
      <c r="O10">
        <f>IF(J10&lt;=0,0,MIN(MAX(0,J10-N10),SUMIFS('Loan Prepayment'!$B$12:$B$31,'Loan Prepayment'!$A$12:$A$31,I10)+0))</f>
        <v>0</v>
      </c>
      <c r="P10">
        <f t="shared" si="5"/>
        <v>9833342.9627845176</v>
      </c>
      <c r="Q10">
        <v>9</v>
      </c>
      <c r="R10">
        <f t="shared" si="18"/>
        <v>9852325.2493313774</v>
      </c>
      <c r="S10" s="64">
        <f>'Loan Prepayment'!$B$6</f>
        <v>7.5</v>
      </c>
      <c r="T10">
        <f>IF(R10&lt;=0,0,MIN(IF(AND('Loan Prepayment'!$E$15="Reduce EMI",W9&gt;0),-PMT(S10/1200,MAX(1,'Loan Prepayment'!$B$7*12-Q10+1),R10),T9),R10+U10))</f>
        <v>80559.31935518072</v>
      </c>
      <c r="U10">
        <f t="shared" si="6"/>
        <v>61577.032808321106</v>
      </c>
      <c r="V10">
        <f t="shared" si="7"/>
        <v>18982.286546859614</v>
      </c>
      <c r="W10">
        <f>IF(R10&lt;=0,0,MIN(MAX(0,R10-V10),0+IF(AND(Q10&gt;='Loan Prepayment'!$B$9,Q10&lt;='Loan Prepayment'!$E$16),'Loan Prepayment'!$B$8,0)))</f>
        <v>0</v>
      </c>
      <c r="X10">
        <f t="shared" si="8"/>
        <v>9833342.9627845176</v>
      </c>
      <c r="Y10">
        <v>9</v>
      </c>
      <c r="Z10">
        <f t="shared" si="19"/>
        <v>9852325.2493313774</v>
      </c>
      <c r="AA10">
        <f>IF(Y10&gt;='Loan Prepayment'!$E$11,'Loan Prepayment'!$E$12,'Loan Prepayment'!$B$6)</f>
        <v>7.5</v>
      </c>
      <c r="AB10">
        <f>IF(Z10&lt;=0,0,MIN(IF(Y10='Loan Prepayment'!$E$11,IF('Loan Prepayment'!$E$13="Keep tenure, recalculate EMI",-PMT(AA10/1200,MAX(1,'Loan Prepayment'!$B$7*12-Y10+1),Z10),AB9),AB9),Z10+AC10))</f>
        <v>80559.31935518072</v>
      </c>
      <c r="AC10">
        <f t="shared" si="9"/>
        <v>61577.032808321106</v>
      </c>
      <c r="AD10">
        <f t="shared" si="10"/>
        <v>18982.286546859614</v>
      </c>
      <c r="AE10">
        <f t="shared" si="11"/>
        <v>0</v>
      </c>
      <c r="AF10">
        <f t="shared" si="12"/>
        <v>9833342.9627845176</v>
      </c>
      <c r="AG10">
        <v>9</v>
      </c>
      <c r="AH10">
        <f t="shared" si="20"/>
        <v>9852325.2493313774</v>
      </c>
      <c r="AI10">
        <f>IF(AG10&gt;='Loan Prepayment'!$E$11,'Loan Prepayment'!$E$12,'Loan Prepayment'!$B$6)</f>
        <v>7.5</v>
      </c>
      <c r="AJ10">
        <f>IF(AH10&lt;=0,0,MIN(IF(AG10='Loan Prepayment'!$E$11,IF('Loan Prepayment'!$E$13="Keep tenure, recalculate EMI",-PMT(AI10/1200,MAX(1,'Loan Prepayment'!$B$7*12-AG10+1),AH10),IF(AND('Loan Prepayment'!$E$15="Reduce EMI",AM9&gt;0),-PMT(AI9/1200,MAX(1,'Loan Prepayment'!$B$7*12-AG10+1),AH10),AJ9)),IF(AND('Loan Prepayment'!$E$15="Reduce EMI",AM9&gt;0),-PMT(AI10/1200,MAX(1,'Loan Prepayment'!$B$7*12-AG10+1),AH10),AJ9)),AH10+AK10))</f>
        <v>80559.31935518072</v>
      </c>
      <c r="AK10">
        <f t="shared" si="13"/>
        <v>61577.032808321106</v>
      </c>
      <c r="AL10">
        <f t="shared" si="14"/>
        <v>18982.286546859614</v>
      </c>
      <c r="AM10">
        <f>IF(AH10&lt;=0,0,MIN(MAX(0,AH10-AL10),SUMIFS('Loan Prepayment'!$B$12:$B$31,'Loan Prepayment'!$A$12:$A$31,AG10)+IF(AND(AG10&gt;='Loan Prepayment'!$B$9,AG10&lt;='Loan Prepayment'!$E$16),'Loan Prepayment'!$B$8,0)))</f>
        <v>0</v>
      </c>
      <c r="AN10">
        <f t="shared" si="15"/>
        <v>9833342.9627845176</v>
      </c>
    </row>
    <row r="11" spans="1:40" x14ac:dyDescent="0.35">
      <c r="A11">
        <v>10</v>
      </c>
      <c r="B11">
        <f t="shared" si="16"/>
        <v>9833342.9627845176</v>
      </c>
      <c r="C11" s="64">
        <f>'Loan Prepayment'!$B$6</f>
        <v>7.5</v>
      </c>
      <c r="D11">
        <f>IF(B11&lt;=0,0,MIN(-PMT('Loan Prepayment'!$B$6/1200,'Loan Prepayment'!$B$7*12,'Loan Prepayment'!$B$5),B11+E11))</f>
        <v>80559.31935518072</v>
      </c>
      <c r="E11">
        <f t="shared" si="0"/>
        <v>61458.39351740323</v>
      </c>
      <c r="F11">
        <f t="shared" si="1"/>
        <v>19100.92583777749</v>
      </c>
      <c r="G11">
        <v>0</v>
      </c>
      <c r="H11">
        <f t="shared" si="2"/>
        <v>9814242.03694674</v>
      </c>
      <c r="I11">
        <v>10</v>
      </c>
      <c r="J11">
        <f t="shared" si="17"/>
        <v>9833342.9627845176</v>
      </c>
      <c r="K11" s="64">
        <f>'Loan Prepayment'!$B$6</f>
        <v>7.5</v>
      </c>
      <c r="L11">
        <f>IF(J11&lt;=0,0,MIN(IF(AND('Loan Prepayment'!$E$15="Reduce EMI",O10&gt;0),-PMT(K11/1200,MAX(1,'Loan Prepayment'!$B$7*12-I11+1),J11),L10),J11+M11))</f>
        <v>80559.31935518072</v>
      </c>
      <c r="M11">
        <f t="shared" si="3"/>
        <v>61458.39351740323</v>
      </c>
      <c r="N11">
        <f t="shared" si="4"/>
        <v>19100.92583777749</v>
      </c>
      <c r="O11">
        <f>IF(J11&lt;=0,0,MIN(MAX(0,J11-N11),SUMIFS('Loan Prepayment'!$B$12:$B$31,'Loan Prepayment'!$A$12:$A$31,I11)+0))</f>
        <v>0</v>
      </c>
      <c r="P11">
        <f t="shared" si="5"/>
        <v>9814242.03694674</v>
      </c>
      <c r="Q11">
        <v>10</v>
      </c>
      <c r="R11">
        <f t="shared" si="18"/>
        <v>9833342.9627845176</v>
      </c>
      <c r="S11" s="64">
        <f>'Loan Prepayment'!$B$6</f>
        <v>7.5</v>
      </c>
      <c r="T11">
        <f>IF(R11&lt;=0,0,MIN(IF(AND('Loan Prepayment'!$E$15="Reduce EMI",W10&gt;0),-PMT(S11/1200,MAX(1,'Loan Prepayment'!$B$7*12-Q11+1),R11),T10),R11+U11))</f>
        <v>80559.31935518072</v>
      </c>
      <c r="U11">
        <f t="shared" si="6"/>
        <v>61458.39351740323</v>
      </c>
      <c r="V11">
        <f t="shared" si="7"/>
        <v>19100.92583777749</v>
      </c>
      <c r="W11">
        <f>IF(R11&lt;=0,0,MIN(MAX(0,R11-V11),0+IF(AND(Q11&gt;='Loan Prepayment'!$B$9,Q11&lt;='Loan Prepayment'!$E$16),'Loan Prepayment'!$B$8,0)))</f>
        <v>0</v>
      </c>
      <c r="X11">
        <f t="shared" si="8"/>
        <v>9814242.03694674</v>
      </c>
      <c r="Y11">
        <v>10</v>
      </c>
      <c r="Z11">
        <f t="shared" si="19"/>
        <v>9833342.9627845176</v>
      </c>
      <c r="AA11">
        <f>IF(Y11&gt;='Loan Prepayment'!$E$11,'Loan Prepayment'!$E$12,'Loan Prepayment'!$B$6)</f>
        <v>7.5</v>
      </c>
      <c r="AB11">
        <f>IF(Z11&lt;=0,0,MIN(IF(Y11='Loan Prepayment'!$E$11,IF('Loan Prepayment'!$E$13="Keep tenure, recalculate EMI",-PMT(AA11/1200,MAX(1,'Loan Prepayment'!$B$7*12-Y11+1),Z11),AB10),AB10),Z11+AC11))</f>
        <v>80559.31935518072</v>
      </c>
      <c r="AC11">
        <f t="shared" si="9"/>
        <v>61458.39351740323</v>
      </c>
      <c r="AD11">
        <f t="shared" si="10"/>
        <v>19100.92583777749</v>
      </c>
      <c r="AE11">
        <f t="shared" si="11"/>
        <v>0</v>
      </c>
      <c r="AF11">
        <f t="shared" si="12"/>
        <v>9814242.03694674</v>
      </c>
      <c r="AG11">
        <v>10</v>
      </c>
      <c r="AH11">
        <f t="shared" si="20"/>
        <v>9833342.9627845176</v>
      </c>
      <c r="AI11">
        <f>IF(AG11&gt;='Loan Prepayment'!$E$11,'Loan Prepayment'!$E$12,'Loan Prepayment'!$B$6)</f>
        <v>7.5</v>
      </c>
      <c r="AJ11">
        <f>IF(AH11&lt;=0,0,MIN(IF(AG11='Loan Prepayment'!$E$11,IF('Loan Prepayment'!$E$13="Keep tenure, recalculate EMI",-PMT(AI11/1200,MAX(1,'Loan Prepayment'!$B$7*12-AG11+1),AH11),IF(AND('Loan Prepayment'!$E$15="Reduce EMI",AM10&gt;0),-PMT(AI10/1200,MAX(1,'Loan Prepayment'!$B$7*12-AG11+1),AH11),AJ10)),IF(AND('Loan Prepayment'!$E$15="Reduce EMI",AM10&gt;0),-PMT(AI11/1200,MAX(1,'Loan Prepayment'!$B$7*12-AG11+1),AH11),AJ10)),AH11+AK11))</f>
        <v>80559.31935518072</v>
      </c>
      <c r="AK11">
        <f t="shared" si="13"/>
        <v>61458.39351740323</v>
      </c>
      <c r="AL11">
        <f t="shared" si="14"/>
        <v>19100.92583777749</v>
      </c>
      <c r="AM11">
        <f>IF(AH11&lt;=0,0,MIN(MAX(0,AH11-AL11),SUMIFS('Loan Prepayment'!$B$12:$B$31,'Loan Prepayment'!$A$12:$A$31,AG11)+IF(AND(AG11&gt;='Loan Prepayment'!$B$9,AG11&lt;='Loan Prepayment'!$E$16),'Loan Prepayment'!$B$8,0)))</f>
        <v>0</v>
      </c>
      <c r="AN11">
        <f t="shared" si="15"/>
        <v>9814242.03694674</v>
      </c>
    </row>
    <row r="12" spans="1:40" x14ac:dyDescent="0.35">
      <c r="A12">
        <v>11</v>
      </c>
      <c r="B12">
        <f t="shared" si="16"/>
        <v>9814242.03694674</v>
      </c>
      <c r="C12" s="64">
        <f>'Loan Prepayment'!$B$6</f>
        <v>7.5</v>
      </c>
      <c r="D12">
        <f>IF(B12&lt;=0,0,MIN(-PMT('Loan Prepayment'!$B$6/1200,'Loan Prepayment'!$B$7*12,'Loan Prepayment'!$B$5),B12+E12))</f>
        <v>80559.31935518072</v>
      </c>
      <c r="E12">
        <f t="shared" si="0"/>
        <v>61339.012730917122</v>
      </c>
      <c r="F12">
        <f t="shared" si="1"/>
        <v>19220.306624263598</v>
      </c>
      <c r="G12">
        <v>0</v>
      </c>
      <c r="H12">
        <f t="shared" si="2"/>
        <v>9795021.7303224765</v>
      </c>
      <c r="I12">
        <v>11</v>
      </c>
      <c r="J12">
        <f t="shared" si="17"/>
        <v>9814242.03694674</v>
      </c>
      <c r="K12" s="64">
        <f>'Loan Prepayment'!$B$6</f>
        <v>7.5</v>
      </c>
      <c r="L12">
        <f>IF(J12&lt;=0,0,MIN(IF(AND('Loan Prepayment'!$E$15="Reduce EMI",O11&gt;0),-PMT(K12/1200,MAX(1,'Loan Prepayment'!$B$7*12-I12+1),J12),L11),J12+M12))</f>
        <v>80559.31935518072</v>
      </c>
      <c r="M12">
        <f t="shared" si="3"/>
        <v>61339.012730917122</v>
      </c>
      <c r="N12">
        <f t="shared" si="4"/>
        <v>19220.306624263598</v>
      </c>
      <c r="O12">
        <f>IF(J12&lt;=0,0,MIN(MAX(0,J12-N12),SUMIFS('Loan Prepayment'!$B$12:$B$31,'Loan Prepayment'!$A$12:$A$31,I12)+0))</f>
        <v>0</v>
      </c>
      <c r="P12">
        <f t="shared" si="5"/>
        <v>9795021.7303224765</v>
      </c>
      <c r="Q12">
        <v>11</v>
      </c>
      <c r="R12">
        <f t="shared" si="18"/>
        <v>9814242.03694674</v>
      </c>
      <c r="S12" s="64">
        <f>'Loan Prepayment'!$B$6</f>
        <v>7.5</v>
      </c>
      <c r="T12">
        <f>IF(R12&lt;=0,0,MIN(IF(AND('Loan Prepayment'!$E$15="Reduce EMI",W11&gt;0),-PMT(S12/1200,MAX(1,'Loan Prepayment'!$B$7*12-Q12+1),R12),T11),R12+U12))</f>
        <v>80559.31935518072</v>
      </c>
      <c r="U12">
        <f t="shared" si="6"/>
        <v>61339.012730917122</v>
      </c>
      <c r="V12">
        <f t="shared" si="7"/>
        <v>19220.306624263598</v>
      </c>
      <c r="W12">
        <f>IF(R12&lt;=0,0,MIN(MAX(0,R12-V12),0+IF(AND(Q12&gt;='Loan Prepayment'!$B$9,Q12&lt;='Loan Prepayment'!$E$16),'Loan Prepayment'!$B$8,0)))</f>
        <v>0</v>
      </c>
      <c r="X12">
        <f t="shared" si="8"/>
        <v>9795021.7303224765</v>
      </c>
      <c r="Y12">
        <v>11</v>
      </c>
      <c r="Z12">
        <f t="shared" si="19"/>
        <v>9814242.03694674</v>
      </c>
      <c r="AA12">
        <f>IF(Y12&gt;='Loan Prepayment'!$E$11,'Loan Prepayment'!$E$12,'Loan Prepayment'!$B$6)</f>
        <v>7.5</v>
      </c>
      <c r="AB12">
        <f>IF(Z12&lt;=0,0,MIN(IF(Y12='Loan Prepayment'!$E$11,IF('Loan Prepayment'!$E$13="Keep tenure, recalculate EMI",-PMT(AA12/1200,MAX(1,'Loan Prepayment'!$B$7*12-Y12+1),Z12),AB11),AB11),Z12+AC12))</f>
        <v>80559.31935518072</v>
      </c>
      <c r="AC12">
        <f t="shared" si="9"/>
        <v>61339.012730917122</v>
      </c>
      <c r="AD12">
        <f t="shared" si="10"/>
        <v>19220.306624263598</v>
      </c>
      <c r="AE12">
        <f t="shared" si="11"/>
        <v>0</v>
      </c>
      <c r="AF12">
        <f t="shared" si="12"/>
        <v>9795021.7303224765</v>
      </c>
      <c r="AG12">
        <v>11</v>
      </c>
      <c r="AH12">
        <f t="shared" si="20"/>
        <v>9814242.03694674</v>
      </c>
      <c r="AI12">
        <f>IF(AG12&gt;='Loan Prepayment'!$E$11,'Loan Prepayment'!$E$12,'Loan Prepayment'!$B$6)</f>
        <v>7.5</v>
      </c>
      <c r="AJ12">
        <f>IF(AH12&lt;=0,0,MIN(IF(AG12='Loan Prepayment'!$E$11,IF('Loan Prepayment'!$E$13="Keep tenure, recalculate EMI",-PMT(AI12/1200,MAX(1,'Loan Prepayment'!$B$7*12-AG12+1),AH12),IF(AND('Loan Prepayment'!$E$15="Reduce EMI",AM11&gt;0),-PMT(AI11/1200,MAX(1,'Loan Prepayment'!$B$7*12-AG12+1),AH12),AJ11)),IF(AND('Loan Prepayment'!$E$15="Reduce EMI",AM11&gt;0),-PMT(AI12/1200,MAX(1,'Loan Prepayment'!$B$7*12-AG12+1),AH12),AJ11)),AH12+AK12))</f>
        <v>80559.31935518072</v>
      </c>
      <c r="AK12">
        <f t="shared" si="13"/>
        <v>61339.012730917122</v>
      </c>
      <c r="AL12">
        <f t="shared" si="14"/>
        <v>19220.306624263598</v>
      </c>
      <c r="AM12">
        <f>IF(AH12&lt;=0,0,MIN(MAX(0,AH12-AL12),SUMIFS('Loan Prepayment'!$B$12:$B$31,'Loan Prepayment'!$A$12:$A$31,AG12)+IF(AND(AG12&gt;='Loan Prepayment'!$B$9,AG12&lt;='Loan Prepayment'!$E$16),'Loan Prepayment'!$B$8,0)))</f>
        <v>0</v>
      </c>
      <c r="AN12">
        <f t="shared" si="15"/>
        <v>9795021.7303224765</v>
      </c>
    </row>
    <row r="13" spans="1:40" x14ac:dyDescent="0.35">
      <c r="A13">
        <v>12</v>
      </c>
      <c r="B13">
        <f t="shared" si="16"/>
        <v>9795021.7303224765</v>
      </c>
      <c r="C13" s="64">
        <f>'Loan Prepayment'!$B$6</f>
        <v>7.5</v>
      </c>
      <c r="D13">
        <f>IF(B13&lt;=0,0,MIN(-PMT('Loan Prepayment'!$B$6/1200,'Loan Prepayment'!$B$7*12,'Loan Prepayment'!$B$5),B13+E13))</f>
        <v>80559.31935518072</v>
      </c>
      <c r="E13">
        <f t="shared" si="0"/>
        <v>61218.885814515474</v>
      </c>
      <c r="F13">
        <f t="shared" si="1"/>
        <v>19340.433540665246</v>
      </c>
      <c r="G13">
        <v>0</v>
      </c>
      <c r="H13">
        <f t="shared" si="2"/>
        <v>9775681.2967818119</v>
      </c>
      <c r="I13">
        <v>12</v>
      </c>
      <c r="J13">
        <f t="shared" si="17"/>
        <v>9795021.7303224765</v>
      </c>
      <c r="K13" s="64">
        <f>'Loan Prepayment'!$B$6</f>
        <v>7.5</v>
      </c>
      <c r="L13">
        <f>IF(J13&lt;=0,0,MIN(IF(AND('Loan Prepayment'!$E$15="Reduce EMI",O12&gt;0),-PMT(K13/1200,MAX(1,'Loan Prepayment'!$B$7*12-I13+1),J13),L12),J13+M13))</f>
        <v>80559.31935518072</v>
      </c>
      <c r="M13">
        <f t="shared" si="3"/>
        <v>61218.885814515474</v>
      </c>
      <c r="N13">
        <f t="shared" si="4"/>
        <v>19340.433540665246</v>
      </c>
      <c r="O13">
        <f>IF(J13&lt;=0,0,MIN(MAX(0,J13-N13),SUMIFS('Loan Prepayment'!$B$12:$B$31,'Loan Prepayment'!$A$12:$A$31,I13)+0))</f>
        <v>500000</v>
      </c>
      <c r="P13">
        <f t="shared" si="5"/>
        <v>9275681.2967818119</v>
      </c>
      <c r="Q13">
        <v>12</v>
      </c>
      <c r="R13">
        <f t="shared" si="18"/>
        <v>9795021.7303224765</v>
      </c>
      <c r="S13" s="64">
        <f>'Loan Prepayment'!$B$6</f>
        <v>7.5</v>
      </c>
      <c r="T13">
        <f>IF(R13&lt;=0,0,MIN(IF(AND('Loan Prepayment'!$E$15="Reduce EMI",W12&gt;0),-PMT(S13/1200,MAX(1,'Loan Prepayment'!$B$7*12-Q13+1),R13),T12),R13+U13))</f>
        <v>80559.31935518072</v>
      </c>
      <c r="U13">
        <f t="shared" si="6"/>
        <v>61218.885814515474</v>
      </c>
      <c r="V13">
        <f t="shared" si="7"/>
        <v>19340.433540665246</v>
      </c>
      <c r="W13">
        <f>IF(R13&lt;=0,0,MIN(MAX(0,R13-V13),0+IF(AND(Q13&gt;='Loan Prepayment'!$B$9,Q13&lt;='Loan Prepayment'!$E$16),'Loan Prepayment'!$B$8,0)))</f>
        <v>0</v>
      </c>
      <c r="X13">
        <f t="shared" si="8"/>
        <v>9775681.2967818119</v>
      </c>
      <c r="Y13">
        <v>12</v>
      </c>
      <c r="Z13">
        <f t="shared" si="19"/>
        <v>9795021.7303224765</v>
      </c>
      <c r="AA13">
        <f>IF(Y13&gt;='Loan Prepayment'!$E$11,'Loan Prepayment'!$E$12,'Loan Prepayment'!$B$6)</f>
        <v>7.5</v>
      </c>
      <c r="AB13">
        <f>IF(Z13&lt;=0,0,MIN(IF(Y13='Loan Prepayment'!$E$11,IF('Loan Prepayment'!$E$13="Keep tenure, recalculate EMI",-PMT(AA13/1200,MAX(1,'Loan Prepayment'!$B$7*12-Y13+1),Z13),AB12),AB12),Z13+AC13))</f>
        <v>80559.31935518072</v>
      </c>
      <c r="AC13">
        <f t="shared" si="9"/>
        <v>61218.885814515474</v>
      </c>
      <c r="AD13">
        <f t="shared" si="10"/>
        <v>19340.433540665246</v>
      </c>
      <c r="AE13">
        <f t="shared" si="11"/>
        <v>0</v>
      </c>
      <c r="AF13">
        <f t="shared" si="12"/>
        <v>9775681.2967818119</v>
      </c>
      <c r="AG13">
        <v>12</v>
      </c>
      <c r="AH13">
        <f t="shared" si="20"/>
        <v>9795021.7303224765</v>
      </c>
      <c r="AI13">
        <f>IF(AG13&gt;='Loan Prepayment'!$E$11,'Loan Prepayment'!$E$12,'Loan Prepayment'!$B$6)</f>
        <v>7.5</v>
      </c>
      <c r="AJ13">
        <f>IF(AH13&lt;=0,0,MIN(IF(AG13='Loan Prepayment'!$E$11,IF('Loan Prepayment'!$E$13="Keep tenure, recalculate EMI",-PMT(AI13/1200,MAX(1,'Loan Prepayment'!$B$7*12-AG13+1),AH13),IF(AND('Loan Prepayment'!$E$15="Reduce EMI",AM12&gt;0),-PMT(AI12/1200,MAX(1,'Loan Prepayment'!$B$7*12-AG13+1),AH13),AJ12)),IF(AND('Loan Prepayment'!$E$15="Reduce EMI",AM12&gt;0),-PMT(AI13/1200,MAX(1,'Loan Prepayment'!$B$7*12-AG13+1),AH13),AJ12)),AH13+AK13))</f>
        <v>80559.31935518072</v>
      </c>
      <c r="AK13">
        <f t="shared" si="13"/>
        <v>61218.885814515474</v>
      </c>
      <c r="AL13">
        <f t="shared" si="14"/>
        <v>19340.433540665246</v>
      </c>
      <c r="AM13">
        <f>IF(AH13&lt;=0,0,MIN(MAX(0,AH13-AL13),SUMIFS('Loan Prepayment'!$B$12:$B$31,'Loan Prepayment'!$A$12:$A$31,AG13)+IF(AND(AG13&gt;='Loan Prepayment'!$B$9,AG13&lt;='Loan Prepayment'!$E$16),'Loan Prepayment'!$B$8,0)))</f>
        <v>500000</v>
      </c>
      <c r="AN13">
        <f t="shared" si="15"/>
        <v>9275681.2967818119</v>
      </c>
    </row>
    <row r="14" spans="1:40" x14ac:dyDescent="0.35">
      <c r="A14">
        <v>13</v>
      </c>
      <c r="B14">
        <f t="shared" si="16"/>
        <v>9775681.2967818119</v>
      </c>
      <c r="C14" s="64">
        <f>'Loan Prepayment'!$B$6</f>
        <v>7.5</v>
      </c>
      <c r="D14">
        <f>IF(B14&lt;=0,0,MIN(-PMT('Loan Prepayment'!$B$6/1200,'Loan Prepayment'!$B$7*12,'Loan Prepayment'!$B$5),B14+E14))</f>
        <v>80559.31935518072</v>
      </c>
      <c r="E14">
        <f t="shared" si="0"/>
        <v>61098.008104886329</v>
      </c>
      <c r="F14">
        <f t="shared" si="1"/>
        <v>19461.311250294391</v>
      </c>
      <c r="G14">
        <v>0</v>
      </c>
      <c r="H14">
        <f t="shared" si="2"/>
        <v>9756219.9855315182</v>
      </c>
      <c r="I14">
        <v>13</v>
      </c>
      <c r="J14">
        <f t="shared" si="17"/>
        <v>9275681.2967818119</v>
      </c>
      <c r="K14" s="64">
        <f>'Loan Prepayment'!$B$6</f>
        <v>7.5</v>
      </c>
      <c r="L14">
        <f>IF(J14&lt;=0,0,MIN(IF(AND('Loan Prepayment'!$E$15="Reduce EMI",O13&gt;0),-PMT(K14/1200,MAX(1,'Loan Prepayment'!$B$7*12-I14+1),J14),L13),J14+M14))</f>
        <v>76438.9252409771</v>
      </c>
      <c r="M14">
        <f t="shared" si="3"/>
        <v>57973.008104886329</v>
      </c>
      <c r="N14">
        <f t="shared" si="4"/>
        <v>18465.917136090771</v>
      </c>
      <c r="O14">
        <f>IF(J14&lt;=0,0,MIN(MAX(0,J14-N14),SUMIFS('Loan Prepayment'!$B$12:$B$31,'Loan Prepayment'!$A$12:$A$31,I14)+0))</f>
        <v>0</v>
      </c>
      <c r="P14">
        <f t="shared" si="5"/>
        <v>9257215.379645722</v>
      </c>
      <c r="Q14">
        <v>13</v>
      </c>
      <c r="R14">
        <f t="shared" si="18"/>
        <v>9775681.2967818119</v>
      </c>
      <c r="S14" s="64">
        <f>'Loan Prepayment'!$B$6</f>
        <v>7.5</v>
      </c>
      <c r="T14">
        <f>IF(R14&lt;=0,0,MIN(IF(AND('Loan Prepayment'!$E$15="Reduce EMI",W13&gt;0),-PMT(S14/1200,MAX(1,'Loan Prepayment'!$B$7*12-Q14+1),R14),T13),R14+U14))</f>
        <v>80559.31935518072</v>
      </c>
      <c r="U14">
        <f t="shared" si="6"/>
        <v>61098.008104886329</v>
      </c>
      <c r="V14">
        <f t="shared" si="7"/>
        <v>19461.311250294391</v>
      </c>
      <c r="W14">
        <f>IF(R14&lt;=0,0,MIN(MAX(0,R14-V14),0+IF(AND(Q14&gt;='Loan Prepayment'!$B$9,Q14&lt;='Loan Prepayment'!$E$16),'Loan Prepayment'!$B$8,0)))</f>
        <v>0</v>
      </c>
      <c r="X14">
        <f t="shared" si="8"/>
        <v>9756219.9855315182</v>
      </c>
      <c r="Y14">
        <v>13</v>
      </c>
      <c r="Z14">
        <f t="shared" si="19"/>
        <v>9775681.2967818119</v>
      </c>
      <c r="AA14">
        <f>IF(Y14&gt;='Loan Prepayment'!$E$11,'Loan Prepayment'!$E$12,'Loan Prepayment'!$B$6)</f>
        <v>7.5</v>
      </c>
      <c r="AB14">
        <f>IF(Z14&lt;=0,0,MIN(IF(Y14='Loan Prepayment'!$E$11,IF('Loan Prepayment'!$E$13="Keep tenure, recalculate EMI",-PMT(AA14/1200,MAX(1,'Loan Prepayment'!$B$7*12-Y14+1),Z14),AB13),AB13),Z14+AC14))</f>
        <v>80559.31935518072</v>
      </c>
      <c r="AC14">
        <f t="shared" si="9"/>
        <v>61098.008104886329</v>
      </c>
      <c r="AD14">
        <f t="shared" si="10"/>
        <v>19461.311250294391</v>
      </c>
      <c r="AE14">
        <f t="shared" si="11"/>
        <v>0</v>
      </c>
      <c r="AF14">
        <f t="shared" si="12"/>
        <v>9756219.9855315182</v>
      </c>
      <c r="AG14">
        <v>13</v>
      </c>
      <c r="AH14">
        <f t="shared" si="20"/>
        <v>9275681.2967818119</v>
      </c>
      <c r="AI14">
        <f>IF(AG14&gt;='Loan Prepayment'!$E$11,'Loan Prepayment'!$E$12,'Loan Prepayment'!$B$6)</f>
        <v>7.5</v>
      </c>
      <c r="AJ14">
        <f>IF(AH14&lt;=0,0,MIN(IF(AG14='Loan Prepayment'!$E$11,IF('Loan Prepayment'!$E$13="Keep tenure, recalculate EMI",-PMT(AI14/1200,MAX(1,'Loan Prepayment'!$B$7*12-AG14+1),AH14),IF(AND('Loan Prepayment'!$E$15="Reduce EMI",AM13&gt;0),-PMT(AI13/1200,MAX(1,'Loan Prepayment'!$B$7*12-AG14+1),AH14),AJ13)),IF(AND('Loan Prepayment'!$E$15="Reduce EMI",AM13&gt;0),-PMT(AI14/1200,MAX(1,'Loan Prepayment'!$B$7*12-AG14+1),AH14),AJ13)),AH14+AK14))</f>
        <v>76438.9252409771</v>
      </c>
      <c r="AK14">
        <f t="shared" si="13"/>
        <v>57973.008104886329</v>
      </c>
      <c r="AL14">
        <f t="shared" si="14"/>
        <v>18465.917136090771</v>
      </c>
      <c r="AM14">
        <f>IF(AH14&lt;=0,0,MIN(MAX(0,AH14-AL14),SUMIFS('Loan Prepayment'!$B$12:$B$31,'Loan Prepayment'!$A$12:$A$31,AG14)+IF(AND(AG14&gt;='Loan Prepayment'!$B$9,AG14&lt;='Loan Prepayment'!$E$16),'Loan Prepayment'!$B$8,0)))</f>
        <v>0</v>
      </c>
      <c r="AN14">
        <f t="shared" si="15"/>
        <v>9257215.379645722</v>
      </c>
    </row>
    <row r="15" spans="1:40" x14ac:dyDescent="0.35">
      <c r="A15">
        <v>14</v>
      </c>
      <c r="B15">
        <f t="shared" si="16"/>
        <v>9756219.9855315182</v>
      </c>
      <c r="C15" s="64">
        <f>'Loan Prepayment'!$B$6</f>
        <v>7.5</v>
      </c>
      <c r="D15">
        <f>IF(B15&lt;=0,0,MIN(-PMT('Loan Prepayment'!$B$6/1200,'Loan Prepayment'!$B$7*12,'Loan Prepayment'!$B$5),B15+E15))</f>
        <v>80559.31935518072</v>
      </c>
      <c r="E15">
        <f t="shared" si="0"/>
        <v>60976.37490957199</v>
      </c>
      <c r="F15">
        <f t="shared" si="1"/>
        <v>19582.944445608729</v>
      </c>
      <c r="G15">
        <v>0</v>
      </c>
      <c r="H15">
        <f t="shared" si="2"/>
        <v>9736637.0410859101</v>
      </c>
      <c r="I15">
        <v>14</v>
      </c>
      <c r="J15">
        <f t="shared" si="17"/>
        <v>9257215.379645722</v>
      </c>
      <c r="K15" s="64">
        <f>'Loan Prepayment'!$B$6</f>
        <v>7.5</v>
      </c>
      <c r="L15">
        <f>IF(J15&lt;=0,0,MIN(IF(AND('Loan Prepayment'!$E$15="Reduce EMI",O14&gt;0),-PMT(K15/1200,MAX(1,'Loan Prepayment'!$B$7*12-I15+1),J15),L14),J15+M15))</f>
        <v>76438.9252409771</v>
      </c>
      <c r="M15">
        <f t="shared" si="3"/>
        <v>57857.596122785755</v>
      </c>
      <c r="N15">
        <f t="shared" si="4"/>
        <v>18581.329118191345</v>
      </c>
      <c r="O15">
        <f>IF(J15&lt;=0,0,MIN(MAX(0,J15-N15),SUMIFS('Loan Prepayment'!$B$12:$B$31,'Loan Prepayment'!$A$12:$A$31,I15)+0))</f>
        <v>0</v>
      </c>
      <c r="P15">
        <f t="shared" si="5"/>
        <v>9238634.0505275298</v>
      </c>
      <c r="Q15">
        <v>14</v>
      </c>
      <c r="R15">
        <f t="shared" si="18"/>
        <v>9756219.9855315182</v>
      </c>
      <c r="S15" s="64">
        <f>'Loan Prepayment'!$B$6</f>
        <v>7.5</v>
      </c>
      <c r="T15">
        <f>IF(R15&lt;=0,0,MIN(IF(AND('Loan Prepayment'!$E$15="Reduce EMI",W14&gt;0),-PMT(S15/1200,MAX(1,'Loan Prepayment'!$B$7*12-Q15+1),R15),T14),R15+U15))</f>
        <v>80559.31935518072</v>
      </c>
      <c r="U15">
        <f t="shared" si="6"/>
        <v>60976.37490957199</v>
      </c>
      <c r="V15">
        <f t="shared" si="7"/>
        <v>19582.944445608729</v>
      </c>
      <c r="W15">
        <f>IF(R15&lt;=0,0,MIN(MAX(0,R15-V15),0+IF(AND(Q15&gt;='Loan Prepayment'!$B$9,Q15&lt;='Loan Prepayment'!$E$16),'Loan Prepayment'!$B$8,0)))</f>
        <v>0</v>
      </c>
      <c r="X15">
        <f t="shared" si="8"/>
        <v>9736637.0410859101</v>
      </c>
      <c r="Y15">
        <v>14</v>
      </c>
      <c r="Z15">
        <f t="shared" si="19"/>
        <v>9756219.9855315182</v>
      </c>
      <c r="AA15">
        <f>IF(Y15&gt;='Loan Prepayment'!$E$11,'Loan Prepayment'!$E$12,'Loan Prepayment'!$B$6)</f>
        <v>7.5</v>
      </c>
      <c r="AB15">
        <f>IF(Z15&lt;=0,0,MIN(IF(Y15='Loan Prepayment'!$E$11,IF('Loan Prepayment'!$E$13="Keep tenure, recalculate EMI",-PMT(AA15/1200,MAX(1,'Loan Prepayment'!$B$7*12-Y15+1),Z15),AB14),AB14),Z15+AC15))</f>
        <v>80559.31935518072</v>
      </c>
      <c r="AC15">
        <f t="shared" si="9"/>
        <v>60976.37490957199</v>
      </c>
      <c r="AD15">
        <f t="shared" si="10"/>
        <v>19582.944445608729</v>
      </c>
      <c r="AE15">
        <f t="shared" si="11"/>
        <v>0</v>
      </c>
      <c r="AF15">
        <f t="shared" si="12"/>
        <v>9736637.0410859101</v>
      </c>
      <c r="AG15">
        <v>14</v>
      </c>
      <c r="AH15">
        <f t="shared" si="20"/>
        <v>9257215.379645722</v>
      </c>
      <c r="AI15">
        <f>IF(AG15&gt;='Loan Prepayment'!$E$11,'Loan Prepayment'!$E$12,'Loan Prepayment'!$B$6)</f>
        <v>7.5</v>
      </c>
      <c r="AJ15">
        <f>IF(AH15&lt;=0,0,MIN(IF(AG15='Loan Prepayment'!$E$11,IF('Loan Prepayment'!$E$13="Keep tenure, recalculate EMI",-PMT(AI15/1200,MAX(1,'Loan Prepayment'!$B$7*12-AG15+1),AH15),IF(AND('Loan Prepayment'!$E$15="Reduce EMI",AM14&gt;0),-PMT(AI14/1200,MAX(1,'Loan Prepayment'!$B$7*12-AG15+1),AH15),AJ14)),IF(AND('Loan Prepayment'!$E$15="Reduce EMI",AM14&gt;0),-PMT(AI15/1200,MAX(1,'Loan Prepayment'!$B$7*12-AG15+1),AH15),AJ14)),AH15+AK15))</f>
        <v>76438.9252409771</v>
      </c>
      <c r="AK15">
        <f t="shared" si="13"/>
        <v>57857.596122785755</v>
      </c>
      <c r="AL15">
        <f t="shared" si="14"/>
        <v>18581.329118191345</v>
      </c>
      <c r="AM15">
        <f>IF(AH15&lt;=0,0,MIN(MAX(0,AH15-AL15),SUMIFS('Loan Prepayment'!$B$12:$B$31,'Loan Prepayment'!$A$12:$A$31,AG15)+IF(AND(AG15&gt;='Loan Prepayment'!$B$9,AG15&lt;='Loan Prepayment'!$E$16),'Loan Prepayment'!$B$8,0)))</f>
        <v>0</v>
      </c>
      <c r="AN15">
        <f t="shared" si="15"/>
        <v>9238634.0505275298</v>
      </c>
    </row>
    <row r="16" spans="1:40" x14ac:dyDescent="0.35">
      <c r="A16">
        <v>15</v>
      </c>
      <c r="B16">
        <f t="shared" si="16"/>
        <v>9736637.0410859101</v>
      </c>
      <c r="C16" s="64">
        <f>'Loan Prepayment'!$B$6</f>
        <v>7.5</v>
      </c>
      <c r="D16">
        <f>IF(B16&lt;=0,0,MIN(-PMT('Loan Prepayment'!$B$6/1200,'Loan Prepayment'!$B$7*12,'Loan Prepayment'!$B$5),B16+E16))</f>
        <v>80559.31935518072</v>
      </c>
      <c r="E16">
        <f t="shared" si="0"/>
        <v>60853.981506786942</v>
      </c>
      <c r="F16">
        <f t="shared" si="1"/>
        <v>19705.337848393778</v>
      </c>
      <c r="G16">
        <v>0</v>
      </c>
      <c r="H16">
        <f t="shared" si="2"/>
        <v>9716931.7032375168</v>
      </c>
      <c r="I16">
        <v>15</v>
      </c>
      <c r="J16">
        <f t="shared" si="17"/>
        <v>9238634.0505275298</v>
      </c>
      <c r="K16" s="64">
        <f>'Loan Prepayment'!$B$6</f>
        <v>7.5</v>
      </c>
      <c r="L16">
        <f>IF(J16&lt;=0,0,MIN(IF(AND('Loan Prepayment'!$E$15="Reduce EMI",O15&gt;0),-PMT(K16/1200,MAX(1,'Loan Prepayment'!$B$7*12-I16+1),J16),L15),J16+M16))</f>
        <v>76438.9252409771</v>
      </c>
      <c r="M16">
        <f t="shared" si="3"/>
        <v>57741.462815797058</v>
      </c>
      <c r="N16">
        <f t="shared" si="4"/>
        <v>18697.462425180041</v>
      </c>
      <c r="O16">
        <f>IF(J16&lt;=0,0,MIN(MAX(0,J16-N16),SUMIFS('Loan Prepayment'!$B$12:$B$31,'Loan Prepayment'!$A$12:$A$31,I16)+0))</f>
        <v>0</v>
      </c>
      <c r="P16">
        <f t="shared" si="5"/>
        <v>9219936.58810235</v>
      </c>
      <c r="Q16">
        <v>15</v>
      </c>
      <c r="R16">
        <f t="shared" si="18"/>
        <v>9736637.0410859101</v>
      </c>
      <c r="S16" s="64">
        <f>'Loan Prepayment'!$B$6</f>
        <v>7.5</v>
      </c>
      <c r="T16">
        <f>IF(R16&lt;=0,0,MIN(IF(AND('Loan Prepayment'!$E$15="Reduce EMI",W15&gt;0),-PMT(S16/1200,MAX(1,'Loan Prepayment'!$B$7*12-Q16+1),R16),T15),R16+U16))</f>
        <v>80559.31935518072</v>
      </c>
      <c r="U16">
        <f t="shared" si="6"/>
        <v>60853.981506786942</v>
      </c>
      <c r="V16">
        <f t="shared" si="7"/>
        <v>19705.337848393778</v>
      </c>
      <c r="W16">
        <f>IF(R16&lt;=0,0,MIN(MAX(0,R16-V16),0+IF(AND(Q16&gt;='Loan Prepayment'!$B$9,Q16&lt;='Loan Prepayment'!$E$16),'Loan Prepayment'!$B$8,0)))</f>
        <v>0</v>
      </c>
      <c r="X16">
        <f t="shared" si="8"/>
        <v>9716931.7032375168</v>
      </c>
      <c r="Y16">
        <v>15</v>
      </c>
      <c r="Z16">
        <f t="shared" si="19"/>
        <v>9736637.0410859101</v>
      </c>
      <c r="AA16">
        <f>IF(Y16&gt;='Loan Prepayment'!$E$11,'Loan Prepayment'!$E$12,'Loan Prepayment'!$B$6)</f>
        <v>7.5</v>
      </c>
      <c r="AB16">
        <f>IF(Z16&lt;=0,0,MIN(IF(Y16='Loan Prepayment'!$E$11,IF('Loan Prepayment'!$E$13="Keep tenure, recalculate EMI",-PMT(AA16/1200,MAX(1,'Loan Prepayment'!$B$7*12-Y16+1),Z16),AB15),AB15),Z16+AC16))</f>
        <v>80559.31935518072</v>
      </c>
      <c r="AC16">
        <f t="shared" si="9"/>
        <v>60853.981506786942</v>
      </c>
      <c r="AD16">
        <f t="shared" si="10"/>
        <v>19705.337848393778</v>
      </c>
      <c r="AE16">
        <f t="shared" si="11"/>
        <v>0</v>
      </c>
      <c r="AF16">
        <f t="shared" si="12"/>
        <v>9716931.7032375168</v>
      </c>
      <c r="AG16">
        <v>15</v>
      </c>
      <c r="AH16">
        <f t="shared" si="20"/>
        <v>9238634.0505275298</v>
      </c>
      <c r="AI16">
        <f>IF(AG16&gt;='Loan Prepayment'!$E$11,'Loan Prepayment'!$E$12,'Loan Prepayment'!$B$6)</f>
        <v>7.5</v>
      </c>
      <c r="AJ16">
        <f>IF(AH16&lt;=0,0,MIN(IF(AG16='Loan Prepayment'!$E$11,IF('Loan Prepayment'!$E$13="Keep tenure, recalculate EMI",-PMT(AI16/1200,MAX(1,'Loan Prepayment'!$B$7*12-AG16+1),AH16),IF(AND('Loan Prepayment'!$E$15="Reduce EMI",AM15&gt;0),-PMT(AI15/1200,MAX(1,'Loan Prepayment'!$B$7*12-AG16+1),AH16),AJ15)),IF(AND('Loan Prepayment'!$E$15="Reduce EMI",AM15&gt;0),-PMT(AI16/1200,MAX(1,'Loan Prepayment'!$B$7*12-AG16+1),AH16),AJ15)),AH16+AK16))</f>
        <v>76438.9252409771</v>
      </c>
      <c r="AK16">
        <f t="shared" si="13"/>
        <v>57741.462815797058</v>
      </c>
      <c r="AL16">
        <f t="shared" si="14"/>
        <v>18697.462425180041</v>
      </c>
      <c r="AM16">
        <f>IF(AH16&lt;=0,0,MIN(MAX(0,AH16-AL16),SUMIFS('Loan Prepayment'!$B$12:$B$31,'Loan Prepayment'!$A$12:$A$31,AG16)+IF(AND(AG16&gt;='Loan Prepayment'!$B$9,AG16&lt;='Loan Prepayment'!$E$16),'Loan Prepayment'!$B$8,0)))</f>
        <v>0</v>
      </c>
      <c r="AN16">
        <f t="shared" si="15"/>
        <v>9219936.58810235</v>
      </c>
    </row>
    <row r="17" spans="1:40" x14ac:dyDescent="0.35">
      <c r="A17">
        <v>16</v>
      </c>
      <c r="B17">
        <f t="shared" si="16"/>
        <v>9716931.7032375168</v>
      </c>
      <c r="C17" s="64">
        <f>'Loan Prepayment'!$B$6</f>
        <v>7.5</v>
      </c>
      <c r="D17">
        <f>IF(B17&lt;=0,0,MIN(-PMT('Loan Prepayment'!$B$6/1200,'Loan Prepayment'!$B$7*12,'Loan Prepayment'!$B$5),B17+E17))</f>
        <v>80559.31935518072</v>
      </c>
      <c r="E17">
        <f t="shared" si="0"/>
        <v>60730.823145234484</v>
      </c>
      <c r="F17">
        <f t="shared" si="1"/>
        <v>19828.496209946235</v>
      </c>
      <c r="G17">
        <v>0</v>
      </c>
      <c r="H17">
        <f t="shared" si="2"/>
        <v>9697103.2070275713</v>
      </c>
      <c r="I17">
        <v>16</v>
      </c>
      <c r="J17">
        <f t="shared" si="17"/>
        <v>9219936.58810235</v>
      </c>
      <c r="K17" s="64">
        <f>'Loan Prepayment'!$B$6</f>
        <v>7.5</v>
      </c>
      <c r="L17">
        <f>IF(J17&lt;=0,0,MIN(IF(AND('Loan Prepayment'!$E$15="Reduce EMI",O16&gt;0),-PMT(K17/1200,MAX(1,'Loan Prepayment'!$B$7*12-I17+1),J17),L16),J17+M17))</f>
        <v>76438.9252409771</v>
      </c>
      <c r="M17">
        <f t="shared" si="3"/>
        <v>57624.603675639693</v>
      </c>
      <c r="N17">
        <f t="shared" si="4"/>
        <v>18814.321565337406</v>
      </c>
      <c r="O17">
        <f>IF(J17&lt;=0,0,MIN(MAX(0,J17-N17),SUMIFS('Loan Prepayment'!$B$12:$B$31,'Loan Prepayment'!$A$12:$A$31,I17)+0))</f>
        <v>0</v>
      </c>
      <c r="P17">
        <f t="shared" si="5"/>
        <v>9201122.2665370125</v>
      </c>
      <c r="Q17">
        <v>16</v>
      </c>
      <c r="R17">
        <f t="shared" si="18"/>
        <v>9716931.7032375168</v>
      </c>
      <c r="S17" s="64">
        <f>'Loan Prepayment'!$B$6</f>
        <v>7.5</v>
      </c>
      <c r="T17">
        <f>IF(R17&lt;=0,0,MIN(IF(AND('Loan Prepayment'!$E$15="Reduce EMI",W16&gt;0),-PMT(S17/1200,MAX(1,'Loan Prepayment'!$B$7*12-Q17+1),R17),T16),R17+U17))</f>
        <v>80559.31935518072</v>
      </c>
      <c r="U17">
        <f t="shared" si="6"/>
        <v>60730.823145234484</v>
      </c>
      <c r="V17">
        <f t="shared" si="7"/>
        <v>19828.496209946235</v>
      </c>
      <c r="W17">
        <f>IF(R17&lt;=0,0,MIN(MAX(0,R17-V17),0+IF(AND(Q17&gt;='Loan Prepayment'!$B$9,Q17&lt;='Loan Prepayment'!$E$16),'Loan Prepayment'!$B$8,0)))</f>
        <v>0</v>
      </c>
      <c r="X17">
        <f t="shared" si="8"/>
        <v>9697103.2070275713</v>
      </c>
      <c r="Y17">
        <v>16</v>
      </c>
      <c r="Z17">
        <f t="shared" si="19"/>
        <v>9716931.7032375168</v>
      </c>
      <c r="AA17">
        <f>IF(Y17&gt;='Loan Prepayment'!$E$11,'Loan Prepayment'!$E$12,'Loan Prepayment'!$B$6)</f>
        <v>7.5</v>
      </c>
      <c r="AB17">
        <f>IF(Z17&lt;=0,0,MIN(IF(Y17='Loan Prepayment'!$E$11,IF('Loan Prepayment'!$E$13="Keep tenure, recalculate EMI",-PMT(AA17/1200,MAX(1,'Loan Prepayment'!$B$7*12-Y17+1),Z17),AB16),AB16),Z17+AC17))</f>
        <v>80559.31935518072</v>
      </c>
      <c r="AC17">
        <f t="shared" si="9"/>
        <v>60730.823145234484</v>
      </c>
      <c r="AD17">
        <f t="shared" si="10"/>
        <v>19828.496209946235</v>
      </c>
      <c r="AE17">
        <f t="shared" si="11"/>
        <v>0</v>
      </c>
      <c r="AF17">
        <f t="shared" si="12"/>
        <v>9697103.2070275713</v>
      </c>
      <c r="AG17">
        <v>16</v>
      </c>
      <c r="AH17">
        <f t="shared" si="20"/>
        <v>9219936.58810235</v>
      </c>
      <c r="AI17">
        <f>IF(AG17&gt;='Loan Prepayment'!$E$11,'Loan Prepayment'!$E$12,'Loan Prepayment'!$B$6)</f>
        <v>7.5</v>
      </c>
      <c r="AJ17">
        <f>IF(AH17&lt;=0,0,MIN(IF(AG17='Loan Prepayment'!$E$11,IF('Loan Prepayment'!$E$13="Keep tenure, recalculate EMI",-PMT(AI17/1200,MAX(1,'Loan Prepayment'!$B$7*12-AG17+1),AH17),IF(AND('Loan Prepayment'!$E$15="Reduce EMI",AM16&gt;0),-PMT(AI16/1200,MAX(1,'Loan Prepayment'!$B$7*12-AG17+1),AH17),AJ16)),IF(AND('Loan Prepayment'!$E$15="Reduce EMI",AM16&gt;0),-PMT(AI17/1200,MAX(1,'Loan Prepayment'!$B$7*12-AG17+1),AH17),AJ16)),AH17+AK17))</f>
        <v>76438.9252409771</v>
      </c>
      <c r="AK17">
        <f t="shared" si="13"/>
        <v>57624.603675639693</v>
      </c>
      <c r="AL17">
        <f t="shared" si="14"/>
        <v>18814.321565337406</v>
      </c>
      <c r="AM17">
        <f>IF(AH17&lt;=0,0,MIN(MAX(0,AH17-AL17),SUMIFS('Loan Prepayment'!$B$12:$B$31,'Loan Prepayment'!$A$12:$A$31,AG17)+IF(AND(AG17&gt;='Loan Prepayment'!$B$9,AG17&lt;='Loan Prepayment'!$E$16),'Loan Prepayment'!$B$8,0)))</f>
        <v>0</v>
      </c>
      <c r="AN17">
        <f t="shared" si="15"/>
        <v>9201122.2665370125</v>
      </c>
    </row>
    <row r="18" spans="1:40" x14ac:dyDescent="0.35">
      <c r="A18">
        <v>17</v>
      </c>
      <c r="B18">
        <f t="shared" si="16"/>
        <v>9697103.2070275713</v>
      </c>
      <c r="C18" s="64">
        <f>'Loan Prepayment'!$B$6</f>
        <v>7.5</v>
      </c>
      <c r="D18">
        <f>IF(B18&lt;=0,0,MIN(-PMT('Loan Prepayment'!$B$6/1200,'Loan Prepayment'!$B$7*12,'Loan Prepayment'!$B$5),B18+E18))</f>
        <v>80559.31935518072</v>
      </c>
      <c r="E18">
        <f t="shared" si="0"/>
        <v>60606.895043922312</v>
      </c>
      <c r="F18">
        <f t="shared" si="1"/>
        <v>19952.424311258408</v>
      </c>
      <c r="G18">
        <v>0</v>
      </c>
      <c r="H18">
        <f t="shared" si="2"/>
        <v>9677150.7827163134</v>
      </c>
      <c r="I18">
        <v>17</v>
      </c>
      <c r="J18">
        <f t="shared" si="17"/>
        <v>9201122.2665370125</v>
      </c>
      <c r="K18" s="64">
        <f>'Loan Prepayment'!$B$6</f>
        <v>7.5</v>
      </c>
      <c r="L18">
        <f>IF(J18&lt;=0,0,MIN(IF(AND('Loan Prepayment'!$E$15="Reduce EMI",O17&gt;0),-PMT(K18/1200,MAX(1,'Loan Prepayment'!$B$7*12-I18+1),J18),L17),J18+M18))</f>
        <v>76438.9252409771</v>
      </c>
      <c r="M18">
        <f t="shared" si="3"/>
        <v>57507.01416585633</v>
      </c>
      <c r="N18">
        <f t="shared" si="4"/>
        <v>18931.91107512077</v>
      </c>
      <c r="O18">
        <f>IF(J18&lt;=0,0,MIN(MAX(0,J18-N18),SUMIFS('Loan Prepayment'!$B$12:$B$31,'Loan Prepayment'!$A$12:$A$31,I18)+0))</f>
        <v>0</v>
      </c>
      <c r="P18">
        <f t="shared" si="5"/>
        <v>9182190.3554618917</v>
      </c>
      <c r="Q18">
        <v>17</v>
      </c>
      <c r="R18">
        <f t="shared" si="18"/>
        <v>9697103.2070275713</v>
      </c>
      <c r="S18" s="64">
        <f>'Loan Prepayment'!$B$6</f>
        <v>7.5</v>
      </c>
      <c r="T18">
        <f>IF(R18&lt;=0,0,MIN(IF(AND('Loan Prepayment'!$E$15="Reduce EMI",W17&gt;0),-PMT(S18/1200,MAX(1,'Loan Prepayment'!$B$7*12-Q18+1),R18),T17),R18+U18))</f>
        <v>80559.31935518072</v>
      </c>
      <c r="U18">
        <f t="shared" si="6"/>
        <v>60606.895043922312</v>
      </c>
      <c r="V18">
        <f t="shared" si="7"/>
        <v>19952.424311258408</v>
      </c>
      <c r="W18">
        <f>IF(R18&lt;=0,0,MIN(MAX(0,R18-V18),0+IF(AND(Q18&gt;='Loan Prepayment'!$B$9,Q18&lt;='Loan Prepayment'!$E$16),'Loan Prepayment'!$B$8,0)))</f>
        <v>0</v>
      </c>
      <c r="X18">
        <f t="shared" si="8"/>
        <v>9677150.7827163134</v>
      </c>
      <c r="Y18">
        <v>17</v>
      </c>
      <c r="Z18">
        <f t="shared" si="19"/>
        <v>9697103.2070275713</v>
      </c>
      <c r="AA18">
        <f>IF(Y18&gt;='Loan Prepayment'!$E$11,'Loan Prepayment'!$E$12,'Loan Prepayment'!$B$6)</f>
        <v>7.5</v>
      </c>
      <c r="AB18">
        <f>IF(Z18&lt;=0,0,MIN(IF(Y18='Loan Prepayment'!$E$11,IF('Loan Prepayment'!$E$13="Keep tenure, recalculate EMI",-PMT(AA18/1200,MAX(1,'Loan Prepayment'!$B$7*12-Y18+1),Z18),AB17),AB17),Z18+AC18))</f>
        <v>80559.31935518072</v>
      </c>
      <c r="AC18">
        <f t="shared" si="9"/>
        <v>60606.895043922312</v>
      </c>
      <c r="AD18">
        <f t="shared" si="10"/>
        <v>19952.424311258408</v>
      </c>
      <c r="AE18">
        <f t="shared" si="11"/>
        <v>0</v>
      </c>
      <c r="AF18">
        <f t="shared" si="12"/>
        <v>9677150.7827163134</v>
      </c>
      <c r="AG18">
        <v>17</v>
      </c>
      <c r="AH18">
        <f t="shared" si="20"/>
        <v>9201122.2665370125</v>
      </c>
      <c r="AI18">
        <f>IF(AG18&gt;='Loan Prepayment'!$E$11,'Loan Prepayment'!$E$12,'Loan Prepayment'!$B$6)</f>
        <v>7.5</v>
      </c>
      <c r="AJ18">
        <f>IF(AH18&lt;=0,0,MIN(IF(AG18='Loan Prepayment'!$E$11,IF('Loan Prepayment'!$E$13="Keep tenure, recalculate EMI",-PMT(AI18/1200,MAX(1,'Loan Prepayment'!$B$7*12-AG18+1),AH18),IF(AND('Loan Prepayment'!$E$15="Reduce EMI",AM17&gt;0),-PMT(AI17/1200,MAX(1,'Loan Prepayment'!$B$7*12-AG18+1),AH18),AJ17)),IF(AND('Loan Prepayment'!$E$15="Reduce EMI",AM17&gt;0),-PMT(AI18/1200,MAX(1,'Loan Prepayment'!$B$7*12-AG18+1),AH18),AJ17)),AH18+AK18))</f>
        <v>76438.9252409771</v>
      </c>
      <c r="AK18">
        <f t="shared" si="13"/>
        <v>57507.01416585633</v>
      </c>
      <c r="AL18">
        <f t="shared" si="14"/>
        <v>18931.91107512077</v>
      </c>
      <c r="AM18">
        <f>IF(AH18&lt;=0,0,MIN(MAX(0,AH18-AL18),SUMIFS('Loan Prepayment'!$B$12:$B$31,'Loan Prepayment'!$A$12:$A$31,AG18)+IF(AND(AG18&gt;='Loan Prepayment'!$B$9,AG18&lt;='Loan Prepayment'!$E$16),'Loan Prepayment'!$B$8,0)))</f>
        <v>0</v>
      </c>
      <c r="AN18">
        <f t="shared" si="15"/>
        <v>9182190.3554618917</v>
      </c>
    </row>
    <row r="19" spans="1:40" x14ac:dyDescent="0.35">
      <c r="A19">
        <v>18</v>
      </c>
      <c r="B19">
        <f t="shared" si="16"/>
        <v>9677150.7827163134</v>
      </c>
      <c r="C19" s="64">
        <f>'Loan Prepayment'!$B$6</f>
        <v>7.5</v>
      </c>
      <c r="D19">
        <f>IF(B19&lt;=0,0,MIN(-PMT('Loan Prepayment'!$B$6/1200,'Loan Prepayment'!$B$7*12,'Loan Prepayment'!$B$5),B19+E19))</f>
        <v>80559.31935518072</v>
      </c>
      <c r="E19">
        <f t="shared" si="0"/>
        <v>60482.192391976962</v>
      </c>
      <c r="F19">
        <f t="shared" si="1"/>
        <v>20077.126963203758</v>
      </c>
      <c r="G19">
        <v>0</v>
      </c>
      <c r="H19">
        <f t="shared" si="2"/>
        <v>9657073.6557531096</v>
      </c>
      <c r="I19">
        <v>18</v>
      </c>
      <c r="J19">
        <f t="shared" si="17"/>
        <v>9182190.3554618917</v>
      </c>
      <c r="K19" s="64">
        <f>'Loan Prepayment'!$B$6</f>
        <v>7.5</v>
      </c>
      <c r="L19">
        <f>IF(J19&lt;=0,0,MIN(IF(AND('Loan Prepayment'!$E$15="Reduce EMI",O18&gt;0),-PMT(K19/1200,MAX(1,'Loan Prepayment'!$B$7*12-I19+1),J19),L18),J19+M19))</f>
        <v>76438.9252409771</v>
      </c>
      <c r="M19">
        <f t="shared" si="3"/>
        <v>57388.689721636823</v>
      </c>
      <c r="N19">
        <f t="shared" si="4"/>
        <v>19050.235519340276</v>
      </c>
      <c r="O19">
        <f>IF(J19&lt;=0,0,MIN(MAX(0,J19-N19),SUMIFS('Loan Prepayment'!$B$12:$B$31,'Loan Prepayment'!$A$12:$A$31,I19)+0))</f>
        <v>0</v>
      </c>
      <c r="P19">
        <f t="shared" si="5"/>
        <v>9163140.1199425515</v>
      </c>
      <c r="Q19">
        <v>18</v>
      </c>
      <c r="R19">
        <f t="shared" si="18"/>
        <v>9677150.7827163134</v>
      </c>
      <c r="S19" s="64">
        <f>'Loan Prepayment'!$B$6</f>
        <v>7.5</v>
      </c>
      <c r="T19">
        <f>IF(R19&lt;=0,0,MIN(IF(AND('Loan Prepayment'!$E$15="Reduce EMI",W18&gt;0),-PMT(S19/1200,MAX(1,'Loan Prepayment'!$B$7*12-Q19+1),R19),T18),R19+U19))</f>
        <v>80559.31935518072</v>
      </c>
      <c r="U19">
        <f t="shared" si="6"/>
        <v>60482.192391976962</v>
      </c>
      <c r="V19">
        <f t="shared" si="7"/>
        <v>20077.126963203758</v>
      </c>
      <c r="W19">
        <f>IF(R19&lt;=0,0,MIN(MAX(0,R19-V19),0+IF(AND(Q19&gt;='Loan Prepayment'!$B$9,Q19&lt;='Loan Prepayment'!$E$16),'Loan Prepayment'!$B$8,0)))</f>
        <v>0</v>
      </c>
      <c r="X19">
        <f t="shared" si="8"/>
        <v>9657073.6557531096</v>
      </c>
      <c r="Y19">
        <v>18</v>
      </c>
      <c r="Z19">
        <f t="shared" si="19"/>
        <v>9677150.7827163134</v>
      </c>
      <c r="AA19">
        <f>IF(Y19&gt;='Loan Prepayment'!$E$11,'Loan Prepayment'!$E$12,'Loan Prepayment'!$B$6)</f>
        <v>7.5</v>
      </c>
      <c r="AB19">
        <f>IF(Z19&lt;=0,0,MIN(IF(Y19='Loan Prepayment'!$E$11,IF('Loan Prepayment'!$E$13="Keep tenure, recalculate EMI",-PMT(AA19/1200,MAX(1,'Loan Prepayment'!$B$7*12-Y19+1),Z19),AB18),AB18),Z19+AC19))</f>
        <v>80559.31935518072</v>
      </c>
      <c r="AC19">
        <f t="shared" si="9"/>
        <v>60482.192391976962</v>
      </c>
      <c r="AD19">
        <f t="shared" si="10"/>
        <v>20077.126963203758</v>
      </c>
      <c r="AE19">
        <f t="shared" si="11"/>
        <v>0</v>
      </c>
      <c r="AF19">
        <f t="shared" si="12"/>
        <v>9657073.6557531096</v>
      </c>
      <c r="AG19">
        <v>18</v>
      </c>
      <c r="AH19">
        <f t="shared" si="20"/>
        <v>9182190.3554618917</v>
      </c>
      <c r="AI19">
        <f>IF(AG19&gt;='Loan Prepayment'!$E$11,'Loan Prepayment'!$E$12,'Loan Prepayment'!$B$6)</f>
        <v>7.5</v>
      </c>
      <c r="AJ19">
        <f>IF(AH19&lt;=0,0,MIN(IF(AG19='Loan Prepayment'!$E$11,IF('Loan Prepayment'!$E$13="Keep tenure, recalculate EMI",-PMT(AI19/1200,MAX(1,'Loan Prepayment'!$B$7*12-AG19+1),AH19),IF(AND('Loan Prepayment'!$E$15="Reduce EMI",AM18&gt;0),-PMT(AI18/1200,MAX(1,'Loan Prepayment'!$B$7*12-AG19+1),AH19),AJ18)),IF(AND('Loan Prepayment'!$E$15="Reduce EMI",AM18&gt;0),-PMT(AI19/1200,MAX(1,'Loan Prepayment'!$B$7*12-AG19+1),AH19),AJ18)),AH19+AK19))</f>
        <v>76438.9252409771</v>
      </c>
      <c r="AK19">
        <f t="shared" si="13"/>
        <v>57388.689721636823</v>
      </c>
      <c r="AL19">
        <f t="shared" si="14"/>
        <v>19050.235519340276</v>
      </c>
      <c r="AM19">
        <f>IF(AH19&lt;=0,0,MIN(MAX(0,AH19-AL19),SUMIFS('Loan Prepayment'!$B$12:$B$31,'Loan Prepayment'!$A$12:$A$31,AG19)+IF(AND(AG19&gt;='Loan Prepayment'!$B$9,AG19&lt;='Loan Prepayment'!$E$16),'Loan Prepayment'!$B$8,0)))</f>
        <v>0</v>
      </c>
      <c r="AN19">
        <f t="shared" si="15"/>
        <v>9163140.1199425515</v>
      </c>
    </row>
    <row r="20" spans="1:40" x14ac:dyDescent="0.35">
      <c r="A20">
        <v>19</v>
      </c>
      <c r="B20">
        <f t="shared" si="16"/>
        <v>9657073.6557531096</v>
      </c>
      <c r="C20" s="64">
        <f>'Loan Prepayment'!$B$6</f>
        <v>7.5</v>
      </c>
      <c r="D20">
        <f>IF(B20&lt;=0,0,MIN(-PMT('Loan Prepayment'!$B$6/1200,'Loan Prepayment'!$B$7*12,'Loan Prepayment'!$B$5),B20+E20))</f>
        <v>80559.31935518072</v>
      </c>
      <c r="E20">
        <f t="shared" si="0"/>
        <v>60356.710348456938</v>
      </c>
      <c r="F20">
        <f t="shared" si="1"/>
        <v>20202.609006723782</v>
      </c>
      <c r="G20">
        <v>0</v>
      </c>
      <c r="H20">
        <f t="shared" si="2"/>
        <v>9636871.0467463862</v>
      </c>
      <c r="I20">
        <v>19</v>
      </c>
      <c r="J20">
        <f t="shared" si="17"/>
        <v>9163140.1199425515</v>
      </c>
      <c r="K20" s="64">
        <f>'Loan Prepayment'!$B$6</f>
        <v>7.5</v>
      </c>
      <c r="L20">
        <f>IF(J20&lt;=0,0,MIN(IF(AND('Loan Prepayment'!$E$15="Reduce EMI",O19&gt;0),-PMT(K20/1200,MAX(1,'Loan Prepayment'!$B$7*12-I20+1),J20),L19),J20+M20))</f>
        <v>76438.9252409771</v>
      </c>
      <c r="M20">
        <f t="shared" si="3"/>
        <v>57269.625749640953</v>
      </c>
      <c r="N20">
        <f t="shared" si="4"/>
        <v>19169.299491336147</v>
      </c>
      <c r="O20">
        <f>IF(J20&lt;=0,0,MIN(MAX(0,J20-N20),SUMIFS('Loan Prepayment'!$B$12:$B$31,'Loan Prepayment'!$A$12:$A$31,I20)+0))</f>
        <v>0</v>
      </c>
      <c r="P20">
        <f t="shared" si="5"/>
        <v>9143970.8204512149</v>
      </c>
      <c r="Q20">
        <v>19</v>
      </c>
      <c r="R20">
        <f t="shared" si="18"/>
        <v>9657073.6557531096</v>
      </c>
      <c r="S20" s="64">
        <f>'Loan Prepayment'!$B$6</f>
        <v>7.5</v>
      </c>
      <c r="T20">
        <f>IF(R20&lt;=0,0,MIN(IF(AND('Loan Prepayment'!$E$15="Reduce EMI",W19&gt;0),-PMT(S20/1200,MAX(1,'Loan Prepayment'!$B$7*12-Q20+1),R20),T19),R20+U20))</f>
        <v>80559.31935518072</v>
      </c>
      <c r="U20">
        <f t="shared" si="6"/>
        <v>60356.710348456938</v>
      </c>
      <c r="V20">
        <f t="shared" si="7"/>
        <v>20202.609006723782</v>
      </c>
      <c r="W20">
        <f>IF(R20&lt;=0,0,MIN(MAX(0,R20-V20),0+IF(AND(Q20&gt;='Loan Prepayment'!$B$9,Q20&lt;='Loan Prepayment'!$E$16),'Loan Prepayment'!$B$8,0)))</f>
        <v>0</v>
      </c>
      <c r="X20">
        <f t="shared" si="8"/>
        <v>9636871.0467463862</v>
      </c>
      <c r="Y20">
        <v>19</v>
      </c>
      <c r="Z20">
        <f t="shared" si="19"/>
        <v>9657073.6557531096</v>
      </c>
      <c r="AA20">
        <f>IF(Y20&gt;='Loan Prepayment'!$E$11,'Loan Prepayment'!$E$12,'Loan Prepayment'!$B$6)</f>
        <v>7.5</v>
      </c>
      <c r="AB20">
        <f>IF(Z20&lt;=0,0,MIN(IF(Y20='Loan Prepayment'!$E$11,IF('Loan Prepayment'!$E$13="Keep tenure, recalculate EMI",-PMT(AA20/1200,MAX(1,'Loan Prepayment'!$B$7*12-Y20+1),Z20),AB19),AB19),Z20+AC20))</f>
        <v>80559.31935518072</v>
      </c>
      <c r="AC20">
        <f t="shared" si="9"/>
        <v>60356.710348456938</v>
      </c>
      <c r="AD20">
        <f t="shared" si="10"/>
        <v>20202.609006723782</v>
      </c>
      <c r="AE20">
        <f t="shared" si="11"/>
        <v>0</v>
      </c>
      <c r="AF20">
        <f t="shared" si="12"/>
        <v>9636871.0467463862</v>
      </c>
      <c r="AG20">
        <v>19</v>
      </c>
      <c r="AH20">
        <f t="shared" si="20"/>
        <v>9163140.1199425515</v>
      </c>
      <c r="AI20">
        <f>IF(AG20&gt;='Loan Prepayment'!$E$11,'Loan Prepayment'!$E$12,'Loan Prepayment'!$B$6)</f>
        <v>7.5</v>
      </c>
      <c r="AJ20">
        <f>IF(AH20&lt;=0,0,MIN(IF(AG20='Loan Prepayment'!$E$11,IF('Loan Prepayment'!$E$13="Keep tenure, recalculate EMI",-PMT(AI20/1200,MAX(1,'Loan Prepayment'!$B$7*12-AG20+1),AH20),IF(AND('Loan Prepayment'!$E$15="Reduce EMI",AM19&gt;0),-PMT(AI19/1200,MAX(1,'Loan Prepayment'!$B$7*12-AG20+1),AH20),AJ19)),IF(AND('Loan Prepayment'!$E$15="Reduce EMI",AM19&gt;0),-PMT(AI20/1200,MAX(1,'Loan Prepayment'!$B$7*12-AG20+1),AH20),AJ19)),AH20+AK20))</f>
        <v>76438.9252409771</v>
      </c>
      <c r="AK20">
        <f t="shared" si="13"/>
        <v>57269.625749640953</v>
      </c>
      <c r="AL20">
        <f t="shared" si="14"/>
        <v>19169.299491336147</v>
      </c>
      <c r="AM20">
        <f>IF(AH20&lt;=0,0,MIN(MAX(0,AH20-AL20),SUMIFS('Loan Prepayment'!$B$12:$B$31,'Loan Prepayment'!$A$12:$A$31,AG20)+IF(AND(AG20&gt;='Loan Prepayment'!$B$9,AG20&lt;='Loan Prepayment'!$E$16),'Loan Prepayment'!$B$8,0)))</f>
        <v>0</v>
      </c>
      <c r="AN20">
        <f t="shared" si="15"/>
        <v>9143970.8204512149</v>
      </c>
    </row>
    <row r="21" spans="1:40" x14ac:dyDescent="0.35">
      <c r="A21">
        <v>20</v>
      </c>
      <c r="B21">
        <f t="shared" si="16"/>
        <v>9636871.0467463862</v>
      </c>
      <c r="C21" s="64">
        <f>'Loan Prepayment'!$B$6</f>
        <v>7.5</v>
      </c>
      <c r="D21">
        <f>IF(B21&lt;=0,0,MIN(-PMT('Loan Prepayment'!$B$6/1200,'Loan Prepayment'!$B$7*12,'Loan Prepayment'!$B$5),B21+E21))</f>
        <v>80559.31935518072</v>
      </c>
      <c r="E21">
        <f t="shared" si="0"/>
        <v>60230.44404216492</v>
      </c>
      <c r="F21">
        <f t="shared" si="1"/>
        <v>20328.8753130158</v>
      </c>
      <c r="G21">
        <v>0</v>
      </c>
      <c r="H21">
        <f t="shared" si="2"/>
        <v>9616542.1714333706</v>
      </c>
      <c r="I21">
        <v>20</v>
      </c>
      <c r="J21">
        <f t="shared" si="17"/>
        <v>9143970.8204512149</v>
      </c>
      <c r="K21" s="64">
        <f>'Loan Prepayment'!$B$6</f>
        <v>7.5</v>
      </c>
      <c r="L21">
        <f>IF(J21&lt;=0,0,MIN(IF(AND('Loan Prepayment'!$E$15="Reduce EMI",O20&gt;0),-PMT(K21/1200,MAX(1,'Loan Prepayment'!$B$7*12-I21+1),J21),L20),J21+M21))</f>
        <v>76438.9252409771</v>
      </c>
      <c r="M21">
        <f t="shared" si="3"/>
        <v>57149.817627820099</v>
      </c>
      <c r="N21">
        <f t="shared" si="4"/>
        <v>19289.107613157001</v>
      </c>
      <c r="O21">
        <f>IF(J21&lt;=0,0,MIN(MAX(0,J21-N21),SUMIFS('Loan Prepayment'!$B$12:$B$31,'Loan Prepayment'!$A$12:$A$31,I21)+0))</f>
        <v>0</v>
      </c>
      <c r="P21">
        <f t="shared" si="5"/>
        <v>9124681.7128380574</v>
      </c>
      <c r="Q21">
        <v>20</v>
      </c>
      <c r="R21">
        <f t="shared" si="18"/>
        <v>9636871.0467463862</v>
      </c>
      <c r="S21" s="64">
        <f>'Loan Prepayment'!$B$6</f>
        <v>7.5</v>
      </c>
      <c r="T21">
        <f>IF(R21&lt;=0,0,MIN(IF(AND('Loan Prepayment'!$E$15="Reduce EMI",W20&gt;0),-PMT(S21/1200,MAX(1,'Loan Prepayment'!$B$7*12-Q21+1),R21),T20),R21+U21))</f>
        <v>80559.31935518072</v>
      </c>
      <c r="U21">
        <f t="shared" si="6"/>
        <v>60230.44404216492</v>
      </c>
      <c r="V21">
        <f t="shared" si="7"/>
        <v>20328.8753130158</v>
      </c>
      <c r="W21">
        <f>IF(R21&lt;=0,0,MIN(MAX(0,R21-V21),0+IF(AND(Q21&gt;='Loan Prepayment'!$B$9,Q21&lt;='Loan Prepayment'!$E$16),'Loan Prepayment'!$B$8,0)))</f>
        <v>0</v>
      </c>
      <c r="X21">
        <f t="shared" si="8"/>
        <v>9616542.1714333706</v>
      </c>
      <c r="Y21">
        <v>20</v>
      </c>
      <c r="Z21">
        <f t="shared" si="19"/>
        <v>9636871.0467463862</v>
      </c>
      <c r="AA21">
        <f>IF(Y21&gt;='Loan Prepayment'!$E$11,'Loan Prepayment'!$E$12,'Loan Prepayment'!$B$6)</f>
        <v>7.5</v>
      </c>
      <c r="AB21">
        <f>IF(Z21&lt;=0,0,MIN(IF(Y21='Loan Prepayment'!$E$11,IF('Loan Prepayment'!$E$13="Keep tenure, recalculate EMI",-PMT(AA21/1200,MAX(1,'Loan Prepayment'!$B$7*12-Y21+1),Z21),AB20),AB20),Z21+AC21))</f>
        <v>80559.31935518072</v>
      </c>
      <c r="AC21">
        <f t="shared" si="9"/>
        <v>60230.44404216492</v>
      </c>
      <c r="AD21">
        <f t="shared" si="10"/>
        <v>20328.8753130158</v>
      </c>
      <c r="AE21">
        <f t="shared" si="11"/>
        <v>0</v>
      </c>
      <c r="AF21">
        <f t="shared" si="12"/>
        <v>9616542.1714333706</v>
      </c>
      <c r="AG21">
        <v>20</v>
      </c>
      <c r="AH21">
        <f t="shared" si="20"/>
        <v>9143970.8204512149</v>
      </c>
      <c r="AI21">
        <f>IF(AG21&gt;='Loan Prepayment'!$E$11,'Loan Prepayment'!$E$12,'Loan Prepayment'!$B$6)</f>
        <v>7.5</v>
      </c>
      <c r="AJ21">
        <f>IF(AH21&lt;=0,0,MIN(IF(AG21='Loan Prepayment'!$E$11,IF('Loan Prepayment'!$E$13="Keep tenure, recalculate EMI",-PMT(AI21/1200,MAX(1,'Loan Prepayment'!$B$7*12-AG21+1),AH21),IF(AND('Loan Prepayment'!$E$15="Reduce EMI",AM20&gt;0),-PMT(AI20/1200,MAX(1,'Loan Prepayment'!$B$7*12-AG21+1),AH21),AJ20)),IF(AND('Loan Prepayment'!$E$15="Reduce EMI",AM20&gt;0),-PMT(AI21/1200,MAX(1,'Loan Prepayment'!$B$7*12-AG21+1),AH21),AJ20)),AH21+AK21))</f>
        <v>76438.9252409771</v>
      </c>
      <c r="AK21">
        <f t="shared" si="13"/>
        <v>57149.817627820099</v>
      </c>
      <c r="AL21">
        <f t="shared" si="14"/>
        <v>19289.107613157001</v>
      </c>
      <c r="AM21">
        <f>IF(AH21&lt;=0,0,MIN(MAX(0,AH21-AL21),SUMIFS('Loan Prepayment'!$B$12:$B$31,'Loan Prepayment'!$A$12:$A$31,AG21)+IF(AND(AG21&gt;='Loan Prepayment'!$B$9,AG21&lt;='Loan Prepayment'!$E$16),'Loan Prepayment'!$B$8,0)))</f>
        <v>0</v>
      </c>
      <c r="AN21">
        <f t="shared" si="15"/>
        <v>9124681.7128380574</v>
      </c>
    </row>
    <row r="22" spans="1:40" x14ac:dyDescent="0.35">
      <c r="A22">
        <v>21</v>
      </c>
      <c r="B22">
        <f t="shared" si="16"/>
        <v>9616542.1714333706</v>
      </c>
      <c r="C22" s="64">
        <f>'Loan Prepayment'!$B$6</f>
        <v>7.5</v>
      </c>
      <c r="D22">
        <f>IF(B22&lt;=0,0,MIN(-PMT('Loan Prepayment'!$B$6/1200,'Loan Prepayment'!$B$7*12,'Loan Prepayment'!$B$5),B22+E22))</f>
        <v>80559.31935518072</v>
      </c>
      <c r="E22">
        <f t="shared" si="0"/>
        <v>60103.38857145857</v>
      </c>
      <c r="F22">
        <f t="shared" si="1"/>
        <v>20455.930783722149</v>
      </c>
      <c r="G22">
        <v>0</v>
      </c>
      <c r="H22">
        <f t="shared" si="2"/>
        <v>9596086.240649648</v>
      </c>
      <c r="I22">
        <v>21</v>
      </c>
      <c r="J22">
        <f t="shared" si="17"/>
        <v>9124681.7128380574</v>
      </c>
      <c r="K22" s="64">
        <f>'Loan Prepayment'!$B$6</f>
        <v>7.5</v>
      </c>
      <c r="L22">
        <f>IF(J22&lt;=0,0,MIN(IF(AND('Loan Prepayment'!$E$15="Reduce EMI",O21&gt;0),-PMT(K22/1200,MAX(1,'Loan Prepayment'!$B$7*12-I22+1),J22),L21),J22+M22))</f>
        <v>76438.9252409771</v>
      </c>
      <c r="M22">
        <f t="shared" si="3"/>
        <v>57029.260705237859</v>
      </c>
      <c r="N22">
        <f t="shared" si="4"/>
        <v>19409.664535739241</v>
      </c>
      <c r="O22">
        <f>IF(J22&lt;=0,0,MIN(MAX(0,J22-N22),SUMIFS('Loan Prepayment'!$B$12:$B$31,'Loan Prepayment'!$A$12:$A$31,I22)+0))</f>
        <v>0</v>
      </c>
      <c r="P22">
        <f t="shared" si="5"/>
        <v>9105272.0483023189</v>
      </c>
      <c r="Q22">
        <v>21</v>
      </c>
      <c r="R22">
        <f t="shared" si="18"/>
        <v>9616542.1714333706</v>
      </c>
      <c r="S22" s="64">
        <f>'Loan Prepayment'!$B$6</f>
        <v>7.5</v>
      </c>
      <c r="T22">
        <f>IF(R22&lt;=0,0,MIN(IF(AND('Loan Prepayment'!$E$15="Reduce EMI",W21&gt;0),-PMT(S22/1200,MAX(1,'Loan Prepayment'!$B$7*12-Q22+1),R22),T21),R22+U22))</f>
        <v>80559.31935518072</v>
      </c>
      <c r="U22">
        <f t="shared" si="6"/>
        <v>60103.38857145857</v>
      </c>
      <c r="V22">
        <f t="shared" si="7"/>
        <v>20455.930783722149</v>
      </c>
      <c r="W22">
        <f>IF(R22&lt;=0,0,MIN(MAX(0,R22-V22),0+IF(AND(Q22&gt;='Loan Prepayment'!$B$9,Q22&lt;='Loan Prepayment'!$E$16),'Loan Prepayment'!$B$8,0)))</f>
        <v>0</v>
      </c>
      <c r="X22">
        <f t="shared" si="8"/>
        <v>9596086.240649648</v>
      </c>
      <c r="Y22">
        <v>21</v>
      </c>
      <c r="Z22">
        <f t="shared" si="19"/>
        <v>9616542.1714333706</v>
      </c>
      <c r="AA22">
        <f>IF(Y22&gt;='Loan Prepayment'!$E$11,'Loan Prepayment'!$E$12,'Loan Prepayment'!$B$6)</f>
        <v>7.5</v>
      </c>
      <c r="AB22">
        <f>IF(Z22&lt;=0,0,MIN(IF(Y22='Loan Prepayment'!$E$11,IF('Loan Prepayment'!$E$13="Keep tenure, recalculate EMI",-PMT(AA22/1200,MAX(1,'Loan Prepayment'!$B$7*12-Y22+1),Z22),AB21),AB21),Z22+AC22))</f>
        <v>80559.31935518072</v>
      </c>
      <c r="AC22">
        <f t="shared" si="9"/>
        <v>60103.38857145857</v>
      </c>
      <c r="AD22">
        <f t="shared" si="10"/>
        <v>20455.930783722149</v>
      </c>
      <c r="AE22">
        <f t="shared" si="11"/>
        <v>0</v>
      </c>
      <c r="AF22">
        <f t="shared" si="12"/>
        <v>9596086.240649648</v>
      </c>
      <c r="AG22">
        <v>21</v>
      </c>
      <c r="AH22">
        <f t="shared" si="20"/>
        <v>9124681.7128380574</v>
      </c>
      <c r="AI22">
        <f>IF(AG22&gt;='Loan Prepayment'!$E$11,'Loan Prepayment'!$E$12,'Loan Prepayment'!$B$6)</f>
        <v>7.5</v>
      </c>
      <c r="AJ22">
        <f>IF(AH22&lt;=0,0,MIN(IF(AG22='Loan Prepayment'!$E$11,IF('Loan Prepayment'!$E$13="Keep tenure, recalculate EMI",-PMT(AI22/1200,MAX(1,'Loan Prepayment'!$B$7*12-AG22+1),AH22),IF(AND('Loan Prepayment'!$E$15="Reduce EMI",AM21&gt;0),-PMT(AI21/1200,MAX(1,'Loan Prepayment'!$B$7*12-AG22+1),AH22),AJ21)),IF(AND('Loan Prepayment'!$E$15="Reduce EMI",AM21&gt;0),-PMT(AI22/1200,MAX(1,'Loan Prepayment'!$B$7*12-AG22+1),AH22),AJ21)),AH22+AK22))</f>
        <v>76438.9252409771</v>
      </c>
      <c r="AK22">
        <f t="shared" si="13"/>
        <v>57029.260705237859</v>
      </c>
      <c r="AL22">
        <f t="shared" si="14"/>
        <v>19409.664535739241</v>
      </c>
      <c r="AM22">
        <f>IF(AH22&lt;=0,0,MIN(MAX(0,AH22-AL22),SUMIFS('Loan Prepayment'!$B$12:$B$31,'Loan Prepayment'!$A$12:$A$31,AG22)+IF(AND(AG22&gt;='Loan Prepayment'!$B$9,AG22&lt;='Loan Prepayment'!$E$16),'Loan Prepayment'!$B$8,0)))</f>
        <v>0</v>
      </c>
      <c r="AN22">
        <f t="shared" si="15"/>
        <v>9105272.0483023189</v>
      </c>
    </row>
    <row r="23" spans="1:40" x14ac:dyDescent="0.35">
      <c r="A23">
        <v>22</v>
      </c>
      <c r="B23">
        <f t="shared" si="16"/>
        <v>9596086.240649648</v>
      </c>
      <c r="C23" s="64">
        <f>'Loan Prepayment'!$B$6</f>
        <v>7.5</v>
      </c>
      <c r="D23">
        <f>IF(B23&lt;=0,0,MIN(-PMT('Loan Prepayment'!$B$6/1200,'Loan Prepayment'!$B$7*12,'Loan Prepayment'!$B$5),B23+E23))</f>
        <v>80559.31935518072</v>
      </c>
      <c r="E23">
        <f t="shared" si="0"/>
        <v>59975.539004060302</v>
      </c>
      <c r="F23">
        <f t="shared" si="1"/>
        <v>20583.780351120418</v>
      </c>
      <c r="G23">
        <v>0</v>
      </c>
      <c r="H23">
        <f t="shared" si="2"/>
        <v>9575502.460298527</v>
      </c>
      <c r="I23">
        <v>22</v>
      </c>
      <c r="J23">
        <f t="shared" si="17"/>
        <v>9105272.0483023189</v>
      </c>
      <c r="K23" s="64">
        <f>'Loan Prepayment'!$B$6</f>
        <v>7.5</v>
      </c>
      <c r="L23">
        <f>IF(J23&lt;=0,0,MIN(IF(AND('Loan Prepayment'!$E$15="Reduce EMI",O22&gt;0),-PMT(K23/1200,MAX(1,'Loan Prepayment'!$B$7*12-I23+1),J23),L22),J23+M23))</f>
        <v>76438.9252409771</v>
      </c>
      <c r="M23">
        <f t="shared" si="3"/>
        <v>56907.95030188949</v>
      </c>
      <c r="N23">
        <f t="shared" si="4"/>
        <v>19530.97493908761</v>
      </c>
      <c r="O23">
        <f>IF(J23&lt;=0,0,MIN(MAX(0,J23-N23),SUMIFS('Loan Prepayment'!$B$12:$B$31,'Loan Prepayment'!$A$12:$A$31,I23)+0))</f>
        <v>0</v>
      </c>
      <c r="P23">
        <f t="shared" si="5"/>
        <v>9085741.0733632315</v>
      </c>
      <c r="Q23">
        <v>22</v>
      </c>
      <c r="R23">
        <f t="shared" si="18"/>
        <v>9596086.240649648</v>
      </c>
      <c r="S23" s="64">
        <f>'Loan Prepayment'!$B$6</f>
        <v>7.5</v>
      </c>
      <c r="T23">
        <f>IF(R23&lt;=0,0,MIN(IF(AND('Loan Prepayment'!$E$15="Reduce EMI",W22&gt;0),-PMT(S23/1200,MAX(1,'Loan Prepayment'!$B$7*12-Q23+1),R23),T22),R23+U23))</f>
        <v>80559.31935518072</v>
      </c>
      <c r="U23">
        <f t="shared" si="6"/>
        <v>59975.539004060302</v>
      </c>
      <c r="V23">
        <f t="shared" si="7"/>
        <v>20583.780351120418</v>
      </c>
      <c r="W23">
        <f>IF(R23&lt;=0,0,MIN(MAX(0,R23-V23),0+IF(AND(Q23&gt;='Loan Prepayment'!$B$9,Q23&lt;='Loan Prepayment'!$E$16),'Loan Prepayment'!$B$8,0)))</f>
        <v>0</v>
      </c>
      <c r="X23">
        <f t="shared" si="8"/>
        <v>9575502.460298527</v>
      </c>
      <c r="Y23">
        <v>22</v>
      </c>
      <c r="Z23">
        <f t="shared" si="19"/>
        <v>9596086.240649648</v>
      </c>
      <c r="AA23">
        <f>IF(Y23&gt;='Loan Prepayment'!$E$11,'Loan Prepayment'!$E$12,'Loan Prepayment'!$B$6)</f>
        <v>7.5</v>
      </c>
      <c r="AB23">
        <f>IF(Z23&lt;=0,0,MIN(IF(Y23='Loan Prepayment'!$E$11,IF('Loan Prepayment'!$E$13="Keep tenure, recalculate EMI",-PMT(AA23/1200,MAX(1,'Loan Prepayment'!$B$7*12-Y23+1),Z23),AB22),AB22),Z23+AC23))</f>
        <v>80559.31935518072</v>
      </c>
      <c r="AC23">
        <f t="shared" si="9"/>
        <v>59975.539004060302</v>
      </c>
      <c r="AD23">
        <f t="shared" si="10"/>
        <v>20583.780351120418</v>
      </c>
      <c r="AE23">
        <f t="shared" si="11"/>
        <v>0</v>
      </c>
      <c r="AF23">
        <f t="shared" si="12"/>
        <v>9575502.460298527</v>
      </c>
      <c r="AG23">
        <v>22</v>
      </c>
      <c r="AH23">
        <f t="shared" si="20"/>
        <v>9105272.0483023189</v>
      </c>
      <c r="AI23">
        <f>IF(AG23&gt;='Loan Prepayment'!$E$11,'Loan Prepayment'!$E$12,'Loan Prepayment'!$B$6)</f>
        <v>7.5</v>
      </c>
      <c r="AJ23">
        <f>IF(AH23&lt;=0,0,MIN(IF(AG23='Loan Prepayment'!$E$11,IF('Loan Prepayment'!$E$13="Keep tenure, recalculate EMI",-PMT(AI23/1200,MAX(1,'Loan Prepayment'!$B$7*12-AG23+1),AH23),IF(AND('Loan Prepayment'!$E$15="Reduce EMI",AM22&gt;0),-PMT(AI22/1200,MAX(1,'Loan Prepayment'!$B$7*12-AG23+1),AH23),AJ22)),IF(AND('Loan Prepayment'!$E$15="Reduce EMI",AM22&gt;0),-PMT(AI23/1200,MAX(1,'Loan Prepayment'!$B$7*12-AG23+1),AH23),AJ22)),AH23+AK23))</f>
        <v>76438.9252409771</v>
      </c>
      <c r="AK23">
        <f t="shared" si="13"/>
        <v>56907.95030188949</v>
      </c>
      <c r="AL23">
        <f t="shared" si="14"/>
        <v>19530.97493908761</v>
      </c>
      <c r="AM23">
        <f>IF(AH23&lt;=0,0,MIN(MAX(0,AH23-AL23),SUMIFS('Loan Prepayment'!$B$12:$B$31,'Loan Prepayment'!$A$12:$A$31,AG23)+IF(AND(AG23&gt;='Loan Prepayment'!$B$9,AG23&lt;='Loan Prepayment'!$E$16),'Loan Prepayment'!$B$8,0)))</f>
        <v>0</v>
      </c>
      <c r="AN23">
        <f t="shared" si="15"/>
        <v>9085741.0733632315</v>
      </c>
    </row>
    <row r="24" spans="1:40" x14ac:dyDescent="0.35">
      <c r="A24">
        <v>23</v>
      </c>
      <c r="B24">
        <f t="shared" si="16"/>
        <v>9575502.460298527</v>
      </c>
      <c r="C24" s="64">
        <f>'Loan Prepayment'!$B$6</f>
        <v>7.5</v>
      </c>
      <c r="D24">
        <f>IF(B24&lt;=0,0,MIN(-PMT('Loan Prepayment'!$B$6/1200,'Loan Prepayment'!$B$7*12,'Loan Prepayment'!$B$5),B24+E24))</f>
        <v>80559.31935518072</v>
      </c>
      <c r="E24">
        <f t="shared" si="0"/>
        <v>59846.890376865791</v>
      </c>
      <c r="F24">
        <f t="shared" si="1"/>
        <v>20712.428978314929</v>
      </c>
      <c r="G24">
        <v>0</v>
      </c>
      <c r="H24">
        <f t="shared" si="2"/>
        <v>9554790.0313202124</v>
      </c>
      <c r="I24">
        <v>23</v>
      </c>
      <c r="J24">
        <f t="shared" si="17"/>
        <v>9085741.0733632315</v>
      </c>
      <c r="K24" s="64">
        <f>'Loan Prepayment'!$B$6</f>
        <v>7.5</v>
      </c>
      <c r="L24">
        <f>IF(J24&lt;=0,0,MIN(IF(AND('Loan Prepayment'!$E$15="Reduce EMI",O23&gt;0),-PMT(K24/1200,MAX(1,'Loan Prepayment'!$B$7*12-I24+1),J24),L23),J24+M24))</f>
        <v>76438.9252409771</v>
      </c>
      <c r="M24">
        <f t="shared" si="3"/>
        <v>56785.881708520188</v>
      </c>
      <c r="N24">
        <f t="shared" si="4"/>
        <v>19653.043532456912</v>
      </c>
      <c r="O24">
        <f>IF(J24&lt;=0,0,MIN(MAX(0,J24-N24),SUMIFS('Loan Prepayment'!$B$12:$B$31,'Loan Prepayment'!$A$12:$A$31,I24)+0))</f>
        <v>0</v>
      </c>
      <c r="P24">
        <f t="shared" si="5"/>
        <v>9066088.0298307743</v>
      </c>
      <c r="Q24">
        <v>23</v>
      </c>
      <c r="R24">
        <f t="shared" si="18"/>
        <v>9575502.460298527</v>
      </c>
      <c r="S24" s="64">
        <f>'Loan Prepayment'!$B$6</f>
        <v>7.5</v>
      </c>
      <c r="T24">
        <f>IF(R24&lt;=0,0,MIN(IF(AND('Loan Prepayment'!$E$15="Reduce EMI",W23&gt;0),-PMT(S24/1200,MAX(1,'Loan Prepayment'!$B$7*12-Q24+1),R24),T23),R24+U24))</f>
        <v>80559.31935518072</v>
      </c>
      <c r="U24">
        <f t="shared" si="6"/>
        <v>59846.890376865791</v>
      </c>
      <c r="V24">
        <f t="shared" si="7"/>
        <v>20712.428978314929</v>
      </c>
      <c r="W24">
        <f>IF(R24&lt;=0,0,MIN(MAX(0,R24-V24),0+IF(AND(Q24&gt;='Loan Prepayment'!$B$9,Q24&lt;='Loan Prepayment'!$E$16),'Loan Prepayment'!$B$8,0)))</f>
        <v>0</v>
      </c>
      <c r="X24">
        <f t="shared" si="8"/>
        <v>9554790.0313202124</v>
      </c>
      <c r="Y24">
        <v>23</v>
      </c>
      <c r="Z24">
        <f t="shared" si="19"/>
        <v>9575502.460298527</v>
      </c>
      <c r="AA24">
        <f>IF(Y24&gt;='Loan Prepayment'!$E$11,'Loan Prepayment'!$E$12,'Loan Prepayment'!$B$6)</f>
        <v>7.5</v>
      </c>
      <c r="AB24">
        <f>IF(Z24&lt;=0,0,MIN(IF(Y24='Loan Prepayment'!$E$11,IF('Loan Prepayment'!$E$13="Keep tenure, recalculate EMI",-PMT(AA24/1200,MAX(1,'Loan Prepayment'!$B$7*12-Y24+1),Z24),AB23),AB23),Z24+AC24))</f>
        <v>80559.31935518072</v>
      </c>
      <c r="AC24">
        <f t="shared" si="9"/>
        <v>59846.890376865791</v>
      </c>
      <c r="AD24">
        <f t="shared" si="10"/>
        <v>20712.428978314929</v>
      </c>
      <c r="AE24">
        <f t="shared" si="11"/>
        <v>0</v>
      </c>
      <c r="AF24">
        <f t="shared" si="12"/>
        <v>9554790.0313202124</v>
      </c>
      <c r="AG24">
        <v>23</v>
      </c>
      <c r="AH24">
        <f t="shared" si="20"/>
        <v>9085741.0733632315</v>
      </c>
      <c r="AI24">
        <f>IF(AG24&gt;='Loan Prepayment'!$E$11,'Loan Prepayment'!$E$12,'Loan Prepayment'!$B$6)</f>
        <v>7.5</v>
      </c>
      <c r="AJ24">
        <f>IF(AH24&lt;=0,0,MIN(IF(AG24='Loan Prepayment'!$E$11,IF('Loan Prepayment'!$E$13="Keep tenure, recalculate EMI",-PMT(AI24/1200,MAX(1,'Loan Prepayment'!$B$7*12-AG24+1),AH24),IF(AND('Loan Prepayment'!$E$15="Reduce EMI",AM23&gt;0),-PMT(AI23/1200,MAX(1,'Loan Prepayment'!$B$7*12-AG24+1),AH24),AJ23)),IF(AND('Loan Prepayment'!$E$15="Reduce EMI",AM23&gt;0),-PMT(AI24/1200,MAX(1,'Loan Prepayment'!$B$7*12-AG24+1),AH24),AJ23)),AH24+AK24))</f>
        <v>76438.9252409771</v>
      </c>
      <c r="AK24">
        <f t="shared" si="13"/>
        <v>56785.881708520188</v>
      </c>
      <c r="AL24">
        <f t="shared" si="14"/>
        <v>19653.043532456912</v>
      </c>
      <c r="AM24">
        <f>IF(AH24&lt;=0,0,MIN(MAX(0,AH24-AL24),SUMIFS('Loan Prepayment'!$B$12:$B$31,'Loan Prepayment'!$A$12:$A$31,AG24)+IF(AND(AG24&gt;='Loan Prepayment'!$B$9,AG24&lt;='Loan Prepayment'!$E$16),'Loan Prepayment'!$B$8,0)))</f>
        <v>0</v>
      </c>
      <c r="AN24">
        <f t="shared" si="15"/>
        <v>9066088.0298307743</v>
      </c>
    </row>
    <row r="25" spans="1:40" x14ac:dyDescent="0.35">
      <c r="A25">
        <v>24</v>
      </c>
      <c r="B25">
        <f t="shared" si="16"/>
        <v>9554790.0313202124</v>
      </c>
      <c r="C25" s="64">
        <f>'Loan Prepayment'!$B$6</f>
        <v>7.5</v>
      </c>
      <c r="D25">
        <f>IF(B25&lt;=0,0,MIN(-PMT('Loan Prepayment'!$B$6/1200,'Loan Prepayment'!$B$7*12,'Loan Prepayment'!$B$5),B25+E25))</f>
        <v>80559.31935518072</v>
      </c>
      <c r="E25">
        <f t="shared" si="0"/>
        <v>59717.437695751323</v>
      </c>
      <c r="F25">
        <f t="shared" si="1"/>
        <v>20841.881659429397</v>
      </c>
      <c r="G25">
        <v>0</v>
      </c>
      <c r="H25">
        <f t="shared" si="2"/>
        <v>9533948.1496607829</v>
      </c>
      <c r="I25">
        <v>24</v>
      </c>
      <c r="J25">
        <f t="shared" si="17"/>
        <v>9066088.0298307743</v>
      </c>
      <c r="K25" s="64">
        <f>'Loan Prepayment'!$B$6</f>
        <v>7.5</v>
      </c>
      <c r="L25">
        <f>IF(J25&lt;=0,0,MIN(IF(AND('Loan Prepayment'!$E$15="Reduce EMI",O24&gt;0),-PMT(K25/1200,MAX(1,'Loan Prepayment'!$B$7*12-I25+1),J25),L24),J25+M25))</f>
        <v>76438.9252409771</v>
      </c>
      <c r="M25">
        <f t="shared" si="3"/>
        <v>56663.050186442335</v>
      </c>
      <c r="N25">
        <f t="shared" si="4"/>
        <v>19775.875054534765</v>
      </c>
      <c r="O25">
        <f>IF(J25&lt;=0,0,MIN(MAX(0,J25-N25),SUMIFS('Loan Prepayment'!$B$12:$B$31,'Loan Prepayment'!$A$12:$A$31,I25)+0))</f>
        <v>0</v>
      </c>
      <c r="P25">
        <f t="shared" si="5"/>
        <v>9046312.1547762398</v>
      </c>
      <c r="Q25">
        <v>24</v>
      </c>
      <c r="R25">
        <f t="shared" si="18"/>
        <v>9554790.0313202124</v>
      </c>
      <c r="S25" s="64">
        <f>'Loan Prepayment'!$B$6</f>
        <v>7.5</v>
      </c>
      <c r="T25">
        <f>IF(R25&lt;=0,0,MIN(IF(AND('Loan Prepayment'!$E$15="Reduce EMI",W24&gt;0),-PMT(S25/1200,MAX(1,'Loan Prepayment'!$B$7*12-Q25+1),R25),T24),R25+U25))</f>
        <v>80559.31935518072</v>
      </c>
      <c r="U25">
        <f t="shared" si="6"/>
        <v>59717.437695751323</v>
      </c>
      <c r="V25">
        <f t="shared" si="7"/>
        <v>20841.881659429397</v>
      </c>
      <c r="W25">
        <f>IF(R25&lt;=0,0,MIN(MAX(0,R25-V25),0+IF(AND(Q25&gt;='Loan Prepayment'!$B$9,Q25&lt;='Loan Prepayment'!$E$16),'Loan Prepayment'!$B$8,0)))</f>
        <v>0</v>
      </c>
      <c r="X25">
        <f t="shared" si="8"/>
        <v>9533948.1496607829</v>
      </c>
      <c r="Y25">
        <v>24</v>
      </c>
      <c r="Z25">
        <f t="shared" si="19"/>
        <v>9554790.0313202124</v>
      </c>
      <c r="AA25">
        <f>IF(Y25&gt;='Loan Prepayment'!$E$11,'Loan Prepayment'!$E$12,'Loan Prepayment'!$B$6)</f>
        <v>7.5</v>
      </c>
      <c r="AB25">
        <f>IF(Z25&lt;=0,0,MIN(IF(Y25='Loan Prepayment'!$E$11,IF('Loan Prepayment'!$E$13="Keep tenure, recalculate EMI",-PMT(AA25/1200,MAX(1,'Loan Prepayment'!$B$7*12-Y25+1),Z25),AB24),AB24),Z25+AC25))</f>
        <v>80559.31935518072</v>
      </c>
      <c r="AC25">
        <f t="shared" si="9"/>
        <v>59717.437695751323</v>
      </c>
      <c r="AD25">
        <f t="shared" si="10"/>
        <v>20841.881659429397</v>
      </c>
      <c r="AE25">
        <f t="shared" si="11"/>
        <v>0</v>
      </c>
      <c r="AF25">
        <f t="shared" si="12"/>
        <v>9533948.1496607829</v>
      </c>
      <c r="AG25">
        <v>24</v>
      </c>
      <c r="AH25">
        <f t="shared" si="20"/>
        <v>9066088.0298307743</v>
      </c>
      <c r="AI25">
        <f>IF(AG25&gt;='Loan Prepayment'!$E$11,'Loan Prepayment'!$E$12,'Loan Prepayment'!$B$6)</f>
        <v>7.5</v>
      </c>
      <c r="AJ25">
        <f>IF(AH25&lt;=0,0,MIN(IF(AG25='Loan Prepayment'!$E$11,IF('Loan Prepayment'!$E$13="Keep tenure, recalculate EMI",-PMT(AI25/1200,MAX(1,'Loan Prepayment'!$B$7*12-AG25+1),AH25),IF(AND('Loan Prepayment'!$E$15="Reduce EMI",AM24&gt;0),-PMT(AI24/1200,MAX(1,'Loan Prepayment'!$B$7*12-AG25+1),AH25),AJ24)),IF(AND('Loan Prepayment'!$E$15="Reduce EMI",AM24&gt;0),-PMT(AI25/1200,MAX(1,'Loan Prepayment'!$B$7*12-AG25+1),AH25),AJ24)),AH25+AK25))</f>
        <v>76438.9252409771</v>
      </c>
      <c r="AK25">
        <f t="shared" si="13"/>
        <v>56663.050186442335</v>
      </c>
      <c r="AL25">
        <f t="shared" si="14"/>
        <v>19775.875054534765</v>
      </c>
      <c r="AM25">
        <f>IF(AH25&lt;=0,0,MIN(MAX(0,AH25-AL25),SUMIFS('Loan Prepayment'!$B$12:$B$31,'Loan Prepayment'!$A$12:$A$31,AG25)+IF(AND(AG25&gt;='Loan Prepayment'!$B$9,AG25&lt;='Loan Prepayment'!$E$16),'Loan Prepayment'!$B$8,0)))</f>
        <v>0</v>
      </c>
      <c r="AN25">
        <f t="shared" si="15"/>
        <v>9046312.1547762398</v>
      </c>
    </row>
    <row r="26" spans="1:40" x14ac:dyDescent="0.35">
      <c r="A26">
        <v>25</v>
      </c>
      <c r="B26">
        <f t="shared" si="16"/>
        <v>9533948.1496607829</v>
      </c>
      <c r="C26" s="64">
        <f>'Loan Prepayment'!$B$6</f>
        <v>7.5</v>
      </c>
      <c r="D26">
        <f>IF(B26&lt;=0,0,MIN(-PMT('Loan Prepayment'!$B$6/1200,'Loan Prepayment'!$B$7*12,'Loan Prepayment'!$B$5),B26+E26))</f>
        <v>80559.31935518072</v>
      </c>
      <c r="E26">
        <f t="shared" si="0"/>
        <v>59587.175935379884</v>
      </c>
      <c r="F26">
        <f t="shared" si="1"/>
        <v>20972.143419800836</v>
      </c>
      <c r="G26">
        <v>0</v>
      </c>
      <c r="H26">
        <f t="shared" si="2"/>
        <v>9512976.0062409826</v>
      </c>
      <c r="I26">
        <v>25</v>
      </c>
      <c r="J26">
        <f t="shared" si="17"/>
        <v>9046312.1547762398</v>
      </c>
      <c r="K26" s="64">
        <f>'Loan Prepayment'!$B$6</f>
        <v>7.5</v>
      </c>
      <c r="L26">
        <f>IF(J26&lt;=0,0,MIN(IF(AND('Loan Prepayment'!$E$15="Reduce EMI",O25&gt;0),-PMT(K26/1200,MAX(1,'Loan Prepayment'!$B$7*12-I26+1),J26),L25),J26+M26))</f>
        <v>76438.9252409771</v>
      </c>
      <c r="M26">
        <f t="shared" si="3"/>
        <v>56539.450967351499</v>
      </c>
      <c r="N26">
        <f t="shared" si="4"/>
        <v>19899.474273625601</v>
      </c>
      <c r="O26">
        <f>IF(J26&lt;=0,0,MIN(MAX(0,J26-N26),SUMIFS('Loan Prepayment'!$B$12:$B$31,'Loan Prepayment'!$A$12:$A$31,I26)+0))</f>
        <v>0</v>
      </c>
      <c r="P26">
        <f t="shared" si="5"/>
        <v>9026412.680502614</v>
      </c>
      <c r="Q26">
        <v>25</v>
      </c>
      <c r="R26">
        <f t="shared" si="18"/>
        <v>9533948.1496607829</v>
      </c>
      <c r="S26" s="64">
        <f>'Loan Prepayment'!$B$6</f>
        <v>7.5</v>
      </c>
      <c r="T26">
        <f>IF(R26&lt;=0,0,MIN(IF(AND('Loan Prepayment'!$E$15="Reduce EMI",W25&gt;0),-PMT(S26/1200,MAX(1,'Loan Prepayment'!$B$7*12-Q26+1),R26),T25),R26+U26))</f>
        <v>80559.31935518072</v>
      </c>
      <c r="U26">
        <f t="shared" si="6"/>
        <v>59587.175935379884</v>
      </c>
      <c r="V26">
        <f t="shared" si="7"/>
        <v>20972.143419800836</v>
      </c>
      <c r="W26">
        <f>IF(R26&lt;=0,0,MIN(MAX(0,R26-V26),0+IF(AND(Q26&gt;='Loan Prepayment'!$B$9,Q26&lt;='Loan Prepayment'!$E$16),'Loan Prepayment'!$B$8,0)))</f>
        <v>0</v>
      </c>
      <c r="X26">
        <f t="shared" si="8"/>
        <v>9512976.0062409826</v>
      </c>
      <c r="Y26">
        <v>25</v>
      </c>
      <c r="Z26">
        <f t="shared" si="19"/>
        <v>9533948.1496607829</v>
      </c>
      <c r="AA26">
        <f>IF(Y26&gt;='Loan Prepayment'!$E$11,'Loan Prepayment'!$E$12,'Loan Prepayment'!$B$6)</f>
        <v>7.5</v>
      </c>
      <c r="AB26">
        <f>IF(Z26&lt;=0,0,MIN(IF(Y26='Loan Prepayment'!$E$11,IF('Loan Prepayment'!$E$13="Keep tenure, recalculate EMI",-PMT(AA26/1200,MAX(1,'Loan Prepayment'!$B$7*12-Y26+1),Z26),AB25),AB25),Z26+AC26))</f>
        <v>80559.31935518072</v>
      </c>
      <c r="AC26">
        <f t="shared" si="9"/>
        <v>59587.175935379884</v>
      </c>
      <c r="AD26">
        <f t="shared" si="10"/>
        <v>20972.143419800836</v>
      </c>
      <c r="AE26">
        <f t="shared" si="11"/>
        <v>0</v>
      </c>
      <c r="AF26">
        <f t="shared" si="12"/>
        <v>9512976.0062409826</v>
      </c>
      <c r="AG26">
        <v>25</v>
      </c>
      <c r="AH26">
        <f t="shared" si="20"/>
        <v>9046312.1547762398</v>
      </c>
      <c r="AI26">
        <f>IF(AG26&gt;='Loan Prepayment'!$E$11,'Loan Prepayment'!$E$12,'Loan Prepayment'!$B$6)</f>
        <v>7.5</v>
      </c>
      <c r="AJ26">
        <f>IF(AH26&lt;=0,0,MIN(IF(AG26='Loan Prepayment'!$E$11,IF('Loan Prepayment'!$E$13="Keep tenure, recalculate EMI",-PMT(AI26/1200,MAX(1,'Loan Prepayment'!$B$7*12-AG26+1),AH26),IF(AND('Loan Prepayment'!$E$15="Reduce EMI",AM25&gt;0),-PMT(AI25/1200,MAX(1,'Loan Prepayment'!$B$7*12-AG26+1),AH26),AJ25)),IF(AND('Loan Prepayment'!$E$15="Reduce EMI",AM25&gt;0),-PMT(AI26/1200,MAX(1,'Loan Prepayment'!$B$7*12-AG26+1),AH26),AJ25)),AH26+AK26))</f>
        <v>76438.9252409771</v>
      </c>
      <c r="AK26">
        <f t="shared" si="13"/>
        <v>56539.450967351499</v>
      </c>
      <c r="AL26">
        <f t="shared" si="14"/>
        <v>19899.474273625601</v>
      </c>
      <c r="AM26">
        <f>IF(AH26&lt;=0,0,MIN(MAX(0,AH26-AL26),SUMIFS('Loan Prepayment'!$B$12:$B$31,'Loan Prepayment'!$A$12:$A$31,AG26)+IF(AND(AG26&gt;='Loan Prepayment'!$B$9,AG26&lt;='Loan Prepayment'!$E$16),'Loan Prepayment'!$B$8,0)))</f>
        <v>0</v>
      </c>
      <c r="AN26">
        <f t="shared" si="15"/>
        <v>9026412.680502614</v>
      </c>
    </row>
    <row r="27" spans="1:40" x14ac:dyDescent="0.35">
      <c r="A27">
        <v>26</v>
      </c>
      <c r="B27">
        <f t="shared" si="16"/>
        <v>9512976.0062409826</v>
      </c>
      <c r="C27" s="64">
        <f>'Loan Prepayment'!$B$6</f>
        <v>7.5</v>
      </c>
      <c r="D27">
        <f>IF(B27&lt;=0,0,MIN(-PMT('Loan Prepayment'!$B$6/1200,'Loan Prepayment'!$B$7*12,'Loan Prepayment'!$B$5),B27+E27))</f>
        <v>80559.31935518072</v>
      </c>
      <c r="E27">
        <f t="shared" si="0"/>
        <v>59456.100039006138</v>
      </c>
      <c r="F27">
        <f t="shared" si="1"/>
        <v>21103.219316174582</v>
      </c>
      <c r="G27">
        <v>0</v>
      </c>
      <c r="H27">
        <f t="shared" si="2"/>
        <v>9491872.7869248074</v>
      </c>
      <c r="I27">
        <v>26</v>
      </c>
      <c r="J27">
        <f t="shared" si="17"/>
        <v>9026412.680502614</v>
      </c>
      <c r="K27" s="64">
        <f>'Loan Prepayment'!$B$6</f>
        <v>7.5</v>
      </c>
      <c r="L27">
        <f>IF(J27&lt;=0,0,MIN(IF(AND('Loan Prepayment'!$E$15="Reduce EMI",O26&gt;0),-PMT(K27/1200,MAX(1,'Loan Prepayment'!$B$7*12-I27+1),J27),L26),J27+M27))</f>
        <v>76438.9252409771</v>
      </c>
      <c r="M27">
        <f t="shared" si="3"/>
        <v>56415.079253141332</v>
      </c>
      <c r="N27">
        <f t="shared" si="4"/>
        <v>20023.845987835768</v>
      </c>
      <c r="O27">
        <f>IF(J27&lt;=0,0,MIN(MAX(0,J27-N27),SUMIFS('Loan Prepayment'!$B$12:$B$31,'Loan Prepayment'!$A$12:$A$31,I27)+0))</f>
        <v>0</v>
      </c>
      <c r="P27">
        <f t="shared" si="5"/>
        <v>9006388.8345147781</v>
      </c>
      <c r="Q27">
        <v>26</v>
      </c>
      <c r="R27">
        <f t="shared" si="18"/>
        <v>9512976.0062409826</v>
      </c>
      <c r="S27" s="64">
        <f>'Loan Prepayment'!$B$6</f>
        <v>7.5</v>
      </c>
      <c r="T27">
        <f>IF(R27&lt;=0,0,MIN(IF(AND('Loan Prepayment'!$E$15="Reduce EMI",W26&gt;0),-PMT(S27/1200,MAX(1,'Loan Prepayment'!$B$7*12-Q27+1),R27),T26),R27+U27))</f>
        <v>80559.31935518072</v>
      </c>
      <c r="U27">
        <f t="shared" si="6"/>
        <v>59456.100039006138</v>
      </c>
      <c r="V27">
        <f t="shared" si="7"/>
        <v>21103.219316174582</v>
      </c>
      <c r="W27">
        <f>IF(R27&lt;=0,0,MIN(MAX(0,R27-V27),0+IF(AND(Q27&gt;='Loan Prepayment'!$B$9,Q27&lt;='Loan Prepayment'!$E$16),'Loan Prepayment'!$B$8,0)))</f>
        <v>0</v>
      </c>
      <c r="X27">
        <f t="shared" si="8"/>
        <v>9491872.7869248074</v>
      </c>
      <c r="Y27">
        <v>26</v>
      </c>
      <c r="Z27">
        <f t="shared" si="19"/>
        <v>9512976.0062409826</v>
      </c>
      <c r="AA27">
        <f>IF(Y27&gt;='Loan Prepayment'!$E$11,'Loan Prepayment'!$E$12,'Loan Prepayment'!$B$6)</f>
        <v>7.5</v>
      </c>
      <c r="AB27">
        <f>IF(Z27&lt;=0,0,MIN(IF(Y27='Loan Prepayment'!$E$11,IF('Loan Prepayment'!$E$13="Keep tenure, recalculate EMI",-PMT(AA27/1200,MAX(1,'Loan Prepayment'!$B$7*12-Y27+1),Z27),AB26),AB26),Z27+AC27))</f>
        <v>80559.31935518072</v>
      </c>
      <c r="AC27">
        <f t="shared" si="9"/>
        <v>59456.100039006138</v>
      </c>
      <c r="AD27">
        <f t="shared" si="10"/>
        <v>21103.219316174582</v>
      </c>
      <c r="AE27">
        <f t="shared" si="11"/>
        <v>0</v>
      </c>
      <c r="AF27">
        <f t="shared" si="12"/>
        <v>9491872.7869248074</v>
      </c>
      <c r="AG27">
        <v>26</v>
      </c>
      <c r="AH27">
        <f t="shared" si="20"/>
        <v>9026412.680502614</v>
      </c>
      <c r="AI27">
        <f>IF(AG27&gt;='Loan Prepayment'!$E$11,'Loan Prepayment'!$E$12,'Loan Prepayment'!$B$6)</f>
        <v>7.5</v>
      </c>
      <c r="AJ27">
        <f>IF(AH27&lt;=0,0,MIN(IF(AG27='Loan Prepayment'!$E$11,IF('Loan Prepayment'!$E$13="Keep tenure, recalculate EMI",-PMT(AI27/1200,MAX(1,'Loan Prepayment'!$B$7*12-AG27+1),AH27),IF(AND('Loan Prepayment'!$E$15="Reduce EMI",AM26&gt;0),-PMT(AI26/1200,MAX(1,'Loan Prepayment'!$B$7*12-AG27+1),AH27),AJ26)),IF(AND('Loan Prepayment'!$E$15="Reduce EMI",AM26&gt;0),-PMT(AI27/1200,MAX(1,'Loan Prepayment'!$B$7*12-AG27+1),AH27),AJ26)),AH27+AK27))</f>
        <v>76438.9252409771</v>
      </c>
      <c r="AK27">
        <f t="shared" si="13"/>
        <v>56415.079253141332</v>
      </c>
      <c r="AL27">
        <f t="shared" si="14"/>
        <v>20023.845987835768</v>
      </c>
      <c r="AM27">
        <f>IF(AH27&lt;=0,0,MIN(MAX(0,AH27-AL27),SUMIFS('Loan Prepayment'!$B$12:$B$31,'Loan Prepayment'!$A$12:$A$31,AG27)+IF(AND(AG27&gt;='Loan Prepayment'!$B$9,AG27&lt;='Loan Prepayment'!$E$16),'Loan Prepayment'!$B$8,0)))</f>
        <v>0</v>
      </c>
      <c r="AN27">
        <f t="shared" si="15"/>
        <v>9006388.8345147781</v>
      </c>
    </row>
    <row r="28" spans="1:40" x14ac:dyDescent="0.35">
      <c r="A28">
        <v>27</v>
      </c>
      <c r="B28">
        <f t="shared" si="16"/>
        <v>9491872.7869248074</v>
      </c>
      <c r="C28" s="64">
        <f>'Loan Prepayment'!$B$6</f>
        <v>7.5</v>
      </c>
      <c r="D28">
        <f>IF(B28&lt;=0,0,MIN(-PMT('Loan Prepayment'!$B$6/1200,'Loan Prepayment'!$B$7*12,'Loan Prepayment'!$B$5),B28+E28))</f>
        <v>80559.31935518072</v>
      </c>
      <c r="E28">
        <f t="shared" si="0"/>
        <v>59324.204918280047</v>
      </c>
      <c r="F28">
        <f t="shared" si="1"/>
        <v>21235.114436900672</v>
      </c>
      <c r="G28">
        <v>0</v>
      </c>
      <c r="H28">
        <f t="shared" si="2"/>
        <v>9470637.6724879071</v>
      </c>
      <c r="I28">
        <v>27</v>
      </c>
      <c r="J28">
        <f t="shared" si="17"/>
        <v>9006388.8345147781</v>
      </c>
      <c r="K28" s="64">
        <f>'Loan Prepayment'!$B$6</f>
        <v>7.5</v>
      </c>
      <c r="L28">
        <f>IF(J28&lt;=0,0,MIN(IF(AND('Loan Prepayment'!$E$15="Reduce EMI",O27&gt;0),-PMT(K28/1200,MAX(1,'Loan Prepayment'!$B$7*12-I28+1),J28),L27),J28+M28))</f>
        <v>76438.9252409771</v>
      </c>
      <c r="M28">
        <f t="shared" si="3"/>
        <v>56289.930215717366</v>
      </c>
      <c r="N28">
        <f t="shared" si="4"/>
        <v>20148.995025259734</v>
      </c>
      <c r="O28">
        <f>IF(J28&lt;=0,0,MIN(MAX(0,J28-N28),SUMIFS('Loan Prepayment'!$B$12:$B$31,'Loan Prepayment'!$A$12:$A$31,I28)+0))</f>
        <v>0</v>
      </c>
      <c r="P28">
        <f t="shared" si="5"/>
        <v>8986239.8394895177</v>
      </c>
      <c r="Q28">
        <v>27</v>
      </c>
      <c r="R28">
        <f t="shared" si="18"/>
        <v>9491872.7869248074</v>
      </c>
      <c r="S28" s="64">
        <f>'Loan Prepayment'!$B$6</f>
        <v>7.5</v>
      </c>
      <c r="T28">
        <f>IF(R28&lt;=0,0,MIN(IF(AND('Loan Prepayment'!$E$15="Reduce EMI",W27&gt;0),-PMT(S28/1200,MAX(1,'Loan Prepayment'!$B$7*12-Q28+1),R28),T27),R28+U28))</f>
        <v>80559.31935518072</v>
      </c>
      <c r="U28">
        <f t="shared" si="6"/>
        <v>59324.204918280047</v>
      </c>
      <c r="V28">
        <f t="shared" si="7"/>
        <v>21235.114436900672</v>
      </c>
      <c r="W28">
        <f>IF(R28&lt;=0,0,MIN(MAX(0,R28-V28),0+IF(AND(Q28&gt;='Loan Prepayment'!$B$9,Q28&lt;='Loan Prepayment'!$E$16),'Loan Prepayment'!$B$8,0)))</f>
        <v>0</v>
      </c>
      <c r="X28">
        <f t="shared" si="8"/>
        <v>9470637.6724879071</v>
      </c>
      <c r="Y28">
        <v>27</v>
      </c>
      <c r="Z28">
        <f t="shared" si="19"/>
        <v>9491872.7869248074</v>
      </c>
      <c r="AA28">
        <f>IF(Y28&gt;='Loan Prepayment'!$E$11,'Loan Prepayment'!$E$12,'Loan Prepayment'!$B$6)</f>
        <v>7.5</v>
      </c>
      <c r="AB28">
        <f>IF(Z28&lt;=0,0,MIN(IF(Y28='Loan Prepayment'!$E$11,IF('Loan Prepayment'!$E$13="Keep tenure, recalculate EMI",-PMT(AA28/1200,MAX(1,'Loan Prepayment'!$B$7*12-Y28+1),Z28),AB27),AB27),Z28+AC28))</f>
        <v>80559.31935518072</v>
      </c>
      <c r="AC28">
        <f t="shared" si="9"/>
        <v>59324.204918280047</v>
      </c>
      <c r="AD28">
        <f t="shared" si="10"/>
        <v>21235.114436900672</v>
      </c>
      <c r="AE28">
        <f t="shared" si="11"/>
        <v>0</v>
      </c>
      <c r="AF28">
        <f t="shared" si="12"/>
        <v>9470637.6724879071</v>
      </c>
      <c r="AG28">
        <v>27</v>
      </c>
      <c r="AH28">
        <f t="shared" si="20"/>
        <v>9006388.8345147781</v>
      </c>
      <c r="AI28">
        <f>IF(AG28&gt;='Loan Prepayment'!$E$11,'Loan Prepayment'!$E$12,'Loan Prepayment'!$B$6)</f>
        <v>7.5</v>
      </c>
      <c r="AJ28">
        <f>IF(AH28&lt;=0,0,MIN(IF(AG28='Loan Prepayment'!$E$11,IF('Loan Prepayment'!$E$13="Keep tenure, recalculate EMI",-PMT(AI28/1200,MAX(1,'Loan Prepayment'!$B$7*12-AG28+1),AH28),IF(AND('Loan Prepayment'!$E$15="Reduce EMI",AM27&gt;0),-PMT(AI27/1200,MAX(1,'Loan Prepayment'!$B$7*12-AG28+1),AH28),AJ27)),IF(AND('Loan Prepayment'!$E$15="Reduce EMI",AM27&gt;0),-PMT(AI28/1200,MAX(1,'Loan Prepayment'!$B$7*12-AG28+1),AH28),AJ27)),AH28+AK28))</f>
        <v>76438.9252409771</v>
      </c>
      <c r="AK28">
        <f t="shared" si="13"/>
        <v>56289.930215717366</v>
      </c>
      <c r="AL28">
        <f t="shared" si="14"/>
        <v>20148.995025259734</v>
      </c>
      <c r="AM28">
        <f>IF(AH28&lt;=0,0,MIN(MAX(0,AH28-AL28),SUMIFS('Loan Prepayment'!$B$12:$B$31,'Loan Prepayment'!$A$12:$A$31,AG28)+IF(AND(AG28&gt;='Loan Prepayment'!$B$9,AG28&lt;='Loan Prepayment'!$E$16),'Loan Prepayment'!$B$8,0)))</f>
        <v>0</v>
      </c>
      <c r="AN28">
        <f t="shared" si="15"/>
        <v>8986239.8394895177</v>
      </c>
    </row>
    <row r="29" spans="1:40" x14ac:dyDescent="0.35">
      <c r="A29">
        <v>28</v>
      </c>
      <c r="B29">
        <f t="shared" si="16"/>
        <v>9470637.6724879071</v>
      </c>
      <c r="C29" s="64">
        <f>'Loan Prepayment'!$B$6</f>
        <v>7.5</v>
      </c>
      <c r="D29">
        <f>IF(B29&lt;=0,0,MIN(-PMT('Loan Prepayment'!$B$6/1200,'Loan Prepayment'!$B$7*12,'Loan Prepayment'!$B$5),B29+E29))</f>
        <v>80559.31935518072</v>
      </c>
      <c r="E29">
        <f t="shared" si="0"/>
        <v>59191.485453049419</v>
      </c>
      <c r="F29">
        <f t="shared" si="1"/>
        <v>21367.8339021313</v>
      </c>
      <c r="G29">
        <v>0</v>
      </c>
      <c r="H29">
        <f t="shared" si="2"/>
        <v>9449269.8385857753</v>
      </c>
      <c r="I29">
        <v>28</v>
      </c>
      <c r="J29">
        <f t="shared" si="17"/>
        <v>8986239.8394895177</v>
      </c>
      <c r="K29" s="64">
        <f>'Loan Prepayment'!$B$6</f>
        <v>7.5</v>
      </c>
      <c r="L29">
        <f>IF(J29&lt;=0,0,MIN(IF(AND('Loan Prepayment'!$E$15="Reduce EMI",O28&gt;0),-PMT(K29/1200,MAX(1,'Loan Prepayment'!$B$7*12-I29+1),J29),L28),J29+M29))</f>
        <v>76438.9252409771</v>
      </c>
      <c r="M29">
        <f t="shared" si="3"/>
        <v>56163.998996809481</v>
      </c>
      <c r="N29">
        <f t="shared" si="4"/>
        <v>20274.926244167618</v>
      </c>
      <c r="O29">
        <f>IF(J29&lt;=0,0,MIN(MAX(0,J29-N29),SUMIFS('Loan Prepayment'!$B$12:$B$31,'Loan Prepayment'!$A$12:$A$31,I29)+0))</f>
        <v>0</v>
      </c>
      <c r="P29">
        <f t="shared" si="5"/>
        <v>8965964.9132453501</v>
      </c>
      <c r="Q29">
        <v>28</v>
      </c>
      <c r="R29">
        <f t="shared" si="18"/>
        <v>9470637.6724879071</v>
      </c>
      <c r="S29" s="64">
        <f>'Loan Prepayment'!$B$6</f>
        <v>7.5</v>
      </c>
      <c r="T29">
        <f>IF(R29&lt;=0,0,MIN(IF(AND('Loan Prepayment'!$E$15="Reduce EMI",W28&gt;0),-PMT(S29/1200,MAX(1,'Loan Prepayment'!$B$7*12-Q29+1),R29),T28),R29+U29))</f>
        <v>80559.31935518072</v>
      </c>
      <c r="U29">
        <f t="shared" si="6"/>
        <v>59191.485453049419</v>
      </c>
      <c r="V29">
        <f t="shared" si="7"/>
        <v>21367.8339021313</v>
      </c>
      <c r="W29">
        <f>IF(R29&lt;=0,0,MIN(MAX(0,R29-V29),0+IF(AND(Q29&gt;='Loan Prepayment'!$B$9,Q29&lt;='Loan Prepayment'!$E$16),'Loan Prepayment'!$B$8,0)))</f>
        <v>0</v>
      </c>
      <c r="X29">
        <f t="shared" si="8"/>
        <v>9449269.8385857753</v>
      </c>
      <c r="Y29">
        <v>28</v>
      </c>
      <c r="Z29">
        <f t="shared" si="19"/>
        <v>9470637.6724879071</v>
      </c>
      <c r="AA29">
        <f>IF(Y29&gt;='Loan Prepayment'!$E$11,'Loan Prepayment'!$E$12,'Loan Prepayment'!$B$6)</f>
        <v>7.5</v>
      </c>
      <c r="AB29">
        <f>IF(Z29&lt;=0,0,MIN(IF(Y29='Loan Prepayment'!$E$11,IF('Loan Prepayment'!$E$13="Keep tenure, recalculate EMI",-PMT(AA29/1200,MAX(1,'Loan Prepayment'!$B$7*12-Y29+1),Z29),AB28),AB28),Z29+AC29))</f>
        <v>80559.31935518072</v>
      </c>
      <c r="AC29">
        <f t="shared" si="9"/>
        <v>59191.485453049419</v>
      </c>
      <c r="AD29">
        <f t="shared" si="10"/>
        <v>21367.8339021313</v>
      </c>
      <c r="AE29">
        <f t="shared" si="11"/>
        <v>0</v>
      </c>
      <c r="AF29">
        <f t="shared" si="12"/>
        <v>9449269.8385857753</v>
      </c>
      <c r="AG29">
        <v>28</v>
      </c>
      <c r="AH29">
        <f t="shared" si="20"/>
        <v>8986239.8394895177</v>
      </c>
      <c r="AI29">
        <f>IF(AG29&gt;='Loan Prepayment'!$E$11,'Loan Prepayment'!$E$12,'Loan Prepayment'!$B$6)</f>
        <v>7.5</v>
      </c>
      <c r="AJ29">
        <f>IF(AH29&lt;=0,0,MIN(IF(AG29='Loan Prepayment'!$E$11,IF('Loan Prepayment'!$E$13="Keep tenure, recalculate EMI",-PMT(AI29/1200,MAX(1,'Loan Prepayment'!$B$7*12-AG29+1),AH29),IF(AND('Loan Prepayment'!$E$15="Reduce EMI",AM28&gt;0),-PMT(AI28/1200,MAX(1,'Loan Prepayment'!$B$7*12-AG29+1),AH29),AJ28)),IF(AND('Loan Prepayment'!$E$15="Reduce EMI",AM28&gt;0),-PMT(AI29/1200,MAX(1,'Loan Prepayment'!$B$7*12-AG29+1),AH29),AJ28)),AH29+AK29))</f>
        <v>76438.9252409771</v>
      </c>
      <c r="AK29">
        <f t="shared" si="13"/>
        <v>56163.998996809481</v>
      </c>
      <c r="AL29">
        <f t="shared" si="14"/>
        <v>20274.926244167618</v>
      </c>
      <c r="AM29">
        <f>IF(AH29&lt;=0,0,MIN(MAX(0,AH29-AL29),SUMIFS('Loan Prepayment'!$B$12:$B$31,'Loan Prepayment'!$A$12:$A$31,AG29)+IF(AND(AG29&gt;='Loan Prepayment'!$B$9,AG29&lt;='Loan Prepayment'!$E$16),'Loan Prepayment'!$B$8,0)))</f>
        <v>0</v>
      </c>
      <c r="AN29">
        <f t="shared" si="15"/>
        <v>8965964.9132453501</v>
      </c>
    </row>
    <row r="30" spans="1:40" x14ac:dyDescent="0.35">
      <c r="A30">
        <v>29</v>
      </c>
      <c r="B30">
        <f t="shared" si="16"/>
        <v>9449269.8385857753</v>
      </c>
      <c r="C30" s="64">
        <f>'Loan Prepayment'!$B$6</f>
        <v>7.5</v>
      </c>
      <c r="D30">
        <f>IF(B30&lt;=0,0,MIN(-PMT('Loan Prepayment'!$B$6/1200,'Loan Prepayment'!$B$7*12,'Loan Prepayment'!$B$5),B30+E30))</f>
        <v>80559.31935518072</v>
      </c>
      <c r="E30">
        <f t="shared" si="0"/>
        <v>59057.936491161097</v>
      </c>
      <c r="F30">
        <f t="shared" si="1"/>
        <v>21501.382864019623</v>
      </c>
      <c r="G30">
        <v>0</v>
      </c>
      <c r="H30">
        <f t="shared" si="2"/>
        <v>9427768.4557217564</v>
      </c>
      <c r="I30">
        <v>29</v>
      </c>
      <c r="J30">
        <f t="shared" si="17"/>
        <v>8965964.9132453501</v>
      </c>
      <c r="K30" s="64">
        <f>'Loan Prepayment'!$B$6</f>
        <v>7.5</v>
      </c>
      <c r="L30">
        <f>IF(J30&lt;=0,0,MIN(IF(AND('Loan Prepayment'!$E$15="Reduce EMI",O29&gt;0),-PMT(K30/1200,MAX(1,'Loan Prepayment'!$B$7*12-I30+1),J30),L29),J30+M30))</f>
        <v>76438.9252409771</v>
      </c>
      <c r="M30">
        <f t="shared" si="3"/>
        <v>56037.280707783437</v>
      </c>
      <c r="N30">
        <f t="shared" si="4"/>
        <v>20401.644533193663</v>
      </c>
      <c r="O30">
        <f>IF(J30&lt;=0,0,MIN(MAX(0,J30-N30),SUMIFS('Loan Prepayment'!$B$12:$B$31,'Loan Prepayment'!$A$12:$A$31,I30)+0))</f>
        <v>0</v>
      </c>
      <c r="P30">
        <f t="shared" si="5"/>
        <v>8945563.2687121574</v>
      </c>
      <c r="Q30">
        <v>29</v>
      </c>
      <c r="R30">
        <f t="shared" si="18"/>
        <v>9449269.8385857753</v>
      </c>
      <c r="S30" s="64">
        <f>'Loan Prepayment'!$B$6</f>
        <v>7.5</v>
      </c>
      <c r="T30">
        <f>IF(R30&lt;=0,0,MIN(IF(AND('Loan Prepayment'!$E$15="Reduce EMI",W29&gt;0),-PMT(S30/1200,MAX(1,'Loan Prepayment'!$B$7*12-Q30+1),R30),T29),R30+U30))</f>
        <v>80559.31935518072</v>
      </c>
      <c r="U30">
        <f t="shared" si="6"/>
        <v>59057.936491161097</v>
      </c>
      <c r="V30">
        <f t="shared" si="7"/>
        <v>21501.382864019623</v>
      </c>
      <c r="W30">
        <f>IF(R30&lt;=0,0,MIN(MAX(0,R30-V30),0+IF(AND(Q30&gt;='Loan Prepayment'!$B$9,Q30&lt;='Loan Prepayment'!$E$16),'Loan Prepayment'!$B$8,0)))</f>
        <v>0</v>
      </c>
      <c r="X30">
        <f t="shared" si="8"/>
        <v>9427768.4557217564</v>
      </c>
      <c r="Y30">
        <v>29</v>
      </c>
      <c r="Z30">
        <f t="shared" si="19"/>
        <v>9449269.8385857753</v>
      </c>
      <c r="AA30">
        <f>IF(Y30&gt;='Loan Prepayment'!$E$11,'Loan Prepayment'!$E$12,'Loan Prepayment'!$B$6)</f>
        <v>7.5</v>
      </c>
      <c r="AB30">
        <f>IF(Z30&lt;=0,0,MIN(IF(Y30='Loan Prepayment'!$E$11,IF('Loan Prepayment'!$E$13="Keep tenure, recalculate EMI",-PMT(AA30/1200,MAX(1,'Loan Prepayment'!$B$7*12-Y30+1),Z30),AB29),AB29),Z30+AC30))</f>
        <v>80559.31935518072</v>
      </c>
      <c r="AC30">
        <f t="shared" si="9"/>
        <v>59057.936491161097</v>
      </c>
      <c r="AD30">
        <f t="shared" si="10"/>
        <v>21501.382864019623</v>
      </c>
      <c r="AE30">
        <f t="shared" si="11"/>
        <v>0</v>
      </c>
      <c r="AF30">
        <f t="shared" si="12"/>
        <v>9427768.4557217564</v>
      </c>
      <c r="AG30">
        <v>29</v>
      </c>
      <c r="AH30">
        <f t="shared" si="20"/>
        <v>8965964.9132453501</v>
      </c>
      <c r="AI30">
        <f>IF(AG30&gt;='Loan Prepayment'!$E$11,'Loan Prepayment'!$E$12,'Loan Prepayment'!$B$6)</f>
        <v>7.5</v>
      </c>
      <c r="AJ30">
        <f>IF(AH30&lt;=0,0,MIN(IF(AG30='Loan Prepayment'!$E$11,IF('Loan Prepayment'!$E$13="Keep tenure, recalculate EMI",-PMT(AI30/1200,MAX(1,'Loan Prepayment'!$B$7*12-AG30+1),AH30),IF(AND('Loan Prepayment'!$E$15="Reduce EMI",AM29&gt;0),-PMT(AI29/1200,MAX(1,'Loan Prepayment'!$B$7*12-AG30+1),AH30),AJ29)),IF(AND('Loan Prepayment'!$E$15="Reduce EMI",AM29&gt;0),-PMT(AI30/1200,MAX(1,'Loan Prepayment'!$B$7*12-AG30+1),AH30),AJ29)),AH30+AK30))</f>
        <v>76438.9252409771</v>
      </c>
      <c r="AK30">
        <f t="shared" si="13"/>
        <v>56037.280707783437</v>
      </c>
      <c r="AL30">
        <f t="shared" si="14"/>
        <v>20401.644533193663</v>
      </c>
      <c r="AM30">
        <f>IF(AH30&lt;=0,0,MIN(MAX(0,AH30-AL30),SUMIFS('Loan Prepayment'!$B$12:$B$31,'Loan Prepayment'!$A$12:$A$31,AG30)+IF(AND(AG30&gt;='Loan Prepayment'!$B$9,AG30&lt;='Loan Prepayment'!$E$16),'Loan Prepayment'!$B$8,0)))</f>
        <v>0</v>
      </c>
      <c r="AN30">
        <f t="shared" si="15"/>
        <v>8945563.2687121574</v>
      </c>
    </row>
    <row r="31" spans="1:40" x14ac:dyDescent="0.35">
      <c r="A31">
        <v>30</v>
      </c>
      <c r="B31">
        <f t="shared" si="16"/>
        <v>9427768.4557217564</v>
      </c>
      <c r="C31" s="64">
        <f>'Loan Prepayment'!$B$6</f>
        <v>7.5</v>
      </c>
      <c r="D31">
        <f>IF(B31&lt;=0,0,MIN(-PMT('Loan Prepayment'!$B$6/1200,'Loan Prepayment'!$B$7*12,'Loan Prepayment'!$B$5),B31+E31))</f>
        <v>80559.31935518072</v>
      </c>
      <c r="E31">
        <f t="shared" si="0"/>
        <v>58923.552848260973</v>
      </c>
      <c r="F31">
        <f t="shared" si="1"/>
        <v>21635.766506919746</v>
      </c>
      <c r="G31">
        <v>0</v>
      </c>
      <c r="H31">
        <f t="shared" si="2"/>
        <v>9406132.6892148368</v>
      </c>
      <c r="I31">
        <v>30</v>
      </c>
      <c r="J31">
        <f t="shared" si="17"/>
        <v>8945563.2687121574</v>
      </c>
      <c r="K31" s="64">
        <f>'Loan Prepayment'!$B$6</f>
        <v>7.5</v>
      </c>
      <c r="L31">
        <f>IF(J31&lt;=0,0,MIN(IF(AND('Loan Prepayment'!$E$15="Reduce EMI",O30&gt;0),-PMT(K31/1200,MAX(1,'Loan Prepayment'!$B$7*12-I31+1),J31),L30),J31+M31))</f>
        <v>76438.9252409771</v>
      </c>
      <c r="M31">
        <f t="shared" si="3"/>
        <v>55909.770429450982</v>
      </c>
      <c r="N31">
        <f t="shared" si="4"/>
        <v>20529.154811526118</v>
      </c>
      <c r="O31">
        <f>IF(J31&lt;=0,0,MIN(MAX(0,J31-N31),SUMIFS('Loan Prepayment'!$B$12:$B$31,'Loan Prepayment'!$A$12:$A$31,I31)+0))</f>
        <v>0</v>
      </c>
      <c r="P31">
        <f t="shared" si="5"/>
        <v>8925034.1139006317</v>
      </c>
      <c r="Q31">
        <v>30</v>
      </c>
      <c r="R31">
        <f t="shared" si="18"/>
        <v>9427768.4557217564</v>
      </c>
      <c r="S31" s="64">
        <f>'Loan Prepayment'!$B$6</f>
        <v>7.5</v>
      </c>
      <c r="T31">
        <f>IF(R31&lt;=0,0,MIN(IF(AND('Loan Prepayment'!$E$15="Reduce EMI",W30&gt;0),-PMT(S31/1200,MAX(1,'Loan Prepayment'!$B$7*12-Q31+1),R31),T30),R31+U31))</f>
        <v>80559.31935518072</v>
      </c>
      <c r="U31">
        <f t="shared" si="6"/>
        <v>58923.552848260973</v>
      </c>
      <c r="V31">
        <f t="shared" si="7"/>
        <v>21635.766506919746</v>
      </c>
      <c r="W31">
        <f>IF(R31&lt;=0,0,MIN(MAX(0,R31-V31),0+IF(AND(Q31&gt;='Loan Prepayment'!$B$9,Q31&lt;='Loan Prepayment'!$E$16),'Loan Prepayment'!$B$8,0)))</f>
        <v>0</v>
      </c>
      <c r="X31">
        <f t="shared" si="8"/>
        <v>9406132.6892148368</v>
      </c>
      <c r="Y31">
        <v>30</v>
      </c>
      <c r="Z31">
        <f t="shared" si="19"/>
        <v>9427768.4557217564</v>
      </c>
      <c r="AA31">
        <f>IF(Y31&gt;='Loan Prepayment'!$E$11,'Loan Prepayment'!$E$12,'Loan Prepayment'!$B$6)</f>
        <v>7.5</v>
      </c>
      <c r="AB31">
        <f>IF(Z31&lt;=0,0,MIN(IF(Y31='Loan Prepayment'!$E$11,IF('Loan Prepayment'!$E$13="Keep tenure, recalculate EMI",-PMT(AA31/1200,MAX(1,'Loan Prepayment'!$B$7*12-Y31+1),Z31),AB30),AB30),Z31+AC31))</f>
        <v>80559.31935518072</v>
      </c>
      <c r="AC31">
        <f t="shared" si="9"/>
        <v>58923.552848260973</v>
      </c>
      <c r="AD31">
        <f t="shared" si="10"/>
        <v>21635.766506919746</v>
      </c>
      <c r="AE31">
        <f t="shared" si="11"/>
        <v>0</v>
      </c>
      <c r="AF31">
        <f t="shared" si="12"/>
        <v>9406132.6892148368</v>
      </c>
      <c r="AG31">
        <v>30</v>
      </c>
      <c r="AH31">
        <f t="shared" si="20"/>
        <v>8945563.2687121574</v>
      </c>
      <c r="AI31">
        <f>IF(AG31&gt;='Loan Prepayment'!$E$11,'Loan Prepayment'!$E$12,'Loan Prepayment'!$B$6)</f>
        <v>7.5</v>
      </c>
      <c r="AJ31">
        <f>IF(AH31&lt;=0,0,MIN(IF(AG31='Loan Prepayment'!$E$11,IF('Loan Prepayment'!$E$13="Keep tenure, recalculate EMI",-PMT(AI31/1200,MAX(1,'Loan Prepayment'!$B$7*12-AG31+1),AH31),IF(AND('Loan Prepayment'!$E$15="Reduce EMI",AM30&gt;0),-PMT(AI30/1200,MAX(1,'Loan Prepayment'!$B$7*12-AG31+1),AH31),AJ30)),IF(AND('Loan Prepayment'!$E$15="Reduce EMI",AM30&gt;0),-PMT(AI31/1200,MAX(1,'Loan Prepayment'!$B$7*12-AG31+1),AH31),AJ30)),AH31+AK31))</f>
        <v>76438.9252409771</v>
      </c>
      <c r="AK31">
        <f t="shared" si="13"/>
        <v>55909.770429450982</v>
      </c>
      <c r="AL31">
        <f t="shared" si="14"/>
        <v>20529.154811526118</v>
      </c>
      <c r="AM31">
        <f>IF(AH31&lt;=0,0,MIN(MAX(0,AH31-AL31),SUMIFS('Loan Prepayment'!$B$12:$B$31,'Loan Prepayment'!$A$12:$A$31,AG31)+IF(AND(AG31&gt;='Loan Prepayment'!$B$9,AG31&lt;='Loan Prepayment'!$E$16),'Loan Prepayment'!$B$8,0)))</f>
        <v>0</v>
      </c>
      <c r="AN31">
        <f t="shared" si="15"/>
        <v>8925034.1139006317</v>
      </c>
    </row>
    <row r="32" spans="1:40" x14ac:dyDescent="0.35">
      <c r="A32">
        <v>31</v>
      </c>
      <c r="B32">
        <f t="shared" si="16"/>
        <v>9406132.6892148368</v>
      </c>
      <c r="C32" s="64">
        <f>'Loan Prepayment'!$B$6</f>
        <v>7.5</v>
      </c>
      <c r="D32">
        <f>IF(B32&lt;=0,0,MIN(-PMT('Loan Prepayment'!$B$6/1200,'Loan Prepayment'!$B$7*12,'Loan Prepayment'!$B$5),B32+E32))</f>
        <v>80559.31935518072</v>
      </c>
      <c r="E32">
        <f t="shared" si="0"/>
        <v>58788.329307592736</v>
      </c>
      <c r="F32">
        <f t="shared" si="1"/>
        <v>21770.990047587984</v>
      </c>
      <c r="G32">
        <v>0</v>
      </c>
      <c r="H32">
        <f t="shared" si="2"/>
        <v>9384361.6991672497</v>
      </c>
      <c r="I32">
        <v>31</v>
      </c>
      <c r="J32">
        <f t="shared" si="17"/>
        <v>8925034.1139006317</v>
      </c>
      <c r="K32" s="64">
        <f>'Loan Prepayment'!$B$6</f>
        <v>7.5</v>
      </c>
      <c r="L32">
        <f>IF(J32&lt;=0,0,MIN(IF(AND('Loan Prepayment'!$E$15="Reduce EMI",O31&gt;0),-PMT(K32/1200,MAX(1,'Loan Prepayment'!$B$7*12-I32+1),J32),L31),J32+M32))</f>
        <v>76438.9252409771</v>
      </c>
      <c r="M32">
        <f t="shared" si="3"/>
        <v>55781.463211878945</v>
      </c>
      <c r="N32">
        <f t="shared" si="4"/>
        <v>20657.462029098155</v>
      </c>
      <c r="O32">
        <f>IF(J32&lt;=0,0,MIN(MAX(0,J32-N32),SUMIFS('Loan Prepayment'!$B$12:$B$31,'Loan Prepayment'!$A$12:$A$31,I32)+0))</f>
        <v>0</v>
      </c>
      <c r="P32">
        <f t="shared" si="5"/>
        <v>8904376.6518715341</v>
      </c>
      <c r="Q32">
        <v>31</v>
      </c>
      <c r="R32">
        <f t="shared" si="18"/>
        <v>9406132.6892148368</v>
      </c>
      <c r="S32" s="64">
        <f>'Loan Prepayment'!$B$6</f>
        <v>7.5</v>
      </c>
      <c r="T32">
        <f>IF(R32&lt;=0,0,MIN(IF(AND('Loan Prepayment'!$E$15="Reduce EMI",W31&gt;0),-PMT(S32/1200,MAX(1,'Loan Prepayment'!$B$7*12-Q32+1),R32),T31),R32+U32))</f>
        <v>80559.31935518072</v>
      </c>
      <c r="U32">
        <f t="shared" si="6"/>
        <v>58788.329307592736</v>
      </c>
      <c r="V32">
        <f t="shared" si="7"/>
        <v>21770.990047587984</v>
      </c>
      <c r="W32">
        <f>IF(R32&lt;=0,0,MIN(MAX(0,R32-V32),0+IF(AND(Q32&gt;='Loan Prepayment'!$B$9,Q32&lt;='Loan Prepayment'!$E$16),'Loan Prepayment'!$B$8,0)))</f>
        <v>0</v>
      </c>
      <c r="X32">
        <f t="shared" si="8"/>
        <v>9384361.6991672497</v>
      </c>
      <c r="Y32">
        <v>31</v>
      </c>
      <c r="Z32">
        <f t="shared" si="19"/>
        <v>9406132.6892148368</v>
      </c>
      <c r="AA32">
        <f>IF(Y32&gt;='Loan Prepayment'!$E$11,'Loan Prepayment'!$E$12,'Loan Prepayment'!$B$6)</f>
        <v>7.5</v>
      </c>
      <c r="AB32">
        <f>IF(Z32&lt;=0,0,MIN(IF(Y32='Loan Prepayment'!$E$11,IF('Loan Prepayment'!$E$13="Keep tenure, recalculate EMI",-PMT(AA32/1200,MAX(1,'Loan Prepayment'!$B$7*12-Y32+1),Z32),AB31),AB31),Z32+AC32))</f>
        <v>80559.31935518072</v>
      </c>
      <c r="AC32">
        <f t="shared" si="9"/>
        <v>58788.329307592736</v>
      </c>
      <c r="AD32">
        <f t="shared" si="10"/>
        <v>21770.990047587984</v>
      </c>
      <c r="AE32">
        <f t="shared" si="11"/>
        <v>0</v>
      </c>
      <c r="AF32">
        <f t="shared" si="12"/>
        <v>9384361.6991672497</v>
      </c>
      <c r="AG32">
        <v>31</v>
      </c>
      <c r="AH32">
        <f t="shared" si="20"/>
        <v>8925034.1139006317</v>
      </c>
      <c r="AI32">
        <f>IF(AG32&gt;='Loan Prepayment'!$E$11,'Loan Prepayment'!$E$12,'Loan Prepayment'!$B$6)</f>
        <v>7.5</v>
      </c>
      <c r="AJ32">
        <f>IF(AH32&lt;=0,0,MIN(IF(AG32='Loan Prepayment'!$E$11,IF('Loan Prepayment'!$E$13="Keep tenure, recalculate EMI",-PMT(AI32/1200,MAX(1,'Loan Prepayment'!$B$7*12-AG32+1),AH32),IF(AND('Loan Prepayment'!$E$15="Reduce EMI",AM31&gt;0),-PMT(AI31/1200,MAX(1,'Loan Prepayment'!$B$7*12-AG32+1),AH32),AJ31)),IF(AND('Loan Prepayment'!$E$15="Reduce EMI",AM31&gt;0),-PMT(AI32/1200,MAX(1,'Loan Prepayment'!$B$7*12-AG32+1),AH32),AJ31)),AH32+AK32))</f>
        <v>76438.9252409771</v>
      </c>
      <c r="AK32">
        <f t="shared" si="13"/>
        <v>55781.463211878945</v>
      </c>
      <c r="AL32">
        <f t="shared" si="14"/>
        <v>20657.462029098155</v>
      </c>
      <c r="AM32">
        <f>IF(AH32&lt;=0,0,MIN(MAX(0,AH32-AL32),SUMIFS('Loan Prepayment'!$B$12:$B$31,'Loan Prepayment'!$A$12:$A$31,AG32)+IF(AND(AG32&gt;='Loan Prepayment'!$B$9,AG32&lt;='Loan Prepayment'!$E$16),'Loan Prepayment'!$B$8,0)))</f>
        <v>0</v>
      </c>
      <c r="AN32">
        <f t="shared" si="15"/>
        <v>8904376.6518715341</v>
      </c>
    </row>
    <row r="33" spans="1:40" x14ac:dyDescent="0.35">
      <c r="A33">
        <v>32</v>
      </c>
      <c r="B33">
        <f t="shared" si="16"/>
        <v>9384361.6991672497</v>
      </c>
      <c r="C33" s="64">
        <f>'Loan Prepayment'!$B$6</f>
        <v>7.5</v>
      </c>
      <c r="D33">
        <f>IF(B33&lt;=0,0,MIN(-PMT('Loan Prepayment'!$B$6/1200,'Loan Prepayment'!$B$7*12,'Loan Prepayment'!$B$5),B33+E33))</f>
        <v>80559.31935518072</v>
      </c>
      <c r="E33">
        <f t="shared" si="0"/>
        <v>58652.260619795306</v>
      </c>
      <c r="F33">
        <f t="shared" si="1"/>
        <v>21907.058735385413</v>
      </c>
      <c r="G33">
        <v>0</v>
      </c>
      <c r="H33">
        <f t="shared" si="2"/>
        <v>9362454.6404318642</v>
      </c>
      <c r="I33">
        <v>32</v>
      </c>
      <c r="J33">
        <f t="shared" si="17"/>
        <v>8904376.6518715341</v>
      </c>
      <c r="K33" s="64">
        <f>'Loan Prepayment'!$B$6</f>
        <v>7.5</v>
      </c>
      <c r="L33">
        <f>IF(J33&lt;=0,0,MIN(IF(AND('Loan Prepayment'!$E$15="Reduce EMI",O32&gt;0),-PMT(K33/1200,MAX(1,'Loan Prepayment'!$B$7*12-I33+1),J33),L32),J33+M33))</f>
        <v>76438.9252409771</v>
      </c>
      <c r="M33">
        <f t="shared" si="3"/>
        <v>55652.354074197086</v>
      </c>
      <c r="N33">
        <f t="shared" si="4"/>
        <v>20786.571166780013</v>
      </c>
      <c r="O33">
        <f>IF(J33&lt;=0,0,MIN(MAX(0,J33-N33),SUMIFS('Loan Prepayment'!$B$12:$B$31,'Loan Prepayment'!$A$12:$A$31,I33)+0))</f>
        <v>0</v>
      </c>
      <c r="P33">
        <f t="shared" si="5"/>
        <v>8883590.0807047542</v>
      </c>
      <c r="Q33">
        <v>32</v>
      </c>
      <c r="R33">
        <f t="shared" si="18"/>
        <v>9384361.6991672497</v>
      </c>
      <c r="S33" s="64">
        <f>'Loan Prepayment'!$B$6</f>
        <v>7.5</v>
      </c>
      <c r="T33">
        <f>IF(R33&lt;=0,0,MIN(IF(AND('Loan Prepayment'!$E$15="Reduce EMI",W32&gt;0),-PMT(S33/1200,MAX(1,'Loan Prepayment'!$B$7*12-Q33+1),R33),T32),R33+U33))</f>
        <v>80559.31935518072</v>
      </c>
      <c r="U33">
        <f t="shared" si="6"/>
        <v>58652.260619795306</v>
      </c>
      <c r="V33">
        <f t="shared" si="7"/>
        <v>21907.058735385413</v>
      </c>
      <c r="W33">
        <f>IF(R33&lt;=0,0,MIN(MAX(0,R33-V33),0+IF(AND(Q33&gt;='Loan Prepayment'!$B$9,Q33&lt;='Loan Prepayment'!$E$16),'Loan Prepayment'!$B$8,0)))</f>
        <v>0</v>
      </c>
      <c r="X33">
        <f t="shared" si="8"/>
        <v>9362454.6404318642</v>
      </c>
      <c r="Y33">
        <v>32</v>
      </c>
      <c r="Z33">
        <f t="shared" si="19"/>
        <v>9384361.6991672497</v>
      </c>
      <c r="AA33">
        <f>IF(Y33&gt;='Loan Prepayment'!$E$11,'Loan Prepayment'!$E$12,'Loan Prepayment'!$B$6)</f>
        <v>7.5</v>
      </c>
      <c r="AB33">
        <f>IF(Z33&lt;=0,0,MIN(IF(Y33='Loan Prepayment'!$E$11,IF('Loan Prepayment'!$E$13="Keep tenure, recalculate EMI",-PMT(AA33/1200,MAX(1,'Loan Prepayment'!$B$7*12-Y33+1),Z33),AB32),AB32),Z33+AC33))</f>
        <v>80559.31935518072</v>
      </c>
      <c r="AC33">
        <f t="shared" si="9"/>
        <v>58652.260619795306</v>
      </c>
      <c r="AD33">
        <f t="shared" si="10"/>
        <v>21907.058735385413</v>
      </c>
      <c r="AE33">
        <f t="shared" si="11"/>
        <v>0</v>
      </c>
      <c r="AF33">
        <f t="shared" si="12"/>
        <v>9362454.6404318642</v>
      </c>
      <c r="AG33">
        <v>32</v>
      </c>
      <c r="AH33">
        <f t="shared" si="20"/>
        <v>8904376.6518715341</v>
      </c>
      <c r="AI33">
        <f>IF(AG33&gt;='Loan Prepayment'!$E$11,'Loan Prepayment'!$E$12,'Loan Prepayment'!$B$6)</f>
        <v>7.5</v>
      </c>
      <c r="AJ33">
        <f>IF(AH33&lt;=0,0,MIN(IF(AG33='Loan Prepayment'!$E$11,IF('Loan Prepayment'!$E$13="Keep tenure, recalculate EMI",-PMT(AI33/1200,MAX(1,'Loan Prepayment'!$B$7*12-AG33+1),AH33),IF(AND('Loan Prepayment'!$E$15="Reduce EMI",AM32&gt;0),-PMT(AI32/1200,MAX(1,'Loan Prepayment'!$B$7*12-AG33+1),AH33),AJ32)),IF(AND('Loan Prepayment'!$E$15="Reduce EMI",AM32&gt;0),-PMT(AI33/1200,MAX(1,'Loan Prepayment'!$B$7*12-AG33+1),AH33),AJ32)),AH33+AK33))</f>
        <v>76438.9252409771</v>
      </c>
      <c r="AK33">
        <f t="shared" si="13"/>
        <v>55652.354074197086</v>
      </c>
      <c r="AL33">
        <f t="shared" si="14"/>
        <v>20786.571166780013</v>
      </c>
      <c r="AM33">
        <f>IF(AH33&lt;=0,0,MIN(MAX(0,AH33-AL33),SUMIFS('Loan Prepayment'!$B$12:$B$31,'Loan Prepayment'!$A$12:$A$31,AG33)+IF(AND(AG33&gt;='Loan Prepayment'!$B$9,AG33&lt;='Loan Prepayment'!$E$16),'Loan Prepayment'!$B$8,0)))</f>
        <v>0</v>
      </c>
      <c r="AN33">
        <f t="shared" si="15"/>
        <v>8883590.0807047542</v>
      </c>
    </row>
    <row r="34" spans="1:40" x14ac:dyDescent="0.35">
      <c r="A34">
        <v>33</v>
      </c>
      <c r="B34">
        <f t="shared" si="16"/>
        <v>9362454.6404318642</v>
      </c>
      <c r="C34" s="64">
        <f>'Loan Prepayment'!$B$6</f>
        <v>7.5</v>
      </c>
      <c r="D34">
        <f>IF(B34&lt;=0,0,MIN(-PMT('Loan Prepayment'!$B$6/1200,'Loan Prepayment'!$B$7*12,'Loan Prepayment'!$B$5),B34+E34))</f>
        <v>80559.31935518072</v>
      </c>
      <c r="E34">
        <f t="shared" si="0"/>
        <v>58515.341502699157</v>
      </c>
      <c r="F34">
        <f t="shared" si="1"/>
        <v>22043.977852481563</v>
      </c>
      <c r="G34">
        <v>0</v>
      </c>
      <c r="H34">
        <f t="shared" si="2"/>
        <v>9340410.6625793818</v>
      </c>
      <c r="I34">
        <v>33</v>
      </c>
      <c r="J34">
        <f t="shared" si="17"/>
        <v>8883590.0807047542</v>
      </c>
      <c r="K34" s="64">
        <f>'Loan Prepayment'!$B$6</f>
        <v>7.5</v>
      </c>
      <c r="L34">
        <f>IF(J34&lt;=0,0,MIN(IF(AND('Loan Prepayment'!$E$15="Reduce EMI",O33&gt;0),-PMT(K34/1200,MAX(1,'Loan Prepayment'!$B$7*12-I34+1),J34),L33),J34+M34))</f>
        <v>76438.9252409771</v>
      </c>
      <c r="M34">
        <f t="shared" si="3"/>
        <v>55522.438004404714</v>
      </c>
      <c r="N34">
        <f t="shared" si="4"/>
        <v>20916.487236572386</v>
      </c>
      <c r="O34">
        <f>IF(J34&lt;=0,0,MIN(MAX(0,J34-N34),SUMIFS('Loan Prepayment'!$B$12:$B$31,'Loan Prepayment'!$A$12:$A$31,I34)+0))</f>
        <v>0</v>
      </c>
      <c r="P34">
        <f t="shared" si="5"/>
        <v>8862673.5934681818</v>
      </c>
      <c r="Q34">
        <v>33</v>
      </c>
      <c r="R34">
        <f t="shared" si="18"/>
        <v>9362454.6404318642</v>
      </c>
      <c r="S34" s="64">
        <f>'Loan Prepayment'!$B$6</f>
        <v>7.5</v>
      </c>
      <c r="T34">
        <f>IF(R34&lt;=0,0,MIN(IF(AND('Loan Prepayment'!$E$15="Reduce EMI",W33&gt;0),-PMT(S34/1200,MAX(1,'Loan Prepayment'!$B$7*12-Q34+1),R34),T33),R34+U34))</f>
        <v>80559.31935518072</v>
      </c>
      <c r="U34">
        <f t="shared" si="6"/>
        <v>58515.341502699157</v>
      </c>
      <c r="V34">
        <f t="shared" si="7"/>
        <v>22043.977852481563</v>
      </c>
      <c r="W34">
        <f>IF(R34&lt;=0,0,MIN(MAX(0,R34-V34),0+IF(AND(Q34&gt;='Loan Prepayment'!$B$9,Q34&lt;='Loan Prepayment'!$E$16),'Loan Prepayment'!$B$8,0)))</f>
        <v>0</v>
      </c>
      <c r="X34">
        <f t="shared" si="8"/>
        <v>9340410.6625793818</v>
      </c>
      <c r="Y34">
        <v>33</v>
      </c>
      <c r="Z34">
        <f t="shared" si="19"/>
        <v>9362454.6404318642</v>
      </c>
      <c r="AA34">
        <f>IF(Y34&gt;='Loan Prepayment'!$E$11,'Loan Prepayment'!$E$12,'Loan Prepayment'!$B$6)</f>
        <v>7.5</v>
      </c>
      <c r="AB34">
        <f>IF(Z34&lt;=0,0,MIN(IF(Y34='Loan Prepayment'!$E$11,IF('Loan Prepayment'!$E$13="Keep tenure, recalculate EMI",-PMT(AA34/1200,MAX(1,'Loan Prepayment'!$B$7*12-Y34+1),Z34),AB33),AB33),Z34+AC34))</f>
        <v>80559.31935518072</v>
      </c>
      <c r="AC34">
        <f t="shared" si="9"/>
        <v>58515.341502699157</v>
      </c>
      <c r="AD34">
        <f t="shared" si="10"/>
        <v>22043.977852481563</v>
      </c>
      <c r="AE34">
        <f t="shared" si="11"/>
        <v>0</v>
      </c>
      <c r="AF34">
        <f t="shared" si="12"/>
        <v>9340410.6625793818</v>
      </c>
      <c r="AG34">
        <v>33</v>
      </c>
      <c r="AH34">
        <f t="shared" si="20"/>
        <v>8883590.0807047542</v>
      </c>
      <c r="AI34">
        <f>IF(AG34&gt;='Loan Prepayment'!$E$11,'Loan Prepayment'!$E$12,'Loan Prepayment'!$B$6)</f>
        <v>7.5</v>
      </c>
      <c r="AJ34">
        <f>IF(AH34&lt;=0,0,MIN(IF(AG34='Loan Prepayment'!$E$11,IF('Loan Prepayment'!$E$13="Keep tenure, recalculate EMI",-PMT(AI34/1200,MAX(1,'Loan Prepayment'!$B$7*12-AG34+1),AH34),IF(AND('Loan Prepayment'!$E$15="Reduce EMI",AM33&gt;0),-PMT(AI33/1200,MAX(1,'Loan Prepayment'!$B$7*12-AG34+1),AH34),AJ33)),IF(AND('Loan Prepayment'!$E$15="Reduce EMI",AM33&gt;0),-PMT(AI34/1200,MAX(1,'Loan Prepayment'!$B$7*12-AG34+1),AH34),AJ33)),AH34+AK34))</f>
        <v>76438.9252409771</v>
      </c>
      <c r="AK34">
        <f t="shared" si="13"/>
        <v>55522.438004404714</v>
      </c>
      <c r="AL34">
        <f t="shared" si="14"/>
        <v>20916.487236572386</v>
      </c>
      <c r="AM34">
        <f>IF(AH34&lt;=0,0,MIN(MAX(0,AH34-AL34),SUMIFS('Loan Prepayment'!$B$12:$B$31,'Loan Prepayment'!$A$12:$A$31,AG34)+IF(AND(AG34&gt;='Loan Prepayment'!$B$9,AG34&lt;='Loan Prepayment'!$E$16),'Loan Prepayment'!$B$8,0)))</f>
        <v>0</v>
      </c>
      <c r="AN34">
        <f t="shared" si="15"/>
        <v>8862673.5934681818</v>
      </c>
    </row>
    <row r="35" spans="1:40" x14ac:dyDescent="0.35">
      <c r="A35">
        <v>34</v>
      </c>
      <c r="B35">
        <f t="shared" si="16"/>
        <v>9340410.6625793818</v>
      </c>
      <c r="C35" s="64">
        <f>'Loan Prepayment'!$B$6</f>
        <v>7.5</v>
      </c>
      <c r="D35">
        <f>IF(B35&lt;=0,0,MIN(-PMT('Loan Prepayment'!$B$6/1200,'Loan Prepayment'!$B$7*12,'Loan Prepayment'!$B$5),B35+E35))</f>
        <v>80559.31935518072</v>
      </c>
      <c r="E35">
        <f t="shared" si="0"/>
        <v>58377.566641121135</v>
      </c>
      <c r="F35">
        <f t="shared" si="1"/>
        <v>22181.752714059585</v>
      </c>
      <c r="G35">
        <v>0</v>
      </c>
      <c r="H35">
        <f t="shared" si="2"/>
        <v>9318228.9098653216</v>
      </c>
      <c r="I35">
        <v>34</v>
      </c>
      <c r="J35">
        <f t="shared" si="17"/>
        <v>8862673.5934681818</v>
      </c>
      <c r="K35" s="64">
        <f>'Loan Prepayment'!$B$6</f>
        <v>7.5</v>
      </c>
      <c r="L35">
        <f>IF(J35&lt;=0,0,MIN(IF(AND('Loan Prepayment'!$E$15="Reduce EMI",O34&gt;0),-PMT(K35/1200,MAX(1,'Loan Prepayment'!$B$7*12-I35+1),J35),L34),J35+M35))</f>
        <v>76438.9252409771</v>
      </c>
      <c r="M35">
        <f t="shared" si="3"/>
        <v>55391.709959176136</v>
      </c>
      <c r="N35">
        <f t="shared" si="4"/>
        <v>21047.215281800964</v>
      </c>
      <c r="O35">
        <f>IF(J35&lt;=0,0,MIN(MAX(0,J35-N35),SUMIFS('Loan Prepayment'!$B$12:$B$31,'Loan Prepayment'!$A$12:$A$31,I35)+0))</f>
        <v>0</v>
      </c>
      <c r="P35">
        <f t="shared" si="5"/>
        <v>8841626.3781863805</v>
      </c>
      <c r="Q35">
        <v>34</v>
      </c>
      <c r="R35">
        <f t="shared" si="18"/>
        <v>9340410.6625793818</v>
      </c>
      <c r="S35" s="64">
        <f>'Loan Prepayment'!$B$6</f>
        <v>7.5</v>
      </c>
      <c r="T35">
        <f>IF(R35&lt;=0,0,MIN(IF(AND('Loan Prepayment'!$E$15="Reduce EMI",W34&gt;0),-PMT(S35/1200,MAX(1,'Loan Prepayment'!$B$7*12-Q35+1),R35),T34),R35+U35))</f>
        <v>80559.31935518072</v>
      </c>
      <c r="U35">
        <f t="shared" si="6"/>
        <v>58377.566641121135</v>
      </c>
      <c r="V35">
        <f t="shared" si="7"/>
        <v>22181.752714059585</v>
      </c>
      <c r="W35">
        <f>IF(R35&lt;=0,0,MIN(MAX(0,R35-V35),0+IF(AND(Q35&gt;='Loan Prepayment'!$B$9,Q35&lt;='Loan Prepayment'!$E$16),'Loan Prepayment'!$B$8,0)))</f>
        <v>0</v>
      </c>
      <c r="X35">
        <f t="shared" si="8"/>
        <v>9318228.9098653216</v>
      </c>
      <c r="Y35">
        <v>34</v>
      </c>
      <c r="Z35">
        <f t="shared" si="19"/>
        <v>9340410.6625793818</v>
      </c>
      <c r="AA35">
        <f>IF(Y35&gt;='Loan Prepayment'!$E$11,'Loan Prepayment'!$E$12,'Loan Prepayment'!$B$6)</f>
        <v>7.5</v>
      </c>
      <c r="AB35">
        <f>IF(Z35&lt;=0,0,MIN(IF(Y35='Loan Prepayment'!$E$11,IF('Loan Prepayment'!$E$13="Keep tenure, recalculate EMI",-PMT(AA35/1200,MAX(1,'Loan Prepayment'!$B$7*12-Y35+1),Z35),AB34),AB34),Z35+AC35))</f>
        <v>80559.31935518072</v>
      </c>
      <c r="AC35">
        <f t="shared" si="9"/>
        <v>58377.566641121135</v>
      </c>
      <c r="AD35">
        <f t="shared" si="10"/>
        <v>22181.752714059585</v>
      </c>
      <c r="AE35">
        <f t="shared" si="11"/>
        <v>0</v>
      </c>
      <c r="AF35">
        <f t="shared" si="12"/>
        <v>9318228.9098653216</v>
      </c>
      <c r="AG35">
        <v>34</v>
      </c>
      <c r="AH35">
        <f t="shared" si="20"/>
        <v>8862673.5934681818</v>
      </c>
      <c r="AI35">
        <f>IF(AG35&gt;='Loan Prepayment'!$E$11,'Loan Prepayment'!$E$12,'Loan Prepayment'!$B$6)</f>
        <v>7.5</v>
      </c>
      <c r="AJ35">
        <f>IF(AH35&lt;=0,0,MIN(IF(AG35='Loan Prepayment'!$E$11,IF('Loan Prepayment'!$E$13="Keep tenure, recalculate EMI",-PMT(AI35/1200,MAX(1,'Loan Prepayment'!$B$7*12-AG35+1),AH35),IF(AND('Loan Prepayment'!$E$15="Reduce EMI",AM34&gt;0),-PMT(AI34/1200,MAX(1,'Loan Prepayment'!$B$7*12-AG35+1),AH35),AJ34)),IF(AND('Loan Prepayment'!$E$15="Reduce EMI",AM34&gt;0),-PMT(AI35/1200,MAX(1,'Loan Prepayment'!$B$7*12-AG35+1),AH35),AJ34)),AH35+AK35))</f>
        <v>76438.9252409771</v>
      </c>
      <c r="AK35">
        <f t="shared" si="13"/>
        <v>55391.709959176136</v>
      </c>
      <c r="AL35">
        <f t="shared" si="14"/>
        <v>21047.215281800964</v>
      </c>
      <c r="AM35">
        <f>IF(AH35&lt;=0,0,MIN(MAX(0,AH35-AL35),SUMIFS('Loan Prepayment'!$B$12:$B$31,'Loan Prepayment'!$A$12:$A$31,AG35)+IF(AND(AG35&gt;='Loan Prepayment'!$B$9,AG35&lt;='Loan Prepayment'!$E$16),'Loan Prepayment'!$B$8,0)))</f>
        <v>0</v>
      </c>
      <c r="AN35">
        <f t="shared" si="15"/>
        <v>8841626.3781863805</v>
      </c>
    </row>
    <row r="36" spans="1:40" x14ac:dyDescent="0.35">
      <c r="A36">
        <v>35</v>
      </c>
      <c r="B36">
        <f t="shared" si="16"/>
        <v>9318228.9098653216</v>
      </c>
      <c r="C36" s="64">
        <f>'Loan Prepayment'!$B$6</f>
        <v>7.5</v>
      </c>
      <c r="D36">
        <f>IF(B36&lt;=0,0,MIN(-PMT('Loan Prepayment'!$B$6/1200,'Loan Prepayment'!$B$7*12,'Loan Prepayment'!$B$5),B36+E36))</f>
        <v>80559.31935518072</v>
      </c>
      <c r="E36">
        <f t="shared" si="0"/>
        <v>58238.930686658263</v>
      </c>
      <c r="F36">
        <f t="shared" si="1"/>
        <v>22320.388668522457</v>
      </c>
      <c r="G36">
        <v>0</v>
      </c>
      <c r="H36">
        <f t="shared" si="2"/>
        <v>9295908.5211967994</v>
      </c>
      <c r="I36">
        <v>35</v>
      </c>
      <c r="J36">
        <f t="shared" si="17"/>
        <v>8841626.3781863805</v>
      </c>
      <c r="K36" s="64">
        <f>'Loan Prepayment'!$B$6</f>
        <v>7.5</v>
      </c>
      <c r="L36">
        <f>IF(J36&lt;=0,0,MIN(IF(AND('Loan Prepayment'!$E$15="Reduce EMI",O35&gt;0),-PMT(K36/1200,MAX(1,'Loan Prepayment'!$B$7*12-I36+1),J36),L35),J36+M36))</f>
        <v>76438.9252409771</v>
      </c>
      <c r="M36">
        <f t="shared" si="3"/>
        <v>55260.164863664882</v>
      </c>
      <c r="N36">
        <f t="shared" si="4"/>
        <v>21178.760377312217</v>
      </c>
      <c r="O36">
        <f>IF(J36&lt;=0,0,MIN(MAX(0,J36-N36),SUMIFS('Loan Prepayment'!$B$12:$B$31,'Loan Prepayment'!$A$12:$A$31,I36)+0))</f>
        <v>0</v>
      </c>
      <c r="P36">
        <f t="shared" si="5"/>
        <v>8820447.6178090684</v>
      </c>
      <c r="Q36">
        <v>35</v>
      </c>
      <c r="R36">
        <f t="shared" si="18"/>
        <v>9318228.9098653216</v>
      </c>
      <c r="S36" s="64">
        <f>'Loan Prepayment'!$B$6</f>
        <v>7.5</v>
      </c>
      <c r="T36">
        <f>IF(R36&lt;=0,0,MIN(IF(AND('Loan Prepayment'!$E$15="Reduce EMI",W35&gt;0),-PMT(S36/1200,MAX(1,'Loan Prepayment'!$B$7*12-Q36+1),R36),T35),R36+U36))</f>
        <v>80559.31935518072</v>
      </c>
      <c r="U36">
        <f t="shared" si="6"/>
        <v>58238.930686658263</v>
      </c>
      <c r="V36">
        <f t="shared" si="7"/>
        <v>22320.388668522457</v>
      </c>
      <c r="W36">
        <f>IF(R36&lt;=0,0,MIN(MAX(0,R36-V36),0+IF(AND(Q36&gt;='Loan Prepayment'!$B$9,Q36&lt;='Loan Prepayment'!$E$16),'Loan Prepayment'!$B$8,0)))</f>
        <v>0</v>
      </c>
      <c r="X36">
        <f t="shared" si="8"/>
        <v>9295908.5211967994</v>
      </c>
      <c r="Y36">
        <v>35</v>
      </c>
      <c r="Z36">
        <f t="shared" si="19"/>
        <v>9318228.9098653216</v>
      </c>
      <c r="AA36">
        <f>IF(Y36&gt;='Loan Prepayment'!$E$11,'Loan Prepayment'!$E$12,'Loan Prepayment'!$B$6)</f>
        <v>7.5</v>
      </c>
      <c r="AB36">
        <f>IF(Z36&lt;=0,0,MIN(IF(Y36='Loan Prepayment'!$E$11,IF('Loan Prepayment'!$E$13="Keep tenure, recalculate EMI",-PMT(AA36/1200,MAX(1,'Loan Prepayment'!$B$7*12-Y36+1),Z36),AB35),AB35),Z36+AC36))</f>
        <v>80559.31935518072</v>
      </c>
      <c r="AC36">
        <f t="shared" si="9"/>
        <v>58238.930686658263</v>
      </c>
      <c r="AD36">
        <f t="shared" si="10"/>
        <v>22320.388668522457</v>
      </c>
      <c r="AE36">
        <f t="shared" si="11"/>
        <v>0</v>
      </c>
      <c r="AF36">
        <f t="shared" si="12"/>
        <v>9295908.5211967994</v>
      </c>
      <c r="AG36">
        <v>35</v>
      </c>
      <c r="AH36">
        <f t="shared" si="20"/>
        <v>8841626.3781863805</v>
      </c>
      <c r="AI36">
        <f>IF(AG36&gt;='Loan Prepayment'!$E$11,'Loan Prepayment'!$E$12,'Loan Prepayment'!$B$6)</f>
        <v>7.5</v>
      </c>
      <c r="AJ36">
        <f>IF(AH36&lt;=0,0,MIN(IF(AG36='Loan Prepayment'!$E$11,IF('Loan Prepayment'!$E$13="Keep tenure, recalculate EMI",-PMT(AI36/1200,MAX(1,'Loan Prepayment'!$B$7*12-AG36+1),AH36),IF(AND('Loan Prepayment'!$E$15="Reduce EMI",AM35&gt;0),-PMT(AI35/1200,MAX(1,'Loan Prepayment'!$B$7*12-AG36+1),AH36),AJ35)),IF(AND('Loan Prepayment'!$E$15="Reduce EMI",AM35&gt;0),-PMT(AI36/1200,MAX(1,'Loan Prepayment'!$B$7*12-AG36+1),AH36),AJ35)),AH36+AK36))</f>
        <v>76438.9252409771</v>
      </c>
      <c r="AK36">
        <f t="shared" si="13"/>
        <v>55260.164863664882</v>
      </c>
      <c r="AL36">
        <f t="shared" si="14"/>
        <v>21178.760377312217</v>
      </c>
      <c r="AM36">
        <f>IF(AH36&lt;=0,0,MIN(MAX(0,AH36-AL36),SUMIFS('Loan Prepayment'!$B$12:$B$31,'Loan Prepayment'!$A$12:$A$31,AG36)+IF(AND(AG36&gt;='Loan Prepayment'!$B$9,AG36&lt;='Loan Prepayment'!$E$16),'Loan Prepayment'!$B$8,0)))</f>
        <v>0</v>
      </c>
      <c r="AN36">
        <f t="shared" si="15"/>
        <v>8820447.6178090684</v>
      </c>
    </row>
    <row r="37" spans="1:40" x14ac:dyDescent="0.35">
      <c r="A37">
        <v>36</v>
      </c>
      <c r="B37">
        <f t="shared" si="16"/>
        <v>9295908.5211967994</v>
      </c>
      <c r="C37" s="64">
        <f>'Loan Prepayment'!$B$6</f>
        <v>7.5</v>
      </c>
      <c r="D37">
        <f>IF(B37&lt;=0,0,MIN(-PMT('Loan Prepayment'!$B$6/1200,'Loan Prepayment'!$B$7*12,'Loan Prepayment'!$B$5),B37+E37))</f>
        <v>80559.31935518072</v>
      </c>
      <c r="E37">
        <f t="shared" si="0"/>
        <v>58099.428257479987</v>
      </c>
      <c r="F37">
        <f t="shared" si="1"/>
        <v>22459.891097700733</v>
      </c>
      <c r="G37">
        <v>0</v>
      </c>
      <c r="H37">
        <f t="shared" si="2"/>
        <v>9273448.6300990991</v>
      </c>
      <c r="I37">
        <v>36</v>
      </c>
      <c r="J37">
        <f t="shared" si="17"/>
        <v>8820447.6178090684</v>
      </c>
      <c r="K37" s="64">
        <f>'Loan Prepayment'!$B$6</f>
        <v>7.5</v>
      </c>
      <c r="L37">
        <f>IF(J37&lt;=0,0,MIN(IF(AND('Loan Prepayment'!$E$15="Reduce EMI",O36&gt;0),-PMT(K37/1200,MAX(1,'Loan Prepayment'!$B$7*12-I37+1),J37),L36),J37+M37))</f>
        <v>76438.9252409771</v>
      </c>
      <c r="M37">
        <f t="shared" si="3"/>
        <v>55127.797611306676</v>
      </c>
      <c r="N37">
        <f t="shared" si="4"/>
        <v>21311.127629670424</v>
      </c>
      <c r="O37">
        <f>IF(J37&lt;=0,0,MIN(MAX(0,J37-N37),SUMIFS('Loan Prepayment'!$B$12:$B$31,'Loan Prepayment'!$A$12:$A$31,I37)+0))</f>
        <v>500000</v>
      </c>
      <c r="P37">
        <f t="shared" si="5"/>
        <v>8299136.4901793972</v>
      </c>
      <c r="Q37">
        <v>36</v>
      </c>
      <c r="R37">
        <f t="shared" si="18"/>
        <v>9295908.5211967994</v>
      </c>
      <c r="S37" s="64">
        <f>'Loan Prepayment'!$B$6</f>
        <v>7.5</v>
      </c>
      <c r="T37">
        <f>IF(R37&lt;=0,0,MIN(IF(AND('Loan Prepayment'!$E$15="Reduce EMI",W36&gt;0),-PMT(S37/1200,MAX(1,'Loan Prepayment'!$B$7*12-Q37+1),R37),T36),R37+U37))</f>
        <v>80559.31935518072</v>
      </c>
      <c r="U37">
        <f t="shared" si="6"/>
        <v>58099.428257479987</v>
      </c>
      <c r="V37">
        <f t="shared" si="7"/>
        <v>22459.891097700733</v>
      </c>
      <c r="W37">
        <f>IF(R37&lt;=0,0,MIN(MAX(0,R37-V37),0+IF(AND(Q37&gt;='Loan Prepayment'!$B$9,Q37&lt;='Loan Prepayment'!$E$16),'Loan Prepayment'!$B$8,0)))</f>
        <v>0</v>
      </c>
      <c r="X37">
        <f t="shared" si="8"/>
        <v>9273448.6300990991</v>
      </c>
      <c r="Y37">
        <v>36</v>
      </c>
      <c r="Z37">
        <f t="shared" si="19"/>
        <v>9295908.5211967994</v>
      </c>
      <c r="AA37">
        <f>IF(Y37&gt;='Loan Prepayment'!$E$11,'Loan Prepayment'!$E$12,'Loan Prepayment'!$B$6)</f>
        <v>7.5</v>
      </c>
      <c r="AB37">
        <f>IF(Z37&lt;=0,0,MIN(IF(Y37='Loan Prepayment'!$E$11,IF('Loan Prepayment'!$E$13="Keep tenure, recalculate EMI",-PMT(AA37/1200,MAX(1,'Loan Prepayment'!$B$7*12-Y37+1),Z37),AB36),AB36),Z37+AC37))</f>
        <v>80559.31935518072</v>
      </c>
      <c r="AC37">
        <f t="shared" si="9"/>
        <v>58099.428257479987</v>
      </c>
      <c r="AD37">
        <f t="shared" si="10"/>
        <v>22459.891097700733</v>
      </c>
      <c r="AE37">
        <f t="shared" si="11"/>
        <v>0</v>
      </c>
      <c r="AF37">
        <f t="shared" si="12"/>
        <v>9273448.6300990991</v>
      </c>
      <c r="AG37">
        <v>36</v>
      </c>
      <c r="AH37">
        <f t="shared" si="20"/>
        <v>8820447.6178090684</v>
      </c>
      <c r="AI37">
        <f>IF(AG37&gt;='Loan Prepayment'!$E$11,'Loan Prepayment'!$E$12,'Loan Prepayment'!$B$6)</f>
        <v>7.5</v>
      </c>
      <c r="AJ37">
        <f>IF(AH37&lt;=0,0,MIN(IF(AG37='Loan Prepayment'!$E$11,IF('Loan Prepayment'!$E$13="Keep tenure, recalculate EMI",-PMT(AI37/1200,MAX(1,'Loan Prepayment'!$B$7*12-AG37+1),AH37),IF(AND('Loan Prepayment'!$E$15="Reduce EMI",AM36&gt;0),-PMT(AI36/1200,MAX(1,'Loan Prepayment'!$B$7*12-AG37+1),AH37),AJ36)),IF(AND('Loan Prepayment'!$E$15="Reduce EMI",AM36&gt;0),-PMT(AI37/1200,MAX(1,'Loan Prepayment'!$B$7*12-AG37+1),AH37),AJ36)),AH37+AK37))</f>
        <v>76438.9252409771</v>
      </c>
      <c r="AK37">
        <f t="shared" si="13"/>
        <v>55127.797611306676</v>
      </c>
      <c r="AL37">
        <f t="shared" si="14"/>
        <v>21311.127629670424</v>
      </c>
      <c r="AM37">
        <f>IF(AH37&lt;=0,0,MIN(MAX(0,AH37-AL37),SUMIFS('Loan Prepayment'!$B$12:$B$31,'Loan Prepayment'!$A$12:$A$31,AG37)+IF(AND(AG37&gt;='Loan Prepayment'!$B$9,AG37&lt;='Loan Prepayment'!$E$16),'Loan Prepayment'!$B$8,0)))</f>
        <v>500000</v>
      </c>
      <c r="AN37">
        <f t="shared" si="15"/>
        <v>8299136.4901793972</v>
      </c>
    </row>
    <row r="38" spans="1:40" x14ac:dyDescent="0.35">
      <c r="A38">
        <v>37</v>
      </c>
      <c r="B38">
        <f t="shared" si="16"/>
        <v>9273448.6300990991</v>
      </c>
      <c r="C38" s="64">
        <f>'Loan Prepayment'!$B$6</f>
        <v>7.5</v>
      </c>
      <c r="D38">
        <f>IF(B38&lt;=0,0,MIN(-PMT('Loan Prepayment'!$B$6/1200,'Loan Prepayment'!$B$7*12,'Loan Prepayment'!$B$5),B38+E38))</f>
        <v>80559.31935518072</v>
      </c>
      <c r="E38">
        <f t="shared" si="0"/>
        <v>57959.053938119374</v>
      </c>
      <c r="F38">
        <f t="shared" si="1"/>
        <v>22600.265417061346</v>
      </c>
      <c r="G38">
        <v>0</v>
      </c>
      <c r="H38">
        <f t="shared" si="2"/>
        <v>9250848.3646820374</v>
      </c>
      <c r="I38">
        <v>37</v>
      </c>
      <c r="J38">
        <f t="shared" si="17"/>
        <v>8299136.4901793972</v>
      </c>
      <c r="K38" s="64">
        <f>'Loan Prepayment'!$B$6</f>
        <v>7.5</v>
      </c>
      <c r="L38">
        <f>IF(J38&lt;=0,0,MIN(IF(AND('Loan Prepayment'!$E$15="Reduce EMI",O37&gt;0),-PMT(K38/1200,MAX(1,'Loan Prepayment'!$B$7*12-I38+1),J38),L37),J38+M38))</f>
        <v>72095.378273255352</v>
      </c>
      <c r="M38">
        <f t="shared" si="3"/>
        <v>51869.603063621238</v>
      </c>
      <c r="N38">
        <f t="shared" si="4"/>
        <v>20225.775209634114</v>
      </c>
      <c r="O38">
        <f>IF(J38&lt;=0,0,MIN(MAX(0,J38-N38),SUMIFS('Loan Prepayment'!$B$12:$B$31,'Loan Prepayment'!$A$12:$A$31,I38)+0))</f>
        <v>0</v>
      </c>
      <c r="P38">
        <f t="shared" si="5"/>
        <v>8278910.7149697626</v>
      </c>
      <c r="Q38">
        <v>37</v>
      </c>
      <c r="R38">
        <f t="shared" si="18"/>
        <v>9273448.6300990991</v>
      </c>
      <c r="S38" s="64">
        <f>'Loan Prepayment'!$B$6</f>
        <v>7.5</v>
      </c>
      <c r="T38">
        <f>IF(R38&lt;=0,0,MIN(IF(AND('Loan Prepayment'!$E$15="Reduce EMI",W37&gt;0),-PMT(S38/1200,MAX(1,'Loan Prepayment'!$B$7*12-Q38+1),R38),T37),R38+U38))</f>
        <v>80559.31935518072</v>
      </c>
      <c r="U38">
        <f t="shared" si="6"/>
        <v>57959.053938119374</v>
      </c>
      <c r="V38">
        <f t="shared" si="7"/>
        <v>22600.265417061346</v>
      </c>
      <c r="W38">
        <f>IF(R38&lt;=0,0,MIN(MAX(0,R38-V38),0+IF(AND(Q38&gt;='Loan Prepayment'!$B$9,Q38&lt;='Loan Prepayment'!$E$16),'Loan Prepayment'!$B$8,0)))</f>
        <v>0</v>
      </c>
      <c r="X38">
        <f t="shared" si="8"/>
        <v>9250848.3646820374</v>
      </c>
      <c r="Y38">
        <v>37</v>
      </c>
      <c r="Z38">
        <f t="shared" si="19"/>
        <v>9273448.6300990991</v>
      </c>
      <c r="AA38">
        <f>IF(Y38&gt;='Loan Prepayment'!$E$11,'Loan Prepayment'!$E$12,'Loan Prepayment'!$B$6)</f>
        <v>7.5</v>
      </c>
      <c r="AB38">
        <f>IF(Z38&lt;=0,0,MIN(IF(Y38='Loan Prepayment'!$E$11,IF('Loan Prepayment'!$E$13="Keep tenure, recalculate EMI",-PMT(AA38/1200,MAX(1,'Loan Prepayment'!$B$7*12-Y38+1),Z38),AB37),AB37),Z38+AC38))</f>
        <v>80559.31935518072</v>
      </c>
      <c r="AC38">
        <f t="shared" si="9"/>
        <v>57959.053938119374</v>
      </c>
      <c r="AD38">
        <f t="shared" si="10"/>
        <v>22600.265417061346</v>
      </c>
      <c r="AE38">
        <f t="shared" si="11"/>
        <v>0</v>
      </c>
      <c r="AF38">
        <f t="shared" si="12"/>
        <v>9250848.3646820374</v>
      </c>
      <c r="AG38">
        <v>37</v>
      </c>
      <c r="AH38">
        <f t="shared" si="20"/>
        <v>8299136.4901793972</v>
      </c>
      <c r="AI38">
        <f>IF(AG38&gt;='Loan Prepayment'!$E$11,'Loan Prepayment'!$E$12,'Loan Prepayment'!$B$6)</f>
        <v>7.5</v>
      </c>
      <c r="AJ38">
        <f>IF(AH38&lt;=0,0,MIN(IF(AG38='Loan Prepayment'!$E$11,IF('Loan Prepayment'!$E$13="Keep tenure, recalculate EMI",-PMT(AI38/1200,MAX(1,'Loan Prepayment'!$B$7*12-AG38+1),AH38),IF(AND('Loan Prepayment'!$E$15="Reduce EMI",AM37&gt;0),-PMT(AI37/1200,MAX(1,'Loan Prepayment'!$B$7*12-AG38+1),AH38),AJ37)),IF(AND('Loan Prepayment'!$E$15="Reduce EMI",AM37&gt;0),-PMT(AI38/1200,MAX(1,'Loan Prepayment'!$B$7*12-AG38+1),AH38),AJ37)),AH38+AK38))</f>
        <v>72095.378273255352</v>
      </c>
      <c r="AK38">
        <f t="shared" si="13"/>
        <v>51869.603063621238</v>
      </c>
      <c r="AL38">
        <f t="shared" si="14"/>
        <v>20225.775209634114</v>
      </c>
      <c r="AM38">
        <f>IF(AH38&lt;=0,0,MIN(MAX(0,AH38-AL38),SUMIFS('Loan Prepayment'!$B$12:$B$31,'Loan Prepayment'!$A$12:$A$31,AG38)+IF(AND(AG38&gt;='Loan Prepayment'!$B$9,AG38&lt;='Loan Prepayment'!$E$16),'Loan Prepayment'!$B$8,0)))</f>
        <v>0</v>
      </c>
      <c r="AN38">
        <f t="shared" si="15"/>
        <v>8278910.7149697626</v>
      </c>
    </row>
    <row r="39" spans="1:40" x14ac:dyDescent="0.35">
      <c r="A39">
        <v>38</v>
      </c>
      <c r="B39">
        <f t="shared" si="16"/>
        <v>9250848.3646820374</v>
      </c>
      <c r="C39" s="64">
        <f>'Loan Prepayment'!$B$6</f>
        <v>7.5</v>
      </c>
      <c r="D39">
        <f>IF(B39&lt;=0,0,MIN(-PMT('Loan Prepayment'!$B$6/1200,'Loan Prepayment'!$B$7*12,'Loan Prepayment'!$B$5),B39+E39))</f>
        <v>80559.31935518072</v>
      </c>
      <c r="E39">
        <f t="shared" si="0"/>
        <v>57817.802279262731</v>
      </c>
      <c r="F39">
        <f t="shared" si="1"/>
        <v>22741.517075917989</v>
      </c>
      <c r="G39">
        <v>0</v>
      </c>
      <c r="H39">
        <f t="shared" si="2"/>
        <v>9228106.8476061188</v>
      </c>
      <c r="I39">
        <v>38</v>
      </c>
      <c r="J39">
        <f t="shared" si="17"/>
        <v>8278910.7149697626</v>
      </c>
      <c r="K39" s="64">
        <f>'Loan Prepayment'!$B$6</f>
        <v>7.5</v>
      </c>
      <c r="L39">
        <f>IF(J39&lt;=0,0,MIN(IF(AND('Loan Prepayment'!$E$15="Reduce EMI",O38&gt;0),-PMT(K39/1200,MAX(1,'Loan Prepayment'!$B$7*12-I39+1),J39),L38),J39+M39))</f>
        <v>72095.378273255352</v>
      </c>
      <c r="M39">
        <f t="shared" si="3"/>
        <v>51743.191968561012</v>
      </c>
      <c r="N39">
        <f t="shared" si="4"/>
        <v>20352.18630469434</v>
      </c>
      <c r="O39">
        <f>IF(J39&lt;=0,0,MIN(MAX(0,J39-N39),SUMIFS('Loan Prepayment'!$B$12:$B$31,'Loan Prepayment'!$A$12:$A$31,I39)+0))</f>
        <v>0</v>
      </c>
      <c r="P39">
        <f t="shared" si="5"/>
        <v>8258558.5286650686</v>
      </c>
      <c r="Q39">
        <v>38</v>
      </c>
      <c r="R39">
        <f t="shared" si="18"/>
        <v>9250848.3646820374</v>
      </c>
      <c r="S39" s="64">
        <f>'Loan Prepayment'!$B$6</f>
        <v>7.5</v>
      </c>
      <c r="T39">
        <f>IF(R39&lt;=0,0,MIN(IF(AND('Loan Prepayment'!$E$15="Reduce EMI",W38&gt;0),-PMT(S39/1200,MAX(1,'Loan Prepayment'!$B$7*12-Q39+1),R39),T38),R39+U39))</f>
        <v>80559.31935518072</v>
      </c>
      <c r="U39">
        <f t="shared" si="6"/>
        <v>57817.802279262731</v>
      </c>
      <c r="V39">
        <f t="shared" si="7"/>
        <v>22741.517075917989</v>
      </c>
      <c r="W39">
        <f>IF(R39&lt;=0,0,MIN(MAX(0,R39-V39),0+IF(AND(Q39&gt;='Loan Prepayment'!$B$9,Q39&lt;='Loan Prepayment'!$E$16),'Loan Prepayment'!$B$8,0)))</f>
        <v>0</v>
      </c>
      <c r="X39">
        <f t="shared" si="8"/>
        <v>9228106.8476061188</v>
      </c>
      <c r="Y39">
        <v>38</v>
      </c>
      <c r="Z39">
        <f t="shared" si="19"/>
        <v>9250848.3646820374</v>
      </c>
      <c r="AA39">
        <f>IF(Y39&gt;='Loan Prepayment'!$E$11,'Loan Prepayment'!$E$12,'Loan Prepayment'!$B$6)</f>
        <v>7.5</v>
      </c>
      <c r="AB39">
        <f>IF(Z39&lt;=0,0,MIN(IF(Y39='Loan Prepayment'!$E$11,IF('Loan Prepayment'!$E$13="Keep tenure, recalculate EMI",-PMT(AA39/1200,MAX(1,'Loan Prepayment'!$B$7*12-Y39+1),Z39),AB38),AB38),Z39+AC39))</f>
        <v>80559.31935518072</v>
      </c>
      <c r="AC39">
        <f t="shared" si="9"/>
        <v>57817.802279262731</v>
      </c>
      <c r="AD39">
        <f t="shared" si="10"/>
        <v>22741.517075917989</v>
      </c>
      <c r="AE39">
        <f t="shared" si="11"/>
        <v>0</v>
      </c>
      <c r="AF39">
        <f t="shared" si="12"/>
        <v>9228106.8476061188</v>
      </c>
      <c r="AG39">
        <v>38</v>
      </c>
      <c r="AH39">
        <f t="shared" si="20"/>
        <v>8278910.7149697626</v>
      </c>
      <c r="AI39">
        <f>IF(AG39&gt;='Loan Prepayment'!$E$11,'Loan Prepayment'!$E$12,'Loan Prepayment'!$B$6)</f>
        <v>7.5</v>
      </c>
      <c r="AJ39">
        <f>IF(AH39&lt;=0,0,MIN(IF(AG39='Loan Prepayment'!$E$11,IF('Loan Prepayment'!$E$13="Keep tenure, recalculate EMI",-PMT(AI39/1200,MAX(1,'Loan Prepayment'!$B$7*12-AG39+1),AH39),IF(AND('Loan Prepayment'!$E$15="Reduce EMI",AM38&gt;0),-PMT(AI38/1200,MAX(1,'Loan Prepayment'!$B$7*12-AG39+1),AH39),AJ38)),IF(AND('Loan Prepayment'!$E$15="Reduce EMI",AM38&gt;0),-PMT(AI39/1200,MAX(1,'Loan Prepayment'!$B$7*12-AG39+1),AH39),AJ38)),AH39+AK39))</f>
        <v>72095.378273255352</v>
      </c>
      <c r="AK39">
        <f t="shared" si="13"/>
        <v>51743.191968561012</v>
      </c>
      <c r="AL39">
        <f t="shared" si="14"/>
        <v>20352.18630469434</v>
      </c>
      <c r="AM39">
        <f>IF(AH39&lt;=0,0,MIN(MAX(0,AH39-AL39),SUMIFS('Loan Prepayment'!$B$12:$B$31,'Loan Prepayment'!$A$12:$A$31,AG39)+IF(AND(AG39&gt;='Loan Prepayment'!$B$9,AG39&lt;='Loan Prepayment'!$E$16),'Loan Prepayment'!$B$8,0)))</f>
        <v>0</v>
      </c>
      <c r="AN39">
        <f t="shared" si="15"/>
        <v>8258558.5286650686</v>
      </c>
    </row>
    <row r="40" spans="1:40" x14ac:dyDescent="0.35">
      <c r="A40">
        <v>39</v>
      </c>
      <c r="B40">
        <f t="shared" si="16"/>
        <v>9228106.8476061188</v>
      </c>
      <c r="C40" s="64">
        <f>'Loan Prepayment'!$B$6</f>
        <v>7.5</v>
      </c>
      <c r="D40">
        <f>IF(B40&lt;=0,0,MIN(-PMT('Loan Prepayment'!$B$6/1200,'Loan Prepayment'!$B$7*12,'Loan Prepayment'!$B$5),B40+E40))</f>
        <v>80559.31935518072</v>
      </c>
      <c r="E40">
        <f t="shared" si="0"/>
        <v>57675.667797538241</v>
      </c>
      <c r="F40">
        <f t="shared" si="1"/>
        <v>22883.651557642479</v>
      </c>
      <c r="G40">
        <v>0</v>
      </c>
      <c r="H40">
        <f t="shared" si="2"/>
        <v>9205223.1960484758</v>
      </c>
      <c r="I40">
        <v>39</v>
      </c>
      <c r="J40">
        <f t="shared" si="17"/>
        <v>8258558.5286650686</v>
      </c>
      <c r="K40" s="64">
        <f>'Loan Prepayment'!$B$6</f>
        <v>7.5</v>
      </c>
      <c r="L40">
        <f>IF(J40&lt;=0,0,MIN(IF(AND('Loan Prepayment'!$E$15="Reduce EMI",O39&gt;0),-PMT(K40/1200,MAX(1,'Loan Prepayment'!$B$7*12-I40+1),J40),L39),J40+M40))</f>
        <v>72095.378273255352</v>
      </c>
      <c r="M40">
        <f t="shared" si="3"/>
        <v>51615.990804156681</v>
      </c>
      <c r="N40">
        <f t="shared" si="4"/>
        <v>20479.38746909867</v>
      </c>
      <c r="O40">
        <f>IF(J40&lt;=0,0,MIN(MAX(0,J40-N40),SUMIFS('Loan Prepayment'!$B$12:$B$31,'Loan Prepayment'!$A$12:$A$31,I40)+0))</f>
        <v>0</v>
      </c>
      <c r="P40">
        <f t="shared" si="5"/>
        <v>8238079.1411959697</v>
      </c>
      <c r="Q40">
        <v>39</v>
      </c>
      <c r="R40">
        <f t="shared" si="18"/>
        <v>9228106.8476061188</v>
      </c>
      <c r="S40" s="64">
        <f>'Loan Prepayment'!$B$6</f>
        <v>7.5</v>
      </c>
      <c r="T40">
        <f>IF(R40&lt;=0,0,MIN(IF(AND('Loan Prepayment'!$E$15="Reduce EMI",W39&gt;0),-PMT(S40/1200,MAX(1,'Loan Prepayment'!$B$7*12-Q40+1),R40),T39),R40+U40))</f>
        <v>80559.31935518072</v>
      </c>
      <c r="U40">
        <f t="shared" si="6"/>
        <v>57675.667797538241</v>
      </c>
      <c r="V40">
        <f t="shared" si="7"/>
        <v>22883.651557642479</v>
      </c>
      <c r="W40">
        <f>IF(R40&lt;=0,0,MIN(MAX(0,R40-V40),0+IF(AND(Q40&gt;='Loan Prepayment'!$B$9,Q40&lt;='Loan Prepayment'!$E$16),'Loan Prepayment'!$B$8,0)))</f>
        <v>0</v>
      </c>
      <c r="X40">
        <f t="shared" si="8"/>
        <v>9205223.1960484758</v>
      </c>
      <c r="Y40">
        <v>39</v>
      </c>
      <c r="Z40">
        <f t="shared" si="19"/>
        <v>9228106.8476061188</v>
      </c>
      <c r="AA40">
        <f>IF(Y40&gt;='Loan Prepayment'!$E$11,'Loan Prepayment'!$E$12,'Loan Prepayment'!$B$6)</f>
        <v>7.5</v>
      </c>
      <c r="AB40">
        <f>IF(Z40&lt;=0,0,MIN(IF(Y40='Loan Prepayment'!$E$11,IF('Loan Prepayment'!$E$13="Keep tenure, recalculate EMI",-PMT(AA40/1200,MAX(1,'Loan Prepayment'!$B$7*12-Y40+1),Z40),AB39),AB39),Z40+AC40))</f>
        <v>80559.31935518072</v>
      </c>
      <c r="AC40">
        <f t="shared" si="9"/>
        <v>57675.667797538241</v>
      </c>
      <c r="AD40">
        <f t="shared" si="10"/>
        <v>22883.651557642479</v>
      </c>
      <c r="AE40">
        <f t="shared" si="11"/>
        <v>0</v>
      </c>
      <c r="AF40">
        <f t="shared" si="12"/>
        <v>9205223.1960484758</v>
      </c>
      <c r="AG40">
        <v>39</v>
      </c>
      <c r="AH40">
        <f t="shared" si="20"/>
        <v>8258558.5286650686</v>
      </c>
      <c r="AI40">
        <f>IF(AG40&gt;='Loan Prepayment'!$E$11,'Loan Prepayment'!$E$12,'Loan Prepayment'!$B$6)</f>
        <v>7.5</v>
      </c>
      <c r="AJ40">
        <f>IF(AH40&lt;=0,0,MIN(IF(AG40='Loan Prepayment'!$E$11,IF('Loan Prepayment'!$E$13="Keep tenure, recalculate EMI",-PMT(AI40/1200,MAX(1,'Loan Prepayment'!$B$7*12-AG40+1),AH40),IF(AND('Loan Prepayment'!$E$15="Reduce EMI",AM39&gt;0),-PMT(AI39/1200,MAX(1,'Loan Prepayment'!$B$7*12-AG40+1),AH40),AJ39)),IF(AND('Loan Prepayment'!$E$15="Reduce EMI",AM39&gt;0),-PMT(AI40/1200,MAX(1,'Loan Prepayment'!$B$7*12-AG40+1),AH40),AJ39)),AH40+AK40))</f>
        <v>72095.378273255352</v>
      </c>
      <c r="AK40">
        <f t="shared" si="13"/>
        <v>51615.990804156681</v>
      </c>
      <c r="AL40">
        <f t="shared" si="14"/>
        <v>20479.38746909867</v>
      </c>
      <c r="AM40">
        <f>IF(AH40&lt;=0,0,MIN(MAX(0,AH40-AL40),SUMIFS('Loan Prepayment'!$B$12:$B$31,'Loan Prepayment'!$A$12:$A$31,AG40)+IF(AND(AG40&gt;='Loan Prepayment'!$B$9,AG40&lt;='Loan Prepayment'!$E$16),'Loan Prepayment'!$B$8,0)))</f>
        <v>0</v>
      </c>
      <c r="AN40">
        <f t="shared" si="15"/>
        <v>8238079.1411959697</v>
      </c>
    </row>
    <row r="41" spans="1:40" x14ac:dyDescent="0.35">
      <c r="A41">
        <v>40</v>
      </c>
      <c r="B41">
        <f t="shared" si="16"/>
        <v>9205223.1960484758</v>
      </c>
      <c r="C41" s="64">
        <f>'Loan Prepayment'!$B$6</f>
        <v>7.5</v>
      </c>
      <c r="D41">
        <f>IF(B41&lt;=0,0,MIN(-PMT('Loan Prepayment'!$B$6/1200,'Loan Prepayment'!$B$7*12,'Loan Prepayment'!$B$5),B41+E41))</f>
        <v>80559.31935518072</v>
      </c>
      <c r="E41">
        <f t="shared" si="0"/>
        <v>57532.644975302974</v>
      </c>
      <c r="F41">
        <f t="shared" si="1"/>
        <v>23026.674379877746</v>
      </c>
      <c r="G41">
        <v>0</v>
      </c>
      <c r="H41">
        <f t="shared" si="2"/>
        <v>9182196.5216685981</v>
      </c>
      <c r="I41">
        <v>40</v>
      </c>
      <c r="J41">
        <f t="shared" si="17"/>
        <v>8238079.1411959697</v>
      </c>
      <c r="K41" s="64">
        <f>'Loan Prepayment'!$B$6</f>
        <v>7.5</v>
      </c>
      <c r="L41">
        <f>IF(J41&lt;=0,0,MIN(IF(AND('Loan Prepayment'!$E$15="Reduce EMI",O40&gt;0),-PMT(K41/1200,MAX(1,'Loan Prepayment'!$B$7*12-I41+1),J41),L40),J41+M41))</f>
        <v>72095.378273255352</v>
      </c>
      <c r="M41">
        <f t="shared" si="3"/>
        <v>51487.994632474809</v>
      </c>
      <c r="N41">
        <f t="shared" si="4"/>
        <v>20607.383640780543</v>
      </c>
      <c r="O41">
        <f>IF(J41&lt;=0,0,MIN(MAX(0,J41-N41),SUMIFS('Loan Prepayment'!$B$12:$B$31,'Loan Prepayment'!$A$12:$A$31,I41)+0))</f>
        <v>0</v>
      </c>
      <c r="P41">
        <f t="shared" si="5"/>
        <v>8217471.7575551895</v>
      </c>
      <c r="Q41">
        <v>40</v>
      </c>
      <c r="R41">
        <f t="shared" si="18"/>
        <v>9205223.1960484758</v>
      </c>
      <c r="S41" s="64">
        <f>'Loan Prepayment'!$B$6</f>
        <v>7.5</v>
      </c>
      <c r="T41">
        <f>IF(R41&lt;=0,0,MIN(IF(AND('Loan Prepayment'!$E$15="Reduce EMI",W40&gt;0),-PMT(S41/1200,MAX(1,'Loan Prepayment'!$B$7*12-Q41+1),R41),T40),R41+U41))</f>
        <v>80559.31935518072</v>
      </c>
      <c r="U41">
        <f t="shared" si="6"/>
        <v>57532.644975302974</v>
      </c>
      <c r="V41">
        <f t="shared" si="7"/>
        <v>23026.674379877746</v>
      </c>
      <c r="W41">
        <f>IF(R41&lt;=0,0,MIN(MAX(0,R41-V41),0+IF(AND(Q41&gt;='Loan Prepayment'!$B$9,Q41&lt;='Loan Prepayment'!$E$16),'Loan Prepayment'!$B$8,0)))</f>
        <v>0</v>
      </c>
      <c r="X41">
        <f t="shared" si="8"/>
        <v>9182196.5216685981</v>
      </c>
      <c r="Y41">
        <v>40</v>
      </c>
      <c r="Z41">
        <f t="shared" si="19"/>
        <v>9205223.1960484758</v>
      </c>
      <c r="AA41">
        <f>IF(Y41&gt;='Loan Prepayment'!$E$11,'Loan Prepayment'!$E$12,'Loan Prepayment'!$B$6)</f>
        <v>7.5</v>
      </c>
      <c r="AB41">
        <f>IF(Z41&lt;=0,0,MIN(IF(Y41='Loan Prepayment'!$E$11,IF('Loan Prepayment'!$E$13="Keep tenure, recalculate EMI",-PMT(AA41/1200,MAX(1,'Loan Prepayment'!$B$7*12-Y41+1),Z41),AB40),AB40),Z41+AC41))</f>
        <v>80559.31935518072</v>
      </c>
      <c r="AC41">
        <f t="shared" si="9"/>
        <v>57532.644975302974</v>
      </c>
      <c r="AD41">
        <f t="shared" si="10"/>
        <v>23026.674379877746</v>
      </c>
      <c r="AE41">
        <f t="shared" si="11"/>
        <v>0</v>
      </c>
      <c r="AF41">
        <f t="shared" si="12"/>
        <v>9182196.5216685981</v>
      </c>
      <c r="AG41">
        <v>40</v>
      </c>
      <c r="AH41">
        <f t="shared" si="20"/>
        <v>8238079.1411959697</v>
      </c>
      <c r="AI41">
        <f>IF(AG41&gt;='Loan Prepayment'!$E$11,'Loan Prepayment'!$E$12,'Loan Prepayment'!$B$6)</f>
        <v>7.5</v>
      </c>
      <c r="AJ41">
        <f>IF(AH41&lt;=0,0,MIN(IF(AG41='Loan Prepayment'!$E$11,IF('Loan Prepayment'!$E$13="Keep tenure, recalculate EMI",-PMT(AI41/1200,MAX(1,'Loan Prepayment'!$B$7*12-AG41+1),AH41),IF(AND('Loan Prepayment'!$E$15="Reduce EMI",AM40&gt;0),-PMT(AI40/1200,MAX(1,'Loan Prepayment'!$B$7*12-AG41+1),AH41),AJ40)),IF(AND('Loan Prepayment'!$E$15="Reduce EMI",AM40&gt;0),-PMT(AI41/1200,MAX(1,'Loan Prepayment'!$B$7*12-AG41+1),AH41),AJ40)),AH41+AK41))</f>
        <v>72095.378273255352</v>
      </c>
      <c r="AK41">
        <f t="shared" si="13"/>
        <v>51487.994632474809</v>
      </c>
      <c r="AL41">
        <f t="shared" si="14"/>
        <v>20607.383640780543</v>
      </c>
      <c r="AM41">
        <f>IF(AH41&lt;=0,0,MIN(MAX(0,AH41-AL41),SUMIFS('Loan Prepayment'!$B$12:$B$31,'Loan Prepayment'!$A$12:$A$31,AG41)+IF(AND(AG41&gt;='Loan Prepayment'!$B$9,AG41&lt;='Loan Prepayment'!$E$16),'Loan Prepayment'!$B$8,0)))</f>
        <v>0</v>
      </c>
      <c r="AN41">
        <f t="shared" si="15"/>
        <v>8217471.7575551895</v>
      </c>
    </row>
    <row r="42" spans="1:40" x14ac:dyDescent="0.35">
      <c r="A42">
        <v>41</v>
      </c>
      <c r="B42">
        <f t="shared" si="16"/>
        <v>9182196.5216685981</v>
      </c>
      <c r="C42" s="64">
        <f>'Loan Prepayment'!$B$6</f>
        <v>7.5</v>
      </c>
      <c r="D42">
        <f>IF(B42&lt;=0,0,MIN(-PMT('Loan Prepayment'!$B$6/1200,'Loan Prepayment'!$B$7*12,'Loan Prepayment'!$B$5),B42+E42))</f>
        <v>80559.31935518072</v>
      </c>
      <c r="E42">
        <f t="shared" si="0"/>
        <v>57388.728260428732</v>
      </c>
      <c r="F42">
        <f t="shared" si="1"/>
        <v>23170.591094751988</v>
      </c>
      <c r="G42">
        <v>0</v>
      </c>
      <c r="H42">
        <f t="shared" si="2"/>
        <v>9159025.9305738453</v>
      </c>
      <c r="I42">
        <v>41</v>
      </c>
      <c r="J42">
        <f t="shared" si="17"/>
        <v>8217471.7575551895</v>
      </c>
      <c r="K42" s="64">
        <f>'Loan Prepayment'!$B$6</f>
        <v>7.5</v>
      </c>
      <c r="L42">
        <f>IF(J42&lt;=0,0,MIN(IF(AND('Loan Prepayment'!$E$15="Reduce EMI",O41&gt;0),-PMT(K42/1200,MAX(1,'Loan Prepayment'!$B$7*12-I42+1),J42),L41),J42+M42))</f>
        <v>72095.378273255352</v>
      </c>
      <c r="M42">
        <f t="shared" si="3"/>
        <v>51359.198484719935</v>
      </c>
      <c r="N42">
        <f t="shared" si="4"/>
        <v>20736.179788535417</v>
      </c>
      <c r="O42">
        <f>IF(J42&lt;=0,0,MIN(MAX(0,J42-N42),SUMIFS('Loan Prepayment'!$B$12:$B$31,'Loan Prepayment'!$A$12:$A$31,I42)+0))</f>
        <v>0</v>
      </c>
      <c r="P42">
        <f t="shared" si="5"/>
        <v>8196735.5777666541</v>
      </c>
      <c r="Q42">
        <v>41</v>
      </c>
      <c r="R42">
        <f t="shared" si="18"/>
        <v>9182196.5216685981</v>
      </c>
      <c r="S42" s="64">
        <f>'Loan Prepayment'!$B$6</f>
        <v>7.5</v>
      </c>
      <c r="T42">
        <f>IF(R42&lt;=0,0,MIN(IF(AND('Loan Prepayment'!$E$15="Reduce EMI",W41&gt;0),-PMT(S42/1200,MAX(1,'Loan Prepayment'!$B$7*12-Q42+1),R42),T41),R42+U42))</f>
        <v>80559.31935518072</v>
      </c>
      <c r="U42">
        <f t="shared" si="6"/>
        <v>57388.728260428732</v>
      </c>
      <c r="V42">
        <f t="shared" si="7"/>
        <v>23170.591094751988</v>
      </c>
      <c r="W42">
        <f>IF(R42&lt;=0,0,MIN(MAX(0,R42-V42),0+IF(AND(Q42&gt;='Loan Prepayment'!$B$9,Q42&lt;='Loan Prepayment'!$E$16),'Loan Prepayment'!$B$8,0)))</f>
        <v>0</v>
      </c>
      <c r="X42">
        <f t="shared" si="8"/>
        <v>9159025.9305738453</v>
      </c>
      <c r="Y42">
        <v>41</v>
      </c>
      <c r="Z42">
        <f t="shared" si="19"/>
        <v>9182196.5216685981</v>
      </c>
      <c r="AA42">
        <f>IF(Y42&gt;='Loan Prepayment'!$E$11,'Loan Prepayment'!$E$12,'Loan Prepayment'!$B$6)</f>
        <v>7.5</v>
      </c>
      <c r="AB42">
        <f>IF(Z42&lt;=0,0,MIN(IF(Y42='Loan Prepayment'!$E$11,IF('Loan Prepayment'!$E$13="Keep tenure, recalculate EMI",-PMT(AA42/1200,MAX(1,'Loan Prepayment'!$B$7*12-Y42+1),Z42),AB41),AB41),Z42+AC42))</f>
        <v>80559.31935518072</v>
      </c>
      <c r="AC42">
        <f t="shared" si="9"/>
        <v>57388.728260428732</v>
      </c>
      <c r="AD42">
        <f t="shared" si="10"/>
        <v>23170.591094751988</v>
      </c>
      <c r="AE42">
        <f t="shared" si="11"/>
        <v>0</v>
      </c>
      <c r="AF42">
        <f t="shared" si="12"/>
        <v>9159025.9305738453</v>
      </c>
      <c r="AG42">
        <v>41</v>
      </c>
      <c r="AH42">
        <f t="shared" si="20"/>
        <v>8217471.7575551895</v>
      </c>
      <c r="AI42">
        <f>IF(AG42&gt;='Loan Prepayment'!$E$11,'Loan Prepayment'!$E$12,'Loan Prepayment'!$B$6)</f>
        <v>7.5</v>
      </c>
      <c r="AJ42">
        <f>IF(AH42&lt;=0,0,MIN(IF(AG42='Loan Prepayment'!$E$11,IF('Loan Prepayment'!$E$13="Keep tenure, recalculate EMI",-PMT(AI42/1200,MAX(1,'Loan Prepayment'!$B$7*12-AG42+1),AH42),IF(AND('Loan Prepayment'!$E$15="Reduce EMI",AM41&gt;0),-PMT(AI41/1200,MAX(1,'Loan Prepayment'!$B$7*12-AG42+1),AH42),AJ41)),IF(AND('Loan Prepayment'!$E$15="Reduce EMI",AM41&gt;0),-PMT(AI42/1200,MAX(1,'Loan Prepayment'!$B$7*12-AG42+1),AH42),AJ41)),AH42+AK42))</f>
        <v>72095.378273255352</v>
      </c>
      <c r="AK42">
        <f t="shared" si="13"/>
        <v>51359.198484719935</v>
      </c>
      <c r="AL42">
        <f t="shared" si="14"/>
        <v>20736.179788535417</v>
      </c>
      <c r="AM42">
        <f>IF(AH42&lt;=0,0,MIN(MAX(0,AH42-AL42),SUMIFS('Loan Prepayment'!$B$12:$B$31,'Loan Prepayment'!$A$12:$A$31,AG42)+IF(AND(AG42&gt;='Loan Prepayment'!$B$9,AG42&lt;='Loan Prepayment'!$E$16),'Loan Prepayment'!$B$8,0)))</f>
        <v>0</v>
      </c>
      <c r="AN42">
        <f t="shared" si="15"/>
        <v>8196735.5777666541</v>
      </c>
    </row>
    <row r="43" spans="1:40" x14ac:dyDescent="0.35">
      <c r="A43">
        <v>42</v>
      </c>
      <c r="B43">
        <f t="shared" si="16"/>
        <v>9159025.9305738453</v>
      </c>
      <c r="C43" s="64">
        <f>'Loan Prepayment'!$B$6</f>
        <v>7.5</v>
      </c>
      <c r="D43">
        <f>IF(B43&lt;=0,0,MIN(-PMT('Loan Prepayment'!$B$6/1200,'Loan Prepayment'!$B$7*12,'Loan Prepayment'!$B$5),B43+E43))</f>
        <v>80559.31935518072</v>
      </c>
      <c r="E43">
        <f t="shared" si="0"/>
        <v>57243.91206608653</v>
      </c>
      <c r="F43">
        <f t="shared" si="1"/>
        <v>23315.40728909419</v>
      </c>
      <c r="G43">
        <v>0</v>
      </c>
      <c r="H43">
        <f t="shared" si="2"/>
        <v>9135710.5232847519</v>
      </c>
      <c r="I43">
        <v>42</v>
      </c>
      <c r="J43">
        <f t="shared" si="17"/>
        <v>8196735.5777666541</v>
      </c>
      <c r="K43" s="64">
        <f>'Loan Prepayment'!$B$6</f>
        <v>7.5</v>
      </c>
      <c r="L43">
        <f>IF(J43&lt;=0,0,MIN(IF(AND('Loan Prepayment'!$E$15="Reduce EMI",O42&gt;0),-PMT(K43/1200,MAX(1,'Loan Prepayment'!$B$7*12-I43+1),J43),L42),J43+M43))</f>
        <v>72095.378273255352</v>
      </c>
      <c r="M43">
        <f t="shared" si="3"/>
        <v>51229.597361041589</v>
      </c>
      <c r="N43">
        <f t="shared" si="4"/>
        <v>20865.780912213762</v>
      </c>
      <c r="O43">
        <f>IF(J43&lt;=0,0,MIN(MAX(0,J43-N43),SUMIFS('Loan Prepayment'!$B$12:$B$31,'Loan Prepayment'!$A$12:$A$31,I43)+0))</f>
        <v>0</v>
      </c>
      <c r="P43">
        <f t="shared" si="5"/>
        <v>8175869.7968544401</v>
      </c>
      <c r="Q43">
        <v>42</v>
      </c>
      <c r="R43">
        <f t="shared" si="18"/>
        <v>9159025.9305738453</v>
      </c>
      <c r="S43" s="64">
        <f>'Loan Prepayment'!$B$6</f>
        <v>7.5</v>
      </c>
      <c r="T43">
        <f>IF(R43&lt;=0,0,MIN(IF(AND('Loan Prepayment'!$E$15="Reduce EMI",W42&gt;0),-PMT(S43/1200,MAX(1,'Loan Prepayment'!$B$7*12-Q43+1),R43),T42),R43+U43))</f>
        <v>80559.31935518072</v>
      </c>
      <c r="U43">
        <f t="shared" si="6"/>
        <v>57243.91206608653</v>
      </c>
      <c r="V43">
        <f t="shared" si="7"/>
        <v>23315.40728909419</v>
      </c>
      <c r="W43">
        <f>IF(R43&lt;=0,0,MIN(MAX(0,R43-V43),0+IF(AND(Q43&gt;='Loan Prepayment'!$B$9,Q43&lt;='Loan Prepayment'!$E$16),'Loan Prepayment'!$B$8,0)))</f>
        <v>0</v>
      </c>
      <c r="X43">
        <f t="shared" si="8"/>
        <v>9135710.5232847519</v>
      </c>
      <c r="Y43">
        <v>42</v>
      </c>
      <c r="Z43">
        <f t="shared" si="19"/>
        <v>9159025.9305738453</v>
      </c>
      <c r="AA43">
        <f>IF(Y43&gt;='Loan Prepayment'!$E$11,'Loan Prepayment'!$E$12,'Loan Prepayment'!$B$6)</f>
        <v>7.5</v>
      </c>
      <c r="AB43">
        <f>IF(Z43&lt;=0,0,MIN(IF(Y43='Loan Prepayment'!$E$11,IF('Loan Prepayment'!$E$13="Keep tenure, recalculate EMI",-PMT(AA43/1200,MAX(1,'Loan Prepayment'!$B$7*12-Y43+1),Z43),AB42),AB42),Z43+AC43))</f>
        <v>80559.31935518072</v>
      </c>
      <c r="AC43">
        <f t="shared" si="9"/>
        <v>57243.91206608653</v>
      </c>
      <c r="AD43">
        <f t="shared" si="10"/>
        <v>23315.40728909419</v>
      </c>
      <c r="AE43">
        <f t="shared" si="11"/>
        <v>0</v>
      </c>
      <c r="AF43">
        <f t="shared" si="12"/>
        <v>9135710.5232847519</v>
      </c>
      <c r="AG43">
        <v>42</v>
      </c>
      <c r="AH43">
        <f t="shared" si="20"/>
        <v>8196735.5777666541</v>
      </c>
      <c r="AI43">
        <f>IF(AG43&gt;='Loan Prepayment'!$E$11,'Loan Prepayment'!$E$12,'Loan Prepayment'!$B$6)</f>
        <v>7.5</v>
      </c>
      <c r="AJ43">
        <f>IF(AH43&lt;=0,0,MIN(IF(AG43='Loan Prepayment'!$E$11,IF('Loan Prepayment'!$E$13="Keep tenure, recalculate EMI",-PMT(AI43/1200,MAX(1,'Loan Prepayment'!$B$7*12-AG43+1),AH43),IF(AND('Loan Prepayment'!$E$15="Reduce EMI",AM42&gt;0),-PMT(AI42/1200,MAX(1,'Loan Prepayment'!$B$7*12-AG43+1),AH43),AJ42)),IF(AND('Loan Prepayment'!$E$15="Reduce EMI",AM42&gt;0),-PMT(AI43/1200,MAX(1,'Loan Prepayment'!$B$7*12-AG43+1),AH43),AJ42)),AH43+AK43))</f>
        <v>72095.378273255352</v>
      </c>
      <c r="AK43">
        <f t="shared" si="13"/>
        <v>51229.597361041589</v>
      </c>
      <c r="AL43">
        <f t="shared" si="14"/>
        <v>20865.780912213762</v>
      </c>
      <c r="AM43">
        <f>IF(AH43&lt;=0,0,MIN(MAX(0,AH43-AL43),SUMIFS('Loan Prepayment'!$B$12:$B$31,'Loan Prepayment'!$A$12:$A$31,AG43)+IF(AND(AG43&gt;='Loan Prepayment'!$B$9,AG43&lt;='Loan Prepayment'!$E$16),'Loan Prepayment'!$B$8,0)))</f>
        <v>0</v>
      </c>
      <c r="AN43">
        <f t="shared" si="15"/>
        <v>8175869.7968544401</v>
      </c>
    </row>
    <row r="44" spans="1:40" x14ac:dyDescent="0.35">
      <c r="A44">
        <v>43</v>
      </c>
      <c r="B44">
        <f t="shared" si="16"/>
        <v>9135710.5232847519</v>
      </c>
      <c r="C44" s="64">
        <f>'Loan Prepayment'!$B$6</f>
        <v>7.5</v>
      </c>
      <c r="D44">
        <f>IF(B44&lt;=0,0,MIN(-PMT('Loan Prepayment'!$B$6/1200,'Loan Prepayment'!$B$7*12,'Loan Prepayment'!$B$5),B44+E44))</f>
        <v>80559.31935518072</v>
      </c>
      <c r="E44">
        <f t="shared" si="0"/>
        <v>57098.190770529698</v>
      </c>
      <c r="F44">
        <f t="shared" si="1"/>
        <v>23461.128584651022</v>
      </c>
      <c r="G44">
        <v>0</v>
      </c>
      <c r="H44">
        <f t="shared" si="2"/>
        <v>9112249.3947001006</v>
      </c>
      <c r="I44">
        <v>43</v>
      </c>
      <c r="J44">
        <f t="shared" si="17"/>
        <v>8175869.7968544401</v>
      </c>
      <c r="K44" s="64">
        <f>'Loan Prepayment'!$B$6</f>
        <v>7.5</v>
      </c>
      <c r="L44">
        <f>IF(J44&lt;=0,0,MIN(IF(AND('Loan Prepayment'!$E$15="Reduce EMI",O43&gt;0),-PMT(K44/1200,MAX(1,'Loan Prepayment'!$B$7*12-I44+1),J44),L43),J44+M44))</f>
        <v>72095.378273255352</v>
      </c>
      <c r="M44">
        <f t="shared" si="3"/>
        <v>51099.186230340252</v>
      </c>
      <c r="N44">
        <f t="shared" si="4"/>
        <v>20996.1920429151</v>
      </c>
      <c r="O44">
        <f>IF(J44&lt;=0,0,MIN(MAX(0,J44-N44),SUMIFS('Loan Prepayment'!$B$12:$B$31,'Loan Prepayment'!$A$12:$A$31,I44)+0))</f>
        <v>0</v>
      </c>
      <c r="P44">
        <f t="shared" si="5"/>
        <v>8154873.604811525</v>
      </c>
      <c r="Q44">
        <v>43</v>
      </c>
      <c r="R44">
        <f t="shared" si="18"/>
        <v>9135710.5232847519</v>
      </c>
      <c r="S44" s="64">
        <f>'Loan Prepayment'!$B$6</f>
        <v>7.5</v>
      </c>
      <c r="T44">
        <f>IF(R44&lt;=0,0,MIN(IF(AND('Loan Prepayment'!$E$15="Reduce EMI",W43&gt;0),-PMT(S44/1200,MAX(1,'Loan Prepayment'!$B$7*12-Q44+1),R44),T43),R44+U44))</f>
        <v>80559.31935518072</v>
      </c>
      <c r="U44">
        <f t="shared" si="6"/>
        <v>57098.190770529698</v>
      </c>
      <c r="V44">
        <f t="shared" si="7"/>
        <v>23461.128584651022</v>
      </c>
      <c r="W44">
        <f>IF(R44&lt;=0,0,MIN(MAX(0,R44-V44),0+IF(AND(Q44&gt;='Loan Prepayment'!$B$9,Q44&lt;='Loan Prepayment'!$E$16),'Loan Prepayment'!$B$8,0)))</f>
        <v>0</v>
      </c>
      <c r="X44">
        <f t="shared" si="8"/>
        <v>9112249.3947001006</v>
      </c>
      <c r="Y44">
        <v>43</v>
      </c>
      <c r="Z44">
        <f t="shared" si="19"/>
        <v>9135710.5232847519</v>
      </c>
      <c r="AA44">
        <f>IF(Y44&gt;='Loan Prepayment'!$E$11,'Loan Prepayment'!$E$12,'Loan Prepayment'!$B$6)</f>
        <v>7.5</v>
      </c>
      <c r="AB44">
        <f>IF(Z44&lt;=0,0,MIN(IF(Y44='Loan Prepayment'!$E$11,IF('Loan Prepayment'!$E$13="Keep tenure, recalculate EMI",-PMT(AA44/1200,MAX(1,'Loan Prepayment'!$B$7*12-Y44+1),Z44),AB43),AB43),Z44+AC44))</f>
        <v>80559.31935518072</v>
      </c>
      <c r="AC44">
        <f t="shared" si="9"/>
        <v>57098.190770529698</v>
      </c>
      <c r="AD44">
        <f t="shared" si="10"/>
        <v>23461.128584651022</v>
      </c>
      <c r="AE44">
        <f t="shared" si="11"/>
        <v>0</v>
      </c>
      <c r="AF44">
        <f t="shared" si="12"/>
        <v>9112249.3947001006</v>
      </c>
      <c r="AG44">
        <v>43</v>
      </c>
      <c r="AH44">
        <f t="shared" si="20"/>
        <v>8175869.7968544401</v>
      </c>
      <c r="AI44">
        <f>IF(AG44&gt;='Loan Prepayment'!$E$11,'Loan Prepayment'!$E$12,'Loan Prepayment'!$B$6)</f>
        <v>7.5</v>
      </c>
      <c r="AJ44">
        <f>IF(AH44&lt;=0,0,MIN(IF(AG44='Loan Prepayment'!$E$11,IF('Loan Prepayment'!$E$13="Keep tenure, recalculate EMI",-PMT(AI44/1200,MAX(1,'Loan Prepayment'!$B$7*12-AG44+1),AH44),IF(AND('Loan Prepayment'!$E$15="Reduce EMI",AM43&gt;0),-PMT(AI43/1200,MAX(1,'Loan Prepayment'!$B$7*12-AG44+1),AH44),AJ43)),IF(AND('Loan Prepayment'!$E$15="Reduce EMI",AM43&gt;0),-PMT(AI44/1200,MAX(1,'Loan Prepayment'!$B$7*12-AG44+1),AH44),AJ43)),AH44+AK44))</f>
        <v>72095.378273255352</v>
      </c>
      <c r="AK44">
        <f t="shared" si="13"/>
        <v>51099.186230340252</v>
      </c>
      <c r="AL44">
        <f t="shared" si="14"/>
        <v>20996.1920429151</v>
      </c>
      <c r="AM44">
        <f>IF(AH44&lt;=0,0,MIN(MAX(0,AH44-AL44),SUMIFS('Loan Prepayment'!$B$12:$B$31,'Loan Prepayment'!$A$12:$A$31,AG44)+IF(AND(AG44&gt;='Loan Prepayment'!$B$9,AG44&lt;='Loan Prepayment'!$E$16),'Loan Prepayment'!$B$8,0)))</f>
        <v>0</v>
      </c>
      <c r="AN44">
        <f t="shared" si="15"/>
        <v>8154873.604811525</v>
      </c>
    </row>
    <row r="45" spans="1:40" x14ac:dyDescent="0.35">
      <c r="A45">
        <v>44</v>
      </c>
      <c r="B45">
        <f t="shared" si="16"/>
        <v>9112249.3947001006</v>
      </c>
      <c r="C45" s="64">
        <f>'Loan Prepayment'!$B$6</f>
        <v>7.5</v>
      </c>
      <c r="D45">
        <f>IF(B45&lt;=0,0,MIN(-PMT('Loan Prepayment'!$B$6/1200,'Loan Prepayment'!$B$7*12,'Loan Prepayment'!$B$5),B45+E45))</f>
        <v>80559.31935518072</v>
      </c>
      <c r="E45">
        <f t="shared" si="0"/>
        <v>56951.558716875625</v>
      </c>
      <c r="F45">
        <f t="shared" si="1"/>
        <v>23607.760638305095</v>
      </c>
      <c r="G45">
        <v>0</v>
      </c>
      <c r="H45">
        <f t="shared" si="2"/>
        <v>9088641.6340617947</v>
      </c>
      <c r="I45">
        <v>44</v>
      </c>
      <c r="J45">
        <f t="shared" si="17"/>
        <v>8154873.604811525</v>
      </c>
      <c r="K45" s="64">
        <f>'Loan Prepayment'!$B$6</f>
        <v>7.5</v>
      </c>
      <c r="L45">
        <f>IF(J45&lt;=0,0,MIN(IF(AND('Loan Prepayment'!$E$15="Reduce EMI",O44&gt;0),-PMT(K45/1200,MAX(1,'Loan Prepayment'!$B$7*12-I45+1),J45),L44),J45+M45))</f>
        <v>72095.378273255352</v>
      </c>
      <c r="M45">
        <f t="shared" si="3"/>
        <v>50967.960030072034</v>
      </c>
      <c r="N45">
        <f t="shared" si="4"/>
        <v>21127.418243183318</v>
      </c>
      <c r="O45">
        <f>IF(J45&lt;=0,0,MIN(MAX(0,J45-N45),SUMIFS('Loan Prepayment'!$B$12:$B$31,'Loan Prepayment'!$A$12:$A$31,I45)+0))</f>
        <v>0</v>
      </c>
      <c r="P45">
        <f t="shared" si="5"/>
        <v>8133746.1865683412</v>
      </c>
      <c r="Q45">
        <v>44</v>
      </c>
      <c r="R45">
        <f t="shared" si="18"/>
        <v>9112249.3947001006</v>
      </c>
      <c r="S45" s="64">
        <f>'Loan Prepayment'!$B$6</f>
        <v>7.5</v>
      </c>
      <c r="T45">
        <f>IF(R45&lt;=0,0,MIN(IF(AND('Loan Prepayment'!$E$15="Reduce EMI",W44&gt;0),-PMT(S45/1200,MAX(1,'Loan Prepayment'!$B$7*12-Q45+1),R45),T44),R45+U45))</f>
        <v>80559.31935518072</v>
      </c>
      <c r="U45">
        <f t="shared" si="6"/>
        <v>56951.558716875625</v>
      </c>
      <c r="V45">
        <f t="shared" si="7"/>
        <v>23607.760638305095</v>
      </c>
      <c r="W45">
        <f>IF(R45&lt;=0,0,MIN(MAX(0,R45-V45),0+IF(AND(Q45&gt;='Loan Prepayment'!$B$9,Q45&lt;='Loan Prepayment'!$E$16),'Loan Prepayment'!$B$8,0)))</f>
        <v>0</v>
      </c>
      <c r="X45">
        <f t="shared" si="8"/>
        <v>9088641.6340617947</v>
      </c>
      <c r="Y45">
        <v>44</v>
      </c>
      <c r="Z45">
        <f t="shared" si="19"/>
        <v>9112249.3947001006</v>
      </c>
      <c r="AA45">
        <f>IF(Y45&gt;='Loan Prepayment'!$E$11,'Loan Prepayment'!$E$12,'Loan Prepayment'!$B$6)</f>
        <v>7.5</v>
      </c>
      <c r="AB45">
        <f>IF(Z45&lt;=0,0,MIN(IF(Y45='Loan Prepayment'!$E$11,IF('Loan Prepayment'!$E$13="Keep tenure, recalculate EMI",-PMT(AA45/1200,MAX(1,'Loan Prepayment'!$B$7*12-Y45+1),Z45),AB44),AB44),Z45+AC45))</f>
        <v>80559.31935518072</v>
      </c>
      <c r="AC45">
        <f t="shared" si="9"/>
        <v>56951.558716875625</v>
      </c>
      <c r="AD45">
        <f t="shared" si="10"/>
        <v>23607.760638305095</v>
      </c>
      <c r="AE45">
        <f t="shared" si="11"/>
        <v>0</v>
      </c>
      <c r="AF45">
        <f t="shared" si="12"/>
        <v>9088641.6340617947</v>
      </c>
      <c r="AG45">
        <v>44</v>
      </c>
      <c r="AH45">
        <f t="shared" si="20"/>
        <v>8154873.604811525</v>
      </c>
      <c r="AI45">
        <f>IF(AG45&gt;='Loan Prepayment'!$E$11,'Loan Prepayment'!$E$12,'Loan Prepayment'!$B$6)</f>
        <v>7.5</v>
      </c>
      <c r="AJ45">
        <f>IF(AH45&lt;=0,0,MIN(IF(AG45='Loan Prepayment'!$E$11,IF('Loan Prepayment'!$E$13="Keep tenure, recalculate EMI",-PMT(AI45/1200,MAX(1,'Loan Prepayment'!$B$7*12-AG45+1),AH45),IF(AND('Loan Prepayment'!$E$15="Reduce EMI",AM44&gt;0),-PMT(AI44/1200,MAX(1,'Loan Prepayment'!$B$7*12-AG45+1),AH45),AJ44)),IF(AND('Loan Prepayment'!$E$15="Reduce EMI",AM44&gt;0),-PMT(AI45/1200,MAX(1,'Loan Prepayment'!$B$7*12-AG45+1),AH45),AJ44)),AH45+AK45))</f>
        <v>72095.378273255352</v>
      </c>
      <c r="AK45">
        <f t="shared" si="13"/>
        <v>50967.960030072034</v>
      </c>
      <c r="AL45">
        <f t="shared" si="14"/>
        <v>21127.418243183318</v>
      </c>
      <c r="AM45">
        <f>IF(AH45&lt;=0,0,MIN(MAX(0,AH45-AL45),SUMIFS('Loan Prepayment'!$B$12:$B$31,'Loan Prepayment'!$A$12:$A$31,AG45)+IF(AND(AG45&gt;='Loan Prepayment'!$B$9,AG45&lt;='Loan Prepayment'!$E$16),'Loan Prepayment'!$B$8,0)))</f>
        <v>0</v>
      </c>
      <c r="AN45">
        <f t="shared" si="15"/>
        <v>8133746.1865683412</v>
      </c>
    </row>
    <row r="46" spans="1:40" x14ac:dyDescent="0.35">
      <c r="A46">
        <v>45</v>
      </c>
      <c r="B46">
        <f t="shared" si="16"/>
        <v>9088641.6340617947</v>
      </c>
      <c r="C46" s="64">
        <f>'Loan Prepayment'!$B$6</f>
        <v>7.5</v>
      </c>
      <c r="D46">
        <f>IF(B46&lt;=0,0,MIN(-PMT('Loan Prepayment'!$B$6/1200,'Loan Prepayment'!$B$7*12,'Loan Prepayment'!$B$5),B46+E46))</f>
        <v>80559.31935518072</v>
      </c>
      <c r="E46">
        <f t="shared" si="0"/>
        <v>56804.01021288622</v>
      </c>
      <c r="F46">
        <f t="shared" si="1"/>
        <v>23755.3091422945</v>
      </c>
      <c r="G46">
        <v>0</v>
      </c>
      <c r="H46">
        <f t="shared" si="2"/>
        <v>9064886.3249194995</v>
      </c>
      <c r="I46">
        <v>45</v>
      </c>
      <c r="J46">
        <f t="shared" si="17"/>
        <v>8133746.1865683412</v>
      </c>
      <c r="K46" s="64">
        <f>'Loan Prepayment'!$B$6</f>
        <v>7.5</v>
      </c>
      <c r="L46">
        <f>IF(J46&lt;=0,0,MIN(IF(AND('Loan Prepayment'!$E$15="Reduce EMI",O45&gt;0),-PMT(K46/1200,MAX(1,'Loan Prepayment'!$B$7*12-I46+1),J46),L45),J46+M46))</f>
        <v>72095.378273255352</v>
      </c>
      <c r="M46">
        <f t="shared" si="3"/>
        <v>50835.913666052133</v>
      </c>
      <c r="N46">
        <f t="shared" si="4"/>
        <v>21259.464607203219</v>
      </c>
      <c r="O46">
        <f>IF(J46&lt;=0,0,MIN(MAX(0,J46-N46),SUMIFS('Loan Prepayment'!$B$12:$B$31,'Loan Prepayment'!$A$12:$A$31,I46)+0))</f>
        <v>0</v>
      </c>
      <c r="P46">
        <f t="shared" si="5"/>
        <v>8112486.7219611378</v>
      </c>
      <c r="Q46">
        <v>45</v>
      </c>
      <c r="R46">
        <f t="shared" si="18"/>
        <v>9088641.6340617947</v>
      </c>
      <c r="S46" s="64">
        <f>'Loan Prepayment'!$B$6</f>
        <v>7.5</v>
      </c>
      <c r="T46">
        <f>IF(R46&lt;=0,0,MIN(IF(AND('Loan Prepayment'!$E$15="Reduce EMI",W45&gt;0),-PMT(S46/1200,MAX(1,'Loan Prepayment'!$B$7*12-Q46+1),R46),T45),R46+U46))</f>
        <v>80559.31935518072</v>
      </c>
      <c r="U46">
        <f t="shared" si="6"/>
        <v>56804.01021288622</v>
      </c>
      <c r="V46">
        <f t="shared" si="7"/>
        <v>23755.3091422945</v>
      </c>
      <c r="W46">
        <f>IF(R46&lt;=0,0,MIN(MAX(0,R46-V46),0+IF(AND(Q46&gt;='Loan Prepayment'!$B$9,Q46&lt;='Loan Prepayment'!$E$16),'Loan Prepayment'!$B$8,0)))</f>
        <v>0</v>
      </c>
      <c r="X46">
        <f t="shared" si="8"/>
        <v>9064886.3249194995</v>
      </c>
      <c r="Y46">
        <v>45</v>
      </c>
      <c r="Z46">
        <f t="shared" si="19"/>
        <v>9088641.6340617947</v>
      </c>
      <c r="AA46">
        <f>IF(Y46&gt;='Loan Prepayment'!$E$11,'Loan Prepayment'!$E$12,'Loan Prepayment'!$B$6)</f>
        <v>7.5</v>
      </c>
      <c r="AB46">
        <f>IF(Z46&lt;=0,0,MIN(IF(Y46='Loan Prepayment'!$E$11,IF('Loan Prepayment'!$E$13="Keep tenure, recalculate EMI",-PMT(AA46/1200,MAX(1,'Loan Prepayment'!$B$7*12-Y46+1),Z46),AB45),AB45),Z46+AC46))</f>
        <v>80559.31935518072</v>
      </c>
      <c r="AC46">
        <f t="shared" si="9"/>
        <v>56804.01021288622</v>
      </c>
      <c r="AD46">
        <f t="shared" si="10"/>
        <v>23755.3091422945</v>
      </c>
      <c r="AE46">
        <f t="shared" si="11"/>
        <v>0</v>
      </c>
      <c r="AF46">
        <f t="shared" si="12"/>
        <v>9064886.3249194995</v>
      </c>
      <c r="AG46">
        <v>45</v>
      </c>
      <c r="AH46">
        <f t="shared" si="20"/>
        <v>8133746.1865683412</v>
      </c>
      <c r="AI46">
        <f>IF(AG46&gt;='Loan Prepayment'!$E$11,'Loan Prepayment'!$E$12,'Loan Prepayment'!$B$6)</f>
        <v>7.5</v>
      </c>
      <c r="AJ46">
        <f>IF(AH46&lt;=0,0,MIN(IF(AG46='Loan Prepayment'!$E$11,IF('Loan Prepayment'!$E$13="Keep tenure, recalculate EMI",-PMT(AI46/1200,MAX(1,'Loan Prepayment'!$B$7*12-AG46+1),AH46),IF(AND('Loan Prepayment'!$E$15="Reduce EMI",AM45&gt;0),-PMT(AI45/1200,MAX(1,'Loan Prepayment'!$B$7*12-AG46+1),AH46),AJ45)),IF(AND('Loan Prepayment'!$E$15="Reduce EMI",AM45&gt;0),-PMT(AI46/1200,MAX(1,'Loan Prepayment'!$B$7*12-AG46+1),AH46),AJ45)),AH46+AK46))</f>
        <v>72095.378273255352</v>
      </c>
      <c r="AK46">
        <f t="shared" si="13"/>
        <v>50835.913666052133</v>
      </c>
      <c r="AL46">
        <f t="shared" si="14"/>
        <v>21259.464607203219</v>
      </c>
      <c r="AM46">
        <f>IF(AH46&lt;=0,0,MIN(MAX(0,AH46-AL46),SUMIFS('Loan Prepayment'!$B$12:$B$31,'Loan Prepayment'!$A$12:$A$31,AG46)+IF(AND(AG46&gt;='Loan Prepayment'!$B$9,AG46&lt;='Loan Prepayment'!$E$16),'Loan Prepayment'!$B$8,0)))</f>
        <v>0</v>
      </c>
      <c r="AN46">
        <f t="shared" si="15"/>
        <v>8112486.7219611378</v>
      </c>
    </row>
    <row r="47" spans="1:40" x14ac:dyDescent="0.35">
      <c r="A47">
        <v>46</v>
      </c>
      <c r="B47">
        <f t="shared" si="16"/>
        <v>9064886.3249194995</v>
      </c>
      <c r="C47" s="64">
        <f>'Loan Prepayment'!$B$6</f>
        <v>7.5</v>
      </c>
      <c r="D47">
        <f>IF(B47&lt;=0,0,MIN(-PMT('Loan Prepayment'!$B$6/1200,'Loan Prepayment'!$B$7*12,'Loan Prepayment'!$B$5),B47+E47))</f>
        <v>80559.31935518072</v>
      </c>
      <c r="E47">
        <f t="shared" si="0"/>
        <v>56655.539530746872</v>
      </c>
      <c r="F47">
        <f t="shared" si="1"/>
        <v>23903.779824433848</v>
      </c>
      <c r="G47">
        <v>0</v>
      </c>
      <c r="H47">
        <f t="shared" si="2"/>
        <v>9040982.5450950656</v>
      </c>
      <c r="I47">
        <v>46</v>
      </c>
      <c r="J47">
        <f t="shared" si="17"/>
        <v>8112486.7219611378</v>
      </c>
      <c r="K47" s="64">
        <f>'Loan Prepayment'!$B$6</f>
        <v>7.5</v>
      </c>
      <c r="L47">
        <f>IF(J47&lt;=0,0,MIN(IF(AND('Loan Prepayment'!$E$15="Reduce EMI",O46&gt;0),-PMT(K47/1200,MAX(1,'Loan Prepayment'!$B$7*12-I47+1),J47),L46),J47+M47))</f>
        <v>72095.378273255352</v>
      </c>
      <c r="M47">
        <f t="shared" si="3"/>
        <v>50703.042012257109</v>
      </c>
      <c r="N47">
        <f t="shared" si="4"/>
        <v>21392.336260998243</v>
      </c>
      <c r="O47">
        <f>IF(J47&lt;=0,0,MIN(MAX(0,J47-N47),SUMIFS('Loan Prepayment'!$B$12:$B$31,'Loan Prepayment'!$A$12:$A$31,I47)+0))</f>
        <v>0</v>
      </c>
      <c r="P47">
        <f t="shared" si="5"/>
        <v>8091094.3857001392</v>
      </c>
      <c r="Q47">
        <v>46</v>
      </c>
      <c r="R47">
        <f t="shared" si="18"/>
        <v>9064886.3249194995</v>
      </c>
      <c r="S47" s="64">
        <f>'Loan Prepayment'!$B$6</f>
        <v>7.5</v>
      </c>
      <c r="T47">
        <f>IF(R47&lt;=0,0,MIN(IF(AND('Loan Prepayment'!$E$15="Reduce EMI",W46&gt;0),-PMT(S47/1200,MAX(1,'Loan Prepayment'!$B$7*12-Q47+1),R47),T46),R47+U47))</f>
        <v>80559.31935518072</v>
      </c>
      <c r="U47">
        <f t="shared" si="6"/>
        <v>56655.539530746872</v>
      </c>
      <c r="V47">
        <f t="shared" si="7"/>
        <v>23903.779824433848</v>
      </c>
      <c r="W47">
        <f>IF(R47&lt;=0,0,MIN(MAX(0,R47-V47),0+IF(AND(Q47&gt;='Loan Prepayment'!$B$9,Q47&lt;='Loan Prepayment'!$E$16),'Loan Prepayment'!$B$8,0)))</f>
        <v>0</v>
      </c>
      <c r="X47">
        <f t="shared" si="8"/>
        <v>9040982.5450950656</v>
      </c>
      <c r="Y47">
        <v>46</v>
      </c>
      <c r="Z47">
        <f t="shared" si="19"/>
        <v>9064886.3249194995</v>
      </c>
      <c r="AA47">
        <f>IF(Y47&gt;='Loan Prepayment'!$E$11,'Loan Prepayment'!$E$12,'Loan Prepayment'!$B$6)</f>
        <v>7.5</v>
      </c>
      <c r="AB47">
        <f>IF(Z47&lt;=0,0,MIN(IF(Y47='Loan Prepayment'!$E$11,IF('Loan Prepayment'!$E$13="Keep tenure, recalculate EMI",-PMT(AA47/1200,MAX(1,'Loan Prepayment'!$B$7*12-Y47+1),Z47),AB46),AB46),Z47+AC47))</f>
        <v>80559.31935518072</v>
      </c>
      <c r="AC47">
        <f t="shared" si="9"/>
        <v>56655.539530746872</v>
      </c>
      <c r="AD47">
        <f t="shared" si="10"/>
        <v>23903.779824433848</v>
      </c>
      <c r="AE47">
        <f t="shared" si="11"/>
        <v>0</v>
      </c>
      <c r="AF47">
        <f t="shared" si="12"/>
        <v>9040982.5450950656</v>
      </c>
      <c r="AG47">
        <v>46</v>
      </c>
      <c r="AH47">
        <f t="shared" si="20"/>
        <v>8112486.7219611378</v>
      </c>
      <c r="AI47">
        <f>IF(AG47&gt;='Loan Prepayment'!$E$11,'Loan Prepayment'!$E$12,'Loan Prepayment'!$B$6)</f>
        <v>7.5</v>
      </c>
      <c r="AJ47">
        <f>IF(AH47&lt;=0,0,MIN(IF(AG47='Loan Prepayment'!$E$11,IF('Loan Prepayment'!$E$13="Keep tenure, recalculate EMI",-PMT(AI47/1200,MAX(1,'Loan Prepayment'!$B$7*12-AG47+1),AH47),IF(AND('Loan Prepayment'!$E$15="Reduce EMI",AM46&gt;0),-PMT(AI46/1200,MAX(1,'Loan Prepayment'!$B$7*12-AG47+1),AH47),AJ46)),IF(AND('Loan Prepayment'!$E$15="Reduce EMI",AM46&gt;0),-PMT(AI47/1200,MAX(1,'Loan Prepayment'!$B$7*12-AG47+1),AH47),AJ46)),AH47+AK47))</f>
        <v>72095.378273255352</v>
      </c>
      <c r="AK47">
        <f t="shared" si="13"/>
        <v>50703.042012257109</v>
      </c>
      <c r="AL47">
        <f t="shared" si="14"/>
        <v>21392.336260998243</v>
      </c>
      <c r="AM47">
        <f>IF(AH47&lt;=0,0,MIN(MAX(0,AH47-AL47),SUMIFS('Loan Prepayment'!$B$12:$B$31,'Loan Prepayment'!$A$12:$A$31,AG47)+IF(AND(AG47&gt;='Loan Prepayment'!$B$9,AG47&lt;='Loan Prepayment'!$E$16),'Loan Prepayment'!$B$8,0)))</f>
        <v>0</v>
      </c>
      <c r="AN47">
        <f t="shared" si="15"/>
        <v>8091094.3857001392</v>
      </c>
    </row>
    <row r="48" spans="1:40" x14ac:dyDescent="0.35">
      <c r="A48">
        <v>47</v>
      </c>
      <c r="B48">
        <f t="shared" si="16"/>
        <v>9040982.5450950656</v>
      </c>
      <c r="C48" s="64">
        <f>'Loan Prepayment'!$B$6</f>
        <v>7.5</v>
      </c>
      <c r="D48">
        <f>IF(B48&lt;=0,0,MIN(-PMT('Loan Prepayment'!$B$6/1200,'Loan Prepayment'!$B$7*12,'Loan Prepayment'!$B$5),B48+E48))</f>
        <v>80559.31935518072</v>
      </c>
      <c r="E48">
        <f t="shared" si="0"/>
        <v>56506.140906844164</v>
      </c>
      <c r="F48">
        <f t="shared" si="1"/>
        <v>24053.178448336555</v>
      </c>
      <c r="G48">
        <v>0</v>
      </c>
      <c r="H48">
        <f t="shared" si="2"/>
        <v>9016929.3666467294</v>
      </c>
      <c r="I48">
        <v>47</v>
      </c>
      <c r="J48">
        <f t="shared" si="17"/>
        <v>8091094.3857001392</v>
      </c>
      <c r="K48" s="64">
        <f>'Loan Prepayment'!$B$6</f>
        <v>7.5</v>
      </c>
      <c r="L48">
        <f>IF(J48&lt;=0,0,MIN(IF(AND('Loan Prepayment'!$E$15="Reduce EMI",O47&gt;0),-PMT(K48/1200,MAX(1,'Loan Prepayment'!$B$7*12-I48+1),J48),L47),J48+M48))</f>
        <v>72095.378273255352</v>
      </c>
      <c r="M48">
        <f t="shared" si="3"/>
        <v>50569.339910625873</v>
      </c>
      <c r="N48">
        <f t="shared" si="4"/>
        <v>21526.038362629479</v>
      </c>
      <c r="O48">
        <f>IF(J48&lt;=0,0,MIN(MAX(0,J48-N48),SUMIFS('Loan Prepayment'!$B$12:$B$31,'Loan Prepayment'!$A$12:$A$31,I48)+0))</f>
        <v>0</v>
      </c>
      <c r="P48">
        <f t="shared" si="5"/>
        <v>8069568.3473375095</v>
      </c>
      <c r="Q48">
        <v>47</v>
      </c>
      <c r="R48">
        <f t="shared" si="18"/>
        <v>9040982.5450950656</v>
      </c>
      <c r="S48" s="64">
        <f>'Loan Prepayment'!$B$6</f>
        <v>7.5</v>
      </c>
      <c r="T48">
        <f>IF(R48&lt;=0,0,MIN(IF(AND('Loan Prepayment'!$E$15="Reduce EMI",W47&gt;0),-PMT(S48/1200,MAX(1,'Loan Prepayment'!$B$7*12-Q48+1),R48),T47),R48+U48))</f>
        <v>80559.31935518072</v>
      </c>
      <c r="U48">
        <f t="shared" si="6"/>
        <v>56506.140906844164</v>
      </c>
      <c r="V48">
        <f t="shared" si="7"/>
        <v>24053.178448336555</v>
      </c>
      <c r="W48">
        <f>IF(R48&lt;=0,0,MIN(MAX(0,R48-V48),0+IF(AND(Q48&gt;='Loan Prepayment'!$B$9,Q48&lt;='Loan Prepayment'!$E$16),'Loan Prepayment'!$B$8,0)))</f>
        <v>0</v>
      </c>
      <c r="X48">
        <f t="shared" si="8"/>
        <v>9016929.3666467294</v>
      </c>
      <c r="Y48">
        <v>47</v>
      </c>
      <c r="Z48">
        <f t="shared" si="19"/>
        <v>9040982.5450950656</v>
      </c>
      <c r="AA48">
        <f>IF(Y48&gt;='Loan Prepayment'!$E$11,'Loan Prepayment'!$E$12,'Loan Prepayment'!$B$6)</f>
        <v>7.5</v>
      </c>
      <c r="AB48">
        <f>IF(Z48&lt;=0,0,MIN(IF(Y48='Loan Prepayment'!$E$11,IF('Loan Prepayment'!$E$13="Keep tenure, recalculate EMI",-PMT(AA48/1200,MAX(1,'Loan Prepayment'!$B$7*12-Y48+1),Z48),AB47),AB47),Z48+AC48))</f>
        <v>80559.31935518072</v>
      </c>
      <c r="AC48">
        <f t="shared" si="9"/>
        <v>56506.140906844164</v>
      </c>
      <c r="AD48">
        <f t="shared" si="10"/>
        <v>24053.178448336555</v>
      </c>
      <c r="AE48">
        <f t="shared" si="11"/>
        <v>0</v>
      </c>
      <c r="AF48">
        <f t="shared" si="12"/>
        <v>9016929.3666467294</v>
      </c>
      <c r="AG48">
        <v>47</v>
      </c>
      <c r="AH48">
        <f t="shared" si="20"/>
        <v>8091094.3857001392</v>
      </c>
      <c r="AI48">
        <f>IF(AG48&gt;='Loan Prepayment'!$E$11,'Loan Prepayment'!$E$12,'Loan Prepayment'!$B$6)</f>
        <v>7.5</v>
      </c>
      <c r="AJ48">
        <f>IF(AH48&lt;=0,0,MIN(IF(AG48='Loan Prepayment'!$E$11,IF('Loan Prepayment'!$E$13="Keep tenure, recalculate EMI",-PMT(AI48/1200,MAX(1,'Loan Prepayment'!$B$7*12-AG48+1),AH48),IF(AND('Loan Prepayment'!$E$15="Reduce EMI",AM47&gt;0),-PMT(AI47/1200,MAX(1,'Loan Prepayment'!$B$7*12-AG48+1),AH48),AJ47)),IF(AND('Loan Prepayment'!$E$15="Reduce EMI",AM47&gt;0),-PMT(AI48/1200,MAX(1,'Loan Prepayment'!$B$7*12-AG48+1),AH48),AJ47)),AH48+AK48))</f>
        <v>72095.378273255352</v>
      </c>
      <c r="AK48">
        <f t="shared" si="13"/>
        <v>50569.339910625873</v>
      </c>
      <c r="AL48">
        <f t="shared" si="14"/>
        <v>21526.038362629479</v>
      </c>
      <c r="AM48">
        <f>IF(AH48&lt;=0,0,MIN(MAX(0,AH48-AL48),SUMIFS('Loan Prepayment'!$B$12:$B$31,'Loan Prepayment'!$A$12:$A$31,AG48)+IF(AND(AG48&gt;='Loan Prepayment'!$B$9,AG48&lt;='Loan Prepayment'!$E$16),'Loan Prepayment'!$B$8,0)))</f>
        <v>0</v>
      </c>
      <c r="AN48">
        <f t="shared" si="15"/>
        <v>8069568.3473375095</v>
      </c>
    </row>
    <row r="49" spans="1:40" x14ac:dyDescent="0.35">
      <c r="A49">
        <v>48</v>
      </c>
      <c r="B49">
        <f t="shared" si="16"/>
        <v>9016929.3666467294</v>
      </c>
      <c r="C49" s="64">
        <f>'Loan Prepayment'!$B$6</f>
        <v>7.5</v>
      </c>
      <c r="D49">
        <f>IF(B49&lt;=0,0,MIN(-PMT('Loan Prepayment'!$B$6/1200,'Loan Prepayment'!$B$7*12,'Loan Prepayment'!$B$5),B49+E49))</f>
        <v>80559.31935518072</v>
      </c>
      <c r="E49">
        <f t="shared" si="0"/>
        <v>56355.808541542057</v>
      </c>
      <c r="F49">
        <f t="shared" si="1"/>
        <v>24203.510813638663</v>
      </c>
      <c r="G49">
        <v>0</v>
      </c>
      <c r="H49">
        <f t="shared" si="2"/>
        <v>8992725.8558330908</v>
      </c>
      <c r="I49">
        <v>48</v>
      </c>
      <c r="J49">
        <f t="shared" si="17"/>
        <v>8069568.3473375095</v>
      </c>
      <c r="K49" s="64">
        <f>'Loan Prepayment'!$B$6</f>
        <v>7.5</v>
      </c>
      <c r="L49">
        <f>IF(J49&lt;=0,0,MIN(IF(AND('Loan Prepayment'!$E$15="Reduce EMI",O48&gt;0),-PMT(K49/1200,MAX(1,'Loan Prepayment'!$B$7*12-I49+1),J49),L48),J49+M49))</f>
        <v>72095.378273255352</v>
      </c>
      <c r="M49">
        <f t="shared" si="3"/>
        <v>50434.802170859431</v>
      </c>
      <c r="N49">
        <f t="shared" si="4"/>
        <v>21660.57610239592</v>
      </c>
      <c r="O49">
        <f>IF(J49&lt;=0,0,MIN(MAX(0,J49-N49),SUMIFS('Loan Prepayment'!$B$12:$B$31,'Loan Prepayment'!$A$12:$A$31,I49)+0))</f>
        <v>0</v>
      </c>
      <c r="P49">
        <f t="shared" si="5"/>
        <v>8047907.771235114</v>
      </c>
      <c r="Q49">
        <v>48</v>
      </c>
      <c r="R49">
        <f t="shared" si="18"/>
        <v>9016929.3666467294</v>
      </c>
      <c r="S49" s="64">
        <f>'Loan Prepayment'!$B$6</f>
        <v>7.5</v>
      </c>
      <c r="T49">
        <f>IF(R49&lt;=0,0,MIN(IF(AND('Loan Prepayment'!$E$15="Reduce EMI",W48&gt;0),-PMT(S49/1200,MAX(1,'Loan Prepayment'!$B$7*12-Q49+1),R49),T48),R49+U49))</f>
        <v>80559.31935518072</v>
      </c>
      <c r="U49">
        <f t="shared" si="6"/>
        <v>56355.808541542057</v>
      </c>
      <c r="V49">
        <f t="shared" si="7"/>
        <v>24203.510813638663</v>
      </c>
      <c r="W49">
        <f>IF(R49&lt;=0,0,MIN(MAX(0,R49-V49),0+IF(AND(Q49&gt;='Loan Prepayment'!$B$9,Q49&lt;='Loan Prepayment'!$E$16),'Loan Prepayment'!$B$8,0)))</f>
        <v>0</v>
      </c>
      <c r="X49">
        <f t="shared" si="8"/>
        <v>8992725.8558330908</v>
      </c>
      <c r="Y49">
        <v>48</v>
      </c>
      <c r="Z49">
        <f t="shared" si="19"/>
        <v>9016929.3666467294</v>
      </c>
      <c r="AA49">
        <f>IF(Y49&gt;='Loan Prepayment'!$E$11,'Loan Prepayment'!$E$12,'Loan Prepayment'!$B$6)</f>
        <v>7.5</v>
      </c>
      <c r="AB49">
        <f>IF(Z49&lt;=0,0,MIN(IF(Y49='Loan Prepayment'!$E$11,IF('Loan Prepayment'!$E$13="Keep tenure, recalculate EMI",-PMT(AA49/1200,MAX(1,'Loan Prepayment'!$B$7*12-Y49+1),Z49),AB48),AB48),Z49+AC49))</f>
        <v>80559.31935518072</v>
      </c>
      <c r="AC49">
        <f t="shared" si="9"/>
        <v>56355.808541542057</v>
      </c>
      <c r="AD49">
        <f t="shared" si="10"/>
        <v>24203.510813638663</v>
      </c>
      <c r="AE49">
        <f t="shared" si="11"/>
        <v>0</v>
      </c>
      <c r="AF49">
        <f t="shared" si="12"/>
        <v>8992725.8558330908</v>
      </c>
      <c r="AG49">
        <v>48</v>
      </c>
      <c r="AH49">
        <f t="shared" si="20"/>
        <v>8069568.3473375095</v>
      </c>
      <c r="AI49">
        <f>IF(AG49&gt;='Loan Prepayment'!$E$11,'Loan Prepayment'!$E$12,'Loan Prepayment'!$B$6)</f>
        <v>7.5</v>
      </c>
      <c r="AJ49">
        <f>IF(AH49&lt;=0,0,MIN(IF(AG49='Loan Prepayment'!$E$11,IF('Loan Prepayment'!$E$13="Keep tenure, recalculate EMI",-PMT(AI49/1200,MAX(1,'Loan Prepayment'!$B$7*12-AG49+1),AH49),IF(AND('Loan Prepayment'!$E$15="Reduce EMI",AM48&gt;0),-PMT(AI48/1200,MAX(1,'Loan Prepayment'!$B$7*12-AG49+1),AH49),AJ48)),IF(AND('Loan Prepayment'!$E$15="Reduce EMI",AM48&gt;0),-PMT(AI49/1200,MAX(1,'Loan Prepayment'!$B$7*12-AG49+1),AH49),AJ48)),AH49+AK49))</f>
        <v>72095.378273255352</v>
      </c>
      <c r="AK49">
        <f t="shared" si="13"/>
        <v>50434.802170859431</v>
      </c>
      <c r="AL49">
        <f t="shared" si="14"/>
        <v>21660.57610239592</v>
      </c>
      <c r="AM49">
        <f>IF(AH49&lt;=0,0,MIN(MAX(0,AH49-AL49),SUMIFS('Loan Prepayment'!$B$12:$B$31,'Loan Prepayment'!$A$12:$A$31,AG49)+IF(AND(AG49&gt;='Loan Prepayment'!$B$9,AG49&lt;='Loan Prepayment'!$E$16),'Loan Prepayment'!$B$8,0)))</f>
        <v>0</v>
      </c>
      <c r="AN49">
        <f t="shared" si="15"/>
        <v>8047907.771235114</v>
      </c>
    </row>
    <row r="50" spans="1:40" x14ac:dyDescent="0.35">
      <c r="A50">
        <v>49</v>
      </c>
      <c r="B50">
        <f t="shared" si="16"/>
        <v>8992725.8558330908</v>
      </c>
      <c r="C50" s="64">
        <f>'Loan Prepayment'!$B$6</f>
        <v>7.5</v>
      </c>
      <c r="D50">
        <f>IF(B50&lt;=0,0,MIN(-PMT('Loan Prepayment'!$B$6/1200,'Loan Prepayment'!$B$7*12,'Loan Prepayment'!$B$5),B50+E50))</f>
        <v>80559.31935518072</v>
      </c>
      <c r="E50">
        <f t="shared" si="0"/>
        <v>56204.536598956824</v>
      </c>
      <c r="F50">
        <f t="shared" si="1"/>
        <v>24354.782756223896</v>
      </c>
      <c r="G50">
        <v>0</v>
      </c>
      <c r="H50">
        <f t="shared" si="2"/>
        <v>8968371.0730768666</v>
      </c>
      <c r="I50">
        <v>49</v>
      </c>
      <c r="J50">
        <f t="shared" si="17"/>
        <v>8047907.771235114</v>
      </c>
      <c r="K50" s="64">
        <f>'Loan Prepayment'!$B$6</f>
        <v>7.5</v>
      </c>
      <c r="L50">
        <f>IF(J50&lt;=0,0,MIN(IF(AND('Loan Prepayment'!$E$15="Reduce EMI",O49&gt;0),-PMT(K50/1200,MAX(1,'Loan Prepayment'!$B$7*12-I50+1),J50),L49),J50+M50))</f>
        <v>72095.378273255352</v>
      </c>
      <c r="M50">
        <f t="shared" si="3"/>
        <v>50299.423570219464</v>
      </c>
      <c r="N50">
        <f t="shared" si="4"/>
        <v>21795.954703035888</v>
      </c>
      <c r="O50">
        <f>IF(J50&lt;=0,0,MIN(MAX(0,J50-N50),SUMIFS('Loan Prepayment'!$B$12:$B$31,'Loan Prepayment'!$A$12:$A$31,I50)+0))</f>
        <v>0</v>
      </c>
      <c r="P50">
        <f t="shared" si="5"/>
        <v>8026111.8165320782</v>
      </c>
      <c r="Q50">
        <v>49</v>
      </c>
      <c r="R50">
        <f t="shared" si="18"/>
        <v>8992725.8558330908</v>
      </c>
      <c r="S50" s="64">
        <f>'Loan Prepayment'!$B$6</f>
        <v>7.5</v>
      </c>
      <c r="T50">
        <f>IF(R50&lt;=0,0,MIN(IF(AND('Loan Prepayment'!$E$15="Reduce EMI",W49&gt;0),-PMT(S50/1200,MAX(1,'Loan Prepayment'!$B$7*12-Q50+1),R50),T49),R50+U50))</f>
        <v>80559.31935518072</v>
      </c>
      <c r="U50">
        <f t="shared" si="6"/>
        <v>56204.536598956824</v>
      </c>
      <c r="V50">
        <f t="shared" si="7"/>
        <v>24354.782756223896</v>
      </c>
      <c r="W50">
        <f>IF(R50&lt;=0,0,MIN(MAX(0,R50-V50),0+IF(AND(Q50&gt;='Loan Prepayment'!$B$9,Q50&lt;='Loan Prepayment'!$E$16),'Loan Prepayment'!$B$8,0)))</f>
        <v>0</v>
      </c>
      <c r="X50">
        <f t="shared" si="8"/>
        <v>8968371.0730768666</v>
      </c>
      <c r="Y50">
        <v>49</v>
      </c>
      <c r="Z50">
        <f t="shared" si="19"/>
        <v>8992725.8558330908</v>
      </c>
      <c r="AA50">
        <f>IF(Y50&gt;='Loan Prepayment'!$E$11,'Loan Prepayment'!$E$12,'Loan Prepayment'!$B$6)</f>
        <v>7.5</v>
      </c>
      <c r="AB50">
        <f>IF(Z50&lt;=0,0,MIN(IF(Y50='Loan Prepayment'!$E$11,IF('Loan Prepayment'!$E$13="Keep tenure, recalculate EMI",-PMT(AA50/1200,MAX(1,'Loan Prepayment'!$B$7*12-Y50+1),Z50),AB49),AB49),Z50+AC50))</f>
        <v>80559.31935518072</v>
      </c>
      <c r="AC50">
        <f t="shared" si="9"/>
        <v>56204.536598956824</v>
      </c>
      <c r="AD50">
        <f t="shared" si="10"/>
        <v>24354.782756223896</v>
      </c>
      <c r="AE50">
        <f t="shared" si="11"/>
        <v>0</v>
      </c>
      <c r="AF50">
        <f t="shared" si="12"/>
        <v>8968371.0730768666</v>
      </c>
      <c r="AG50">
        <v>49</v>
      </c>
      <c r="AH50">
        <f t="shared" si="20"/>
        <v>8047907.771235114</v>
      </c>
      <c r="AI50">
        <f>IF(AG50&gt;='Loan Prepayment'!$E$11,'Loan Prepayment'!$E$12,'Loan Prepayment'!$B$6)</f>
        <v>7.5</v>
      </c>
      <c r="AJ50">
        <f>IF(AH50&lt;=0,0,MIN(IF(AG50='Loan Prepayment'!$E$11,IF('Loan Prepayment'!$E$13="Keep tenure, recalculate EMI",-PMT(AI50/1200,MAX(1,'Loan Prepayment'!$B$7*12-AG50+1),AH50),IF(AND('Loan Prepayment'!$E$15="Reduce EMI",AM49&gt;0),-PMT(AI49/1200,MAX(1,'Loan Prepayment'!$B$7*12-AG50+1),AH50),AJ49)),IF(AND('Loan Prepayment'!$E$15="Reduce EMI",AM49&gt;0),-PMT(AI50/1200,MAX(1,'Loan Prepayment'!$B$7*12-AG50+1),AH50),AJ49)),AH50+AK50))</f>
        <v>72095.378273255352</v>
      </c>
      <c r="AK50">
        <f t="shared" si="13"/>
        <v>50299.423570219464</v>
      </c>
      <c r="AL50">
        <f t="shared" si="14"/>
        <v>21795.954703035888</v>
      </c>
      <c r="AM50">
        <f>IF(AH50&lt;=0,0,MIN(MAX(0,AH50-AL50),SUMIFS('Loan Prepayment'!$B$12:$B$31,'Loan Prepayment'!$A$12:$A$31,AG50)+IF(AND(AG50&gt;='Loan Prepayment'!$B$9,AG50&lt;='Loan Prepayment'!$E$16),'Loan Prepayment'!$B$8,0)))</f>
        <v>0</v>
      </c>
      <c r="AN50">
        <f t="shared" si="15"/>
        <v>8026111.8165320782</v>
      </c>
    </row>
    <row r="51" spans="1:40" x14ac:dyDescent="0.35">
      <c r="A51">
        <v>50</v>
      </c>
      <c r="B51">
        <f t="shared" si="16"/>
        <v>8968371.0730768666</v>
      </c>
      <c r="C51" s="64">
        <f>'Loan Prepayment'!$B$6</f>
        <v>7.5</v>
      </c>
      <c r="D51">
        <f>IF(B51&lt;=0,0,MIN(-PMT('Loan Prepayment'!$B$6/1200,'Loan Prepayment'!$B$7*12,'Loan Prepayment'!$B$5),B51+E51))</f>
        <v>80559.31935518072</v>
      </c>
      <c r="E51">
        <f t="shared" si="0"/>
        <v>56052.319206730412</v>
      </c>
      <c r="F51">
        <f t="shared" si="1"/>
        <v>24507.000148450308</v>
      </c>
      <c r="G51">
        <v>0</v>
      </c>
      <c r="H51">
        <f t="shared" si="2"/>
        <v>8943864.0729284156</v>
      </c>
      <c r="I51">
        <v>50</v>
      </c>
      <c r="J51">
        <f t="shared" si="17"/>
        <v>8026111.8165320782</v>
      </c>
      <c r="K51" s="64">
        <f>'Loan Prepayment'!$B$6</f>
        <v>7.5</v>
      </c>
      <c r="L51">
        <f>IF(J51&lt;=0,0,MIN(IF(AND('Loan Prepayment'!$E$15="Reduce EMI",O50&gt;0),-PMT(K51/1200,MAX(1,'Loan Prepayment'!$B$7*12-I51+1),J51),L50),J51+M51))</f>
        <v>72095.378273255352</v>
      </c>
      <c r="M51">
        <f t="shared" si="3"/>
        <v>50163.198853325492</v>
      </c>
      <c r="N51">
        <f t="shared" si="4"/>
        <v>21932.17941992986</v>
      </c>
      <c r="O51">
        <f>IF(J51&lt;=0,0,MIN(MAX(0,J51-N51),SUMIFS('Loan Prepayment'!$B$12:$B$31,'Loan Prepayment'!$A$12:$A$31,I51)+0))</f>
        <v>0</v>
      </c>
      <c r="P51">
        <f t="shared" si="5"/>
        <v>8004179.6371121481</v>
      </c>
      <c r="Q51">
        <v>50</v>
      </c>
      <c r="R51">
        <f t="shared" si="18"/>
        <v>8968371.0730768666</v>
      </c>
      <c r="S51" s="64">
        <f>'Loan Prepayment'!$B$6</f>
        <v>7.5</v>
      </c>
      <c r="T51">
        <f>IF(R51&lt;=0,0,MIN(IF(AND('Loan Prepayment'!$E$15="Reduce EMI",W50&gt;0),-PMT(S51/1200,MAX(1,'Loan Prepayment'!$B$7*12-Q51+1),R51),T50),R51+U51))</f>
        <v>80559.31935518072</v>
      </c>
      <c r="U51">
        <f t="shared" si="6"/>
        <v>56052.319206730412</v>
      </c>
      <c r="V51">
        <f t="shared" si="7"/>
        <v>24507.000148450308</v>
      </c>
      <c r="W51">
        <f>IF(R51&lt;=0,0,MIN(MAX(0,R51-V51),0+IF(AND(Q51&gt;='Loan Prepayment'!$B$9,Q51&lt;='Loan Prepayment'!$E$16),'Loan Prepayment'!$B$8,0)))</f>
        <v>0</v>
      </c>
      <c r="X51">
        <f t="shared" si="8"/>
        <v>8943864.0729284156</v>
      </c>
      <c r="Y51">
        <v>50</v>
      </c>
      <c r="Z51">
        <f t="shared" si="19"/>
        <v>8968371.0730768666</v>
      </c>
      <c r="AA51">
        <f>IF(Y51&gt;='Loan Prepayment'!$E$11,'Loan Prepayment'!$E$12,'Loan Prepayment'!$B$6)</f>
        <v>7.5</v>
      </c>
      <c r="AB51">
        <f>IF(Z51&lt;=0,0,MIN(IF(Y51='Loan Prepayment'!$E$11,IF('Loan Prepayment'!$E$13="Keep tenure, recalculate EMI",-PMT(AA51/1200,MAX(1,'Loan Prepayment'!$B$7*12-Y51+1),Z51),AB50),AB50),Z51+AC51))</f>
        <v>80559.31935518072</v>
      </c>
      <c r="AC51">
        <f t="shared" si="9"/>
        <v>56052.319206730412</v>
      </c>
      <c r="AD51">
        <f t="shared" si="10"/>
        <v>24507.000148450308</v>
      </c>
      <c r="AE51">
        <f t="shared" si="11"/>
        <v>0</v>
      </c>
      <c r="AF51">
        <f t="shared" si="12"/>
        <v>8943864.0729284156</v>
      </c>
      <c r="AG51">
        <v>50</v>
      </c>
      <c r="AH51">
        <f t="shared" si="20"/>
        <v>8026111.8165320782</v>
      </c>
      <c r="AI51">
        <f>IF(AG51&gt;='Loan Prepayment'!$E$11,'Loan Prepayment'!$E$12,'Loan Prepayment'!$B$6)</f>
        <v>7.5</v>
      </c>
      <c r="AJ51">
        <f>IF(AH51&lt;=0,0,MIN(IF(AG51='Loan Prepayment'!$E$11,IF('Loan Prepayment'!$E$13="Keep tenure, recalculate EMI",-PMT(AI51/1200,MAX(1,'Loan Prepayment'!$B$7*12-AG51+1),AH51),IF(AND('Loan Prepayment'!$E$15="Reduce EMI",AM50&gt;0),-PMT(AI50/1200,MAX(1,'Loan Prepayment'!$B$7*12-AG51+1),AH51),AJ50)),IF(AND('Loan Prepayment'!$E$15="Reduce EMI",AM50&gt;0),-PMT(AI51/1200,MAX(1,'Loan Prepayment'!$B$7*12-AG51+1),AH51),AJ50)),AH51+AK51))</f>
        <v>72095.378273255352</v>
      </c>
      <c r="AK51">
        <f t="shared" si="13"/>
        <v>50163.198853325492</v>
      </c>
      <c r="AL51">
        <f t="shared" si="14"/>
        <v>21932.17941992986</v>
      </c>
      <c r="AM51">
        <f>IF(AH51&lt;=0,0,MIN(MAX(0,AH51-AL51),SUMIFS('Loan Prepayment'!$B$12:$B$31,'Loan Prepayment'!$A$12:$A$31,AG51)+IF(AND(AG51&gt;='Loan Prepayment'!$B$9,AG51&lt;='Loan Prepayment'!$E$16),'Loan Prepayment'!$B$8,0)))</f>
        <v>0</v>
      </c>
      <c r="AN51">
        <f t="shared" si="15"/>
        <v>8004179.6371121481</v>
      </c>
    </row>
    <row r="52" spans="1:40" x14ac:dyDescent="0.35">
      <c r="A52">
        <v>51</v>
      </c>
      <c r="B52">
        <f t="shared" si="16"/>
        <v>8943864.0729284156</v>
      </c>
      <c r="C52" s="64">
        <f>'Loan Prepayment'!$B$6</f>
        <v>7.5</v>
      </c>
      <c r="D52">
        <f>IF(B52&lt;=0,0,MIN(-PMT('Loan Prepayment'!$B$6/1200,'Loan Prepayment'!$B$7*12,'Loan Prepayment'!$B$5),B52+E52))</f>
        <v>80559.31935518072</v>
      </c>
      <c r="E52">
        <f t="shared" si="0"/>
        <v>55899.150455802599</v>
      </c>
      <c r="F52">
        <f t="shared" si="1"/>
        <v>24660.168899378121</v>
      </c>
      <c r="G52">
        <v>0</v>
      </c>
      <c r="H52">
        <f t="shared" si="2"/>
        <v>8919203.9040290378</v>
      </c>
      <c r="I52">
        <v>51</v>
      </c>
      <c r="J52">
        <f t="shared" si="17"/>
        <v>8004179.6371121481</v>
      </c>
      <c r="K52" s="64">
        <f>'Loan Prepayment'!$B$6</f>
        <v>7.5</v>
      </c>
      <c r="L52">
        <f>IF(J52&lt;=0,0,MIN(IF(AND('Loan Prepayment'!$E$15="Reduce EMI",O51&gt;0),-PMT(K52/1200,MAX(1,'Loan Prepayment'!$B$7*12-I52+1),J52),L51),J52+M52))</f>
        <v>72095.378273255352</v>
      </c>
      <c r="M52">
        <f t="shared" si="3"/>
        <v>50026.122731950927</v>
      </c>
      <c r="N52">
        <f t="shared" si="4"/>
        <v>22069.255541304425</v>
      </c>
      <c r="O52">
        <f>IF(J52&lt;=0,0,MIN(MAX(0,J52-N52),SUMIFS('Loan Prepayment'!$B$12:$B$31,'Loan Prepayment'!$A$12:$A$31,I52)+0))</f>
        <v>0</v>
      </c>
      <c r="P52">
        <f t="shared" si="5"/>
        <v>7982110.381570844</v>
      </c>
      <c r="Q52">
        <v>51</v>
      </c>
      <c r="R52">
        <f t="shared" si="18"/>
        <v>8943864.0729284156</v>
      </c>
      <c r="S52" s="64">
        <f>'Loan Prepayment'!$B$6</f>
        <v>7.5</v>
      </c>
      <c r="T52">
        <f>IF(R52&lt;=0,0,MIN(IF(AND('Loan Prepayment'!$E$15="Reduce EMI",W51&gt;0),-PMT(S52/1200,MAX(1,'Loan Prepayment'!$B$7*12-Q52+1),R52),T51),R52+U52))</f>
        <v>80559.31935518072</v>
      </c>
      <c r="U52">
        <f t="shared" si="6"/>
        <v>55899.150455802599</v>
      </c>
      <c r="V52">
        <f t="shared" si="7"/>
        <v>24660.168899378121</v>
      </c>
      <c r="W52">
        <f>IF(R52&lt;=0,0,MIN(MAX(0,R52-V52),0+IF(AND(Q52&gt;='Loan Prepayment'!$B$9,Q52&lt;='Loan Prepayment'!$E$16),'Loan Prepayment'!$B$8,0)))</f>
        <v>0</v>
      </c>
      <c r="X52">
        <f t="shared" si="8"/>
        <v>8919203.9040290378</v>
      </c>
      <c r="Y52">
        <v>51</v>
      </c>
      <c r="Z52">
        <f t="shared" si="19"/>
        <v>8943864.0729284156</v>
      </c>
      <c r="AA52">
        <f>IF(Y52&gt;='Loan Prepayment'!$E$11,'Loan Prepayment'!$E$12,'Loan Prepayment'!$B$6)</f>
        <v>7.5</v>
      </c>
      <c r="AB52">
        <f>IF(Z52&lt;=0,0,MIN(IF(Y52='Loan Prepayment'!$E$11,IF('Loan Prepayment'!$E$13="Keep tenure, recalculate EMI",-PMT(AA52/1200,MAX(1,'Loan Prepayment'!$B$7*12-Y52+1),Z52),AB51),AB51),Z52+AC52))</f>
        <v>80559.31935518072</v>
      </c>
      <c r="AC52">
        <f t="shared" si="9"/>
        <v>55899.150455802599</v>
      </c>
      <c r="AD52">
        <f t="shared" si="10"/>
        <v>24660.168899378121</v>
      </c>
      <c r="AE52">
        <f t="shared" si="11"/>
        <v>0</v>
      </c>
      <c r="AF52">
        <f t="shared" si="12"/>
        <v>8919203.9040290378</v>
      </c>
      <c r="AG52">
        <v>51</v>
      </c>
      <c r="AH52">
        <f t="shared" si="20"/>
        <v>8004179.6371121481</v>
      </c>
      <c r="AI52">
        <f>IF(AG52&gt;='Loan Prepayment'!$E$11,'Loan Prepayment'!$E$12,'Loan Prepayment'!$B$6)</f>
        <v>7.5</v>
      </c>
      <c r="AJ52">
        <f>IF(AH52&lt;=0,0,MIN(IF(AG52='Loan Prepayment'!$E$11,IF('Loan Prepayment'!$E$13="Keep tenure, recalculate EMI",-PMT(AI52/1200,MAX(1,'Loan Prepayment'!$B$7*12-AG52+1),AH52),IF(AND('Loan Prepayment'!$E$15="Reduce EMI",AM51&gt;0),-PMT(AI51/1200,MAX(1,'Loan Prepayment'!$B$7*12-AG52+1),AH52),AJ51)),IF(AND('Loan Prepayment'!$E$15="Reduce EMI",AM51&gt;0),-PMT(AI52/1200,MAX(1,'Loan Prepayment'!$B$7*12-AG52+1),AH52),AJ51)),AH52+AK52))</f>
        <v>72095.378273255352</v>
      </c>
      <c r="AK52">
        <f t="shared" si="13"/>
        <v>50026.122731950927</v>
      </c>
      <c r="AL52">
        <f t="shared" si="14"/>
        <v>22069.255541304425</v>
      </c>
      <c r="AM52">
        <f>IF(AH52&lt;=0,0,MIN(MAX(0,AH52-AL52),SUMIFS('Loan Prepayment'!$B$12:$B$31,'Loan Prepayment'!$A$12:$A$31,AG52)+IF(AND(AG52&gt;='Loan Prepayment'!$B$9,AG52&lt;='Loan Prepayment'!$E$16),'Loan Prepayment'!$B$8,0)))</f>
        <v>0</v>
      </c>
      <c r="AN52">
        <f t="shared" si="15"/>
        <v>7982110.381570844</v>
      </c>
    </row>
    <row r="53" spans="1:40" x14ac:dyDescent="0.35">
      <c r="A53">
        <v>52</v>
      </c>
      <c r="B53">
        <f t="shared" si="16"/>
        <v>8919203.9040290378</v>
      </c>
      <c r="C53" s="64">
        <f>'Loan Prepayment'!$B$6</f>
        <v>7.5</v>
      </c>
      <c r="D53">
        <f>IF(B53&lt;=0,0,MIN(-PMT('Loan Prepayment'!$B$6/1200,'Loan Prepayment'!$B$7*12,'Loan Prepayment'!$B$5),B53+E53))</f>
        <v>80559.31935518072</v>
      </c>
      <c r="E53">
        <f t="shared" si="0"/>
        <v>55745.024400181486</v>
      </c>
      <c r="F53">
        <f t="shared" si="1"/>
        <v>24814.294954999234</v>
      </c>
      <c r="G53">
        <v>0</v>
      </c>
      <c r="H53">
        <f t="shared" si="2"/>
        <v>8894389.6090740394</v>
      </c>
      <c r="I53">
        <v>52</v>
      </c>
      <c r="J53">
        <f t="shared" si="17"/>
        <v>7982110.381570844</v>
      </c>
      <c r="K53" s="64">
        <f>'Loan Prepayment'!$B$6</f>
        <v>7.5</v>
      </c>
      <c r="L53">
        <f>IF(J53&lt;=0,0,MIN(IF(AND('Loan Prepayment'!$E$15="Reduce EMI",O52&gt;0),-PMT(K53/1200,MAX(1,'Loan Prepayment'!$B$7*12-I53+1),J53),L52),J53+M53))</f>
        <v>72095.378273255352</v>
      </c>
      <c r="M53">
        <f t="shared" si="3"/>
        <v>49888.189884817773</v>
      </c>
      <c r="N53">
        <f t="shared" si="4"/>
        <v>22207.188388437578</v>
      </c>
      <c r="O53">
        <f>IF(J53&lt;=0,0,MIN(MAX(0,J53-N53),SUMIFS('Loan Prepayment'!$B$12:$B$31,'Loan Prepayment'!$A$12:$A$31,I53)+0))</f>
        <v>0</v>
      </c>
      <c r="P53">
        <f t="shared" si="5"/>
        <v>7959903.193182406</v>
      </c>
      <c r="Q53">
        <v>52</v>
      </c>
      <c r="R53">
        <f t="shared" si="18"/>
        <v>8919203.9040290378</v>
      </c>
      <c r="S53" s="64">
        <f>'Loan Prepayment'!$B$6</f>
        <v>7.5</v>
      </c>
      <c r="T53">
        <f>IF(R53&lt;=0,0,MIN(IF(AND('Loan Prepayment'!$E$15="Reduce EMI",W52&gt;0),-PMT(S53/1200,MAX(1,'Loan Prepayment'!$B$7*12-Q53+1),R53),T52),R53+U53))</f>
        <v>80559.31935518072</v>
      </c>
      <c r="U53">
        <f t="shared" si="6"/>
        <v>55745.024400181486</v>
      </c>
      <c r="V53">
        <f t="shared" si="7"/>
        <v>24814.294954999234</v>
      </c>
      <c r="W53">
        <f>IF(R53&lt;=0,0,MIN(MAX(0,R53-V53),0+IF(AND(Q53&gt;='Loan Prepayment'!$B$9,Q53&lt;='Loan Prepayment'!$E$16),'Loan Prepayment'!$B$8,0)))</f>
        <v>0</v>
      </c>
      <c r="X53">
        <f t="shared" si="8"/>
        <v>8894389.6090740394</v>
      </c>
      <c r="Y53">
        <v>52</v>
      </c>
      <c r="Z53">
        <f t="shared" si="19"/>
        <v>8919203.9040290378</v>
      </c>
      <c r="AA53">
        <f>IF(Y53&gt;='Loan Prepayment'!$E$11,'Loan Prepayment'!$E$12,'Loan Prepayment'!$B$6)</f>
        <v>7.5</v>
      </c>
      <c r="AB53">
        <f>IF(Z53&lt;=0,0,MIN(IF(Y53='Loan Prepayment'!$E$11,IF('Loan Prepayment'!$E$13="Keep tenure, recalculate EMI",-PMT(AA53/1200,MAX(1,'Loan Prepayment'!$B$7*12-Y53+1),Z53),AB52),AB52),Z53+AC53))</f>
        <v>80559.31935518072</v>
      </c>
      <c r="AC53">
        <f t="shared" si="9"/>
        <v>55745.024400181486</v>
      </c>
      <c r="AD53">
        <f t="shared" si="10"/>
        <v>24814.294954999234</v>
      </c>
      <c r="AE53">
        <f t="shared" si="11"/>
        <v>0</v>
      </c>
      <c r="AF53">
        <f t="shared" si="12"/>
        <v>8894389.6090740394</v>
      </c>
      <c r="AG53">
        <v>52</v>
      </c>
      <c r="AH53">
        <f t="shared" si="20"/>
        <v>7982110.381570844</v>
      </c>
      <c r="AI53">
        <f>IF(AG53&gt;='Loan Prepayment'!$E$11,'Loan Prepayment'!$E$12,'Loan Prepayment'!$B$6)</f>
        <v>7.5</v>
      </c>
      <c r="AJ53">
        <f>IF(AH53&lt;=0,0,MIN(IF(AG53='Loan Prepayment'!$E$11,IF('Loan Prepayment'!$E$13="Keep tenure, recalculate EMI",-PMT(AI53/1200,MAX(1,'Loan Prepayment'!$B$7*12-AG53+1),AH53),IF(AND('Loan Prepayment'!$E$15="Reduce EMI",AM52&gt;0),-PMT(AI52/1200,MAX(1,'Loan Prepayment'!$B$7*12-AG53+1),AH53),AJ52)),IF(AND('Loan Prepayment'!$E$15="Reduce EMI",AM52&gt;0),-PMT(AI53/1200,MAX(1,'Loan Prepayment'!$B$7*12-AG53+1),AH53),AJ52)),AH53+AK53))</f>
        <v>72095.378273255352</v>
      </c>
      <c r="AK53">
        <f t="shared" si="13"/>
        <v>49888.189884817773</v>
      </c>
      <c r="AL53">
        <f t="shared" si="14"/>
        <v>22207.188388437578</v>
      </c>
      <c r="AM53">
        <f>IF(AH53&lt;=0,0,MIN(MAX(0,AH53-AL53),SUMIFS('Loan Prepayment'!$B$12:$B$31,'Loan Prepayment'!$A$12:$A$31,AG53)+IF(AND(AG53&gt;='Loan Prepayment'!$B$9,AG53&lt;='Loan Prepayment'!$E$16),'Loan Prepayment'!$B$8,0)))</f>
        <v>0</v>
      </c>
      <c r="AN53">
        <f t="shared" si="15"/>
        <v>7959903.193182406</v>
      </c>
    </row>
    <row r="54" spans="1:40" x14ac:dyDescent="0.35">
      <c r="A54">
        <v>53</v>
      </c>
      <c r="B54">
        <f t="shared" si="16"/>
        <v>8894389.6090740394</v>
      </c>
      <c r="C54" s="64">
        <f>'Loan Prepayment'!$B$6</f>
        <v>7.5</v>
      </c>
      <c r="D54">
        <f>IF(B54&lt;=0,0,MIN(-PMT('Loan Prepayment'!$B$6/1200,'Loan Prepayment'!$B$7*12,'Loan Prepayment'!$B$5),B54+E54))</f>
        <v>80559.31935518072</v>
      </c>
      <c r="E54">
        <f t="shared" si="0"/>
        <v>55589.935056712748</v>
      </c>
      <c r="F54">
        <f t="shared" si="1"/>
        <v>24969.384298467972</v>
      </c>
      <c r="G54">
        <v>0</v>
      </c>
      <c r="H54">
        <f t="shared" si="2"/>
        <v>8869420.2247755714</v>
      </c>
      <c r="I54">
        <v>53</v>
      </c>
      <c r="J54">
        <f t="shared" si="17"/>
        <v>7959903.193182406</v>
      </c>
      <c r="K54" s="64">
        <f>'Loan Prepayment'!$B$6</f>
        <v>7.5</v>
      </c>
      <c r="L54">
        <f>IF(J54&lt;=0,0,MIN(IF(AND('Loan Prepayment'!$E$15="Reduce EMI",O53&gt;0),-PMT(K54/1200,MAX(1,'Loan Prepayment'!$B$7*12-I54+1),J54),L53),J54+M54))</f>
        <v>72095.378273255352</v>
      </c>
      <c r="M54">
        <f t="shared" si="3"/>
        <v>49749.394957390039</v>
      </c>
      <c r="N54">
        <f t="shared" si="4"/>
        <v>22345.983315865313</v>
      </c>
      <c r="O54">
        <f>IF(J54&lt;=0,0,MIN(MAX(0,J54-N54),SUMIFS('Loan Prepayment'!$B$12:$B$31,'Loan Prepayment'!$A$12:$A$31,I54)+0))</f>
        <v>0</v>
      </c>
      <c r="P54">
        <f t="shared" si="5"/>
        <v>7937557.2098665405</v>
      </c>
      <c r="Q54">
        <v>53</v>
      </c>
      <c r="R54">
        <f t="shared" si="18"/>
        <v>8894389.6090740394</v>
      </c>
      <c r="S54" s="64">
        <f>'Loan Prepayment'!$B$6</f>
        <v>7.5</v>
      </c>
      <c r="T54">
        <f>IF(R54&lt;=0,0,MIN(IF(AND('Loan Prepayment'!$E$15="Reduce EMI",W53&gt;0),-PMT(S54/1200,MAX(1,'Loan Prepayment'!$B$7*12-Q54+1),R54),T53),R54+U54))</f>
        <v>80559.31935518072</v>
      </c>
      <c r="U54">
        <f t="shared" si="6"/>
        <v>55589.935056712748</v>
      </c>
      <c r="V54">
        <f t="shared" si="7"/>
        <v>24969.384298467972</v>
      </c>
      <c r="W54">
        <f>IF(R54&lt;=0,0,MIN(MAX(0,R54-V54),0+IF(AND(Q54&gt;='Loan Prepayment'!$B$9,Q54&lt;='Loan Prepayment'!$E$16),'Loan Prepayment'!$B$8,0)))</f>
        <v>0</v>
      </c>
      <c r="X54">
        <f t="shared" si="8"/>
        <v>8869420.2247755714</v>
      </c>
      <c r="Y54">
        <v>53</v>
      </c>
      <c r="Z54">
        <f t="shared" si="19"/>
        <v>8894389.6090740394</v>
      </c>
      <c r="AA54">
        <f>IF(Y54&gt;='Loan Prepayment'!$E$11,'Loan Prepayment'!$E$12,'Loan Prepayment'!$B$6)</f>
        <v>7.5</v>
      </c>
      <c r="AB54">
        <f>IF(Z54&lt;=0,0,MIN(IF(Y54='Loan Prepayment'!$E$11,IF('Loan Prepayment'!$E$13="Keep tenure, recalculate EMI",-PMT(AA54/1200,MAX(1,'Loan Prepayment'!$B$7*12-Y54+1),Z54),AB53),AB53),Z54+AC54))</f>
        <v>80559.31935518072</v>
      </c>
      <c r="AC54">
        <f t="shared" si="9"/>
        <v>55589.935056712748</v>
      </c>
      <c r="AD54">
        <f t="shared" si="10"/>
        <v>24969.384298467972</v>
      </c>
      <c r="AE54">
        <f t="shared" si="11"/>
        <v>0</v>
      </c>
      <c r="AF54">
        <f t="shared" si="12"/>
        <v>8869420.2247755714</v>
      </c>
      <c r="AG54">
        <v>53</v>
      </c>
      <c r="AH54">
        <f t="shared" si="20"/>
        <v>7959903.193182406</v>
      </c>
      <c r="AI54">
        <f>IF(AG54&gt;='Loan Prepayment'!$E$11,'Loan Prepayment'!$E$12,'Loan Prepayment'!$B$6)</f>
        <v>7.5</v>
      </c>
      <c r="AJ54">
        <f>IF(AH54&lt;=0,0,MIN(IF(AG54='Loan Prepayment'!$E$11,IF('Loan Prepayment'!$E$13="Keep tenure, recalculate EMI",-PMT(AI54/1200,MAX(1,'Loan Prepayment'!$B$7*12-AG54+1),AH54),IF(AND('Loan Prepayment'!$E$15="Reduce EMI",AM53&gt;0),-PMT(AI53/1200,MAX(1,'Loan Prepayment'!$B$7*12-AG54+1),AH54),AJ53)),IF(AND('Loan Prepayment'!$E$15="Reduce EMI",AM53&gt;0),-PMT(AI54/1200,MAX(1,'Loan Prepayment'!$B$7*12-AG54+1),AH54),AJ53)),AH54+AK54))</f>
        <v>72095.378273255352</v>
      </c>
      <c r="AK54">
        <f t="shared" si="13"/>
        <v>49749.394957390039</v>
      </c>
      <c r="AL54">
        <f t="shared" si="14"/>
        <v>22345.983315865313</v>
      </c>
      <c r="AM54">
        <f>IF(AH54&lt;=0,0,MIN(MAX(0,AH54-AL54),SUMIFS('Loan Prepayment'!$B$12:$B$31,'Loan Prepayment'!$A$12:$A$31,AG54)+IF(AND(AG54&gt;='Loan Prepayment'!$B$9,AG54&lt;='Loan Prepayment'!$E$16),'Loan Prepayment'!$B$8,0)))</f>
        <v>0</v>
      </c>
      <c r="AN54">
        <f t="shared" si="15"/>
        <v>7937557.2098665405</v>
      </c>
    </row>
    <row r="55" spans="1:40" x14ac:dyDescent="0.35">
      <c r="A55">
        <v>54</v>
      </c>
      <c r="B55">
        <f t="shared" si="16"/>
        <v>8869420.2247755714</v>
      </c>
      <c r="C55" s="64">
        <f>'Loan Prepayment'!$B$6</f>
        <v>7.5</v>
      </c>
      <c r="D55">
        <f>IF(B55&lt;=0,0,MIN(-PMT('Loan Prepayment'!$B$6/1200,'Loan Prepayment'!$B$7*12,'Loan Prepayment'!$B$5),B55+E55))</f>
        <v>80559.31935518072</v>
      </c>
      <c r="E55">
        <f t="shared" si="0"/>
        <v>55433.876404847324</v>
      </c>
      <c r="F55">
        <f t="shared" si="1"/>
        <v>25125.442950333396</v>
      </c>
      <c r="G55">
        <v>0</v>
      </c>
      <c r="H55">
        <f t="shared" si="2"/>
        <v>8844294.7818252388</v>
      </c>
      <c r="I55">
        <v>54</v>
      </c>
      <c r="J55">
        <f t="shared" si="17"/>
        <v>7937557.2098665405</v>
      </c>
      <c r="K55" s="64">
        <f>'Loan Prepayment'!$B$6</f>
        <v>7.5</v>
      </c>
      <c r="L55">
        <f>IF(J55&lt;=0,0,MIN(IF(AND('Loan Prepayment'!$E$15="Reduce EMI",O54&gt;0),-PMT(K55/1200,MAX(1,'Loan Prepayment'!$B$7*12-I55+1),J55),L54),J55+M55))</f>
        <v>72095.378273255352</v>
      </c>
      <c r="M55">
        <f t="shared" si="3"/>
        <v>49609.732561665878</v>
      </c>
      <c r="N55">
        <f t="shared" si="4"/>
        <v>22485.645711589474</v>
      </c>
      <c r="O55">
        <f>IF(J55&lt;=0,0,MIN(MAX(0,J55-N55),SUMIFS('Loan Prepayment'!$B$12:$B$31,'Loan Prepayment'!$A$12:$A$31,I55)+0))</f>
        <v>0</v>
      </c>
      <c r="P55">
        <f t="shared" si="5"/>
        <v>7915071.5641549509</v>
      </c>
      <c r="Q55">
        <v>54</v>
      </c>
      <c r="R55">
        <f t="shared" si="18"/>
        <v>8869420.2247755714</v>
      </c>
      <c r="S55" s="64">
        <f>'Loan Prepayment'!$B$6</f>
        <v>7.5</v>
      </c>
      <c r="T55">
        <f>IF(R55&lt;=0,0,MIN(IF(AND('Loan Prepayment'!$E$15="Reduce EMI",W54&gt;0),-PMT(S55/1200,MAX(1,'Loan Prepayment'!$B$7*12-Q55+1),R55),T54),R55+U55))</f>
        <v>80559.31935518072</v>
      </c>
      <c r="U55">
        <f t="shared" si="6"/>
        <v>55433.876404847324</v>
      </c>
      <c r="V55">
        <f t="shared" si="7"/>
        <v>25125.442950333396</v>
      </c>
      <c r="W55">
        <f>IF(R55&lt;=0,0,MIN(MAX(0,R55-V55),0+IF(AND(Q55&gt;='Loan Prepayment'!$B$9,Q55&lt;='Loan Prepayment'!$E$16),'Loan Prepayment'!$B$8,0)))</f>
        <v>0</v>
      </c>
      <c r="X55">
        <f t="shared" si="8"/>
        <v>8844294.7818252388</v>
      </c>
      <c r="Y55">
        <v>54</v>
      </c>
      <c r="Z55">
        <f t="shared" si="19"/>
        <v>8869420.2247755714</v>
      </c>
      <c r="AA55">
        <f>IF(Y55&gt;='Loan Prepayment'!$E$11,'Loan Prepayment'!$E$12,'Loan Prepayment'!$B$6)</f>
        <v>7.5</v>
      </c>
      <c r="AB55">
        <f>IF(Z55&lt;=0,0,MIN(IF(Y55='Loan Prepayment'!$E$11,IF('Loan Prepayment'!$E$13="Keep tenure, recalculate EMI",-PMT(AA55/1200,MAX(1,'Loan Prepayment'!$B$7*12-Y55+1),Z55),AB54),AB54),Z55+AC55))</f>
        <v>80559.31935518072</v>
      </c>
      <c r="AC55">
        <f t="shared" si="9"/>
        <v>55433.876404847324</v>
      </c>
      <c r="AD55">
        <f t="shared" si="10"/>
        <v>25125.442950333396</v>
      </c>
      <c r="AE55">
        <f t="shared" si="11"/>
        <v>0</v>
      </c>
      <c r="AF55">
        <f t="shared" si="12"/>
        <v>8844294.7818252388</v>
      </c>
      <c r="AG55">
        <v>54</v>
      </c>
      <c r="AH55">
        <f t="shared" si="20"/>
        <v>7937557.2098665405</v>
      </c>
      <c r="AI55">
        <f>IF(AG55&gt;='Loan Prepayment'!$E$11,'Loan Prepayment'!$E$12,'Loan Prepayment'!$B$6)</f>
        <v>7.5</v>
      </c>
      <c r="AJ55">
        <f>IF(AH55&lt;=0,0,MIN(IF(AG55='Loan Prepayment'!$E$11,IF('Loan Prepayment'!$E$13="Keep tenure, recalculate EMI",-PMT(AI55/1200,MAX(1,'Loan Prepayment'!$B$7*12-AG55+1),AH55),IF(AND('Loan Prepayment'!$E$15="Reduce EMI",AM54&gt;0),-PMT(AI54/1200,MAX(1,'Loan Prepayment'!$B$7*12-AG55+1),AH55),AJ54)),IF(AND('Loan Prepayment'!$E$15="Reduce EMI",AM54&gt;0),-PMT(AI55/1200,MAX(1,'Loan Prepayment'!$B$7*12-AG55+1),AH55),AJ54)),AH55+AK55))</f>
        <v>72095.378273255352</v>
      </c>
      <c r="AK55">
        <f t="shared" si="13"/>
        <v>49609.732561665878</v>
      </c>
      <c r="AL55">
        <f t="shared" si="14"/>
        <v>22485.645711589474</v>
      </c>
      <c r="AM55">
        <f>IF(AH55&lt;=0,0,MIN(MAX(0,AH55-AL55),SUMIFS('Loan Prepayment'!$B$12:$B$31,'Loan Prepayment'!$A$12:$A$31,AG55)+IF(AND(AG55&gt;='Loan Prepayment'!$B$9,AG55&lt;='Loan Prepayment'!$E$16),'Loan Prepayment'!$B$8,0)))</f>
        <v>0</v>
      </c>
      <c r="AN55">
        <f t="shared" si="15"/>
        <v>7915071.5641549509</v>
      </c>
    </row>
    <row r="56" spans="1:40" x14ac:dyDescent="0.35">
      <c r="A56">
        <v>55</v>
      </c>
      <c r="B56">
        <f t="shared" si="16"/>
        <v>8844294.7818252388</v>
      </c>
      <c r="C56" s="64">
        <f>'Loan Prepayment'!$B$6</f>
        <v>7.5</v>
      </c>
      <c r="D56">
        <f>IF(B56&lt;=0,0,MIN(-PMT('Loan Prepayment'!$B$6/1200,'Loan Prepayment'!$B$7*12,'Loan Prepayment'!$B$5),B56+E56))</f>
        <v>80559.31935518072</v>
      </c>
      <c r="E56">
        <f t="shared" si="0"/>
        <v>55276.842386407741</v>
      </c>
      <c r="F56">
        <f t="shared" si="1"/>
        <v>25282.476968772979</v>
      </c>
      <c r="G56">
        <v>0</v>
      </c>
      <c r="H56">
        <f t="shared" si="2"/>
        <v>8819012.3048564661</v>
      </c>
      <c r="I56">
        <v>55</v>
      </c>
      <c r="J56">
        <f t="shared" si="17"/>
        <v>7915071.5641549509</v>
      </c>
      <c r="K56" s="64">
        <f>'Loan Prepayment'!$B$6</f>
        <v>7.5</v>
      </c>
      <c r="L56">
        <f>IF(J56&lt;=0,0,MIN(IF(AND('Loan Prepayment'!$E$15="Reduce EMI",O55&gt;0),-PMT(K56/1200,MAX(1,'Loan Prepayment'!$B$7*12-I56+1),J56),L55),J56+M56))</f>
        <v>72095.378273255352</v>
      </c>
      <c r="M56">
        <f t="shared" si="3"/>
        <v>49469.197275968443</v>
      </c>
      <c r="N56">
        <f t="shared" si="4"/>
        <v>22626.180997286909</v>
      </c>
      <c r="O56">
        <f>IF(J56&lt;=0,0,MIN(MAX(0,J56-N56),SUMIFS('Loan Prepayment'!$B$12:$B$31,'Loan Prepayment'!$A$12:$A$31,I56)+0))</f>
        <v>0</v>
      </c>
      <c r="P56">
        <f t="shared" si="5"/>
        <v>7892445.383157664</v>
      </c>
      <c r="Q56">
        <v>55</v>
      </c>
      <c r="R56">
        <f t="shared" si="18"/>
        <v>8844294.7818252388</v>
      </c>
      <c r="S56" s="64">
        <f>'Loan Prepayment'!$B$6</f>
        <v>7.5</v>
      </c>
      <c r="T56">
        <f>IF(R56&lt;=0,0,MIN(IF(AND('Loan Prepayment'!$E$15="Reduce EMI",W55&gt;0),-PMT(S56/1200,MAX(1,'Loan Prepayment'!$B$7*12-Q56+1),R56),T55),R56+U56))</f>
        <v>80559.31935518072</v>
      </c>
      <c r="U56">
        <f t="shared" si="6"/>
        <v>55276.842386407741</v>
      </c>
      <c r="V56">
        <f t="shared" si="7"/>
        <v>25282.476968772979</v>
      </c>
      <c r="W56">
        <f>IF(R56&lt;=0,0,MIN(MAX(0,R56-V56),0+IF(AND(Q56&gt;='Loan Prepayment'!$B$9,Q56&lt;='Loan Prepayment'!$E$16),'Loan Prepayment'!$B$8,0)))</f>
        <v>0</v>
      </c>
      <c r="X56">
        <f t="shared" si="8"/>
        <v>8819012.3048564661</v>
      </c>
      <c r="Y56">
        <v>55</v>
      </c>
      <c r="Z56">
        <f t="shared" si="19"/>
        <v>8844294.7818252388</v>
      </c>
      <c r="AA56">
        <f>IF(Y56&gt;='Loan Prepayment'!$E$11,'Loan Prepayment'!$E$12,'Loan Prepayment'!$B$6)</f>
        <v>7.5</v>
      </c>
      <c r="AB56">
        <f>IF(Z56&lt;=0,0,MIN(IF(Y56='Loan Prepayment'!$E$11,IF('Loan Prepayment'!$E$13="Keep tenure, recalculate EMI",-PMT(AA56/1200,MAX(1,'Loan Prepayment'!$B$7*12-Y56+1),Z56),AB55),AB55),Z56+AC56))</f>
        <v>80559.31935518072</v>
      </c>
      <c r="AC56">
        <f t="shared" si="9"/>
        <v>55276.842386407741</v>
      </c>
      <c r="AD56">
        <f t="shared" si="10"/>
        <v>25282.476968772979</v>
      </c>
      <c r="AE56">
        <f t="shared" si="11"/>
        <v>0</v>
      </c>
      <c r="AF56">
        <f t="shared" si="12"/>
        <v>8819012.3048564661</v>
      </c>
      <c r="AG56">
        <v>55</v>
      </c>
      <c r="AH56">
        <f t="shared" si="20"/>
        <v>7915071.5641549509</v>
      </c>
      <c r="AI56">
        <f>IF(AG56&gt;='Loan Prepayment'!$E$11,'Loan Prepayment'!$E$12,'Loan Prepayment'!$B$6)</f>
        <v>7.5</v>
      </c>
      <c r="AJ56">
        <f>IF(AH56&lt;=0,0,MIN(IF(AG56='Loan Prepayment'!$E$11,IF('Loan Prepayment'!$E$13="Keep tenure, recalculate EMI",-PMT(AI56/1200,MAX(1,'Loan Prepayment'!$B$7*12-AG56+1),AH56),IF(AND('Loan Prepayment'!$E$15="Reduce EMI",AM55&gt;0),-PMT(AI55/1200,MAX(1,'Loan Prepayment'!$B$7*12-AG56+1),AH56),AJ55)),IF(AND('Loan Prepayment'!$E$15="Reduce EMI",AM55&gt;0),-PMT(AI56/1200,MAX(1,'Loan Prepayment'!$B$7*12-AG56+1),AH56),AJ55)),AH56+AK56))</f>
        <v>72095.378273255352</v>
      </c>
      <c r="AK56">
        <f t="shared" si="13"/>
        <v>49469.197275968443</v>
      </c>
      <c r="AL56">
        <f t="shared" si="14"/>
        <v>22626.180997286909</v>
      </c>
      <c r="AM56">
        <f>IF(AH56&lt;=0,0,MIN(MAX(0,AH56-AL56),SUMIFS('Loan Prepayment'!$B$12:$B$31,'Loan Prepayment'!$A$12:$A$31,AG56)+IF(AND(AG56&gt;='Loan Prepayment'!$B$9,AG56&lt;='Loan Prepayment'!$E$16),'Loan Prepayment'!$B$8,0)))</f>
        <v>0</v>
      </c>
      <c r="AN56">
        <f t="shared" si="15"/>
        <v>7892445.383157664</v>
      </c>
    </row>
    <row r="57" spans="1:40" x14ac:dyDescent="0.35">
      <c r="A57">
        <v>56</v>
      </c>
      <c r="B57">
        <f t="shared" si="16"/>
        <v>8819012.3048564661</v>
      </c>
      <c r="C57" s="64">
        <f>'Loan Prepayment'!$B$6</f>
        <v>7.5</v>
      </c>
      <c r="D57">
        <f>IF(B57&lt;=0,0,MIN(-PMT('Loan Prepayment'!$B$6/1200,'Loan Prepayment'!$B$7*12,'Loan Prepayment'!$B$5),B57+E57))</f>
        <v>80559.31935518072</v>
      </c>
      <c r="E57">
        <f t="shared" si="0"/>
        <v>55118.826905352915</v>
      </c>
      <c r="F57">
        <f t="shared" si="1"/>
        <v>25440.492449827805</v>
      </c>
      <c r="G57">
        <v>0</v>
      </c>
      <c r="H57">
        <f t="shared" si="2"/>
        <v>8793571.8124066386</v>
      </c>
      <c r="I57">
        <v>56</v>
      </c>
      <c r="J57">
        <f t="shared" si="17"/>
        <v>7892445.383157664</v>
      </c>
      <c r="K57" s="64">
        <f>'Loan Prepayment'!$B$6</f>
        <v>7.5</v>
      </c>
      <c r="L57">
        <f>IF(J57&lt;=0,0,MIN(IF(AND('Loan Prepayment'!$E$15="Reduce EMI",O56&gt;0),-PMT(K57/1200,MAX(1,'Loan Prepayment'!$B$7*12-I57+1),J57),L56),J57+M57))</f>
        <v>72095.378273255352</v>
      </c>
      <c r="M57">
        <f t="shared" si="3"/>
        <v>49327.783644735398</v>
      </c>
      <c r="N57">
        <f t="shared" si="4"/>
        <v>22767.594628519953</v>
      </c>
      <c r="O57">
        <f>IF(J57&lt;=0,0,MIN(MAX(0,J57-N57),SUMIFS('Loan Prepayment'!$B$12:$B$31,'Loan Prepayment'!$A$12:$A$31,I57)+0))</f>
        <v>0</v>
      </c>
      <c r="P57">
        <f t="shared" si="5"/>
        <v>7869677.7885291437</v>
      </c>
      <c r="Q57">
        <v>56</v>
      </c>
      <c r="R57">
        <f t="shared" si="18"/>
        <v>8819012.3048564661</v>
      </c>
      <c r="S57" s="64">
        <f>'Loan Prepayment'!$B$6</f>
        <v>7.5</v>
      </c>
      <c r="T57">
        <f>IF(R57&lt;=0,0,MIN(IF(AND('Loan Prepayment'!$E$15="Reduce EMI",W56&gt;0),-PMT(S57/1200,MAX(1,'Loan Prepayment'!$B$7*12-Q57+1),R57),T56),R57+U57))</f>
        <v>80559.31935518072</v>
      </c>
      <c r="U57">
        <f t="shared" si="6"/>
        <v>55118.826905352915</v>
      </c>
      <c r="V57">
        <f t="shared" si="7"/>
        <v>25440.492449827805</v>
      </c>
      <c r="W57">
        <f>IF(R57&lt;=0,0,MIN(MAX(0,R57-V57),0+IF(AND(Q57&gt;='Loan Prepayment'!$B$9,Q57&lt;='Loan Prepayment'!$E$16),'Loan Prepayment'!$B$8,0)))</f>
        <v>0</v>
      </c>
      <c r="X57">
        <f t="shared" si="8"/>
        <v>8793571.8124066386</v>
      </c>
      <c r="Y57">
        <v>56</v>
      </c>
      <c r="Z57">
        <f t="shared" si="19"/>
        <v>8819012.3048564661</v>
      </c>
      <c r="AA57">
        <f>IF(Y57&gt;='Loan Prepayment'!$E$11,'Loan Prepayment'!$E$12,'Loan Prepayment'!$B$6)</f>
        <v>7.5</v>
      </c>
      <c r="AB57">
        <f>IF(Z57&lt;=0,0,MIN(IF(Y57='Loan Prepayment'!$E$11,IF('Loan Prepayment'!$E$13="Keep tenure, recalculate EMI",-PMT(AA57/1200,MAX(1,'Loan Prepayment'!$B$7*12-Y57+1),Z57),AB56),AB56),Z57+AC57))</f>
        <v>80559.31935518072</v>
      </c>
      <c r="AC57">
        <f t="shared" si="9"/>
        <v>55118.826905352915</v>
      </c>
      <c r="AD57">
        <f t="shared" si="10"/>
        <v>25440.492449827805</v>
      </c>
      <c r="AE57">
        <f t="shared" si="11"/>
        <v>0</v>
      </c>
      <c r="AF57">
        <f t="shared" si="12"/>
        <v>8793571.8124066386</v>
      </c>
      <c r="AG57">
        <v>56</v>
      </c>
      <c r="AH57">
        <f t="shared" si="20"/>
        <v>7892445.383157664</v>
      </c>
      <c r="AI57">
        <f>IF(AG57&gt;='Loan Prepayment'!$E$11,'Loan Prepayment'!$E$12,'Loan Prepayment'!$B$6)</f>
        <v>7.5</v>
      </c>
      <c r="AJ57">
        <f>IF(AH57&lt;=0,0,MIN(IF(AG57='Loan Prepayment'!$E$11,IF('Loan Prepayment'!$E$13="Keep tenure, recalculate EMI",-PMT(AI57/1200,MAX(1,'Loan Prepayment'!$B$7*12-AG57+1),AH57),IF(AND('Loan Prepayment'!$E$15="Reduce EMI",AM56&gt;0),-PMT(AI56/1200,MAX(1,'Loan Prepayment'!$B$7*12-AG57+1),AH57),AJ56)),IF(AND('Loan Prepayment'!$E$15="Reduce EMI",AM56&gt;0),-PMT(AI57/1200,MAX(1,'Loan Prepayment'!$B$7*12-AG57+1),AH57),AJ56)),AH57+AK57))</f>
        <v>72095.378273255352</v>
      </c>
      <c r="AK57">
        <f t="shared" si="13"/>
        <v>49327.783644735398</v>
      </c>
      <c r="AL57">
        <f t="shared" si="14"/>
        <v>22767.594628519953</v>
      </c>
      <c r="AM57">
        <f>IF(AH57&lt;=0,0,MIN(MAX(0,AH57-AL57),SUMIFS('Loan Prepayment'!$B$12:$B$31,'Loan Prepayment'!$A$12:$A$31,AG57)+IF(AND(AG57&gt;='Loan Prepayment'!$B$9,AG57&lt;='Loan Prepayment'!$E$16),'Loan Prepayment'!$B$8,0)))</f>
        <v>0</v>
      </c>
      <c r="AN57">
        <f t="shared" si="15"/>
        <v>7869677.7885291437</v>
      </c>
    </row>
    <row r="58" spans="1:40" x14ac:dyDescent="0.35">
      <c r="A58">
        <v>57</v>
      </c>
      <c r="B58">
        <f t="shared" si="16"/>
        <v>8793571.8124066386</v>
      </c>
      <c r="C58" s="64">
        <f>'Loan Prepayment'!$B$6</f>
        <v>7.5</v>
      </c>
      <c r="D58">
        <f>IF(B58&lt;=0,0,MIN(-PMT('Loan Prepayment'!$B$6/1200,'Loan Prepayment'!$B$7*12,'Loan Prepayment'!$B$5),B58+E58))</f>
        <v>80559.31935518072</v>
      </c>
      <c r="E58">
        <f t="shared" si="0"/>
        <v>54959.823827541491</v>
      </c>
      <c r="F58">
        <f t="shared" si="1"/>
        <v>25599.495527639228</v>
      </c>
      <c r="G58">
        <v>0</v>
      </c>
      <c r="H58">
        <f t="shared" si="2"/>
        <v>8767972.3168789987</v>
      </c>
      <c r="I58">
        <v>57</v>
      </c>
      <c r="J58">
        <f t="shared" si="17"/>
        <v>7869677.7885291437</v>
      </c>
      <c r="K58" s="64">
        <f>'Loan Prepayment'!$B$6</f>
        <v>7.5</v>
      </c>
      <c r="L58">
        <f>IF(J58&lt;=0,0,MIN(IF(AND('Loan Prepayment'!$E$15="Reduce EMI",O57&gt;0),-PMT(K58/1200,MAX(1,'Loan Prepayment'!$B$7*12-I58+1),J58),L57),J58+M58))</f>
        <v>72095.378273255352</v>
      </c>
      <c r="M58">
        <f t="shared" si="3"/>
        <v>49185.486178307146</v>
      </c>
      <c r="N58">
        <f t="shared" si="4"/>
        <v>22909.892094948205</v>
      </c>
      <c r="O58">
        <f>IF(J58&lt;=0,0,MIN(MAX(0,J58-N58),SUMIFS('Loan Prepayment'!$B$12:$B$31,'Loan Prepayment'!$A$12:$A$31,I58)+0))</f>
        <v>0</v>
      </c>
      <c r="P58">
        <f t="shared" si="5"/>
        <v>7846767.8964341953</v>
      </c>
      <c r="Q58">
        <v>57</v>
      </c>
      <c r="R58">
        <f t="shared" si="18"/>
        <v>8793571.8124066386</v>
      </c>
      <c r="S58" s="64">
        <f>'Loan Prepayment'!$B$6</f>
        <v>7.5</v>
      </c>
      <c r="T58">
        <f>IF(R58&lt;=0,0,MIN(IF(AND('Loan Prepayment'!$E$15="Reduce EMI",W57&gt;0),-PMT(S58/1200,MAX(1,'Loan Prepayment'!$B$7*12-Q58+1),R58),T57),R58+U58))</f>
        <v>80559.31935518072</v>
      </c>
      <c r="U58">
        <f t="shared" si="6"/>
        <v>54959.823827541491</v>
      </c>
      <c r="V58">
        <f t="shared" si="7"/>
        <v>25599.495527639228</v>
      </c>
      <c r="W58">
        <f>IF(R58&lt;=0,0,MIN(MAX(0,R58-V58),0+IF(AND(Q58&gt;='Loan Prepayment'!$B$9,Q58&lt;='Loan Prepayment'!$E$16),'Loan Prepayment'!$B$8,0)))</f>
        <v>0</v>
      </c>
      <c r="X58">
        <f t="shared" si="8"/>
        <v>8767972.3168789987</v>
      </c>
      <c r="Y58">
        <v>57</v>
      </c>
      <c r="Z58">
        <f t="shared" si="19"/>
        <v>8793571.8124066386</v>
      </c>
      <c r="AA58">
        <f>IF(Y58&gt;='Loan Prepayment'!$E$11,'Loan Prepayment'!$E$12,'Loan Prepayment'!$B$6)</f>
        <v>7.5</v>
      </c>
      <c r="AB58">
        <f>IF(Z58&lt;=0,0,MIN(IF(Y58='Loan Prepayment'!$E$11,IF('Loan Prepayment'!$E$13="Keep tenure, recalculate EMI",-PMT(AA58/1200,MAX(1,'Loan Prepayment'!$B$7*12-Y58+1),Z58),AB57),AB57),Z58+AC58))</f>
        <v>80559.31935518072</v>
      </c>
      <c r="AC58">
        <f t="shared" si="9"/>
        <v>54959.823827541491</v>
      </c>
      <c r="AD58">
        <f t="shared" si="10"/>
        <v>25599.495527639228</v>
      </c>
      <c r="AE58">
        <f t="shared" si="11"/>
        <v>0</v>
      </c>
      <c r="AF58">
        <f t="shared" si="12"/>
        <v>8767972.3168789987</v>
      </c>
      <c r="AG58">
        <v>57</v>
      </c>
      <c r="AH58">
        <f t="shared" si="20"/>
        <v>7869677.7885291437</v>
      </c>
      <c r="AI58">
        <f>IF(AG58&gt;='Loan Prepayment'!$E$11,'Loan Prepayment'!$E$12,'Loan Prepayment'!$B$6)</f>
        <v>7.5</v>
      </c>
      <c r="AJ58">
        <f>IF(AH58&lt;=0,0,MIN(IF(AG58='Loan Prepayment'!$E$11,IF('Loan Prepayment'!$E$13="Keep tenure, recalculate EMI",-PMT(AI58/1200,MAX(1,'Loan Prepayment'!$B$7*12-AG58+1),AH58),IF(AND('Loan Prepayment'!$E$15="Reduce EMI",AM57&gt;0),-PMT(AI57/1200,MAX(1,'Loan Prepayment'!$B$7*12-AG58+1),AH58),AJ57)),IF(AND('Loan Prepayment'!$E$15="Reduce EMI",AM57&gt;0),-PMT(AI58/1200,MAX(1,'Loan Prepayment'!$B$7*12-AG58+1),AH58),AJ57)),AH58+AK58))</f>
        <v>72095.378273255352</v>
      </c>
      <c r="AK58">
        <f t="shared" si="13"/>
        <v>49185.486178307146</v>
      </c>
      <c r="AL58">
        <f t="shared" si="14"/>
        <v>22909.892094948205</v>
      </c>
      <c r="AM58">
        <f>IF(AH58&lt;=0,0,MIN(MAX(0,AH58-AL58),SUMIFS('Loan Prepayment'!$B$12:$B$31,'Loan Prepayment'!$A$12:$A$31,AG58)+IF(AND(AG58&gt;='Loan Prepayment'!$B$9,AG58&lt;='Loan Prepayment'!$E$16),'Loan Prepayment'!$B$8,0)))</f>
        <v>0</v>
      </c>
      <c r="AN58">
        <f t="shared" si="15"/>
        <v>7846767.8964341953</v>
      </c>
    </row>
    <row r="59" spans="1:40" x14ac:dyDescent="0.35">
      <c r="A59">
        <v>58</v>
      </c>
      <c r="B59">
        <f t="shared" si="16"/>
        <v>8767972.3168789987</v>
      </c>
      <c r="C59" s="64">
        <f>'Loan Prepayment'!$B$6</f>
        <v>7.5</v>
      </c>
      <c r="D59">
        <f>IF(B59&lt;=0,0,MIN(-PMT('Loan Prepayment'!$B$6/1200,'Loan Prepayment'!$B$7*12,'Loan Prepayment'!$B$5),B59+E59))</f>
        <v>80559.31935518072</v>
      </c>
      <c r="E59">
        <f t="shared" si="0"/>
        <v>54799.826980493737</v>
      </c>
      <c r="F59">
        <f t="shared" si="1"/>
        <v>25759.492374686983</v>
      </c>
      <c r="G59">
        <v>0</v>
      </c>
      <c r="H59">
        <f t="shared" si="2"/>
        <v>8742212.8245043121</v>
      </c>
      <c r="I59">
        <v>58</v>
      </c>
      <c r="J59">
        <f t="shared" si="17"/>
        <v>7846767.8964341953</v>
      </c>
      <c r="K59" s="64">
        <f>'Loan Prepayment'!$B$6</f>
        <v>7.5</v>
      </c>
      <c r="L59">
        <f>IF(J59&lt;=0,0,MIN(IF(AND('Loan Prepayment'!$E$15="Reduce EMI",O58&gt;0),-PMT(K59/1200,MAX(1,'Loan Prepayment'!$B$7*12-I59+1),J59),L58),J59+M59))</f>
        <v>72095.378273255352</v>
      </c>
      <c r="M59">
        <f t="shared" si="3"/>
        <v>49042.299352713722</v>
      </c>
      <c r="N59">
        <f t="shared" si="4"/>
        <v>23053.078920541629</v>
      </c>
      <c r="O59">
        <f>IF(J59&lt;=0,0,MIN(MAX(0,J59-N59),SUMIFS('Loan Prepayment'!$B$12:$B$31,'Loan Prepayment'!$A$12:$A$31,I59)+0))</f>
        <v>0</v>
      </c>
      <c r="P59">
        <f t="shared" si="5"/>
        <v>7823714.817513654</v>
      </c>
      <c r="Q59">
        <v>58</v>
      </c>
      <c r="R59">
        <f t="shared" si="18"/>
        <v>8767972.3168789987</v>
      </c>
      <c r="S59" s="64">
        <f>'Loan Prepayment'!$B$6</f>
        <v>7.5</v>
      </c>
      <c r="T59">
        <f>IF(R59&lt;=0,0,MIN(IF(AND('Loan Prepayment'!$E$15="Reduce EMI",W58&gt;0),-PMT(S59/1200,MAX(1,'Loan Prepayment'!$B$7*12-Q59+1),R59),T58),R59+U59))</f>
        <v>80559.31935518072</v>
      </c>
      <c r="U59">
        <f t="shared" si="6"/>
        <v>54799.826980493737</v>
      </c>
      <c r="V59">
        <f t="shared" si="7"/>
        <v>25759.492374686983</v>
      </c>
      <c r="W59">
        <f>IF(R59&lt;=0,0,MIN(MAX(0,R59-V59),0+IF(AND(Q59&gt;='Loan Prepayment'!$B$9,Q59&lt;='Loan Prepayment'!$E$16),'Loan Prepayment'!$B$8,0)))</f>
        <v>0</v>
      </c>
      <c r="X59">
        <f t="shared" si="8"/>
        <v>8742212.8245043121</v>
      </c>
      <c r="Y59">
        <v>58</v>
      </c>
      <c r="Z59">
        <f t="shared" si="19"/>
        <v>8767972.3168789987</v>
      </c>
      <c r="AA59">
        <f>IF(Y59&gt;='Loan Prepayment'!$E$11,'Loan Prepayment'!$E$12,'Loan Prepayment'!$B$6)</f>
        <v>7.5</v>
      </c>
      <c r="AB59">
        <f>IF(Z59&lt;=0,0,MIN(IF(Y59='Loan Prepayment'!$E$11,IF('Loan Prepayment'!$E$13="Keep tenure, recalculate EMI",-PMT(AA59/1200,MAX(1,'Loan Prepayment'!$B$7*12-Y59+1),Z59),AB58),AB58),Z59+AC59))</f>
        <v>80559.31935518072</v>
      </c>
      <c r="AC59">
        <f t="shared" si="9"/>
        <v>54799.826980493737</v>
      </c>
      <c r="AD59">
        <f t="shared" si="10"/>
        <v>25759.492374686983</v>
      </c>
      <c r="AE59">
        <f t="shared" si="11"/>
        <v>0</v>
      </c>
      <c r="AF59">
        <f t="shared" si="12"/>
        <v>8742212.8245043121</v>
      </c>
      <c r="AG59">
        <v>58</v>
      </c>
      <c r="AH59">
        <f t="shared" si="20"/>
        <v>7846767.8964341953</v>
      </c>
      <c r="AI59">
        <f>IF(AG59&gt;='Loan Prepayment'!$E$11,'Loan Prepayment'!$E$12,'Loan Prepayment'!$B$6)</f>
        <v>7.5</v>
      </c>
      <c r="AJ59">
        <f>IF(AH59&lt;=0,0,MIN(IF(AG59='Loan Prepayment'!$E$11,IF('Loan Prepayment'!$E$13="Keep tenure, recalculate EMI",-PMT(AI59/1200,MAX(1,'Loan Prepayment'!$B$7*12-AG59+1),AH59),IF(AND('Loan Prepayment'!$E$15="Reduce EMI",AM58&gt;0),-PMT(AI58/1200,MAX(1,'Loan Prepayment'!$B$7*12-AG59+1),AH59),AJ58)),IF(AND('Loan Prepayment'!$E$15="Reduce EMI",AM58&gt;0),-PMT(AI59/1200,MAX(1,'Loan Prepayment'!$B$7*12-AG59+1),AH59),AJ58)),AH59+AK59))</f>
        <v>72095.378273255352</v>
      </c>
      <c r="AK59">
        <f t="shared" si="13"/>
        <v>49042.299352713722</v>
      </c>
      <c r="AL59">
        <f t="shared" si="14"/>
        <v>23053.078920541629</v>
      </c>
      <c r="AM59">
        <f>IF(AH59&lt;=0,0,MIN(MAX(0,AH59-AL59),SUMIFS('Loan Prepayment'!$B$12:$B$31,'Loan Prepayment'!$A$12:$A$31,AG59)+IF(AND(AG59&gt;='Loan Prepayment'!$B$9,AG59&lt;='Loan Prepayment'!$E$16),'Loan Prepayment'!$B$8,0)))</f>
        <v>0</v>
      </c>
      <c r="AN59">
        <f t="shared" si="15"/>
        <v>7823714.817513654</v>
      </c>
    </row>
    <row r="60" spans="1:40" x14ac:dyDescent="0.35">
      <c r="A60">
        <v>59</v>
      </c>
      <c r="B60">
        <f t="shared" si="16"/>
        <v>8742212.8245043121</v>
      </c>
      <c r="C60" s="64">
        <f>'Loan Prepayment'!$B$6</f>
        <v>7.5</v>
      </c>
      <c r="D60">
        <f>IF(B60&lt;=0,0,MIN(-PMT('Loan Prepayment'!$B$6/1200,'Loan Prepayment'!$B$7*12,'Loan Prepayment'!$B$5),B60+E60))</f>
        <v>80559.31935518072</v>
      </c>
      <c r="E60">
        <f t="shared" si="0"/>
        <v>54638.830153151946</v>
      </c>
      <c r="F60">
        <f t="shared" si="1"/>
        <v>25920.489202028773</v>
      </c>
      <c r="G60">
        <v>0</v>
      </c>
      <c r="H60">
        <f t="shared" si="2"/>
        <v>8716292.335302284</v>
      </c>
      <c r="I60">
        <v>59</v>
      </c>
      <c r="J60">
        <f t="shared" si="17"/>
        <v>7823714.817513654</v>
      </c>
      <c r="K60" s="64">
        <f>'Loan Prepayment'!$B$6</f>
        <v>7.5</v>
      </c>
      <c r="L60">
        <f>IF(J60&lt;=0,0,MIN(IF(AND('Loan Prepayment'!$E$15="Reduce EMI",O59&gt;0),-PMT(K60/1200,MAX(1,'Loan Prepayment'!$B$7*12-I60+1),J60),L59),J60+M60))</f>
        <v>72095.378273255352</v>
      </c>
      <c r="M60">
        <f t="shared" si="3"/>
        <v>48898.217609460335</v>
      </c>
      <c r="N60">
        <f t="shared" si="4"/>
        <v>23197.160663795017</v>
      </c>
      <c r="O60">
        <f>IF(J60&lt;=0,0,MIN(MAX(0,J60-N60),SUMIFS('Loan Prepayment'!$B$12:$B$31,'Loan Prepayment'!$A$12:$A$31,I60)+0))</f>
        <v>0</v>
      </c>
      <c r="P60">
        <f t="shared" si="5"/>
        <v>7800517.6568498593</v>
      </c>
      <c r="Q60">
        <v>59</v>
      </c>
      <c r="R60">
        <f t="shared" si="18"/>
        <v>8742212.8245043121</v>
      </c>
      <c r="S60" s="64">
        <f>'Loan Prepayment'!$B$6</f>
        <v>7.5</v>
      </c>
      <c r="T60">
        <f>IF(R60&lt;=0,0,MIN(IF(AND('Loan Prepayment'!$E$15="Reduce EMI",W59&gt;0),-PMT(S60/1200,MAX(1,'Loan Prepayment'!$B$7*12-Q60+1),R60),T59),R60+U60))</f>
        <v>80559.31935518072</v>
      </c>
      <c r="U60">
        <f t="shared" si="6"/>
        <v>54638.830153151946</v>
      </c>
      <c r="V60">
        <f t="shared" si="7"/>
        <v>25920.489202028773</v>
      </c>
      <c r="W60">
        <f>IF(R60&lt;=0,0,MIN(MAX(0,R60-V60),0+IF(AND(Q60&gt;='Loan Prepayment'!$B$9,Q60&lt;='Loan Prepayment'!$E$16),'Loan Prepayment'!$B$8,0)))</f>
        <v>0</v>
      </c>
      <c r="X60">
        <f t="shared" si="8"/>
        <v>8716292.335302284</v>
      </c>
      <c r="Y60">
        <v>59</v>
      </c>
      <c r="Z60">
        <f t="shared" si="19"/>
        <v>8742212.8245043121</v>
      </c>
      <c r="AA60">
        <f>IF(Y60&gt;='Loan Prepayment'!$E$11,'Loan Prepayment'!$E$12,'Loan Prepayment'!$B$6)</f>
        <v>7.5</v>
      </c>
      <c r="AB60">
        <f>IF(Z60&lt;=0,0,MIN(IF(Y60='Loan Prepayment'!$E$11,IF('Loan Prepayment'!$E$13="Keep tenure, recalculate EMI",-PMT(AA60/1200,MAX(1,'Loan Prepayment'!$B$7*12-Y60+1),Z60),AB59),AB59),Z60+AC60))</f>
        <v>80559.31935518072</v>
      </c>
      <c r="AC60">
        <f t="shared" si="9"/>
        <v>54638.830153151946</v>
      </c>
      <c r="AD60">
        <f t="shared" si="10"/>
        <v>25920.489202028773</v>
      </c>
      <c r="AE60">
        <f t="shared" si="11"/>
        <v>0</v>
      </c>
      <c r="AF60">
        <f t="shared" si="12"/>
        <v>8716292.335302284</v>
      </c>
      <c r="AG60">
        <v>59</v>
      </c>
      <c r="AH60">
        <f t="shared" si="20"/>
        <v>7823714.817513654</v>
      </c>
      <c r="AI60">
        <f>IF(AG60&gt;='Loan Prepayment'!$E$11,'Loan Prepayment'!$E$12,'Loan Prepayment'!$B$6)</f>
        <v>7.5</v>
      </c>
      <c r="AJ60">
        <f>IF(AH60&lt;=0,0,MIN(IF(AG60='Loan Prepayment'!$E$11,IF('Loan Prepayment'!$E$13="Keep tenure, recalculate EMI",-PMT(AI60/1200,MAX(1,'Loan Prepayment'!$B$7*12-AG60+1),AH60),IF(AND('Loan Prepayment'!$E$15="Reduce EMI",AM59&gt;0),-PMT(AI59/1200,MAX(1,'Loan Prepayment'!$B$7*12-AG60+1),AH60),AJ59)),IF(AND('Loan Prepayment'!$E$15="Reduce EMI",AM59&gt;0),-PMT(AI60/1200,MAX(1,'Loan Prepayment'!$B$7*12-AG60+1),AH60),AJ59)),AH60+AK60))</f>
        <v>72095.378273255352</v>
      </c>
      <c r="AK60">
        <f t="shared" si="13"/>
        <v>48898.217609460335</v>
      </c>
      <c r="AL60">
        <f t="shared" si="14"/>
        <v>23197.160663795017</v>
      </c>
      <c r="AM60">
        <f>IF(AH60&lt;=0,0,MIN(MAX(0,AH60-AL60),SUMIFS('Loan Prepayment'!$B$12:$B$31,'Loan Prepayment'!$A$12:$A$31,AG60)+IF(AND(AG60&gt;='Loan Prepayment'!$B$9,AG60&lt;='Loan Prepayment'!$E$16),'Loan Prepayment'!$B$8,0)))</f>
        <v>0</v>
      </c>
      <c r="AN60">
        <f t="shared" si="15"/>
        <v>7800517.6568498593</v>
      </c>
    </row>
    <row r="61" spans="1:40" x14ac:dyDescent="0.35">
      <c r="A61">
        <v>60</v>
      </c>
      <c r="B61">
        <f t="shared" si="16"/>
        <v>8716292.335302284</v>
      </c>
      <c r="C61" s="64">
        <f>'Loan Prepayment'!$B$6</f>
        <v>7.5</v>
      </c>
      <c r="D61">
        <f>IF(B61&lt;=0,0,MIN(-PMT('Loan Prepayment'!$B$6/1200,'Loan Prepayment'!$B$7*12,'Loan Prepayment'!$B$5),B61+E61))</f>
        <v>80559.31935518072</v>
      </c>
      <c r="E61">
        <f t="shared" si="0"/>
        <v>54476.827095639281</v>
      </c>
      <c r="F61">
        <f t="shared" si="1"/>
        <v>26082.492259541439</v>
      </c>
      <c r="G61">
        <v>0</v>
      </c>
      <c r="H61">
        <f t="shared" si="2"/>
        <v>8690209.8430427425</v>
      </c>
      <c r="I61">
        <v>60</v>
      </c>
      <c r="J61">
        <f t="shared" si="17"/>
        <v>7800517.6568498593</v>
      </c>
      <c r="K61" s="64">
        <f>'Loan Prepayment'!$B$6</f>
        <v>7.5</v>
      </c>
      <c r="L61">
        <f>IF(J61&lt;=0,0,MIN(IF(AND('Loan Prepayment'!$E$15="Reduce EMI",O60&gt;0),-PMT(K61/1200,MAX(1,'Loan Prepayment'!$B$7*12-I61+1),J61),L60),J61+M61))</f>
        <v>72095.378273255352</v>
      </c>
      <c r="M61">
        <f t="shared" si="3"/>
        <v>48753.235355311619</v>
      </c>
      <c r="N61">
        <f t="shared" si="4"/>
        <v>23342.142917943733</v>
      </c>
      <c r="O61">
        <f>IF(J61&lt;=0,0,MIN(MAX(0,J61-N61),SUMIFS('Loan Prepayment'!$B$12:$B$31,'Loan Prepayment'!$A$12:$A$31,I61)+0))</f>
        <v>500000</v>
      </c>
      <c r="P61">
        <f t="shared" si="5"/>
        <v>7277175.5139319152</v>
      </c>
      <c r="Q61">
        <v>60</v>
      </c>
      <c r="R61">
        <f t="shared" si="18"/>
        <v>8716292.335302284</v>
      </c>
      <c r="S61" s="64">
        <f>'Loan Prepayment'!$B$6</f>
        <v>7.5</v>
      </c>
      <c r="T61">
        <f>IF(R61&lt;=0,0,MIN(IF(AND('Loan Prepayment'!$E$15="Reduce EMI",W60&gt;0),-PMT(S61/1200,MAX(1,'Loan Prepayment'!$B$7*12-Q61+1),R61),T60),R61+U61))</f>
        <v>80559.31935518072</v>
      </c>
      <c r="U61">
        <f t="shared" si="6"/>
        <v>54476.827095639281</v>
      </c>
      <c r="V61">
        <f t="shared" si="7"/>
        <v>26082.492259541439</v>
      </c>
      <c r="W61">
        <f>IF(R61&lt;=0,0,MIN(MAX(0,R61-V61),0+IF(AND(Q61&gt;='Loan Prepayment'!$B$9,Q61&lt;='Loan Prepayment'!$E$16),'Loan Prepayment'!$B$8,0)))</f>
        <v>0</v>
      </c>
      <c r="X61">
        <f t="shared" si="8"/>
        <v>8690209.8430427425</v>
      </c>
      <c r="Y61">
        <v>60</v>
      </c>
      <c r="Z61">
        <f t="shared" si="19"/>
        <v>8716292.335302284</v>
      </c>
      <c r="AA61">
        <f>IF(Y61&gt;='Loan Prepayment'!$E$11,'Loan Prepayment'!$E$12,'Loan Prepayment'!$B$6)</f>
        <v>7.5</v>
      </c>
      <c r="AB61">
        <f>IF(Z61&lt;=0,0,MIN(IF(Y61='Loan Prepayment'!$E$11,IF('Loan Prepayment'!$E$13="Keep tenure, recalculate EMI",-PMT(AA61/1200,MAX(1,'Loan Prepayment'!$B$7*12-Y61+1),Z61),AB60),AB60),Z61+AC61))</f>
        <v>80559.31935518072</v>
      </c>
      <c r="AC61">
        <f t="shared" si="9"/>
        <v>54476.827095639281</v>
      </c>
      <c r="AD61">
        <f t="shared" si="10"/>
        <v>26082.492259541439</v>
      </c>
      <c r="AE61">
        <f t="shared" si="11"/>
        <v>0</v>
      </c>
      <c r="AF61">
        <f t="shared" si="12"/>
        <v>8690209.8430427425</v>
      </c>
      <c r="AG61">
        <v>60</v>
      </c>
      <c r="AH61">
        <f t="shared" si="20"/>
        <v>7800517.6568498593</v>
      </c>
      <c r="AI61">
        <f>IF(AG61&gt;='Loan Prepayment'!$E$11,'Loan Prepayment'!$E$12,'Loan Prepayment'!$B$6)</f>
        <v>7.5</v>
      </c>
      <c r="AJ61">
        <f>IF(AH61&lt;=0,0,MIN(IF(AG61='Loan Prepayment'!$E$11,IF('Loan Prepayment'!$E$13="Keep tenure, recalculate EMI",-PMT(AI61/1200,MAX(1,'Loan Prepayment'!$B$7*12-AG61+1),AH61),IF(AND('Loan Prepayment'!$E$15="Reduce EMI",AM60&gt;0),-PMT(AI60/1200,MAX(1,'Loan Prepayment'!$B$7*12-AG61+1),AH61),AJ60)),IF(AND('Loan Prepayment'!$E$15="Reduce EMI",AM60&gt;0),-PMT(AI61/1200,MAX(1,'Loan Prepayment'!$B$7*12-AG61+1),AH61),AJ60)),AH61+AK61))</f>
        <v>72095.378273255352</v>
      </c>
      <c r="AK61">
        <f t="shared" si="13"/>
        <v>48753.235355311619</v>
      </c>
      <c r="AL61">
        <f t="shared" si="14"/>
        <v>23342.142917943733</v>
      </c>
      <c r="AM61">
        <f>IF(AH61&lt;=0,0,MIN(MAX(0,AH61-AL61),SUMIFS('Loan Prepayment'!$B$12:$B$31,'Loan Prepayment'!$A$12:$A$31,AG61)+IF(AND(AG61&gt;='Loan Prepayment'!$B$9,AG61&lt;='Loan Prepayment'!$E$16),'Loan Prepayment'!$B$8,0)))</f>
        <v>500000</v>
      </c>
      <c r="AN61">
        <f t="shared" si="15"/>
        <v>7277175.5139319152</v>
      </c>
    </row>
    <row r="62" spans="1:40" x14ac:dyDescent="0.35">
      <c r="A62">
        <v>61</v>
      </c>
      <c r="B62">
        <f t="shared" si="16"/>
        <v>8690209.8430427425</v>
      </c>
      <c r="C62" s="64">
        <f>'Loan Prepayment'!$B$6</f>
        <v>7.5</v>
      </c>
      <c r="D62">
        <f>IF(B62&lt;=0,0,MIN(-PMT('Loan Prepayment'!$B$6/1200,'Loan Prepayment'!$B$7*12,'Loan Prepayment'!$B$5),B62+E62))</f>
        <v>80559.31935518072</v>
      </c>
      <c r="E62">
        <f t="shared" si="0"/>
        <v>54313.811519017137</v>
      </c>
      <c r="F62">
        <f t="shared" si="1"/>
        <v>26245.507836163582</v>
      </c>
      <c r="G62">
        <v>0</v>
      </c>
      <c r="H62">
        <f t="shared" si="2"/>
        <v>8663964.3352065794</v>
      </c>
      <c r="I62">
        <v>61</v>
      </c>
      <c r="J62">
        <f t="shared" si="17"/>
        <v>7277175.5139319152</v>
      </c>
      <c r="K62" s="64">
        <f>'Loan Prepayment'!$B$6</f>
        <v>7.5</v>
      </c>
      <c r="L62">
        <f>IF(J62&lt;=0,0,MIN(IF(AND('Loan Prepayment'!$E$15="Reduce EMI",O61&gt;0),-PMT(K62/1200,MAX(1,'Loan Prepayment'!$B$7*12-I62+1),J62),L61),J62+M62))</f>
        <v>67460.316473241648</v>
      </c>
      <c r="M62">
        <f t="shared" si="3"/>
        <v>45482.346962074473</v>
      </c>
      <c r="N62">
        <f t="shared" si="4"/>
        <v>21977.969511167175</v>
      </c>
      <c r="O62">
        <f>IF(J62&lt;=0,0,MIN(MAX(0,J62-N62),SUMIFS('Loan Prepayment'!$B$12:$B$31,'Loan Prepayment'!$A$12:$A$31,I62)+0))</f>
        <v>0</v>
      </c>
      <c r="P62">
        <f t="shared" si="5"/>
        <v>7255197.544420748</v>
      </c>
      <c r="Q62">
        <v>61</v>
      </c>
      <c r="R62">
        <f t="shared" si="18"/>
        <v>8690209.8430427425</v>
      </c>
      <c r="S62" s="64">
        <f>'Loan Prepayment'!$B$6</f>
        <v>7.5</v>
      </c>
      <c r="T62">
        <f>IF(R62&lt;=0,0,MIN(IF(AND('Loan Prepayment'!$E$15="Reduce EMI",W61&gt;0),-PMT(S62/1200,MAX(1,'Loan Prepayment'!$B$7*12-Q62+1),R62),T61),R62+U62))</f>
        <v>80559.31935518072</v>
      </c>
      <c r="U62">
        <f t="shared" si="6"/>
        <v>54313.811519017137</v>
      </c>
      <c r="V62">
        <f t="shared" si="7"/>
        <v>26245.507836163582</v>
      </c>
      <c r="W62">
        <f>IF(R62&lt;=0,0,MIN(MAX(0,R62-V62),0+IF(AND(Q62&gt;='Loan Prepayment'!$B$9,Q62&lt;='Loan Prepayment'!$E$16),'Loan Prepayment'!$B$8,0)))</f>
        <v>0</v>
      </c>
      <c r="X62">
        <f t="shared" si="8"/>
        <v>8663964.3352065794</v>
      </c>
      <c r="Y62">
        <v>61</v>
      </c>
      <c r="Z62">
        <f t="shared" si="19"/>
        <v>8690209.8430427425</v>
      </c>
      <c r="AA62">
        <f>IF(Y62&gt;='Loan Prepayment'!$E$11,'Loan Prepayment'!$E$12,'Loan Prepayment'!$B$6)</f>
        <v>6.5</v>
      </c>
      <c r="AB62">
        <f>IF(Z62&lt;=0,0,MIN(IF(Y62='Loan Prepayment'!$E$11,IF('Loan Prepayment'!$E$13="Keep tenure, recalculate EMI",-PMT(AA62/1200,MAX(1,'Loan Prepayment'!$B$7*12-Y62+1),Z62),AB61),AB61),Z62+AC62))</f>
        <v>80559.31935518072</v>
      </c>
      <c r="AC62">
        <f t="shared" si="9"/>
        <v>47071.969983148192</v>
      </c>
      <c r="AD62">
        <f t="shared" si="10"/>
        <v>33487.349372032528</v>
      </c>
      <c r="AE62">
        <f t="shared" si="11"/>
        <v>0</v>
      </c>
      <c r="AF62">
        <f t="shared" si="12"/>
        <v>8656722.4936707094</v>
      </c>
      <c r="AG62">
        <v>61</v>
      </c>
      <c r="AH62">
        <f t="shared" si="20"/>
        <v>7277175.5139319152</v>
      </c>
      <c r="AI62">
        <f>IF(AG62&gt;='Loan Prepayment'!$E$11,'Loan Prepayment'!$E$12,'Loan Prepayment'!$B$6)</f>
        <v>6.5</v>
      </c>
      <c r="AJ62">
        <f>IF(AH62&lt;=0,0,MIN(IF(AG62='Loan Prepayment'!$E$11,IF('Loan Prepayment'!$E$13="Keep tenure, recalculate EMI",-PMT(AI62/1200,MAX(1,'Loan Prepayment'!$B$7*12-AG62+1),AH62),IF(AND('Loan Prepayment'!$E$15="Reduce EMI",AM61&gt;0),-PMT(AI61/1200,MAX(1,'Loan Prepayment'!$B$7*12-AG62+1),AH62),AJ61)),IF(AND('Loan Prepayment'!$E$15="Reduce EMI",AM61&gt;0),-PMT(AI62/1200,MAX(1,'Loan Prepayment'!$B$7*12-AG62+1),AH62),AJ61)),AH62+AK62))</f>
        <v>67460.316473241648</v>
      </c>
      <c r="AK62">
        <f t="shared" si="13"/>
        <v>39418.034033797871</v>
      </c>
      <c r="AL62">
        <f t="shared" si="14"/>
        <v>28042.282439443778</v>
      </c>
      <c r="AM62">
        <f>IF(AH62&lt;=0,0,MIN(MAX(0,AH62-AL62),SUMIFS('Loan Prepayment'!$B$12:$B$31,'Loan Prepayment'!$A$12:$A$31,AG62)+IF(AND(AG62&gt;='Loan Prepayment'!$B$9,AG62&lt;='Loan Prepayment'!$E$16),'Loan Prepayment'!$B$8,0)))</f>
        <v>0</v>
      </c>
      <c r="AN62">
        <f t="shared" si="15"/>
        <v>7249133.2314924709</v>
      </c>
    </row>
    <row r="63" spans="1:40" x14ac:dyDescent="0.35">
      <c r="A63">
        <v>62</v>
      </c>
      <c r="B63">
        <f t="shared" si="16"/>
        <v>8663964.3352065794</v>
      </c>
      <c r="C63" s="64">
        <f>'Loan Prepayment'!$B$6</f>
        <v>7.5</v>
      </c>
      <c r="D63">
        <f>IF(B63&lt;=0,0,MIN(-PMT('Loan Prepayment'!$B$6/1200,'Loan Prepayment'!$B$7*12,'Loan Prepayment'!$B$5),B63+E63))</f>
        <v>80559.31935518072</v>
      </c>
      <c r="E63">
        <f t="shared" si="0"/>
        <v>54149.777095041121</v>
      </c>
      <c r="F63">
        <f t="shared" si="1"/>
        <v>26409.542260139599</v>
      </c>
      <c r="G63">
        <v>0</v>
      </c>
      <c r="H63">
        <f t="shared" si="2"/>
        <v>8637554.7929464392</v>
      </c>
      <c r="I63">
        <v>62</v>
      </c>
      <c r="J63">
        <f t="shared" si="17"/>
        <v>7255197.544420748</v>
      </c>
      <c r="K63" s="64">
        <f>'Loan Prepayment'!$B$6</f>
        <v>7.5</v>
      </c>
      <c r="L63">
        <f>IF(J63&lt;=0,0,MIN(IF(AND('Loan Prepayment'!$E$15="Reduce EMI",O62&gt;0),-PMT(K63/1200,MAX(1,'Loan Prepayment'!$B$7*12-I63+1),J63),L62),J63+M63))</f>
        <v>67460.316473241648</v>
      </c>
      <c r="M63">
        <f t="shared" si="3"/>
        <v>45344.984652629675</v>
      </c>
      <c r="N63">
        <f t="shared" si="4"/>
        <v>22115.331820611973</v>
      </c>
      <c r="O63">
        <f>IF(J63&lt;=0,0,MIN(MAX(0,J63-N63),SUMIFS('Loan Prepayment'!$B$12:$B$31,'Loan Prepayment'!$A$12:$A$31,I63)+0))</f>
        <v>0</v>
      </c>
      <c r="P63">
        <f t="shared" si="5"/>
        <v>7233082.2126001362</v>
      </c>
      <c r="Q63">
        <v>62</v>
      </c>
      <c r="R63">
        <f t="shared" si="18"/>
        <v>8663964.3352065794</v>
      </c>
      <c r="S63" s="64">
        <f>'Loan Prepayment'!$B$6</f>
        <v>7.5</v>
      </c>
      <c r="T63">
        <f>IF(R63&lt;=0,0,MIN(IF(AND('Loan Prepayment'!$E$15="Reduce EMI",W62&gt;0),-PMT(S63/1200,MAX(1,'Loan Prepayment'!$B$7*12-Q63+1),R63),T62),R63+U63))</f>
        <v>80559.31935518072</v>
      </c>
      <c r="U63">
        <f t="shared" si="6"/>
        <v>54149.777095041121</v>
      </c>
      <c r="V63">
        <f t="shared" si="7"/>
        <v>26409.542260139599</v>
      </c>
      <c r="W63">
        <f>IF(R63&lt;=0,0,MIN(MAX(0,R63-V63),0+IF(AND(Q63&gt;='Loan Prepayment'!$B$9,Q63&lt;='Loan Prepayment'!$E$16),'Loan Prepayment'!$B$8,0)))</f>
        <v>0</v>
      </c>
      <c r="X63">
        <f t="shared" si="8"/>
        <v>8637554.7929464392</v>
      </c>
      <c r="Y63">
        <v>62</v>
      </c>
      <c r="Z63">
        <f t="shared" si="19"/>
        <v>8656722.4936707094</v>
      </c>
      <c r="AA63">
        <f>IF(Y63&gt;='Loan Prepayment'!$E$11,'Loan Prepayment'!$E$12,'Loan Prepayment'!$B$6)</f>
        <v>6.5</v>
      </c>
      <c r="AB63">
        <f>IF(Z63&lt;=0,0,MIN(IF(Y63='Loan Prepayment'!$E$11,IF('Loan Prepayment'!$E$13="Keep tenure, recalculate EMI",-PMT(AA63/1200,MAX(1,'Loan Prepayment'!$B$7*12-Y63+1),Z63),AB62),AB62),Z63+AC63))</f>
        <v>80559.31935518072</v>
      </c>
      <c r="AC63">
        <f t="shared" si="9"/>
        <v>46890.580174049675</v>
      </c>
      <c r="AD63">
        <f t="shared" si="10"/>
        <v>33668.739181131044</v>
      </c>
      <c r="AE63">
        <f t="shared" si="11"/>
        <v>0</v>
      </c>
      <c r="AF63">
        <f t="shared" si="12"/>
        <v>8623053.7544895783</v>
      </c>
      <c r="AG63">
        <v>62</v>
      </c>
      <c r="AH63">
        <f t="shared" si="20"/>
        <v>7249133.2314924709</v>
      </c>
      <c r="AI63">
        <f>IF(AG63&gt;='Loan Prepayment'!$E$11,'Loan Prepayment'!$E$12,'Loan Prepayment'!$B$6)</f>
        <v>6.5</v>
      </c>
      <c r="AJ63">
        <f>IF(AH63&lt;=0,0,MIN(IF(AG63='Loan Prepayment'!$E$11,IF('Loan Prepayment'!$E$13="Keep tenure, recalculate EMI",-PMT(AI63/1200,MAX(1,'Loan Prepayment'!$B$7*12-AG63+1),AH63),IF(AND('Loan Prepayment'!$E$15="Reduce EMI",AM62&gt;0),-PMT(AI62/1200,MAX(1,'Loan Prepayment'!$B$7*12-AG63+1),AH63),AJ62)),IF(AND('Loan Prepayment'!$E$15="Reduce EMI",AM62&gt;0),-PMT(AI63/1200,MAX(1,'Loan Prepayment'!$B$7*12-AG63+1),AH63),AJ62)),AH63+AK63))</f>
        <v>67460.316473241648</v>
      </c>
      <c r="AK63">
        <f t="shared" si="13"/>
        <v>39266.138337250886</v>
      </c>
      <c r="AL63">
        <f t="shared" si="14"/>
        <v>28194.178135990762</v>
      </c>
      <c r="AM63">
        <f>IF(AH63&lt;=0,0,MIN(MAX(0,AH63-AL63),SUMIFS('Loan Prepayment'!$B$12:$B$31,'Loan Prepayment'!$A$12:$A$31,AG63)+IF(AND(AG63&gt;='Loan Prepayment'!$B$9,AG63&lt;='Loan Prepayment'!$E$16),'Loan Prepayment'!$B$8,0)))</f>
        <v>0</v>
      </c>
      <c r="AN63">
        <f t="shared" si="15"/>
        <v>7220939.0533564799</v>
      </c>
    </row>
    <row r="64" spans="1:40" x14ac:dyDescent="0.35">
      <c r="A64">
        <v>63</v>
      </c>
      <c r="B64">
        <f t="shared" si="16"/>
        <v>8637554.7929464392</v>
      </c>
      <c r="C64" s="64">
        <f>'Loan Prepayment'!$B$6</f>
        <v>7.5</v>
      </c>
      <c r="D64">
        <f>IF(B64&lt;=0,0,MIN(-PMT('Loan Prepayment'!$B$6/1200,'Loan Prepayment'!$B$7*12,'Loan Prepayment'!$B$5),B64+E64))</f>
        <v>80559.31935518072</v>
      </c>
      <c r="E64">
        <f t="shared" si="0"/>
        <v>53984.717455915241</v>
      </c>
      <c r="F64">
        <f t="shared" si="1"/>
        <v>26574.601899265479</v>
      </c>
      <c r="G64">
        <v>0</v>
      </c>
      <c r="H64">
        <f t="shared" si="2"/>
        <v>8610980.191047173</v>
      </c>
      <c r="I64">
        <v>63</v>
      </c>
      <c r="J64">
        <f t="shared" si="17"/>
        <v>7233082.2126001362</v>
      </c>
      <c r="K64" s="64">
        <f>'Loan Prepayment'!$B$6</f>
        <v>7.5</v>
      </c>
      <c r="L64">
        <f>IF(J64&lt;=0,0,MIN(IF(AND('Loan Prepayment'!$E$15="Reduce EMI",O63&gt;0),-PMT(K64/1200,MAX(1,'Loan Prepayment'!$B$7*12-I64+1),J64),L63),J64+M64))</f>
        <v>67460.316473241648</v>
      </c>
      <c r="M64">
        <f t="shared" si="3"/>
        <v>45206.763828750845</v>
      </c>
      <c r="N64">
        <f t="shared" si="4"/>
        <v>22253.552644490803</v>
      </c>
      <c r="O64">
        <f>IF(J64&lt;=0,0,MIN(MAX(0,J64-N64),SUMIFS('Loan Prepayment'!$B$12:$B$31,'Loan Prepayment'!$A$12:$A$31,I64)+0))</f>
        <v>0</v>
      </c>
      <c r="P64">
        <f t="shared" si="5"/>
        <v>7210828.659955645</v>
      </c>
      <c r="Q64">
        <v>63</v>
      </c>
      <c r="R64">
        <f t="shared" si="18"/>
        <v>8637554.7929464392</v>
      </c>
      <c r="S64" s="64">
        <f>'Loan Prepayment'!$B$6</f>
        <v>7.5</v>
      </c>
      <c r="T64">
        <f>IF(R64&lt;=0,0,MIN(IF(AND('Loan Prepayment'!$E$15="Reduce EMI",W63&gt;0),-PMT(S64/1200,MAX(1,'Loan Prepayment'!$B$7*12-Q64+1),R64),T63),R64+U64))</f>
        <v>80559.31935518072</v>
      </c>
      <c r="U64">
        <f t="shared" si="6"/>
        <v>53984.717455915241</v>
      </c>
      <c r="V64">
        <f t="shared" si="7"/>
        <v>26574.601899265479</v>
      </c>
      <c r="W64">
        <f>IF(R64&lt;=0,0,MIN(MAX(0,R64-V64),0+IF(AND(Q64&gt;='Loan Prepayment'!$B$9,Q64&lt;='Loan Prepayment'!$E$16),'Loan Prepayment'!$B$8,0)))</f>
        <v>0</v>
      </c>
      <c r="X64">
        <f t="shared" si="8"/>
        <v>8610980.191047173</v>
      </c>
      <c r="Y64">
        <v>63</v>
      </c>
      <c r="Z64">
        <f t="shared" si="19"/>
        <v>8623053.7544895783</v>
      </c>
      <c r="AA64">
        <f>IF(Y64&gt;='Loan Prepayment'!$E$11,'Loan Prepayment'!$E$12,'Loan Prepayment'!$B$6)</f>
        <v>6.5</v>
      </c>
      <c r="AB64">
        <f>IF(Z64&lt;=0,0,MIN(IF(Y64='Loan Prepayment'!$E$11,IF('Loan Prepayment'!$E$13="Keep tenure, recalculate EMI",-PMT(AA64/1200,MAX(1,'Loan Prepayment'!$B$7*12-Y64+1),Z64),AB63),AB63),Z64+AC64))</f>
        <v>80559.31935518072</v>
      </c>
      <c r="AC64">
        <f t="shared" si="9"/>
        <v>46708.207836818547</v>
      </c>
      <c r="AD64">
        <f t="shared" si="10"/>
        <v>33851.111518362173</v>
      </c>
      <c r="AE64">
        <f t="shared" si="11"/>
        <v>0</v>
      </c>
      <c r="AF64">
        <f t="shared" si="12"/>
        <v>8589202.6429712158</v>
      </c>
      <c r="AG64">
        <v>63</v>
      </c>
      <c r="AH64">
        <f t="shared" si="20"/>
        <v>7220939.0533564799</v>
      </c>
      <c r="AI64">
        <f>IF(AG64&gt;='Loan Prepayment'!$E$11,'Loan Prepayment'!$E$12,'Loan Prepayment'!$B$6)</f>
        <v>6.5</v>
      </c>
      <c r="AJ64">
        <f>IF(AH64&lt;=0,0,MIN(IF(AG64='Loan Prepayment'!$E$11,IF('Loan Prepayment'!$E$13="Keep tenure, recalculate EMI",-PMT(AI64/1200,MAX(1,'Loan Prepayment'!$B$7*12-AG64+1),AH64),IF(AND('Loan Prepayment'!$E$15="Reduce EMI",AM63&gt;0),-PMT(AI63/1200,MAX(1,'Loan Prepayment'!$B$7*12-AG64+1),AH64),AJ63)),IF(AND('Loan Prepayment'!$E$15="Reduce EMI",AM63&gt;0),-PMT(AI64/1200,MAX(1,'Loan Prepayment'!$B$7*12-AG64+1),AH64),AJ63)),AH64+AK64))</f>
        <v>67460.316473241648</v>
      </c>
      <c r="AK64">
        <f t="shared" si="13"/>
        <v>39113.4198723476</v>
      </c>
      <c r="AL64">
        <f t="shared" si="14"/>
        <v>28346.896600894048</v>
      </c>
      <c r="AM64">
        <f>IF(AH64&lt;=0,0,MIN(MAX(0,AH64-AL64),SUMIFS('Loan Prepayment'!$B$12:$B$31,'Loan Prepayment'!$A$12:$A$31,AG64)+IF(AND(AG64&gt;='Loan Prepayment'!$B$9,AG64&lt;='Loan Prepayment'!$E$16),'Loan Prepayment'!$B$8,0)))</f>
        <v>0</v>
      </c>
      <c r="AN64">
        <f t="shared" si="15"/>
        <v>7192592.1567555862</v>
      </c>
    </row>
    <row r="65" spans="1:40" x14ac:dyDescent="0.35">
      <c r="A65">
        <v>64</v>
      </c>
      <c r="B65">
        <f t="shared" si="16"/>
        <v>8610980.191047173</v>
      </c>
      <c r="C65" s="64">
        <f>'Loan Prepayment'!$B$6</f>
        <v>7.5</v>
      </c>
      <c r="D65">
        <f>IF(B65&lt;=0,0,MIN(-PMT('Loan Prepayment'!$B$6/1200,'Loan Prepayment'!$B$7*12,'Loan Prepayment'!$B$5),B65+E65))</f>
        <v>80559.31935518072</v>
      </c>
      <c r="E65">
        <f t="shared" si="0"/>
        <v>53818.626194044831</v>
      </c>
      <c r="F65">
        <f t="shared" si="1"/>
        <v>26740.693161135889</v>
      </c>
      <c r="G65">
        <v>0</v>
      </c>
      <c r="H65">
        <f t="shared" si="2"/>
        <v>8584239.4978860375</v>
      </c>
      <c r="I65">
        <v>64</v>
      </c>
      <c r="J65">
        <f t="shared" si="17"/>
        <v>7210828.659955645</v>
      </c>
      <c r="K65" s="64">
        <f>'Loan Prepayment'!$B$6</f>
        <v>7.5</v>
      </c>
      <c r="L65">
        <f>IF(J65&lt;=0,0,MIN(IF(AND('Loan Prepayment'!$E$15="Reduce EMI",O64&gt;0),-PMT(K65/1200,MAX(1,'Loan Prepayment'!$B$7*12-I65+1),J65),L64),J65+M65))</f>
        <v>67460.316473241648</v>
      </c>
      <c r="M65">
        <f t="shared" si="3"/>
        <v>45067.679124722781</v>
      </c>
      <c r="N65">
        <f t="shared" si="4"/>
        <v>22392.637348518867</v>
      </c>
      <c r="O65">
        <f>IF(J65&lt;=0,0,MIN(MAX(0,J65-N65),SUMIFS('Loan Prepayment'!$B$12:$B$31,'Loan Prepayment'!$A$12:$A$31,I65)+0))</f>
        <v>0</v>
      </c>
      <c r="P65">
        <f t="shared" si="5"/>
        <v>7188436.0226071263</v>
      </c>
      <c r="Q65">
        <v>64</v>
      </c>
      <c r="R65">
        <f t="shared" si="18"/>
        <v>8610980.191047173</v>
      </c>
      <c r="S65" s="64">
        <f>'Loan Prepayment'!$B$6</f>
        <v>7.5</v>
      </c>
      <c r="T65">
        <f>IF(R65&lt;=0,0,MIN(IF(AND('Loan Prepayment'!$E$15="Reduce EMI",W64&gt;0),-PMT(S65/1200,MAX(1,'Loan Prepayment'!$B$7*12-Q65+1),R65),T64),R65+U65))</f>
        <v>80559.31935518072</v>
      </c>
      <c r="U65">
        <f t="shared" si="6"/>
        <v>53818.626194044831</v>
      </c>
      <c r="V65">
        <f t="shared" si="7"/>
        <v>26740.693161135889</v>
      </c>
      <c r="W65">
        <f>IF(R65&lt;=0,0,MIN(MAX(0,R65-V65),0+IF(AND(Q65&gt;='Loan Prepayment'!$B$9,Q65&lt;='Loan Prepayment'!$E$16),'Loan Prepayment'!$B$8,0)))</f>
        <v>0</v>
      </c>
      <c r="X65">
        <f t="shared" si="8"/>
        <v>8584239.4978860375</v>
      </c>
      <c r="Y65">
        <v>64</v>
      </c>
      <c r="Z65">
        <f t="shared" si="19"/>
        <v>8589202.6429712158</v>
      </c>
      <c r="AA65">
        <f>IF(Y65&gt;='Loan Prepayment'!$E$11,'Loan Prepayment'!$E$12,'Loan Prepayment'!$B$6)</f>
        <v>6.5</v>
      </c>
      <c r="AB65">
        <f>IF(Z65&lt;=0,0,MIN(IF(Y65='Loan Prepayment'!$E$11,IF('Loan Prepayment'!$E$13="Keep tenure, recalculate EMI",-PMT(AA65/1200,MAX(1,'Loan Prepayment'!$B$7*12-Y65+1),Z65),AB64),AB64),Z65+AC65))</f>
        <v>80559.31935518072</v>
      </c>
      <c r="AC65">
        <f t="shared" si="9"/>
        <v>46524.847649427415</v>
      </c>
      <c r="AD65">
        <f t="shared" si="10"/>
        <v>34034.471705753305</v>
      </c>
      <c r="AE65">
        <f t="shared" si="11"/>
        <v>0</v>
      </c>
      <c r="AF65">
        <f t="shared" si="12"/>
        <v>8555168.1712654624</v>
      </c>
      <c r="AG65">
        <v>64</v>
      </c>
      <c r="AH65">
        <f t="shared" si="20"/>
        <v>7192592.1567555862</v>
      </c>
      <c r="AI65">
        <f>IF(AG65&gt;='Loan Prepayment'!$E$11,'Loan Prepayment'!$E$12,'Loan Prepayment'!$B$6)</f>
        <v>6.5</v>
      </c>
      <c r="AJ65">
        <f>IF(AH65&lt;=0,0,MIN(IF(AG65='Loan Prepayment'!$E$11,IF('Loan Prepayment'!$E$13="Keep tenure, recalculate EMI",-PMT(AI65/1200,MAX(1,'Loan Prepayment'!$B$7*12-AG65+1),AH65),IF(AND('Loan Prepayment'!$E$15="Reduce EMI",AM64&gt;0),-PMT(AI64/1200,MAX(1,'Loan Prepayment'!$B$7*12-AG65+1),AH65),AJ64)),IF(AND('Loan Prepayment'!$E$15="Reduce EMI",AM64&gt;0),-PMT(AI65/1200,MAX(1,'Loan Prepayment'!$B$7*12-AG65+1),AH65),AJ64)),AH65+AK65))</f>
        <v>67460.316473241648</v>
      </c>
      <c r="AK65">
        <f t="shared" si="13"/>
        <v>38959.874182426094</v>
      </c>
      <c r="AL65">
        <f t="shared" si="14"/>
        <v>28500.442290815554</v>
      </c>
      <c r="AM65">
        <f>IF(AH65&lt;=0,0,MIN(MAX(0,AH65-AL65),SUMIFS('Loan Prepayment'!$B$12:$B$31,'Loan Prepayment'!$A$12:$A$31,AG65)+IF(AND(AG65&gt;='Loan Prepayment'!$B$9,AG65&lt;='Loan Prepayment'!$E$16),'Loan Prepayment'!$B$8,0)))</f>
        <v>0</v>
      </c>
      <c r="AN65">
        <f t="shared" si="15"/>
        <v>7164091.7144647706</v>
      </c>
    </row>
    <row r="66" spans="1:40" x14ac:dyDescent="0.35">
      <c r="A66">
        <v>65</v>
      </c>
      <c r="B66">
        <f t="shared" si="16"/>
        <v>8584239.4978860375</v>
      </c>
      <c r="C66" s="64">
        <f>'Loan Prepayment'!$B$6</f>
        <v>7.5</v>
      </c>
      <c r="D66">
        <f>IF(B66&lt;=0,0,MIN(-PMT('Loan Prepayment'!$B$6/1200,'Loan Prepayment'!$B$7*12,'Loan Prepayment'!$B$5),B66+E66))</f>
        <v>80559.31935518072</v>
      </c>
      <c r="E66">
        <f t="shared" ref="E66:E129" si="21">IF(B66&lt;=0,0,B66*C66/1200)</f>
        <v>53651.496861787738</v>
      </c>
      <c r="F66">
        <f t="shared" ref="F66:F129" si="22">MAX(0,D66-E66)</f>
        <v>26907.822493392981</v>
      </c>
      <c r="G66">
        <v>0</v>
      </c>
      <c r="H66">
        <f t="shared" ref="H66:H129" si="23">MAX(0,B66-F66-G66)</f>
        <v>8557331.6753926445</v>
      </c>
      <c r="I66">
        <v>65</v>
      </c>
      <c r="J66">
        <f t="shared" si="17"/>
        <v>7188436.0226071263</v>
      </c>
      <c r="K66" s="64">
        <f>'Loan Prepayment'!$B$6</f>
        <v>7.5</v>
      </c>
      <c r="L66">
        <f>IF(J66&lt;=0,0,MIN(IF(AND('Loan Prepayment'!$E$15="Reduce EMI",O65&gt;0),-PMT(K66/1200,MAX(1,'Loan Prepayment'!$B$7*12-I66+1),J66),L65),J66+M66))</f>
        <v>67460.316473241648</v>
      </c>
      <c r="M66">
        <f t="shared" ref="M66:M129" si="24">IF(J66&lt;=0,0,J66*K66/1200)</f>
        <v>44927.725141294533</v>
      </c>
      <c r="N66">
        <f t="shared" ref="N66:N129" si="25">MAX(0,L66-M66)</f>
        <v>22532.591331947115</v>
      </c>
      <c r="O66">
        <f>IF(J66&lt;=0,0,MIN(MAX(0,J66-N66),SUMIFS('Loan Prepayment'!$B$12:$B$31,'Loan Prepayment'!$A$12:$A$31,I66)+0))</f>
        <v>0</v>
      </c>
      <c r="P66">
        <f t="shared" ref="P66:P129" si="26">MAX(0,J66-N66-O66)</f>
        <v>7165903.4312751796</v>
      </c>
      <c r="Q66">
        <v>65</v>
      </c>
      <c r="R66">
        <f t="shared" si="18"/>
        <v>8584239.4978860375</v>
      </c>
      <c r="S66" s="64">
        <f>'Loan Prepayment'!$B$6</f>
        <v>7.5</v>
      </c>
      <c r="T66">
        <f>IF(R66&lt;=0,0,MIN(IF(AND('Loan Prepayment'!$E$15="Reduce EMI",W65&gt;0),-PMT(S66/1200,MAX(1,'Loan Prepayment'!$B$7*12-Q66+1),R66),T65),R66+U66))</f>
        <v>80559.31935518072</v>
      </c>
      <c r="U66">
        <f t="shared" ref="U66:U129" si="27">IF(R66&lt;=0,0,R66*S66/1200)</f>
        <v>53651.496861787738</v>
      </c>
      <c r="V66">
        <f t="shared" ref="V66:V129" si="28">MAX(0,T66-U66)</f>
        <v>26907.822493392981</v>
      </c>
      <c r="W66">
        <f>IF(R66&lt;=0,0,MIN(MAX(0,R66-V66),0+IF(AND(Q66&gt;='Loan Prepayment'!$B$9,Q66&lt;='Loan Prepayment'!$E$16),'Loan Prepayment'!$B$8,0)))</f>
        <v>0</v>
      </c>
      <c r="X66">
        <f t="shared" ref="X66:X129" si="29">MAX(0,R66-V66-W66)</f>
        <v>8557331.6753926445</v>
      </c>
      <c r="Y66">
        <v>65</v>
      </c>
      <c r="Z66">
        <f t="shared" si="19"/>
        <v>8555168.1712654624</v>
      </c>
      <c r="AA66">
        <f>IF(Y66&gt;='Loan Prepayment'!$E$11,'Loan Prepayment'!$E$12,'Loan Prepayment'!$B$6)</f>
        <v>6.5</v>
      </c>
      <c r="AB66">
        <f>IF(Z66&lt;=0,0,MIN(IF(Y66='Loan Prepayment'!$E$11,IF('Loan Prepayment'!$E$13="Keep tenure, recalculate EMI",-PMT(AA66/1200,MAX(1,'Loan Prepayment'!$B$7*12-Y66+1),Z66),AB65),AB65),Z66+AC66))</f>
        <v>80559.31935518072</v>
      </c>
      <c r="AC66">
        <f t="shared" ref="AC66:AC129" si="30">IF(Z66&lt;=0,0,Z66*AA66/1200)</f>
        <v>46340.494261021253</v>
      </c>
      <c r="AD66">
        <f t="shared" ref="AD66:AD129" si="31">MAX(0,AB66-AC66)</f>
        <v>34218.825094159467</v>
      </c>
      <c r="AE66">
        <f t="shared" ref="AE66:AE129" si="32">IF(Z66&lt;=0,0,MIN(MAX(0,Z66-AD66),0))</f>
        <v>0</v>
      </c>
      <c r="AF66">
        <f t="shared" ref="AF66:AF129" si="33">MAX(0,Z66-AD66-AE66)</f>
        <v>8520949.3461713027</v>
      </c>
      <c r="AG66">
        <v>65</v>
      </c>
      <c r="AH66">
        <f t="shared" si="20"/>
        <v>7164091.7144647706</v>
      </c>
      <c r="AI66">
        <f>IF(AG66&gt;='Loan Prepayment'!$E$11,'Loan Prepayment'!$E$12,'Loan Prepayment'!$B$6)</f>
        <v>6.5</v>
      </c>
      <c r="AJ66">
        <f>IF(AH66&lt;=0,0,MIN(IF(AG66='Loan Prepayment'!$E$11,IF('Loan Prepayment'!$E$13="Keep tenure, recalculate EMI",-PMT(AI66/1200,MAX(1,'Loan Prepayment'!$B$7*12-AG66+1),AH66),IF(AND('Loan Prepayment'!$E$15="Reduce EMI",AM65&gt;0),-PMT(AI65/1200,MAX(1,'Loan Prepayment'!$B$7*12-AG66+1),AH66),AJ65)),IF(AND('Loan Prepayment'!$E$15="Reduce EMI",AM65&gt;0),-PMT(AI66/1200,MAX(1,'Loan Prepayment'!$B$7*12-AG66+1),AH66),AJ65)),AH66+AK66))</f>
        <v>67460.316473241648</v>
      </c>
      <c r="AK66">
        <f t="shared" ref="AK66:AK129" si="34">IF(AH66&lt;=0,0,AH66*AI66/1200)</f>
        <v>38805.496786684176</v>
      </c>
      <c r="AL66">
        <f t="shared" ref="AL66:AL129" si="35">MAX(0,AJ66-AK66)</f>
        <v>28654.819686557472</v>
      </c>
      <c r="AM66">
        <f>IF(AH66&lt;=0,0,MIN(MAX(0,AH66-AL66),SUMIFS('Loan Prepayment'!$B$12:$B$31,'Loan Prepayment'!$A$12:$A$31,AG66)+IF(AND(AG66&gt;='Loan Prepayment'!$B$9,AG66&lt;='Loan Prepayment'!$E$16),'Loan Prepayment'!$B$8,0)))</f>
        <v>0</v>
      </c>
      <c r="AN66">
        <f t="shared" ref="AN66:AN129" si="36">MAX(0,AH66-AL66-AM66)</f>
        <v>7135436.8947782135</v>
      </c>
    </row>
    <row r="67" spans="1:40" x14ac:dyDescent="0.35">
      <c r="A67">
        <v>66</v>
      </c>
      <c r="B67">
        <f t="shared" ref="B67:B130" si="37">H66</f>
        <v>8557331.6753926445</v>
      </c>
      <c r="C67" s="64">
        <f>'Loan Prepayment'!$B$6</f>
        <v>7.5</v>
      </c>
      <c r="D67">
        <f>IF(B67&lt;=0,0,MIN(-PMT('Loan Prepayment'!$B$6/1200,'Loan Prepayment'!$B$7*12,'Loan Prepayment'!$B$5),B67+E67))</f>
        <v>80559.31935518072</v>
      </c>
      <c r="E67">
        <f t="shared" si="21"/>
        <v>53483.322971204027</v>
      </c>
      <c r="F67">
        <f t="shared" si="22"/>
        <v>27075.996383976693</v>
      </c>
      <c r="G67">
        <v>0</v>
      </c>
      <c r="H67">
        <f t="shared" si="23"/>
        <v>8530255.6790086683</v>
      </c>
      <c r="I67">
        <v>66</v>
      </c>
      <c r="J67">
        <f t="shared" ref="J67:J130" si="38">P66</f>
        <v>7165903.4312751796</v>
      </c>
      <c r="K67" s="64">
        <f>'Loan Prepayment'!$B$6</f>
        <v>7.5</v>
      </c>
      <c r="L67">
        <f>IF(J67&lt;=0,0,MIN(IF(AND('Loan Prepayment'!$E$15="Reduce EMI",O66&gt;0),-PMT(K67/1200,MAX(1,'Loan Prepayment'!$B$7*12-I67+1),J67),L66),J67+M67))</f>
        <v>67460.316473241648</v>
      </c>
      <c r="M67">
        <f t="shared" si="24"/>
        <v>44786.896445469873</v>
      </c>
      <c r="N67">
        <f t="shared" si="25"/>
        <v>22673.420027771775</v>
      </c>
      <c r="O67">
        <f>IF(J67&lt;=0,0,MIN(MAX(0,J67-N67),SUMIFS('Loan Prepayment'!$B$12:$B$31,'Loan Prepayment'!$A$12:$A$31,I67)+0))</f>
        <v>0</v>
      </c>
      <c r="P67">
        <f t="shared" si="26"/>
        <v>7143230.0112474076</v>
      </c>
      <c r="Q67">
        <v>66</v>
      </c>
      <c r="R67">
        <f t="shared" ref="R67:R130" si="39">X66</f>
        <v>8557331.6753926445</v>
      </c>
      <c r="S67" s="64">
        <f>'Loan Prepayment'!$B$6</f>
        <v>7.5</v>
      </c>
      <c r="T67">
        <f>IF(R67&lt;=0,0,MIN(IF(AND('Loan Prepayment'!$E$15="Reduce EMI",W66&gt;0),-PMT(S67/1200,MAX(1,'Loan Prepayment'!$B$7*12-Q67+1),R67),T66),R67+U67))</f>
        <v>80559.31935518072</v>
      </c>
      <c r="U67">
        <f t="shared" si="27"/>
        <v>53483.322971204027</v>
      </c>
      <c r="V67">
        <f t="shared" si="28"/>
        <v>27075.996383976693</v>
      </c>
      <c r="W67">
        <f>IF(R67&lt;=0,0,MIN(MAX(0,R67-V67),0+IF(AND(Q67&gt;='Loan Prepayment'!$B$9,Q67&lt;='Loan Prepayment'!$E$16),'Loan Prepayment'!$B$8,0)))</f>
        <v>0</v>
      </c>
      <c r="X67">
        <f t="shared" si="29"/>
        <v>8530255.6790086683</v>
      </c>
      <c r="Y67">
        <v>66</v>
      </c>
      <c r="Z67">
        <f t="shared" ref="Z67:Z130" si="40">AF66</f>
        <v>8520949.3461713027</v>
      </c>
      <c r="AA67">
        <f>IF(Y67&gt;='Loan Prepayment'!$E$11,'Loan Prepayment'!$E$12,'Loan Prepayment'!$B$6)</f>
        <v>6.5</v>
      </c>
      <c r="AB67">
        <f>IF(Z67&lt;=0,0,MIN(IF(Y67='Loan Prepayment'!$E$11,IF('Loan Prepayment'!$E$13="Keep tenure, recalculate EMI",-PMT(AA67/1200,MAX(1,'Loan Prepayment'!$B$7*12-Y67+1),Z67),AB66),AB66),Z67+AC67))</f>
        <v>80559.31935518072</v>
      </c>
      <c r="AC67">
        <f t="shared" si="30"/>
        <v>46155.142291761222</v>
      </c>
      <c r="AD67">
        <f t="shared" si="31"/>
        <v>34404.177063419498</v>
      </c>
      <c r="AE67">
        <f t="shared" si="32"/>
        <v>0</v>
      </c>
      <c r="AF67">
        <f t="shared" si="33"/>
        <v>8486545.1691078823</v>
      </c>
      <c r="AG67">
        <v>66</v>
      </c>
      <c r="AH67">
        <f t="shared" ref="AH67:AH130" si="41">AN66</f>
        <v>7135436.8947782135</v>
      </c>
      <c r="AI67">
        <f>IF(AG67&gt;='Loan Prepayment'!$E$11,'Loan Prepayment'!$E$12,'Loan Prepayment'!$B$6)</f>
        <v>6.5</v>
      </c>
      <c r="AJ67">
        <f>IF(AH67&lt;=0,0,MIN(IF(AG67='Loan Prepayment'!$E$11,IF('Loan Prepayment'!$E$13="Keep tenure, recalculate EMI",-PMT(AI67/1200,MAX(1,'Loan Prepayment'!$B$7*12-AG67+1),AH67),IF(AND('Loan Prepayment'!$E$15="Reduce EMI",AM66&gt;0),-PMT(AI66/1200,MAX(1,'Loan Prepayment'!$B$7*12-AG67+1),AH67),AJ66)),IF(AND('Loan Prepayment'!$E$15="Reduce EMI",AM66&gt;0),-PMT(AI67/1200,MAX(1,'Loan Prepayment'!$B$7*12-AG67+1),AH67),AJ66)),AH67+AK67))</f>
        <v>67460.316473241648</v>
      </c>
      <c r="AK67">
        <f t="shared" si="34"/>
        <v>38650.28318004866</v>
      </c>
      <c r="AL67">
        <f t="shared" si="35"/>
        <v>28810.033293192988</v>
      </c>
      <c r="AM67">
        <f>IF(AH67&lt;=0,0,MIN(MAX(0,AH67-AL67),SUMIFS('Loan Prepayment'!$B$12:$B$31,'Loan Prepayment'!$A$12:$A$31,AG67)+IF(AND(AG67&gt;='Loan Prepayment'!$B$9,AG67&lt;='Loan Prepayment'!$E$16),'Loan Prepayment'!$B$8,0)))</f>
        <v>0</v>
      </c>
      <c r="AN67">
        <f t="shared" si="36"/>
        <v>7106626.8614850203</v>
      </c>
    </row>
    <row r="68" spans="1:40" x14ac:dyDescent="0.35">
      <c r="A68">
        <v>67</v>
      </c>
      <c r="B68">
        <f t="shared" si="37"/>
        <v>8530255.6790086683</v>
      </c>
      <c r="C68" s="64">
        <f>'Loan Prepayment'!$B$6</f>
        <v>7.5</v>
      </c>
      <c r="D68">
        <f>IF(B68&lt;=0,0,MIN(-PMT('Loan Prepayment'!$B$6/1200,'Loan Prepayment'!$B$7*12,'Loan Prepayment'!$B$5),B68+E68))</f>
        <v>80559.31935518072</v>
      </c>
      <c r="E68">
        <f t="shared" si="21"/>
        <v>53314.097993804178</v>
      </c>
      <c r="F68">
        <f t="shared" si="22"/>
        <v>27245.221361376542</v>
      </c>
      <c r="G68">
        <v>0</v>
      </c>
      <c r="H68">
        <f t="shared" si="23"/>
        <v>8503010.4576472919</v>
      </c>
      <c r="I68">
        <v>67</v>
      </c>
      <c r="J68">
        <f t="shared" si="38"/>
        <v>7143230.0112474076</v>
      </c>
      <c r="K68" s="64">
        <f>'Loan Prepayment'!$B$6</f>
        <v>7.5</v>
      </c>
      <c r="L68">
        <f>IF(J68&lt;=0,0,MIN(IF(AND('Loan Prepayment'!$E$15="Reduce EMI",O67&gt;0),-PMT(K68/1200,MAX(1,'Loan Prepayment'!$B$7*12-I68+1),J68),L67),J68+M68))</f>
        <v>67460.316473241648</v>
      </c>
      <c r="M68">
        <f t="shared" si="24"/>
        <v>44645.187570296293</v>
      </c>
      <c r="N68">
        <f t="shared" si="25"/>
        <v>22815.128902945355</v>
      </c>
      <c r="O68">
        <f>IF(J68&lt;=0,0,MIN(MAX(0,J68-N68),SUMIFS('Loan Prepayment'!$B$12:$B$31,'Loan Prepayment'!$A$12:$A$31,I68)+0))</f>
        <v>0</v>
      </c>
      <c r="P68">
        <f t="shared" si="26"/>
        <v>7120414.882344462</v>
      </c>
      <c r="Q68">
        <v>67</v>
      </c>
      <c r="R68">
        <f t="shared" si="39"/>
        <v>8530255.6790086683</v>
      </c>
      <c r="S68" s="64">
        <f>'Loan Prepayment'!$B$6</f>
        <v>7.5</v>
      </c>
      <c r="T68">
        <f>IF(R68&lt;=0,0,MIN(IF(AND('Loan Prepayment'!$E$15="Reduce EMI",W67&gt;0),-PMT(S68/1200,MAX(1,'Loan Prepayment'!$B$7*12-Q68+1),R68),T67),R68+U68))</f>
        <v>80559.31935518072</v>
      </c>
      <c r="U68">
        <f t="shared" si="27"/>
        <v>53314.097993804178</v>
      </c>
      <c r="V68">
        <f t="shared" si="28"/>
        <v>27245.221361376542</v>
      </c>
      <c r="W68">
        <f>IF(R68&lt;=0,0,MIN(MAX(0,R68-V68),0+IF(AND(Q68&gt;='Loan Prepayment'!$B$9,Q68&lt;='Loan Prepayment'!$E$16),'Loan Prepayment'!$B$8,0)))</f>
        <v>0</v>
      </c>
      <c r="X68">
        <f t="shared" si="29"/>
        <v>8503010.4576472919</v>
      </c>
      <c r="Y68">
        <v>67</v>
      </c>
      <c r="Z68">
        <f t="shared" si="40"/>
        <v>8486545.1691078823</v>
      </c>
      <c r="AA68">
        <f>IF(Y68&gt;='Loan Prepayment'!$E$11,'Loan Prepayment'!$E$12,'Loan Prepayment'!$B$6)</f>
        <v>6.5</v>
      </c>
      <c r="AB68">
        <f>IF(Z68&lt;=0,0,MIN(IF(Y68='Loan Prepayment'!$E$11,IF('Loan Prepayment'!$E$13="Keep tenure, recalculate EMI",-PMT(AA68/1200,MAX(1,'Loan Prepayment'!$B$7*12-Y68+1),Z68),AB67),AB67),Z68+AC68))</f>
        <v>80559.31935518072</v>
      </c>
      <c r="AC68">
        <f t="shared" si="30"/>
        <v>45968.786332667696</v>
      </c>
      <c r="AD68">
        <f t="shared" si="31"/>
        <v>34590.533022513024</v>
      </c>
      <c r="AE68">
        <f t="shared" si="32"/>
        <v>0</v>
      </c>
      <c r="AF68">
        <f t="shared" si="33"/>
        <v>8451954.6360853687</v>
      </c>
      <c r="AG68">
        <v>67</v>
      </c>
      <c r="AH68">
        <f t="shared" si="41"/>
        <v>7106626.8614850203</v>
      </c>
      <c r="AI68">
        <f>IF(AG68&gt;='Loan Prepayment'!$E$11,'Loan Prepayment'!$E$12,'Loan Prepayment'!$B$6)</f>
        <v>6.5</v>
      </c>
      <c r="AJ68">
        <f>IF(AH68&lt;=0,0,MIN(IF(AG68='Loan Prepayment'!$E$11,IF('Loan Prepayment'!$E$13="Keep tenure, recalculate EMI",-PMT(AI68/1200,MAX(1,'Loan Prepayment'!$B$7*12-AG68+1),AH68),IF(AND('Loan Prepayment'!$E$15="Reduce EMI",AM67&gt;0),-PMT(AI67/1200,MAX(1,'Loan Prepayment'!$B$7*12-AG68+1),AH68),AJ67)),IF(AND('Loan Prepayment'!$E$15="Reduce EMI",AM67&gt;0),-PMT(AI68/1200,MAX(1,'Loan Prepayment'!$B$7*12-AG68+1),AH68),AJ67)),AH68+AK68))</f>
        <v>67460.316473241648</v>
      </c>
      <c r="AK68">
        <f t="shared" si="34"/>
        <v>38494.228833043861</v>
      </c>
      <c r="AL68">
        <f t="shared" si="35"/>
        <v>28966.087640197788</v>
      </c>
      <c r="AM68">
        <f>IF(AH68&lt;=0,0,MIN(MAX(0,AH68-AL68),SUMIFS('Loan Prepayment'!$B$12:$B$31,'Loan Prepayment'!$A$12:$A$31,AG68)+IF(AND(AG68&gt;='Loan Prepayment'!$B$9,AG68&lt;='Loan Prepayment'!$E$16),'Loan Prepayment'!$B$8,0)))</f>
        <v>0</v>
      </c>
      <c r="AN68">
        <f t="shared" si="36"/>
        <v>7077660.7738448223</v>
      </c>
    </row>
    <row r="69" spans="1:40" x14ac:dyDescent="0.35">
      <c r="A69">
        <v>68</v>
      </c>
      <c r="B69">
        <f t="shared" si="37"/>
        <v>8503010.4576472919</v>
      </c>
      <c r="C69" s="64">
        <f>'Loan Prepayment'!$B$6</f>
        <v>7.5</v>
      </c>
      <c r="D69">
        <f>IF(B69&lt;=0,0,MIN(-PMT('Loan Prepayment'!$B$6/1200,'Loan Prepayment'!$B$7*12,'Loan Prepayment'!$B$5),B69+E69))</f>
        <v>80559.31935518072</v>
      </c>
      <c r="E69">
        <f t="shared" si="21"/>
        <v>53143.815360295572</v>
      </c>
      <c r="F69">
        <f t="shared" si="22"/>
        <v>27415.503994885148</v>
      </c>
      <c r="G69">
        <v>0</v>
      </c>
      <c r="H69">
        <f t="shared" si="23"/>
        <v>8475594.9536524061</v>
      </c>
      <c r="I69">
        <v>68</v>
      </c>
      <c r="J69">
        <f t="shared" si="38"/>
        <v>7120414.882344462</v>
      </c>
      <c r="K69" s="64">
        <f>'Loan Prepayment'!$B$6</f>
        <v>7.5</v>
      </c>
      <c r="L69">
        <f>IF(J69&lt;=0,0,MIN(IF(AND('Loan Prepayment'!$E$15="Reduce EMI",O68&gt;0),-PMT(K69/1200,MAX(1,'Loan Prepayment'!$B$7*12-I69+1),J69),L68),J69+M69))</f>
        <v>67460.316473241648</v>
      </c>
      <c r="M69">
        <f t="shared" si="24"/>
        <v>44502.593014652892</v>
      </c>
      <c r="N69">
        <f t="shared" si="25"/>
        <v>22957.723458588756</v>
      </c>
      <c r="O69">
        <f>IF(J69&lt;=0,0,MIN(MAX(0,J69-N69),SUMIFS('Loan Prepayment'!$B$12:$B$31,'Loan Prepayment'!$A$12:$A$31,I69)+0))</f>
        <v>0</v>
      </c>
      <c r="P69">
        <f t="shared" si="26"/>
        <v>7097457.1588858729</v>
      </c>
      <c r="Q69">
        <v>68</v>
      </c>
      <c r="R69">
        <f t="shared" si="39"/>
        <v>8503010.4576472919</v>
      </c>
      <c r="S69" s="64">
        <f>'Loan Prepayment'!$B$6</f>
        <v>7.5</v>
      </c>
      <c r="T69">
        <f>IF(R69&lt;=0,0,MIN(IF(AND('Loan Prepayment'!$E$15="Reduce EMI",W68&gt;0),-PMT(S69/1200,MAX(1,'Loan Prepayment'!$B$7*12-Q69+1),R69),T68),R69+U69))</f>
        <v>80559.31935518072</v>
      </c>
      <c r="U69">
        <f t="shared" si="27"/>
        <v>53143.815360295572</v>
      </c>
      <c r="V69">
        <f t="shared" si="28"/>
        <v>27415.503994885148</v>
      </c>
      <c r="W69">
        <f>IF(R69&lt;=0,0,MIN(MAX(0,R69-V69),0+IF(AND(Q69&gt;='Loan Prepayment'!$B$9,Q69&lt;='Loan Prepayment'!$E$16),'Loan Prepayment'!$B$8,0)))</f>
        <v>0</v>
      </c>
      <c r="X69">
        <f t="shared" si="29"/>
        <v>8475594.9536524061</v>
      </c>
      <c r="Y69">
        <v>68</v>
      </c>
      <c r="Z69">
        <f t="shared" si="40"/>
        <v>8451954.6360853687</v>
      </c>
      <c r="AA69">
        <f>IF(Y69&gt;='Loan Prepayment'!$E$11,'Loan Prepayment'!$E$12,'Loan Prepayment'!$B$6)</f>
        <v>6.5</v>
      </c>
      <c r="AB69">
        <f>IF(Z69&lt;=0,0,MIN(IF(Y69='Loan Prepayment'!$E$11,IF('Loan Prepayment'!$E$13="Keep tenure, recalculate EMI",-PMT(AA69/1200,MAX(1,'Loan Prepayment'!$B$7*12-Y69+1),Z69),AB68),AB68),Z69+AC69))</f>
        <v>80559.31935518072</v>
      </c>
      <c r="AC69">
        <f t="shared" si="30"/>
        <v>45781.420945462414</v>
      </c>
      <c r="AD69">
        <f t="shared" si="31"/>
        <v>34777.898409718306</v>
      </c>
      <c r="AE69">
        <f t="shared" si="32"/>
        <v>0</v>
      </c>
      <c r="AF69">
        <f t="shared" si="33"/>
        <v>8417176.73767565</v>
      </c>
      <c r="AG69">
        <v>68</v>
      </c>
      <c r="AH69">
        <f t="shared" si="41"/>
        <v>7077660.7738448223</v>
      </c>
      <c r="AI69">
        <f>IF(AG69&gt;='Loan Prepayment'!$E$11,'Loan Prepayment'!$E$12,'Loan Prepayment'!$B$6)</f>
        <v>6.5</v>
      </c>
      <c r="AJ69">
        <f>IF(AH69&lt;=0,0,MIN(IF(AG69='Loan Prepayment'!$E$11,IF('Loan Prepayment'!$E$13="Keep tenure, recalculate EMI",-PMT(AI69/1200,MAX(1,'Loan Prepayment'!$B$7*12-AG69+1),AH69),IF(AND('Loan Prepayment'!$E$15="Reduce EMI",AM68&gt;0),-PMT(AI68/1200,MAX(1,'Loan Prepayment'!$B$7*12-AG69+1),AH69),AJ68)),IF(AND('Loan Prepayment'!$E$15="Reduce EMI",AM68&gt;0),-PMT(AI69/1200,MAX(1,'Loan Prepayment'!$B$7*12-AG69+1),AH69),AJ68)),AH69+AK69))</f>
        <v>67460.316473241648</v>
      </c>
      <c r="AK69">
        <f t="shared" si="34"/>
        <v>38337.329191659453</v>
      </c>
      <c r="AL69">
        <f t="shared" si="35"/>
        <v>29122.987281582195</v>
      </c>
      <c r="AM69">
        <f>IF(AH69&lt;=0,0,MIN(MAX(0,AH69-AL69),SUMIFS('Loan Prepayment'!$B$12:$B$31,'Loan Prepayment'!$A$12:$A$31,AG69)+IF(AND(AG69&gt;='Loan Prepayment'!$B$9,AG69&lt;='Loan Prepayment'!$E$16),'Loan Prepayment'!$B$8,0)))</f>
        <v>0</v>
      </c>
      <c r="AN69">
        <f t="shared" si="36"/>
        <v>7048537.78656324</v>
      </c>
    </row>
    <row r="70" spans="1:40" x14ac:dyDescent="0.35">
      <c r="A70">
        <v>69</v>
      </c>
      <c r="B70">
        <f t="shared" si="37"/>
        <v>8475594.9536524061</v>
      </c>
      <c r="C70" s="64">
        <f>'Loan Prepayment'!$B$6</f>
        <v>7.5</v>
      </c>
      <c r="D70">
        <f>IF(B70&lt;=0,0,MIN(-PMT('Loan Prepayment'!$B$6/1200,'Loan Prepayment'!$B$7*12,'Loan Prepayment'!$B$5),B70+E70))</f>
        <v>80559.31935518072</v>
      </c>
      <c r="E70">
        <f t="shared" si="21"/>
        <v>52972.468460327538</v>
      </c>
      <c r="F70">
        <f t="shared" si="22"/>
        <v>27586.850894853182</v>
      </c>
      <c r="G70">
        <v>0</v>
      </c>
      <c r="H70">
        <f t="shared" si="23"/>
        <v>8448008.1027575526</v>
      </c>
      <c r="I70">
        <v>69</v>
      </c>
      <c r="J70">
        <f t="shared" si="38"/>
        <v>7097457.1588858729</v>
      </c>
      <c r="K70" s="64">
        <f>'Loan Prepayment'!$B$6</f>
        <v>7.5</v>
      </c>
      <c r="L70">
        <f>IF(J70&lt;=0,0,MIN(IF(AND('Loan Prepayment'!$E$15="Reduce EMI",O69&gt;0),-PMT(K70/1200,MAX(1,'Loan Prepayment'!$B$7*12-I70+1),J70),L69),J70+M70))</f>
        <v>67460.316473241648</v>
      </c>
      <c r="M70">
        <f t="shared" si="24"/>
        <v>44359.107243036706</v>
      </c>
      <c r="N70">
        <f t="shared" si="25"/>
        <v>23101.209230204942</v>
      </c>
      <c r="O70">
        <f>IF(J70&lt;=0,0,MIN(MAX(0,J70-N70),SUMIFS('Loan Prepayment'!$B$12:$B$31,'Loan Prepayment'!$A$12:$A$31,I70)+0))</f>
        <v>0</v>
      </c>
      <c r="P70">
        <f t="shared" si="26"/>
        <v>7074355.9496556679</v>
      </c>
      <c r="Q70">
        <v>69</v>
      </c>
      <c r="R70">
        <f t="shared" si="39"/>
        <v>8475594.9536524061</v>
      </c>
      <c r="S70" s="64">
        <f>'Loan Prepayment'!$B$6</f>
        <v>7.5</v>
      </c>
      <c r="T70">
        <f>IF(R70&lt;=0,0,MIN(IF(AND('Loan Prepayment'!$E$15="Reduce EMI",W69&gt;0),-PMT(S70/1200,MAX(1,'Loan Prepayment'!$B$7*12-Q70+1),R70),T69),R70+U70))</f>
        <v>80559.31935518072</v>
      </c>
      <c r="U70">
        <f t="shared" si="27"/>
        <v>52972.468460327538</v>
      </c>
      <c r="V70">
        <f t="shared" si="28"/>
        <v>27586.850894853182</v>
      </c>
      <c r="W70">
        <f>IF(R70&lt;=0,0,MIN(MAX(0,R70-V70),0+IF(AND(Q70&gt;='Loan Prepayment'!$B$9,Q70&lt;='Loan Prepayment'!$E$16),'Loan Prepayment'!$B$8,0)))</f>
        <v>0</v>
      </c>
      <c r="X70">
        <f t="shared" si="29"/>
        <v>8448008.1027575526</v>
      </c>
      <c r="Y70">
        <v>69</v>
      </c>
      <c r="Z70">
        <f t="shared" si="40"/>
        <v>8417176.73767565</v>
      </c>
      <c r="AA70">
        <f>IF(Y70&gt;='Loan Prepayment'!$E$11,'Loan Prepayment'!$E$12,'Loan Prepayment'!$B$6)</f>
        <v>6.5</v>
      </c>
      <c r="AB70">
        <f>IF(Z70&lt;=0,0,MIN(IF(Y70='Loan Prepayment'!$E$11,IF('Loan Prepayment'!$E$13="Keep tenure, recalculate EMI",-PMT(AA70/1200,MAX(1,'Loan Prepayment'!$B$7*12-Y70+1),Z70),AB69),AB69),Z70+AC70))</f>
        <v>80559.31935518072</v>
      </c>
      <c r="AC70">
        <f t="shared" si="30"/>
        <v>45593.040662409767</v>
      </c>
      <c r="AD70">
        <f t="shared" si="31"/>
        <v>34966.278692770953</v>
      </c>
      <c r="AE70">
        <f t="shared" si="32"/>
        <v>0</v>
      </c>
      <c r="AF70">
        <f t="shared" si="33"/>
        <v>8382210.4589828793</v>
      </c>
      <c r="AG70">
        <v>69</v>
      </c>
      <c r="AH70">
        <f t="shared" si="41"/>
        <v>7048537.78656324</v>
      </c>
      <c r="AI70">
        <f>IF(AG70&gt;='Loan Prepayment'!$E$11,'Loan Prepayment'!$E$12,'Loan Prepayment'!$B$6)</f>
        <v>6.5</v>
      </c>
      <c r="AJ70">
        <f>IF(AH70&lt;=0,0,MIN(IF(AG70='Loan Prepayment'!$E$11,IF('Loan Prepayment'!$E$13="Keep tenure, recalculate EMI",-PMT(AI70/1200,MAX(1,'Loan Prepayment'!$B$7*12-AG70+1),AH70),IF(AND('Loan Prepayment'!$E$15="Reduce EMI",AM69&gt;0),-PMT(AI69/1200,MAX(1,'Loan Prepayment'!$B$7*12-AG70+1),AH70),AJ69)),IF(AND('Loan Prepayment'!$E$15="Reduce EMI",AM69&gt;0),-PMT(AI70/1200,MAX(1,'Loan Prepayment'!$B$7*12-AG70+1),AH70),AJ69)),AH70+AK70))</f>
        <v>67460.316473241648</v>
      </c>
      <c r="AK70">
        <f t="shared" si="34"/>
        <v>38179.579677217553</v>
      </c>
      <c r="AL70">
        <f t="shared" si="35"/>
        <v>29280.736796024095</v>
      </c>
      <c r="AM70">
        <f>IF(AH70&lt;=0,0,MIN(MAX(0,AH70-AL70),SUMIFS('Loan Prepayment'!$B$12:$B$31,'Loan Prepayment'!$A$12:$A$31,AG70)+IF(AND(AG70&gt;='Loan Prepayment'!$B$9,AG70&lt;='Loan Prepayment'!$E$16),'Loan Prepayment'!$B$8,0)))</f>
        <v>0</v>
      </c>
      <c r="AN70">
        <f t="shared" si="36"/>
        <v>7019257.0497672157</v>
      </c>
    </row>
    <row r="71" spans="1:40" x14ac:dyDescent="0.35">
      <c r="A71">
        <v>70</v>
      </c>
      <c r="B71">
        <f t="shared" si="37"/>
        <v>8448008.1027575526</v>
      </c>
      <c r="C71" s="64">
        <f>'Loan Prepayment'!$B$6</f>
        <v>7.5</v>
      </c>
      <c r="D71">
        <f>IF(B71&lt;=0,0,MIN(-PMT('Loan Prepayment'!$B$6/1200,'Loan Prepayment'!$B$7*12,'Loan Prepayment'!$B$5),B71+E71))</f>
        <v>80559.31935518072</v>
      </c>
      <c r="E71">
        <f t="shared" si="21"/>
        <v>52800.050642234703</v>
      </c>
      <c r="F71">
        <f t="shared" si="22"/>
        <v>27759.268712946017</v>
      </c>
      <c r="G71">
        <v>0</v>
      </c>
      <c r="H71">
        <f t="shared" si="23"/>
        <v>8420248.8340446074</v>
      </c>
      <c r="I71">
        <v>70</v>
      </c>
      <c r="J71">
        <f t="shared" si="38"/>
        <v>7074355.9496556679</v>
      </c>
      <c r="K71" s="64">
        <f>'Loan Prepayment'!$B$6</f>
        <v>7.5</v>
      </c>
      <c r="L71">
        <f>IF(J71&lt;=0,0,MIN(IF(AND('Loan Prepayment'!$E$15="Reduce EMI",O70&gt;0),-PMT(K71/1200,MAX(1,'Loan Prepayment'!$B$7*12-I71+1),J71),L70),J71+M71))</f>
        <v>67460.316473241648</v>
      </c>
      <c r="M71">
        <f t="shared" si="24"/>
        <v>44214.724685347923</v>
      </c>
      <c r="N71">
        <f t="shared" si="25"/>
        <v>23245.591787893725</v>
      </c>
      <c r="O71">
        <f>IF(J71&lt;=0,0,MIN(MAX(0,J71-N71),SUMIFS('Loan Prepayment'!$B$12:$B$31,'Loan Prepayment'!$A$12:$A$31,I71)+0))</f>
        <v>0</v>
      </c>
      <c r="P71">
        <f t="shared" si="26"/>
        <v>7051110.3578677746</v>
      </c>
      <c r="Q71">
        <v>70</v>
      </c>
      <c r="R71">
        <f t="shared" si="39"/>
        <v>8448008.1027575526</v>
      </c>
      <c r="S71" s="64">
        <f>'Loan Prepayment'!$B$6</f>
        <v>7.5</v>
      </c>
      <c r="T71">
        <f>IF(R71&lt;=0,0,MIN(IF(AND('Loan Prepayment'!$E$15="Reduce EMI",W70&gt;0),-PMT(S71/1200,MAX(1,'Loan Prepayment'!$B$7*12-Q71+1),R71),T70),R71+U71))</f>
        <v>80559.31935518072</v>
      </c>
      <c r="U71">
        <f t="shared" si="27"/>
        <v>52800.050642234703</v>
      </c>
      <c r="V71">
        <f t="shared" si="28"/>
        <v>27759.268712946017</v>
      </c>
      <c r="W71">
        <f>IF(R71&lt;=0,0,MIN(MAX(0,R71-V71),0+IF(AND(Q71&gt;='Loan Prepayment'!$B$9,Q71&lt;='Loan Prepayment'!$E$16),'Loan Prepayment'!$B$8,0)))</f>
        <v>0</v>
      </c>
      <c r="X71">
        <f t="shared" si="29"/>
        <v>8420248.8340446074</v>
      </c>
      <c r="Y71">
        <v>70</v>
      </c>
      <c r="Z71">
        <f t="shared" si="40"/>
        <v>8382210.4589828793</v>
      </c>
      <c r="AA71">
        <f>IF(Y71&gt;='Loan Prepayment'!$E$11,'Loan Prepayment'!$E$12,'Loan Prepayment'!$B$6)</f>
        <v>6.5</v>
      </c>
      <c r="AB71">
        <f>IF(Z71&lt;=0,0,MIN(IF(Y71='Loan Prepayment'!$E$11,IF('Loan Prepayment'!$E$13="Keep tenure, recalculate EMI",-PMT(AA71/1200,MAX(1,'Loan Prepayment'!$B$7*12-Y71+1),Z71),AB70),AB70),Z71+AC71))</f>
        <v>80559.31935518072</v>
      </c>
      <c r="AC71">
        <f t="shared" si="30"/>
        <v>45403.639986157265</v>
      </c>
      <c r="AD71">
        <f t="shared" si="31"/>
        <v>35155.679369023455</v>
      </c>
      <c r="AE71">
        <f t="shared" si="32"/>
        <v>0</v>
      </c>
      <c r="AF71">
        <f t="shared" si="33"/>
        <v>8347054.7796138562</v>
      </c>
      <c r="AG71">
        <v>70</v>
      </c>
      <c r="AH71">
        <f t="shared" si="41"/>
        <v>7019257.0497672157</v>
      </c>
      <c r="AI71">
        <f>IF(AG71&gt;='Loan Prepayment'!$E$11,'Loan Prepayment'!$E$12,'Loan Prepayment'!$B$6)</f>
        <v>6.5</v>
      </c>
      <c r="AJ71">
        <f>IF(AH71&lt;=0,0,MIN(IF(AG71='Loan Prepayment'!$E$11,IF('Loan Prepayment'!$E$13="Keep tenure, recalculate EMI",-PMT(AI71/1200,MAX(1,'Loan Prepayment'!$B$7*12-AG71+1),AH71),IF(AND('Loan Prepayment'!$E$15="Reduce EMI",AM70&gt;0),-PMT(AI70/1200,MAX(1,'Loan Prepayment'!$B$7*12-AG71+1),AH71),AJ70)),IF(AND('Loan Prepayment'!$E$15="Reduce EMI",AM70&gt;0),-PMT(AI71/1200,MAX(1,'Loan Prepayment'!$B$7*12-AG71+1),AH71),AJ70)),AH71+AK71))</f>
        <v>67460.316473241648</v>
      </c>
      <c r="AK71">
        <f t="shared" si="34"/>
        <v>38020.975686239086</v>
      </c>
      <c r="AL71">
        <f t="shared" si="35"/>
        <v>29439.340787002562</v>
      </c>
      <c r="AM71">
        <f>IF(AH71&lt;=0,0,MIN(MAX(0,AH71-AL71),SUMIFS('Loan Prepayment'!$B$12:$B$31,'Loan Prepayment'!$A$12:$A$31,AG71)+IF(AND(AG71&gt;='Loan Prepayment'!$B$9,AG71&lt;='Loan Prepayment'!$E$16),'Loan Prepayment'!$B$8,0)))</f>
        <v>0</v>
      </c>
      <c r="AN71">
        <f t="shared" si="36"/>
        <v>6989817.7089802129</v>
      </c>
    </row>
    <row r="72" spans="1:40" x14ac:dyDescent="0.35">
      <c r="A72">
        <v>71</v>
      </c>
      <c r="B72">
        <f t="shared" si="37"/>
        <v>8420248.8340446074</v>
      </c>
      <c r="C72" s="64">
        <f>'Loan Prepayment'!$B$6</f>
        <v>7.5</v>
      </c>
      <c r="D72">
        <f>IF(B72&lt;=0,0,MIN(-PMT('Loan Prepayment'!$B$6/1200,'Loan Prepayment'!$B$7*12,'Loan Prepayment'!$B$5),B72+E72))</f>
        <v>80559.31935518072</v>
      </c>
      <c r="E72">
        <f t="shared" si="21"/>
        <v>52626.555212778796</v>
      </c>
      <c r="F72">
        <f t="shared" si="22"/>
        <v>27932.764142401924</v>
      </c>
      <c r="G72">
        <v>0</v>
      </c>
      <c r="H72">
        <f t="shared" si="23"/>
        <v>8392316.0699022058</v>
      </c>
      <c r="I72">
        <v>71</v>
      </c>
      <c r="J72">
        <f t="shared" si="38"/>
        <v>7051110.3578677746</v>
      </c>
      <c r="K72" s="64">
        <f>'Loan Prepayment'!$B$6</f>
        <v>7.5</v>
      </c>
      <c r="L72">
        <f>IF(J72&lt;=0,0,MIN(IF(AND('Loan Prepayment'!$E$15="Reduce EMI",O71&gt;0),-PMT(K72/1200,MAX(1,'Loan Prepayment'!$B$7*12-I72+1),J72),L71),J72+M72))</f>
        <v>67460.316473241648</v>
      </c>
      <c r="M72">
        <f t="shared" si="24"/>
        <v>44069.439736673587</v>
      </c>
      <c r="N72">
        <f t="shared" si="25"/>
        <v>23390.876736568061</v>
      </c>
      <c r="O72">
        <f>IF(J72&lt;=0,0,MIN(MAX(0,J72-N72),SUMIFS('Loan Prepayment'!$B$12:$B$31,'Loan Prepayment'!$A$12:$A$31,I72)+0))</f>
        <v>0</v>
      </c>
      <c r="P72">
        <f t="shared" si="26"/>
        <v>7027719.4811312063</v>
      </c>
      <c r="Q72">
        <v>71</v>
      </c>
      <c r="R72">
        <f t="shared" si="39"/>
        <v>8420248.8340446074</v>
      </c>
      <c r="S72" s="64">
        <f>'Loan Prepayment'!$B$6</f>
        <v>7.5</v>
      </c>
      <c r="T72">
        <f>IF(R72&lt;=0,0,MIN(IF(AND('Loan Prepayment'!$E$15="Reduce EMI",W71&gt;0),-PMT(S72/1200,MAX(1,'Loan Prepayment'!$B$7*12-Q72+1),R72),T71),R72+U72))</f>
        <v>80559.31935518072</v>
      </c>
      <c r="U72">
        <f t="shared" si="27"/>
        <v>52626.555212778796</v>
      </c>
      <c r="V72">
        <f t="shared" si="28"/>
        <v>27932.764142401924</v>
      </c>
      <c r="W72">
        <f>IF(R72&lt;=0,0,MIN(MAX(0,R72-V72),0+IF(AND(Q72&gt;='Loan Prepayment'!$B$9,Q72&lt;='Loan Prepayment'!$E$16),'Loan Prepayment'!$B$8,0)))</f>
        <v>0</v>
      </c>
      <c r="X72">
        <f t="shared" si="29"/>
        <v>8392316.0699022058</v>
      </c>
      <c r="Y72">
        <v>71</v>
      </c>
      <c r="Z72">
        <f t="shared" si="40"/>
        <v>8347054.7796138562</v>
      </c>
      <c r="AA72">
        <f>IF(Y72&gt;='Loan Prepayment'!$E$11,'Loan Prepayment'!$E$12,'Loan Prepayment'!$B$6)</f>
        <v>6.5</v>
      </c>
      <c r="AB72">
        <f>IF(Z72&lt;=0,0,MIN(IF(Y72='Loan Prepayment'!$E$11,IF('Loan Prepayment'!$E$13="Keep tenure, recalculate EMI",-PMT(AA72/1200,MAX(1,'Loan Prepayment'!$B$7*12-Y72+1),Z72),AB71),AB71),Z72+AC72))</f>
        <v>80559.31935518072</v>
      </c>
      <c r="AC72">
        <f t="shared" si="30"/>
        <v>45213.213389575052</v>
      </c>
      <c r="AD72">
        <f t="shared" si="31"/>
        <v>35346.105965605668</v>
      </c>
      <c r="AE72">
        <f t="shared" si="32"/>
        <v>0</v>
      </c>
      <c r="AF72">
        <f t="shared" si="33"/>
        <v>8311708.6736482503</v>
      </c>
      <c r="AG72">
        <v>71</v>
      </c>
      <c r="AH72">
        <f t="shared" si="41"/>
        <v>6989817.7089802129</v>
      </c>
      <c r="AI72">
        <f>IF(AG72&gt;='Loan Prepayment'!$E$11,'Loan Prepayment'!$E$12,'Loan Prepayment'!$B$6)</f>
        <v>6.5</v>
      </c>
      <c r="AJ72">
        <f>IF(AH72&lt;=0,0,MIN(IF(AG72='Loan Prepayment'!$E$11,IF('Loan Prepayment'!$E$13="Keep tenure, recalculate EMI",-PMT(AI72/1200,MAX(1,'Loan Prepayment'!$B$7*12-AG72+1),AH72),IF(AND('Loan Prepayment'!$E$15="Reduce EMI",AM71&gt;0),-PMT(AI71/1200,MAX(1,'Loan Prepayment'!$B$7*12-AG72+1),AH72),AJ71)),IF(AND('Loan Prepayment'!$E$15="Reduce EMI",AM71&gt;0),-PMT(AI72/1200,MAX(1,'Loan Prepayment'!$B$7*12-AG72+1),AH72),AJ71)),AH72+AK72))</f>
        <v>67460.316473241648</v>
      </c>
      <c r="AK72">
        <f t="shared" si="34"/>
        <v>37861.512590309489</v>
      </c>
      <c r="AL72">
        <f t="shared" si="35"/>
        <v>29598.803882932159</v>
      </c>
      <c r="AM72">
        <f>IF(AH72&lt;=0,0,MIN(MAX(0,AH72-AL72),SUMIFS('Loan Prepayment'!$B$12:$B$31,'Loan Prepayment'!$A$12:$A$31,AG72)+IF(AND(AG72&gt;='Loan Prepayment'!$B$9,AG72&lt;='Loan Prepayment'!$E$16),'Loan Prepayment'!$B$8,0)))</f>
        <v>0</v>
      </c>
      <c r="AN72">
        <f t="shared" si="36"/>
        <v>6960218.9050972806</v>
      </c>
    </row>
    <row r="73" spans="1:40" x14ac:dyDescent="0.35">
      <c r="A73">
        <v>72</v>
      </c>
      <c r="B73">
        <f t="shared" si="37"/>
        <v>8392316.0699022058</v>
      </c>
      <c r="C73" s="64">
        <f>'Loan Prepayment'!$B$6</f>
        <v>7.5</v>
      </c>
      <c r="D73">
        <f>IF(B73&lt;=0,0,MIN(-PMT('Loan Prepayment'!$B$6/1200,'Loan Prepayment'!$B$7*12,'Loan Prepayment'!$B$5),B73+E73))</f>
        <v>80559.31935518072</v>
      </c>
      <c r="E73">
        <f t="shared" si="21"/>
        <v>52451.975436888781</v>
      </c>
      <c r="F73">
        <f t="shared" si="22"/>
        <v>28107.343918291939</v>
      </c>
      <c r="G73">
        <v>0</v>
      </c>
      <c r="H73">
        <f t="shared" si="23"/>
        <v>8364208.725983914</v>
      </c>
      <c r="I73">
        <v>72</v>
      </c>
      <c r="J73">
        <f t="shared" si="38"/>
        <v>7027719.4811312063</v>
      </c>
      <c r="K73" s="64">
        <f>'Loan Prepayment'!$B$6</f>
        <v>7.5</v>
      </c>
      <c r="L73">
        <f>IF(J73&lt;=0,0,MIN(IF(AND('Loan Prepayment'!$E$15="Reduce EMI",O72&gt;0),-PMT(K73/1200,MAX(1,'Loan Prepayment'!$B$7*12-I73+1),J73),L72),J73+M73))</f>
        <v>67460.316473241648</v>
      </c>
      <c r="M73">
        <f t="shared" si="24"/>
        <v>43923.246757070039</v>
      </c>
      <c r="N73">
        <f t="shared" si="25"/>
        <v>23537.069716171609</v>
      </c>
      <c r="O73">
        <f>IF(J73&lt;=0,0,MIN(MAX(0,J73-N73),SUMIFS('Loan Prepayment'!$B$12:$B$31,'Loan Prepayment'!$A$12:$A$31,I73)+0))</f>
        <v>0</v>
      </c>
      <c r="P73">
        <f t="shared" si="26"/>
        <v>7004182.4114150349</v>
      </c>
      <c r="Q73">
        <v>72</v>
      </c>
      <c r="R73">
        <f t="shared" si="39"/>
        <v>8392316.0699022058</v>
      </c>
      <c r="S73" s="64">
        <f>'Loan Prepayment'!$B$6</f>
        <v>7.5</v>
      </c>
      <c r="T73">
        <f>IF(R73&lt;=0,0,MIN(IF(AND('Loan Prepayment'!$E$15="Reduce EMI",W72&gt;0),-PMT(S73/1200,MAX(1,'Loan Prepayment'!$B$7*12-Q73+1),R73),T72),R73+U73))</f>
        <v>80559.31935518072</v>
      </c>
      <c r="U73">
        <f t="shared" si="27"/>
        <v>52451.975436888781</v>
      </c>
      <c r="V73">
        <f t="shared" si="28"/>
        <v>28107.343918291939</v>
      </c>
      <c r="W73">
        <f>IF(R73&lt;=0,0,MIN(MAX(0,R73-V73),0+IF(AND(Q73&gt;='Loan Prepayment'!$B$9,Q73&lt;='Loan Prepayment'!$E$16),'Loan Prepayment'!$B$8,0)))</f>
        <v>0</v>
      </c>
      <c r="X73">
        <f t="shared" si="29"/>
        <v>8364208.725983914</v>
      </c>
      <c r="Y73">
        <v>72</v>
      </c>
      <c r="Z73">
        <f t="shared" si="40"/>
        <v>8311708.6736482503</v>
      </c>
      <c r="AA73">
        <f>IF(Y73&gt;='Loan Prepayment'!$E$11,'Loan Prepayment'!$E$12,'Loan Prepayment'!$B$6)</f>
        <v>6.5</v>
      </c>
      <c r="AB73">
        <f>IF(Z73&lt;=0,0,MIN(IF(Y73='Loan Prepayment'!$E$11,IF('Loan Prepayment'!$E$13="Keep tenure, recalculate EMI",-PMT(AA73/1200,MAX(1,'Loan Prepayment'!$B$7*12-Y73+1),Z73),AB72),AB72),Z73+AC73))</f>
        <v>80559.31935518072</v>
      </c>
      <c r="AC73">
        <f t="shared" si="30"/>
        <v>45021.755315594695</v>
      </c>
      <c r="AD73">
        <f t="shared" si="31"/>
        <v>35537.564039586025</v>
      </c>
      <c r="AE73">
        <f t="shared" si="32"/>
        <v>0</v>
      </c>
      <c r="AF73">
        <f t="shared" si="33"/>
        <v>8276171.1096086642</v>
      </c>
      <c r="AG73">
        <v>72</v>
      </c>
      <c r="AH73">
        <f t="shared" si="41"/>
        <v>6960218.9050972806</v>
      </c>
      <c r="AI73">
        <f>IF(AG73&gt;='Loan Prepayment'!$E$11,'Loan Prepayment'!$E$12,'Loan Prepayment'!$B$6)</f>
        <v>6.5</v>
      </c>
      <c r="AJ73">
        <f>IF(AH73&lt;=0,0,MIN(IF(AG73='Loan Prepayment'!$E$11,IF('Loan Prepayment'!$E$13="Keep tenure, recalculate EMI",-PMT(AI73/1200,MAX(1,'Loan Prepayment'!$B$7*12-AG73+1),AH73),IF(AND('Loan Prepayment'!$E$15="Reduce EMI",AM72&gt;0),-PMT(AI72/1200,MAX(1,'Loan Prepayment'!$B$7*12-AG73+1),AH73),AJ72)),IF(AND('Loan Prepayment'!$E$15="Reduce EMI",AM72&gt;0),-PMT(AI73/1200,MAX(1,'Loan Prepayment'!$B$7*12-AG73+1),AH73),AJ72)),AH73+AK73))</f>
        <v>67460.316473241648</v>
      </c>
      <c r="AK73">
        <f t="shared" si="34"/>
        <v>37701.185735943604</v>
      </c>
      <c r="AL73">
        <f t="shared" si="35"/>
        <v>29759.130737298045</v>
      </c>
      <c r="AM73">
        <f>IF(AH73&lt;=0,0,MIN(MAX(0,AH73-AL73),SUMIFS('Loan Prepayment'!$B$12:$B$31,'Loan Prepayment'!$A$12:$A$31,AG73)+IF(AND(AG73&gt;='Loan Prepayment'!$B$9,AG73&lt;='Loan Prepayment'!$E$16),'Loan Prepayment'!$B$8,0)))</f>
        <v>0</v>
      </c>
      <c r="AN73">
        <f t="shared" si="36"/>
        <v>6930459.7743599825</v>
      </c>
    </row>
    <row r="74" spans="1:40" x14ac:dyDescent="0.35">
      <c r="A74">
        <v>73</v>
      </c>
      <c r="B74">
        <f t="shared" si="37"/>
        <v>8364208.725983914</v>
      </c>
      <c r="C74" s="64">
        <f>'Loan Prepayment'!$B$6</f>
        <v>7.5</v>
      </c>
      <c r="D74">
        <f>IF(B74&lt;=0,0,MIN(-PMT('Loan Prepayment'!$B$6/1200,'Loan Prepayment'!$B$7*12,'Loan Prepayment'!$B$5),B74+E74))</f>
        <v>80559.31935518072</v>
      </c>
      <c r="E74">
        <f t="shared" si="21"/>
        <v>52276.304537399461</v>
      </c>
      <c r="F74">
        <f t="shared" si="22"/>
        <v>28283.014817781259</v>
      </c>
      <c r="G74">
        <v>0</v>
      </c>
      <c r="H74">
        <f t="shared" si="23"/>
        <v>8335925.7111661332</v>
      </c>
      <c r="I74">
        <v>73</v>
      </c>
      <c r="J74">
        <f t="shared" si="38"/>
        <v>7004182.4114150349</v>
      </c>
      <c r="K74" s="64">
        <f>'Loan Prepayment'!$B$6</f>
        <v>7.5</v>
      </c>
      <c r="L74">
        <f>IF(J74&lt;=0,0,MIN(IF(AND('Loan Prepayment'!$E$15="Reduce EMI",O73&gt;0),-PMT(K74/1200,MAX(1,'Loan Prepayment'!$B$7*12-I74+1),J74),L73),J74+M74))</f>
        <v>67460.316473241648</v>
      </c>
      <c r="M74">
        <f t="shared" si="24"/>
        <v>43776.140071343965</v>
      </c>
      <c r="N74">
        <f t="shared" si="25"/>
        <v>23684.176401897683</v>
      </c>
      <c r="O74">
        <f>IF(J74&lt;=0,0,MIN(MAX(0,J74-N74),SUMIFS('Loan Prepayment'!$B$12:$B$31,'Loan Prepayment'!$A$12:$A$31,I74)+0))</f>
        <v>0</v>
      </c>
      <c r="P74">
        <f t="shared" si="26"/>
        <v>6980498.2350131376</v>
      </c>
      <c r="Q74">
        <v>73</v>
      </c>
      <c r="R74">
        <f t="shared" si="39"/>
        <v>8364208.725983914</v>
      </c>
      <c r="S74" s="64">
        <f>'Loan Prepayment'!$B$6</f>
        <v>7.5</v>
      </c>
      <c r="T74">
        <f>IF(R74&lt;=0,0,MIN(IF(AND('Loan Prepayment'!$E$15="Reduce EMI",W73&gt;0),-PMT(S74/1200,MAX(1,'Loan Prepayment'!$B$7*12-Q74+1),R74),T73),R74+U74))</f>
        <v>80559.31935518072</v>
      </c>
      <c r="U74">
        <f t="shared" si="27"/>
        <v>52276.304537399461</v>
      </c>
      <c r="V74">
        <f t="shared" si="28"/>
        <v>28283.014817781259</v>
      </c>
      <c r="W74">
        <f>IF(R74&lt;=0,0,MIN(MAX(0,R74-V74),0+IF(AND(Q74&gt;='Loan Prepayment'!$B$9,Q74&lt;='Loan Prepayment'!$E$16),'Loan Prepayment'!$B$8,0)))</f>
        <v>0</v>
      </c>
      <c r="X74">
        <f t="shared" si="29"/>
        <v>8335925.7111661332</v>
      </c>
      <c r="Y74">
        <v>73</v>
      </c>
      <c r="Z74">
        <f t="shared" si="40"/>
        <v>8276171.1096086642</v>
      </c>
      <c r="AA74">
        <f>IF(Y74&gt;='Loan Prepayment'!$E$11,'Loan Prepayment'!$E$12,'Loan Prepayment'!$B$6)</f>
        <v>6.5</v>
      </c>
      <c r="AB74">
        <f>IF(Z74&lt;=0,0,MIN(IF(Y74='Loan Prepayment'!$E$11,IF('Loan Prepayment'!$E$13="Keep tenure, recalculate EMI",-PMT(AA74/1200,MAX(1,'Loan Prepayment'!$B$7*12-Y74+1),Z74),AB73),AB73),Z74+AC74))</f>
        <v>80559.31935518072</v>
      </c>
      <c r="AC74">
        <f t="shared" si="30"/>
        <v>44829.260177046926</v>
      </c>
      <c r="AD74">
        <f t="shared" si="31"/>
        <v>35730.059178133793</v>
      </c>
      <c r="AE74">
        <f t="shared" si="32"/>
        <v>0</v>
      </c>
      <c r="AF74">
        <f t="shared" si="33"/>
        <v>8240441.0504305307</v>
      </c>
      <c r="AG74">
        <v>73</v>
      </c>
      <c r="AH74">
        <f t="shared" si="41"/>
        <v>6930459.7743599825</v>
      </c>
      <c r="AI74">
        <f>IF(AG74&gt;='Loan Prepayment'!$E$11,'Loan Prepayment'!$E$12,'Loan Prepayment'!$B$6)</f>
        <v>6.5</v>
      </c>
      <c r="AJ74">
        <f>IF(AH74&lt;=0,0,MIN(IF(AG74='Loan Prepayment'!$E$11,IF('Loan Prepayment'!$E$13="Keep tenure, recalculate EMI",-PMT(AI74/1200,MAX(1,'Loan Prepayment'!$B$7*12-AG74+1),AH74),IF(AND('Loan Prepayment'!$E$15="Reduce EMI",AM73&gt;0),-PMT(AI73/1200,MAX(1,'Loan Prepayment'!$B$7*12-AG74+1),AH74),AJ73)),IF(AND('Loan Prepayment'!$E$15="Reduce EMI",AM73&gt;0),-PMT(AI74/1200,MAX(1,'Loan Prepayment'!$B$7*12-AG74+1),AH74),AJ73)),AH74+AK74))</f>
        <v>67460.316473241648</v>
      </c>
      <c r="AK74">
        <f t="shared" si="34"/>
        <v>37539.990444449904</v>
      </c>
      <c r="AL74">
        <f t="shared" si="35"/>
        <v>29920.326028791744</v>
      </c>
      <c r="AM74">
        <f>IF(AH74&lt;=0,0,MIN(MAX(0,AH74-AL74),SUMIFS('Loan Prepayment'!$B$12:$B$31,'Loan Prepayment'!$A$12:$A$31,AG74)+IF(AND(AG74&gt;='Loan Prepayment'!$B$9,AG74&lt;='Loan Prepayment'!$E$16),'Loan Prepayment'!$B$8,0)))</f>
        <v>0</v>
      </c>
      <c r="AN74">
        <f t="shared" si="36"/>
        <v>6900539.4483311903</v>
      </c>
    </row>
    <row r="75" spans="1:40" x14ac:dyDescent="0.35">
      <c r="A75">
        <v>74</v>
      </c>
      <c r="B75">
        <f t="shared" si="37"/>
        <v>8335925.7111661332</v>
      </c>
      <c r="C75" s="64">
        <f>'Loan Prepayment'!$B$6</f>
        <v>7.5</v>
      </c>
      <c r="D75">
        <f>IF(B75&lt;=0,0,MIN(-PMT('Loan Prepayment'!$B$6/1200,'Loan Prepayment'!$B$7*12,'Loan Prepayment'!$B$5),B75+E75))</f>
        <v>80559.31935518072</v>
      </c>
      <c r="E75">
        <f t="shared" si="21"/>
        <v>52099.535694788334</v>
      </c>
      <c r="F75">
        <f t="shared" si="22"/>
        <v>28459.783660392386</v>
      </c>
      <c r="G75">
        <v>0</v>
      </c>
      <c r="H75">
        <f t="shared" si="23"/>
        <v>8307465.9275057409</v>
      </c>
      <c r="I75">
        <v>74</v>
      </c>
      <c r="J75">
        <f t="shared" si="38"/>
        <v>6980498.2350131376</v>
      </c>
      <c r="K75" s="64">
        <f>'Loan Prepayment'!$B$6</f>
        <v>7.5</v>
      </c>
      <c r="L75">
        <f>IF(J75&lt;=0,0,MIN(IF(AND('Loan Prepayment'!$E$15="Reduce EMI",O74&gt;0),-PMT(K75/1200,MAX(1,'Loan Prepayment'!$B$7*12-I75+1),J75),L74),J75+M75))</f>
        <v>67460.316473241648</v>
      </c>
      <c r="M75">
        <f t="shared" si="24"/>
        <v>43628.113968832105</v>
      </c>
      <c r="N75">
        <f t="shared" si="25"/>
        <v>23832.202504409543</v>
      </c>
      <c r="O75">
        <f>IF(J75&lt;=0,0,MIN(MAX(0,J75-N75),SUMIFS('Loan Prepayment'!$B$12:$B$31,'Loan Prepayment'!$A$12:$A$31,I75)+0))</f>
        <v>0</v>
      </c>
      <c r="P75">
        <f t="shared" si="26"/>
        <v>6956666.0325087281</v>
      </c>
      <c r="Q75">
        <v>74</v>
      </c>
      <c r="R75">
        <f t="shared" si="39"/>
        <v>8335925.7111661332</v>
      </c>
      <c r="S75" s="64">
        <f>'Loan Prepayment'!$B$6</f>
        <v>7.5</v>
      </c>
      <c r="T75">
        <f>IF(R75&lt;=0,0,MIN(IF(AND('Loan Prepayment'!$E$15="Reduce EMI",W74&gt;0),-PMT(S75/1200,MAX(1,'Loan Prepayment'!$B$7*12-Q75+1),R75),T74),R75+U75))</f>
        <v>80559.31935518072</v>
      </c>
      <c r="U75">
        <f t="shared" si="27"/>
        <v>52099.535694788334</v>
      </c>
      <c r="V75">
        <f t="shared" si="28"/>
        <v>28459.783660392386</v>
      </c>
      <c r="W75">
        <f>IF(R75&lt;=0,0,MIN(MAX(0,R75-V75),0+IF(AND(Q75&gt;='Loan Prepayment'!$B$9,Q75&lt;='Loan Prepayment'!$E$16),'Loan Prepayment'!$B$8,0)))</f>
        <v>0</v>
      </c>
      <c r="X75">
        <f t="shared" si="29"/>
        <v>8307465.9275057409</v>
      </c>
      <c r="Y75">
        <v>74</v>
      </c>
      <c r="Z75">
        <f t="shared" si="40"/>
        <v>8240441.0504305307</v>
      </c>
      <c r="AA75">
        <f>IF(Y75&gt;='Loan Prepayment'!$E$11,'Loan Prepayment'!$E$12,'Loan Prepayment'!$B$6)</f>
        <v>6.5</v>
      </c>
      <c r="AB75">
        <f>IF(Z75&lt;=0,0,MIN(IF(Y75='Loan Prepayment'!$E$11,IF('Loan Prepayment'!$E$13="Keep tenure, recalculate EMI",-PMT(AA75/1200,MAX(1,'Loan Prepayment'!$B$7*12-Y75+1),Z75),AB74),AB74),Z75+AC75))</f>
        <v>80559.31935518072</v>
      </c>
      <c r="AC75">
        <f t="shared" si="30"/>
        <v>44635.722356498707</v>
      </c>
      <c r="AD75">
        <f t="shared" si="31"/>
        <v>35923.596998682013</v>
      </c>
      <c r="AE75">
        <f t="shared" si="32"/>
        <v>0</v>
      </c>
      <c r="AF75">
        <f t="shared" si="33"/>
        <v>8204517.4534318484</v>
      </c>
      <c r="AG75">
        <v>74</v>
      </c>
      <c r="AH75">
        <f t="shared" si="41"/>
        <v>6900539.4483311903</v>
      </c>
      <c r="AI75">
        <f>IF(AG75&gt;='Loan Prepayment'!$E$11,'Loan Prepayment'!$E$12,'Loan Prepayment'!$B$6)</f>
        <v>6.5</v>
      </c>
      <c r="AJ75">
        <f>IF(AH75&lt;=0,0,MIN(IF(AG75='Loan Prepayment'!$E$11,IF('Loan Prepayment'!$E$13="Keep tenure, recalculate EMI",-PMT(AI75/1200,MAX(1,'Loan Prepayment'!$B$7*12-AG75+1),AH75),IF(AND('Loan Prepayment'!$E$15="Reduce EMI",AM74&gt;0),-PMT(AI74/1200,MAX(1,'Loan Prepayment'!$B$7*12-AG75+1),AH75),AJ74)),IF(AND('Loan Prepayment'!$E$15="Reduce EMI",AM74&gt;0),-PMT(AI75/1200,MAX(1,'Loan Prepayment'!$B$7*12-AG75+1),AH75),AJ74)),AH75+AK75))</f>
        <v>67460.316473241648</v>
      </c>
      <c r="AK75">
        <f t="shared" si="34"/>
        <v>37377.922011793948</v>
      </c>
      <c r="AL75">
        <f t="shared" si="35"/>
        <v>30082.3944614477</v>
      </c>
      <c r="AM75">
        <f>IF(AH75&lt;=0,0,MIN(MAX(0,AH75-AL75),SUMIFS('Loan Prepayment'!$B$12:$B$31,'Loan Prepayment'!$A$12:$A$31,AG75)+IF(AND(AG75&gt;='Loan Prepayment'!$B$9,AG75&lt;='Loan Prepayment'!$E$16),'Loan Prepayment'!$B$8,0)))</f>
        <v>0</v>
      </c>
      <c r="AN75">
        <f t="shared" si="36"/>
        <v>6870457.0538697429</v>
      </c>
    </row>
    <row r="76" spans="1:40" x14ac:dyDescent="0.35">
      <c r="A76">
        <v>75</v>
      </c>
      <c r="B76">
        <f t="shared" si="37"/>
        <v>8307465.9275057409</v>
      </c>
      <c r="C76" s="64">
        <f>'Loan Prepayment'!$B$6</f>
        <v>7.5</v>
      </c>
      <c r="D76">
        <f>IF(B76&lt;=0,0,MIN(-PMT('Loan Prepayment'!$B$6/1200,'Loan Prepayment'!$B$7*12,'Loan Prepayment'!$B$5),B76+E76))</f>
        <v>80559.31935518072</v>
      </c>
      <c r="E76">
        <f t="shared" si="21"/>
        <v>51921.662046910875</v>
      </c>
      <c r="F76">
        <f t="shared" si="22"/>
        <v>28637.657308269845</v>
      </c>
      <c r="G76">
        <v>0</v>
      </c>
      <c r="H76">
        <f t="shared" si="23"/>
        <v>8278828.2701974707</v>
      </c>
      <c r="I76">
        <v>75</v>
      </c>
      <c r="J76">
        <f t="shared" si="38"/>
        <v>6956666.0325087281</v>
      </c>
      <c r="K76" s="64">
        <f>'Loan Prepayment'!$B$6</f>
        <v>7.5</v>
      </c>
      <c r="L76">
        <f>IF(J76&lt;=0,0,MIN(IF(AND('Loan Prepayment'!$E$15="Reduce EMI",O75&gt;0),-PMT(K76/1200,MAX(1,'Loan Prepayment'!$B$7*12-I76+1),J76),L75),J76+M76))</f>
        <v>67460.316473241648</v>
      </c>
      <c r="M76">
        <f t="shared" si="24"/>
        <v>43479.162703179551</v>
      </c>
      <c r="N76">
        <f t="shared" si="25"/>
        <v>23981.153770062097</v>
      </c>
      <c r="O76">
        <f>IF(J76&lt;=0,0,MIN(MAX(0,J76-N76),SUMIFS('Loan Prepayment'!$B$12:$B$31,'Loan Prepayment'!$A$12:$A$31,I76)+0))</f>
        <v>0</v>
      </c>
      <c r="P76">
        <f t="shared" si="26"/>
        <v>6932684.878738666</v>
      </c>
      <c r="Q76">
        <v>75</v>
      </c>
      <c r="R76">
        <f t="shared" si="39"/>
        <v>8307465.9275057409</v>
      </c>
      <c r="S76" s="64">
        <f>'Loan Prepayment'!$B$6</f>
        <v>7.5</v>
      </c>
      <c r="T76">
        <f>IF(R76&lt;=0,0,MIN(IF(AND('Loan Prepayment'!$E$15="Reduce EMI",W75&gt;0),-PMT(S76/1200,MAX(1,'Loan Prepayment'!$B$7*12-Q76+1),R76),T75),R76+U76))</f>
        <v>80559.31935518072</v>
      </c>
      <c r="U76">
        <f t="shared" si="27"/>
        <v>51921.662046910875</v>
      </c>
      <c r="V76">
        <f t="shared" si="28"/>
        <v>28637.657308269845</v>
      </c>
      <c r="W76">
        <f>IF(R76&lt;=0,0,MIN(MAX(0,R76-V76),0+IF(AND(Q76&gt;='Loan Prepayment'!$B$9,Q76&lt;='Loan Prepayment'!$E$16),'Loan Prepayment'!$B$8,0)))</f>
        <v>0</v>
      </c>
      <c r="X76">
        <f t="shared" si="29"/>
        <v>8278828.2701974707</v>
      </c>
      <c r="Y76">
        <v>75</v>
      </c>
      <c r="Z76">
        <f t="shared" si="40"/>
        <v>8204517.4534318484</v>
      </c>
      <c r="AA76">
        <f>IF(Y76&gt;='Loan Prepayment'!$E$11,'Loan Prepayment'!$E$12,'Loan Prepayment'!$B$6)</f>
        <v>6.5</v>
      </c>
      <c r="AB76">
        <f>IF(Z76&lt;=0,0,MIN(IF(Y76='Loan Prepayment'!$E$11,IF('Loan Prepayment'!$E$13="Keep tenure, recalculate EMI",-PMT(AA76/1200,MAX(1,'Loan Prepayment'!$B$7*12-Y76+1),Z76),AB75),AB75),Z76+AC76))</f>
        <v>80559.31935518072</v>
      </c>
      <c r="AC76">
        <f t="shared" si="30"/>
        <v>44441.136206089177</v>
      </c>
      <c r="AD76">
        <f t="shared" si="31"/>
        <v>36118.183149091543</v>
      </c>
      <c r="AE76">
        <f t="shared" si="32"/>
        <v>0</v>
      </c>
      <c r="AF76">
        <f t="shared" si="33"/>
        <v>8168399.2702827565</v>
      </c>
      <c r="AG76">
        <v>75</v>
      </c>
      <c r="AH76">
        <f t="shared" si="41"/>
        <v>6870457.0538697429</v>
      </c>
      <c r="AI76">
        <f>IF(AG76&gt;='Loan Prepayment'!$E$11,'Loan Prepayment'!$E$12,'Loan Prepayment'!$B$6)</f>
        <v>6.5</v>
      </c>
      <c r="AJ76">
        <f>IF(AH76&lt;=0,0,MIN(IF(AG76='Loan Prepayment'!$E$11,IF('Loan Prepayment'!$E$13="Keep tenure, recalculate EMI",-PMT(AI76/1200,MAX(1,'Loan Prepayment'!$B$7*12-AG76+1),AH76),IF(AND('Loan Prepayment'!$E$15="Reduce EMI",AM75&gt;0),-PMT(AI75/1200,MAX(1,'Loan Prepayment'!$B$7*12-AG76+1),AH76),AJ75)),IF(AND('Loan Prepayment'!$E$15="Reduce EMI",AM75&gt;0),-PMT(AI76/1200,MAX(1,'Loan Prepayment'!$B$7*12-AG76+1),AH76),AJ75)),AH76+AK76))</f>
        <v>67460.316473241648</v>
      </c>
      <c r="AK76">
        <f t="shared" si="34"/>
        <v>37214.975708461105</v>
      </c>
      <c r="AL76">
        <f t="shared" si="35"/>
        <v>30245.340764780543</v>
      </c>
      <c r="AM76">
        <f>IF(AH76&lt;=0,0,MIN(MAX(0,AH76-AL76),SUMIFS('Loan Prepayment'!$B$12:$B$31,'Loan Prepayment'!$A$12:$A$31,AG76)+IF(AND(AG76&gt;='Loan Prepayment'!$B$9,AG76&lt;='Loan Prepayment'!$E$16),'Loan Prepayment'!$B$8,0)))</f>
        <v>0</v>
      </c>
      <c r="AN76">
        <f t="shared" si="36"/>
        <v>6840211.7131049624</v>
      </c>
    </row>
    <row r="77" spans="1:40" x14ac:dyDescent="0.35">
      <c r="A77">
        <v>76</v>
      </c>
      <c r="B77">
        <f t="shared" si="37"/>
        <v>8278828.2701974707</v>
      </c>
      <c r="C77" s="64">
        <f>'Loan Prepayment'!$B$6</f>
        <v>7.5</v>
      </c>
      <c r="D77">
        <f>IF(B77&lt;=0,0,MIN(-PMT('Loan Prepayment'!$B$6/1200,'Loan Prepayment'!$B$7*12,'Loan Prepayment'!$B$5),B77+E77))</f>
        <v>80559.31935518072</v>
      </c>
      <c r="E77">
        <f t="shared" si="21"/>
        <v>51742.676688734195</v>
      </c>
      <c r="F77">
        <f t="shared" si="22"/>
        <v>28816.642666446525</v>
      </c>
      <c r="G77">
        <v>0</v>
      </c>
      <c r="H77">
        <f t="shared" si="23"/>
        <v>8250011.6275310237</v>
      </c>
      <c r="I77">
        <v>76</v>
      </c>
      <c r="J77">
        <f t="shared" si="38"/>
        <v>6932684.878738666</v>
      </c>
      <c r="K77" s="64">
        <f>'Loan Prepayment'!$B$6</f>
        <v>7.5</v>
      </c>
      <c r="L77">
        <f>IF(J77&lt;=0,0,MIN(IF(AND('Loan Prepayment'!$E$15="Reduce EMI",O76&gt;0),-PMT(K77/1200,MAX(1,'Loan Prepayment'!$B$7*12-I77+1),J77),L76),J77+M77))</f>
        <v>67460.316473241648</v>
      </c>
      <c r="M77">
        <f t="shared" si="24"/>
        <v>43329.280492116661</v>
      </c>
      <c r="N77">
        <f t="shared" si="25"/>
        <v>24131.035981124987</v>
      </c>
      <c r="O77">
        <f>IF(J77&lt;=0,0,MIN(MAX(0,J77-N77),SUMIFS('Loan Prepayment'!$B$12:$B$31,'Loan Prepayment'!$A$12:$A$31,I77)+0))</f>
        <v>0</v>
      </c>
      <c r="P77">
        <f t="shared" si="26"/>
        <v>6908553.8427575408</v>
      </c>
      <c r="Q77">
        <v>76</v>
      </c>
      <c r="R77">
        <f t="shared" si="39"/>
        <v>8278828.2701974707</v>
      </c>
      <c r="S77" s="64">
        <f>'Loan Prepayment'!$B$6</f>
        <v>7.5</v>
      </c>
      <c r="T77">
        <f>IF(R77&lt;=0,0,MIN(IF(AND('Loan Prepayment'!$E$15="Reduce EMI",W76&gt;0),-PMT(S77/1200,MAX(1,'Loan Prepayment'!$B$7*12-Q77+1),R77),T76),R77+U77))</f>
        <v>80559.31935518072</v>
      </c>
      <c r="U77">
        <f t="shared" si="27"/>
        <v>51742.676688734195</v>
      </c>
      <c r="V77">
        <f t="shared" si="28"/>
        <v>28816.642666446525</v>
      </c>
      <c r="W77">
        <f>IF(R77&lt;=0,0,MIN(MAX(0,R77-V77),0+IF(AND(Q77&gt;='Loan Prepayment'!$B$9,Q77&lt;='Loan Prepayment'!$E$16),'Loan Prepayment'!$B$8,0)))</f>
        <v>0</v>
      </c>
      <c r="X77">
        <f t="shared" si="29"/>
        <v>8250011.6275310237</v>
      </c>
      <c r="Y77">
        <v>76</v>
      </c>
      <c r="Z77">
        <f t="shared" si="40"/>
        <v>8168399.2702827565</v>
      </c>
      <c r="AA77">
        <f>IF(Y77&gt;='Loan Prepayment'!$E$11,'Loan Prepayment'!$E$12,'Loan Prepayment'!$B$6)</f>
        <v>6.5</v>
      </c>
      <c r="AB77">
        <f>IF(Z77&lt;=0,0,MIN(IF(Y77='Loan Prepayment'!$E$11,IF('Loan Prepayment'!$E$13="Keep tenure, recalculate EMI",-PMT(AA77/1200,MAX(1,'Loan Prepayment'!$B$7*12-Y77+1),Z77),AB76),AB76),Z77+AC77))</f>
        <v>80559.31935518072</v>
      </c>
      <c r="AC77">
        <f t="shared" si="30"/>
        <v>44245.496047364933</v>
      </c>
      <c r="AD77">
        <f t="shared" si="31"/>
        <v>36313.823307815786</v>
      </c>
      <c r="AE77">
        <f t="shared" si="32"/>
        <v>0</v>
      </c>
      <c r="AF77">
        <f t="shared" si="33"/>
        <v>8132085.4469749406</v>
      </c>
      <c r="AG77">
        <v>76</v>
      </c>
      <c r="AH77">
        <f t="shared" si="41"/>
        <v>6840211.7131049624</v>
      </c>
      <c r="AI77">
        <f>IF(AG77&gt;='Loan Prepayment'!$E$11,'Loan Prepayment'!$E$12,'Loan Prepayment'!$B$6)</f>
        <v>6.5</v>
      </c>
      <c r="AJ77">
        <f>IF(AH77&lt;=0,0,MIN(IF(AG77='Loan Prepayment'!$E$11,IF('Loan Prepayment'!$E$13="Keep tenure, recalculate EMI",-PMT(AI77/1200,MAX(1,'Loan Prepayment'!$B$7*12-AG77+1),AH77),IF(AND('Loan Prepayment'!$E$15="Reduce EMI",AM76&gt;0),-PMT(AI76/1200,MAX(1,'Loan Prepayment'!$B$7*12-AG77+1),AH77),AJ76)),IF(AND('Loan Prepayment'!$E$15="Reduce EMI",AM76&gt;0),-PMT(AI77/1200,MAX(1,'Loan Prepayment'!$B$7*12-AG77+1),AH77),AJ76)),AH77+AK77))</f>
        <v>67460.316473241648</v>
      </c>
      <c r="AK77">
        <f t="shared" si="34"/>
        <v>37051.146779318544</v>
      </c>
      <c r="AL77">
        <f t="shared" si="35"/>
        <v>30409.169693923104</v>
      </c>
      <c r="AM77">
        <f>IF(AH77&lt;=0,0,MIN(MAX(0,AH77-AL77),SUMIFS('Loan Prepayment'!$B$12:$B$31,'Loan Prepayment'!$A$12:$A$31,AG77)+IF(AND(AG77&gt;='Loan Prepayment'!$B$9,AG77&lt;='Loan Prepayment'!$E$16),'Loan Prepayment'!$B$8,0)))</f>
        <v>0</v>
      </c>
      <c r="AN77">
        <f t="shared" si="36"/>
        <v>6809802.5434110388</v>
      </c>
    </row>
    <row r="78" spans="1:40" x14ac:dyDescent="0.35">
      <c r="A78">
        <v>77</v>
      </c>
      <c r="B78">
        <f t="shared" si="37"/>
        <v>8250011.6275310237</v>
      </c>
      <c r="C78" s="64">
        <f>'Loan Prepayment'!$B$6</f>
        <v>7.5</v>
      </c>
      <c r="D78">
        <f>IF(B78&lt;=0,0,MIN(-PMT('Loan Prepayment'!$B$6/1200,'Loan Prepayment'!$B$7*12,'Loan Prepayment'!$B$5),B78+E78))</f>
        <v>80559.31935518072</v>
      </c>
      <c r="E78">
        <f t="shared" si="21"/>
        <v>51562.572672068898</v>
      </c>
      <c r="F78">
        <f t="shared" si="22"/>
        <v>28996.746683111822</v>
      </c>
      <c r="G78">
        <v>0</v>
      </c>
      <c r="H78">
        <f t="shared" si="23"/>
        <v>8221014.8808479123</v>
      </c>
      <c r="I78">
        <v>77</v>
      </c>
      <c r="J78">
        <f t="shared" si="38"/>
        <v>6908553.8427575408</v>
      </c>
      <c r="K78" s="64">
        <f>'Loan Prepayment'!$B$6</f>
        <v>7.5</v>
      </c>
      <c r="L78">
        <f>IF(J78&lt;=0,0,MIN(IF(AND('Loan Prepayment'!$E$15="Reduce EMI",O77&gt;0),-PMT(K78/1200,MAX(1,'Loan Prepayment'!$B$7*12-I78+1),J78),L77),J78+M78))</f>
        <v>67460.316473241648</v>
      </c>
      <c r="M78">
        <f t="shared" si="24"/>
        <v>43178.461517234631</v>
      </c>
      <c r="N78">
        <f t="shared" si="25"/>
        <v>24281.854956007017</v>
      </c>
      <c r="O78">
        <f>IF(J78&lt;=0,0,MIN(MAX(0,J78-N78),SUMIFS('Loan Prepayment'!$B$12:$B$31,'Loan Prepayment'!$A$12:$A$31,I78)+0))</f>
        <v>0</v>
      </c>
      <c r="P78">
        <f t="shared" si="26"/>
        <v>6884271.9878015341</v>
      </c>
      <c r="Q78">
        <v>77</v>
      </c>
      <c r="R78">
        <f t="shared" si="39"/>
        <v>8250011.6275310237</v>
      </c>
      <c r="S78" s="64">
        <f>'Loan Prepayment'!$B$6</f>
        <v>7.5</v>
      </c>
      <c r="T78">
        <f>IF(R78&lt;=0,0,MIN(IF(AND('Loan Prepayment'!$E$15="Reduce EMI",W77&gt;0),-PMT(S78/1200,MAX(1,'Loan Prepayment'!$B$7*12-Q78+1),R78),T77),R78+U78))</f>
        <v>80559.31935518072</v>
      </c>
      <c r="U78">
        <f t="shared" si="27"/>
        <v>51562.572672068898</v>
      </c>
      <c r="V78">
        <f t="shared" si="28"/>
        <v>28996.746683111822</v>
      </c>
      <c r="W78">
        <f>IF(R78&lt;=0,0,MIN(MAX(0,R78-V78),0+IF(AND(Q78&gt;='Loan Prepayment'!$B$9,Q78&lt;='Loan Prepayment'!$E$16),'Loan Prepayment'!$B$8,0)))</f>
        <v>0</v>
      </c>
      <c r="X78">
        <f t="shared" si="29"/>
        <v>8221014.8808479123</v>
      </c>
      <c r="Y78">
        <v>77</v>
      </c>
      <c r="Z78">
        <f t="shared" si="40"/>
        <v>8132085.4469749406</v>
      </c>
      <c r="AA78">
        <f>IF(Y78&gt;='Loan Prepayment'!$E$11,'Loan Prepayment'!$E$12,'Loan Prepayment'!$B$6)</f>
        <v>6.5</v>
      </c>
      <c r="AB78">
        <f>IF(Z78&lt;=0,0,MIN(IF(Y78='Loan Prepayment'!$E$11,IF('Loan Prepayment'!$E$13="Keep tenure, recalculate EMI",-PMT(AA78/1200,MAX(1,'Loan Prepayment'!$B$7*12-Y78+1),Z78),AB77),AB77),Z78+AC78))</f>
        <v>80559.31935518072</v>
      </c>
      <c r="AC78">
        <f t="shared" si="30"/>
        <v>44048.796171114256</v>
      </c>
      <c r="AD78">
        <f t="shared" si="31"/>
        <v>36510.523184066464</v>
      </c>
      <c r="AE78">
        <f t="shared" si="32"/>
        <v>0</v>
      </c>
      <c r="AF78">
        <f t="shared" si="33"/>
        <v>8095574.923790874</v>
      </c>
      <c r="AG78">
        <v>77</v>
      </c>
      <c r="AH78">
        <f t="shared" si="41"/>
        <v>6809802.5434110388</v>
      </c>
      <c r="AI78">
        <f>IF(AG78&gt;='Loan Prepayment'!$E$11,'Loan Prepayment'!$E$12,'Loan Prepayment'!$B$6)</f>
        <v>6.5</v>
      </c>
      <c r="AJ78">
        <f>IF(AH78&lt;=0,0,MIN(IF(AG78='Loan Prepayment'!$E$11,IF('Loan Prepayment'!$E$13="Keep tenure, recalculate EMI",-PMT(AI78/1200,MAX(1,'Loan Prepayment'!$B$7*12-AG78+1),AH78),IF(AND('Loan Prepayment'!$E$15="Reduce EMI",AM77&gt;0),-PMT(AI77/1200,MAX(1,'Loan Prepayment'!$B$7*12-AG78+1),AH78),AJ77)),IF(AND('Loan Prepayment'!$E$15="Reduce EMI",AM77&gt;0),-PMT(AI78/1200,MAX(1,'Loan Prepayment'!$B$7*12-AG78+1),AH78),AJ77)),AH78+AK78))</f>
        <v>67460.316473241648</v>
      </c>
      <c r="AK78">
        <f t="shared" si="34"/>
        <v>36886.430443476464</v>
      </c>
      <c r="AL78">
        <f t="shared" si="35"/>
        <v>30573.886029765185</v>
      </c>
      <c r="AM78">
        <f>IF(AH78&lt;=0,0,MIN(MAX(0,AH78-AL78),SUMIFS('Loan Prepayment'!$B$12:$B$31,'Loan Prepayment'!$A$12:$A$31,AG78)+IF(AND(AG78&gt;='Loan Prepayment'!$B$9,AG78&lt;='Loan Prepayment'!$E$16),'Loan Prepayment'!$B$8,0)))</f>
        <v>0</v>
      </c>
      <c r="AN78">
        <f t="shared" si="36"/>
        <v>6779228.6573812738</v>
      </c>
    </row>
    <row r="79" spans="1:40" x14ac:dyDescent="0.35">
      <c r="A79">
        <v>78</v>
      </c>
      <c r="B79">
        <f t="shared" si="37"/>
        <v>8221014.8808479123</v>
      </c>
      <c r="C79" s="64">
        <f>'Loan Prepayment'!$B$6</f>
        <v>7.5</v>
      </c>
      <c r="D79">
        <f>IF(B79&lt;=0,0,MIN(-PMT('Loan Prepayment'!$B$6/1200,'Loan Prepayment'!$B$7*12,'Loan Prepayment'!$B$5),B79+E79))</f>
        <v>80559.31935518072</v>
      </c>
      <c r="E79">
        <f t="shared" si="21"/>
        <v>51381.343005299452</v>
      </c>
      <c r="F79">
        <f t="shared" si="22"/>
        <v>29177.976349881268</v>
      </c>
      <c r="G79">
        <v>0</v>
      </c>
      <c r="H79">
        <f t="shared" si="23"/>
        <v>8191836.9044980314</v>
      </c>
      <c r="I79">
        <v>78</v>
      </c>
      <c r="J79">
        <f t="shared" si="38"/>
        <v>6884271.9878015341</v>
      </c>
      <c r="K79" s="64">
        <f>'Loan Prepayment'!$B$6</f>
        <v>7.5</v>
      </c>
      <c r="L79">
        <f>IF(J79&lt;=0,0,MIN(IF(AND('Loan Prepayment'!$E$15="Reduce EMI",O78&gt;0),-PMT(K79/1200,MAX(1,'Loan Prepayment'!$B$7*12-I79+1),J79),L78),J79+M79))</f>
        <v>67460.316473241648</v>
      </c>
      <c r="M79">
        <f t="shared" si="24"/>
        <v>43026.699923759588</v>
      </c>
      <c r="N79">
        <f t="shared" si="25"/>
        <v>24433.61654948206</v>
      </c>
      <c r="O79">
        <f>IF(J79&lt;=0,0,MIN(MAX(0,J79-N79),SUMIFS('Loan Prepayment'!$B$12:$B$31,'Loan Prepayment'!$A$12:$A$31,I79)+0))</f>
        <v>0</v>
      </c>
      <c r="P79">
        <f t="shared" si="26"/>
        <v>6859838.3712520525</v>
      </c>
      <c r="Q79">
        <v>78</v>
      </c>
      <c r="R79">
        <f t="shared" si="39"/>
        <v>8221014.8808479123</v>
      </c>
      <c r="S79" s="64">
        <f>'Loan Prepayment'!$B$6</f>
        <v>7.5</v>
      </c>
      <c r="T79">
        <f>IF(R79&lt;=0,0,MIN(IF(AND('Loan Prepayment'!$E$15="Reduce EMI",W78&gt;0),-PMT(S79/1200,MAX(1,'Loan Prepayment'!$B$7*12-Q79+1),R79),T78),R79+U79))</f>
        <v>80559.31935518072</v>
      </c>
      <c r="U79">
        <f t="shared" si="27"/>
        <v>51381.343005299452</v>
      </c>
      <c r="V79">
        <f t="shared" si="28"/>
        <v>29177.976349881268</v>
      </c>
      <c r="W79">
        <f>IF(R79&lt;=0,0,MIN(MAX(0,R79-V79),0+IF(AND(Q79&gt;='Loan Prepayment'!$B$9,Q79&lt;='Loan Prepayment'!$E$16),'Loan Prepayment'!$B$8,0)))</f>
        <v>0</v>
      </c>
      <c r="X79">
        <f t="shared" si="29"/>
        <v>8191836.9044980314</v>
      </c>
      <c r="Y79">
        <v>78</v>
      </c>
      <c r="Z79">
        <f t="shared" si="40"/>
        <v>8095574.923790874</v>
      </c>
      <c r="AA79">
        <f>IF(Y79&gt;='Loan Prepayment'!$E$11,'Loan Prepayment'!$E$12,'Loan Prepayment'!$B$6)</f>
        <v>6.5</v>
      </c>
      <c r="AB79">
        <f>IF(Z79&lt;=0,0,MIN(IF(Y79='Loan Prepayment'!$E$11,IF('Loan Prepayment'!$E$13="Keep tenure, recalculate EMI",-PMT(AA79/1200,MAX(1,'Loan Prepayment'!$B$7*12-Y79+1),Z79),AB78),AB78),Z79+AC79))</f>
        <v>80559.31935518072</v>
      </c>
      <c r="AC79">
        <f t="shared" si="30"/>
        <v>43851.030837200567</v>
      </c>
      <c r="AD79">
        <f t="shared" si="31"/>
        <v>36708.288517980152</v>
      </c>
      <c r="AE79">
        <f t="shared" si="32"/>
        <v>0</v>
      </c>
      <c r="AF79">
        <f t="shared" si="33"/>
        <v>8058866.6352728941</v>
      </c>
      <c r="AG79">
        <v>78</v>
      </c>
      <c r="AH79">
        <f t="shared" si="41"/>
        <v>6779228.6573812738</v>
      </c>
      <c r="AI79">
        <f>IF(AG79&gt;='Loan Prepayment'!$E$11,'Loan Prepayment'!$E$12,'Loan Prepayment'!$B$6)</f>
        <v>6.5</v>
      </c>
      <c r="AJ79">
        <f>IF(AH79&lt;=0,0,MIN(IF(AG79='Loan Prepayment'!$E$11,IF('Loan Prepayment'!$E$13="Keep tenure, recalculate EMI",-PMT(AI79/1200,MAX(1,'Loan Prepayment'!$B$7*12-AG79+1),AH79),IF(AND('Loan Prepayment'!$E$15="Reduce EMI",AM78&gt;0),-PMT(AI78/1200,MAX(1,'Loan Prepayment'!$B$7*12-AG79+1),AH79),AJ78)),IF(AND('Loan Prepayment'!$E$15="Reduce EMI",AM78&gt;0),-PMT(AI79/1200,MAX(1,'Loan Prepayment'!$B$7*12-AG79+1),AH79),AJ78)),AH79+AK79))</f>
        <v>67460.316473241648</v>
      </c>
      <c r="AK79">
        <f t="shared" si="34"/>
        <v>36720.821894148561</v>
      </c>
      <c r="AL79">
        <f t="shared" si="35"/>
        <v>30739.494579093087</v>
      </c>
      <c r="AM79">
        <f>IF(AH79&lt;=0,0,MIN(MAX(0,AH79-AL79),SUMIFS('Loan Prepayment'!$B$12:$B$31,'Loan Prepayment'!$A$12:$A$31,AG79)+IF(AND(AG79&gt;='Loan Prepayment'!$B$9,AG79&lt;='Loan Prepayment'!$E$16),'Loan Prepayment'!$B$8,0)))</f>
        <v>0</v>
      </c>
      <c r="AN79">
        <f t="shared" si="36"/>
        <v>6748489.1628021803</v>
      </c>
    </row>
    <row r="80" spans="1:40" x14ac:dyDescent="0.35">
      <c r="A80">
        <v>79</v>
      </c>
      <c r="B80">
        <f t="shared" si="37"/>
        <v>8191836.9044980314</v>
      </c>
      <c r="C80" s="64">
        <f>'Loan Prepayment'!$B$6</f>
        <v>7.5</v>
      </c>
      <c r="D80">
        <f>IF(B80&lt;=0,0,MIN(-PMT('Loan Prepayment'!$B$6/1200,'Loan Prepayment'!$B$7*12,'Loan Prepayment'!$B$5),B80+E80))</f>
        <v>80559.31935518072</v>
      </c>
      <c r="E80">
        <f t="shared" si="21"/>
        <v>51198.980653112696</v>
      </c>
      <c r="F80">
        <f t="shared" si="22"/>
        <v>29360.338702068024</v>
      </c>
      <c r="G80">
        <v>0</v>
      </c>
      <c r="H80">
        <f t="shared" si="23"/>
        <v>8162476.5657959636</v>
      </c>
      <c r="I80">
        <v>79</v>
      </c>
      <c r="J80">
        <f t="shared" si="38"/>
        <v>6859838.3712520525</v>
      </c>
      <c r="K80" s="64">
        <f>'Loan Prepayment'!$B$6</f>
        <v>7.5</v>
      </c>
      <c r="L80">
        <f>IF(J80&lt;=0,0,MIN(IF(AND('Loan Prepayment'!$E$15="Reduce EMI",O79&gt;0),-PMT(K80/1200,MAX(1,'Loan Prepayment'!$B$7*12-I80+1),J80),L79),J80+M80))</f>
        <v>67460.316473241648</v>
      </c>
      <c r="M80">
        <f t="shared" si="24"/>
        <v>42873.989820325325</v>
      </c>
      <c r="N80">
        <f t="shared" si="25"/>
        <v>24586.326652916323</v>
      </c>
      <c r="O80">
        <f>IF(J80&lt;=0,0,MIN(MAX(0,J80-N80),SUMIFS('Loan Prepayment'!$B$12:$B$31,'Loan Prepayment'!$A$12:$A$31,I80)+0))</f>
        <v>0</v>
      </c>
      <c r="P80">
        <f t="shared" si="26"/>
        <v>6835252.0445991363</v>
      </c>
      <c r="Q80">
        <v>79</v>
      </c>
      <c r="R80">
        <f t="shared" si="39"/>
        <v>8191836.9044980314</v>
      </c>
      <c r="S80" s="64">
        <f>'Loan Prepayment'!$B$6</f>
        <v>7.5</v>
      </c>
      <c r="T80">
        <f>IF(R80&lt;=0,0,MIN(IF(AND('Loan Prepayment'!$E$15="Reduce EMI",W79&gt;0),-PMT(S80/1200,MAX(1,'Loan Prepayment'!$B$7*12-Q80+1),R80),T79),R80+U80))</f>
        <v>80559.31935518072</v>
      </c>
      <c r="U80">
        <f t="shared" si="27"/>
        <v>51198.980653112696</v>
      </c>
      <c r="V80">
        <f t="shared" si="28"/>
        <v>29360.338702068024</v>
      </c>
      <c r="W80">
        <f>IF(R80&lt;=0,0,MIN(MAX(0,R80-V80),0+IF(AND(Q80&gt;='Loan Prepayment'!$B$9,Q80&lt;='Loan Prepayment'!$E$16),'Loan Prepayment'!$B$8,0)))</f>
        <v>0</v>
      </c>
      <c r="X80">
        <f t="shared" si="29"/>
        <v>8162476.5657959636</v>
      </c>
      <c r="Y80">
        <v>79</v>
      </c>
      <c r="Z80">
        <f t="shared" si="40"/>
        <v>8058866.6352728941</v>
      </c>
      <c r="AA80">
        <f>IF(Y80&gt;='Loan Prepayment'!$E$11,'Loan Prepayment'!$E$12,'Loan Prepayment'!$B$6)</f>
        <v>6.5</v>
      </c>
      <c r="AB80">
        <f>IF(Z80&lt;=0,0,MIN(IF(Y80='Loan Prepayment'!$E$11,IF('Loan Prepayment'!$E$13="Keep tenure, recalculate EMI",-PMT(AA80/1200,MAX(1,'Loan Prepayment'!$B$7*12-Y80+1),Z80),AB79),AB79),Z80+AC80))</f>
        <v>80559.31935518072</v>
      </c>
      <c r="AC80">
        <f t="shared" si="30"/>
        <v>43652.194274394838</v>
      </c>
      <c r="AD80">
        <f t="shared" si="31"/>
        <v>36907.125080785881</v>
      </c>
      <c r="AE80">
        <f t="shared" si="32"/>
        <v>0</v>
      </c>
      <c r="AF80">
        <f t="shared" si="33"/>
        <v>8021959.5101921083</v>
      </c>
      <c r="AG80">
        <v>79</v>
      </c>
      <c r="AH80">
        <f t="shared" si="41"/>
        <v>6748489.1628021803</v>
      </c>
      <c r="AI80">
        <f>IF(AG80&gt;='Loan Prepayment'!$E$11,'Loan Prepayment'!$E$12,'Loan Prepayment'!$B$6)</f>
        <v>6.5</v>
      </c>
      <c r="AJ80">
        <f>IF(AH80&lt;=0,0,MIN(IF(AG80='Loan Prepayment'!$E$11,IF('Loan Prepayment'!$E$13="Keep tenure, recalculate EMI",-PMT(AI80/1200,MAX(1,'Loan Prepayment'!$B$7*12-AG80+1),AH80),IF(AND('Loan Prepayment'!$E$15="Reduce EMI",AM79&gt;0),-PMT(AI79/1200,MAX(1,'Loan Prepayment'!$B$7*12-AG80+1),AH80),AJ79)),IF(AND('Loan Prepayment'!$E$15="Reduce EMI",AM79&gt;0),-PMT(AI80/1200,MAX(1,'Loan Prepayment'!$B$7*12-AG80+1),AH80),AJ79)),AH80+AK80))</f>
        <v>67460.316473241648</v>
      </c>
      <c r="AK80">
        <f t="shared" si="34"/>
        <v>36554.316298511811</v>
      </c>
      <c r="AL80">
        <f t="shared" si="35"/>
        <v>30906.000174729837</v>
      </c>
      <c r="AM80">
        <f>IF(AH80&lt;=0,0,MIN(MAX(0,AH80-AL80),SUMIFS('Loan Prepayment'!$B$12:$B$31,'Loan Prepayment'!$A$12:$A$31,AG80)+IF(AND(AG80&gt;='Loan Prepayment'!$B$9,AG80&lt;='Loan Prepayment'!$E$16),'Loan Prepayment'!$B$8,0)))</f>
        <v>0</v>
      </c>
      <c r="AN80">
        <f t="shared" si="36"/>
        <v>6717583.1626274502</v>
      </c>
    </row>
    <row r="81" spans="1:40" x14ac:dyDescent="0.35">
      <c r="A81">
        <v>80</v>
      </c>
      <c r="B81">
        <f t="shared" si="37"/>
        <v>8162476.5657959636</v>
      </c>
      <c r="C81" s="64">
        <f>'Loan Prepayment'!$B$6</f>
        <v>7.5</v>
      </c>
      <c r="D81">
        <f>IF(B81&lt;=0,0,MIN(-PMT('Loan Prepayment'!$B$6/1200,'Loan Prepayment'!$B$7*12,'Loan Prepayment'!$B$5),B81+E81))</f>
        <v>80559.31935518072</v>
      </c>
      <c r="E81">
        <f t="shared" si="21"/>
        <v>51015.478536224779</v>
      </c>
      <c r="F81">
        <f t="shared" si="22"/>
        <v>29543.840818955941</v>
      </c>
      <c r="G81">
        <v>0</v>
      </c>
      <c r="H81">
        <f t="shared" si="23"/>
        <v>8132932.7249770081</v>
      </c>
      <c r="I81">
        <v>80</v>
      </c>
      <c r="J81">
        <f t="shared" si="38"/>
        <v>6835252.0445991363</v>
      </c>
      <c r="K81" s="64">
        <f>'Loan Prepayment'!$B$6</f>
        <v>7.5</v>
      </c>
      <c r="L81">
        <f>IF(J81&lt;=0,0,MIN(IF(AND('Loan Prepayment'!$E$15="Reduce EMI",O80&gt;0),-PMT(K81/1200,MAX(1,'Loan Prepayment'!$B$7*12-I81+1),J81),L80),J81+M81))</f>
        <v>67460.316473241648</v>
      </c>
      <c r="M81">
        <f t="shared" si="24"/>
        <v>42720.325278744604</v>
      </c>
      <c r="N81">
        <f t="shared" si="25"/>
        <v>24739.991194497044</v>
      </c>
      <c r="O81">
        <f>IF(J81&lt;=0,0,MIN(MAX(0,J81-N81),SUMIFS('Loan Prepayment'!$B$12:$B$31,'Loan Prepayment'!$A$12:$A$31,I81)+0))</f>
        <v>0</v>
      </c>
      <c r="P81">
        <f t="shared" si="26"/>
        <v>6810512.0534046395</v>
      </c>
      <c r="Q81">
        <v>80</v>
      </c>
      <c r="R81">
        <f t="shared" si="39"/>
        <v>8162476.5657959636</v>
      </c>
      <c r="S81" s="64">
        <f>'Loan Prepayment'!$B$6</f>
        <v>7.5</v>
      </c>
      <c r="T81">
        <f>IF(R81&lt;=0,0,MIN(IF(AND('Loan Prepayment'!$E$15="Reduce EMI",W80&gt;0),-PMT(S81/1200,MAX(1,'Loan Prepayment'!$B$7*12-Q81+1),R81),T80),R81+U81))</f>
        <v>80559.31935518072</v>
      </c>
      <c r="U81">
        <f t="shared" si="27"/>
        <v>51015.478536224779</v>
      </c>
      <c r="V81">
        <f t="shared" si="28"/>
        <v>29543.840818955941</v>
      </c>
      <c r="W81">
        <f>IF(R81&lt;=0,0,MIN(MAX(0,R81-V81),0+IF(AND(Q81&gt;='Loan Prepayment'!$B$9,Q81&lt;='Loan Prepayment'!$E$16),'Loan Prepayment'!$B$8,0)))</f>
        <v>0</v>
      </c>
      <c r="X81">
        <f t="shared" si="29"/>
        <v>8132932.7249770081</v>
      </c>
      <c r="Y81">
        <v>80</v>
      </c>
      <c r="Z81">
        <f t="shared" si="40"/>
        <v>8021959.5101921083</v>
      </c>
      <c r="AA81">
        <f>IF(Y81&gt;='Loan Prepayment'!$E$11,'Loan Prepayment'!$E$12,'Loan Prepayment'!$B$6)</f>
        <v>6.5</v>
      </c>
      <c r="AB81">
        <f>IF(Z81&lt;=0,0,MIN(IF(Y81='Loan Prepayment'!$E$11,IF('Loan Prepayment'!$E$13="Keep tenure, recalculate EMI",-PMT(AA81/1200,MAX(1,'Loan Prepayment'!$B$7*12-Y81+1),Z81),AB80),AB80),Z81+AC81))</f>
        <v>80559.31935518072</v>
      </c>
      <c r="AC81">
        <f t="shared" si="30"/>
        <v>43452.280680207259</v>
      </c>
      <c r="AD81">
        <f t="shared" si="31"/>
        <v>37107.038674973461</v>
      </c>
      <c r="AE81">
        <f t="shared" si="32"/>
        <v>0</v>
      </c>
      <c r="AF81">
        <f t="shared" si="33"/>
        <v>7984852.4715171345</v>
      </c>
      <c r="AG81">
        <v>80</v>
      </c>
      <c r="AH81">
        <f t="shared" si="41"/>
        <v>6717583.1626274502</v>
      </c>
      <c r="AI81">
        <f>IF(AG81&gt;='Loan Prepayment'!$E$11,'Loan Prepayment'!$E$12,'Loan Prepayment'!$B$6)</f>
        <v>6.5</v>
      </c>
      <c r="AJ81">
        <f>IF(AH81&lt;=0,0,MIN(IF(AG81='Loan Prepayment'!$E$11,IF('Loan Prepayment'!$E$13="Keep tenure, recalculate EMI",-PMT(AI81/1200,MAX(1,'Loan Prepayment'!$B$7*12-AG81+1),AH81),IF(AND('Loan Prepayment'!$E$15="Reduce EMI",AM80&gt;0),-PMT(AI80/1200,MAX(1,'Loan Prepayment'!$B$7*12-AG81+1),AH81),AJ80)),IF(AND('Loan Prepayment'!$E$15="Reduce EMI",AM80&gt;0),-PMT(AI81/1200,MAX(1,'Loan Prepayment'!$B$7*12-AG81+1),AH81),AJ80)),AH81+AK81))</f>
        <v>67460.316473241648</v>
      </c>
      <c r="AK81">
        <f t="shared" si="34"/>
        <v>36386.90879756536</v>
      </c>
      <c r="AL81">
        <f t="shared" si="35"/>
        <v>31073.407675676288</v>
      </c>
      <c r="AM81">
        <f>IF(AH81&lt;=0,0,MIN(MAX(0,AH81-AL81),SUMIFS('Loan Prepayment'!$B$12:$B$31,'Loan Prepayment'!$A$12:$A$31,AG81)+IF(AND(AG81&gt;='Loan Prepayment'!$B$9,AG81&lt;='Loan Prepayment'!$E$16),'Loan Prepayment'!$B$8,0)))</f>
        <v>0</v>
      </c>
      <c r="AN81">
        <f t="shared" si="36"/>
        <v>6686509.7549517741</v>
      </c>
    </row>
    <row r="82" spans="1:40" x14ac:dyDescent="0.35">
      <c r="A82">
        <v>81</v>
      </c>
      <c r="B82">
        <f t="shared" si="37"/>
        <v>8132932.7249770081</v>
      </c>
      <c r="C82" s="64">
        <f>'Loan Prepayment'!$B$6</f>
        <v>7.5</v>
      </c>
      <c r="D82">
        <f>IF(B82&lt;=0,0,MIN(-PMT('Loan Prepayment'!$B$6/1200,'Loan Prepayment'!$B$7*12,'Loan Prepayment'!$B$5),B82+E82))</f>
        <v>80559.31935518072</v>
      </c>
      <c r="E82">
        <f t="shared" si="21"/>
        <v>50830.829531106305</v>
      </c>
      <c r="F82">
        <f t="shared" si="22"/>
        <v>29728.489824074415</v>
      </c>
      <c r="G82">
        <v>0</v>
      </c>
      <c r="H82">
        <f t="shared" si="23"/>
        <v>8103204.2351529337</v>
      </c>
      <c r="I82">
        <v>81</v>
      </c>
      <c r="J82">
        <f t="shared" si="38"/>
        <v>6810512.0534046395</v>
      </c>
      <c r="K82" s="64">
        <f>'Loan Prepayment'!$B$6</f>
        <v>7.5</v>
      </c>
      <c r="L82">
        <f>IF(J82&lt;=0,0,MIN(IF(AND('Loan Prepayment'!$E$15="Reduce EMI",O81&gt;0),-PMT(K82/1200,MAX(1,'Loan Prepayment'!$B$7*12-I82+1),J82),L81),J82+M82))</f>
        <v>67460.316473241648</v>
      </c>
      <c r="M82">
        <f t="shared" si="24"/>
        <v>42565.700333778994</v>
      </c>
      <c r="N82">
        <f t="shared" si="25"/>
        <v>24894.616139462654</v>
      </c>
      <c r="O82">
        <f>IF(J82&lt;=0,0,MIN(MAX(0,J82-N82),SUMIFS('Loan Prepayment'!$B$12:$B$31,'Loan Prepayment'!$A$12:$A$31,I82)+0))</f>
        <v>0</v>
      </c>
      <c r="P82">
        <f t="shared" si="26"/>
        <v>6785617.4372651773</v>
      </c>
      <c r="Q82">
        <v>81</v>
      </c>
      <c r="R82">
        <f t="shared" si="39"/>
        <v>8132932.7249770081</v>
      </c>
      <c r="S82" s="64">
        <f>'Loan Prepayment'!$B$6</f>
        <v>7.5</v>
      </c>
      <c r="T82">
        <f>IF(R82&lt;=0,0,MIN(IF(AND('Loan Prepayment'!$E$15="Reduce EMI",W81&gt;0),-PMT(S82/1200,MAX(1,'Loan Prepayment'!$B$7*12-Q82+1),R82),T81),R82+U82))</f>
        <v>80559.31935518072</v>
      </c>
      <c r="U82">
        <f t="shared" si="27"/>
        <v>50830.829531106305</v>
      </c>
      <c r="V82">
        <f t="shared" si="28"/>
        <v>29728.489824074415</v>
      </c>
      <c r="W82">
        <f>IF(R82&lt;=0,0,MIN(MAX(0,R82-V82),0+IF(AND(Q82&gt;='Loan Prepayment'!$B$9,Q82&lt;='Loan Prepayment'!$E$16),'Loan Prepayment'!$B$8,0)))</f>
        <v>0</v>
      </c>
      <c r="X82">
        <f t="shared" si="29"/>
        <v>8103204.2351529337</v>
      </c>
      <c r="Y82">
        <v>81</v>
      </c>
      <c r="Z82">
        <f t="shared" si="40"/>
        <v>7984852.4715171345</v>
      </c>
      <c r="AA82">
        <f>IF(Y82&gt;='Loan Prepayment'!$E$11,'Loan Prepayment'!$E$12,'Loan Prepayment'!$B$6)</f>
        <v>6.5</v>
      </c>
      <c r="AB82">
        <f>IF(Z82&lt;=0,0,MIN(IF(Y82='Loan Prepayment'!$E$11,IF('Loan Prepayment'!$E$13="Keep tenure, recalculate EMI",-PMT(AA82/1200,MAX(1,'Loan Prepayment'!$B$7*12-Y82+1),Z82),AB81),AB81),Z82+AC82))</f>
        <v>80559.31935518072</v>
      </c>
      <c r="AC82">
        <f t="shared" si="30"/>
        <v>43251.284220717811</v>
      </c>
      <c r="AD82">
        <f t="shared" si="31"/>
        <v>37308.035134462909</v>
      </c>
      <c r="AE82">
        <f t="shared" si="32"/>
        <v>0</v>
      </c>
      <c r="AF82">
        <f t="shared" si="33"/>
        <v>7947544.4363826718</v>
      </c>
      <c r="AG82">
        <v>81</v>
      </c>
      <c r="AH82">
        <f t="shared" si="41"/>
        <v>6686509.7549517741</v>
      </c>
      <c r="AI82">
        <f>IF(AG82&gt;='Loan Prepayment'!$E$11,'Loan Prepayment'!$E$12,'Loan Prepayment'!$B$6)</f>
        <v>6.5</v>
      </c>
      <c r="AJ82">
        <f>IF(AH82&lt;=0,0,MIN(IF(AG82='Loan Prepayment'!$E$11,IF('Loan Prepayment'!$E$13="Keep tenure, recalculate EMI",-PMT(AI82/1200,MAX(1,'Loan Prepayment'!$B$7*12-AG82+1),AH82),IF(AND('Loan Prepayment'!$E$15="Reduce EMI",AM81&gt;0),-PMT(AI81/1200,MAX(1,'Loan Prepayment'!$B$7*12-AG82+1),AH82),AJ81)),IF(AND('Loan Prepayment'!$E$15="Reduce EMI",AM81&gt;0),-PMT(AI82/1200,MAX(1,'Loan Prepayment'!$B$7*12-AG82+1),AH82),AJ81)),AH82+AK82))</f>
        <v>67460.316473241648</v>
      </c>
      <c r="AK82">
        <f t="shared" si="34"/>
        <v>36218.594505988774</v>
      </c>
      <c r="AL82">
        <f t="shared" si="35"/>
        <v>31241.721967252874</v>
      </c>
      <c r="AM82">
        <f>IF(AH82&lt;=0,0,MIN(MAX(0,AH82-AL82),SUMIFS('Loan Prepayment'!$B$12:$B$31,'Loan Prepayment'!$A$12:$A$31,AG82)+IF(AND(AG82&gt;='Loan Prepayment'!$B$9,AG82&lt;='Loan Prepayment'!$E$16),'Loan Prepayment'!$B$8,0)))</f>
        <v>0</v>
      </c>
      <c r="AN82">
        <f t="shared" si="36"/>
        <v>6655268.0329845212</v>
      </c>
    </row>
    <row r="83" spans="1:40" x14ac:dyDescent="0.35">
      <c r="A83">
        <v>82</v>
      </c>
      <c r="B83">
        <f t="shared" si="37"/>
        <v>8103204.2351529337</v>
      </c>
      <c r="C83" s="64">
        <f>'Loan Prepayment'!$B$6</f>
        <v>7.5</v>
      </c>
      <c r="D83">
        <f>IF(B83&lt;=0,0,MIN(-PMT('Loan Prepayment'!$B$6/1200,'Loan Prepayment'!$B$7*12,'Loan Prepayment'!$B$5),B83+E83))</f>
        <v>80559.31935518072</v>
      </c>
      <c r="E83">
        <f t="shared" si="21"/>
        <v>50645.026469705837</v>
      </c>
      <c r="F83">
        <f t="shared" si="22"/>
        <v>29914.292885474882</v>
      </c>
      <c r="G83">
        <v>0</v>
      </c>
      <c r="H83">
        <f t="shared" si="23"/>
        <v>8073289.9422674589</v>
      </c>
      <c r="I83">
        <v>82</v>
      </c>
      <c r="J83">
        <f t="shared" si="38"/>
        <v>6785617.4372651773</v>
      </c>
      <c r="K83" s="64">
        <f>'Loan Prepayment'!$B$6</f>
        <v>7.5</v>
      </c>
      <c r="L83">
        <f>IF(J83&lt;=0,0,MIN(IF(AND('Loan Prepayment'!$E$15="Reduce EMI",O82&gt;0),-PMT(K83/1200,MAX(1,'Loan Prepayment'!$B$7*12-I83+1),J83),L82),J83+M83))</f>
        <v>67460.316473241648</v>
      </c>
      <c r="M83">
        <f t="shared" si="24"/>
        <v>42410.108982907361</v>
      </c>
      <c r="N83">
        <f t="shared" si="25"/>
        <v>25050.207490334287</v>
      </c>
      <c r="O83">
        <f>IF(J83&lt;=0,0,MIN(MAX(0,J83-N83),SUMIFS('Loan Prepayment'!$B$12:$B$31,'Loan Prepayment'!$A$12:$A$31,I83)+0))</f>
        <v>0</v>
      </c>
      <c r="P83">
        <f t="shared" si="26"/>
        <v>6760567.229774843</v>
      </c>
      <c r="Q83">
        <v>82</v>
      </c>
      <c r="R83">
        <f t="shared" si="39"/>
        <v>8103204.2351529337</v>
      </c>
      <c r="S83" s="64">
        <f>'Loan Prepayment'!$B$6</f>
        <v>7.5</v>
      </c>
      <c r="T83">
        <f>IF(R83&lt;=0,0,MIN(IF(AND('Loan Prepayment'!$E$15="Reduce EMI",W82&gt;0),-PMT(S83/1200,MAX(1,'Loan Prepayment'!$B$7*12-Q83+1),R83),T82),R83+U83))</f>
        <v>80559.31935518072</v>
      </c>
      <c r="U83">
        <f t="shared" si="27"/>
        <v>50645.026469705837</v>
      </c>
      <c r="V83">
        <f t="shared" si="28"/>
        <v>29914.292885474882</v>
      </c>
      <c r="W83">
        <f>IF(R83&lt;=0,0,MIN(MAX(0,R83-V83),0+IF(AND(Q83&gt;='Loan Prepayment'!$B$9,Q83&lt;='Loan Prepayment'!$E$16),'Loan Prepayment'!$B$8,0)))</f>
        <v>0</v>
      </c>
      <c r="X83">
        <f t="shared" si="29"/>
        <v>8073289.9422674589</v>
      </c>
      <c r="Y83">
        <v>82</v>
      </c>
      <c r="Z83">
        <f t="shared" si="40"/>
        <v>7947544.4363826718</v>
      </c>
      <c r="AA83">
        <f>IF(Y83&gt;='Loan Prepayment'!$E$11,'Loan Prepayment'!$E$12,'Loan Prepayment'!$B$6)</f>
        <v>6.5</v>
      </c>
      <c r="AB83">
        <f>IF(Z83&lt;=0,0,MIN(IF(Y83='Loan Prepayment'!$E$11,IF('Loan Prepayment'!$E$13="Keep tenure, recalculate EMI",-PMT(AA83/1200,MAX(1,'Loan Prepayment'!$B$7*12-Y83+1),Z83),AB82),AB82),Z83+AC83))</f>
        <v>80559.31935518072</v>
      </c>
      <c r="AC83">
        <f t="shared" si="30"/>
        <v>43049.19903040614</v>
      </c>
      <c r="AD83">
        <f t="shared" si="31"/>
        <v>37510.12032477458</v>
      </c>
      <c r="AE83">
        <f t="shared" si="32"/>
        <v>0</v>
      </c>
      <c r="AF83">
        <f t="shared" si="33"/>
        <v>7910034.3160578972</v>
      </c>
      <c r="AG83">
        <v>82</v>
      </c>
      <c r="AH83">
        <f t="shared" si="41"/>
        <v>6655268.0329845212</v>
      </c>
      <c r="AI83">
        <f>IF(AG83&gt;='Loan Prepayment'!$E$11,'Loan Prepayment'!$E$12,'Loan Prepayment'!$B$6)</f>
        <v>6.5</v>
      </c>
      <c r="AJ83">
        <f>IF(AH83&lt;=0,0,MIN(IF(AG83='Loan Prepayment'!$E$11,IF('Loan Prepayment'!$E$13="Keep tenure, recalculate EMI",-PMT(AI83/1200,MAX(1,'Loan Prepayment'!$B$7*12-AG83+1),AH83),IF(AND('Loan Prepayment'!$E$15="Reduce EMI",AM82&gt;0),-PMT(AI82/1200,MAX(1,'Loan Prepayment'!$B$7*12-AG83+1),AH83),AJ82)),IF(AND('Loan Prepayment'!$E$15="Reduce EMI",AM82&gt;0),-PMT(AI83/1200,MAX(1,'Loan Prepayment'!$B$7*12-AG83+1),AH83),AJ82)),AH83+AK83))</f>
        <v>67460.316473241648</v>
      </c>
      <c r="AK83">
        <f t="shared" si="34"/>
        <v>36049.368511999492</v>
      </c>
      <c r="AL83">
        <f t="shared" si="35"/>
        <v>31410.947961242156</v>
      </c>
      <c r="AM83">
        <f>IF(AH83&lt;=0,0,MIN(MAX(0,AH83-AL83),SUMIFS('Loan Prepayment'!$B$12:$B$31,'Loan Prepayment'!$A$12:$A$31,AG83)+IF(AND(AG83&gt;='Loan Prepayment'!$B$9,AG83&lt;='Loan Prepayment'!$E$16),'Loan Prepayment'!$B$8,0)))</f>
        <v>0</v>
      </c>
      <c r="AN83">
        <f t="shared" si="36"/>
        <v>6623857.0850232793</v>
      </c>
    </row>
    <row r="84" spans="1:40" x14ac:dyDescent="0.35">
      <c r="A84">
        <v>83</v>
      </c>
      <c r="B84">
        <f t="shared" si="37"/>
        <v>8073289.9422674589</v>
      </c>
      <c r="C84" s="64">
        <f>'Loan Prepayment'!$B$6</f>
        <v>7.5</v>
      </c>
      <c r="D84">
        <f>IF(B84&lt;=0,0,MIN(-PMT('Loan Prepayment'!$B$6/1200,'Loan Prepayment'!$B$7*12,'Loan Prepayment'!$B$5),B84+E84))</f>
        <v>80559.31935518072</v>
      </c>
      <c r="E84">
        <f t="shared" si="21"/>
        <v>50458.062139171619</v>
      </c>
      <c r="F84">
        <f t="shared" si="22"/>
        <v>30101.2572160091</v>
      </c>
      <c r="G84">
        <v>0</v>
      </c>
      <c r="H84">
        <f t="shared" si="23"/>
        <v>8043188.6850514496</v>
      </c>
      <c r="I84">
        <v>83</v>
      </c>
      <c r="J84">
        <f t="shared" si="38"/>
        <v>6760567.229774843</v>
      </c>
      <c r="K84" s="64">
        <f>'Loan Prepayment'!$B$6</f>
        <v>7.5</v>
      </c>
      <c r="L84">
        <f>IF(J84&lt;=0,0,MIN(IF(AND('Loan Prepayment'!$E$15="Reduce EMI",O83&gt;0),-PMT(K84/1200,MAX(1,'Loan Prepayment'!$B$7*12-I84+1),J84),L83),J84+M84))</f>
        <v>67460.316473241648</v>
      </c>
      <c r="M84">
        <f t="shared" si="24"/>
        <v>42253.545186092764</v>
      </c>
      <c r="N84">
        <f t="shared" si="25"/>
        <v>25206.771287148884</v>
      </c>
      <c r="O84">
        <f>IF(J84&lt;=0,0,MIN(MAX(0,J84-N84),SUMIFS('Loan Prepayment'!$B$12:$B$31,'Loan Prepayment'!$A$12:$A$31,I84)+0))</f>
        <v>0</v>
      </c>
      <c r="P84">
        <f t="shared" si="26"/>
        <v>6735360.4584876942</v>
      </c>
      <c r="Q84">
        <v>83</v>
      </c>
      <c r="R84">
        <f t="shared" si="39"/>
        <v>8073289.9422674589</v>
      </c>
      <c r="S84" s="64">
        <f>'Loan Prepayment'!$B$6</f>
        <v>7.5</v>
      </c>
      <c r="T84">
        <f>IF(R84&lt;=0,0,MIN(IF(AND('Loan Prepayment'!$E$15="Reduce EMI",W83&gt;0),-PMT(S84/1200,MAX(1,'Loan Prepayment'!$B$7*12-Q84+1),R84),T83),R84+U84))</f>
        <v>80559.31935518072</v>
      </c>
      <c r="U84">
        <f t="shared" si="27"/>
        <v>50458.062139171619</v>
      </c>
      <c r="V84">
        <f t="shared" si="28"/>
        <v>30101.2572160091</v>
      </c>
      <c r="W84">
        <f>IF(R84&lt;=0,0,MIN(MAX(0,R84-V84),0+IF(AND(Q84&gt;='Loan Prepayment'!$B$9,Q84&lt;='Loan Prepayment'!$E$16),'Loan Prepayment'!$B$8,0)))</f>
        <v>0</v>
      </c>
      <c r="X84">
        <f t="shared" si="29"/>
        <v>8043188.6850514496</v>
      </c>
      <c r="Y84">
        <v>83</v>
      </c>
      <c r="Z84">
        <f t="shared" si="40"/>
        <v>7910034.3160578972</v>
      </c>
      <c r="AA84">
        <f>IF(Y84&gt;='Loan Prepayment'!$E$11,'Loan Prepayment'!$E$12,'Loan Prepayment'!$B$6)</f>
        <v>6.5</v>
      </c>
      <c r="AB84">
        <f>IF(Z84&lt;=0,0,MIN(IF(Y84='Loan Prepayment'!$E$11,IF('Loan Prepayment'!$E$13="Keep tenure, recalculate EMI",-PMT(AA84/1200,MAX(1,'Loan Prepayment'!$B$7*12-Y84+1),Z84),AB83),AB83),Z84+AC84))</f>
        <v>80559.31935518072</v>
      </c>
      <c r="AC84">
        <f t="shared" si="30"/>
        <v>42846.019211980281</v>
      </c>
      <c r="AD84">
        <f t="shared" si="31"/>
        <v>37713.300143200438</v>
      </c>
      <c r="AE84">
        <f t="shared" si="32"/>
        <v>0</v>
      </c>
      <c r="AF84">
        <f t="shared" si="33"/>
        <v>7872321.0159146972</v>
      </c>
      <c r="AG84">
        <v>83</v>
      </c>
      <c r="AH84">
        <f t="shared" si="41"/>
        <v>6623857.0850232793</v>
      </c>
      <c r="AI84">
        <f>IF(AG84&gt;='Loan Prepayment'!$E$11,'Loan Prepayment'!$E$12,'Loan Prepayment'!$B$6)</f>
        <v>6.5</v>
      </c>
      <c r="AJ84">
        <f>IF(AH84&lt;=0,0,MIN(IF(AG84='Loan Prepayment'!$E$11,IF('Loan Prepayment'!$E$13="Keep tenure, recalculate EMI",-PMT(AI84/1200,MAX(1,'Loan Prepayment'!$B$7*12-AG84+1),AH84),IF(AND('Loan Prepayment'!$E$15="Reduce EMI",AM83&gt;0),-PMT(AI83/1200,MAX(1,'Loan Prepayment'!$B$7*12-AG84+1),AH84),AJ83)),IF(AND('Loan Prepayment'!$E$15="Reduce EMI",AM83&gt;0),-PMT(AI84/1200,MAX(1,'Loan Prepayment'!$B$7*12-AG84+1),AH84),AJ83)),AH84+AK84))</f>
        <v>67460.316473241648</v>
      </c>
      <c r="AK84">
        <f t="shared" si="34"/>
        <v>35879.225877209428</v>
      </c>
      <c r="AL84">
        <f t="shared" si="35"/>
        <v>31581.09059603222</v>
      </c>
      <c r="AM84">
        <f>IF(AH84&lt;=0,0,MIN(MAX(0,AH84-AL84),SUMIFS('Loan Prepayment'!$B$12:$B$31,'Loan Prepayment'!$A$12:$A$31,AG84)+IF(AND(AG84&gt;='Loan Prepayment'!$B$9,AG84&lt;='Loan Prepayment'!$E$16),'Loan Prepayment'!$B$8,0)))</f>
        <v>0</v>
      </c>
      <c r="AN84">
        <f t="shared" si="36"/>
        <v>6592275.994427247</v>
      </c>
    </row>
    <row r="85" spans="1:40" x14ac:dyDescent="0.35">
      <c r="A85">
        <v>84</v>
      </c>
      <c r="B85">
        <f t="shared" si="37"/>
        <v>8043188.6850514496</v>
      </c>
      <c r="C85" s="64">
        <f>'Loan Prepayment'!$B$6</f>
        <v>7.5</v>
      </c>
      <c r="D85">
        <f>IF(B85&lt;=0,0,MIN(-PMT('Loan Prepayment'!$B$6/1200,'Loan Prepayment'!$B$7*12,'Loan Prepayment'!$B$5),B85+E85))</f>
        <v>80559.31935518072</v>
      </c>
      <c r="E85">
        <f t="shared" si="21"/>
        <v>50269.92928157156</v>
      </c>
      <c r="F85">
        <f t="shared" si="22"/>
        <v>30289.39007360916</v>
      </c>
      <c r="G85">
        <v>0</v>
      </c>
      <c r="H85">
        <f t="shared" si="23"/>
        <v>8012899.29497784</v>
      </c>
      <c r="I85">
        <v>84</v>
      </c>
      <c r="J85">
        <f t="shared" si="38"/>
        <v>6735360.4584876942</v>
      </c>
      <c r="K85" s="64">
        <f>'Loan Prepayment'!$B$6</f>
        <v>7.5</v>
      </c>
      <c r="L85">
        <f>IF(J85&lt;=0,0,MIN(IF(AND('Loan Prepayment'!$E$15="Reduce EMI",O84&gt;0),-PMT(K85/1200,MAX(1,'Loan Prepayment'!$B$7*12-I85+1),J85),L84),J85+M85))</f>
        <v>67460.316473241648</v>
      </c>
      <c r="M85">
        <f t="shared" si="24"/>
        <v>42096.002865548093</v>
      </c>
      <c r="N85">
        <f t="shared" si="25"/>
        <v>25364.313607693555</v>
      </c>
      <c r="O85">
        <f>IF(J85&lt;=0,0,MIN(MAX(0,J85-N85),SUMIFS('Loan Prepayment'!$B$12:$B$31,'Loan Prepayment'!$A$12:$A$31,I85)+0))</f>
        <v>0</v>
      </c>
      <c r="P85">
        <f t="shared" si="26"/>
        <v>6709996.1448800005</v>
      </c>
      <c r="Q85">
        <v>84</v>
      </c>
      <c r="R85">
        <f t="shared" si="39"/>
        <v>8043188.6850514496</v>
      </c>
      <c r="S85" s="64">
        <f>'Loan Prepayment'!$B$6</f>
        <v>7.5</v>
      </c>
      <c r="T85">
        <f>IF(R85&lt;=0,0,MIN(IF(AND('Loan Prepayment'!$E$15="Reduce EMI",W84&gt;0),-PMT(S85/1200,MAX(1,'Loan Prepayment'!$B$7*12-Q85+1),R85),T84),R85+U85))</f>
        <v>80559.31935518072</v>
      </c>
      <c r="U85">
        <f t="shared" si="27"/>
        <v>50269.92928157156</v>
      </c>
      <c r="V85">
        <f t="shared" si="28"/>
        <v>30289.39007360916</v>
      </c>
      <c r="W85">
        <f>IF(R85&lt;=0,0,MIN(MAX(0,R85-V85),0+IF(AND(Q85&gt;='Loan Prepayment'!$B$9,Q85&lt;='Loan Prepayment'!$E$16),'Loan Prepayment'!$B$8,0)))</f>
        <v>0</v>
      </c>
      <c r="X85">
        <f t="shared" si="29"/>
        <v>8012899.29497784</v>
      </c>
      <c r="Y85">
        <v>84</v>
      </c>
      <c r="Z85">
        <f t="shared" si="40"/>
        <v>7872321.0159146972</v>
      </c>
      <c r="AA85">
        <f>IF(Y85&gt;='Loan Prepayment'!$E$11,'Loan Prepayment'!$E$12,'Loan Prepayment'!$B$6)</f>
        <v>6.5</v>
      </c>
      <c r="AB85">
        <f>IF(Z85&lt;=0,0,MIN(IF(Y85='Loan Prepayment'!$E$11,IF('Loan Prepayment'!$E$13="Keep tenure, recalculate EMI",-PMT(AA85/1200,MAX(1,'Loan Prepayment'!$B$7*12-Y85+1),Z85),AB84),AB84),Z85+AC85))</f>
        <v>80559.31935518072</v>
      </c>
      <c r="AC85">
        <f t="shared" si="30"/>
        <v>42641.738836204611</v>
      </c>
      <c r="AD85">
        <f t="shared" si="31"/>
        <v>37917.580518976109</v>
      </c>
      <c r="AE85">
        <f t="shared" si="32"/>
        <v>0</v>
      </c>
      <c r="AF85">
        <f t="shared" si="33"/>
        <v>7834403.4353957213</v>
      </c>
      <c r="AG85">
        <v>84</v>
      </c>
      <c r="AH85">
        <f t="shared" si="41"/>
        <v>6592275.994427247</v>
      </c>
      <c r="AI85">
        <f>IF(AG85&gt;='Loan Prepayment'!$E$11,'Loan Prepayment'!$E$12,'Loan Prepayment'!$B$6)</f>
        <v>6.5</v>
      </c>
      <c r="AJ85">
        <f>IF(AH85&lt;=0,0,MIN(IF(AG85='Loan Prepayment'!$E$11,IF('Loan Prepayment'!$E$13="Keep tenure, recalculate EMI",-PMT(AI85/1200,MAX(1,'Loan Prepayment'!$B$7*12-AG85+1),AH85),IF(AND('Loan Prepayment'!$E$15="Reduce EMI",AM84&gt;0),-PMT(AI84/1200,MAX(1,'Loan Prepayment'!$B$7*12-AG85+1),AH85),AJ84)),IF(AND('Loan Prepayment'!$E$15="Reduce EMI",AM84&gt;0),-PMT(AI85/1200,MAX(1,'Loan Prepayment'!$B$7*12-AG85+1),AH85),AJ84)),AH85+AK85))</f>
        <v>67460.316473241648</v>
      </c>
      <c r="AK85">
        <f t="shared" si="34"/>
        <v>35708.161636480916</v>
      </c>
      <c r="AL85">
        <f t="shared" si="35"/>
        <v>31752.154836760732</v>
      </c>
      <c r="AM85">
        <f>IF(AH85&lt;=0,0,MIN(MAX(0,AH85-AL85),SUMIFS('Loan Prepayment'!$B$12:$B$31,'Loan Prepayment'!$A$12:$A$31,AG85)+IF(AND(AG85&gt;='Loan Prepayment'!$B$9,AG85&lt;='Loan Prepayment'!$E$16),'Loan Prepayment'!$B$8,0)))</f>
        <v>0</v>
      </c>
      <c r="AN85">
        <f t="shared" si="36"/>
        <v>6560523.8395904861</v>
      </c>
    </row>
    <row r="86" spans="1:40" x14ac:dyDescent="0.35">
      <c r="A86">
        <v>85</v>
      </c>
      <c r="B86">
        <f t="shared" si="37"/>
        <v>8012899.29497784</v>
      </c>
      <c r="C86" s="64">
        <f>'Loan Prepayment'!$B$6</f>
        <v>7.5</v>
      </c>
      <c r="D86">
        <f>IF(B86&lt;=0,0,MIN(-PMT('Loan Prepayment'!$B$6/1200,'Loan Prepayment'!$B$7*12,'Loan Prepayment'!$B$5),B86+E86))</f>
        <v>80559.31935518072</v>
      </c>
      <c r="E86">
        <f t="shared" si="21"/>
        <v>50080.6205936115</v>
      </c>
      <c r="F86">
        <f t="shared" si="22"/>
        <v>30478.69876156922</v>
      </c>
      <c r="G86">
        <v>0</v>
      </c>
      <c r="H86">
        <f t="shared" si="23"/>
        <v>7982420.5962162707</v>
      </c>
      <c r="I86">
        <v>85</v>
      </c>
      <c r="J86">
        <f t="shared" si="38"/>
        <v>6709996.1448800005</v>
      </c>
      <c r="K86" s="64">
        <f>'Loan Prepayment'!$B$6</f>
        <v>7.5</v>
      </c>
      <c r="L86">
        <f>IF(J86&lt;=0,0,MIN(IF(AND('Loan Prepayment'!$E$15="Reduce EMI",O85&gt;0),-PMT(K86/1200,MAX(1,'Loan Prepayment'!$B$7*12-I86+1),J86),L85),J86+M86))</f>
        <v>67460.316473241648</v>
      </c>
      <c r="M86">
        <f t="shared" si="24"/>
        <v>41937.475905500003</v>
      </c>
      <c r="N86">
        <f t="shared" si="25"/>
        <v>25522.840567741645</v>
      </c>
      <c r="O86">
        <f>IF(J86&lt;=0,0,MIN(MAX(0,J86-N86),SUMIFS('Loan Prepayment'!$B$12:$B$31,'Loan Prepayment'!$A$12:$A$31,I86)+0))</f>
        <v>0</v>
      </c>
      <c r="P86">
        <f t="shared" si="26"/>
        <v>6684473.304312259</v>
      </c>
      <c r="Q86">
        <v>85</v>
      </c>
      <c r="R86">
        <f t="shared" si="39"/>
        <v>8012899.29497784</v>
      </c>
      <c r="S86" s="64">
        <f>'Loan Prepayment'!$B$6</f>
        <v>7.5</v>
      </c>
      <c r="T86">
        <f>IF(R86&lt;=0,0,MIN(IF(AND('Loan Prepayment'!$E$15="Reduce EMI",W85&gt;0),-PMT(S86/1200,MAX(1,'Loan Prepayment'!$B$7*12-Q86+1),R86),T85),R86+U86))</f>
        <v>80559.31935518072</v>
      </c>
      <c r="U86">
        <f t="shared" si="27"/>
        <v>50080.6205936115</v>
      </c>
      <c r="V86">
        <f t="shared" si="28"/>
        <v>30478.69876156922</v>
      </c>
      <c r="W86">
        <f>IF(R86&lt;=0,0,MIN(MAX(0,R86-V86),0+IF(AND(Q86&gt;='Loan Prepayment'!$B$9,Q86&lt;='Loan Prepayment'!$E$16),'Loan Prepayment'!$B$8,0)))</f>
        <v>0</v>
      </c>
      <c r="X86">
        <f t="shared" si="29"/>
        <v>7982420.5962162707</v>
      </c>
      <c r="Y86">
        <v>85</v>
      </c>
      <c r="Z86">
        <f t="shared" si="40"/>
        <v>7834403.4353957213</v>
      </c>
      <c r="AA86">
        <f>IF(Y86&gt;='Loan Prepayment'!$E$11,'Loan Prepayment'!$E$12,'Loan Prepayment'!$B$6)</f>
        <v>6.5</v>
      </c>
      <c r="AB86">
        <f>IF(Z86&lt;=0,0,MIN(IF(Y86='Loan Prepayment'!$E$11,IF('Loan Prepayment'!$E$13="Keep tenure, recalculate EMI",-PMT(AA86/1200,MAX(1,'Loan Prepayment'!$B$7*12-Y86+1),Z86),AB85),AB85),Z86+AC86))</f>
        <v>80559.31935518072</v>
      </c>
      <c r="AC86">
        <f t="shared" si="30"/>
        <v>42436.351941726825</v>
      </c>
      <c r="AD86">
        <f t="shared" si="31"/>
        <v>38122.967413453895</v>
      </c>
      <c r="AE86">
        <f t="shared" si="32"/>
        <v>0</v>
      </c>
      <c r="AF86">
        <f t="shared" si="33"/>
        <v>7796280.467982267</v>
      </c>
      <c r="AG86">
        <v>85</v>
      </c>
      <c r="AH86">
        <f t="shared" si="41"/>
        <v>6560523.8395904861</v>
      </c>
      <c r="AI86">
        <f>IF(AG86&gt;='Loan Prepayment'!$E$11,'Loan Prepayment'!$E$12,'Loan Prepayment'!$B$6)</f>
        <v>6.5</v>
      </c>
      <c r="AJ86">
        <f>IF(AH86&lt;=0,0,MIN(IF(AG86='Loan Prepayment'!$E$11,IF('Loan Prepayment'!$E$13="Keep tenure, recalculate EMI",-PMT(AI86/1200,MAX(1,'Loan Prepayment'!$B$7*12-AG86+1),AH86),IF(AND('Loan Prepayment'!$E$15="Reduce EMI",AM85&gt;0),-PMT(AI85/1200,MAX(1,'Loan Prepayment'!$B$7*12-AG86+1),AH86),AJ85)),IF(AND('Loan Prepayment'!$E$15="Reduce EMI",AM85&gt;0),-PMT(AI86/1200,MAX(1,'Loan Prepayment'!$B$7*12-AG86+1),AH86),AJ85)),AH86+AK86))</f>
        <v>67460.316473241648</v>
      </c>
      <c r="AK86">
        <f t="shared" si="34"/>
        <v>35536.170797781801</v>
      </c>
      <c r="AL86">
        <f t="shared" si="35"/>
        <v>31924.145675459848</v>
      </c>
      <c r="AM86">
        <f>IF(AH86&lt;=0,0,MIN(MAX(0,AH86-AL86),SUMIFS('Loan Prepayment'!$B$12:$B$31,'Loan Prepayment'!$A$12:$A$31,AG86)+IF(AND(AG86&gt;='Loan Prepayment'!$B$9,AG86&lt;='Loan Prepayment'!$E$16),'Loan Prepayment'!$B$8,0)))</f>
        <v>0</v>
      </c>
      <c r="AN86">
        <f t="shared" si="36"/>
        <v>6528599.6939150263</v>
      </c>
    </row>
    <row r="87" spans="1:40" x14ac:dyDescent="0.35">
      <c r="A87">
        <v>86</v>
      </c>
      <c r="B87">
        <f t="shared" si="37"/>
        <v>7982420.5962162707</v>
      </c>
      <c r="C87" s="64">
        <f>'Loan Prepayment'!$B$6</f>
        <v>7.5</v>
      </c>
      <c r="D87">
        <f>IF(B87&lt;=0,0,MIN(-PMT('Loan Prepayment'!$B$6/1200,'Loan Prepayment'!$B$7*12,'Loan Prepayment'!$B$5),B87+E87))</f>
        <v>80559.31935518072</v>
      </c>
      <c r="E87">
        <f t="shared" si="21"/>
        <v>49890.128726351686</v>
      </c>
      <c r="F87">
        <f t="shared" si="22"/>
        <v>30669.190628829034</v>
      </c>
      <c r="G87">
        <v>0</v>
      </c>
      <c r="H87">
        <f t="shared" si="23"/>
        <v>7951751.4055874413</v>
      </c>
      <c r="I87">
        <v>86</v>
      </c>
      <c r="J87">
        <f t="shared" si="38"/>
        <v>6684473.304312259</v>
      </c>
      <c r="K87" s="64">
        <f>'Loan Prepayment'!$B$6</f>
        <v>7.5</v>
      </c>
      <c r="L87">
        <f>IF(J87&lt;=0,0,MIN(IF(AND('Loan Prepayment'!$E$15="Reduce EMI",O86&gt;0),-PMT(K87/1200,MAX(1,'Loan Prepayment'!$B$7*12-I87+1),J87),L86),J87+M87))</f>
        <v>67460.316473241648</v>
      </c>
      <c r="M87">
        <f t="shared" si="24"/>
        <v>41777.958151951621</v>
      </c>
      <c r="N87">
        <f t="shared" si="25"/>
        <v>25682.358321290027</v>
      </c>
      <c r="O87">
        <f>IF(J87&lt;=0,0,MIN(MAX(0,J87-N87),SUMIFS('Loan Prepayment'!$B$12:$B$31,'Loan Prepayment'!$A$12:$A$31,I87)+0))</f>
        <v>0</v>
      </c>
      <c r="P87">
        <f t="shared" si="26"/>
        <v>6658790.9459909685</v>
      </c>
      <c r="Q87">
        <v>86</v>
      </c>
      <c r="R87">
        <f t="shared" si="39"/>
        <v>7982420.5962162707</v>
      </c>
      <c r="S87" s="64">
        <f>'Loan Prepayment'!$B$6</f>
        <v>7.5</v>
      </c>
      <c r="T87">
        <f>IF(R87&lt;=0,0,MIN(IF(AND('Loan Prepayment'!$E$15="Reduce EMI",W86&gt;0),-PMT(S87/1200,MAX(1,'Loan Prepayment'!$B$7*12-Q87+1),R87),T86),R87+U87))</f>
        <v>80559.31935518072</v>
      </c>
      <c r="U87">
        <f t="shared" si="27"/>
        <v>49890.128726351686</v>
      </c>
      <c r="V87">
        <f t="shared" si="28"/>
        <v>30669.190628829034</v>
      </c>
      <c r="W87">
        <f>IF(R87&lt;=0,0,MIN(MAX(0,R87-V87),0+IF(AND(Q87&gt;='Loan Prepayment'!$B$9,Q87&lt;='Loan Prepayment'!$E$16),'Loan Prepayment'!$B$8,0)))</f>
        <v>0</v>
      </c>
      <c r="X87">
        <f t="shared" si="29"/>
        <v>7951751.4055874413</v>
      </c>
      <c r="Y87">
        <v>86</v>
      </c>
      <c r="Z87">
        <f t="shared" si="40"/>
        <v>7796280.467982267</v>
      </c>
      <c r="AA87">
        <f>IF(Y87&gt;='Loan Prepayment'!$E$11,'Loan Prepayment'!$E$12,'Loan Prepayment'!$B$6)</f>
        <v>6.5</v>
      </c>
      <c r="AB87">
        <f>IF(Z87&lt;=0,0,MIN(IF(Y87='Loan Prepayment'!$E$11,IF('Loan Prepayment'!$E$13="Keep tenure, recalculate EMI",-PMT(AA87/1200,MAX(1,'Loan Prepayment'!$B$7*12-Y87+1),Z87),AB86),AB86),Z87+AC87))</f>
        <v>80559.31935518072</v>
      </c>
      <c r="AC87">
        <f t="shared" si="30"/>
        <v>42229.852534903948</v>
      </c>
      <c r="AD87">
        <f t="shared" si="31"/>
        <v>38329.466820276772</v>
      </c>
      <c r="AE87">
        <f t="shared" si="32"/>
        <v>0</v>
      </c>
      <c r="AF87">
        <f t="shared" si="33"/>
        <v>7757951.0011619907</v>
      </c>
      <c r="AG87">
        <v>86</v>
      </c>
      <c r="AH87">
        <f t="shared" si="41"/>
        <v>6528599.6939150263</v>
      </c>
      <c r="AI87">
        <f>IF(AG87&gt;='Loan Prepayment'!$E$11,'Loan Prepayment'!$E$12,'Loan Prepayment'!$B$6)</f>
        <v>6.5</v>
      </c>
      <c r="AJ87">
        <f>IF(AH87&lt;=0,0,MIN(IF(AG87='Loan Prepayment'!$E$11,IF('Loan Prepayment'!$E$13="Keep tenure, recalculate EMI",-PMT(AI87/1200,MAX(1,'Loan Prepayment'!$B$7*12-AG87+1),AH87),IF(AND('Loan Prepayment'!$E$15="Reduce EMI",AM86&gt;0),-PMT(AI86/1200,MAX(1,'Loan Prepayment'!$B$7*12-AG87+1),AH87),AJ86)),IF(AND('Loan Prepayment'!$E$15="Reduce EMI",AM86&gt;0),-PMT(AI87/1200,MAX(1,'Loan Prepayment'!$B$7*12-AG87+1),AH87),AJ86)),AH87+AK87))</f>
        <v>67460.316473241648</v>
      </c>
      <c r="AK87">
        <f t="shared" si="34"/>
        <v>35363.248342039726</v>
      </c>
      <c r="AL87">
        <f t="shared" si="35"/>
        <v>32097.068131201922</v>
      </c>
      <c r="AM87">
        <f>IF(AH87&lt;=0,0,MIN(MAX(0,AH87-AL87),SUMIFS('Loan Prepayment'!$B$12:$B$31,'Loan Prepayment'!$A$12:$A$31,AG87)+IF(AND(AG87&gt;='Loan Prepayment'!$B$9,AG87&lt;='Loan Prepayment'!$E$16),'Loan Prepayment'!$B$8,0)))</f>
        <v>0</v>
      </c>
      <c r="AN87">
        <f t="shared" si="36"/>
        <v>6496502.6257838244</v>
      </c>
    </row>
    <row r="88" spans="1:40" x14ac:dyDescent="0.35">
      <c r="A88">
        <v>87</v>
      </c>
      <c r="B88">
        <f t="shared" si="37"/>
        <v>7951751.4055874413</v>
      </c>
      <c r="C88" s="64">
        <f>'Loan Prepayment'!$B$6</f>
        <v>7.5</v>
      </c>
      <c r="D88">
        <f>IF(B88&lt;=0,0,MIN(-PMT('Loan Prepayment'!$B$6/1200,'Loan Prepayment'!$B$7*12,'Loan Prepayment'!$B$5),B88+E88))</f>
        <v>80559.31935518072</v>
      </c>
      <c r="E88">
        <f t="shared" si="21"/>
        <v>49698.446284921512</v>
      </c>
      <c r="F88">
        <f t="shared" si="22"/>
        <v>30860.873070259207</v>
      </c>
      <c r="G88">
        <v>0</v>
      </c>
      <c r="H88">
        <f t="shared" si="23"/>
        <v>7920890.5325171817</v>
      </c>
      <c r="I88">
        <v>87</v>
      </c>
      <c r="J88">
        <f t="shared" si="38"/>
        <v>6658790.9459909685</v>
      </c>
      <c r="K88" s="64">
        <f>'Loan Prepayment'!$B$6</f>
        <v>7.5</v>
      </c>
      <c r="L88">
        <f>IF(J88&lt;=0,0,MIN(IF(AND('Loan Prepayment'!$E$15="Reduce EMI",O87&gt;0),-PMT(K88/1200,MAX(1,'Loan Prepayment'!$B$7*12-I88+1),J88),L87),J88+M88))</f>
        <v>67460.316473241648</v>
      </c>
      <c r="M88">
        <f t="shared" si="24"/>
        <v>41617.443412443557</v>
      </c>
      <c r="N88">
        <f t="shared" si="25"/>
        <v>25842.873060798091</v>
      </c>
      <c r="O88">
        <f>IF(J88&lt;=0,0,MIN(MAX(0,J88-N88),SUMIFS('Loan Prepayment'!$B$12:$B$31,'Loan Prepayment'!$A$12:$A$31,I88)+0))</f>
        <v>0</v>
      </c>
      <c r="P88">
        <f t="shared" si="26"/>
        <v>6632948.0729301702</v>
      </c>
      <c r="Q88">
        <v>87</v>
      </c>
      <c r="R88">
        <f t="shared" si="39"/>
        <v>7951751.4055874413</v>
      </c>
      <c r="S88" s="64">
        <f>'Loan Prepayment'!$B$6</f>
        <v>7.5</v>
      </c>
      <c r="T88">
        <f>IF(R88&lt;=0,0,MIN(IF(AND('Loan Prepayment'!$E$15="Reduce EMI",W87&gt;0),-PMT(S88/1200,MAX(1,'Loan Prepayment'!$B$7*12-Q88+1),R88),T87),R88+U88))</f>
        <v>80559.31935518072</v>
      </c>
      <c r="U88">
        <f t="shared" si="27"/>
        <v>49698.446284921512</v>
      </c>
      <c r="V88">
        <f t="shared" si="28"/>
        <v>30860.873070259207</v>
      </c>
      <c r="W88">
        <f>IF(R88&lt;=0,0,MIN(MAX(0,R88-V88),0+IF(AND(Q88&gt;='Loan Prepayment'!$B$9,Q88&lt;='Loan Prepayment'!$E$16),'Loan Prepayment'!$B$8,0)))</f>
        <v>0</v>
      </c>
      <c r="X88">
        <f t="shared" si="29"/>
        <v>7920890.5325171817</v>
      </c>
      <c r="Y88">
        <v>87</v>
      </c>
      <c r="Z88">
        <f t="shared" si="40"/>
        <v>7757951.0011619907</v>
      </c>
      <c r="AA88">
        <f>IF(Y88&gt;='Loan Prepayment'!$E$11,'Loan Prepayment'!$E$12,'Loan Prepayment'!$B$6)</f>
        <v>6.5</v>
      </c>
      <c r="AB88">
        <f>IF(Z88&lt;=0,0,MIN(IF(Y88='Loan Prepayment'!$E$11,IF('Loan Prepayment'!$E$13="Keep tenure, recalculate EMI",-PMT(AA88/1200,MAX(1,'Loan Prepayment'!$B$7*12-Y88+1),Z88),AB87),AB87),Z88+AC88))</f>
        <v>80559.31935518072</v>
      </c>
      <c r="AC88">
        <f t="shared" si="30"/>
        <v>42022.234589627449</v>
      </c>
      <c r="AD88">
        <f t="shared" si="31"/>
        <v>38537.084765553271</v>
      </c>
      <c r="AE88">
        <f t="shared" si="32"/>
        <v>0</v>
      </c>
      <c r="AF88">
        <f t="shared" si="33"/>
        <v>7719413.9163964372</v>
      </c>
      <c r="AG88">
        <v>87</v>
      </c>
      <c r="AH88">
        <f t="shared" si="41"/>
        <v>6496502.6257838244</v>
      </c>
      <c r="AI88">
        <f>IF(AG88&gt;='Loan Prepayment'!$E$11,'Loan Prepayment'!$E$12,'Loan Prepayment'!$B$6)</f>
        <v>6.5</v>
      </c>
      <c r="AJ88">
        <f>IF(AH88&lt;=0,0,MIN(IF(AG88='Loan Prepayment'!$E$11,IF('Loan Prepayment'!$E$13="Keep tenure, recalculate EMI",-PMT(AI88/1200,MAX(1,'Loan Prepayment'!$B$7*12-AG88+1),AH88),IF(AND('Loan Prepayment'!$E$15="Reduce EMI",AM87&gt;0),-PMT(AI87/1200,MAX(1,'Loan Prepayment'!$B$7*12-AG88+1),AH88),AJ87)),IF(AND('Loan Prepayment'!$E$15="Reduce EMI",AM87&gt;0),-PMT(AI88/1200,MAX(1,'Loan Prepayment'!$B$7*12-AG88+1),AH88),AJ87)),AH88+AK88))</f>
        <v>67460.316473241648</v>
      </c>
      <c r="AK88">
        <f t="shared" si="34"/>
        <v>35189.389222995713</v>
      </c>
      <c r="AL88">
        <f t="shared" si="35"/>
        <v>32270.927250245935</v>
      </c>
      <c r="AM88">
        <f>IF(AH88&lt;=0,0,MIN(MAX(0,AH88-AL88),SUMIFS('Loan Prepayment'!$B$12:$B$31,'Loan Prepayment'!$A$12:$A$31,AG88)+IF(AND(AG88&gt;='Loan Prepayment'!$B$9,AG88&lt;='Loan Prepayment'!$E$16),'Loan Prepayment'!$B$8,0)))</f>
        <v>0</v>
      </c>
      <c r="AN88">
        <f t="shared" si="36"/>
        <v>6464231.6985335788</v>
      </c>
    </row>
    <row r="89" spans="1:40" x14ac:dyDescent="0.35">
      <c r="A89">
        <v>88</v>
      </c>
      <c r="B89">
        <f t="shared" si="37"/>
        <v>7920890.5325171817</v>
      </c>
      <c r="C89" s="64">
        <f>'Loan Prepayment'!$B$6</f>
        <v>7.5</v>
      </c>
      <c r="D89">
        <f>IF(B89&lt;=0,0,MIN(-PMT('Loan Prepayment'!$B$6/1200,'Loan Prepayment'!$B$7*12,'Loan Prepayment'!$B$5),B89+E89))</f>
        <v>80559.31935518072</v>
      </c>
      <c r="E89">
        <f t="shared" si="21"/>
        <v>49505.565828232386</v>
      </c>
      <c r="F89">
        <f t="shared" si="22"/>
        <v>31053.753526948334</v>
      </c>
      <c r="G89">
        <v>0</v>
      </c>
      <c r="H89">
        <f t="shared" si="23"/>
        <v>7889836.7789902333</v>
      </c>
      <c r="I89">
        <v>88</v>
      </c>
      <c r="J89">
        <f t="shared" si="38"/>
        <v>6632948.0729301702</v>
      </c>
      <c r="K89" s="64">
        <f>'Loan Prepayment'!$B$6</f>
        <v>7.5</v>
      </c>
      <c r="L89">
        <f>IF(J89&lt;=0,0,MIN(IF(AND('Loan Prepayment'!$E$15="Reduce EMI",O88&gt;0),-PMT(K89/1200,MAX(1,'Loan Prepayment'!$B$7*12-I89+1),J89),L88),J89+M89))</f>
        <v>67460.316473241648</v>
      </c>
      <c r="M89">
        <f t="shared" si="24"/>
        <v>41455.925455813565</v>
      </c>
      <c r="N89">
        <f t="shared" si="25"/>
        <v>26004.391017428083</v>
      </c>
      <c r="O89">
        <f>IF(J89&lt;=0,0,MIN(MAX(0,J89-N89),SUMIFS('Loan Prepayment'!$B$12:$B$31,'Loan Prepayment'!$A$12:$A$31,I89)+0))</f>
        <v>0</v>
      </c>
      <c r="P89">
        <f t="shared" si="26"/>
        <v>6606943.6819127426</v>
      </c>
      <c r="Q89">
        <v>88</v>
      </c>
      <c r="R89">
        <f t="shared" si="39"/>
        <v>7920890.5325171817</v>
      </c>
      <c r="S89" s="64">
        <f>'Loan Prepayment'!$B$6</f>
        <v>7.5</v>
      </c>
      <c r="T89">
        <f>IF(R89&lt;=0,0,MIN(IF(AND('Loan Prepayment'!$E$15="Reduce EMI",W88&gt;0),-PMT(S89/1200,MAX(1,'Loan Prepayment'!$B$7*12-Q89+1),R89),T88),R89+U89))</f>
        <v>80559.31935518072</v>
      </c>
      <c r="U89">
        <f t="shared" si="27"/>
        <v>49505.565828232386</v>
      </c>
      <c r="V89">
        <f t="shared" si="28"/>
        <v>31053.753526948334</v>
      </c>
      <c r="W89">
        <f>IF(R89&lt;=0,0,MIN(MAX(0,R89-V89),0+IF(AND(Q89&gt;='Loan Prepayment'!$B$9,Q89&lt;='Loan Prepayment'!$E$16),'Loan Prepayment'!$B$8,0)))</f>
        <v>0</v>
      </c>
      <c r="X89">
        <f t="shared" si="29"/>
        <v>7889836.7789902333</v>
      </c>
      <c r="Y89">
        <v>88</v>
      </c>
      <c r="Z89">
        <f t="shared" si="40"/>
        <v>7719413.9163964372</v>
      </c>
      <c r="AA89">
        <f>IF(Y89&gt;='Loan Prepayment'!$E$11,'Loan Prepayment'!$E$12,'Loan Prepayment'!$B$6)</f>
        <v>6.5</v>
      </c>
      <c r="AB89">
        <f>IF(Z89&lt;=0,0,MIN(IF(Y89='Loan Prepayment'!$E$11,IF('Loan Prepayment'!$E$13="Keep tenure, recalculate EMI",-PMT(AA89/1200,MAX(1,'Loan Prepayment'!$B$7*12-Y89+1),Z89),AB88),AB88),Z89+AC89))</f>
        <v>80559.31935518072</v>
      </c>
      <c r="AC89">
        <f t="shared" si="30"/>
        <v>41813.492047147367</v>
      </c>
      <c r="AD89">
        <f t="shared" si="31"/>
        <v>38745.827308033353</v>
      </c>
      <c r="AE89">
        <f t="shared" si="32"/>
        <v>0</v>
      </c>
      <c r="AF89">
        <f t="shared" si="33"/>
        <v>7680668.0890884036</v>
      </c>
      <c r="AG89">
        <v>88</v>
      </c>
      <c r="AH89">
        <f t="shared" si="41"/>
        <v>6464231.6985335788</v>
      </c>
      <c r="AI89">
        <f>IF(AG89&gt;='Loan Prepayment'!$E$11,'Loan Prepayment'!$E$12,'Loan Prepayment'!$B$6)</f>
        <v>6.5</v>
      </c>
      <c r="AJ89">
        <f>IF(AH89&lt;=0,0,MIN(IF(AG89='Loan Prepayment'!$E$11,IF('Loan Prepayment'!$E$13="Keep tenure, recalculate EMI",-PMT(AI89/1200,MAX(1,'Loan Prepayment'!$B$7*12-AG89+1),AH89),IF(AND('Loan Prepayment'!$E$15="Reduce EMI",AM88&gt;0),-PMT(AI88/1200,MAX(1,'Loan Prepayment'!$B$7*12-AG89+1),AH89),AJ88)),IF(AND('Loan Prepayment'!$E$15="Reduce EMI",AM88&gt;0),-PMT(AI89/1200,MAX(1,'Loan Prepayment'!$B$7*12-AG89+1),AH89),AJ88)),AH89+AK89))</f>
        <v>67460.316473241648</v>
      </c>
      <c r="AK89">
        <f t="shared" si="34"/>
        <v>35014.588367056887</v>
      </c>
      <c r="AL89">
        <f t="shared" si="35"/>
        <v>32445.728106184761</v>
      </c>
      <c r="AM89">
        <f>IF(AH89&lt;=0,0,MIN(MAX(0,AH89-AL89),SUMIFS('Loan Prepayment'!$B$12:$B$31,'Loan Prepayment'!$A$12:$A$31,AG89)+IF(AND(AG89&gt;='Loan Prepayment'!$B$9,AG89&lt;='Loan Prepayment'!$E$16),'Loan Prepayment'!$B$8,0)))</f>
        <v>0</v>
      </c>
      <c r="AN89">
        <f t="shared" si="36"/>
        <v>6431785.9704273939</v>
      </c>
    </row>
    <row r="90" spans="1:40" x14ac:dyDescent="0.35">
      <c r="A90">
        <v>89</v>
      </c>
      <c r="B90">
        <f t="shared" si="37"/>
        <v>7889836.7789902333</v>
      </c>
      <c r="C90" s="64">
        <f>'Loan Prepayment'!$B$6</f>
        <v>7.5</v>
      </c>
      <c r="D90">
        <f>IF(B90&lt;=0,0,MIN(-PMT('Loan Prepayment'!$B$6/1200,'Loan Prepayment'!$B$7*12,'Loan Prepayment'!$B$5),B90+E90))</f>
        <v>80559.31935518072</v>
      </c>
      <c r="E90">
        <f t="shared" si="21"/>
        <v>49311.479868688955</v>
      </c>
      <c r="F90">
        <f t="shared" si="22"/>
        <v>31247.839486491765</v>
      </c>
      <c r="G90">
        <v>0</v>
      </c>
      <c r="H90">
        <f t="shared" si="23"/>
        <v>7858588.9395037415</v>
      </c>
      <c r="I90">
        <v>89</v>
      </c>
      <c r="J90">
        <f t="shared" si="38"/>
        <v>6606943.6819127426</v>
      </c>
      <c r="K90" s="64">
        <f>'Loan Prepayment'!$B$6</f>
        <v>7.5</v>
      </c>
      <c r="L90">
        <f>IF(J90&lt;=0,0,MIN(IF(AND('Loan Prepayment'!$E$15="Reduce EMI",O89&gt;0),-PMT(K90/1200,MAX(1,'Loan Prepayment'!$B$7*12-I90+1),J90),L89),J90+M90))</f>
        <v>67460.316473241648</v>
      </c>
      <c r="M90">
        <f t="shared" si="24"/>
        <v>41293.39801195464</v>
      </c>
      <c r="N90">
        <f t="shared" si="25"/>
        <v>26166.918461287009</v>
      </c>
      <c r="O90">
        <f>IF(J90&lt;=0,0,MIN(MAX(0,J90-N90),SUMIFS('Loan Prepayment'!$B$12:$B$31,'Loan Prepayment'!$A$12:$A$31,I90)+0))</f>
        <v>0</v>
      </c>
      <c r="P90">
        <f t="shared" si="26"/>
        <v>6580776.7634514552</v>
      </c>
      <c r="Q90">
        <v>89</v>
      </c>
      <c r="R90">
        <f t="shared" si="39"/>
        <v>7889836.7789902333</v>
      </c>
      <c r="S90" s="64">
        <f>'Loan Prepayment'!$B$6</f>
        <v>7.5</v>
      </c>
      <c r="T90">
        <f>IF(R90&lt;=0,0,MIN(IF(AND('Loan Prepayment'!$E$15="Reduce EMI",W89&gt;0),-PMT(S90/1200,MAX(1,'Loan Prepayment'!$B$7*12-Q90+1),R90),T89),R90+U90))</f>
        <v>80559.31935518072</v>
      </c>
      <c r="U90">
        <f t="shared" si="27"/>
        <v>49311.479868688955</v>
      </c>
      <c r="V90">
        <f t="shared" si="28"/>
        <v>31247.839486491765</v>
      </c>
      <c r="W90">
        <f>IF(R90&lt;=0,0,MIN(MAX(0,R90-V90),0+IF(AND(Q90&gt;='Loan Prepayment'!$B$9,Q90&lt;='Loan Prepayment'!$E$16),'Loan Prepayment'!$B$8,0)))</f>
        <v>0</v>
      </c>
      <c r="X90">
        <f t="shared" si="29"/>
        <v>7858588.9395037415</v>
      </c>
      <c r="Y90">
        <v>89</v>
      </c>
      <c r="Z90">
        <f t="shared" si="40"/>
        <v>7680668.0890884036</v>
      </c>
      <c r="AA90">
        <f>IF(Y90&gt;='Loan Prepayment'!$E$11,'Loan Prepayment'!$E$12,'Loan Prepayment'!$B$6)</f>
        <v>6.5</v>
      </c>
      <c r="AB90">
        <f>IF(Z90&lt;=0,0,MIN(IF(Y90='Loan Prepayment'!$E$11,IF('Loan Prepayment'!$E$13="Keep tenure, recalculate EMI",-PMT(AA90/1200,MAX(1,'Loan Prepayment'!$B$7*12-Y90+1),Z90),AB89),AB89),Z90+AC90))</f>
        <v>80559.31935518072</v>
      </c>
      <c r="AC90">
        <f t="shared" si="30"/>
        <v>41603.618815895519</v>
      </c>
      <c r="AD90">
        <f t="shared" si="31"/>
        <v>38955.700539285201</v>
      </c>
      <c r="AE90">
        <f t="shared" si="32"/>
        <v>0</v>
      </c>
      <c r="AF90">
        <f t="shared" si="33"/>
        <v>7641712.3885491183</v>
      </c>
      <c r="AG90">
        <v>89</v>
      </c>
      <c r="AH90">
        <f t="shared" si="41"/>
        <v>6431785.9704273939</v>
      </c>
      <c r="AI90">
        <f>IF(AG90&gt;='Loan Prepayment'!$E$11,'Loan Prepayment'!$E$12,'Loan Prepayment'!$B$6)</f>
        <v>6.5</v>
      </c>
      <c r="AJ90">
        <f>IF(AH90&lt;=0,0,MIN(IF(AG90='Loan Prepayment'!$E$11,IF('Loan Prepayment'!$E$13="Keep tenure, recalculate EMI",-PMT(AI90/1200,MAX(1,'Loan Prepayment'!$B$7*12-AG90+1),AH90),IF(AND('Loan Prepayment'!$E$15="Reduce EMI",AM89&gt;0),-PMT(AI89/1200,MAX(1,'Loan Prepayment'!$B$7*12-AG90+1),AH90),AJ89)),IF(AND('Loan Prepayment'!$E$15="Reduce EMI",AM89&gt;0),-PMT(AI90/1200,MAX(1,'Loan Prepayment'!$B$7*12-AG90+1),AH90),AJ89)),AH90+AK90))</f>
        <v>67460.316473241648</v>
      </c>
      <c r="AK90">
        <f t="shared" si="34"/>
        <v>34838.840673148385</v>
      </c>
      <c r="AL90">
        <f t="shared" si="35"/>
        <v>32621.475800093263</v>
      </c>
      <c r="AM90">
        <f>IF(AH90&lt;=0,0,MIN(MAX(0,AH90-AL90),SUMIFS('Loan Prepayment'!$B$12:$B$31,'Loan Prepayment'!$A$12:$A$31,AG90)+IF(AND(AG90&gt;='Loan Prepayment'!$B$9,AG90&lt;='Loan Prepayment'!$E$16),'Loan Prepayment'!$B$8,0)))</f>
        <v>0</v>
      </c>
      <c r="AN90">
        <f t="shared" si="36"/>
        <v>6399164.4946273006</v>
      </c>
    </row>
    <row r="91" spans="1:40" x14ac:dyDescent="0.35">
      <c r="A91">
        <v>90</v>
      </c>
      <c r="B91">
        <f t="shared" si="37"/>
        <v>7858588.9395037415</v>
      </c>
      <c r="C91" s="64">
        <f>'Loan Prepayment'!$B$6</f>
        <v>7.5</v>
      </c>
      <c r="D91">
        <f>IF(B91&lt;=0,0,MIN(-PMT('Loan Prepayment'!$B$6/1200,'Loan Prepayment'!$B$7*12,'Loan Prepayment'!$B$5),B91+E91))</f>
        <v>80559.31935518072</v>
      </c>
      <c r="E91">
        <f t="shared" si="21"/>
        <v>49116.180871898381</v>
      </c>
      <c r="F91">
        <f t="shared" si="22"/>
        <v>31443.138483282339</v>
      </c>
      <c r="G91">
        <v>0</v>
      </c>
      <c r="H91">
        <f t="shared" si="23"/>
        <v>7827145.8010204593</v>
      </c>
      <c r="I91">
        <v>90</v>
      </c>
      <c r="J91">
        <f t="shared" si="38"/>
        <v>6580776.7634514552</v>
      </c>
      <c r="K91" s="64">
        <f>'Loan Prepayment'!$B$6</f>
        <v>7.5</v>
      </c>
      <c r="L91">
        <f>IF(J91&lt;=0,0,MIN(IF(AND('Loan Prepayment'!$E$15="Reduce EMI",O90&gt;0),-PMT(K91/1200,MAX(1,'Loan Prepayment'!$B$7*12-I91+1),J91),L90),J91+M91))</f>
        <v>67460.316473241648</v>
      </c>
      <c r="M91">
        <f t="shared" si="24"/>
        <v>41129.85477157159</v>
      </c>
      <c r="N91">
        <f t="shared" si="25"/>
        <v>26330.461701670058</v>
      </c>
      <c r="O91">
        <f>IF(J91&lt;=0,0,MIN(MAX(0,J91-N91),SUMIFS('Loan Prepayment'!$B$12:$B$31,'Loan Prepayment'!$A$12:$A$31,I91)+0))</f>
        <v>0</v>
      </c>
      <c r="P91">
        <f t="shared" si="26"/>
        <v>6554446.3017497854</v>
      </c>
      <c r="Q91">
        <v>90</v>
      </c>
      <c r="R91">
        <f t="shared" si="39"/>
        <v>7858588.9395037415</v>
      </c>
      <c r="S91" s="64">
        <f>'Loan Prepayment'!$B$6</f>
        <v>7.5</v>
      </c>
      <c r="T91">
        <f>IF(R91&lt;=0,0,MIN(IF(AND('Loan Prepayment'!$E$15="Reduce EMI",W90&gt;0),-PMT(S91/1200,MAX(1,'Loan Prepayment'!$B$7*12-Q91+1),R91),T90),R91+U91))</f>
        <v>80559.31935518072</v>
      </c>
      <c r="U91">
        <f t="shared" si="27"/>
        <v>49116.180871898381</v>
      </c>
      <c r="V91">
        <f t="shared" si="28"/>
        <v>31443.138483282339</v>
      </c>
      <c r="W91">
        <f>IF(R91&lt;=0,0,MIN(MAX(0,R91-V91),0+IF(AND(Q91&gt;='Loan Prepayment'!$B$9,Q91&lt;='Loan Prepayment'!$E$16),'Loan Prepayment'!$B$8,0)))</f>
        <v>0</v>
      </c>
      <c r="X91">
        <f t="shared" si="29"/>
        <v>7827145.8010204593</v>
      </c>
      <c r="Y91">
        <v>90</v>
      </c>
      <c r="Z91">
        <f t="shared" si="40"/>
        <v>7641712.3885491183</v>
      </c>
      <c r="AA91">
        <f>IF(Y91&gt;='Loan Prepayment'!$E$11,'Loan Prepayment'!$E$12,'Loan Prepayment'!$B$6)</f>
        <v>6.5</v>
      </c>
      <c r="AB91">
        <f>IF(Z91&lt;=0,0,MIN(IF(Y91='Loan Prepayment'!$E$11,IF('Loan Prepayment'!$E$13="Keep tenure, recalculate EMI",-PMT(AA91/1200,MAX(1,'Loan Prepayment'!$B$7*12-Y91+1),Z91),AB90),AB90),Z91+AC91))</f>
        <v>80559.31935518072</v>
      </c>
      <c r="AC91">
        <f t="shared" si="30"/>
        <v>41392.608771307721</v>
      </c>
      <c r="AD91">
        <f t="shared" si="31"/>
        <v>39166.710583872999</v>
      </c>
      <c r="AE91">
        <f t="shared" si="32"/>
        <v>0</v>
      </c>
      <c r="AF91">
        <f t="shared" si="33"/>
        <v>7602545.6779652452</v>
      </c>
      <c r="AG91">
        <v>90</v>
      </c>
      <c r="AH91">
        <f t="shared" si="41"/>
        <v>6399164.4946273006</v>
      </c>
      <c r="AI91">
        <f>IF(AG91&gt;='Loan Prepayment'!$E$11,'Loan Prepayment'!$E$12,'Loan Prepayment'!$B$6)</f>
        <v>6.5</v>
      </c>
      <c r="AJ91">
        <f>IF(AH91&lt;=0,0,MIN(IF(AG91='Loan Prepayment'!$E$11,IF('Loan Prepayment'!$E$13="Keep tenure, recalculate EMI",-PMT(AI91/1200,MAX(1,'Loan Prepayment'!$B$7*12-AG91+1),AH91),IF(AND('Loan Prepayment'!$E$15="Reduce EMI",AM90&gt;0),-PMT(AI90/1200,MAX(1,'Loan Prepayment'!$B$7*12-AG91+1),AH91),AJ90)),IF(AND('Loan Prepayment'!$E$15="Reduce EMI",AM90&gt;0),-PMT(AI91/1200,MAX(1,'Loan Prepayment'!$B$7*12-AG91+1),AH91),AJ90)),AH91+AK91))</f>
        <v>67460.316473241648</v>
      </c>
      <c r="AK91">
        <f t="shared" si="34"/>
        <v>34662.141012564542</v>
      </c>
      <c r="AL91">
        <f t="shared" si="35"/>
        <v>32798.175460677106</v>
      </c>
      <c r="AM91">
        <f>IF(AH91&lt;=0,0,MIN(MAX(0,AH91-AL91),SUMIFS('Loan Prepayment'!$B$12:$B$31,'Loan Prepayment'!$A$12:$A$31,AG91)+IF(AND(AG91&gt;='Loan Prepayment'!$B$9,AG91&lt;='Loan Prepayment'!$E$16),'Loan Prepayment'!$B$8,0)))</f>
        <v>0</v>
      </c>
      <c r="AN91">
        <f t="shared" si="36"/>
        <v>6366366.319166624</v>
      </c>
    </row>
    <row r="92" spans="1:40" x14ac:dyDescent="0.35">
      <c r="A92">
        <v>91</v>
      </c>
      <c r="B92">
        <f t="shared" si="37"/>
        <v>7827145.8010204593</v>
      </c>
      <c r="C92" s="64">
        <f>'Loan Prepayment'!$B$6</f>
        <v>7.5</v>
      </c>
      <c r="D92">
        <f>IF(B92&lt;=0,0,MIN(-PMT('Loan Prepayment'!$B$6/1200,'Loan Prepayment'!$B$7*12,'Loan Prepayment'!$B$5),B92+E92))</f>
        <v>80559.31935518072</v>
      </c>
      <c r="E92">
        <f t="shared" si="21"/>
        <v>48919.661256377869</v>
      </c>
      <c r="F92">
        <f t="shared" si="22"/>
        <v>31639.658098802851</v>
      </c>
      <c r="G92">
        <v>0</v>
      </c>
      <c r="H92">
        <f t="shared" si="23"/>
        <v>7795506.1429216564</v>
      </c>
      <c r="I92">
        <v>91</v>
      </c>
      <c r="J92">
        <f t="shared" si="38"/>
        <v>6554446.3017497854</v>
      </c>
      <c r="K92" s="64">
        <f>'Loan Prepayment'!$B$6</f>
        <v>7.5</v>
      </c>
      <c r="L92">
        <f>IF(J92&lt;=0,0,MIN(IF(AND('Loan Prepayment'!$E$15="Reduce EMI",O91&gt;0),-PMT(K92/1200,MAX(1,'Loan Prepayment'!$B$7*12-I92+1),J92),L91),J92+M92))</f>
        <v>67460.316473241648</v>
      </c>
      <c r="M92">
        <f t="shared" si="24"/>
        <v>40965.289385936157</v>
      </c>
      <c r="N92">
        <f t="shared" si="25"/>
        <v>26495.027087305491</v>
      </c>
      <c r="O92">
        <f>IF(J92&lt;=0,0,MIN(MAX(0,J92-N92),SUMIFS('Loan Prepayment'!$B$12:$B$31,'Loan Prepayment'!$A$12:$A$31,I92)+0))</f>
        <v>0</v>
      </c>
      <c r="P92">
        <f t="shared" si="26"/>
        <v>6527951.2746624798</v>
      </c>
      <c r="Q92">
        <v>91</v>
      </c>
      <c r="R92">
        <f t="shared" si="39"/>
        <v>7827145.8010204593</v>
      </c>
      <c r="S92" s="64">
        <f>'Loan Prepayment'!$B$6</f>
        <v>7.5</v>
      </c>
      <c r="T92">
        <f>IF(R92&lt;=0,0,MIN(IF(AND('Loan Prepayment'!$E$15="Reduce EMI",W91&gt;0),-PMT(S92/1200,MAX(1,'Loan Prepayment'!$B$7*12-Q92+1),R92),T91),R92+U92))</f>
        <v>80559.31935518072</v>
      </c>
      <c r="U92">
        <f t="shared" si="27"/>
        <v>48919.661256377869</v>
      </c>
      <c r="V92">
        <f t="shared" si="28"/>
        <v>31639.658098802851</v>
      </c>
      <c r="W92">
        <f>IF(R92&lt;=0,0,MIN(MAX(0,R92-V92),0+IF(AND(Q92&gt;='Loan Prepayment'!$B$9,Q92&lt;='Loan Prepayment'!$E$16),'Loan Prepayment'!$B$8,0)))</f>
        <v>0</v>
      </c>
      <c r="X92">
        <f t="shared" si="29"/>
        <v>7795506.1429216564</v>
      </c>
      <c r="Y92">
        <v>91</v>
      </c>
      <c r="Z92">
        <f t="shared" si="40"/>
        <v>7602545.6779652452</v>
      </c>
      <c r="AA92">
        <f>IF(Y92&gt;='Loan Prepayment'!$E$11,'Loan Prepayment'!$E$12,'Loan Prepayment'!$B$6)</f>
        <v>6.5</v>
      </c>
      <c r="AB92">
        <f>IF(Z92&lt;=0,0,MIN(IF(Y92='Loan Prepayment'!$E$11,IF('Loan Prepayment'!$E$13="Keep tenure, recalculate EMI",-PMT(AA92/1200,MAX(1,'Loan Prepayment'!$B$7*12-Y92+1),Z92),AB91),AB91),Z92+AC92))</f>
        <v>80559.31935518072</v>
      </c>
      <c r="AC92">
        <f t="shared" si="30"/>
        <v>41180.455755645082</v>
      </c>
      <c r="AD92">
        <f t="shared" si="31"/>
        <v>39378.863599535638</v>
      </c>
      <c r="AE92">
        <f t="shared" si="32"/>
        <v>0</v>
      </c>
      <c r="AF92">
        <f t="shared" si="33"/>
        <v>7563166.8143657092</v>
      </c>
      <c r="AG92">
        <v>91</v>
      </c>
      <c r="AH92">
        <f t="shared" si="41"/>
        <v>6366366.319166624</v>
      </c>
      <c r="AI92">
        <f>IF(AG92&gt;='Loan Prepayment'!$E$11,'Loan Prepayment'!$E$12,'Loan Prepayment'!$B$6)</f>
        <v>6.5</v>
      </c>
      <c r="AJ92">
        <f>IF(AH92&lt;=0,0,MIN(IF(AG92='Loan Prepayment'!$E$11,IF('Loan Prepayment'!$E$13="Keep tenure, recalculate EMI",-PMT(AI92/1200,MAX(1,'Loan Prepayment'!$B$7*12-AG92+1),AH92),IF(AND('Loan Prepayment'!$E$15="Reduce EMI",AM91&gt;0),-PMT(AI91/1200,MAX(1,'Loan Prepayment'!$B$7*12-AG92+1),AH92),AJ91)),IF(AND('Loan Prepayment'!$E$15="Reduce EMI",AM91&gt;0),-PMT(AI92/1200,MAX(1,'Loan Prepayment'!$B$7*12-AG92+1),AH92),AJ91)),AH92+AK92))</f>
        <v>67460.316473241648</v>
      </c>
      <c r="AK92">
        <f t="shared" si="34"/>
        <v>34484.484228819209</v>
      </c>
      <c r="AL92">
        <f t="shared" si="35"/>
        <v>32975.83224442244</v>
      </c>
      <c r="AM92">
        <f>IF(AH92&lt;=0,0,MIN(MAX(0,AH92-AL92),SUMIFS('Loan Prepayment'!$B$12:$B$31,'Loan Prepayment'!$A$12:$A$31,AG92)+IF(AND(AG92&gt;='Loan Prepayment'!$B$9,AG92&lt;='Loan Prepayment'!$E$16),'Loan Prepayment'!$B$8,0)))</f>
        <v>0</v>
      </c>
      <c r="AN92">
        <f t="shared" si="36"/>
        <v>6333390.4869222017</v>
      </c>
    </row>
    <row r="93" spans="1:40" x14ac:dyDescent="0.35">
      <c r="A93">
        <v>92</v>
      </c>
      <c r="B93">
        <f t="shared" si="37"/>
        <v>7795506.1429216564</v>
      </c>
      <c r="C93" s="64">
        <f>'Loan Prepayment'!$B$6</f>
        <v>7.5</v>
      </c>
      <c r="D93">
        <f>IF(B93&lt;=0,0,MIN(-PMT('Loan Prepayment'!$B$6/1200,'Loan Prepayment'!$B$7*12,'Loan Prepayment'!$B$5),B93+E93))</f>
        <v>80559.31935518072</v>
      </c>
      <c r="E93">
        <f t="shared" si="21"/>
        <v>48721.913393260351</v>
      </c>
      <c r="F93">
        <f t="shared" si="22"/>
        <v>31837.405961920369</v>
      </c>
      <c r="G93">
        <v>0</v>
      </c>
      <c r="H93">
        <f t="shared" si="23"/>
        <v>7763668.7369597359</v>
      </c>
      <c r="I93">
        <v>92</v>
      </c>
      <c r="J93">
        <f t="shared" si="38"/>
        <v>6527951.2746624798</v>
      </c>
      <c r="K93" s="64">
        <f>'Loan Prepayment'!$B$6</f>
        <v>7.5</v>
      </c>
      <c r="L93">
        <f>IF(J93&lt;=0,0,MIN(IF(AND('Loan Prepayment'!$E$15="Reduce EMI",O92&gt;0),-PMT(K93/1200,MAX(1,'Loan Prepayment'!$B$7*12-I93+1),J93),L92),J93+M93))</f>
        <v>67460.316473241648</v>
      </c>
      <c r="M93">
        <f t="shared" si="24"/>
        <v>40799.6954666405</v>
      </c>
      <c r="N93">
        <f t="shared" si="25"/>
        <v>26660.621006601148</v>
      </c>
      <c r="O93">
        <f>IF(J93&lt;=0,0,MIN(MAX(0,J93-N93),SUMIFS('Loan Prepayment'!$B$12:$B$31,'Loan Prepayment'!$A$12:$A$31,I93)+0))</f>
        <v>0</v>
      </c>
      <c r="P93">
        <f t="shared" si="26"/>
        <v>6501290.6536558783</v>
      </c>
      <c r="Q93">
        <v>92</v>
      </c>
      <c r="R93">
        <f t="shared" si="39"/>
        <v>7795506.1429216564</v>
      </c>
      <c r="S93" s="64">
        <f>'Loan Prepayment'!$B$6</f>
        <v>7.5</v>
      </c>
      <c r="T93">
        <f>IF(R93&lt;=0,0,MIN(IF(AND('Loan Prepayment'!$E$15="Reduce EMI",W92&gt;0),-PMT(S93/1200,MAX(1,'Loan Prepayment'!$B$7*12-Q93+1),R93),T92),R93+U93))</f>
        <v>80559.31935518072</v>
      </c>
      <c r="U93">
        <f t="shared" si="27"/>
        <v>48721.913393260351</v>
      </c>
      <c r="V93">
        <f t="shared" si="28"/>
        <v>31837.405961920369</v>
      </c>
      <c r="W93">
        <f>IF(R93&lt;=0,0,MIN(MAX(0,R93-V93),0+IF(AND(Q93&gt;='Loan Prepayment'!$B$9,Q93&lt;='Loan Prepayment'!$E$16),'Loan Prepayment'!$B$8,0)))</f>
        <v>0</v>
      </c>
      <c r="X93">
        <f t="shared" si="29"/>
        <v>7763668.7369597359</v>
      </c>
      <c r="Y93">
        <v>92</v>
      </c>
      <c r="Z93">
        <f t="shared" si="40"/>
        <v>7563166.8143657092</v>
      </c>
      <c r="AA93">
        <f>IF(Y93&gt;='Loan Prepayment'!$E$11,'Loan Prepayment'!$E$12,'Loan Prepayment'!$B$6)</f>
        <v>6.5</v>
      </c>
      <c r="AB93">
        <f>IF(Z93&lt;=0,0,MIN(IF(Y93='Loan Prepayment'!$E$11,IF('Loan Prepayment'!$E$13="Keep tenure, recalculate EMI",-PMT(AA93/1200,MAX(1,'Loan Prepayment'!$B$7*12-Y93+1),Z93),AB92),AB92),Z93+AC93))</f>
        <v>80559.31935518072</v>
      </c>
      <c r="AC93">
        <f t="shared" si="30"/>
        <v>40967.153577814257</v>
      </c>
      <c r="AD93">
        <f t="shared" si="31"/>
        <v>39592.165777366463</v>
      </c>
      <c r="AE93">
        <f t="shared" si="32"/>
        <v>0</v>
      </c>
      <c r="AF93">
        <f t="shared" si="33"/>
        <v>7523574.6485883426</v>
      </c>
      <c r="AG93">
        <v>92</v>
      </c>
      <c r="AH93">
        <f t="shared" si="41"/>
        <v>6333390.4869222017</v>
      </c>
      <c r="AI93">
        <f>IF(AG93&gt;='Loan Prepayment'!$E$11,'Loan Prepayment'!$E$12,'Loan Prepayment'!$B$6)</f>
        <v>6.5</v>
      </c>
      <c r="AJ93">
        <f>IF(AH93&lt;=0,0,MIN(IF(AG93='Loan Prepayment'!$E$11,IF('Loan Prepayment'!$E$13="Keep tenure, recalculate EMI",-PMT(AI93/1200,MAX(1,'Loan Prepayment'!$B$7*12-AG93+1),AH93),IF(AND('Loan Prepayment'!$E$15="Reduce EMI",AM92&gt;0),-PMT(AI92/1200,MAX(1,'Loan Prepayment'!$B$7*12-AG93+1),AH93),AJ92)),IF(AND('Loan Prepayment'!$E$15="Reduce EMI",AM92&gt;0),-PMT(AI93/1200,MAX(1,'Loan Prepayment'!$B$7*12-AG93+1),AH93),AJ92)),AH93+AK93))</f>
        <v>67460.316473241648</v>
      </c>
      <c r="AK93">
        <f t="shared" si="34"/>
        <v>34305.865137495261</v>
      </c>
      <c r="AL93">
        <f t="shared" si="35"/>
        <v>33154.451335746387</v>
      </c>
      <c r="AM93">
        <f>IF(AH93&lt;=0,0,MIN(MAX(0,AH93-AL93),SUMIFS('Loan Prepayment'!$B$12:$B$31,'Loan Prepayment'!$A$12:$A$31,AG93)+IF(AND(AG93&gt;='Loan Prepayment'!$B$9,AG93&lt;='Loan Prepayment'!$E$16),'Loan Prepayment'!$B$8,0)))</f>
        <v>0</v>
      </c>
      <c r="AN93">
        <f t="shared" si="36"/>
        <v>6300236.0355864549</v>
      </c>
    </row>
    <row r="94" spans="1:40" x14ac:dyDescent="0.35">
      <c r="A94">
        <v>93</v>
      </c>
      <c r="B94">
        <f t="shared" si="37"/>
        <v>7763668.7369597359</v>
      </c>
      <c r="C94" s="64">
        <f>'Loan Prepayment'!$B$6</f>
        <v>7.5</v>
      </c>
      <c r="D94">
        <f>IF(B94&lt;=0,0,MIN(-PMT('Loan Prepayment'!$B$6/1200,'Loan Prepayment'!$B$7*12,'Loan Prepayment'!$B$5),B94+E94))</f>
        <v>80559.31935518072</v>
      </c>
      <c r="E94">
        <f t="shared" si="21"/>
        <v>48522.929605998346</v>
      </c>
      <c r="F94">
        <f t="shared" si="22"/>
        <v>32036.389749182374</v>
      </c>
      <c r="G94">
        <v>0</v>
      </c>
      <c r="H94">
        <f t="shared" si="23"/>
        <v>7731632.3472105535</v>
      </c>
      <c r="I94">
        <v>93</v>
      </c>
      <c r="J94">
        <f t="shared" si="38"/>
        <v>6501290.6536558783</v>
      </c>
      <c r="K94" s="64">
        <f>'Loan Prepayment'!$B$6</f>
        <v>7.5</v>
      </c>
      <c r="L94">
        <f>IF(J94&lt;=0,0,MIN(IF(AND('Loan Prepayment'!$E$15="Reduce EMI",O93&gt;0),-PMT(K94/1200,MAX(1,'Loan Prepayment'!$B$7*12-I94+1),J94),L93),J94+M94))</f>
        <v>67460.316473241648</v>
      </c>
      <c r="M94">
        <f t="shared" si="24"/>
        <v>40633.066585349239</v>
      </c>
      <c r="N94">
        <f t="shared" si="25"/>
        <v>26827.249887892409</v>
      </c>
      <c r="O94">
        <f>IF(J94&lt;=0,0,MIN(MAX(0,J94-N94),SUMIFS('Loan Prepayment'!$B$12:$B$31,'Loan Prepayment'!$A$12:$A$31,I94)+0))</f>
        <v>0</v>
      </c>
      <c r="P94">
        <f t="shared" si="26"/>
        <v>6474463.4037679862</v>
      </c>
      <c r="Q94">
        <v>93</v>
      </c>
      <c r="R94">
        <f t="shared" si="39"/>
        <v>7763668.7369597359</v>
      </c>
      <c r="S94" s="64">
        <f>'Loan Prepayment'!$B$6</f>
        <v>7.5</v>
      </c>
      <c r="T94">
        <f>IF(R94&lt;=0,0,MIN(IF(AND('Loan Prepayment'!$E$15="Reduce EMI",W93&gt;0),-PMT(S94/1200,MAX(1,'Loan Prepayment'!$B$7*12-Q94+1),R94),T93),R94+U94))</f>
        <v>80559.31935518072</v>
      </c>
      <c r="U94">
        <f t="shared" si="27"/>
        <v>48522.929605998346</v>
      </c>
      <c r="V94">
        <f t="shared" si="28"/>
        <v>32036.389749182374</v>
      </c>
      <c r="W94">
        <f>IF(R94&lt;=0,0,MIN(MAX(0,R94-V94),0+IF(AND(Q94&gt;='Loan Prepayment'!$B$9,Q94&lt;='Loan Prepayment'!$E$16),'Loan Prepayment'!$B$8,0)))</f>
        <v>0</v>
      </c>
      <c r="X94">
        <f t="shared" si="29"/>
        <v>7731632.3472105535</v>
      </c>
      <c r="Y94">
        <v>93</v>
      </c>
      <c r="Z94">
        <f t="shared" si="40"/>
        <v>7523574.6485883426</v>
      </c>
      <c r="AA94">
        <f>IF(Y94&gt;='Loan Prepayment'!$E$11,'Loan Prepayment'!$E$12,'Loan Prepayment'!$B$6)</f>
        <v>6.5</v>
      </c>
      <c r="AB94">
        <f>IF(Z94&lt;=0,0,MIN(IF(Y94='Loan Prepayment'!$E$11,IF('Loan Prepayment'!$E$13="Keep tenure, recalculate EMI",-PMT(AA94/1200,MAX(1,'Loan Prepayment'!$B$7*12-Y94+1),Z94),AB93),AB93),Z94+AC94))</f>
        <v>80559.31935518072</v>
      </c>
      <c r="AC94">
        <f t="shared" si="30"/>
        <v>40752.696013186855</v>
      </c>
      <c r="AD94">
        <f t="shared" si="31"/>
        <v>39806.623341993865</v>
      </c>
      <c r="AE94">
        <f t="shared" si="32"/>
        <v>0</v>
      </c>
      <c r="AF94">
        <f t="shared" si="33"/>
        <v>7483768.0252463492</v>
      </c>
      <c r="AG94">
        <v>93</v>
      </c>
      <c r="AH94">
        <f t="shared" si="41"/>
        <v>6300236.0355864549</v>
      </c>
      <c r="AI94">
        <f>IF(AG94&gt;='Loan Prepayment'!$E$11,'Loan Prepayment'!$E$12,'Loan Prepayment'!$B$6)</f>
        <v>6.5</v>
      </c>
      <c r="AJ94">
        <f>IF(AH94&lt;=0,0,MIN(IF(AG94='Loan Prepayment'!$E$11,IF('Loan Prepayment'!$E$13="Keep tenure, recalculate EMI",-PMT(AI94/1200,MAX(1,'Loan Prepayment'!$B$7*12-AG94+1),AH94),IF(AND('Loan Prepayment'!$E$15="Reduce EMI",AM93&gt;0),-PMT(AI93/1200,MAX(1,'Loan Prepayment'!$B$7*12-AG94+1),AH94),AJ93)),IF(AND('Loan Prepayment'!$E$15="Reduce EMI",AM93&gt;0),-PMT(AI94/1200,MAX(1,'Loan Prepayment'!$B$7*12-AG94+1),AH94),AJ93)),AH94+AK94))</f>
        <v>67460.316473241648</v>
      </c>
      <c r="AK94">
        <f t="shared" si="34"/>
        <v>34126.278526093294</v>
      </c>
      <c r="AL94">
        <f t="shared" si="35"/>
        <v>33334.037947148354</v>
      </c>
      <c r="AM94">
        <f>IF(AH94&lt;=0,0,MIN(MAX(0,AH94-AL94),SUMIFS('Loan Prepayment'!$B$12:$B$31,'Loan Prepayment'!$A$12:$A$31,AG94)+IF(AND(AG94&gt;='Loan Prepayment'!$B$9,AG94&lt;='Loan Prepayment'!$E$16),'Loan Prepayment'!$B$8,0)))</f>
        <v>0</v>
      </c>
      <c r="AN94">
        <f t="shared" si="36"/>
        <v>6266901.9976393068</v>
      </c>
    </row>
    <row r="95" spans="1:40" x14ac:dyDescent="0.35">
      <c r="A95">
        <v>94</v>
      </c>
      <c r="B95">
        <f t="shared" si="37"/>
        <v>7731632.3472105535</v>
      </c>
      <c r="C95" s="64">
        <f>'Loan Prepayment'!$B$6</f>
        <v>7.5</v>
      </c>
      <c r="D95">
        <f>IF(B95&lt;=0,0,MIN(-PMT('Loan Prepayment'!$B$6/1200,'Loan Prepayment'!$B$7*12,'Loan Prepayment'!$B$5),B95+E95))</f>
        <v>80559.31935518072</v>
      </c>
      <c r="E95">
        <f t="shared" si="21"/>
        <v>48322.702170065961</v>
      </c>
      <c r="F95">
        <f t="shared" si="22"/>
        <v>32236.617185114759</v>
      </c>
      <c r="G95">
        <v>0</v>
      </c>
      <c r="H95">
        <f t="shared" si="23"/>
        <v>7699395.7300254386</v>
      </c>
      <c r="I95">
        <v>94</v>
      </c>
      <c r="J95">
        <f t="shared" si="38"/>
        <v>6474463.4037679862</v>
      </c>
      <c r="K95" s="64">
        <f>'Loan Prepayment'!$B$6</f>
        <v>7.5</v>
      </c>
      <c r="L95">
        <f>IF(J95&lt;=0,0,MIN(IF(AND('Loan Prepayment'!$E$15="Reduce EMI",O94&gt;0),-PMT(K95/1200,MAX(1,'Loan Prepayment'!$B$7*12-I95+1),J95),L94),J95+M95))</f>
        <v>67460.316473241648</v>
      </c>
      <c r="M95">
        <f t="shared" si="24"/>
        <v>40465.396273549915</v>
      </c>
      <c r="N95">
        <f t="shared" si="25"/>
        <v>26994.920199691733</v>
      </c>
      <c r="O95">
        <f>IF(J95&lt;=0,0,MIN(MAX(0,J95-N95),SUMIFS('Loan Prepayment'!$B$12:$B$31,'Loan Prepayment'!$A$12:$A$31,I95)+0))</f>
        <v>0</v>
      </c>
      <c r="P95">
        <f t="shared" si="26"/>
        <v>6447468.4835682949</v>
      </c>
      <c r="Q95">
        <v>94</v>
      </c>
      <c r="R95">
        <f t="shared" si="39"/>
        <v>7731632.3472105535</v>
      </c>
      <c r="S95" s="64">
        <f>'Loan Prepayment'!$B$6</f>
        <v>7.5</v>
      </c>
      <c r="T95">
        <f>IF(R95&lt;=0,0,MIN(IF(AND('Loan Prepayment'!$E$15="Reduce EMI",W94&gt;0),-PMT(S95/1200,MAX(1,'Loan Prepayment'!$B$7*12-Q95+1),R95),T94),R95+U95))</f>
        <v>80559.31935518072</v>
      </c>
      <c r="U95">
        <f t="shared" si="27"/>
        <v>48322.702170065961</v>
      </c>
      <c r="V95">
        <f t="shared" si="28"/>
        <v>32236.617185114759</v>
      </c>
      <c r="W95">
        <f>IF(R95&lt;=0,0,MIN(MAX(0,R95-V95),0+IF(AND(Q95&gt;='Loan Prepayment'!$B$9,Q95&lt;='Loan Prepayment'!$E$16),'Loan Prepayment'!$B$8,0)))</f>
        <v>0</v>
      </c>
      <c r="X95">
        <f t="shared" si="29"/>
        <v>7699395.7300254386</v>
      </c>
      <c r="Y95">
        <v>94</v>
      </c>
      <c r="Z95">
        <f t="shared" si="40"/>
        <v>7483768.0252463492</v>
      </c>
      <c r="AA95">
        <f>IF(Y95&gt;='Loan Prepayment'!$E$11,'Loan Prepayment'!$E$12,'Loan Prepayment'!$B$6)</f>
        <v>6.5</v>
      </c>
      <c r="AB95">
        <f>IF(Z95&lt;=0,0,MIN(IF(Y95='Loan Prepayment'!$E$11,IF('Loan Prepayment'!$E$13="Keep tenure, recalculate EMI",-PMT(AA95/1200,MAX(1,'Loan Prepayment'!$B$7*12-Y95+1),Z95),AB94),AB94),Z95+AC95))</f>
        <v>80559.31935518072</v>
      </c>
      <c r="AC95">
        <f t="shared" si="30"/>
        <v>40537.076803417731</v>
      </c>
      <c r="AD95">
        <f t="shared" si="31"/>
        <v>40022.242551762989</v>
      </c>
      <c r="AE95">
        <f t="shared" si="32"/>
        <v>0</v>
      </c>
      <c r="AF95">
        <f t="shared" si="33"/>
        <v>7443745.7826945866</v>
      </c>
      <c r="AG95">
        <v>94</v>
      </c>
      <c r="AH95">
        <f t="shared" si="41"/>
        <v>6266901.9976393068</v>
      </c>
      <c r="AI95">
        <f>IF(AG95&gt;='Loan Prepayment'!$E$11,'Loan Prepayment'!$E$12,'Loan Prepayment'!$B$6)</f>
        <v>6.5</v>
      </c>
      <c r="AJ95">
        <f>IF(AH95&lt;=0,0,MIN(IF(AG95='Loan Prepayment'!$E$11,IF('Loan Prepayment'!$E$13="Keep tenure, recalculate EMI",-PMT(AI95/1200,MAX(1,'Loan Prepayment'!$B$7*12-AG95+1),AH95),IF(AND('Loan Prepayment'!$E$15="Reduce EMI",AM94&gt;0),-PMT(AI94/1200,MAX(1,'Loan Prepayment'!$B$7*12-AG95+1),AH95),AJ94)),IF(AND('Loan Prepayment'!$E$15="Reduce EMI",AM94&gt;0),-PMT(AI95/1200,MAX(1,'Loan Prepayment'!$B$7*12-AG95+1),AH95),AJ94)),AH95+AK95))</f>
        <v>67460.316473241648</v>
      </c>
      <c r="AK95">
        <f t="shared" si="34"/>
        <v>33945.719153879574</v>
      </c>
      <c r="AL95">
        <f t="shared" si="35"/>
        <v>33514.597319362074</v>
      </c>
      <c r="AM95">
        <f>IF(AH95&lt;=0,0,MIN(MAX(0,AH95-AL95),SUMIFS('Loan Prepayment'!$B$12:$B$31,'Loan Prepayment'!$A$12:$A$31,AG95)+IF(AND(AG95&gt;='Loan Prepayment'!$B$9,AG95&lt;='Loan Prepayment'!$E$16),'Loan Prepayment'!$B$8,0)))</f>
        <v>0</v>
      </c>
      <c r="AN95">
        <f t="shared" si="36"/>
        <v>6233387.4003199451</v>
      </c>
    </row>
    <row r="96" spans="1:40" x14ac:dyDescent="0.35">
      <c r="A96">
        <v>95</v>
      </c>
      <c r="B96">
        <f t="shared" si="37"/>
        <v>7699395.7300254386</v>
      </c>
      <c r="C96" s="64">
        <f>'Loan Prepayment'!$B$6</f>
        <v>7.5</v>
      </c>
      <c r="D96">
        <f>IF(B96&lt;=0,0,MIN(-PMT('Loan Prepayment'!$B$6/1200,'Loan Prepayment'!$B$7*12,'Loan Prepayment'!$B$5),B96+E96))</f>
        <v>80559.31935518072</v>
      </c>
      <c r="E96">
        <f t="shared" si="21"/>
        <v>48121.223312658993</v>
      </c>
      <c r="F96">
        <f t="shared" si="22"/>
        <v>32438.096042521727</v>
      </c>
      <c r="G96">
        <v>0</v>
      </c>
      <c r="H96">
        <f t="shared" si="23"/>
        <v>7666957.6339829173</v>
      </c>
      <c r="I96">
        <v>95</v>
      </c>
      <c r="J96">
        <f t="shared" si="38"/>
        <v>6447468.4835682949</v>
      </c>
      <c r="K96" s="64">
        <f>'Loan Prepayment'!$B$6</f>
        <v>7.5</v>
      </c>
      <c r="L96">
        <f>IF(J96&lt;=0,0,MIN(IF(AND('Loan Prepayment'!$E$15="Reduce EMI",O95&gt;0),-PMT(K96/1200,MAX(1,'Loan Prepayment'!$B$7*12-I96+1),J96),L95),J96+M96))</f>
        <v>67460.316473241648</v>
      </c>
      <c r="M96">
        <f t="shared" si="24"/>
        <v>40296.678022301843</v>
      </c>
      <c r="N96">
        <f t="shared" si="25"/>
        <v>27163.638450939805</v>
      </c>
      <c r="O96">
        <f>IF(J96&lt;=0,0,MIN(MAX(0,J96-N96),SUMIFS('Loan Prepayment'!$B$12:$B$31,'Loan Prepayment'!$A$12:$A$31,I96)+0))</f>
        <v>0</v>
      </c>
      <c r="P96">
        <f t="shared" si="26"/>
        <v>6420304.8451173548</v>
      </c>
      <c r="Q96">
        <v>95</v>
      </c>
      <c r="R96">
        <f t="shared" si="39"/>
        <v>7699395.7300254386</v>
      </c>
      <c r="S96" s="64">
        <f>'Loan Prepayment'!$B$6</f>
        <v>7.5</v>
      </c>
      <c r="T96">
        <f>IF(R96&lt;=0,0,MIN(IF(AND('Loan Prepayment'!$E$15="Reduce EMI",W95&gt;0),-PMT(S96/1200,MAX(1,'Loan Prepayment'!$B$7*12-Q96+1),R96),T95),R96+U96))</f>
        <v>80559.31935518072</v>
      </c>
      <c r="U96">
        <f t="shared" si="27"/>
        <v>48121.223312658993</v>
      </c>
      <c r="V96">
        <f t="shared" si="28"/>
        <v>32438.096042521727</v>
      </c>
      <c r="W96">
        <f>IF(R96&lt;=0,0,MIN(MAX(0,R96-V96),0+IF(AND(Q96&gt;='Loan Prepayment'!$B$9,Q96&lt;='Loan Prepayment'!$E$16),'Loan Prepayment'!$B$8,0)))</f>
        <v>0</v>
      </c>
      <c r="X96">
        <f t="shared" si="29"/>
        <v>7666957.6339829173</v>
      </c>
      <c r="Y96">
        <v>95</v>
      </c>
      <c r="Z96">
        <f t="shared" si="40"/>
        <v>7443745.7826945866</v>
      </c>
      <c r="AA96">
        <f>IF(Y96&gt;='Loan Prepayment'!$E$11,'Loan Prepayment'!$E$12,'Loan Prepayment'!$B$6)</f>
        <v>6.5</v>
      </c>
      <c r="AB96">
        <f>IF(Z96&lt;=0,0,MIN(IF(Y96='Loan Prepayment'!$E$11,IF('Loan Prepayment'!$E$13="Keep tenure, recalculate EMI",-PMT(AA96/1200,MAX(1,'Loan Prepayment'!$B$7*12-Y96+1),Z96),AB95),AB95),Z96+AC96))</f>
        <v>80559.31935518072</v>
      </c>
      <c r="AC96">
        <f t="shared" si="30"/>
        <v>40320.289656262343</v>
      </c>
      <c r="AD96">
        <f t="shared" si="31"/>
        <v>40239.029698918377</v>
      </c>
      <c r="AE96">
        <f t="shared" si="32"/>
        <v>0</v>
      </c>
      <c r="AF96">
        <f t="shared" si="33"/>
        <v>7403506.752995668</v>
      </c>
      <c r="AG96">
        <v>95</v>
      </c>
      <c r="AH96">
        <f t="shared" si="41"/>
        <v>6233387.4003199451</v>
      </c>
      <c r="AI96">
        <f>IF(AG96&gt;='Loan Prepayment'!$E$11,'Loan Prepayment'!$E$12,'Loan Prepayment'!$B$6)</f>
        <v>6.5</v>
      </c>
      <c r="AJ96">
        <f>IF(AH96&lt;=0,0,MIN(IF(AG96='Loan Prepayment'!$E$11,IF('Loan Prepayment'!$E$13="Keep tenure, recalculate EMI",-PMT(AI96/1200,MAX(1,'Loan Prepayment'!$B$7*12-AG96+1),AH96),IF(AND('Loan Prepayment'!$E$15="Reduce EMI",AM95&gt;0),-PMT(AI95/1200,MAX(1,'Loan Prepayment'!$B$7*12-AG96+1),AH96),AJ95)),IF(AND('Loan Prepayment'!$E$15="Reduce EMI",AM95&gt;0),-PMT(AI96/1200,MAX(1,'Loan Prepayment'!$B$7*12-AG96+1),AH96),AJ95)),AH96+AK96))</f>
        <v>67460.316473241648</v>
      </c>
      <c r="AK96">
        <f t="shared" si="34"/>
        <v>33764.181751733035</v>
      </c>
      <c r="AL96">
        <f t="shared" si="35"/>
        <v>33696.134721508613</v>
      </c>
      <c r="AM96">
        <f>IF(AH96&lt;=0,0,MIN(MAX(0,AH96-AL96),SUMIFS('Loan Prepayment'!$B$12:$B$31,'Loan Prepayment'!$A$12:$A$31,AG96)+IF(AND(AG96&gt;='Loan Prepayment'!$B$9,AG96&lt;='Loan Prepayment'!$E$16),'Loan Prepayment'!$B$8,0)))</f>
        <v>0</v>
      </c>
      <c r="AN96">
        <f t="shared" si="36"/>
        <v>6199691.2655984368</v>
      </c>
    </row>
    <row r="97" spans="1:40" x14ac:dyDescent="0.35">
      <c r="A97">
        <v>96</v>
      </c>
      <c r="B97">
        <f t="shared" si="37"/>
        <v>7666957.6339829173</v>
      </c>
      <c r="C97" s="64">
        <f>'Loan Prepayment'!$B$6</f>
        <v>7.5</v>
      </c>
      <c r="D97">
        <f>IF(B97&lt;=0,0,MIN(-PMT('Loan Prepayment'!$B$6/1200,'Loan Prepayment'!$B$7*12,'Loan Prepayment'!$B$5),B97+E97))</f>
        <v>80559.31935518072</v>
      </c>
      <c r="E97">
        <f t="shared" si="21"/>
        <v>47918.485212393236</v>
      </c>
      <c r="F97">
        <f t="shared" si="22"/>
        <v>32640.834142787484</v>
      </c>
      <c r="G97">
        <v>0</v>
      </c>
      <c r="H97">
        <f t="shared" si="23"/>
        <v>7634316.7998401299</v>
      </c>
      <c r="I97">
        <v>96</v>
      </c>
      <c r="J97">
        <f t="shared" si="38"/>
        <v>6420304.8451173548</v>
      </c>
      <c r="K97" s="64">
        <f>'Loan Prepayment'!$B$6</f>
        <v>7.5</v>
      </c>
      <c r="L97">
        <f>IF(J97&lt;=0,0,MIN(IF(AND('Loan Prepayment'!$E$15="Reduce EMI",O96&gt;0),-PMT(K97/1200,MAX(1,'Loan Prepayment'!$B$7*12-I97+1),J97),L96),J97+M97))</f>
        <v>67460.316473241648</v>
      </c>
      <c r="M97">
        <f t="shared" si="24"/>
        <v>40126.905281983461</v>
      </c>
      <c r="N97">
        <f t="shared" si="25"/>
        <v>27333.411191258187</v>
      </c>
      <c r="O97">
        <f>IF(J97&lt;=0,0,MIN(MAX(0,J97-N97),SUMIFS('Loan Prepayment'!$B$12:$B$31,'Loan Prepayment'!$A$12:$A$31,I97)+0))</f>
        <v>0</v>
      </c>
      <c r="P97">
        <f t="shared" si="26"/>
        <v>6392971.4339260962</v>
      </c>
      <c r="Q97">
        <v>96</v>
      </c>
      <c r="R97">
        <f t="shared" si="39"/>
        <v>7666957.6339829173</v>
      </c>
      <c r="S97" s="64">
        <f>'Loan Prepayment'!$B$6</f>
        <v>7.5</v>
      </c>
      <c r="T97">
        <f>IF(R97&lt;=0,0,MIN(IF(AND('Loan Prepayment'!$E$15="Reduce EMI",W96&gt;0),-PMT(S97/1200,MAX(1,'Loan Prepayment'!$B$7*12-Q97+1),R97),T96),R97+U97))</f>
        <v>80559.31935518072</v>
      </c>
      <c r="U97">
        <f t="shared" si="27"/>
        <v>47918.485212393236</v>
      </c>
      <c r="V97">
        <f t="shared" si="28"/>
        <v>32640.834142787484</v>
      </c>
      <c r="W97">
        <f>IF(R97&lt;=0,0,MIN(MAX(0,R97-V97),0+IF(AND(Q97&gt;='Loan Prepayment'!$B$9,Q97&lt;='Loan Prepayment'!$E$16),'Loan Prepayment'!$B$8,0)))</f>
        <v>0</v>
      </c>
      <c r="X97">
        <f t="shared" si="29"/>
        <v>7634316.7998401299</v>
      </c>
      <c r="Y97">
        <v>96</v>
      </c>
      <c r="Z97">
        <f t="shared" si="40"/>
        <v>7403506.752995668</v>
      </c>
      <c r="AA97">
        <f>IF(Y97&gt;='Loan Prepayment'!$E$11,'Loan Prepayment'!$E$12,'Loan Prepayment'!$B$6)</f>
        <v>6.5</v>
      </c>
      <c r="AB97">
        <f>IF(Z97&lt;=0,0,MIN(IF(Y97='Loan Prepayment'!$E$11,IF('Loan Prepayment'!$E$13="Keep tenure, recalculate EMI",-PMT(AA97/1200,MAX(1,'Loan Prepayment'!$B$7*12-Y97+1),Z97),AB96),AB96),Z97+AC97))</f>
        <v>80559.31935518072</v>
      </c>
      <c r="AC97">
        <f t="shared" si="30"/>
        <v>40102.328245393197</v>
      </c>
      <c r="AD97">
        <f t="shared" si="31"/>
        <v>40456.991109787523</v>
      </c>
      <c r="AE97">
        <f t="shared" si="32"/>
        <v>0</v>
      </c>
      <c r="AF97">
        <f t="shared" si="33"/>
        <v>7363049.7618858805</v>
      </c>
      <c r="AG97">
        <v>96</v>
      </c>
      <c r="AH97">
        <f t="shared" si="41"/>
        <v>6199691.2655984368</v>
      </c>
      <c r="AI97">
        <f>IF(AG97&gt;='Loan Prepayment'!$E$11,'Loan Prepayment'!$E$12,'Loan Prepayment'!$B$6)</f>
        <v>6.5</v>
      </c>
      <c r="AJ97">
        <f>IF(AH97&lt;=0,0,MIN(IF(AG97='Loan Prepayment'!$E$11,IF('Loan Prepayment'!$E$13="Keep tenure, recalculate EMI",-PMT(AI97/1200,MAX(1,'Loan Prepayment'!$B$7*12-AG97+1),AH97),IF(AND('Loan Prepayment'!$E$15="Reduce EMI",AM96&gt;0),-PMT(AI96/1200,MAX(1,'Loan Prepayment'!$B$7*12-AG97+1),AH97),AJ96)),IF(AND('Loan Prepayment'!$E$15="Reduce EMI",AM96&gt;0),-PMT(AI97/1200,MAX(1,'Loan Prepayment'!$B$7*12-AG97+1),AH97),AJ96)),AH97+AK97))</f>
        <v>67460.316473241648</v>
      </c>
      <c r="AK97">
        <f t="shared" si="34"/>
        <v>33581.661021991531</v>
      </c>
      <c r="AL97">
        <f t="shared" si="35"/>
        <v>33878.655451250117</v>
      </c>
      <c r="AM97">
        <f>IF(AH97&lt;=0,0,MIN(MAX(0,AH97-AL97),SUMIFS('Loan Prepayment'!$B$12:$B$31,'Loan Prepayment'!$A$12:$A$31,AG97)+IF(AND(AG97&gt;='Loan Prepayment'!$B$9,AG97&lt;='Loan Prepayment'!$E$16),'Loan Prepayment'!$B$8,0)))</f>
        <v>0</v>
      </c>
      <c r="AN97">
        <f t="shared" si="36"/>
        <v>6165812.6101471866</v>
      </c>
    </row>
    <row r="98" spans="1:40" x14ac:dyDescent="0.35">
      <c r="A98">
        <v>97</v>
      </c>
      <c r="B98">
        <f t="shared" si="37"/>
        <v>7634316.7998401299</v>
      </c>
      <c r="C98" s="64">
        <f>'Loan Prepayment'!$B$6</f>
        <v>7.5</v>
      </c>
      <c r="D98">
        <f>IF(B98&lt;=0,0,MIN(-PMT('Loan Prepayment'!$B$6/1200,'Loan Prepayment'!$B$7*12,'Loan Prepayment'!$B$5),B98+E98))</f>
        <v>80559.31935518072</v>
      </c>
      <c r="E98">
        <f t="shared" si="21"/>
        <v>47714.479999000818</v>
      </c>
      <c r="F98">
        <f t="shared" si="22"/>
        <v>32844.839356179902</v>
      </c>
      <c r="G98">
        <v>0</v>
      </c>
      <c r="H98">
        <f t="shared" si="23"/>
        <v>7601471.9604839496</v>
      </c>
      <c r="I98">
        <v>97</v>
      </c>
      <c r="J98">
        <f t="shared" si="38"/>
        <v>6392971.4339260962</v>
      </c>
      <c r="K98" s="64">
        <f>'Loan Prepayment'!$B$6</f>
        <v>7.5</v>
      </c>
      <c r="L98">
        <f>IF(J98&lt;=0,0,MIN(IF(AND('Loan Prepayment'!$E$15="Reduce EMI",O97&gt;0),-PMT(K98/1200,MAX(1,'Loan Prepayment'!$B$7*12-I98+1),J98),L97),J98+M98))</f>
        <v>67460.316473241648</v>
      </c>
      <c r="M98">
        <f t="shared" si="24"/>
        <v>39956.071462038104</v>
      </c>
      <c r="N98">
        <f t="shared" si="25"/>
        <v>27504.245011203544</v>
      </c>
      <c r="O98">
        <f>IF(J98&lt;=0,0,MIN(MAX(0,J98-N98),SUMIFS('Loan Prepayment'!$B$12:$B$31,'Loan Prepayment'!$A$12:$A$31,I98)+0))</f>
        <v>0</v>
      </c>
      <c r="P98">
        <f t="shared" si="26"/>
        <v>6365467.1889148923</v>
      </c>
      <c r="Q98">
        <v>97</v>
      </c>
      <c r="R98">
        <f t="shared" si="39"/>
        <v>7634316.7998401299</v>
      </c>
      <c r="S98" s="64">
        <f>'Loan Prepayment'!$B$6</f>
        <v>7.5</v>
      </c>
      <c r="T98">
        <f>IF(R98&lt;=0,0,MIN(IF(AND('Loan Prepayment'!$E$15="Reduce EMI",W97&gt;0),-PMT(S98/1200,MAX(1,'Loan Prepayment'!$B$7*12-Q98+1),R98),T97),R98+U98))</f>
        <v>80559.31935518072</v>
      </c>
      <c r="U98">
        <f t="shared" si="27"/>
        <v>47714.479999000818</v>
      </c>
      <c r="V98">
        <f t="shared" si="28"/>
        <v>32844.839356179902</v>
      </c>
      <c r="W98">
        <f>IF(R98&lt;=0,0,MIN(MAX(0,R98-V98),0+IF(AND(Q98&gt;='Loan Prepayment'!$B$9,Q98&lt;='Loan Prepayment'!$E$16),'Loan Prepayment'!$B$8,0)))</f>
        <v>0</v>
      </c>
      <c r="X98">
        <f t="shared" si="29"/>
        <v>7601471.9604839496</v>
      </c>
      <c r="Y98">
        <v>97</v>
      </c>
      <c r="Z98">
        <f t="shared" si="40"/>
        <v>7363049.7618858805</v>
      </c>
      <c r="AA98">
        <f>IF(Y98&gt;='Loan Prepayment'!$E$11,'Loan Prepayment'!$E$12,'Loan Prepayment'!$B$6)</f>
        <v>6.5</v>
      </c>
      <c r="AB98">
        <f>IF(Z98&lt;=0,0,MIN(IF(Y98='Loan Prepayment'!$E$11,IF('Loan Prepayment'!$E$13="Keep tenure, recalculate EMI",-PMT(AA98/1200,MAX(1,'Loan Prepayment'!$B$7*12-Y98+1),Z98),AB97),AB97),Z98+AC98))</f>
        <v>80559.31935518072</v>
      </c>
      <c r="AC98">
        <f t="shared" si="30"/>
        <v>39883.186210215186</v>
      </c>
      <c r="AD98">
        <f t="shared" si="31"/>
        <v>40676.133144965534</v>
      </c>
      <c r="AE98">
        <f t="shared" si="32"/>
        <v>0</v>
      </c>
      <c r="AF98">
        <f t="shared" si="33"/>
        <v>7322373.6287409151</v>
      </c>
      <c r="AG98">
        <v>97</v>
      </c>
      <c r="AH98">
        <f t="shared" si="41"/>
        <v>6165812.6101471866</v>
      </c>
      <c r="AI98">
        <f>IF(AG98&gt;='Loan Prepayment'!$E$11,'Loan Prepayment'!$E$12,'Loan Prepayment'!$B$6)</f>
        <v>6.5</v>
      </c>
      <c r="AJ98">
        <f>IF(AH98&lt;=0,0,MIN(IF(AG98='Loan Prepayment'!$E$11,IF('Loan Prepayment'!$E$13="Keep tenure, recalculate EMI",-PMT(AI98/1200,MAX(1,'Loan Prepayment'!$B$7*12-AG98+1),AH98),IF(AND('Loan Prepayment'!$E$15="Reduce EMI",AM97&gt;0),-PMT(AI97/1200,MAX(1,'Loan Prepayment'!$B$7*12-AG98+1),AH98),AJ97)),IF(AND('Loan Prepayment'!$E$15="Reduce EMI",AM97&gt;0),-PMT(AI98/1200,MAX(1,'Loan Prepayment'!$B$7*12-AG98+1),AH98),AJ97)),AH98+AK98))</f>
        <v>67460.316473241648</v>
      </c>
      <c r="AK98">
        <f t="shared" si="34"/>
        <v>33398.151638297255</v>
      </c>
      <c r="AL98">
        <f t="shared" si="35"/>
        <v>34062.164834944393</v>
      </c>
      <c r="AM98">
        <f>IF(AH98&lt;=0,0,MIN(MAX(0,AH98-AL98),SUMIFS('Loan Prepayment'!$B$12:$B$31,'Loan Prepayment'!$A$12:$A$31,AG98)+IF(AND(AG98&gt;='Loan Prepayment'!$B$9,AG98&lt;='Loan Prepayment'!$E$16),'Loan Prepayment'!$B$8,0)))</f>
        <v>0</v>
      </c>
      <c r="AN98">
        <f t="shared" si="36"/>
        <v>6131750.445312242</v>
      </c>
    </row>
    <row r="99" spans="1:40" x14ac:dyDescent="0.35">
      <c r="A99">
        <v>98</v>
      </c>
      <c r="B99">
        <f t="shared" si="37"/>
        <v>7601471.9604839496</v>
      </c>
      <c r="C99" s="64">
        <f>'Loan Prepayment'!$B$6</f>
        <v>7.5</v>
      </c>
      <c r="D99">
        <f>IF(B99&lt;=0,0,MIN(-PMT('Loan Prepayment'!$B$6/1200,'Loan Prepayment'!$B$7*12,'Loan Prepayment'!$B$5),B99+E99))</f>
        <v>80559.31935518072</v>
      </c>
      <c r="E99">
        <f t="shared" si="21"/>
        <v>47509.199753024681</v>
      </c>
      <c r="F99">
        <f t="shared" si="22"/>
        <v>33050.119602156039</v>
      </c>
      <c r="G99">
        <v>0</v>
      </c>
      <c r="H99">
        <f t="shared" si="23"/>
        <v>7568421.8408817938</v>
      </c>
      <c r="I99">
        <v>98</v>
      </c>
      <c r="J99">
        <f t="shared" si="38"/>
        <v>6365467.1889148923</v>
      </c>
      <c r="K99" s="64">
        <f>'Loan Prepayment'!$B$6</f>
        <v>7.5</v>
      </c>
      <c r="L99">
        <f>IF(J99&lt;=0,0,MIN(IF(AND('Loan Prepayment'!$E$15="Reduce EMI",O98&gt;0),-PMT(K99/1200,MAX(1,'Loan Prepayment'!$B$7*12-I99+1),J99),L98),J99+M99))</f>
        <v>67460.316473241648</v>
      </c>
      <c r="M99">
        <f t="shared" si="24"/>
        <v>39784.169930718075</v>
      </c>
      <c r="N99">
        <f t="shared" si="25"/>
        <v>27676.146542523573</v>
      </c>
      <c r="O99">
        <f>IF(J99&lt;=0,0,MIN(MAX(0,J99-N99),SUMIFS('Loan Prepayment'!$B$12:$B$31,'Loan Prepayment'!$A$12:$A$31,I99)+0))</f>
        <v>0</v>
      </c>
      <c r="P99">
        <f t="shared" si="26"/>
        <v>6337791.0423723683</v>
      </c>
      <c r="Q99">
        <v>98</v>
      </c>
      <c r="R99">
        <f t="shared" si="39"/>
        <v>7601471.9604839496</v>
      </c>
      <c r="S99" s="64">
        <f>'Loan Prepayment'!$B$6</f>
        <v>7.5</v>
      </c>
      <c r="T99">
        <f>IF(R99&lt;=0,0,MIN(IF(AND('Loan Prepayment'!$E$15="Reduce EMI",W98&gt;0),-PMT(S99/1200,MAX(1,'Loan Prepayment'!$B$7*12-Q99+1),R99),T98),R99+U99))</f>
        <v>80559.31935518072</v>
      </c>
      <c r="U99">
        <f t="shared" si="27"/>
        <v>47509.199753024681</v>
      </c>
      <c r="V99">
        <f t="shared" si="28"/>
        <v>33050.119602156039</v>
      </c>
      <c r="W99">
        <f>IF(R99&lt;=0,0,MIN(MAX(0,R99-V99),0+IF(AND(Q99&gt;='Loan Prepayment'!$B$9,Q99&lt;='Loan Prepayment'!$E$16),'Loan Prepayment'!$B$8,0)))</f>
        <v>0</v>
      </c>
      <c r="X99">
        <f t="shared" si="29"/>
        <v>7568421.8408817938</v>
      </c>
      <c r="Y99">
        <v>98</v>
      </c>
      <c r="Z99">
        <f t="shared" si="40"/>
        <v>7322373.6287409151</v>
      </c>
      <c r="AA99">
        <f>IF(Y99&gt;='Loan Prepayment'!$E$11,'Loan Prepayment'!$E$12,'Loan Prepayment'!$B$6)</f>
        <v>6.5</v>
      </c>
      <c r="AB99">
        <f>IF(Z99&lt;=0,0,MIN(IF(Y99='Loan Prepayment'!$E$11,IF('Loan Prepayment'!$E$13="Keep tenure, recalculate EMI",-PMT(AA99/1200,MAX(1,'Loan Prepayment'!$B$7*12-Y99+1),Z99),AB98),AB98),Z99+AC99))</f>
        <v>80559.31935518072</v>
      </c>
      <c r="AC99">
        <f t="shared" si="30"/>
        <v>39662.857155679958</v>
      </c>
      <c r="AD99">
        <f t="shared" si="31"/>
        <v>40896.462199500762</v>
      </c>
      <c r="AE99">
        <f t="shared" si="32"/>
        <v>0</v>
      </c>
      <c r="AF99">
        <f t="shared" si="33"/>
        <v>7281477.1665414143</v>
      </c>
      <c r="AG99">
        <v>98</v>
      </c>
      <c r="AH99">
        <f t="shared" si="41"/>
        <v>6131750.445312242</v>
      </c>
      <c r="AI99">
        <f>IF(AG99&gt;='Loan Prepayment'!$E$11,'Loan Prepayment'!$E$12,'Loan Prepayment'!$B$6)</f>
        <v>6.5</v>
      </c>
      <c r="AJ99">
        <f>IF(AH99&lt;=0,0,MIN(IF(AG99='Loan Prepayment'!$E$11,IF('Loan Prepayment'!$E$13="Keep tenure, recalculate EMI",-PMT(AI99/1200,MAX(1,'Loan Prepayment'!$B$7*12-AG99+1),AH99),IF(AND('Loan Prepayment'!$E$15="Reduce EMI",AM98&gt;0),-PMT(AI98/1200,MAX(1,'Loan Prepayment'!$B$7*12-AG99+1),AH99),AJ98)),IF(AND('Loan Prepayment'!$E$15="Reduce EMI",AM98&gt;0),-PMT(AI99/1200,MAX(1,'Loan Prepayment'!$B$7*12-AG99+1),AH99),AJ98)),AH99+AK99))</f>
        <v>67460.316473241648</v>
      </c>
      <c r="AK99">
        <f t="shared" si="34"/>
        <v>33213.648245441313</v>
      </c>
      <c r="AL99">
        <f t="shared" si="35"/>
        <v>34246.668227800335</v>
      </c>
      <c r="AM99">
        <f>IF(AH99&lt;=0,0,MIN(MAX(0,AH99-AL99),SUMIFS('Loan Prepayment'!$B$12:$B$31,'Loan Prepayment'!$A$12:$A$31,AG99)+IF(AND(AG99&gt;='Loan Prepayment'!$B$9,AG99&lt;='Loan Prepayment'!$E$16),'Loan Prepayment'!$B$8,0)))</f>
        <v>0</v>
      </c>
      <c r="AN99">
        <f t="shared" si="36"/>
        <v>6097503.7770844419</v>
      </c>
    </row>
    <row r="100" spans="1:40" x14ac:dyDescent="0.35">
      <c r="A100">
        <v>99</v>
      </c>
      <c r="B100">
        <f t="shared" si="37"/>
        <v>7568421.8408817938</v>
      </c>
      <c r="C100" s="64">
        <f>'Loan Prepayment'!$B$6</f>
        <v>7.5</v>
      </c>
      <c r="D100">
        <f>IF(B100&lt;=0,0,MIN(-PMT('Loan Prepayment'!$B$6/1200,'Loan Prepayment'!$B$7*12,'Loan Prepayment'!$B$5),B100+E100))</f>
        <v>80559.31935518072</v>
      </c>
      <c r="E100">
        <f t="shared" si="21"/>
        <v>47302.636505511211</v>
      </c>
      <c r="F100">
        <f t="shared" si="22"/>
        <v>33256.682849669509</v>
      </c>
      <c r="G100">
        <v>0</v>
      </c>
      <c r="H100">
        <f t="shared" si="23"/>
        <v>7535165.1580321239</v>
      </c>
      <c r="I100">
        <v>99</v>
      </c>
      <c r="J100">
        <f t="shared" si="38"/>
        <v>6337791.0423723683</v>
      </c>
      <c r="K100" s="64">
        <f>'Loan Prepayment'!$B$6</f>
        <v>7.5</v>
      </c>
      <c r="L100">
        <f>IF(J100&lt;=0,0,MIN(IF(AND('Loan Prepayment'!$E$15="Reduce EMI",O99&gt;0),-PMT(K100/1200,MAX(1,'Loan Prepayment'!$B$7*12-I100+1),J100),L99),J100+M100))</f>
        <v>67460.316473241648</v>
      </c>
      <c r="M100">
        <f t="shared" si="24"/>
        <v>39611.194014827299</v>
      </c>
      <c r="N100">
        <f t="shared" si="25"/>
        <v>27849.122458414349</v>
      </c>
      <c r="O100">
        <f>IF(J100&lt;=0,0,MIN(MAX(0,J100-N100),SUMIFS('Loan Prepayment'!$B$12:$B$31,'Loan Prepayment'!$A$12:$A$31,I100)+0))</f>
        <v>0</v>
      </c>
      <c r="P100">
        <f t="shared" si="26"/>
        <v>6309941.9199139541</v>
      </c>
      <c r="Q100">
        <v>99</v>
      </c>
      <c r="R100">
        <f t="shared" si="39"/>
        <v>7568421.8408817938</v>
      </c>
      <c r="S100" s="64">
        <f>'Loan Prepayment'!$B$6</f>
        <v>7.5</v>
      </c>
      <c r="T100">
        <f>IF(R100&lt;=0,0,MIN(IF(AND('Loan Prepayment'!$E$15="Reduce EMI",W99&gt;0),-PMT(S100/1200,MAX(1,'Loan Prepayment'!$B$7*12-Q100+1),R100),T99),R100+U100))</f>
        <v>80559.31935518072</v>
      </c>
      <c r="U100">
        <f t="shared" si="27"/>
        <v>47302.636505511211</v>
      </c>
      <c r="V100">
        <f t="shared" si="28"/>
        <v>33256.682849669509</v>
      </c>
      <c r="W100">
        <f>IF(R100&lt;=0,0,MIN(MAX(0,R100-V100),0+IF(AND(Q100&gt;='Loan Prepayment'!$B$9,Q100&lt;='Loan Prepayment'!$E$16),'Loan Prepayment'!$B$8,0)))</f>
        <v>0</v>
      </c>
      <c r="X100">
        <f t="shared" si="29"/>
        <v>7535165.1580321239</v>
      </c>
      <c r="Y100">
        <v>99</v>
      </c>
      <c r="Z100">
        <f t="shared" si="40"/>
        <v>7281477.1665414143</v>
      </c>
      <c r="AA100">
        <f>IF(Y100&gt;='Loan Prepayment'!$E$11,'Loan Prepayment'!$E$12,'Loan Prepayment'!$B$6)</f>
        <v>6.5</v>
      </c>
      <c r="AB100">
        <f>IF(Z100&lt;=0,0,MIN(IF(Y100='Loan Prepayment'!$E$11,IF('Loan Prepayment'!$E$13="Keep tenure, recalculate EMI",-PMT(AA100/1200,MAX(1,'Loan Prepayment'!$B$7*12-Y100+1),Z100),AB99),AB99),Z100+AC100))</f>
        <v>80559.31935518072</v>
      </c>
      <c r="AC100">
        <f t="shared" si="30"/>
        <v>39441.334652099329</v>
      </c>
      <c r="AD100">
        <f t="shared" si="31"/>
        <v>41117.984703081391</v>
      </c>
      <c r="AE100">
        <f t="shared" si="32"/>
        <v>0</v>
      </c>
      <c r="AF100">
        <f t="shared" si="33"/>
        <v>7240359.1818383327</v>
      </c>
      <c r="AG100">
        <v>99</v>
      </c>
      <c r="AH100">
        <f t="shared" si="41"/>
        <v>6097503.7770844419</v>
      </c>
      <c r="AI100">
        <f>IF(AG100&gt;='Loan Prepayment'!$E$11,'Loan Prepayment'!$E$12,'Loan Prepayment'!$B$6)</f>
        <v>6.5</v>
      </c>
      <c r="AJ100">
        <f>IF(AH100&lt;=0,0,MIN(IF(AG100='Loan Prepayment'!$E$11,IF('Loan Prepayment'!$E$13="Keep tenure, recalculate EMI",-PMT(AI100/1200,MAX(1,'Loan Prepayment'!$B$7*12-AG100+1),AH100),IF(AND('Loan Prepayment'!$E$15="Reduce EMI",AM99&gt;0),-PMT(AI99/1200,MAX(1,'Loan Prepayment'!$B$7*12-AG100+1),AH100),AJ99)),IF(AND('Loan Prepayment'!$E$15="Reduce EMI",AM99&gt;0),-PMT(AI100/1200,MAX(1,'Loan Prepayment'!$B$7*12-AG100+1),AH100),AJ99)),AH100+AK100))</f>
        <v>67460.316473241648</v>
      </c>
      <c r="AK100">
        <f t="shared" si="34"/>
        <v>33028.145459207393</v>
      </c>
      <c r="AL100">
        <f t="shared" si="35"/>
        <v>34432.171014034255</v>
      </c>
      <c r="AM100">
        <f>IF(AH100&lt;=0,0,MIN(MAX(0,AH100-AL100),SUMIFS('Loan Prepayment'!$B$12:$B$31,'Loan Prepayment'!$A$12:$A$31,AG100)+IF(AND(AG100&gt;='Loan Prepayment'!$B$9,AG100&lt;='Loan Prepayment'!$E$16),'Loan Prepayment'!$B$8,0)))</f>
        <v>0</v>
      </c>
      <c r="AN100">
        <f t="shared" si="36"/>
        <v>6063071.6060704077</v>
      </c>
    </row>
    <row r="101" spans="1:40" x14ac:dyDescent="0.35">
      <c r="A101">
        <v>100</v>
      </c>
      <c r="B101">
        <f t="shared" si="37"/>
        <v>7535165.1580321239</v>
      </c>
      <c r="C101" s="64">
        <f>'Loan Prepayment'!$B$6</f>
        <v>7.5</v>
      </c>
      <c r="D101">
        <f>IF(B101&lt;=0,0,MIN(-PMT('Loan Prepayment'!$B$6/1200,'Loan Prepayment'!$B$7*12,'Loan Prepayment'!$B$5),B101+E101))</f>
        <v>80559.31935518072</v>
      </c>
      <c r="E101">
        <f t="shared" si="21"/>
        <v>47094.782237700776</v>
      </c>
      <c r="F101">
        <f t="shared" si="22"/>
        <v>33464.537117479944</v>
      </c>
      <c r="G101">
        <v>0</v>
      </c>
      <c r="H101">
        <f t="shared" si="23"/>
        <v>7501700.6209146436</v>
      </c>
      <c r="I101">
        <v>100</v>
      </c>
      <c r="J101">
        <f t="shared" si="38"/>
        <v>6309941.9199139541</v>
      </c>
      <c r="K101" s="64">
        <f>'Loan Prepayment'!$B$6</f>
        <v>7.5</v>
      </c>
      <c r="L101">
        <f>IF(J101&lt;=0,0,MIN(IF(AND('Loan Prepayment'!$E$15="Reduce EMI",O100&gt;0),-PMT(K101/1200,MAX(1,'Loan Prepayment'!$B$7*12-I101+1),J101),L100),J101+M101))</f>
        <v>67460.316473241648</v>
      </c>
      <c r="M101">
        <f t="shared" si="24"/>
        <v>39437.136999462215</v>
      </c>
      <c r="N101">
        <f t="shared" si="25"/>
        <v>28023.179473779433</v>
      </c>
      <c r="O101">
        <f>IF(J101&lt;=0,0,MIN(MAX(0,J101-N101),SUMIFS('Loan Prepayment'!$B$12:$B$31,'Loan Prepayment'!$A$12:$A$31,I101)+0))</f>
        <v>0</v>
      </c>
      <c r="P101">
        <f t="shared" si="26"/>
        <v>6281918.7404401749</v>
      </c>
      <c r="Q101">
        <v>100</v>
      </c>
      <c r="R101">
        <f t="shared" si="39"/>
        <v>7535165.1580321239</v>
      </c>
      <c r="S101" s="64">
        <f>'Loan Prepayment'!$B$6</f>
        <v>7.5</v>
      </c>
      <c r="T101">
        <f>IF(R101&lt;=0,0,MIN(IF(AND('Loan Prepayment'!$E$15="Reduce EMI",W100&gt;0),-PMT(S101/1200,MAX(1,'Loan Prepayment'!$B$7*12-Q101+1),R101),T100),R101+U101))</f>
        <v>80559.31935518072</v>
      </c>
      <c r="U101">
        <f t="shared" si="27"/>
        <v>47094.782237700776</v>
      </c>
      <c r="V101">
        <f t="shared" si="28"/>
        <v>33464.537117479944</v>
      </c>
      <c r="W101">
        <f>IF(R101&lt;=0,0,MIN(MAX(0,R101-V101),0+IF(AND(Q101&gt;='Loan Prepayment'!$B$9,Q101&lt;='Loan Prepayment'!$E$16),'Loan Prepayment'!$B$8,0)))</f>
        <v>0</v>
      </c>
      <c r="X101">
        <f t="shared" si="29"/>
        <v>7501700.6209146436</v>
      </c>
      <c r="Y101">
        <v>100</v>
      </c>
      <c r="Z101">
        <f t="shared" si="40"/>
        <v>7240359.1818383327</v>
      </c>
      <c r="AA101">
        <f>IF(Y101&gt;='Loan Prepayment'!$E$11,'Loan Prepayment'!$E$12,'Loan Prepayment'!$B$6)</f>
        <v>6.5</v>
      </c>
      <c r="AB101">
        <f>IF(Z101&lt;=0,0,MIN(IF(Y101='Loan Prepayment'!$E$11,IF('Loan Prepayment'!$E$13="Keep tenure, recalculate EMI",-PMT(AA101/1200,MAX(1,'Loan Prepayment'!$B$7*12-Y101+1),Z101),AB100),AB100),Z101+AC101))</f>
        <v>80559.31935518072</v>
      </c>
      <c r="AC101">
        <f t="shared" si="30"/>
        <v>39218.612234957633</v>
      </c>
      <c r="AD101">
        <f t="shared" si="31"/>
        <v>41340.707120223087</v>
      </c>
      <c r="AE101">
        <f t="shared" si="32"/>
        <v>0</v>
      </c>
      <c r="AF101">
        <f t="shared" si="33"/>
        <v>7199018.4747181097</v>
      </c>
      <c r="AG101">
        <v>100</v>
      </c>
      <c r="AH101">
        <f t="shared" si="41"/>
        <v>6063071.6060704077</v>
      </c>
      <c r="AI101">
        <f>IF(AG101&gt;='Loan Prepayment'!$E$11,'Loan Prepayment'!$E$12,'Loan Prepayment'!$B$6)</f>
        <v>6.5</v>
      </c>
      <c r="AJ101">
        <f>IF(AH101&lt;=0,0,MIN(IF(AG101='Loan Prepayment'!$E$11,IF('Loan Prepayment'!$E$13="Keep tenure, recalculate EMI",-PMT(AI101/1200,MAX(1,'Loan Prepayment'!$B$7*12-AG101+1),AH101),IF(AND('Loan Prepayment'!$E$15="Reduce EMI",AM100&gt;0),-PMT(AI100/1200,MAX(1,'Loan Prepayment'!$B$7*12-AG101+1),AH101),AJ100)),IF(AND('Loan Prepayment'!$E$15="Reduce EMI",AM100&gt;0),-PMT(AI101/1200,MAX(1,'Loan Prepayment'!$B$7*12-AG101+1),AH101),AJ100)),AH101+AK101))</f>
        <v>67460.316473241648</v>
      </c>
      <c r="AK101">
        <f t="shared" si="34"/>
        <v>32841.637866214704</v>
      </c>
      <c r="AL101">
        <f t="shared" si="35"/>
        <v>34618.678607026945</v>
      </c>
      <c r="AM101">
        <f>IF(AH101&lt;=0,0,MIN(MAX(0,AH101-AL101),SUMIFS('Loan Prepayment'!$B$12:$B$31,'Loan Prepayment'!$A$12:$A$31,AG101)+IF(AND(AG101&gt;='Loan Prepayment'!$B$9,AG101&lt;='Loan Prepayment'!$E$16),'Loan Prepayment'!$B$8,0)))</f>
        <v>0</v>
      </c>
      <c r="AN101">
        <f t="shared" si="36"/>
        <v>6028452.9274633806</v>
      </c>
    </row>
    <row r="102" spans="1:40" x14ac:dyDescent="0.35">
      <c r="A102">
        <v>101</v>
      </c>
      <c r="B102">
        <f t="shared" si="37"/>
        <v>7501700.6209146436</v>
      </c>
      <c r="C102" s="64">
        <f>'Loan Prepayment'!$B$6</f>
        <v>7.5</v>
      </c>
      <c r="D102">
        <f>IF(B102&lt;=0,0,MIN(-PMT('Loan Prepayment'!$B$6/1200,'Loan Prepayment'!$B$7*12,'Loan Prepayment'!$B$5),B102+E102))</f>
        <v>80559.31935518072</v>
      </c>
      <c r="E102">
        <f t="shared" si="21"/>
        <v>46885.628880716526</v>
      </c>
      <c r="F102">
        <f t="shared" si="22"/>
        <v>33673.690474464194</v>
      </c>
      <c r="G102">
        <v>0</v>
      </c>
      <c r="H102">
        <f t="shared" si="23"/>
        <v>7468026.9304401791</v>
      </c>
      <c r="I102">
        <v>101</v>
      </c>
      <c r="J102">
        <f t="shared" si="38"/>
        <v>6281918.7404401749</v>
      </c>
      <c r="K102" s="64">
        <f>'Loan Prepayment'!$B$6</f>
        <v>7.5</v>
      </c>
      <c r="L102">
        <f>IF(J102&lt;=0,0,MIN(IF(AND('Loan Prepayment'!$E$15="Reduce EMI",O101&gt;0),-PMT(K102/1200,MAX(1,'Loan Prepayment'!$B$7*12-I102+1),J102),L101),J102+M102))</f>
        <v>67460.316473241648</v>
      </c>
      <c r="M102">
        <f t="shared" si="24"/>
        <v>39261.992127751095</v>
      </c>
      <c r="N102">
        <f t="shared" si="25"/>
        <v>28198.324345490553</v>
      </c>
      <c r="O102">
        <f>IF(J102&lt;=0,0,MIN(MAX(0,J102-N102),SUMIFS('Loan Prepayment'!$B$12:$B$31,'Loan Prepayment'!$A$12:$A$31,I102)+0))</f>
        <v>0</v>
      </c>
      <c r="P102">
        <f t="shared" si="26"/>
        <v>6253720.416094684</v>
      </c>
      <c r="Q102">
        <v>101</v>
      </c>
      <c r="R102">
        <f t="shared" si="39"/>
        <v>7501700.6209146436</v>
      </c>
      <c r="S102" s="64">
        <f>'Loan Prepayment'!$B$6</f>
        <v>7.5</v>
      </c>
      <c r="T102">
        <f>IF(R102&lt;=0,0,MIN(IF(AND('Loan Prepayment'!$E$15="Reduce EMI",W101&gt;0),-PMT(S102/1200,MAX(1,'Loan Prepayment'!$B$7*12-Q102+1),R102),T101),R102+U102))</f>
        <v>80559.31935518072</v>
      </c>
      <c r="U102">
        <f t="shared" si="27"/>
        <v>46885.628880716526</v>
      </c>
      <c r="V102">
        <f t="shared" si="28"/>
        <v>33673.690474464194</v>
      </c>
      <c r="W102">
        <f>IF(R102&lt;=0,0,MIN(MAX(0,R102-V102),0+IF(AND(Q102&gt;='Loan Prepayment'!$B$9,Q102&lt;='Loan Prepayment'!$E$16),'Loan Prepayment'!$B$8,0)))</f>
        <v>0</v>
      </c>
      <c r="X102">
        <f t="shared" si="29"/>
        <v>7468026.9304401791</v>
      </c>
      <c r="Y102">
        <v>101</v>
      </c>
      <c r="Z102">
        <f t="shared" si="40"/>
        <v>7199018.4747181097</v>
      </c>
      <c r="AA102">
        <f>IF(Y102&gt;='Loan Prepayment'!$E$11,'Loan Prepayment'!$E$12,'Loan Prepayment'!$B$6)</f>
        <v>6.5</v>
      </c>
      <c r="AB102">
        <f>IF(Z102&lt;=0,0,MIN(IF(Y102='Loan Prepayment'!$E$11,IF('Loan Prepayment'!$E$13="Keep tenure, recalculate EMI",-PMT(AA102/1200,MAX(1,'Loan Prepayment'!$B$7*12-Y102+1),Z102),AB101),AB101),Z102+AC102))</f>
        <v>80559.31935518072</v>
      </c>
      <c r="AC102">
        <f t="shared" si="30"/>
        <v>38994.683404723095</v>
      </c>
      <c r="AD102">
        <f t="shared" si="31"/>
        <v>41564.635950457625</v>
      </c>
      <c r="AE102">
        <f t="shared" si="32"/>
        <v>0</v>
      </c>
      <c r="AF102">
        <f t="shared" si="33"/>
        <v>7157453.8387676524</v>
      </c>
      <c r="AG102">
        <v>101</v>
      </c>
      <c r="AH102">
        <f t="shared" si="41"/>
        <v>6028452.9274633806</v>
      </c>
      <c r="AI102">
        <f>IF(AG102&gt;='Loan Prepayment'!$E$11,'Loan Prepayment'!$E$12,'Loan Prepayment'!$B$6)</f>
        <v>6.5</v>
      </c>
      <c r="AJ102">
        <f>IF(AH102&lt;=0,0,MIN(IF(AG102='Loan Prepayment'!$E$11,IF('Loan Prepayment'!$E$13="Keep tenure, recalculate EMI",-PMT(AI102/1200,MAX(1,'Loan Prepayment'!$B$7*12-AG102+1),AH102),IF(AND('Loan Prepayment'!$E$15="Reduce EMI",AM101&gt;0),-PMT(AI101/1200,MAX(1,'Loan Prepayment'!$B$7*12-AG102+1),AH102),AJ101)),IF(AND('Loan Prepayment'!$E$15="Reduce EMI",AM101&gt;0),-PMT(AI102/1200,MAX(1,'Loan Prepayment'!$B$7*12-AG102+1),AH102),AJ101)),AH102+AK102))</f>
        <v>67460.316473241648</v>
      </c>
      <c r="AK102">
        <f t="shared" si="34"/>
        <v>32654.120023759977</v>
      </c>
      <c r="AL102">
        <f t="shared" si="35"/>
        <v>34806.196449481671</v>
      </c>
      <c r="AM102">
        <f>IF(AH102&lt;=0,0,MIN(MAX(0,AH102-AL102),SUMIFS('Loan Prepayment'!$B$12:$B$31,'Loan Prepayment'!$A$12:$A$31,AG102)+IF(AND(AG102&gt;='Loan Prepayment'!$B$9,AG102&lt;='Loan Prepayment'!$E$16),'Loan Prepayment'!$B$8,0)))</f>
        <v>0</v>
      </c>
      <c r="AN102">
        <f t="shared" si="36"/>
        <v>5993646.7310138987</v>
      </c>
    </row>
    <row r="103" spans="1:40" x14ac:dyDescent="0.35">
      <c r="A103">
        <v>102</v>
      </c>
      <c r="B103">
        <f t="shared" si="37"/>
        <v>7468026.9304401791</v>
      </c>
      <c r="C103" s="64">
        <f>'Loan Prepayment'!$B$6</f>
        <v>7.5</v>
      </c>
      <c r="D103">
        <f>IF(B103&lt;=0,0,MIN(-PMT('Loan Prepayment'!$B$6/1200,'Loan Prepayment'!$B$7*12,'Loan Prepayment'!$B$5),B103+E103))</f>
        <v>80559.31935518072</v>
      </c>
      <c r="E103">
        <f t="shared" si="21"/>
        <v>46675.168315251125</v>
      </c>
      <c r="F103">
        <f t="shared" si="22"/>
        <v>33884.151039929595</v>
      </c>
      <c r="G103">
        <v>0</v>
      </c>
      <c r="H103">
        <f t="shared" si="23"/>
        <v>7434142.7794002499</v>
      </c>
      <c r="I103">
        <v>102</v>
      </c>
      <c r="J103">
        <f t="shared" si="38"/>
        <v>6253720.416094684</v>
      </c>
      <c r="K103" s="64">
        <f>'Loan Prepayment'!$B$6</f>
        <v>7.5</v>
      </c>
      <c r="L103">
        <f>IF(J103&lt;=0,0,MIN(IF(AND('Loan Prepayment'!$E$15="Reduce EMI",O102&gt;0),-PMT(K103/1200,MAX(1,'Loan Prepayment'!$B$7*12-I103+1),J103),L102),J103+M103))</f>
        <v>67460.316473241648</v>
      </c>
      <c r="M103">
        <f t="shared" si="24"/>
        <v>39085.752600591775</v>
      </c>
      <c r="N103">
        <f t="shared" si="25"/>
        <v>28374.563872649873</v>
      </c>
      <c r="O103">
        <f>IF(J103&lt;=0,0,MIN(MAX(0,J103-N103),SUMIFS('Loan Prepayment'!$B$12:$B$31,'Loan Prepayment'!$A$12:$A$31,I103)+0))</f>
        <v>0</v>
      </c>
      <c r="P103">
        <f t="shared" si="26"/>
        <v>6225345.8522220338</v>
      </c>
      <c r="Q103">
        <v>102</v>
      </c>
      <c r="R103">
        <f t="shared" si="39"/>
        <v>7468026.9304401791</v>
      </c>
      <c r="S103" s="64">
        <f>'Loan Prepayment'!$B$6</f>
        <v>7.5</v>
      </c>
      <c r="T103">
        <f>IF(R103&lt;=0,0,MIN(IF(AND('Loan Prepayment'!$E$15="Reduce EMI",W102&gt;0),-PMT(S103/1200,MAX(1,'Loan Prepayment'!$B$7*12-Q103+1),R103),T102),R103+U103))</f>
        <v>80559.31935518072</v>
      </c>
      <c r="U103">
        <f t="shared" si="27"/>
        <v>46675.168315251125</v>
      </c>
      <c r="V103">
        <f t="shared" si="28"/>
        <v>33884.151039929595</v>
      </c>
      <c r="W103">
        <f>IF(R103&lt;=0,0,MIN(MAX(0,R103-V103),0+IF(AND(Q103&gt;='Loan Prepayment'!$B$9,Q103&lt;='Loan Prepayment'!$E$16),'Loan Prepayment'!$B$8,0)))</f>
        <v>0</v>
      </c>
      <c r="X103">
        <f t="shared" si="29"/>
        <v>7434142.7794002499</v>
      </c>
      <c r="Y103">
        <v>102</v>
      </c>
      <c r="Z103">
        <f t="shared" si="40"/>
        <v>7157453.8387676524</v>
      </c>
      <c r="AA103">
        <f>IF(Y103&gt;='Loan Prepayment'!$E$11,'Loan Prepayment'!$E$12,'Loan Prepayment'!$B$6)</f>
        <v>6.5</v>
      </c>
      <c r="AB103">
        <f>IF(Z103&lt;=0,0,MIN(IF(Y103='Loan Prepayment'!$E$11,IF('Loan Prepayment'!$E$13="Keep tenure, recalculate EMI",-PMT(AA103/1200,MAX(1,'Loan Prepayment'!$B$7*12-Y103+1),Z103),AB102),AB102),Z103+AC103))</f>
        <v>80559.31935518072</v>
      </c>
      <c r="AC103">
        <f t="shared" si="30"/>
        <v>38769.541626658116</v>
      </c>
      <c r="AD103">
        <f t="shared" si="31"/>
        <v>41789.777728522604</v>
      </c>
      <c r="AE103">
        <f t="shared" si="32"/>
        <v>0</v>
      </c>
      <c r="AF103">
        <f t="shared" si="33"/>
        <v>7115664.0610391302</v>
      </c>
      <c r="AG103">
        <v>102</v>
      </c>
      <c r="AH103">
        <f t="shared" si="41"/>
        <v>5993646.7310138987</v>
      </c>
      <c r="AI103">
        <f>IF(AG103&gt;='Loan Prepayment'!$E$11,'Loan Prepayment'!$E$12,'Loan Prepayment'!$B$6)</f>
        <v>6.5</v>
      </c>
      <c r="AJ103">
        <f>IF(AH103&lt;=0,0,MIN(IF(AG103='Loan Prepayment'!$E$11,IF('Loan Prepayment'!$E$13="Keep tenure, recalculate EMI",-PMT(AI103/1200,MAX(1,'Loan Prepayment'!$B$7*12-AG103+1),AH103),IF(AND('Loan Prepayment'!$E$15="Reduce EMI",AM102&gt;0),-PMT(AI102/1200,MAX(1,'Loan Prepayment'!$B$7*12-AG103+1),AH103),AJ102)),IF(AND('Loan Prepayment'!$E$15="Reduce EMI",AM102&gt;0),-PMT(AI103/1200,MAX(1,'Loan Prepayment'!$B$7*12-AG103+1),AH103),AJ102)),AH103+AK103))</f>
        <v>67460.316473241648</v>
      </c>
      <c r="AK103">
        <f t="shared" si="34"/>
        <v>32465.586459658618</v>
      </c>
      <c r="AL103">
        <f t="shared" si="35"/>
        <v>34994.73001358303</v>
      </c>
      <c r="AM103">
        <f>IF(AH103&lt;=0,0,MIN(MAX(0,AH103-AL103),SUMIFS('Loan Prepayment'!$B$12:$B$31,'Loan Prepayment'!$A$12:$A$31,AG103)+IF(AND(AG103&gt;='Loan Prepayment'!$B$9,AG103&lt;='Loan Prepayment'!$E$16),'Loan Prepayment'!$B$8,0)))</f>
        <v>0</v>
      </c>
      <c r="AN103">
        <f t="shared" si="36"/>
        <v>5958652.0010003159</v>
      </c>
    </row>
    <row r="104" spans="1:40" x14ac:dyDescent="0.35">
      <c r="A104">
        <v>103</v>
      </c>
      <c r="B104">
        <f t="shared" si="37"/>
        <v>7434142.7794002499</v>
      </c>
      <c r="C104" s="64">
        <f>'Loan Prepayment'!$B$6</f>
        <v>7.5</v>
      </c>
      <c r="D104">
        <f>IF(B104&lt;=0,0,MIN(-PMT('Loan Prepayment'!$B$6/1200,'Loan Prepayment'!$B$7*12,'Loan Prepayment'!$B$5),B104+E104))</f>
        <v>80559.31935518072</v>
      </c>
      <c r="E104">
        <f t="shared" si="21"/>
        <v>46463.392371251568</v>
      </c>
      <c r="F104">
        <f t="shared" si="22"/>
        <v>34095.926983929152</v>
      </c>
      <c r="G104">
        <v>0</v>
      </c>
      <c r="H104">
        <f t="shared" si="23"/>
        <v>7400046.8524163207</v>
      </c>
      <c r="I104">
        <v>103</v>
      </c>
      <c r="J104">
        <f t="shared" si="38"/>
        <v>6225345.8522220338</v>
      </c>
      <c r="K104" s="64">
        <f>'Loan Prepayment'!$B$6</f>
        <v>7.5</v>
      </c>
      <c r="L104">
        <f>IF(J104&lt;=0,0,MIN(IF(AND('Loan Prepayment'!$E$15="Reduce EMI",O103&gt;0),-PMT(K104/1200,MAX(1,'Loan Prepayment'!$B$7*12-I104+1),J104),L103),J104+M104))</f>
        <v>67460.316473241648</v>
      </c>
      <c r="M104">
        <f t="shared" si="24"/>
        <v>38908.411576387705</v>
      </c>
      <c r="N104">
        <f t="shared" si="25"/>
        <v>28551.904896853943</v>
      </c>
      <c r="O104">
        <f>IF(J104&lt;=0,0,MIN(MAX(0,J104-N104),SUMIFS('Loan Prepayment'!$B$12:$B$31,'Loan Prepayment'!$A$12:$A$31,I104)+0))</f>
        <v>0</v>
      </c>
      <c r="P104">
        <f t="shared" si="26"/>
        <v>6196793.9473251803</v>
      </c>
      <c r="Q104">
        <v>103</v>
      </c>
      <c r="R104">
        <f t="shared" si="39"/>
        <v>7434142.7794002499</v>
      </c>
      <c r="S104" s="64">
        <f>'Loan Prepayment'!$B$6</f>
        <v>7.5</v>
      </c>
      <c r="T104">
        <f>IF(R104&lt;=0,0,MIN(IF(AND('Loan Prepayment'!$E$15="Reduce EMI",W103&gt;0),-PMT(S104/1200,MAX(1,'Loan Prepayment'!$B$7*12-Q104+1),R104),T103),R104+U104))</f>
        <v>80559.31935518072</v>
      </c>
      <c r="U104">
        <f t="shared" si="27"/>
        <v>46463.392371251568</v>
      </c>
      <c r="V104">
        <f t="shared" si="28"/>
        <v>34095.926983929152</v>
      </c>
      <c r="W104">
        <f>IF(R104&lt;=0,0,MIN(MAX(0,R104-V104),0+IF(AND(Q104&gt;='Loan Prepayment'!$B$9,Q104&lt;='Loan Prepayment'!$E$16),'Loan Prepayment'!$B$8,0)))</f>
        <v>0</v>
      </c>
      <c r="X104">
        <f t="shared" si="29"/>
        <v>7400046.8524163207</v>
      </c>
      <c r="Y104">
        <v>103</v>
      </c>
      <c r="Z104">
        <f t="shared" si="40"/>
        <v>7115664.0610391302</v>
      </c>
      <c r="AA104">
        <f>IF(Y104&gt;='Loan Prepayment'!$E$11,'Loan Prepayment'!$E$12,'Loan Prepayment'!$B$6)</f>
        <v>6.5</v>
      </c>
      <c r="AB104">
        <f>IF(Z104&lt;=0,0,MIN(IF(Y104='Loan Prepayment'!$E$11,IF('Loan Prepayment'!$E$13="Keep tenure, recalculate EMI",-PMT(AA104/1200,MAX(1,'Loan Prepayment'!$B$7*12-Y104+1),Z104),AB103),AB103),Z104+AC104))</f>
        <v>80559.31935518072</v>
      </c>
      <c r="AC104">
        <f t="shared" si="30"/>
        <v>38543.180330628624</v>
      </c>
      <c r="AD104">
        <f t="shared" si="31"/>
        <v>42016.139024552096</v>
      </c>
      <c r="AE104">
        <f t="shared" si="32"/>
        <v>0</v>
      </c>
      <c r="AF104">
        <f t="shared" si="33"/>
        <v>7073647.9220145782</v>
      </c>
      <c r="AG104">
        <v>103</v>
      </c>
      <c r="AH104">
        <f t="shared" si="41"/>
        <v>5958652.0010003159</v>
      </c>
      <c r="AI104">
        <f>IF(AG104&gt;='Loan Prepayment'!$E$11,'Loan Prepayment'!$E$12,'Loan Prepayment'!$B$6)</f>
        <v>6.5</v>
      </c>
      <c r="AJ104">
        <f>IF(AH104&lt;=0,0,MIN(IF(AG104='Loan Prepayment'!$E$11,IF('Loan Prepayment'!$E$13="Keep tenure, recalculate EMI",-PMT(AI104/1200,MAX(1,'Loan Prepayment'!$B$7*12-AG104+1),AH104),IF(AND('Loan Prepayment'!$E$15="Reduce EMI",AM103&gt;0),-PMT(AI103/1200,MAX(1,'Loan Prepayment'!$B$7*12-AG104+1),AH104),AJ103)),IF(AND('Loan Prepayment'!$E$15="Reduce EMI",AM103&gt;0),-PMT(AI104/1200,MAX(1,'Loan Prepayment'!$B$7*12-AG104+1),AH104),AJ103)),AH104+AK104))</f>
        <v>67460.316473241648</v>
      </c>
      <c r="AK104">
        <f t="shared" si="34"/>
        <v>32276.031672085046</v>
      </c>
      <c r="AL104">
        <f t="shared" si="35"/>
        <v>35184.284801156602</v>
      </c>
      <c r="AM104">
        <f>IF(AH104&lt;=0,0,MIN(MAX(0,AH104-AL104),SUMIFS('Loan Prepayment'!$B$12:$B$31,'Loan Prepayment'!$A$12:$A$31,AG104)+IF(AND(AG104&gt;='Loan Prepayment'!$B$9,AG104&lt;='Loan Prepayment'!$E$16),'Loan Prepayment'!$B$8,0)))</f>
        <v>0</v>
      </c>
      <c r="AN104">
        <f t="shared" si="36"/>
        <v>5923467.7161991596</v>
      </c>
    </row>
    <row r="105" spans="1:40" x14ac:dyDescent="0.35">
      <c r="A105">
        <v>104</v>
      </c>
      <c r="B105">
        <f t="shared" si="37"/>
        <v>7400046.8524163207</v>
      </c>
      <c r="C105" s="64">
        <f>'Loan Prepayment'!$B$6</f>
        <v>7.5</v>
      </c>
      <c r="D105">
        <f>IF(B105&lt;=0,0,MIN(-PMT('Loan Prepayment'!$B$6/1200,'Loan Prepayment'!$B$7*12,'Loan Prepayment'!$B$5),B105+E105))</f>
        <v>80559.31935518072</v>
      </c>
      <c r="E105">
        <f t="shared" si="21"/>
        <v>46250.292827602003</v>
      </c>
      <c r="F105">
        <f t="shared" si="22"/>
        <v>34309.026527578717</v>
      </c>
      <c r="G105">
        <v>0</v>
      </c>
      <c r="H105">
        <f t="shared" si="23"/>
        <v>7365737.8258887418</v>
      </c>
      <c r="I105">
        <v>104</v>
      </c>
      <c r="J105">
        <f t="shared" si="38"/>
        <v>6196793.9473251803</v>
      </c>
      <c r="K105" s="64">
        <f>'Loan Prepayment'!$B$6</f>
        <v>7.5</v>
      </c>
      <c r="L105">
        <f>IF(J105&lt;=0,0,MIN(IF(AND('Loan Prepayment'!$E$15="Reduce EMI",O104&gt;0),-PMT(K105/1200,MAX(1,'Loan Prepayment'!$B$7*12-I105+1),J105),L104),J105+M105))</f>
        <v>67460.316473241648</v>
      </c>
      <c r="M105">
        <f t="shared" si="24"/>
        <v>38729.962170782375</v>
      </c>
      <c r="N105">
        <f t="shared" si="25"/>
        <v>28730.354302459273</v>
      </c>
      <c r="O105">
        <f>IF(J105&lt;=0,0,MIN(MAX(0,J105-N105),SUMIFS('Loan Prepayment'!$B$12:$B$31,'Loan Prepayment'!$A$12:$A$31,I105)+0))</f>
        <v>0</v>
      </c>
      <c r="P105">
        <f t="shared" si="26"/>
        <v>6168063.5930227209</v>
      </c>
      <c r="Q105">
        <v>104</v>
      </c>
      <c r="R105">
        <f t="shared" si="39"/>
        <v>7400046.8524163207</v>
      </c>
      <c r="S105" s="64">
        <f>'Loan Prepayment'!$B$6</f>
        <v>7.5</v>
      </c>
      <c r="T105">
        <f>IF(R105&lt;=0,0,MIN(IF(AND('Loan Prepayment'!$E$15="Reduce EMI",W104&gt;0),-PMT(S105/1200,MAX(1,'Loan Prepayment'!$B$7*12-Q105+1),R105),T104),R105+U105))</f>
        <v>80559.31935518072</v>
      </c>
      <c r="U105">
        <f t="shared" si="27"/>
        <v>46250.292827602003</v>
      </c>
      <c r="V105">
        <f t="shared" si="28"/>
        <v>34309.026527578717</v>
      </c>
      <c r="W105">
        <f>IF(R105&lt;=0,0,MIN(MAX(0,R105-V105),0+IF(AND(Q105&gt;='Loan Prepayment'!$B$9,Q105&lt;='Loan Prepayment'!$E$16),'Loan Prepayment'!$B$8,0)))</f>
        <v>0</v>
      </c>
      <c r="X105">
        <f t="shared" si="29"/>
        <v>7365737.8258887418</v>
      </c>
      <c r="Y105">
        <v>104</v>
      </c>
      <c r="Z105">
        <f t="shared" si="40"/>
        <v>7073647.9220145782</v>
      </c>
      <c r="AA105">
        <f>IF(Y105&gt;='Loan Prepayment'!$E$11,'Loan Prepayment'!$E$12,'Loan Prepayment'!$B$6)</f>
        <v>6.5</v>
      </c>
      <c r="AB105">
        <f>IF(Z105&lt;=0,0,MIN(IF(Y105='Loan Prepayment'!$E$11,IF('Loan Prepayment'!$E$13="Keep tenure, recalculate EMI",-PMT(AA105/1200,MAX(1,'Loan Prepayment'!$B$7*12-Y105+1),Z105),AB104),AB104),Z105+AC105))</f>
        <v>80559.31935518072</v>
      </c>
      <c r="AC105">
        <f t="shared" si="30"/>
        <v>38315.592910912295</v>
      </c>
      <c r="AD105">
        <f t="shared" si="31"/>
        <v>42243.726444268425</v>
      </c>
      <c r="AE105">
        <f t="shared" si="32"/>
        <v>0</v>
      </c>
      <c r="AF105">
        <f t="shared" si="33"/>
        <v>7031404.1955703096</v>
      </c>
      <c r="AG105">
        <v>104</v>
      </c>
      <c r="AH105">
        <f t="shared" si="41"/>
        <v>5923467.7161991596</v>
      </c>
      <c r="AI105">
        <f>IF(AG105&gt;='Loan Prepayment'!$E$11,'Loan Prepayment'!$E$12,'Loan Prepayment'!$B$6)</f>
        <v>6.5</v>
      </c>
      <c r="AJ105">
        <f>IF(AH105&lt;=0,0,MIN(IF(AG105='Loan Prepayment'!$E$11,IF('Loan Prepayment'!$E$13="Keep tenure, recalculate EMI",-PMT(AI105/1200,MAX(1,'Loan Prepayment'!$B$7*12-AG105+1),AH105),IF(AND('Loan Prepayment'!$E$15="Reduce EMI",AM104&gt;0),-PMT(AI104/1200,MAX(1,'Loan Prepayment'!$B$7*12-AG105+1),AH105),AJ104)),IF(AND('Loan Prepayment'!$E$15="Reduce EMI",AM104&gt;0),-PMT(AI105/1200,MAX(1,'Loan Prepayment'!$B$7*12-AG105+1),AH105),AJ104)),AH105+AK105))</f>
        <v>67460.316473241648</v>
      </c>
      <c r="AK105">
        <f t="shared" si="34"/>
        <v>32085.450129412115</v>
      </c>
      <c r="AL105">
        <f t="shared" si="35"/>
        <v>35374.866343829533</v>
      </c>
      <c r="AM105">
        <f>IF(AH105&lt;=0,0,MIN(MAX(0,AH105-AL105),SUMIFS('Loan Prepayment'!$B$12:$B$31,'Loan Prepayment'!$A$12:$A$31,AG105)+IF(AND(AG105&gt;='Loan Prepayment'!$B$9,AG105&lt;='Loan Prepayment'!$E$16),'Loan Prepayment'!$B$8,0)))</f>
        <v>0</v>
      </c>
      <c r="AN105">
        <f t="shared" si="36"/>
        <v>5888092.8498553298</v>
      </c>
    </row>
    <row r="106" spans="1:40" x14ac:dyDescent="0.35">
      <c r="A106">
        <v>105</v>
      </c>
      <c r="B106">
        <f t="shared" si="37"/>
        <v>7365737.8258887418</v>
      </c>
      <c r="C106" s="64">
        <f>'Loan Prepayment'!$B$6</f>
        <v>7.5</v>
      </c>
      <c r="D106">
        <f>IF(B106&lt;=0,0,MIN(-PMT('Loan Prepayment'!$B$6/1200,'Loan Prepayment'!$B$7*12,'Loan Prepayment'!$B$5),B106+E106))</f>
        <v>80559.31935518072</v>
      </c>
      <c r="E106">
        <f t="shared" si="21"/>
        <v>46035.861411804639</v>
      </c>
      <c r="F106">
        <f t="shared" si="22"/>
        <v>34523.457943376081</v>
      </c>
      <c r="G106">
        <v>0</v>
      </c>
      <c r="H106">
        <f t="shared" si="23"/>
        <v>7331214.3679453656</v>
      </c>
      <c r="I106">
        <v>105</v>
      </c>
      <c r="J106">
        <f t="shared" si="38"/>
        <v>6168063.5930227209</v>
      </c>
      <c r="K106" s="64">
        <f>'Loan Prepayment'!$B$6</f>
        <v>7.5</v>
      </c>
      <c r="L106">
        <f>IF(J106&lt;=0,0,MIN(IF(AND('Loan Prepayment'!$E$15="Reduce EMI",O105&gt;0),-PMT(K106/1200,MAX(1,'Loan Prepayment'!$B$7*12-I106+1),J106),L105),J106+M106))</f>
        <v>67460.316473241648</v>
      </c>
      <c r="M106">
        <f t="shared" si="24"/>
        <v>38550.397456392006</v>
      </c>
      <c r="N106">
        <f t="shared" si="25"/>
        <v>28909.919016849643</v>
      </c>
      <c r="O106">
        <f>IF(J106&lt;=0,0,MIN(MAX(0,J106-N106),SUMIFS('Loan Prepayment'!$B$12:$B$31,'Loan Prepayment'!$A$12:$A$31,I106)+0))</f>
        <v>0</v>
      </c>
      <c r="P106">
        <f t="shared" si="26"/>
        <v>6139153.6740058716</v>
      </c>
      <c r="Q106">
        <v>105</v>
      </c>
      <c r="R106">
        <f t="shared" si="39"/>
        <v>7365737.8258887418</v>
      </c>
      <c r="S106" s="64">
        <f>'Loan Prepayment'!$B$6</f>
        <v>7.5</v>
      </c>
      <c r="T106">
        <f>IF(R106&lt;=0,0,MIN(IF(AND('Loan Prepayment'!$E$15="Reduce EMI",W105&gt;0),-PMT(S106/1200,MAX(1,'Loan Prepayment'!$B$7*12-Q106+1),R106),T105),R106+U106))</f>
        <v>80559.31935518072</v>
      </c>
      <c r="U106">
        <f t="shared" si="27"/>
        <v>46035.861411804639</v>
      </c>
      <c r="V106">
        <f t="shared" si="28"/>
        <v>34523.457943376081</v>
      </c>
      <c r="W106">
        <f>IF(R106&lt;=0,0,MIN(MAX(0,R106-V106),0+IF(AND(Q106&gt;='Loan Prepayment'!$B$9,Q106&lt;='Loan Prepayment'!$E$16),'Loan Prepayment'!$B$8,0)))</f>
        <v>0</v>
      </c>
      <c r="X106">
        <f t="shared" si="29"/>
        <v>7331214.3679453656</v>
      </c>
      <c r="Y106">
        <v>105</v>
      </c>
      <c r="Z106">
        <f t="shared" si="40"/>
        <v>7031404.1955703096</v>
      </c>
      <c r="AA106">
        <f>IF(Y106&gt;='Loan Prepayment'!$E$11,'Loan Prepayment'!$E$12,'Loan Prepayment'!$B$6)</f>
        <v>6.5</v>
      </c>
      <c r="AB106">
        <f>IF(Z106&lt;=0,0,MIN(IF(Y106='Loan Prepayment'!$E$11,IF('Loan Prepayment'!$E$13="Keep tenure, recalculate EMI",-PMT(AA106/1200,MAX(1,'Loan Prepayment'!$B$7*12-Y106+1),Z106),AB105),AB105),Z106+AC106))</f>
        <v>80559.31935518072</v>
      </c>
      <c r="AC106">
        <f t="shared" si="30"/>
        <v>38086.772726005845</v>
      </c>
      <c r="AD106">
        <f t="shared" si="31"/>
        <v>42472.546629174874</v>
      </c>
      <c r="AE106">
        <f t="shared" si="32"/>
        <v>0</v>
      </c>
      <c r="AF106">
        <f t="shared" si="33"/>
        <v>6988931.648941135</v>
      </c>
      <c r="AG106">
        <v>105</v>
      </c>
      <c r="AH106">
        <f t="shared" si="41"/>
        <v>5888092.8498553298</v>
      </c>
      <c r="AI106">
        <f>IF(AG106&gt;='Loan Prepayment'!$E$11,'Loan Prepayment'!$E$12,'Loan Prepayment'!$B$6)</f>
        <v>6.5</v>
      </c>
      <c r="AJ106">
        <f>IF(AH106&lt;=0,0,MIN(IF(AG106='Loan Prepayment'!$E$11,IF('Loan Prepayment'!$E$13="Keep tenure, recalculate EMI",-PMT(AI106/1200,MAX(1,'Loan Prepayment'!$B$7*12-AG106+1),AH106),IF(AND('Loan Prepayment'!$E$15="Reduce EMI",AM105&gt;0),-PMT(AI105/1200,MAX(1,'Loan Prepayment'!$B$7*12-AG106+1),AH106),AJ105)),IF(AND('Loan Prepayment'!$E$15="Reduce EMI",AM105&gt;0),-PMT(AI106/1200,MAX(1,'Loan Prepayment'!$B$7*12-AG106+1),AH106),AJ105)),AH106+AK106))</f>
        <v>67460.316473241648</v>
      </c>
      <c r="AK106">
        <f t="shared" si="34"/>
        <v>31893.836270049705</v>
      </c>
      <c r="AL106">
        <f t="shared" si="35"/>
        <v>35566.480203191939</v>
      </c>
      <c r="AM106">
        <f>IF(AH106&lt;=0,0,MIN(MAX(0,AH106-AL106),SUMIFS('Loan Prepayment'!$B$12:$B$31,'Loan Prepayment'!$A$12:$A$31,AG106)+IF(AND(AG106&gt;='Loan Prepayment'!$B$9,AG106&lt;='Loan Prepayment'!$E$16),'Loan Prepayment'!$B$8,0)))</f>
        <v>0</v>
      </c>
      <c r="AN106">
        <f t="shared" si="36"/>
        <v>5852526.3696521381</v>
      </c>
    </row>
    <row r="107" spans="1:40" x14ac:dyDescent="0.35">
      <c r="A107">
        <v>106</v>
      </c>
      <c r="B107">
        <f t="shared" si="37"/>
        <v>7331214.3679453656</v>
      </c>
      <c r="C107" s="64">
        <f>'Loan Prepayment'!$B$6</f>
        <v>7.5</v>
      </c>
      <c r="D107">
        <f>IF(B107&lt;=0,0,MIN(-PMT('Loan Prepayment'!$B$6/1200,'Loan Prepayment'!$B$7*12,'Loan Prepayment'!$B$5),B107+E107))</f>
        <v>80559.31935518072</v>
      </c>
      <c r="E107">
        <f t="shared" si="21"/>
        <v>45820.089799658534</v>
      </c>
      <c r="F107">
        <f t="shared" si="22"/>
        <v>34739.229555522186</v>
      </c>
      <c r="G107">
        <v>0</v>
      </c>
      <c r="H107">
        <f t="shared" si="23"/>
        <v>7296475.1383898435</v>
      </c>
      <c r="I107">
        <v>106</v>
      </c>
      <c r="J107">
        <f t="shared" si="38"/>
        <v>6139153.6740058716</v>
      </c>
      <c r="K107" s="64">
        <f>'Loan Prepayment'!$B$6</f>
        <v>7.5</v>
      </c>
      <c r="L107">
        <f>IF(J107&lt;=0,0,MIN(IF(AND('Loan Prepayment'!$E$15="Reduce EMI",O106&gt;0),-PMT(K107/1200,MAX(1,'Loan Prepayment'!$B$7*12-I107+1),J107),L106),J107+M107))</f>
        <v>67460.316473241648</v>
      </c>
      <c r="M107">
        <f t="shared" si="24"/>
        <v>38369.710462536699</v>
      </c>
      <c r="N107">
        <f t="shared" si="25"/>
        <v>29090.606010704949</v>
      </c>
      <c r="O107">
        <f>IF(J107&lt;=0,0,MIN(MAX(0,J107-N107),SUMIFS('Loan Prepayment'!$B$12:$B$31,'Loan Prepayment'!$A$12:$A$31,I107)+0))</f>
        <v>0</v>
      </c>
      <c r="P107">
        <f t="shared" si="26"/>
        <v>6110063.0679951664</v>
      </c>
      <c r="Q107">
        <v>106</v>
      </c>
      <c r="R107">
        <f t="shared" si="39"/>
        <v>7331214.3679453656</v>
      </c>
      <c r="S107" s="64">
        <f>'Loan Prepayment'!$B$6</f>
        <v>7.5</v>
      </c>
      <c r="T107">
        <f>IF(R107&lt;=0,0,MIN(IF(AND('Loan Prepayment'!$E$15="Reduce EMI",W106&gt;0),-PMT(S107/1200,MAX(1,'Loan Prepayment'!$B$7*12-Q107+1),R107),T106),R107+U107))</f>
        <v>80559.31935518072</v>
      </c>
      <c r="U107">
        <f t="shared" si="27"/>
        <v>45820.089799658534</v>
      </c>
      <c r="V107">
        <f t="shared" si="28"/>
        <v>34739.229555522186</v>
      </c>
      <c r="W107">
        <f>IF(R107&lt;=0,0,MIN(MAX(0,R107-V107),0+IF(AND(Q107&gt;='Loan Prepayment'!$B$9,Q107&lt;='Loan Prepayment'!$E$16),'Loan Prepayment'!$B$8,0)))</f>
        <v>0</v>
      </c>
      <c r="X107">
        <f t="shared" si="29"/>
        <v>7296475.1383898435</v>
      </c>
      <c r="Y107">
        <v>106</v>
      </c>
      <c r="Z107">
        <f t="shared" si="40"/>
        <v>6988931.648941135</v>
      </c>
      <c r="AA107">
        <f>IF(Y107&gt;='Loan Prepayment'!$E$11,'Loan Prepayment'!$E$12,'Loan Prepayment'!$B$6)</f>
        <v>6.5</v>
      </c>
      <c r="AB107">
        <f>IF(Z107&lt;=0,0,MIN(IF(Y107='Loan Prepayment'!$E$11,IF('Loan Prepayment'!$E$13="Keep tenure, recalculate EMI",-PMT(AA107/1200,MAX(1,'Loan Prepayment'!$B$7*12-Y107+1),Z107),AB106),AB106),Z107+AC107))</f>
        <v>80559.31935518072</v>
      </c>
      <c r="AC107">
        <f t="shared" si="30"/>
        <v>37856.713098431152</v>
      </c>
      <c r="AD107">
        <f t="shared" si="31"/>
        <v>42702.606256749568</v>
      </c>
      <c r="AE107">
        <f t="shared" si="32"/>
        <v>0</v>
      </c>
      <c r="AF107">
        <f t="shared" si="33"/>
        <v>6946229.0426843856</v>
      </c>
      <c r="AG107">
        <v>106</v>
      </c>
      <c r="AH107">
        <f t="shared" si="41"/>
        <v>5852526.3696521381</v>
      </c>
      <c r="AI107">
        <f>IF(AG107&gt;='Loan Prepayment'!$E$11,'Loan Prepayment'!$E$12,'Loan Prepayment'!$B$6)</f>
        <v>6.5</v>
      </c>
      <c r="AJ107">
        <f>IF(AH107&lt;=0,0,MIN(IF(AG107='Loan Prepayment'!$E$11,IF('Loan Prepayment'!$E$13="Keep tenure, recalculate EMI",-PMT(AI107/1200,MAX(1,'Loan Prepayment'!$B$7*12-AG107+1),AH107),IF(AND('Loan Prepayment'!$E$15="Reduce EMI",AM106&gt;0),-PMT(AI106/1200,MAX(1,'Loan Prepayment'!$B$7*12-AG107+1),AH107),AJ106)),IF(AND('Loan Prepayment'!$E$15="Reduce EMI",AM106&gt;0),-PMT(AI107/1200,MAX(1,'Loan Prepayment'!$B$7*12-AG107+1),AH107),AJ106)),AH107+AK107))</f>
        <v>67460.316473241648</v>
      </c>
      <c r="AK107">
        <f t="shared" si="34"/>
        <v>31701.184502282416</v>
      </c>
      <c r="AL107">
        <f t="shared" si="35"/>
        <v>35759.131970959235</v>
      </c>
      <c r="AM107">
        <f>IF(AH107&lt;=0,0,MIN(MAX(0,AH107-AL107),SUMIFS('Loan Prepayment'!$B$12:$B$31,'Loan Prepayment'!$A$12:$A$31,AG107)+IF(AND(AG107&gt;='Loan Prepayment'!$B$9,AG107&lt;='Loan Prepayment'!$E$16),'Loan Prepayment'!$B$8,0)))</f>
        <v>0</v>
      </c>
      <c r="AN107">
        <f t="shared" si="36"/>
        <v>5816767.2376811793</v>
      </c>
    </row>
    <row r="108" spans="1:40" x14ac:dyDescent="0.35">
      <c r="A108">
        <v>107</v>
      </c>
      <c r="B108">
        <f t="shared" si="37"/>
        <v>7296475.1383898435</v>
      </c>
      <c r="C108" s="64">
        <f>'Loan Prepayment'!$B$6</f>
        <v>7.5</v>
      </c>
      <c r="D108">
        <f>IF(B108&lt;=0,0,MIN(-PMT('Loan Prepayment'!$B$6/1200,'Loan Prepayment'!$B$7*12,'Loan Prepayment'!$B$5),B108+E108))</f>
        <v>80559.31935518072</v>
      </c>
      <c r="E108">
        <f t="shared" si="21"/>
        <v>45602.969614936526</v>
      </c>
      <c r="F108">
        <f t="shared" si="22"/>
        <v>34956.349740244194</v>
      </c>
      <c r="G108">
        <v>0</v>
      </c>
      <c r="H108">
        <f t="shared" si="23"/>
        <v>7261518.7886495991</v>
      </c>
      <c r="I108">
        <v>107</v>
      </c>
      <c r="J108">
        <f t="shared" si="38"/>
        <v>6110063.0679951664</v>
      </c>
      <c r="K108" s="64">
        <f>'Loan Prepayment'!$B$6</f>
        <v>7.5</v>
      </c>
      <c r="L108">
        <f>IF(J108&lt;=0,0,MIN(IF(AND('Loan Prepayment'!$E$15="Reduce EMI",O107&gt;0),-PMT(K108/1200,MAX(1,'Loan Prepayment'!$B$7*12-I108+1),J108),L107),J108+M108))</f>
        <v>67460.316473241648</v>
      </c>
      <c r="M108">
        <f t="shared" si="24"/>
        <v>38187.894174969791</v>
      </c>
      <c r="N108">
        <f t="shared" si="25"/>
        <v>29272.422298271857</v>
      </c>
      <c r="O108">
        <f>IF(J108&lt;=0,0,MIN(MAX(0,J108-N108),SUMIFS('Loan Prepayment'!$B$12:$B$31,'Loan Prepayment'!$A$12:$A$31,I108)+0))</f>
        <v>0</v>
      </c>
      <c r="P108">
        <f t="shared" si="26"/>
        <v>6080790.6456968943</v>
      </c>
      <c r="Q108">
        <v>107</v>
      </c>
      <c r="R108">
        <f t="shared" si="39"/>
        <v>7296475.1383898435</v>
      </c>
      <c r="S108" s="64">
        <f>'Loan Prepayment'!$B$6</f>
        <v>7.5</v>
      </c>
      <c r="T108">
        <f>IF(R108&lt;=0,0,MIN(IF(AND('Loan Prepayment'!$E$15="Reduce EMI",W107&gt;0),-PMT(S108/1200,MAX(1,'Loan Prepayment'!$B$7*12-Q108+1),R108),T107),R108+U108))</f>
        <v>80559.31935518072</v>
      </c>
      <c r="U108">
        <f t="shared" si="27"/>
        <v>45602.969614936526</v>
      </c>
      <c r="V108">
        <f t="shared" si="28"/>
        <v>34956.349740244194</v>
      </c>
      <c r="W108">
        <f>IF(R108&lt;=0,0,MIN(MAX(0,R108-V108),0+IF(AND(Q108&gt;='Loan Prepayment'!$B$9,Q108&lt;='Loan Prepayment'!$E$16),'Loan Prepayment'!$B$8,0)))</f>
        <v>0</v>
      </c>
      <c r="X108">
        <f t="shared" si="29"/>
        <v>7261518.7886495991</v>
      </c>
      <c r="Y108">
        <v>107</v>
      </c>
      <c r="Z108">
        <f t="shared" si="40"/>
        <v>6946229.0426843856</v>
      </c>
      <c r="AA108">
        <f>IF(Y108&gt;='Loan Prepayment'!$E$11,'Loan Prepayment'!$E$12,'Loan Prepayment'!$B$6)</f>
        <v>6.5</v>
      </c>
      <c r="AB108">
        <f>IF(Z108&lt;=0,0,MIN(IF(Y108='Loan Prepayment'!$E$11,IF('Loan Prepayment'!$E$13="Keep tenure, recalculate EMI",-PMT(AA108/1200,MAX(1,'Loan Prepayment'!$B$7*12-Y108+1),Z108),AB107),AB107),Z108+AC108))</f>
        <v>80559.31935518072</v>
      </c>
      <c r="AC108">
        <f t="shared" si="30"/>
        <v>37625.407314540418</v>
      </c>
      <c r="AD108">
        <f t="shared" si="31"/>
        <v>42933.912040640302</v>
      </c>
      <c r="AE108">
        <f t="shared" si="32"/>
        <v>0</v>
      </c>
      <c r="AF108">
        <f t="shared" si="33"/>
        <v>6903295.130643745</v>
      </c>
      <c r="AG108">
        <v>107</v>
      </c>
      <c r="AH108">
        <f t="shared" si="41"/>
        <v>5816767.2376811793</v>
      </c>
      <c r="AI108">
        <f>IF(AG108&gt;='Loan Prepayment'!$E$11,'Loan Prepayment'!$E$12,'Loan Prepayment'!$B$6)</f>
        <v>6.5</v>
      </c>
      <c r="AJ108">
        <f>IF(AH108&lt;=0,0,MIN(IF(AG108='Loan Prepayment'!$E$11,IF('Loan Prepayment'!$E$13="Keep tenure, recalculate EMI",-PMT(AI108/1200,MAX(1,'Loan Prepayment'!$B$7*12-AG108+1),AH108),IF(AND('Loan Prepayment'!$E$15="Reduce EMI",AM107&gt;0),-PMT(AI107/1200,MAX(1,'Loan Prepayment'!$B$7*12-AG108+1),AH108),AJ107)),IF(AND('Loan Prepayment'!$E$15="Reduce EMI",AM107&gt;0),-PMT(AI108/1200,MAX(1,'Loan Prepayment'!$B$7*12-AG108+1),AH108),AJ107)),AH108+AK108))</f>
        <v>67460.316473241648</v>
      </c>
      <c r="AK108">
        <f t="shared" si="34"/>
        <v>31507.489204106387</v>
      </c>
      <c r="AL108">
        <f t="shared" si="35"/>
        <v>35952.827269135261</v>
      </c>
      <c r="AM108">
        <f>IF(AH108&lt;=0,0,MIN(MAX(0,AH108-AL108),SUMIFS('Loan Prepayment'!$B$12:$B$31,'Loan Prepayment'!$A$12:$A$31,AG108)+IF(AND(AG108&gt;='Loan Prepayment'!$B$9,AG108&lt;='Loan Prepayment'!$E$16),'Loan Prepayment'!$B$8,0)))</f>
        <v>0</v>
      </c>
      <c r="AN108">
        <f t="shared" si="36"/>
        <v>5780814.4104120443</v>
      </c>
    </row>
    <row r="109" spans="1:40" x14ac:dyDescent="0.35">
      <c r="A109">
        <v>108</v>
      </c>
      <c r="B109">
        <f t="shared" si="37"/>
        <v>7261518.7886495991</v>
      </c>
      <c r="C109" s="64">
        <f>'Loan Prepayment'!$B$6</f>
        <v>7.5</v>
      </c>
      <c r="D109">
        <f>IF(B109&lt;=0,0,MIN(-PMT('Loan Prepayment'!$B$6/1200,'Loan Prepayment'!$B$7*12,'Loan Prepayment'!$B$5),B109+E109))</f>
        <v>80559.31935518072</v>
      </c>
      <c r="E109">
        <f t="shared" si="21"/>
        <v>45384.492429059996</v>
      </c>
      <c r="F109">
        <f t="shared" si="22"/>
        <v>35174.826926120724</v>
      </c>
      <c r="G109">
        <v>0</v>
      </c>
      <c r="H109">
        <f t="shared" si="23"/>
        <v>7226343.9617234785</v>
      </c>
      <c r="I109">
        <v>108</v>
      </c>
      <c r="J109">
        <f t="shared" si="38"/>
        <v>6080790.6456968943</v>
      </c>
      <c r="K109" s="64">
        <f>'Loan Prepayment'!$B$6</f>
        <v>7.5</v>
      </c>
      <c r="L109">
        <f>IF(J109&lt;=0,0,MIN(IF(AND('Loan Prepayment'!$E$15="Reduce EMI",O108&gt;0),-PMT(K109/1200,MAX(1,'Loan Prepayment'!$B$7*12-I109+1),J109),L108),J109+M109))</f>
        <v>67460.316473241648</v>
      </c>
      <c r="M109">
        <f t="shared" si="24"/>
        <v>38004.941535605591</v>
      </c>
      <c r="N109">
        <f t="shared" si="25"/>
        <v>29455.374937636057</v>
      </c>
      <c r="O109">
        <f>IF(J109&lt;=0,0,MIN(MAX(0,J109-N109),SUMIFS('Loan Prepayment'!$B$12:$B$31,'Loan Prepayment'!$A$12:$A$31,I109)+0))</f>
        <v>0</v>
      </c>
      <c r="P109">
        <f t="shared" si="26"/>
        <v>6051335.2707592584</v>
      </c>
      <c r="Q109">
        <v>108</v>
      </c>
      <c r="R109">
        <f t="shared" si="39"/>
        <v>7261518.7886495991</v>
      </c>
      <c r="S109" s="64">
        <f>'Loan Prepayment'!$B$6</f>
        <v>7.5</v>
      </c>
      <c r="T109">
        <f>IF(R109&lt;=0,0,MIN(IF(AND('Loan Prepayment'!$E$15="Reduce EMI",W108&gt;0),-PMT(S109/1200,MAX(1,'Loan Prepayment'!$B$7*12-Q109+1),R109),T108),R109+U109))</f>
        <v>80559.31935518072</v>
      </c>
      <c r="U109">
        <f t="shared" si="27"/>
        <v>45384.492429059996</v>
      </c>
      <c r="V109">
        <f t="shared" si="28"/>
        <v>35174.826926120724</v>
      </c>
      <c r="W109">
        <f>IF(R109&lt;=0,0,MIN(MAX(0,R109-V109),0+IF(AND(Q109&gt;='Loan Prepayment'!$B$9,Q109&lt;='Loan Prepayment'!$E$16),'Loan Prepayment'!$B$8,0)))</f>
        <v>0</v>
      </c>
      <c r="X109">
        <f t="shared" si="29"/>
        <v>7226343.9617234785</v>
      </c>
      <c r="Y109">
        <v>108</v>
      </c>
      <c r="Z109">
        <f t="shared" si="40"/>
        <v>6903295.130643745</v>
      </c>
      <c r="AA109">
        <f>IF(Y109&gt;='Loan Prepayment'!$E$11,'Loan Prepayment'!$E$12,'Loan Prepayment'!$B$6)</f>
        <v>6.5</v>
      </c>
      <c r="AB109">
        <f>IF(Z109&lt;=0,0,MIN(IF(Y109='Loan Prepayment'!$E$11,IF('Loan Prepayment'!$E$13="Keep tenure, recalculate EMI",-PMT(AA109/1200,MAX(1,'Loan Prepayment'!$B$7*12-Y109+1),Z109),AB108),AB108),Z109+AC109))</f>
        <v>80559.31935518072</v>
      </c>
      <c r="AC109">
        <f t="shared" si="30"/>
        <v>37392.848624320286</v>
      </c>
      <c r="AD109">
        <f t="shared" si="31"/>
        <v>43166.470730860434</v>
      </c>
      <c r="AE109">
        <f t="shared" si="32"/>
        <v>0</v>
      </c>
      <c r="AF109">
        <f t="shared" si="33"/>
        <v>6860128.6599128842</v>
      </c>
      <c r="AG109">
        <v>108</v>
      </c>
      <c r="AH109">
        <f t="shared" si="41"/>
        <v>5780814.4104120443</v>
      </c>
      <c r="AI109">
        <f>IF(AG109&gt;='Loan Prepayment'!$E$11,'Loan Prepayment'!$E$12,'Loan Prepayment'!$B$6)</f>
        <v>6.5</v>
      </c>
      <c r="AJ109">
        <f>IF(AH109&lt;=0,0,MIN(IF(AG109='Loan Prepayment'!$E$11,IF('Loan Prepayment'!$E$13="Keep tenure, recalculate EMI",-PMT(AI109/1200,MAX(1,'Loan Prepayment'!$B$7*12-AG109+1),AH109),IF(AND('Loan Prepayment'!$E$15="Reduce EMI",AM108&gt;0),-PMT(AI108/1200,MAX(1,'Loan Prepayment'!$B$7*12-AG109+1),AH109),AJ108)),IF(AND('Loan Prepayment'!$E$15="Reduce EMI",AM108&gt;0),-PMT(AI109/1200,MAX(1,'Loan Prepayment'!$B$7*12-AG109+1),AH109),AJ108)),AH109+AK109))</f>
        <v>67460.316473241648</v>
      </c>
      <c r="AK109">
        <f t="shared" si="34"/>
        <v>31312.74472306524</v>
      </c>
      <c r="AL109">
        <f t="shared" si="35"/>
        <v>36147.571750176408</v>
      </c>
      <c r="AM109">
        <f>IF(AH109&lt;=0,0,MIN(MAX(0,AH109-AL109),SUMIFS('Loan Prepayment'!$B$12:$B$31,'Loan Prepayment'!$A$12:$A$31,AG109)+IF(AND(AG109&gt;='Loan Prepayment'!$B$9,AG109&lt;='Loan Prepayment'!$E$16),'Loan Prepayment'!$B$8,0)))</f>
        <v>0</v>
      </c>
      <c r="AN109">
        <f t="shared" si="36"/>
        <v>5744666.8386618681</v>
      </c>
    </row>
    <row r="110" spans="1:40" x14ac:dyDescent="0.35">
      <c r="A110">
        <v>109</v>
      </c>
      <c r="B110">
        <f t="shared" si="37"/>
        <v>7226343.9617234785</v>
      </c>
      <c r="C110" s="64">
        <f>'Loan Prepayment'!$B$6</f>
        <v>7.5</v>
      </c>
      <c r="D110">
        <f>IF(B110&lt;=0,0,MIN(-PMT('Loan Prepayment'!$B$6/1200,'Loan Prepayment'!$B$7*12,'Loan Prepayment'!$B$5),B110+E110))</f>
        <v>80559.31935518072</v>
      </c>
      <c r="E110">
        <f t="shared" si="21"/>
        <v>45164.649760771739</v>
      </c>
      <c r="F110">
        <f t="shared" si="22"/>
        <v>35394.669594408981</v>
      </c>
      <c r="G110">
        <v>0</v>
      </c>
      <c r="H110">
        <f t="shared" si="23"/>
        <v>7190949.2921290696</v>
      </c>
      <c r="I110">
        <v>109</v>
      </c>
      <c r="J110">
        <f t="shared" si="38"/>
        <v>6051335.2707592584</v>
      </c>
      <c r="K110" s="64">
        <f>'Loan Prepayment'!$B$6</f>
        <v>7.5</v>
      </c>
      <c r="L110">
        <f>IF(J110&lt;=0,0,MIN(IF(AND('Loan Prepayment'!$E$15="Reduce EMI",O109&gt;0),-PMT(K110/1200,MAX(1,'Loan Prepayment'!$B$7*12-I110+1),J110),L109),J110+M110))</f>
        <v>67460.316473241648</v>
      </c>
      <c r="M110">
        <f t="shared" si="24"/>
        <v>37820.845442245365</v>
      </c>
      <c r="N110">
        <f t="shared" si="25"/>
        <v>29639.471030996283</v>
      </c>
      <c r="O110">
        <f>IF(J110&lt;=0,0,MIN(MAX(0,J110-N110),SUMIFS('Loan Prepayment'!$B$12:$B$31,'Loan Prepayment'!$A$12:$A$31,I110)+0))</f>
        <v>0</v>
      </c>
      <c r="P110">
        <f t="shared" si="26"/>
        <v>6021695.7997282622</v>
      </c>
      <c r="Q110">
        <v>109</v>
      </c>
      <c r="R110">
        <f t="shared" si="39"/>
        <v>7226343.9617234785</v>
      </c>
      <c r="S110" s="64">
        <f>'Loan Prepayment'!$B$6</f>
        <v>7.5</v>
      </c>
      <c r="T110">
        <f>IF(R110&lt;=0,0,MIN(IF(AND('Loan Prepayment'!$E$15="Reduce EMI",W109&gt;0),-PMT(S110/1200,MAX(1,'Loan Prepayment'!$B$7*12-Q110+1),R110),T109),R110+U110))</f>
        <v>80559.31935518072</v>
      </c>
      <c r="U110">
        <f t="shared" si="27"/>
        <v>45164.649760771739</v>
      </c>
      <c r="V110">
        <f t="shared" si="28"/>
        <v>35394.669594408981</v>
      </c>
      <c r="W110">
        <f>IF(R110&lt;=0,0,MIN(MAX(0,R110-V110),0+IF(AND(Q110&gt;='Loan Prepayment'!$B$9,Q110&lt;='Loan Prepayment'!$E$16),'Loan Prepayment'!$B$8,0)))</f>
        <v>0</v>
      </c>
      <c r="X110">
        <f t="shared" si="29"/>
        <v>7190949.2921290696</v>
      </c>
      <c r="Y110">
        <v>109</v>
      </c>
      <c r="Z110">
        <f t="shared" si="40"/>
        <v>6860128.6599128842</v>
      </c>
      <c r="AA110">
        <f>IF(Y110&gt;='Loan Prepayment'!$E$11,'Loan Prepayment'!$E$12,'Loan Prepayment'!$B$6)</f>
        <v>6.5</v>
      </c>
      <c r="AB110">
        <f>IF(Z110&lt;=0,0,MIN(IF(Y110='Loan Prepayment'!$E$11,IF('Loan Prepayment'!$E$13="Keep tenure, recalculate EMI",-PMT(AA110/1200,MAX(1,'Loan Prepayment'!$B$7*12-Y110+1),Z110),AB109),AB109),Z110+AC110))</f>
        <v>80559.31935518072</v>
      </c>
      <c r="AC110">
        <f t="shared" si="30"/>
        <v>37159.030241194792</v>
      </c>
      <c r="AD110">
        <f t="shared" si="31"/>
        <v>43400.289113985928</v>
      </c>
      <c r="AE110">
        <f t="shared" si="32"/>
        <v>0</v>
      </c>
      <c r="AF110">
        <f t="shared" si="33"/>
        <v>6816728.3707988979</v>
      </c>
      <c r="AG110">
        <v>109</v>
      </c>
      <c r="AH110">
        <f t="shared" si="41"/>
        <v>5744666.8386618681</v>
      </c>
      <c r="AI110">
        <f>IF(AG110&gt;='Loan Prepayment'!$E$11,'Loan Prepayment'!$E$12,'Loan Prepayment'!$B$6)</f>
        <v>6.5</v>
      </c>
      <c r="AJ110">
        <f>IF(AH110&lt;=0,0,MIN(IF(AG110='Loan Prepayment'!$E$11,IF('Loan Prepayment'!$E$13="Keep tenure, recalculate EMI",-PMT(AI110/1200,MAX(1,'Loan Prepayment'!$B$7*12-AG110+1),AH110),IF(AND('Loan Prepayment'!$E$15="Reduce EMI",AM109&gt;0),-PMT(AI109/1200,MAX(1,'Loan Prepayment'!$B$7*12-AG110+1),AH110),AJ109)),IF(AND('Loan Prepayment'!$E$15="Reduce EMI",AM109&gt;0),-PMT(AI110/1200,MAX(1,'Loan Prepayment'!$B$7*12-AG110+1),AH110),AJ109)),AH110+AK110))</f>
        <v>67460.316473241648</v>
      </c>
      <c r="AK110">
        <f t="shared" si="34"/>
        <v>31116.945376085117</v>
      </c>
      <c r="AL110">
        <f t="shared" si="35"/>
        <v>36343.371097156531</v>
      </c>
      <c r="AM110">
        <f>IF(AH110&lt;=0,0,MIN(MAX(0,AH110-AL110),SUMIFS('Loan Prepayment'!$B$12:$B$31,'Loan Prepayment'!$A$12:$A$31,AG110)+IF(AND(AG110&gt;='Loan Prepayment'!$B$9,AG110&lt;='Loan Prepayment'!$E$16),'Loan Prepayment'!$B$8,0)))</f>
        <v>0</v>
      </c>
      <c r="AN110">
        <f t="shared" si="36"/>
        <v>5708323.4675647113</v>
      </c>
    </row>
    <row r="111" spans="1:40" x14ac:dyDescent="0.35">
      <c r="A111">
        <v>110</v>
      </c>
      <c r="B111">
        <f t="shared" si="37"/>
        <v>7190949.2921290696</v>
      </c>
      <c r="C111" s="64">
        <f>'Loan Prepayment'!$B$6</f>
        <v>7.5</v>
      </c>
      <c r="D111">
        <f>IF(B111&lt;=0,0,MIN(-PMT('Loan Prepayment'!$B$6/1200,'Loan Prepayment'!$B$7*12,'Loan Prepayment'!$B$5),B111+E111))</f>
        <v>80559.31935518072</v>
      </c>
      <c r="E111">
        <f t="shared" si="21"/>
        <v>44943.433075806686</v>
      </c>
      <c r="F111">
        <f t="shared" si="22"/>
        <v>35615.886279374034</v>
      </c>
      <c r="G111">
        <v>0</v>
      </c>
      <c r="H111">
        <f t="shared" si="23"/>
        <v>7155333.4058496952</v>
      </c>
      <c r="I111">
        <v>110</v>
      </c>
      <c r="J111">
        <f t="shared" si="38"/>
        <v>6021695.7997282622</v>
      </c>
      <c r="K111" s="64">
        <f>'Loan Prepayment'!$B$6</f>
        <v>7.5</v>
      </c>
      <c r="L111">
        <f>IF(J111&lt;=0,0,MIN(IF(AND('Loan Prepayment'!$E$15="Reduce EMI",O110&gt;0),-PMT(K111/1200,MAX(1,'Loan Prepayment'!$B$7*12-I111+1),J111),L110),J111+M111))</f>
        <v>67460.316473241648</v>
      </c>
      <c r="M111">
        <f t="shared" si="24"/>
        <v>37635.598748301643</v>
      </c>
      <c r="N111">
        <f t="shared" si="25"/>
        <v>29824.717724940005</v>
      </c>
      <c r="O111">
        <f>IF(J111&lt;=0,0,MIN(MAX(0,J111-N111),SUMIFS('Loan Prepayment'!$B$12:$B$31,'Loan Prepayment'!$A$12:$A$31,I111)+0))</f>
        <v>0</v>
      </c>
      <c r="P111">
        <f t="shared" si="26"/>
        <v>5991871.0820033224</v>
      </c>
      <c r="Q111">
        <v>110</v>
      </c>
      <c r="R111">
        <f t="shared" si="39"/>
        <v>7190949.2921290696</v>
      </c>
      <c r="S111" s="64">
        <f>'Loan Prepayment'!$B$6</f>
        <v>7.5</v>
      </c>
      <c r="T111">
        <f>IF(R111&lt;=0,0,MIN(IF(AND('Loan Prepayment'!$E$15="Reduce EMI",W110&gt;0),-PMT(S111/1200,MAX(1,'Loan Prepayment'!$B$7*12-Q111+1),R111),T110),R111+U111))</f>
        <v>80559.31935518072</v>
      </c>
      <c r="U111">
        <f t="shared" si="27"/>
        <v>44943.433075806686</v>
      </c>
      <c r="V111">
        <f t="shared" si="28"/>
        <v>35615.886279374034</v>
      </c>
      <c r="W111">
        <f>IF(R111&lt;=0,0,MIN(MAX(0,R111-V111),0+IF(AND(Q111&gt;='Loan Prepayment'!$B$9,Q111&lt;='Loan Prepayment'!$E$16),'Loan Prepayment'!$B$8,0)))</f>
        <v>0</v>
      </c>
      <c r="X111">
        <f t="shared" si="29"/>
        <v>7155333.4058496952</v>
      </c>
      <c r="Y111">
        <v>110</v>
      </c>
      <c r="Z111">
        <f t="shared" si="40"/>
        <v>6816728.3707988979</v>
      </c>
      <c r="AA111">
        <f>IF(Y111&gt;='Loan Prepayment'!$E$11,'Loan Prepayment'!$E$12,'Loan Prepayment'!$B$6)</f>
        <v>6.5</v>
      </c>
      <c r="AB111">
        <f>IF(Z111&lt;=0,0,MIN(IF(Y111='Loan Prepayment'!$E$11,IF('Loan Prepayment'!$E$13="Keep tenure, recalculate EMI",-PMT(AA111/1200,MAX(1,'Loan Prepayment'!$B$7*12-Y111+1),Z111),AB110),AB110),Z111+AC111))</f>
        <v>80559.31935518072</v>
      </c>
      <c r="AC111">
        <f t="shared" si="30"/>
        <v>36923.94534182737</v>
      </c>
      <c r="AD111">
        <f t="shared" si="31"/>
        <v>43635.37401335335</v>
      </c>
      <c r="AE111">
        <f t="shared" si="32"/>
        <v>0</v>
      </c>
      <c r="AF111">
        <f t="shared" si="33"/>
        <v>6773092.9967855448</v>
      </c>
      <c r="AG111">
        <v>110</v>
      </c>
      <c r="AH111">
        <f t="shared" si="41"/>
        <v>5708323.4675647113</v>
      </c>
      <c r="AI111">
        <f>IF(AG111&gt;='Loan Prepayment'!$E$11,'Loan Prepayment'!$E$12,'Loan Prepayment'!$B$6)</f>
        <v>6.5</v>
      </c>
      <c r="AJ111">
        <f>IF(AH111&lt;=0,0,MIN(IF(AG111='Loan Prepayment'!$E$11,IF('Loan Prepayment'!$E$13="Keep tenure, recalculate EMI",-PMT(AI111/1200,MAX(1,'Loan Prepayment'!$B$7*12-AG111+1),AH111),IF(AND('Loan Prepayment'!$E$15="Reduce EMI",AM110&gt;0),-PMT(AI110/1200,MAX(1,'Loan Prepayment'!$B$7*12-AG111+1),AH111),AJ110)),IF(AND('Loan Prepayment'!$E$15="Reduce EMI",AM110&gt;0),-PMT(AI111/1200,MAX(1,'Loan Prepayment'!$B$7*12-AG111+1),AH111),AJ110)),AH111+AK111))</f>
        <v>67460.316473241648</v>
      </c>
      <c r="AK111">
        <f t="shared" si="34"/>
        <v>30920.085449308852</v>
      </c>
      <c r="AL111">
        <f t="shared" si="35"/>
        <v>36540.231023932793</v>
      </c>
      <c r="AM111">
        <f>IF(AH111&lt;=0,0,MIN(MAX(0,AH111-AL111),SUMIFS('Loan Prepayment'!$B$12:$B$31,'Loan Prepayment'!$A$12:$A$31,AG111)+IF(AND(AG111&gt;='Loan Prepayment'!$B$9,AG111&lt;='Loan Prepayment'!$E$16),'Loan Prepayment'!$B$8,0)))</f>
        <v>0</v>
      </c>
      <c r="AN111">
        <f t="shared" si="36"/>
        <v>5671783.2365407785</v>
      </c>
    </row>
    <row r="112" spans="1:40" x14ac:dyDescent="0.35">
      <c r="A112">
        <v>111</v>
      </c>
      <c r="B112">
        <f t="shared" si="37"/>
        <v>7155333.4058496952</v>
      </c>
      <c r="C112" s="64">
        <f>'Loan Prepayment'!$B$6</f>
        <v>7.5</v>
      </c>
      <c r="D112">
        <f>IF(B112&lt;=0,0,MIN(-PMT('Loan Prepayment'!$B$6/1200,'Loan Prepayment'!$B$7*12,'Loan Prepayment'!$B$5),B112+E112))</f>
        <v>80559.31935518072</v>
      </c>
      <c r="E112">
        <f t="shared" si="21"/>
        <v>44720.833786560594</v>
      </c>
      <c r="F112">
        <f t="shared" si="22"/>
        <v>35838.485568620126</v>
      </c>
      <c r="G112">
        <v>0</v>
      </c>
      <c r="H112">
        <f t="shared" si="23"/>
        <v>7119494.9202810749</v>
      </c>
      <c r="I112">
        <v>111</v>
      </c>
      <c r="J112">
        <f t="shared" si="38"/>
        <v>5991871.0820033224</v>
      </c>
      <c r="K112" s="64">
        <f>'Loan Prepayment'!$B$6</f>
        <v>7.5</v>
      </c>
      <c r="L112">
        <f>IF(J112&lt;=0,0,MIN(IF(AND('Loan Prepayment'!$E$15="Reduce EMI",O111&gt;0),-PMT(K112/1200,MAX(1,'Loan Prepayment'!$B$7*12-I112+1),J112),L111),J112+M112))</f>
        <v>67460.316473241648</v>
      </c>
      <c r="M112">
        <f t="shared" si="24"/>
        <v>37449.194262520767</v>
      </c>
      <c r="N112">
        <f t="shared" si="25"/>
        <v>30011.122210720881</v>
      </c>
      <c r="O112">
        <f>IF(J112&lt;=0,0,MIN(MAX(0,J112-N112),SUMIFS('Loan Prepayment'!$B$12:$B$31,'Loan Prepayment'!$A$12:$A$31,I112)+0))</f>
        <v>0</v>
      </c>
      <c r="P112">
        <f t="shared" si="26"/>
        <v>5961859.9597926019</v>
      </c>
      <c r="Q112">
        <v>111</v>
      </c>
      <c r="R112">
        <f t="shared" si="39"/>
        <v>7155333.4058496952</v>
      </c>
      <c r="S112" s="64">
        <f>'Loan Prepayment'!$B$6</f>
        <v>7.5</v>
      </c>
      <c r="T112">
        <f>IF(R112&lt;=0,0,MIN(IF(AND('Loan Prepayment'!$E$15="Reduce EMI",W111&gt;0),-PMT(S112/1200,MAX(1,'Loan Prepayment'!$B$7*12-Q112+1),R112),T111),R112+U112))</f>
        <v>80559.31935518072</v>
      </c>
      <c r="U112">
        <f t="shared" si="27"/>
        <v>44720.833786560594</v>
      </c>
      <c r="V112">
        <f t="shared" si="28"/>
        <v>35838.485568620126</v>
      </c>
      <c r="W112">
        <f>IF(R112&lt;=0,0,MIN(MAX(0,R112-V112),0+IF(AND(Q112&gt;='Loan Prepayment'!$B$9,Q112&lt;='Loan Prepayment'!$E$16),'Loan Prepayment'!$B$8,0)))</f>
        <v>0</v>
      </c>
      <c r="X112">
        <f t="shared" si="29"/>
        <v>7119494.9202810749</v>
      </c>
      <c r="Y112">
        <v>111</v>
      </c>
      <c r="Z112">
        <f t="shared" si="40"/>
        <v>6773092.9967855448</v>
      </c>
      <c r="AA112">
        <f>IF(Y112&gt;='Loan Prepayment'!$E$11,'Loan Prepayment'!$E$12,'Loan Prepayment'!$B$6)</f>
        <v>6.5</v>
      </c>
      <c r="AB112">
        <f>IF(Z112&lt;=0,0,MIN(IF(Y112='Loan Prepayment'!$E$11,IF('Loan Prepayment'!$E$13="Keep tenure, recalculate EMI",-PMT(AA112/1200,MAX(1,'Loan Prepayment'!$B$7*12-Y112+1),Z112),AB111),AB111),Z112+AC112))</f>
        <v>80559.31935518072</v>
      </c>
      <c r="AC112">
        <f t="shared" si="30"/>
        <v>36687.587065921696</v>
      </c>
      <c r="AD112">
        <f t="shared" si="31"/>
        <v>43871.732289259024</v>
      </c>
      <c r="AE112">
        <f t="shared" si="32"/>
        <v>0</v>
      </c>
      <c r="AF112">
        <f t="shared" si="33"/>
        <v>6729221.2644962855</v>
      </c>
      <c r="AG112">
        <v>111</v>
      </c>
      <c r="AH112">
        <f t="shared" si="41"/>
        <v>5671783.2365407785</v>
      </c>
      <c r="AI112">
        <f>IF(AG112&gt;='Loan Prepayment'!$E$11,'Loan Prepayment'!$E$12,'Loan Prepayment'!$B$6)</f>
        <v>6.5</v>
      </c>
      <c r="AJ112">
        <f>IF(AH112&lt;=0,0,MIN(IF(AG112='Loan Prepayment'!$E$11,IF('Loan Prepayment'!$E$13="Keep tenure, recalculate EMI",-PMT(AI112/1200,MAX(1,'Loan Prepayment'!$B$7*12-AG112+1),AH112),IF(AND('Loan Prepayment'!$E$15="Reduce EMI",AM111&gt;0),-PMT(AI111/1200,MAX(1,'Loan Prepayment'!$B$7*12-AG112+1),AH112),AJ111)),IF(AND('Loan Prepayment'!$E$15="Reduce EMI",AM111&gt;0),-PMT(AI112/1200,MAX(1,'Loan Prepayment'!$B$7*12-AG112+1),AH112),AJ111)),AH112+AK112))</f>
        <v>67460.316473241648</v>
      </c>
      <c r="AK112">
        <f t="shared" si="34"/>
        <v>30722.159197929217</v>
      </c>
      <c r="AL112">
        <f t="shared" si="35"/>
        <v>36738.157275312435</v>
      </c>
      <c r="AM112">
        <f>IF(AH112&lt;=0,0,MIN(MAX(0,AH112-AL112),SUMIFS('Loan Prepayment'!$B$12:$B$31,'Loan Prepayment'!$A$12:$A$31,AG112)+IF(AND(AG112&gt;='Loan Prepayment'!$B$9,AG112&lt;='Loan Prepayment'!$E$16),'Loan Prepayment'!$B$8,0)))</f>
        <v>0</v>
      </c>
      <c r="AN112">
        <f t="shared" si="36"/>
        <v>5635045.079265466</v>
      </c>
    </row>
    <row r="113" spans="1:40" x14ac:dyDescent="0.35">
      <c r="A113">
        <v>112</v>
      </c>
      <c r="B113">
        <f t="shared" si="37"/>
        <v>7119494.9202810749</v>
      </c>
      <c r="C113" s="64">
        <f>'Loan Prepayment'!$B$6</f>
        <v>7.5</v>
      </c>
      <c r="D113">
        <f>IF(B113&lt;=0,0,MIN(-PMT('Loan Prepayment'!$B$6/1200,'Loan Prepayment'!$B$7*12,'Loan Prepayment'!$B$5),B113+E113))</f>
        <v>80559.31935518072</v>
      </c>
      <c r="E113">
        <f t="shared" si="21"/>
        <v>44496.843251756713</v>
      </c>
      <c r="F113">
        <f t="shared" si="22"/>
        <v>36062.476103424007</v>
      </c>
      <c r="G113">
        <v>0</v>
      </c>
      <c r="H113">
        <f t="shared" si="23"/>
        <v>7083432.4441776508</v>
      </c>
      <c r="I113">
        <v>112</v>
      </c>
      <c r="J113">
        <f t="shared" si="38"/>
        <v>5961859.9597926019</v>
      </c>
      <c r="K113" s="64">
        <f>'Loan Prepayment'!$B$6</f>
        <v>7.5</v>
      </c>
      <c r="L113">
        <f>IF(J113&lt;=0,0,MIN(IF(AND('Loan Prepayment'!$E$15="Reduce EMI",O112&gt;0),-PMT(K113/1200,MAX(1,'Loan Prepayment'!$B$7*12-I113+1),J113),L112),J113+M113))</f>
        <v>67460.316473241648</v>
      </c>
      <c r="M113">
        <f t="shared" si="24"/>
        <v>37261.624748703762</v>
      </c>
      <c r="N113">
        <f t="shared" si="25"/>
        <v>30198.691724537886</v>
      </c>
      <c r="O113">
        <f>IF(J113&lt;=0,0,MIN(MAX(0,J113-N113),SUMIFS('Loan Prepayment'!$B$12:$B$31,'Loan Prepayment'!$A$12:$A$31,I113)+0))</f>
        <v>0</v>
      </c>
      <c r="P113">
        <f t="shared" si="26"/>
        <v>5931661.268068064</v>
      </c>
      <c r="Q113">
        <v>112</v>
      </c>
      <c r="R113">
        <f t="shared" si="39"/>
        <v>7119494.9202810749</v>
      </c>
      <c r="S113" s="64">
        <f>'Loan Prepayment'!$B$6</f>
        <v>7.5</v>
      </c>
      <c r="T113">
        <f>IF(R113&lt;=0,0,MIN(IF(AND('Loan Prepayment'!$E$15="Reduce EMI",W112&gt;0),-PMT(S113/1200,MAX(1,'Loan Prepayment'!$B$7*12-Q113+1),R113),T112),R113+U113))</f>
        <v>80559.31935518072</v>
      </c>
      <c r="U113">
        <f t="shared" si="27"/>
        <v>44496.843251756713</v>
      </c>
      <c r="V113">
        <f t="shared" si="28"/>
        <v>36062.476103424007</v>
      </c>
      <c r="W113">
        <f>IF(R113&lt;=0,0,MIN(MAX(0,R113-V113),0+IF(AND(Q113&gt;='Loan Prepayment'!$B$9,Q113&lt;='Loan Prepayment'!$E$16),'Loan Prepayment'!$B$8,0)))</f>
        <v>0</v>
      </c>
      <c r="X113">
        <f t="shared" si="29"/>
        <v>7083432.4441776508</v>
      </c>
      <c r="Y113">
        <v>112</v>
      </c>
      <c r="Z113">
        <f t="shared" si="40"/>
        <v>6729221.2644962855</v>
      </c>
      <c r="AA113">
        <f>IF(Y113&gt;='Loan Prepayment'!$E$11,'Loan Prepayment'!$E$12,'Loan Prepayment'!$B$6)</f>
        <v>6.5</v>
      </c>
      <c r="AB113">
        <f>IF(Z113&lt;=0,0,MIN(IF(Y113='Loan Prepayment'!$E$11,IF('Loan Prepayment'!$E$13="Keep tenure, recalculate EMI",-PMT(AA113/1200,MAX(1,'Loan Prepayment'!$B$7*12-Y113+1),Z113),AB112),AB112),Z113+AC113))</f>
        <v>80559.31935518072</v>
      </c>
      <c r="AC113">
        <f t="shared" si="30"/>
        <v>36449.948516021548</v>
      </c>
      <c r="AD113">
        <f t="shared" si="31"/>
        <v>44109.370839159172</v>
      </c>
      <c r="AE113">
        <f t="shared" si="32"/>
        <v>0</v>
      </c>
      <c r="AF113">
        <f t="shared" si="33"/>
        <v>6685111.8936571265</v>
      </c>
      <c r="AG113">
        <v>112</v>
      </c>
      <c r="AH113">
        <f t="shared" si="41"/>
        <v>5635045.079265466</v>
      </c>
      <c r="AI113">
        <f>IF(AG113&gt;='Loan Prepayment'!$E$11,'Loan Prepayment'!$E$12,'Loan Prepayment'!$B$6)</f>
        <v>6.5</v>
      </c>
      <c r="AJ113">
        <f>IF(AH113&lt;=0,0,MIN(IF(AG113='Loan Prepayment'!$E$11,IF('Loan Prepayment'!$E$13="Keep tenure, recalculate EMI",-PMT(AI113/1200,MAX(1,'Loan Prepayment'!$B$7*12-AG113+1),AH113),IF(AND('Loan Prepayment'!$E$15="Reduce EMI",AM112&gt;0),-PMT(AI112/1200,MAX(1,'Loan Prepayment'!$B$7*12-AG113+1),AH113),AJ112)),IF(AND('Loan Prepayment'!$E$15="Reduce EMI",AM112&gt;0),-PMT(AI113/1200,MAX(1,'Loan Prepayment'!$B$7*12-AG113+1),AH113),AJ112)),AH113+AK113))</f>
        <v>67460.316473241648</v>
      </c>
      <c r="AK113">
        <f t="shared" si="34"/>
        <v>30523.160846021274</v>
      </c>
      <c r="AL113">
        <f t="shared" si="35"/>
        <v>36937.155627220374</v>
      </c>
      <c r="AM113">
        <f>IF(AH113&lt;=0,0,MIN(MAX(0,AH113-AL113),SUMIFS('Loan Prepayment'!$B$12:$B$31,'Loan Prepayment'!$A$12:$A$31,AG113)+IF(AND(AG113&gt;='Loan Prepayment'!$B$9,AG113&lt;='Loan Prepayment'!$E$16),'Loan Prepayment'!$B$8,0)))</f>
        <v>0</v>
      </c>
      <c r="AN113">
        <f t="shared" si="36"/>
        <v>5598107.923638246</v>
      </c>
    </row>
    <row r="114" spans="1:40" x14ac:dyDescent="0.35">
      <c r="A114">
        <v>113</v>
      </c>
      <c r="B114">
        <f t="shared" si="37"/>
        <v>7083432.4441776508</v>
      </c>
      <c r="C114" s="64">
        <f>'Loan Prepayment'!$B$6</f>
        <v>7.5</v>
      </c>
      <c r="D114">
        <f>IF(B114&lt;=0,0,MIN(-PMT('Loan Prepayment'!$B$6/1200,'Loan Prepayment'!$B$7*12,'Loan Prepayment'!$B$5),B114+E114))</f>
        <v>80559.31935518072</v>
      </c>
      <c r="E114">
        <f t="shared" si="21"/>
        <v>44271.452776110316</v>
      </c>
      <c r="F114">
        <f t="shared" si="22"/>
        <v>36287.866579070404</v>
      </c>
      <c r="G114">
        <v>0</v>
      </c>
      <c r="H114">
        <f t="shared" si="23"/>
        <v>7047144.5775985802</v>
      </c>
      <c r="I114">
        <v>113</v>
      </c>
      <c r="J114">
        <f t="shared" si="38"/>
        <v>5931661.268068064</v>
      </c>
      <c r="K114" s="64">
        <f>'Loan Prepayment'!$B$6</f>
        <v>7.5</v>
      </c>
      <c r="L114">
        <f>IF(J114&lt;=0,0,MIN(IF(AND('Loan Prepayment'!$E$15="Reduce EMI",O113&gt;0),-PMT(K114/1200,MAX(1,'Loan Prepayment'!$B$7*12-I114+1),J114),L113),J114+M114))</f>
        <v>67460.316473241648</v>
      </c>
      <c r="M114">
        <f t="shared" si="24"/>
        <v>37072.882925425401</v>
      </c>
      <c r="N114">
        <f t="shared" si="25"/>
        <v>30387.433547816247</v>
      </c>
      <c r="O114">
        <f>IF(J114&lt;=0,0,MIN(MAX(0,J114-N114),SUMIFS('Loan Prepayment'!$B$12:$B$31,'Loan Prepayment'!$A$12:$A$31,I114)+0))</f>
        <v>0</v>
      </c>
      <c r="P114">
        <f t="shared" si="26"/>
        <v>5901273.8345202478</v>
      </c>
      <c r="Q114">
        <v>113</v>
      </c>
      <c r="R114">
        <f t="shared" si="39"/>
        <v>7083432.4441776508</v>
      </c>
      <c r="S114" s="64">
        <f>'Loan Prepayment'!$B$6</f>
        <v>7.5</v>
      </c>
      <c r="T114">
        <f>IF(R114&lt;=0,0,MIN(IF(AND('Loan Prepayment'!$E$15="Reduce EMI",W113&gt;0),-PMT(S114/1200,MAX(1,'Loan Prepayment'!$B$7*12-Q114+1),R114),T113),R114+U114))</f>
        <v>80559.31935518072</v>
      </c>
      <c r="U114">
        <f t="shared" si="27"/>
        <v>44271.452776110316</v>
      </c>
      <c r="V114">
        <f t="shared" si="28"/>
        <v>36287.866579070404</v>
      </c>
      <c r="W114">
        <f>IF(R114&lt;=0,0,MIN(MAX(0,R114-V114),0+IF(AND(Q114&gt;='Loan Prepayment'!$B$9,Q114&lt;='Loan Prepayment'!$E$16),'Loan Prepayment'!$B$8,0)))</f>
        <v>0</v>
      </c>
      <c r="X114">
        <f t="shared" si="29"/>
        <v>7047144.5775985802</v>
      </c>
      <c r="Y114">
        <v>113</v>
      </c>
      <c r="Z114">
        <f t="shared" si="40"/>
        <v>6685111.8936571265</v>
      </c>
      <c r="AA114">
        <f>IF(Y114&gt;='Loan Prepayment'!$E$11,'Loan Prepayment'!$E$12,'Loan Prepayment'!$B$6)</f>
        <v>6.5</v>
      </c>
      <c r="AB114">
        <f>IF(Z114&lt;=0,0,MIN(IF(Y114='Loan Prepayment'!$E$11,IF('Loan Prepayment'!$E$13="Keep tenure, recalculate EMI",-PMT(AA114/1200,MAX(1,'Loan Prepayment'!$B$7*12-Y114+1),Z114),AB113),AB113),Z114+AC114))</f>
        <v>80559.31935518072</v>
      </c>
      <c r="AC114">
        <f t="shared" si="30"/>
        <v>36211.022757309431</v>
      </c>
      <c r="AD114">
        <f t="shared" si="31"/>
        <v>44348.296597871289</v>
      </c>
      <c r="AE114">
        <f t="shared" si="32"/>
        <v>0</v>
      </c>
      <c r="AF114">
        <f t="shared" si="33"/>
        <v>6640763.5970592555</v>
      </c>
      <c r="AG114">
        <v>113</v>
      </c>
      <c r="AH114">
        <f t="shared" si="41"/>
        <v>5598107.923638246</v>
      </c>
      <c r="AI114">
        <f>IF(AG114&gt;='Loan Prepayment'!$E$11,'Loan Prepayment'!$E$12,'Loan Prepayment'!$B$6)</f>
        <v>6.5</v>
      </c>
      <c r="AJ114">
        <f>IF(AH114&lt;=0,0,MIN(IF(AG114='Loan Prepayment'!$E$11,IF('Loan Prepayment'!$E$13="Keep tenure, recalculate EMI",-PMT(AI114/1200,MAX(1,'Loan Prepayment'!$B$7*12-AG114+1),AH114),IF(AND('Loan Prepayment'!$E$15="Reduce EMI",AM113&gt;0),-PMT(AI113/1200,MAX(1,'Loan Prepayment'!$B$7*12-AG114+1),AH114),AJ113)),IF(AND('Loan Prepayment'!$E$15="Reduce EMI",AM113&gt;0),-PMT(AI114/1200,MAX(1,'Loan Prepayment'!$B$7*12-AG114+1),AH114),AJ113)),AH114+AK114))</f>
        <v>67460.316473241648</v>
      </c>
      <c r="AK114">
        <f t="shared" si="34"/>
        <v>30323.084586373836</v>
      </c>
      <c r="AL114">
        <f t="shared" si="35"/>
        <v>37137.231886867812</v>
      </c>
      <c r="AM114">
        <f>IF(AH114&lt;=0,0,MIN(MAX(0,AH114-AL114),SUMIFS('Loan Prepayment'!$B$12:$B$31,'Loan Prepayment'!$A$12:$A$31,AG114)+IF(AND(AG114&gt;='Loan Prepayment'!$B$9,AG114&lt;='Loan Prepayment'!$E$16),'Loan Prepayment'!$B$8,0)))</f>
        <v>0</v>
      </c>
      <c r="AN114">
        <f t="shared" si="36"/>
        <v>5560970.6917513786</v>
      </c>
    </row>
    <row r="115" spans="1:40" x14ac:dyDescent="0.35">
      <c r="A115">
        <v>114</v>
      </c>
      <c r="B115">
        <f t="shared" si="37"/>
        <v>7047144.5775985802</v>
      </c>
      <c r="C115" s="64">
        <f>'Loan Prepayment'!$B$6</f>
        <v>7.5</v>
      </c>
      <c r="D115">
        <f>IF(B115&lt;=0,0,MIN(-PMT('Loan Prepayment'!$B$6/1200,'Loan Prepayment'!$B$7*12,'Loan Prepayment'!$B$5),B115+E115))</f>
        <v>80559.31935518072</v>
      </c>
      <c r="E115">
        <f t="shared" si="21"/>
        <v>44044.653609991125</v>
      </c>
      <c r="F115">
        <f t="shared" si="22"/>
        <v>36514.665745189595</v>
      </c>
      <c r="G115">
        <v>0</v>
      </c>
      <c r="H115">
        <f t="shared" si="23"/>
        <v>7010629.9118533907</v>
      </c>
      <c r="I115">
        <v>114</v>
      </c>
      <c r="J115">
        <f t="shared" si="38"/>
        <v>5901273.8345202478</v>
      </c>
      <c r="K115" s="64">
        <f>'Loan Prepayment'!$B$6</f>
        <v>7.5</v>
      </c>
      <c r="L115">
        <f>IF(J115&lt;=0,0,MIN(IF(AND('Loan Prepayment'!$E$15="Reduce EMI",O114&gt;0),-PMT(K115/1200,MAX(1,'Loan Prepayment'!$B$7*12-I115+1),J115),L114),J115+M115))</f>
        <v>67460.316473241648</v>
      </c>
      <c r="M115">
        <f t="shared" si="24"/>
        <v>36882.961465751549</v>
      </c>
      <c r="N115">
        <f t="shared" si="25"/>
        <v>30577.3550074901</v>
      </c>
      <c r="O115">
        <f>IF(J115&lt;=0,0,MIN(MAX(0,J115-N115),SUMIFS('Loan Prepayment'!$B$12:$B$31,'Loan Prepayment'!$A$12:$A$31,I115)+0))</f>
        <v>0</v>
      </c>
      <c r="P115">
        <f t="shared" si="26"/>
        <v>5870696.4795127576</v>
      </c>
      <c r="Q115">
        <v>114</v>
      </c>
      <c r="R115">
        <f t="shared" si="39"/>
        <v>7047144.5775985802</v>
      </c>
      <c r="S115" s="64">
        <f>'Loan Prepayment'!$B$6</f>
        <v>7.5</v>
      </c>
      <c r="T115">
        <f>IF(R115&lt;=0,0,MIN(IF(AND('Loan Prepayment'!$E$15="Reduce EMI",W114&gt;0),-PMT(S115/1200,MAX(1,'Loan Prepayment'!$B$7*12-Q115+1),R115),T114),R115+U115))</f>
        <v>80559.31935518072</v>
      </c>
      <c r="U115">
        <f t="shared" si="27"/>
        <v>44044.653609991125</v>
      </c>
      <c r="V115">
        <f t="shared" si="28"/>
        <v>36514.665745189595</v>
      </c>
      <c r="W115">
        <f>IF(R115&lt;=0,0,MIN(MAX(0,R115-V115),0+IF(AND(Q115&gt;='Loan Prepayment'!$B$9,Q115&lt;='Loan Prepayment'!$E$16),'Loan Prepayment'!$B$8,0)))</f>
        <v>0</v>
      </c>
      <c r="X115">
        <f t="shared" si="29"/>
        <v>7010629.9118533907</v>
      </c>
      <c r="Y115">
        <v>114</v>
      </c>
      <c r="Z115">
        <f t="shared" si="40"/>
        <v>6640763.5970592555</v>
      </c>
      <c r="AA115">
        <f>IF(Y115&gt;='Loan Prepayment'!$E$11,'Loan Prepayment'!$E$12,'Loan Prepayment'!$B$6)</f>
        <v>6.5</v>
      </c>
      <c r="AB115">
        <f>IF(Z115&lt;=0,0,MIN(IF(Y115='Loan Prepayment'!$E$11,IF('Loan Prepayment'!$E$13="Keep tenure, recalculate EMI",-PMT(AA115/1200,MAX(1,'Loan Prepayment'!$B$7*12-Y115+1),Z115),AB114),AB114),Z115+AC115))</f>
        <v>80559.31935518072</v>
      </c>
      <c r="AC115">
        <f t="shared" si="30"/>
        <v>35970.802817404299</v>
      </c>
      <c r="AD115">
        <f t="shared" si="31"/>
        <v>44588.516537776421</v>
      </c>
      <c r="AE115">
        <f t="shared" si="32"/>
        <v>0</v>
      </c>
      <c r="AF115">
        <f t="shared" si="33"/>
        <v>6596175.0805214792</v>
      </c>
      <c r="AG115">
        <v>114</v>
      </c>
      <c r="AH115">
        <f t="shared" si="41"/>
        <v>5560970.6917513786</v>
      </c>
      <c r="AI115">
        <f>IF(AG115&gt;='Loan Prepayment'!$E$11,'Loan Prepayment'!$E$12,'Loan Prepayment'!$B$6)</f>
        <v>6.5</v>
      </c>
      <c r="AJ115">
        <f>IF(AH115&lt;=0,0,MIN(IF(AG115='Loan Prepayment'!$E$11,IF('Loan Prepayment'!$E$13="Keep tenure, recalculate EMI",-PMT(AI115/1200,MAX(1,'Loan Prepayment'!$B$7*12-AG115+1),AH115),IF(AND('Loan Prepayment'!$E$15="Reduce EMI",AM114&gt;0),-PMT(AI114/1200,MAX(1,'Loan Prepayment'!$B$7*12-AG115+1),AH115),AJ114)),IF(AND('Loan Prepayment'!$E$15="Reduce EMI",AM114&gt;0),-PMT(AI115/1200,MAX(1,'Loan Prepayment'!$B$7*12-AG115+1),AH115),AJ114)),AH115+AK115))</f>
        <v>67460.316473241648</v>
      </c>
      <c r="AK115">
        <f t="shared" si="34"/>
        <v>30121.924580319963</v>
      </c>
      <c r="AL115">
        <f t="shared" si="35"/>
        <v>37338.391892921689</v>
      </c>
      <c r="AM115">
        <f>IF(AH115&lt;=0,0,MIN(MAX(0,AH115-AL115),SUMIFS('Loan Prepayment'!$B$12:$B$31,'Loan Prepayment'!$A$12:$A$31,AG115)+IF(AND(AG115&gt;='Loan Prepayment'!$B$9,AG115&lt;='Loan Prepayment'!$E$16),'Loan Prepayment'!$B$8,0)))</f>
        <v>0</v>
      </c>
      <c r="AN115">
        <f t="shared" si="36"/>
        <v>5523632.2998584565</v>
      </c>
    </row>
    <row r="116" spans="1:40" x14ac:dyDescent="0.35">
      <c r="A116">
        <v>115</v>
      </c>
      <c r="B116">
        <f t="shared" si="37"/>
        <v>7010629.9118533907</v>
      </c>
      <c r="C116" s="64">
        <f>'Loan Prepayment'!$B$6</f>
        <v>7.5</v>
      </c>
      <c r="D116">
        <f>IF(B116&lt;=0,0,MIN(-PMT('Loan Prepayment'!$B$6/1200,'Loan Prepayment'!$B$7*12,'Loan Prepayment'!$B$5),B116+E116))</f>
        <v>80559.31935518072</v>
      </c>
      <c r="E116">
        <f t="shared" si="21"/>
        <v>43816.436949083691</v>
      </c>
      <c r="F116">
        <f t="shared" si="22"/>
        <v>36742.882406097029</v>
      </c>
      <c r="G116">
        <v>0</v>
      </c>
      <c r="H116">
        <f t="shared" si="23"/>
        <v>6973887.0294472938</v>
      </c>
      <c r="I116">
        <v>115</v>
      </c>
      <c r="J116">
        <f t="shared" si="38"/>
        <v>5870696.4795127576</v>
      </c>
      <c r="K116" s="64">
        <f>'Loan Prepayment'!$B$6</f>
        <v>7.5</v>
      </c>
      <c r="L116">
        <f>IF(J116&lt;=0,0,MIN(IF(AND('Loan Prepayment'!$E$15="Reduce EMI",O115&gt;0),-PMT(K116/1200,MAX(1,'Loan Prepayment'!$B$7*12-I116+1),J116),L115),J116+M116))</f>
        <v>67460.316473241648</v>
      </c>
      <c r="M116">
        <f t="shared" si="24"/>
        <v>36691.852996954738</v>
      </c>
      <c r="N116">
        <f t="shared" si="25"/>
        <v>30768.46347628691</v>
      </c>
      <c r="O116">
        <f>IF(J116&lt;=0,0,MIN(MAX(0,J116-N116),SUMIFS('Loan Prepayment'!$B$12:$B$31,'Loan Prepayment'!$A$12:$A$31,I116)+0))</f>
        <v>0</v>
      </c>
      <c r="P116">
        <f t="shared" si="26"/>
        <v>5839928.0160364704</v>
      </c>
      <c r="Q116">
        <v>115</v>
      </c>
      <c r="R116">
        <f t="shared" si="39"/>
        <v>7010629.9118533907</v>
      </c>
      <c r="S116" s="64">
        <f>'Loan Prepayment'!$B$6</f>
        <v>7.5</v>
      </c>
      <c r="T116">
        <f>IF(R116&lt;=0,0,MIN(IF(AND('Loan Prepayment'!$E$15="Reduce EMI",W115&gt;0),-PMT(S116/1200,MAX(1,'Loan Prepayment'!$B$7*12-Q116+1),R116),T115),R116+U116))</f>
        <v>80559.31935518072</v>
      </c>
      <c r="U116">
        <f t="shared" si="27"/>
        <v>43816.436949083691</v>
      </c>
      <c r="V116">
        <f t="shared" si="28"/>
        <v>36742.882406097029</v>
      </c>
      <c r="W116">
        <f>IF(R116&lt;=0,0,MIN(MAX(0,R116-V116),0+IF(AND(Q116&gt;='Loan Prepayment'!$B$9,Q116&lt;='Loan Prepayment'!$E$16),'Loan Prepayment'!$B$8,0)))</f>
        <v>0</v>
      </c>
      <c r="X116">
        <f t="shared" si="29"/>
        <v>6973887.0294472938</v>
      </c>
      <c r="Y116">
        <v>115</v>
      </c>
      <c r="Z116">
        <f t="shared" si="40"/>
        <v>6596175.0805214792</v>
      </c>
      <c r="AA116">
        <f>IF(Y116&gt;='Loan Prepayment'!$E$11,'Loan Prepayment'!$E$12,'Loan Prepayment'!$B$6)</f>
        <v>6.5</v>
      </c>
      <c r="AB116">
        <f>IF(Z116&lt;=0,0,MIN(IF(Y116='Loan Prepayment'!$E$11,IF('Loan Prepayment'!$E$13="Keep tenure, recalculate EMI",-PMT(AA116/1200,MAX(1,'Loan Prepayment'!$B$7*12-Y116+1),Z116),AB115),AB115),Z116+AC116))</f>
        <v>80559.31935518072</v>
      </c>
      <c r="AC116">
        <f t="shared" si="30"/>
        <v>35729.281686158014</v>
      </c>
      <c r="AD116">
        <f t="shared" si="31"/>
        <v>44830.037669022706</v>
      </c>
      <c r="AE116">
        <f t="shared" si="32"/>
        <v>0</v>
      </c>
      <c r="AF116">
        <f t="shared" si="33"/>
        <v>6551345.0428524567</v>
      </c>
      <c r="AG116">
        <v>115</v>
      </c>
      <c r="AH116">
        <f t="shared" si="41"/>
        <v>5523632.2998584565</v>
      </c>
      <c r="AI116">
        <f>IF(AG116&gt;='Loan Prepayment'!$E$11,'Loan Prepayment'!$E$12,'Loan Prepayment'!$B$6)</f>
        <v>6.5</v>
      </c>
      <c r="AJ116">
        <f>IF(AH116&lt;=0,0,MIN(IF(AG116='Loan Prepayment'!$E$11,IF('Loan Prepayment'!$E$13="Keep tenure, recalculate EMI",-PMT(AI116/1200,MAX(1,'Loan Prepayment'!$B$7*12-AG116+1),AH116),IF(AND('Loan Prepayment'!$E$15="Reduce EMI",AM115&gt;0),-PMT(AI115/1200,MAX(1,'Loan Prepayment'!$B$7*12-AG116+1),AH116),AJ115)),IF(AND('Loan Prepayment'!$E$15="Reduce EMI",AM115&gt;0),-PMT(AI116/1200,MAX(1,'Loan Prepayment'!$B$7*12-AG116+1),AH116),AJ115)),AH116+AK116))</f>
        <v>67460.316473241648</v>
      </c>
      <c r="AK116">
        <f t="shared" si="34"/>
        <v>29919.67495756664</v>
      </c>
      <c r="AL116">
        <f t="shared" si="35"/>
        <v>37540.641515675008</v>
      </c>
      <c r="AM116">
        <f>IF(AH116&lt;=0,0,MIN(MAX(0,AH116-AL116),SUMIFS('Loan Prepayment'!$B$12:$B$31,'Loan Prepayment'!$A$12:$A$31,AG116)+IF(AND(AG116&gt;='Loan Prepayment'!$B$9,AG116&lt;='Loan Prepayment'!$E$16),'Loan Prepayment'!$B$8,0)))</f>
        <v>0</v>
      </c>
      <c r="AN116">
        <f t="shared" si="36"/>
        <v>5486091.6583427815</v>
      </c>
    </row>
    <row r="117" spans="1:40" x14ac:dyDescent="0.35">
      <c r="A117">
        <v>116</v>
      </c>
      <c r="B117">
        <f t="shared" si="37"/>
        <v>6973887.0294472938</v>
      </c>
      <c r="C117" s="64">
        <f>'Loan Prepayment'!$B$6</f>
        <v>7.5</v>
      </c>
      <c r="D117">
        <f>IF(B117&lt;=0,0,MIN(-PMT('Loan Prepayment'!$B$6/1200,'Loan Prepayment'!$B$7*12,'Loan Prepayment'!$B$5),B117+E117))</f>
        <v>80559.31935518072</v>
      </c>
      <c r="E117">
        <f t="shared" si="21"/>
        <v>43586.793934045592</v>
      </c>
      <c r="F117">
        <f t="shared" si="22"/>
        <v>36972.525421135128</v>
      </c>
      <c r="G117">
        <v>0</v>
      </c>
      <c r="H117">
        <f t="shared" si="23"/>
        <v>6936914.5040261587</v>
      </c>
      <c r="I117">
        <v>116</v>
      </c>
      <c r="J117">
        <f t="shared" si="38"/>
        <v>5839928.0160364704</v>
      </c>
      <c r="K117" s="64">
        <f>'Loan Prepayment'!$B$6</f>
        <v>7.5</v>
      </c>
      <c r="L117">
        <f>IF(J117&lt;=0,0,MIN(IF(AND('Loan Prepayment'!$E$15="Reduce EMI",O116&gt;0),-PMT(K117/1200,MAX(1,'Loan Prepayment'!$B$7*12-I117+1),J117),L116),J117+M117))</f>
        <v>67460.316473241648</v>
      </c>
      <c r="M117">
        <f t="shared" si="24"/>
        <v>36499.550100227942</v>
      </c>
      <c r="N117">
        <f t="shared" si="25"/>
        <v>30960.766373013706</v>
      </c>
      <c r="O117">
        <f>IF(J117&lt;=0,0,MIN(MAX(0,J117-N117),SUMIFS('Loan Prepayment'!$B$12:$B$31,'Loan Prepayment'!$A$12:$A$31,I117)+0))</f>
        <v>0</v>
      </c>
      <c r="P117">
        <f t="shared" si="26"/>
        <v>5808967.2496634563</v>
      </c>
      <c r="Q117">
        <v>116</v>
      </c>
      <c r="R117">
        <f t="shared" si="39"/>
        <v>6973887.0294472938</v>
      </c>
      <c r="S117" s="64">
        <f>'Loan Prepayment'!$B$6</f>
        <v>7.5</v>
      </c>
      <c r="T117">
        <f>IF(R117&lt;=0,0,MIN(IF(AND('Loan Prepayment'!$E$15="Reduce EMI",W116&gt;0),-PMT(S117/1200,MAX(1,'Loan Prepayment'!$B$7*12-Q117+1),R117),T116),R117+U117))</f>
        <v>80559.31935518072</v>
      </c>
      <c r="U117">
        <f t="shared" si="27"/>
        <v>43586.793934045592</v>
      </c>
      <c r="V117">
        <f t="shared" si="28"/>
        <v>36972.525421135128</v>
      </c>
      <c r="W117">
        <f>IF(R117&lt;=0,0,MIN(MAX(0,R117-V117),0+IF(AND(Q117&gt;='Loan Prepayment'!$B$9,Q117&lt;='Loan Prepayment'!$E$16),'Loan Prepayment'!$B$8,0)))</f>
        <v>0</v>
      </c>
      <c r="X117">
        <f t="shared" si="29"/>
        <v>6936914.5040261587</v>
      </c>
      <c r="Y117">
        <v>116</v>
      </c>
      <c r="Z117">
        <f t="shared" si="40"/>
        <v>6551345.0428524567</v>
      </c>
      <c r="AA117">
        <f>IF(Y117&gt;='Loan Prepayment'!$E$11,'Loan Prepayment'!$E$12,'Loan Prepayment'!$B$6)</f>
        <v>6.5</v>
      </c>
      <c r="AB117">
        <f>IF(Z117&lt;=0,0,MIN(IF(Y117='Loan Prepayment'!$E$11,IF('Loan Prepayment'!$E$13="Keep tenure, recalculate EMI",-PMT(AA117/1200,MAX(1,'Loan Prepayment'!$B$7*12-Y117+1),Z117),AB116),AB116),Z117+AC117))</f>
        <v>80559.31935518072</v>
      </c>
      <c r="AC117">
        <f t="shared" si="30"/>
        <v>35486.452315450806</v>
      </c>
      <c r="AD117">
        <f t="shared" si="31"/>
        <v>45072.867039729914</v>
      </c>
      <c r="AE117">
        <f t="shared" si="32"/>
        <v>0</v>
      </c>
      <c r="AF117">
        <f t="shared" si="33"/>
        <v>6506272.1758127268</v>
      </c>
      <c r="AG117">
        <v>116</v>
      </c>
      <c r="AH117">
        <f t="shared" si="41"/>
        <v>5486091.6583427815</v>
      </c>
      <c r="AI117">
        <f>IF(AG117&gt;='Loan Prepayment'!$E$11,'Loan Prepayment'!$E$12,'Loan Prepayment'!$B$6)</f>
        <v>6.5</v>
      </c>
      <c r="AJ117">
        <f>IF(AH117&lt;=0,0,MIN(IF(AG117='Loan Prepayment'!$E$11,IF('Loan Prepayment'!$E$13="Keep tenure, recalculate EMI",-PMT(AI117/1200,MAX(1,'Loan Prepayment'!$B$7*12-AG117+1),AH117),IF(AND('Loan Prepayment'!$E$15="Reduce EMI",AM116&gt;0),-PMT(AI116/1200,MAX(1,'Loan Prepayment'!$B$7*12-AG117+1),AH117),AJ116)),IF(AND('Loan Prepayment'!$E$15="Reduce EMI",AM116&gt;0),-PMT(AI117/1200,MAX(1,'Loan Prepayment'!$B$7*12-AG117+1),AH117),AJ116)),AH117+AK117))</f>
        <v>67460.316473241648</v>
      </c>
      <c r="AK117">
        <f t="shared" si="34"/>
        <v>29716.329816023397</v>
      </c>
      <c r="AL117">
        <f t="shared" si="35"/>
        <v>37743.986657218251</v>
      </c>
      <c r="AM117">
        <f>IF(AH117&lt;=0,0,MIN(MAX(0,AH117-AL117),SUMIFS('Loan Prepayment'!$B$12:$B$31,'Loan Prepayment'!$A$12:$A$31,AG117)+IF(AND(AG117&gt;='Loan Prepayment'!$B$9,AG117&lt;='Loan Prepayment'!$E$16),'Loan Prepayment'!$B$8,0)))</f>
        <v>0</v>
      </c>
      <c r="AN117">
        <f t="shared" si="36"/>
        <v>5448347.6716855634</v>
      </c>
    </row>
    <row r="118" spans="1:40" x14ac:dyDescent="0.35">
      <c r="A118">
        <v>117</v>
      </c>
      <c r="B118">
        <f t="shared" si="37"/>
        <v>6936914.5040261587</v>
      </c>
      <c r="C118" s="64">
        <f>'Loan Prepayment'!$B$6</f>
        <v>7.5</v>
      </c>
      <c r="D118">
        <f>IF(B118&lt;=0,0,MIN(-PMT('Loan Prepayment'!$B$6/1200,'Loan Prepayment'!$B$7*12,'Loan Prepayment'!$B$5),B118+E118))</f>
        <v>80559.31935518072</v>
      </c>
      <c r="E118">
        <f t="shared" si="21"/>
        <v>43355.715650163489</v>
      </c>
      <c r="F118">
        <f t="shared" si="22"/>
        <v>37203.603705017231</v>
      </c>
      <c r="G118">
        <v>0</v>
      </c>
      <c r="H118">
        <f t="shared" si="23"/>
        <v>6899710.9003211418</v>
      </c>
      <c r="I118">
        <v>117</v>
      </c>
      <c r="J118">
        <f t="shared" si="38"/>
        <v>5808967.2496634563</v>
      </c>
      <c r="K118" s="64">
        <f>'Loan Prepayment'!$B$6</f>
        <v>7.5</v>
      </c>
      <c r="L118">
        <f>IF(J118&lt;=0,0,MIN(IF(AND('Loan Prepayment'!$E$15="Reduce EMI",O117&gt;0),-PMT(K118/1200,MAX(1,'Loan Prepayment'!$B$7*12-I118+1),J118),L117),J118+M118))</f>
        <v>67460.316473241648</v>
      </c>
      <c r="M118">
        <f t="shared" si="24"/>
        <v>36306.045310396599</v>
      </c>
      <c r="N118">
        <f t="shared" si="25"/>
        <v>31154.271162845049</v>
      </c>
      <c r="O118">
        <f>IF(J118&lt;=0,0,MIN(MAX(0,J118-N118),SUMIFS('Loan Prepayment'!$B$12:$B$31,'Loan Prepayment'!$A$12:$A$31,I118)+0))</f>
        <v>0</v>
      </c>
      <c r="P118">
        <f t="shared" si="26"/>
        <v>5777812.9785006111</v>
      </c>
      <c r="Q118">
        <v>117</v>
      </c>
      <c r="R118">
        <f t="shared" si="39"/>
        <v>6936914.5040261587</v>
      </c>
      <c r="S118" s="64">
        <f>'Loan Prepayment'!$B$6</f>
        <v>7.5</v>
      </c>
      <c r="T118">
        <f>IF(R118&lt;=0,0,MIN(IF(AND('Loan Prepayment'!$E$15="Reduce EMI",W117&gt;0),-PMT(S118/1200,MAX(1,'Loan Prepayment'!$B$7*12-Q118+1),R118),T117),R118+U118))</f>
        <v>80559.31935518072</v>
      </c>
      <c r="U118">
        <f t="shared" si="27"/>
        <v>43355.715650163489</v>
      </c>
      <c r="V118">
        <f t="shared" si="28"/>
        <v>37203.603705017231</v>
      </c>
      <c r="W118">
        <f>IF(R118&lt;=0,0,MIN(MAX(0,R118-V118),0+IF(AND(Q118&gt;='Loan Prepayment'!$B$9,Q118&lt;='Loan Prepayment'!$E$16),'Loan Prepayment'!$B$8,0)))</f>
        <v>0</v>
      </c>
      <c r="X118">
        <f t="shared" si="29"/>
        <v>6899710.9003211418</v>
      </c>
      <c r="Y118">
        <v>117</v>
      </c>
      <c r="Z118">
        <f t="shared" si="40"/>
        <v>6506272.1758127268</v>
      </c>
      <c r="AA118">
        <f>IF(Y118&gt;='Loan Prepayment'!$E$11,'Loan Prepayment'!$E$12,'Loan Prepayment'!$B$6)</f>
        <v>6.5</v>
      </c>
      <c r="AB118">
        <f>IF(Z118&lt;=0,0,MIN(IF(Y118='Loan Prepayment'!$E$11,IF('Loan Prepayment'!$E$13="Keep tenure, recalculate EMI",-PMT(AA118/1200,MAX(1,'Loan Prepayment'!$B$7*12-Y118+1),Z118),AB117),AB117),Z118+AC118))</f>
        <v>80559.31935518072</v>
      </c>
      <c r="AC118">
        <f t="shared" si="30"/>
        <v>35242.307618985607</v>
      </c>
      <c r="AD118">
        <f t="shared" si="31"/>
        <v>45317.011736195112</v>
      </c>
      <c r="AE118">
        <f t="shared" si="32"/>
        <v>0</v>
      </c>
      <c r="AF118">
        <f t="shared" si="33"/>
        <v>6460955.1640765313</v>
      </c>
      <c r="AG118">
        <v>117</v>
      </c>
      <c r="AH118">
        <f t="shared" si="41"/>
        <v>5448347.6716855634</v>
      </c>
      <c r="AI118">
        <f>IF(AG118&gt;='Loan Prepayment'!$E$11,'Loan Prepayment'!$E$12,'Loan Prepayment'!$B$6)</f>
        <v>6.5</v>
      </c>
      <c r="AJ118">
        <f>IF(AH118&lt;=0,0,MIN(IF(AG118='Loan Prepayment'!$E$11,IF('Loan Prepayment'!$E$13="Keep tenure, recalculate EMI",-PMT(AI118/1200,MAX(1,'Loan Prepayment'!$B$7*12-AG118+1),AH118),IF(AND('Loan Prepayment'!$E$15="Reduce EMI",AM117&gt;0),-PMT(AI117/1200,MAX(1,'Loan Prepayment'!$B$7*12-AG118+1),AH118),AJ117)),IF(AND('Loan Prepayment'!$E$15="Reduce EMI",AM117&gt;0),-PMT(AI118/1200,MAX(1,'Loan Prepayment'!$B$7*12-AG118+1),AH118),AJ117)),AH118+AK118))</f>
        <v>67460.316473241648</v>
      </c>
      <c r="AK118">
        <f t="shared" si="34"/>
        <v>29511.883221630138</v>
      </c>
      <c r="AL118">
        <f t="shared" si="35"/>
        <v>37948.43325161151</v>
      </c>
      <c r="AM118">
        <f>IF(AH118&lt;=0,0,MIN(MAX(0,AH118-AL118),SUMIFS('Loan Prepayment'!$B$12:$B$31,'Loan Prepayment'!$A$12:$A$31,AG118)+IF(AND(AG118&gt;='Loan Prepayment'!$B$9,AG118&lt;='Loan Prepayment'!$E$16),'Loan Prepayment'!$B$8,0)))</f>
        <v>0</v>
      </c>
      <c r="AN118">
        <f t="shared" si="36"/>
        <v>5410399.2384339515</v>
      </c>
    </row>
    <row r="119" spans="1:40" x14ac:dyDescent="0.35">
      <c r="A119">
        <v>118</v>
      </c>
      <c r="B119">
        <f t="shared" si="37"/>
        <v>6899710.9003211418</v>
      </c>
      <c r="C119" s="64">
        <f>'Loan Prepayment'!$B$6</f>
        <v>7.5</v>
      </c>
      <c r="D119">
        <f>IF(B119&lt;=0,0,MIN(-PMT('Loan Prepayment'!$B$6/1200,'Loan Prepayment'!$B$7*12,'Loan Prepayment'!$B$5),B119+E119))</f>
        <v>80559.31935518072</v>
      </c>
      <c r="E119">
        <f t="shared" si="21"/>
        <v>43123.193127007136</v>
      </c>
      <c r="F119">
        <f t="shared" si="22"/>
        <v>37436.126228173584</v>
      </c>
      <c r="G119">
        <v>0</v>
      </c>
      <c r="H119">
        <f t="shared" si="23"/>
        <v>6862274.7740929686</v>
      </c>
      <c r="I119">
        <v>118</v>
      </c>
      <c r="J119">
        <f t="shared" si="38"/>
        <v>5777812.9785006111</v>
      </c>
      <c r="K119" s="64">
        <f>'Loan Prepayment'!$B$6</f>
        <v>7.5</v>
      </c>
      <c r="L119">
        <f>IF(J119&lt;=0,0,MIN(IF(AND('Loan Prepayment'!$E$15="Reduce EMI",O118&gt;0),-PMT(K119/1200,MAX(1,'Loan Prepayment'!$B$7*12-I119+1),J119),L118),J119+M119))</f>
        <v>67460.316473241648</v>
      </c>
      <c r="M119">
        <f t="shared" si="24"/>
        <v>36111.331115628826</v>
      </c>
      <c r="N119">
        <f t="shared" si="25"/>
        <v>31348.985357612823</v>
      </c>
      <c r="O119">
        <f>IF(J119&lt;=0,0,MIN(MAX(0,J119-N119),SUMIFS('Loan Prepayment'!$B$12:$B$31,'Loan Prepayment'!$A$12:$A$31,I119)+0))</f>
        <v>0</v>
      </c>
      <c r="P119">
        <f t="shared" si="26"/>
        <v>5746463.9931429988</v>
      </c>
      <c r="Q119">
        <v>118</v>
      </c>
      <c r="R119">
        <f t="shared" si="39"/>
        <v>6899710.9003211418</v>
      </c>
      <c r="S119" s="64">
        <f>'Loan Prepayment'!$B$6</f>
        <v>7.5</v>
      </c>
      <c r="T119">
        <f>IF(R119&lt;=0,0,MIN(IF(AND('Loan Prepayment'!$E$15="Reduce EMI",W118&gt;0),-PMT(S119/1200,MAX(1,'Loan Prepayment'!$B$7*12-Q119+1),R119),T118),R119+U119))</f>
        <v>80559.31935518072</v>
      </c>
      <c r="U119">
        <f t="shared" si="27"/>
        <v>43123.193127007136</v>
      </c>
      <c r="V119">
        <f t="shared" si="28"/>
        <v>37436.126228173584</v>
      </c>
      <c r="W119">
        <f>IF(R119&lt;=0,0,MIN(MAX(0,R119-V119),0+IF(AND(Q119&gt;='Loan Prepayment'!$B$9,Q119&lt;='Loan Prepayment'!$E$16),'Loan Prepayment'!$B$8,0)))</f>
        <v>0</v>
      </c>
      <c r="X119">
        <f t="shared" si="29"/>
        <v>6862274.7740929686</v>
      </c>
      <c r="Y119">
        <v>118</v>
      </c>
      <c r="Z119">
        <f t="shared" si="40"/>
        <v>6460955.1640765313</v>
      </c>
      <c r="AA119">
        <f>IF(Y119&gt;='Loan Prepayment'!$E$11,'Loan Prepayment'!$E$12,'Loan Prepayment'!$B$6)</f>
        <v>6.5</v>
      </c>
      <c r="AB119">
        <f>IF(Z119&lt;=0,0,MIN(IF(Y119='Loan Prepayment'!$E$11,IF('Loan Prepayment'!$E$13="Keep tenure, recalculate EMI",-PMT(AA119/1200,MAX(1,'Loan Prepayment'!$B$7*12-Y119+1),Z119),AB118),AB118),Z119+AC119))</f>
        <v>80559.31935518072</v>
      </c>
      <c r="AC119">
        <f t="shared" si="30"/>
        <v>34996.84047208121</v>
      </c>
      <c r="AD119">
        <f t="shared" si="31"/>
        <v>45562.478883099509</v>
      </c>
      <c r="AE119">
        <f t="shared" si="32"/>
        <v>0</v>
      </c>
      <c r="AF119">
        <f t="shared" si="33"/>
        <v>6415392.6851934316</v>
      </c>
      <c r="AG119">
        <v>118</v>
      </c>
      <c r="AH119">
        <f t="shared" si="41"/>
        <v>5410399.2384339515</v>
      </c>
      <c r="AI119">
        <f>IF(AG119&gt;='Loan Prepayment'!$E$11,'Loan Prepayment'!$E$12,'Loan Prepayment'!$B$6)</f>
        <v>6.5</v>
      </c>
      <c r="AJ119">
        <f>IF(AH119&lt;=0,0,MIN(IF(AG119='Loan Prepayment'!$E$11,IF('Loan Prepayment'!$E$13="Keep tenure, recalculate EMI",-PMT(AI119/1200,MAX(1,'Loan Prepayment'!$B$7*12-AG119+1),AH119),IF(AND('Loan Prepayment'!$E$15="Reduce EMI",AM118&gt;0),-PMT(AI118/1200,MAX(1,'Loan Prepayment'!$B$7*12-AG119+1),AH119),AJ118)),IF(AND('Loan Prepayment'!$E$15="Reduce EMI",AM118&gt;0),-PMT(AI119/1200,MAX(1,'Loan Prepayment'!$B$7*12-AG119+1),AH119),AJ118)),AH119+AK119))</f>
        <v>67460.316473241648</v>
      </c>
      <c r="AK119">
        <f t="shared" si="34"/>
        <v>29306.329208183903</v>
      </c>
      <c r="AL119">
        <f t="shared" si="35"/>
        <v>38153.987265057745</v>
      </c>
      <c r="AM119">
        <f>IF(AH119&lt;=0,0,MIN(MAX(0,AH119-AL119),SUMIFS('Loan Prepayment'!$B$12:$B$31,'Loan Prepayment'!$A$12:$A$31,AG119)+IF(AND(AG119&gt;='Loan Prepayment'!$B$9,AG119&lt;='Loan Prepayment'!$E$16),'Loan Prepayment'!$B$8,0)))</f>
        <v>0</v>
      </c>
      <c r="AN119">
        <f t="shared" si="36"/>
        <v>5372245.2511688937</v>
      </c>
    </row>
    <row r="120" spans="1:40" x14ac:dyDescent="0.35">
      <c r="A120">
        <v>119</v>
      </c>
      <c r="B120">
        <f t="shared" si="37"/>
        <v>6862274.7740929686</v>
      </c>
      <c r="C120" s="64">
        <f>'Loan Prepayment'!$B$6</f>
        <v>7.5</v>
      </c>
      <c r="D120">
        <f>IF(B120&lt;=0,0,MIN(-PMT('Loan Prepayment'!$B$6/1200,'Loan Prepayment'!$B$7*12,'Loan Prepayment'!$B$5),B120+E120))</f>
        <v>80559.31935518072</v>
      </c>
      <c r="E120">
        <f t="shared" si="21"/>
        <v>42889.217338081049</v>
      </c>
      <c r="F120">
        <f t="shared" si="22"/>
        <v>37670.102017099671</v>
      </c>
      <c r="G120">
        <v>0</v>
      </c>
      <c r="H120">
        <f t="shared" si="23"/>
        <v>6824604.6720758686</v>
      </c>
      <c r="I120">
        <v>119</v>
      </c>
      <c r="J120">
        <f t="shared" si="38"/>
        <v>5746463.9931429988</v>
      </c>
      <c r="K120" s="64">
        <f>'Loan Prepayment'!$B$6</f>
        <v>7.5</v>
      </c>
      <c r="L120">
        <f>IF(J120&lt;=0,0,MIN(IF(AND('Loan Prepayment'!$E$15="Reduce EMI",O119&gt;0),-PMT(K120/1200,MAX(1,'Loan Prepayment'!$B$7*12-I120+1),J120),L119),J120+M120))</f>
        <v>67460.316473241648</v>
      </c>
      <c r="M120">
        <f t="shared" si="24"/>
        <v>35915.399957143745</v>
      </c>
      <c r="N120">
        <f t="shared" si="25"/>
        <v>31544.916516097903</v>
      </c>
      <c r="O120">
        <f>IF(J120&lt;=0,0,MIN(MAX(0,J120-N120),SUMIFS('Loan Prepayment'!$B$12:$B$31,'Loan Prepayment'!$A$12:$A$31,I120)+0))</f>
        <v>0</v>
      </c>
      <c r="P120">
        <f t="shared" si="26"/>
        <v>5714919.0766269006</v>
      </c>
      <c r="Q120">
        <v>119</v>
      </c>
      <c r="R120">
        <f t="shared" si="39"/>
        <v>6862274.7740929686</v>
      </c>
      <c r="S120" s="64">
        <f>'Loan Prepayment'!$B$6</f>
        <v>7.5</v>
      </c>
      <c r="T120">
        <f>IF(R120&lt;=0,0,MIN(IF(AND('Loan Prepayment'!$E$15="Reduce EMI",W119&gt;0),-PMT(S120/1200,MAX(1,'Loan Prepayment'!$B$7*12-Q120+1),R120),T119),R120+U120))</f>
        <v>80559.31935518072</v>
      </c>
      <c r="U120">
        <f t="shared" si="27"/>
        <v>42889.217338081049</v>
      </c>
      <c r="V120">
        <f t="shared" si="28"/>
        <v>37670.102017099671</v>
      </c>
      <c r="W120">
        <f>IF(R120&lt;=0,0,MIN(MAX(0,R120-V120),0+IF(AND(Q120&gt;='Loan Prepayment'!$B$9,Q120&lt;='Loan Prepayment'!$E$16),'Loan Prepayment'!$B$8,0)))</f>
        <v>0</v>
      </c>
      <c r="X120">
        <f t="shared" si="29"/>
        <v>6824604.6720758686</v>
      </c>
      <c r="Y120">
        <v>119</v>
      </c>
      <c r="Z120">
        <f t="shared" si="40"/>
        <v>6415392.6851934316</v>
      </c>
      <c r="AA120">
        <f>IF(Y120&gt;='Loan Prepayment'!$E$11,'Loan Prepayment'!$E$12,'Loan Prepayment'!$B$6)</f>
        <v>6.5</v>
      </c>
      <c r="AB120">
        <f>IF(Z120&lt;=0,0,MIN(IF(Y120='Loan Prepayment'!$E$11,IF('Loan Prepayment'!$E$13="Keep tenure, recalculate EMI",-PMT(AA120/1200,MAX(1,'Loan Prepayment'!$B$7*12-Y120+1),Z120),AB119),AB119),Z120+AC120))</f>
        <v>80559.31935518072</v>
      </c>
      <c r="AC120">
        <f t="shared" si="30"/>
        <v>34750.043711464423</v>
      </c>
      <c r="AD120">
        <f t="shared" si="31"/>
        <v>45809.275643716297</v>
      </c>
      <c r="AE120">
        <f t="shared" si="32"/>
        <v>0</v>
      </c>
      <c r="AF120">
        <f t="shared" si="33"/>
        <v>6369583.409549715</v>
      </c>
      <c r="AG120">
        <v>119</v>
      </c>
      <c r="AH120">
        <f t="shared" si="41"/>
        <v>5372245.2511688937</v>
      </c>
      <c r="AI120">
        <f>IF(AG120&gt;='Loan Prepayment'!$E$11,'Loan Prepayment'!$E$12,'Loan Prepayment'!$B$6)</f>
        <v>6.5</v>
      </c>
      <c r="AJ120">
        <f>IF(AH120&lt;=0,0,MIN(IF(AG120='Loan Prepayment'!$E$11,IF('Loan Prepayment'!$E$13="Keep tenure, recalculate EMI",-PMT(AI120/1200,MAX(1,'Loan Prepayment'!$B$7*12-AG120+1),AH120),IF(AND('Loan Prepayment'!$E$15="Reduce EMI",AM119&gt;0),-PMT(AI119/1200,MAX(1,'Loan Prepayment'!$B$7*12-AG120+1),AH120),AJ119)),IF(AND('Loan Prepayment'!$E$15="Reduce EMI",AM119&gt;0),-PMT(AI120/1200,MAX(1,'Loan Prepayment'!$B$7*12-AG120+1),AH120),AJ119)),AH120+AK120))</f>
        <v>67460.316473241648</v>
      </c>
      <c r="AK120">
        <f t="shared" si="34"/>
        <v>29099.661777164842</v>
      </c>
      <c r="AL120">
        <f t="shared" si="35"/>
        <v>38360.654696076803</v>
      </c>
      <c r="AM120">
        <f>IF(AH120&lt;=0,0,MIN(MAX(0,AH120-AL120),SUMIFS('Loan Prepayment'!$B$12:$B$31,'Loan Prepayment'!$A$12:$A$31,AG120)+IF(AND(AG120&gt;='Loan Prepayment'!$B$9,AG120&lt;='Loan Prepayment'!$E$16),'Loan Prepayment'!$B$8,0)))</f>
        <v>0</v>
      </c>
      <c r="AN120">
        <f t="shared" si="36"/>
        <v>5333884.5964728165</v>
      </c>
    </row>
    <row r="121" spans="1:40" x14ac:dyDescent="0.35">
      <c r="A121">
        <v>120</v>
      </c>
      <c r="B121">
        <f t="shared" si="37"/>
        <v>6824604.6720758686</v>
      </c>
      <c r="C121" s="64">
        <f>'Loan Prepayment'!$B$6</f>
        <v>7.5</v>
      </c>
      <c r="D121">
        <f>IF(B121&lt;=0,0,MIN(-PMT('Loan Prepayment'!$B$6/1200,'Loan Prepayment'!$B$7*12,'Loan Prepayment'!$B$5),B121+E121))</f>
        <v>80559.31935518072</v>
      </c>
      <c r="E121">
        <f t="shared" si="21"/>
        <v>42653.779200474179</v>
      </c>
      <c r="F121">
        <f t="shared" si="22"/>
        <v>37905.540154706541</v>
      </c>
      <c r="G121">
        <v>0</v>
      </c>
      <c r="H121">
        <f t="shared" si="23"/>
        <v>6786699.1319211619</v>
      </c>
      <c r="I121">
        <v>120</v>
      </c>
      <c r="J121">
        <f t="shared" si="38"/>
        <v>5714919.0766269006</v>
      </c>
      <c r="K121" s="64">
        <f>'Loan Prepayment'!$B$6</f>
        <v>7.5</v>
      </c>
      <c r="L121">
        <f>IF(J121&lt;=0,0,MIN(IF(AND('Loan Prepayment'!$E$15="Reduce EMI",O120&gt;0),-PMT(K121/1200,MAX(1,'Loan Prepayment'!$B$7*12-I121+1),J121),L120),J121+M121))</f>
        <v>67460.316473241648</v>
      </c>
      <c r="M121">
        <f t="shared" si="24"/>
        <v>35718.244228918127</v>
      </c>
      <c r="N121">
        <f t="shared" si="25"/>
        <v>31742.072244323521</v>
      </c>
      <c r="O121">
        <f>IF(J121&lt;=0,0,MIN(MAX(0,J121-N121),SUMIFS('Loan Prepayment'!$B$12:$B$31,'Loan Prepayment'!$A$12:$A$31,I121)+0))</f>
        <v>0</v>
      </c>
      <c r="P121">
        <f t="shared" si="26"/>
        <v>5683177.0043825768</v>
      </c>
      <c r="Q121">
        <v>120</v>
      </c>
      <c r="R121">
        <f t="shared" si="39"/>
        <v>6824604.6720758686</v>
      </c>
      <c r="S121" s="64">
        <f>'Loan Prepayment'!$B$6</f>
        <v>7.5</v>
      </c>
      <c r="T121">
        <f>IF(R121&lt;=0,0,MIN(IF(AND('Loan Prepayment'!$E$15="Reduce EMI",W120&gt;0),-PMT(S121/1200,MAX(1,'Loan Prepayment'!$B$7*12-Q121+1),R121),T120),R121+U121))</f>
        <v>80559.31935518072</v>
      </c>
      <c r="U121">
        <f t="shared" si="27"/>
        <v>42653.779200474179</v>
      </c>
      <c r="V121">
        <f t="shared" si="28"/>
        <v>37905.540154706541</v>
      </c>
      <c r="W121">
        <f>IF(R121&lt;=0,0,MIN(MAX(0,R121-V121),0+IF(AND(Q121&gt;='Loan Prepayment'!$B$9,Q121&lt;='Loan Prepayment'!$E$16),'Loan Prepayment'!$B$8,0)))</f>
        <v>0</v>
      </c>
      <c r="X121">
        <f t="shared" si="29"/>
        <v>6786699.1319211619</v>
      </c>
      <c r="Y121">
        <v>120</v>
      </c>
      <c r="Z121">
        <f t="shared" si="40"/>
        <v>6369583.409549715</v>
      </c>
      <c r="AA121">
        <f>IF(Y121&gt;='Loan Prepayment'!$E$11,'Loan Prepayment'!$E$12,'Loan Prepayment'!$B$6)</f>
        <v>6.5</v>
      </c>
      <c r="AB121">
        <f>IF(Z121&lt;=0,0,MIN(IF(Y121='Loan Prepayment'!$E$11,IF('Loan Prepayment'!$E$13="Keep tenure, recalculate EMI",-PMT(AA121/1200,MAX(1,'Loan Prepayment'!$B$7*12-Y121+1),Z121),AB120),AB120),Z121+AC121))</f>
        <v>80559.31935518072</v>
      </c>
      <c r="AC121">
        <f t="shared" si="30"/>
        <v>34501.910135060956</v>
      </c>
      <c r="AD121">
        <f t="shared" si="31"/>
        <v>46057.409220119764</v>
      </c>
      <c r="AE121">
        <f t="shared" si="32"/>
        <v>0</v>
      </c>
      <c r="AF121">
        <f t="shared" si="33"/>
        <v>6323526.0003295951</v>
      </c>
      <c r="AG121">
        <v>120</v>
      </c>
      <c r="AH121">
        <f t="shared" si="41"/>
        <v>5333884.5964728165</v>
      </c>
      <c r="AI121">
        <f>IF(AG121&gt;='Loan Prepayment'!$E$11,'Loan Prepayment'!$E$12,'Loan Prepayment'!$B$6)</f>
        <v>6.5</v>
      </c>
      <c r="AJ121">
        <f>IF(AH121&lt;=0,0,MIN(IF(AG121='Loan Prepayment'!$E$11,IF('Loan Prepayment'!$E$13="Keep tenure, recalculate EMI",-PMT(AI121/1200,MAX(1,'Loan Prepayment'!$B$7*12-AG121+1),AH121),IF(AND('Loan Prepayment'!$E$15="Reduce EMI",AM120&gt;0),-PMT(AI120/1200,MAX(1,'Loan Prepayment'!$B$7*12-AG121+1),AH121),AJ120)),IF(AND('Loan Prepayment'!$E$15="Reduce EMI",AM120&gt;0),-PMT(AI121/1200,MAX(1,'Loan Prepayment'!$B$7*12-AG121+1),AH121),AJ120)),AH121+AK121))</f>
        <v>67460.316473241648</v>
      </c>
      <c r="AK121">
        <f t="shared" si="34"/>
        <v>28891.874897561091</v>
      </c>
      <c r="AL121">
        <f t="shared" si="35"/>
        <v>38568.441575680554</v>
      </c>
      <c r="AM121">
        <f>IF(AH121&lt;=0,0,MIN(MAX(0,AH121-AL121),SUMIFS('Loan Prepayment'!$B$12:$B$31,'Loan Prepayment'!$A$12:$A$31,AG121)+IF(AND(AG121&gt;='Loan Prepayment'!$B$9,AG121&lt;='Loan Prepayment'!$E$16),'Loan Prepayment'!$B$8,0)))</f>
        <v>0</v>
      </c>
      <c r="AN121">
        <f t="shared" si="36"/>
        <v>5295316.1548971357</v>
      </c>
    </row>
    <row r="122" spans="1:40" x14ac:dyDescent="0.35">
      <c r="A122">
        <v>121</v>
      </c>
      <c r="B122">
        <f t="shared" si="37"/>
        <v>6786699.1319211619</v>
      </c>
      <c r="C122" s="64">
        <f>'Loan Prepayment'!$B$6</f>
        <v>7.5</v>
      </c>
      <c r="D122">
        <f>IF(B122&lt;=0,0,MIN(-PMT('Loan Prepayment'!$B$6/1200,'Loan Prepayment'!$B$7*12,'Loan Prepayment'!$B$5),B122+E122))</f>
        <v>80559.31935518072</v>
      </c>
      <c r="E122">
        <f t="shared" si="21"/>
        <v>42416.869574507262</v>
      </c>
      <c r="F122">
        <f t="shared" si="22"/>
        <v>38142.449780673458</v>
      </c>
      <c r="G122">
        <v>0</v>
      </c>
      <c r="H122">
        <f t="shared" si="23"/>
        <v>6748556.6821404882</v>
      </c>
      <c r="I122">
        <v>121</v>
      </c>
      <c r="J122">
        <f t="shared" si="38"/>
        <v>5683177.0043825768</v>
      </c>
      <c r="K122" s="64">
        <f>'Loan Prepayment'!$B$6</f>
        <v>7.5</v>
      </c>
      <c r="L122">
        <f>IF(J122&lt;=0,0,MIN(IF(AND('Loan Prepayment'!$E$15="Reduce EMI",O121&gt;0),-PMT(K122/1200,MAX(1,'Loan Prepayment'!$B$7*12-I122+1),J122),L121),J122+M122))</f>
        <v>67460.316473241648</v>
      </c>
      <c r="M122">
        <f t="shared" si="24"/>
        <v>35519.856277391104</v>
      </c>
      <c r="N122">
        <f t="shared" si="25"/>
        <v>31940.460195850545</v>
      </c>
      <c r="O122">
        <f>IF(J122&lt;=0,0,MIN(MAX(0,J122-N122),SUMIFS('Loan Prepayment'!$B$12:$B$31,'Loan Prepayment'!$A$12:$A$31,I122)+0))</f>
        <v>0</v>
      </c>
      <c r="P122">
        <f t="shared" si="26"/>
        <v>5651236.5441867262</v>
      </c>
      <c r="Q122">
        <v>121</v>
      </c>
      <c r="R122">
        <f t="shared" si="39"/>
        <v>6786699.1319211619</v>
      </c>
      <c r="S122" s="64">
        <f>'Loan Prepayment'!$B$6</f>
        <v>7.5</v>
      </c>
      <c r="T122">
        <f>IF(R122&lt;=0,0,MIN(IF(AND('Loan Prepayment'!$E$15="Reduce EMI",W121&gt;0),-PMT(S122/1200,MAX(1,'Loan Prepayment'!$B$7*12-Q122+1),R122),T121),R122+U122))</f>
        <v>80559.31935518072</v>
      </c>
      <c r="U122">
        <f t="shared" si="27"/>
        <v>42416.869574507262</v>
      </c>
      <c r="V122">
        <f t="shared" si="28"/>
        <v>38142.449780673458</v>
      </c>
      <c r="W122">
        <f>IF(R122&lt;=0,0,MIN(MAX(0,R122-V122),0+IF(AND(Q122&gt;='Loan Prepayment'!$B$9,Q122&lt;='Loan Prepayment'!$E$16),'Loan Prepayment'!$B$8,0)))</f>
        <v>0</v>
      </c>
      <c r="X122">
        <f t="shared" si="29"/>
        <v>6748556.6821404882</v>
      </c>
      <c r="Y122">
        <v>121</v>
      </c>
      <c r="Z122">
        <f t="shared" si="40"/>
        <v>6323526.0003295951</v>
      </c>
      <c r="AA122">
        <f>IF(Y122&gt;='Loan Prepayment'!$E$11,'Loan Prepayment'!$E$12,'Loan Prepayment'!$B$6)</f>
        <v>6.5</v>
      </c>
      <c r="AB122">
        <f>IF(Z122&lt;=0,0,MIN(IF(Y122='Loan Prepayment'!$E$11,IF('Loan Prepayment'!$E$13="Keep tenure, recalculate EMI",-PMT(AA122/1200,MAX(1,'Loan Prepayment'!$B$7*12-Y122+1),Z122),AB121),AB121),Z122+AC122))</f>
        <v>80559.31935518072</v>
      </c>
      <c r="AC122">
        <f t="shared" si="30"/>
        <v>34252.432501785312</v>
      </c>
      <c r="AD122">
        <f t="shared" si="31"/>
        <v>46306.886853395408</v>
      </c>
      <c r="AE122">
        <f t="shared" si="32"/>
        <v>0</v>
      </c>
      <c r="AF122">
        <f t="shared" si="33"/>
        <v>6277219.1134762</v>
      </c>
      <c r="AG122">
        <v>121</v>
      </c>
      <c r="AH122">
        <f t="shared" si="41"/>
        <v>5295316.1548971357</v>
      </c>
      <c r="AI122">
        <f>IF(AG122&gt;='Loan Prepayment'!$E$11,'Loan Prepayment'!$E$12,'Loan Prepayment'!$B$6)</f>
        <v>6.5</v>
      </c>
      <c r="AJ122">
        <f>IF(AH122&lt;=0,0,MIN(IF(AG122='Loan Prepayment'!$E$11,IF('Loan Prepayment'!$E$13="Keep tenure, recalculate EMI",-PMT(AI122/1200,MAX(1,'Loan Prepayment'!$B$7*12-AG122+1),AH122),IF(AND('Loan Prepayment'!$E$15="Reduce EMI",AM121&gt;0),-PMT(AI121/1200,MAX(1,'Loan Prepayment'!$B$7*12-AG122+1),AH122),AJ121)),IF(AND('Loan Prepayment'!$E$15="Reduce EMI",AM121&gt;0),-PMT(AI122/1200,MAX(1,'Loan Prepayment'!$B$7*12-AG122+1),AH122),AJ121)),AH122+AK122))</f>
        <v>67460.316473241648</v>
      </c>
      <c r="AK122">
        <f t="shared" si="34"/>
        <v>28682.96250569282</v>
      </c>
      <c r="AL122">
        <f t="shared" si="35"/>
        <v>38777.353967548828</v>
      </c>
      <c r="AM122">
        <f>IF(AH122&lt;=0,0,MIN(MAX(0,AH122-AL122),SUMIFS('Loan Prepayment'!$B$12:$B$31,'Loan Prepayment'!$A$12:$A$31,AG122)+IF(AND(AG122&gt;='Loan Prepayment'!$B$9,AG122&lt;='Loan Prepayment'!$E$16),'Loan Prepayment'!$B$8,0)))</f>
        <v>0</v>
      </c>
      <c r="AN122">
        <f t="shared" si="36"/>
        <v>5256538.8009295864</v>
      </c>
    </row>
    <row r="123" spans="1:40" x14ac:dyDescent="0.35">
      <c r="A123">
        <v>122</v>
      </c>
      <c r="B123">
        <f t="shared" si="37"/>
        <v>6748556.6821404882</v>
      </c>
      <c r="C123" s="64">
        <f>'Loan Prepayment'!$B$6</f>
        <v>7.5</v>
      </c>
      <c r="D123">
        <f>IF(B123&lt;=0,0,MIN(-PMT('Loan Prepayment'!$B$6/1200,'Loan Prepayment'!$B$7*12,'Loan Prepayment'!$B$5),B123+E123))</f>
        <v>80559.31935518072</v>
      </c>
      <c r="E123">
        <f t="shared" si="21"/>
        <v>42178.479263378053</v>
      </c>
      <c r="F123">
        <f t="shared" si="22"/>
        <v>38380.840091802667</v>
      </c>
      <c r="G123">
        <v>0</v>
      </c>
      <c r="H123">
        <f t="shared" si="23"/>
        <v>6710175.8420486851</v>
      </c>
      <c r="I123">
        <v>122</v>
      </c>
      <c r="J123">
        <f t="shared" si="38"/>
        <v>5651236.5441867262</v>
      </c>
      <c r="K123" s="64">
        <f>'Loan Prepayment'!$B$6</f>
        <v>7.5</v>
      </c>
      <c r="L123">
        <f>IF(J123&lt;=0,0,MIN(IF(AND('Loan Prepayment'!$E$15="Reduce EMI",O122&gt;0),-PMT(K123/1200,MAX(1,'Loan Prepayment'!$B$7*12-I123+1),J123),L122),J123+M123))</f>
        <v>67460.316473241648</v>
      </c>
      <c r="M123">
        <f t="shared" si="24"/>
        <v>35320.228401167042</v>
      </c>
      <c r="N123">
        <f t="shared" si="25"/>
        <v>32140.088072074606</v>
      </c>
      <c r="O123">
        <f>IF(J123&lt;=0,0,MIN(MAX(0,J123-N123),SUMIFS('Loan Prepayment'!$B$12:$B$31,'Loan Prepayment'!$A$12:$A$31,I123)+0))</f>
        <v>0</v>
      </c>
      <c r="P123">
        <f t="shared" si="26"/>
        <v>5619096.4561146516</v>
      </c>
      <c r="Q123">
        <v>122</v>
      </c>
      <c r="R123">
        <f t="shared" si="39"/>
        <v>6748556.6821404882</v>
      </c>
      <c r="S123" s="64">
        <f>'Loan Prepayment'!$B$6</f>
        <v>7.5</v>
      </c>
      <c r="T123">
        <f>IF(R123&lt;=0,0,MIN(IF(AND('Loan Prepayment'!$E$15="Reduce EMI",W122&gt;0),-PMT(S123/1200,MAX(1,'Loan Prepayment'!$B$7*12-Q123+1),R123),T122),R123+U123))</f>
        <v>80559.31935518072</v>
      </c>
      <c r="U123">
        <f t="shared" si="27"/>
        <v>42178.479263378053</v>
      </c>
      <c r="V123">
        <f t="shared" si="28"/>
        <v>38380.840091802667</v>
      </c>
      <c r="W123">
        <f>IF(R123&lt;=0,0,MIN(MAX(0,R123-V123),0+IF(AND(Q123&gt;='Loan Prepayment'!$B$9,Q123&lt;='Loan Prepayment'!$E$16),'Loan Prepayment'!$B$8,0)))</f>
        <v>0</v>
      </c>
      <c r="X123">
        <f t="shared" si="29"/>
        <v>6710175.8420486851</v>
      </c>
      <c r="Y123">
        <v>122</v>
      </c>
      <c r="Z123">
        <f t="shared" si="40"/>
        <v>6277219.1134762</v>
      </c>
      <c r="AA123">
        <f>IF(Y123&gt;='Loan Prepayment'!$E$11,'Loan Prepayment'!$E$12,'Loan Prepayment'!$B$6)</f>
        <v>6.5</v>
      </c>
      <c r="AB123">
        <f>IF(Z123&lt;=0,0,MIN(IF(Y123='Loan Prepayment'!$E$11,IF('Loan Prepayment'!$E$13="Keep tenure, recalculate EMI",-PMT(AA123/1200,MAX(1,'Loan Prepayment'!$B$7*12-Y123+1),Z123),AB122),AB122),Z123+AC123))</f>
        <v>80559.31935518072</v>
      </c>
      <c r="AC123">
        <f t="shared" si="30"/>
        <v>34001.603531329412</v>
      </c>
      <c r="AD123">
        <f t="shared" si="31"/>
        <v>46557.715823851308</v>
      </c>
      <c r="AE123">
        <f t="shared" si="32"/>
        <v>0</v>
      </c>
      <c r="AF123">
        <f t="shared" si="33"/>
        <v>6230661.3976523485</v>
      </c>
      <c r="AG123">
        <v>122</v>
      </c>
      <c r="AH123">
        <f t="shared" si="41"/>
        <v>5256538.8009295864</v>
      </c>
      <c r="AI123">
        <f>IF(AG123&gt;='Loan Prepayment'!$E$11,'Loan Prepayment'!$E$12,'Loan Prepayment'!$B$6)</f>
        <v>6.5</v>
      </c>
      <c r="AJ123">
        <f>IF(AH123&lt;=0,0,MIN(IF(AG123='Loan Prepayment'!$E$11,IF('Loan Prepayment'!$E$13="Keep tenure, recalculate EMI",-PMT(AI123/1200,MAX(1,'Loan Prepayment'!$B$7*12-AG123+1),AH123),IF(AND('Loan Prepayment'!$E$15="Reduce EMI",AM122&gt;0),-PMT(AI122/1200,MAX(1,'Loan Prepayment'!$B$7*12-AG123+1),AH123),AJ122)),IF(AND('Loan Prepayment'!$E$15="Reduce EMI",AM122&gt;0),-PMT(AI123/1200,MAX(1,'Loan Prepayment'!$B$7*12-AG123+1),AH123),AJ122)),AH123+AK123))</f>
        <v>67460.316473241648</v>
      </c>
      <c r="AK123">
        <f t="shared" si="34"/>
        <v>28472.918505035261</v>
      </c>
      <c r="AL123">
        <f t="shared" si="35"/>
        <v>38987.397968206387</v>
      </c>
      <c r="AM123">
        <f>IF(AH123&lt;=0,0,MIN(MAX(0,AH123-AL123),SUMIFS('Loan Prepayment'!$B$12:$B$31,'Loan Prepayment'!$A$12:$A$31,AG123)+IF(AND(AG123&gt;='Loan Prepayment'!$B$9,AG123&lt;='Loan Prepayment'!$E$16),'Loan Prepayment'!$B$8,0)))</f>
        <v>0</v>
      </c>
      <c r="AN123">
        <f t="shared" si="36"/>
        <v>5217551.4029613798</v>
      </c>
    </row>
    <row r="124" spans="1:40" x14ac:dyDescent="0.35">
      <c r="A124">
        <v>123</v>
      </c>
      <c r="B124">
        <f t="shared" si="37"/>
        <v>6710175.8420486851</v>
      </c>
      <c r="C124" s="64">
        <f>'Loan Prepayment'!$B$6</f>
        <v>7.5</v>
      </c>
      <c r="D124">
        <f>IF(B124&lt;=0,0,MIN(-PMT('Loan Prepayment'!$B$6/1200,'Loan Prepayment'!$B$7*12,'Loan Prepayment'!$B$5),B124+E124))</f>
        <v>80559.31935518072</v>
      </c>
      <c r="E124">
        <f t="shared" si="21"/>
        <v>41938.599012804283</v>
      </c>
      <c r="F124">
        <f t="shared" si="22"/>
        <v>38620.720342376437</v>
      </c>
      <c r="G124">
        <v>0</v>
      </c>
      <c r="H124">
        <f t="shared" si="23"/>
        <v>6671555.1217063088</v>
      </c>
      <c r="I124">
        <v>123</v>
      </c>
      <c r="J124">
        <f t="shared" si="38"/>
        <v>5619096.4561146516</v>
      </c>
      <c r="K124" s="64">
        <f>'Loan Prepayment'!$B$6</f>
        <v>7.5</v>
      </c>
      <c r="L124">
        <f>IF(J124&lt;=0,0,MIN(IF(AND('Loan Prepayment'!$E$15="Reduce EMI",O123&gt;0),-PMT(K124/1200,MAX(1,'Loan Prepayment'!$B$7*12-I124+1),J124),L123),J124+M124))</f>
        <v>67460.316473241648</v>
      </c>
      <c r="M124">
        <f t="shared" si="24"/>
        <v>35119.352850716576</v>
      </c>
      <c r="N124">
        <f t="shared" si="25"/>
        <v>32340.963622525072</v>
      </c>
      <c r="O124">
        <f>IF(J124&lt;=0,0,MIN(MAX(0,J124-N124),SUMIFS('Loan Prepayment'!$B$12:$B$31,'Loan Prepayment'!$A$12:$A$31,I124)+0))</f>
        <v>0</v>
      </c>
      <c r="P124">
        <f t="shared" si="26"/>
        <v>5586755.4924921263</v>
      </c>
      <c r="Q124">
        <v>123</v>
      </c>
      <c r="R124">
        <f t="shared" si="39"/>
        <v>6710175.8420486851</v>
      </c>
      <c r="S124" s="64">
        <f>'Loan Prepayment'!$B$6</f>
        <v>7.5</v>
      </c>
      <c r="T124">
        <f>IF(R124&lt;=0,0,MIN(IF(AND('Loan Prepayment'!$E$15="Reduce EMI",W123&gt;0),-PMT(S124/1200,MAX(1,'Loan Prepayment'!$B$7*12-Q124+1),R124),T123),R124+U124))</f>
        <v>80559.31935518072</v>
      </c>
      <c r="U124">
        <f t="shared" si="27"/>
        <v>41938.599012804283</v>
      </c>
      <c r="V124">
        <f t="shared" si="28"/>
        <v>38620.720342376437</v>
      </c>
      <c r="W124">
        <f>IF(R124&lt;=0,0,MIN(MAX(0,R124-V124),0+IF(AND(Q124&gt;='Loan Prepayment'!$B$9,Q124&lt;='Loan Prepayment'!$E$16),'Loan Prepayment'!$B$8,0)))</f>
        <v>0</v>
      </c>
      <c r="X124">
        <f t="shared" si="29"/>
        <v>6671555.1217063088</v>
      </c>
      <c r="Y124">
        <v>123</v>
      </c>
      <c r="Z124">
        <f t="shared" si="40"/>
        <v>6230661.3976523485</v>
      </c>
      <c r="AA124">
        <f>IF(Y124&gt;='Loan Prepayment'!$E$11,'Loan Prepayment'!$E$12,'Loan Prepayment'!$B$6)</f>
        <v>6.5</v>
      </c>
      <c r="AB124">
        <f>IF(Z124&lt;=0,0,MIN(IF(Y124='Loan Prepayment'!$E$11,IF('Loan Prepayment'!$E$13="Keep tenure, recalculate EMI",-PMT(AA124/1200,MAX(1,'Loan Prepayment'!$B$7*12-Y124+1),Z124),AB123),AB123),Z124+AC124))</f>
        <v>80559.31935518072</v>
      </c>
      <c r="AC124">
        <f t="shared" si="30"/>
        <v>33749.415903950219</v>
      </c>
      <c r="AD124">
        <f t="shared" si="31"/>
        <v>46809.903451230501</v>
      </c>
      <c r="AE124">
        <f t="shared" si="32"/>
        <v>0</v>
      </c>
      <c r="AF124">
        <f t="shared" si="33"/>
        <v>6183851.4942011181</v>
      </c>
      <c r="AG124">
        <v>123</v>
      </c>
      <c r="AH124">
        <f t="shared" si="41"/>
        <v>5217551.4029613798</v>
      </c>
      <c r="AI124">
        <f>IF(AG124&gt;='Loan Prepayment'!$E$11,'Loan Prepayment'!$E$12,'Loan Prepayment'!$B$6)</f>
        <v>6.5</v>
      </c>
      <c r="AJ124">
        <f>IF(AH124&lt;=0,0,MIN(IF(AG124='Loan Prepayment'!$E$11,IF('Loan Prepayment'!$E$13="Keep tenure, recalculate EMI",-PMT(AI124/1200,MAX(1,'Loan Prepayment'!$B$7*12-AG124+1),AH124),IF(AND('Loan Prepayment'!$E$15="Reduce EMI",AM123&gt;0),-PMT(AI123/1200,MAX(1,'Loan Prepayment'!$B$7*12-AG124+1),AH124),AJ123)),IF(AND('Loan Prepayment'!$E$15="Reduce EMI",AM123&gt;0),-PMT(AI124/1200,MAX(1,'Loan Prepayment'!$B$7*12-AG124+1),AH124),AJ123)),AH124+AK124))</f>
        <v>67460.316473241648</v>
      </c>
      <c r="AK124">
        <f t="shared" si="34"/>
        <v>28261.736766040809</v>
      </c>
      <c r="AL124">
        <f t="shared" si="35"/>
        <v>39198.579707200843</v>
      </c>
      <c r="AM124">
        <f>IF(AH124&lt;=0,0,MIN(MAX(0,AH124-AL124),SUMIFS('Loan Prepayment'!$B$12:$B$31,'Loan Prepayment'!$A$12:$A$31,AG124)+IF(AND(AG124&gt;='Loan Prepayment'!$B$9,AG124&lt;='Loan Prepayment'!$E$16),'Loan Prepayment'!$B$8,0)))</f>
        <v>0</v>
      </c>
      <c r="AN124">
        <f t="shared" si="36"/>
        <v>5178352.8232541792</v>
      </c>
    </row>
    <row r="125" spans="1:40" x14ac:dyDescent="0.35">
      <c r="A125">
        <v>124</v>
      </c>
      <c r="B125">
        <f t="shared" si="37"/>
        <v>6671555.1217063088</v>
      </c>
      <c r="C125" s="64">
        <f>'Loan Prepayment'!$B$6</f>
        <v>7.5</v>
      </c>
      <c r="D125">
        <f>IF(B125&lt;=0,0,MIN(-PMT('Loan Prepayment'!$B$6/1200,'Loan Prepayment'!$B$7*12,'Loan Prepayment'!$B$5),B125+E125))</f>
        <v>80559.31935518072</v>
      </c>
      <c r="E125">
        <f t="shared" si="21"/>
        <v>41697.219510664429</v>
      </c>
      <c r="F125">
        <f t="shared" si="22"/>
        <v>38862.099844516291</v>
      </c>
      <c r="G125">
        <v>0</v>
      </c>
      <c r="H125">
        <f t="shared" si="23"/>
        <v>6632693.0218617925</v>
      </c>
      <c r="I125">
        <v>124</v>
      </c>
      <c r="J125">
        <f t="shared" si="38"/>
        <v>5586755.4924921263</v>
      </c>
      <c r="K125" s="64">
        <f>'Loan Prepayment'!$B$6</f>
        <v>7.5</v>
      </c>
      <c r="L125">
        <f>IF(J125&lt;=0,0,MIN(IF(AND('Loan Prepayment'!$E$15="Reduce EMI",O124&gt;0),-PMT(K125/1200,MAX(1,'Loan Prepayment'!$B$7*12-I125+1),J125),L124),J125+M125))</f>
        <v>67460.316473241648</v>
      </c>
      <c r="M125">
        <f t="shared" si="24"/>
        <v>34917.221828075788</v>
      </c>
      <c r="N125">
        <f t="shared" si="25"/>
        <v>32543.09464516586</v>
      </c>
      <c r="O125">
        <f>IF(J125&lt;=0,0,MIN(MAX(0,J125-N125),SUMIFS('Loan Prepayment'!$B$12:$B$31,'Loan Prepayment'!$A$12:$A$31,I125)+0))</f>
        <v>0</v>
      </c>
      <c r="P125">
        <f t="shared" si="26"/>
        <v>5554212.3978469605</v>
      </c>
      <c r="Q125">
        <v>124</v>
      </c>
      <c r="R125">
        <f t="shared" si="39"/>
        <v>6671555.1217063088</v>
      </c>
      <c r="S125" s="64">
        <f>'Loan Prepayment'!$B$6</f>
        <v>7.5</v>
      </c>
      <c r="T125">
        <f>IF(R125&lt;=0,0,MIN(IF(AND('Loan Prepayment'!$E$15="Reduce EMI",W124&gt;0),-PMT(S125/1200,MAX(1,'Loan Prepayment'!$B$7*12-Q125+1),R125),T124),R125+U125))</f>
        <v>80559.31935518072</v>
      </c>
      <c r="U125">
        <f t="shared" si="27"/>
        <v>41697.219510664429</v>
      </c>
      <c r="V125">
        <f t="shared" si="28"/>
        <v>38862.099844516291</v>
      </c>
      <c r="W125">
        <f>IF(R125&lt;=0,0,MIN(MAX(0,R125-V125),0+IF(AND(Q125&gt;='Loan Prepayment'!$B$9,Q125&lt;='Loan Prepayment'!$E$16),'Loan Prepayment'!$B$8,0)))</f>
        <v>0</v>
      </c>
      <c r="X125">
        <f t="shared" si="29"/>
        <v>6632693.0218617925</v>
      </c>
      <c r="Y125">
        <v>124</v>
      </c>
      <c r="Z125">
        <f t="shared" si="40"/>
        <v>6183851.4942011181</v>
      </c>
      <c r="AA125">
        <f>IF(Y125&gt;='Loan Prepayment'!$E$11,'Loan Prepayment'!$E$12,'Loan Prepayment'!$B$6)</f>
        <v>6.5</v>
      </c>
      <c r="AB125">
        <f>IF(Z125&lt;=0,0,MIN(IF(Y125='Loan Prepayment'!$E$11,IF('Loan Prepayment'!$E$13="Keep tenure, recalculate EMI",-PMT(AA125/1200,MAX(1,'Loan Prepayment'!$B$7*12-Y125+1),Z125),AB124),AB124),Z125+AC125))</f>
        <v>80559.31935518072</v>
      </c>
      <c r="AC125">
        <f t="shared" si="30"/>
        <v>33495.862260256057</v>
      </c>
      <c r="AD125">
        <f t="shared" si="31"/>
        <v>47063.457094924663</v>
      </c>
      <c r="AE125">
        <f t="shared" si="32"/>
        <v>0</v>
      </c>
      <c r="AF125">
        <f t="shared" si="33"/>
        <v>6136788.0371061936</v>
      </c>
      <c r="AG125">
        <v>124</v>
      </c>
      <c r="AH125">
        <f t="shared" si="41"/>
        <v>5178352.8232541792</v>
      </c>
      <c r="AI125">
        <f>IF(AG125&gt;='Loan Prepayment'!$E$11,'Loan Prepayment'!$E$12,'Loan Prepayment'!$B$6)</f>
        <v>6.5</v>
      </c>
      <c r="AJ125">
        <f>IF(AH125&lt;=0,0,MIN(IF(AG125='Loan Prepayment'!$E$11,IF('Loan Prepayment'!$E$13="Keep tenure, recalculate EMI",-PMT(AI125/1200,MAX(1,'Loan Prepayment'!$B$7*12-AG125+1),AH125),IF(AND('Loan Prepayment'!$E$15="Reduce EMI",AM124&gt;0),-PMT(AI124/1200,MAX(1,'Loan Prepayment'!$B$7*12-AG125+1),AH125),AJ124)),IF(AND('Loan Prepayment'!$E$15="Reduce EMI",AM124&gt;0),-PMT(AI125/1200,MAX(1,'Loan Prepayment'!$B$7*12-AG125+1),AH125),AJ124)),AH125+AK125))</f>
        <v>67460.316473241648</v>
      </c>
      <c r="AK125">
        <f t="shared" si="34"/>
        <v>28049.411125960138</v>
      </c>
      <c r="AL125">
        <f t="shared" si="35"/>
        <v>39410.905347281514</v>
      </c>
      <c r="AM125">
        <f>IF(AH125&lt;=0,0,MIN(MAX(0,AH125-AL125),SUMIFS('Loan Prepayment'!$B$12:$B$31,'Loan Prepayment'!$A$12:$A$31,AG125)+IF(AND(AG125&gt;='Loan Prepayment'!$B$9,AG125&lt;='Loan Prepayment'!$E$16),'Loan Prepayment'!$B$8,0)))</f>
        <v>0</v>
      </c>
      <c r="AN125">
        <f t="shared" si="36"/>
        <v>5138941.9179068981</v>
      </c>
    </row>
    <row r="126" spans="1:40" x14ac:dyDescent="0.35">
      <c r="A126">
        <v>125</v>
      </c>
      <c r="B126">
        <f t="shared" si="37"/>
        <v>6632693.0218617925</v>
      </c>
      <c r="C126" s="64">
        <f>'Loan Prepayment'!$B$6</f>
        <v>7.5</v>
      </c>
      <c r="D126">
        <f>IF(B126&lt;=0,0,MIN(-PMT('Loan Prepayment'!$B$6/1200,'Loan Prepayment'!$B$7*12,'Loan Prepayment'!$B$5),B126+E126))</f>
        <v>80559.31935518072</v>
      </c>
      <c r="E126">
        <f t="shared" si="21"/>
        <v>41454.3313866362</v>
      </c>
      <c r="F126">
        <f t="shared" si="22"/>
        <v>39104.987968544519</v>
      </c>
      <c r="G126">
        <v>0</v>
      </c>
      <c r="H126">
        <f t="shared" si="23"/>
        <v>6593588.0338932481</v>
      </c>
      <c r="I126">
        <v>125</v>
      </c>
      <c r="J126">
        <f t="shared" si="38"/>
        <v>5554212.3978469605</v>
      </c>
      <c r="K126" s="64">
        <f>'Loan Prepayment'!$B$6</f>
        <v>7.5</v>
      </c>
      <c r="L126">
        <f>IF(J126&lt;=0,0,MIN(IF(AND('Loan Prepayment'!$E$15="Reduce EMI",O125&gt;0),-PMT(K126/1200,MAX(1,'Loan Prepayment'!$B$7*12-I126+1),J126),L125),J126+M126))</f>
        <v>67460.316473241648</v>
      </c>
      <c r="M126">
        <f t="shared" si="24"/>
        <v>34713.827486543501</v>
      </c>
      <c r="N126">
        <f t="shared" si="25"/>
        <v>32746.488986698147</v>
      </c>
      <c r="O126">
        <f>IF(J126&lt;=0,0,MIN(MAX(0,J126-N126),SUMIFS('Loan Prepayment'!$B$12:$B$31,'Loan Prepayment'!$A$12:$A$31,I126)+0))</f>
        <v>0</v>
      </c>
      <c r="P126">
        <f t="shared" si="26"/>
        <v>5521465.9088602625</v>
      </c>
      <c r="Q126">
        <v>125</v>
      </c>
      <c r="R126">
        <f t="shared" si="39"/>
        <v>6632693.0218617925</v>
      </c>
      <c r="S126" s="64">
        <f>'Loan Prepayment'!$B$6</f>
        <v>7.5</v>
      </c>
      <c r="T126">
        <f>IF(R126&lt;=0,0,MIN(IF(AND('Loan Prepayment'!$E$15="Reduce EMI",W125&gt;0),-PMT(S126/1200,MAX(1,'Loan Prepayment'!$B$7*12-Q126+1),R126),T125),R126+U126))</f>
        <v>80559.31935518072</v>
      </c>
      <c r="U126">
        <f t="shared" si="27"/>
        <v>41454.3313866362</v>
      </c>
      <c r="V126">
        <f t="shared" si="28"/>
        <v>39104.987968544519</v>
      </c>
      <c r="W126">
        <f>IF(R126&lt;=0,0,MIN(MAX(0,R126-V126),0+IF(AND(Q126&gt;='Loan Prepayment'!$B$9,Q126&lt;='Loan Prepayment'!$E$16),'Loan Prepayment'!$B$8,0)))</f>
        <v>0</v>
      </c>
      <c r="X126">
        <f t="shared" si="29"/>
        <v>6593588.0338932481</v>
      </c>
      <c r="Y126">
        <v>125</v>
      </c>
      <c r="Z126">
        <f t="shared" si="40"/>
        <v>6136788.0371061936</v>
      </c>
      <c r="AA126">
        <f>IF(Y126&gt;='Loan Prepayment'!$E$11,'Loan Prepayment'!$E$12,'Loan Prepayment'!$B$6)</f>
        <v>6.5</v>
      </c>
      <c r="AB126">
        <f>IF(Z126&lt;=0,0,MIN(IF(Y126='Loan Prepayment'!$E$11,IF('Loan Prepayment'!$E$13="Keep tenure, recalculate EMI",-PMT(AA126/1200,MAX(1,'Loan Prepayment'!$B$7*12-Y126+1),Z126),AB125),AB125),Z126+AC126))</f>
        <v>80559.31935518072</v>
      </c>
      <c r="AC126">
        <f t="shared" si="30"/>
        <v>33240.93520099188</v>
      </c>
      <c r="AD126">
        <f t="shared" si="31"/>
        <v>47318.38415418884</v>
      </c>
      <c r="AE126">
        <f t="shared" si="32"/>
        <v>0</v>
      </c>
      <c r="AF126">
        <f t="shared" si="33"/>
        <v>6089469.6529520052</v>
      </c>
      <c r="AG126">
        <v>125</v>
      </c>
      <c r="AH126">
        <f t="shared" si="41"/>
        <v>5138941.9179068981</v>
      </c>
      <c r="AI126">
        <f>IF(AG126&gt;='Loan Prepayment'!$E$11,'Loan Prepayment'!$E$12,'Loan Prepayment'!$B$6)</f>
        <v>6.5</v>
      </c>
      <c r="AJ126">
        <f>IF(AH126&lt;=0,0,MIN(IF(AG126='Loan Prepayment'!$E$11,IF('Loan Prepayment'!$E$13="Keep tenure, recalculate EMI",-PMT(AI126/1200,MAX(1,'Loan Prepayment'!$B$7*12-AG126+1),AH126),IF(AND('Loan Prepayment'!$E$15="Reduce EMI",AM125&gt;0),-PMT(AI125/1200,MAX(1,'Loan Prepayment'!$B$7*12-AG126+1),AH126),AJ125)),IF(AND('Loan Prepayment'!$E$15="Reduce EMI",AM125&gt;0),-PMT(AI126/1200,MAX(1,'Loan Prepayment'!$B$7*12-AG126+1),AH126),AJ125)),AH126+AK126))</f>
        <v>67460.316473241648</v>
      </c>
      <c r="AK126">
        <f t="shared" si="34"/>
        <v>27835.935388662365</v>
      </c>
      <c r="AL126">
        <f t="shared" si="35"/>
        <v>39624.381084579283</v>
      </c>
      <c r="AM126">
        <f>IF(AH126&lt;=0,0,MIN(MAX(0,AH126-AL126),SUMIFS('Loan Prepayment'!$B$12:$B$31,'Loan Prepayment'!$A$12:$A$31,AG126)+IF(AND(AG126&gt;='Loan Prepayment'!$B$9,AG126&lt;='Loan Prepayment'!$E$16),'Loan Prepayment'!$B$8,0)))</f>
        <v>0</v>
      </c>
      <c r="AN126">
        <f t="shared" si="36"/>
        <v>5099317.536822319</v>
      </c>
    </row>
    <row r="127" spans="1:40" x14ac:dyDescent="0.35">
      <c r="A127">
        <v>126</v>
      </c>
      <c r="B127">
        <f t="shared" si="37"/>
        <v>6593588.0338932481</v>
      </c>
      <c r="C127" s="64">
        <f>'Loan Prepayment'!$B$6</f>
        <v>7.5</v>
      </c>
      <c r="D127">
        <f>IF(B127&lt;=0,0,MIN(-PMT('Loan Prepayment'!$B$6/1200,'Loan Prepayment'!$B$7*12,'Loan Prepayment'!$B$5),B127+E127))</f>
        <v>80559.31935518072</v>
      </c>
      <c r="E127">
        <f t="shared" si="21"/>
        <v>41209.9252118328</v>
      </c>
      <c r="F127">
        <f t="shared" si="22"/>
        <v>39349.394143347919</v>
      </c>
      <c r="G127">
        <v>0</v>
      </c>
      <c r="H127">
        <f t="shared" si="23"/>
        <v>6554238.6397499004</v>
      </c>
      <c r="I127">
        <v>126</v>
      </c>
      <c r="J127">
        <f t="shared" si="38"/>
        <v>5521465.9088602625</v>
      </c>
      <c r="K127" s="64">
        <f>'Loan Prepayment'!$B$6</f>
        <v>7.5</v>
      </c>
      <c r="L127">
        <f>IF(J127&lt;=0,0,MIN(IF(AND('Loan Prepayment'!$E$15="Reduce EMI",O126&gt;0),-PMT(K127/1200,MAX(1,'Loan Prepayment'!$B$7*12-I127+1),J127),L126),J127+M127))</f>
        <v>67460.316473241648</v>
      </c>
      <c r="M127">
        <f t="shared" si="24"/>
        <v>34509.161930376642</v>
      </c>
      <c r="N127">
        <f t="shared" si="25"/>
        <v>32951.154542865006</v>
      </c>
      <c r="O127">
        <f>IF(J127&lt;=0,0,MIN(MAX(0,J127-N127),SUMIFS('Loan Prepayment'!$B$12:$B$31,'Loan Prepayment'!$A$12:$A$31,I127)+0))</f>
        <v>0</v>
      </c>
      <c r="P127">
        <f t="shared" si="26"/>
        <v>5488514.7543173973</v>
      </c>
      <c r="Q127">
        <v>126</v>
      </c>
      <c r="R127">
        <f t="shared" si="39"/>
        <v>6593588.0338932481</v>
      </c>
      <c r="S127" s="64">
        <f>'Loan Prepayment'!$B$6</f>
        <v>7.5</v>
      </c>
      <c r="T127">
        <f>IF(R127&lt;=0,0,MIN(IF(AND('Loan Prepayment'!$E$15="Reduce EMI",W126&gt;0),-PMT(S127/1200,MAX(1,'Loan Prepayment'!$B$7*12-Q127+1),R127),T126),R127+U127))</f>
        <v>80559.31935518072</v>
      </c>
      <c r="U127">
        <f t="shared" si="27"/>
        <v>41209.9252118328</v>
      </c>
      <c r="V127">
        <f t="shared" si="28"/>
        <v>39349.394143347919</v>
      </c>
      <c r="W127">
        <f>IF(R127&lt;=0,0,MIN(MAX(0,R127-V127),0+IF(AND(Q127&gt;='Loan Prepayment'!$B$9,Q127&lt;='Loan Prepayment'!$E$16),'Loan Prepayment'!$B$8,0)))</f>
        <v>0</v>
      </c>
      <c r="X127">
        <f t="shared" si="29"/>
        <v>6554238.6397499004</v>
      </c>
      <c r="Y127">
        <v>126</v>
      </c>
      <c r="Z127">
        <f t="shared" si="40"/>
        <v>6089469.6529520052</v>
      </c>
      <c r="AA127">
        <f>IF(Y127&gt;='Loan Prepayment'!$E$11,'Loan Prepayment'!$E$12,'Loan Prepayment'!$B$6)</f>
        <v>6.5</v>
      </c>
      <c r="AB127">
        <f>IF(Z127&lt;=0,0,MIN(IF(Y127='Loan Prepayment'!$E$11,IF('Loan Prepayment'!$E$13="Keep tenure, recalculate EMI",-PMT(AA127/1200,MAX(1,'Loan Prepayment'!$B$7*12-Y127+1),Z127),AB126),AB126),Z127+AC127))</f>
        <v>80559.31935518072</v>
      </c>
      <c r="AC127">
        <f t="shared" si="30"/>
        <v>32984.627286823357</v>
      </c>
      <c r="AD127">
        <f t="shared" si="31"/>
        <v>47574.692068357363</v>
      </c>
      <c r="AE127">
        <f t="shared" si="32"/>
        <v>0</v>
      </c>
      <c r="AF127">
        <f t="shared" si="33"/>
        <v>6041894.9608836481</v>
      </c>
      <c r="AG127">
        <v>126</v>
      </c>
      <c r="AH127">
        <f t="shared" si="41"/>
        <v>5099317.536822319</v>
      </c>
      <c r="AI127">
        <f>IF(AG127&gt;='Loan Prepayment'!$E$11,'Loan Prepayment'!$E$12,'Loan Prepayment'!$B$6)</f>
        <v>6.5</v>
      </c>
      <c r="AJ127">
        <f>IF(AH127&lt;=0,0,MIN(IF(AG127='Loan Prepayment'!$E$11,IF('Loan Prepayment'!$E$13="Keep tenure, recalculate EMI",-PMT(AI127/1200,MAX(1,'Loan Prepayment'!$B$7*12-AG127+1),AH127),IF(AND('Loan Prepayment'!$E$15="Reduce EMI",AM126&gt;0),-PMT(AI126/1200,MAX(1,'Loan Prepayment'!$B$7*12-AG127+1),AH127),AJ126)),IF(AND('Loan Prepayment'!$E$15="Reduce EMI",AM126&gt;0),-PMT(AI127/1200,MAX(1,'Loan Prepayment'!$B$7*12-AG127+1),AH127),AJ126)),AH127+AK127))</f>
        <v>67460.316473241648</v>
      </c>
      <c r="AK127">
        <f t="shared" si="34"/>
        <v>27621.303324454228</v>
      </c>
      <c r="AL127">
        <f t="shared" si="35"/>
        <v>39839.013148787417</v>
      </c>
      <c r="AM127">
        <f>IF(AH127&lt;=0,0,MIN(MAX(0,AH127-AL127),SUMIFS('Loan Prepayment'!$B$12:$B$31,'Loan Prepayment'!$A$12:$A$31,AG127)+IF(AND(AG127&gt;='Loan Prepayment'!$B$9,AG127&lt;='Loan Prepayment'!$E$16),'Loan Prepayment'!$B$8,0)))</f>
        <v>0</v>
      </c>
      <c r="AN127">
        <f t="shared" si="36"/>
        <v>5059478.5236735316</v>
      </c>
    </row>
    <row r="128" spans="1:40" x14ac:dyDescent="0.35">
      <c r="A128">
        <v>127</v>
      </c>
      <c r="B128">
        <f t="shared" si="37"/>
        <v>6554238.6397499004</v>
      </c>
      <c r="C128" s="64">
        <f>'Loan Prepayment'!$B$6</f>
        <v>7.5</v>
      </c>
      <c r="D128">
        <f>IF(B128&lt;=0,0,MIN(-PMT('Loan Prepayment'!$B$6/1200,'Loan Prepayment'!$B$7*12,'Loan Prepayment'!$B$5),B128+E128))</f>
        <v>80559.31935518072</v>
      </c>
      <c r="E128">
        <f t="shared" si="21"/>
        <v>40963.991498436881</v>
      </c>
      <c r="F128">
        <f t="shared" si="22"/>
        <v>39595.327856743839</v>
      </c>
      <c r="G128">
        <v>0</v>
      </c>
      <c r="H128">
        <f t="shared" si="23"/>
        <v>6514643.3118931567</v>
      </c>
      <c r="I128">
        <v>127</v>
      </c>
      <c r="J128">
        <f t="shared" si="38"/>
        <v>5488514.7543173973</v>
      </c>
      <c r="K128" s="64">
        <f>'Loan Prepayment'!$B$6</f>
        <v>7.5</v>
      </c>
      <c r="L128">
        <f>IF(J128&lt;=0,0,MIN(IF(AND('Loan Prepayment'!$E$15="Reduce EMI",O127&gt;0),-PMT(K128/1200,MAX(1,'Loan Prepayment'!$B$7*12-I128+1),J128),L127),J128+M128))</f>
        <v>67460.316473241648</v>
      </c>
      <c r="M128">
        <f t="shared" si="24"/>
        <v>34303.217214483731</v>
      </c>
      <c r="N128">
        <f t="shared" si="25"/>
        <v>33157.099258757917</v>
      </c>
      <c r="O128">
        <f>IF(J128&lt;=0,0,MIN(MAX(0,J128-N128),SUMIFS('Loan Prepayment'!$B$12:$B$31,'Loan Prepayment'!$A$12:$A$31,I128)+0))</f>
        <v>0</v>
      </c>
      <c r="P128">
        <f t="shared" si="26"/>
        <v>5455357.6550586391</v>
      </c>
      <c r="Q128">
        <v>127</v>
      </c>
      <c r="R128">
        <f t="shared" si="39"/>
        <v>6554238.6397499004</v>
      </c>
      <c r="S128" s="64">
        <f>'Loan Prepayment'!$B$6</f>
        <v>7.5</v>
      </c>
      <c r="T128">
        <f>IF(R128&lt;=0,0,MIN(IF(AND('Loan Prepayment'!$E$15="Reduce EMI",W127&gt;0),-PMT(S128/1200,MAX(1,'Loan Prepayment'!$B$7*12-Q128+1),R128),T127),R128+U128))</f>
        <v>80559.31935518072</v>
      </c>
      <c r="U128">
        <f t="shared" si="27"/>
        <v>40963.991498436881</v>
      </c>
      <c r="V128">
        <f t="shared" si="28"/>
        <v>39595.327856743839</v>
      </c>
      <c r="W128">
        <f>IF(R128&lt;=0,0,MIN(MAX(0,R128-V128),0+IF(AND(Q128&gt;='Loan Prepayment'!$B$9,Q128&lt;='Loan Prepayment'!$E$16),'Loan Prepayment'!$B$8,0)))</f>
        <v>0</v>
      </c>
      <c r="X128">
        <f t="shared" si="29"/>
        <v>6514643.3118931567</v>
      </c>
      <c r="Y128">
        <v>127</v>
      </c>
      <c r="Z128">
        <f t="shared" si="40"/>
        <v>6041894.9608836481</v>
      </c>
      <c r="AA128">
        <f>IF(Y128&gt;='Loan Prepayment'!$E$11,'Loan Prepayment'!$E$12,'Loan Prepayment'!$B$6)</f>
        <v>6.5</v>
      </c>
      <c r="AB128">
        <f>IF(Z128&lt;=0,0,MIN(IF(Y128='Loan Prepayment'!$E$11,IF('Loan Prepayment'!$E$13="Keep tenure, recalculate EMI",-PMT(AA128/1200,MAX(1,'Loan Prepayment'!$B$7*12-Y128+1),Z128),AB127),AB127),Z128+AC128))</f>
        <v>80559.31935518072</v>
      </c>
      <c r="AC128">
        <f t="shared" si="30"/>
        <v>32726.931038119761</v>
      </c>
      <c r="AD128">
        <f t="shared" si="31"/>
        <v>47832.388317060962</v>
      </c>
      <c r="AE128">
        <f t="shared" si="32"/>
        <v>0</v>
      </c>
      <c r="AF128">
        <f t="shared" si="33"/>
        <v>5994062.5725665875</v>
      </c>
      <c r="AG128">
        <v>127</v>
      </c>
      <c r="AH128">
        <f t="shared" si="41"/>
        <v>5059478.5236735316</v>
      </c>
      <c r="AI128">
        <f>IF(AG128&gt;='Loan Prepayment'!$E$11,'Loan Prepayment'!$E$12,'Loan Prepayment'!$B$6)</f>
        <v>6.5</v>
      </c>
      <c r="AJ128">
        <f>IF(AH128&lt;=0,0,MIN(IF(AG128='Loan Prepayment'!$E$11,IF('Loan Prepayment'!$E$13="Keep tenure, recalculate EMI",-PMT(AI128/1200,MAX(1,'Loan Prepayment'!$B$7*12-AG128+1),AH128),IF(AND('Loan Prepayment'!$E$15="Reduce EMI",AM127&gt;0),-PMT(AI127/1200,MAX(1,'Loan Prepayment'!$B$7*12-AG128+1),AH128),AJ127)),IF(AND('Loan Prepayment'!$E$15="Reduce EMI",AM127&gt;0),-PMT(AI128/1200,MAX(1,'Loan Prepayment'!$B$7*12-AG128+1),AH128),AJ127)),AH128+AK128))</f>
        <v>67460.316473241648</v>
      </c>
      <c r="AK128">
        <f t="shared" si="34"/>
        <v>27405.508669898296</v>
      </c>
      <c r="AL128">
        <f t="shared" si="35"/>
        <v>40054.807803343356</v>
      </c>
      <c r="AM128">
        <f>IF(AH128&lt;=0,0,MIN(MAX(0,AH128-AL128),SUMIFS('Loan Prepayment'!$B$12:$B$31,'Loan Prepayment'!$A$12:$A$31,AG128)+IF(AND(AG128&gt;='Loan Prepayment'!$B$9,AG128&lt;='Loan Prepayment'!$E$16),'Loan Prepayment'!$B$8,0)))</f>
        <v>0</v>
      </c>
      <c r="AN128">
        <f t="shared" si="36"/>
        <v>5019423.7158701885</v>
      </c>
    </row>
    <row r="129" spans="1:40" x14ac:dyDescent="0.35">
      <c r="A129">
        <v>128</v>
      </c>
      <c r="B129">
        <f t="shared" si="37"/>
        <v>6514643.3118931567</v>
      </c>
      <c r="C129" s="64">
        <f>'Loan Prepayment'!$B$6</f>
        <v>7.5</v>
      </c>
      <c r="D129">
        <f>IF(B129&lt;=0,0,MIN(-PMT('Loan Prepayment'!$B$6/1200,'Loan Prepayment'!$B$7*12,'Loan Prepayment'!$B$5),B129+E129))</f>
        <v>80559.31935518072</v>
      </c>
      <c r="E129">
        <f t="shared" si="21"/>
        <v>40716.520699332235</v>
      </c>
      <c r="F129">
        <f t="shared" si="22"/>
        <v>39842.798655848484</v>
      </c>
      <c r="G129">
        <v>0</v>
      </c>
      <c r="H129">
        <f t="shared" si="23"/>
        <v>6474800.5132373087</v>
      </c>
      <c r="I129">
        <v>128</v>
      </c>
      <c r="J129">
        <f t="shared" si="38"/>
        <v>5455357.6550586391</v>
      </c>
      <c r="K129" s="64">
        <f>'Loan Prepayment'!$B$6</f>
        <v>7.5</v>
      </c>
      <c r="L129">
        <f>IF(J129&lt;=0,0,MIN(IF(AND('Loan Prepayment'!$E$15="Reduce EMI",O128&gt;0),-PMT(K129/1200,MAX(1,'Loan Prepayment'!$B$7*12-I129+1),J129),L128),J129+M129))</f>
        <v>67460.316473241648</v>
      </c>
      <c r="M129">
        <f t="shared" si="24"/>
        <v>34095.985344116496</v>
      </c>
      <c r="N129">
        <f t="shared" si="25"/>
        <v>33364.331129125152</v>
      </c>
      <c r="O129">
        <f>IF(J129&lt;=0,0,MIN(MAX(0,J129-N129),SUMIFS('Loan Prepayment'!$B$12:$B$31,'Loan Prepayment'!$A$12:$A$31,I129)+0))</f>
        <v>0</v>
      </c>
      <c r="P129">
        <f t="shared" si="26"/>
        <v>5421993.3239295138</v>
      </c>
      <c r="Q129">
        <v>128</v>
      </c>
      <c r="R129">
        <f t="shared" si="39"/>
        <v>6514643.3118931567</v>
      </c>
      <c r="S129" s="64">
        <f>'Loan Prepayment'!$B$6</f>
        <v>7.5</v>
      </c>
      <c r="T129">
        <f>IF(R129&lt;=0,0,MIN(IF(AND('Loan Prepayment'!$E$15="Reduce EMI",W128&gt;0),-PMT(S129/1200,MAX(1,'Loan Prepayment'!$B$7*12-Q129+1),R129),T128),R129+U129))</f>
        <v>80559.31935518072</v>
      </c>
      <c r="U129">
        <f t="shared" si="27"/>
        <v>40716.520699332235</v>
      </c>
      <c r="V129">
        <f t="shared" si="28"/>
        <v>39842.798655848484</v>
      </c>
      <c r="W129">
        <f>IF(R129&lt;=0,0,MIN(MAX(0,R129-V129),0+IF(AND(Q129&gt;='Loan Prepayment'!$B$9,Q129&lt;='Loan Prepayment'!$E$16),'Loan Prepayment'!$B$8,0)))</f>
        <v>0</v>
      </c>
      <c r="X129">
        <f t="shared" si="29"/>
        <v>6474800.5132373087</v>
      </c>
      <c r="Y129">
        <v>128</v>
      </c>
      <c r="Z129">
        <f t="shared" si="40"/>
        <v>5994062.5725665875</v>
      </c>
      <c r="AA129">
        <f>IF(Y129&gt;='Loan Prepayment'!$E$11,'Loan Prepayment'!$E$12,'Loan Prepayment'!$B$6)</f>
        <v>6.5</v>
      </c>
      <c r="AB129">
        <f>IF(Z129&lt;=0,0,MIN(IF(Y129='Loan Prepayment'!$E$11,IF('Loan Prepayment'!$E$13="Keep tenure, recalculate EMI",-PMT(AA129/1200,MAX(1,'Loan Prepayment'!$B$7*12-Y129+1),Z129),AB128),AB128),Z129+AC129))</f>
        <v>80559.31935518072</v>
      </c>
      <c r="AC129">
        <f t="shared" si="30"/>
        <v>32467.838934735682</v>
      </c>
      <c r="AD129">
        <f t="shared" si="31"/>
        <v>48091.480420445034</v>
      </c>
      <c r="AE129">
        <f t="shared" si="32"/>
        <v>0</v>
      </c>
      <c r="AF129">
        <f t="shared" si="33"/>
        <v>5945971.0921461424</v>
      </c>
      <c r="AG129">
        <v>128</v>
      </c>
      <c r="AH129">
        <f t="shared" si="41"/>
        <v>5019423.7158701885</v>
      </c>
      <c r="AI129">
        <f>IF(AG129&gt;='Loan Prepayment'!$E$11,'Loan Prepayment'!$E$12,'Loan Prepayment'!$B$6)</f>
        <v>6.5</v>
      </c>
      <c r="AJ129">
        <f>IF(AH129&lt;=0,0,MIN(IF(AG129='Loan Prepayment'!$E$11,IF('Loan Prepayment'!$E$13="Keep tenure, recalculate EMI",-PMT(AI129/1200,MAX(1,'Loan Prepayment'!$B$7*12-AG129+1),AH129),IF(AND('Loan Prepayment'!$E$15="Reduce EMI",AM128&gt;0),-PMT(AI128/1200,MAX(1,'Loan Prepayment'!$B$7*12-AG129+1),AH129),AJ128)),IF(AND('Loan Prepayment'!$E$15="Reduce EMI",AM128&gt;0),-PMT(AI129/1200,MAX(1,'Loan Prepayment'!$B$7*12-AG129+1),AH129),AJ128)),AH129+AK129))</f>
        <v>67460.316473241648</v>
      </c>
      <c r="AK129">
        <f t="shared" si="34"/>
        <v>27188.545127630186</v>
      </c>
      <c r="AL129">
        <f t="shared" si="35"/>
        <v>40271.771345611458</v>
      </c>
      <c r="AM129">
        <f>IF(AH129&lt;=0,0,MIN(MAX(0,AH129-AL129),SUMIFS('Loan Prepayment'!$B$12:$B$31,'Loan Prepayment'!$A$12:$A$31,AG129)+IF(AND(AG129&gt;='Loan Prepayment'!$B$9,AG129&lt;='Loan Prepayment'!$E$16),'Loan Prepayment'!$B$8,0)))</f>
        <v>0</v>
      </c>
      <c r="AN129">
        <f t="shared" si="36"/>
        <v>4979151.9445245769</v>
      </c>
    </row>
    <row r="130" spans="1:40" x14ac:dyDescent="0.35">
      <c r="A130">
        <v>129</v>
      </c>
      <c r="B130">
        <f t="shared" si="37"/>
        <v>6474800.5132373087</v>
      </c>
      <c r="C130" s="64">
        <f>'Loan Prepayment'!$B$6</f>
        <v>7.5</v>
      </c>
      <c r="D130">
        <f>IF(B130&lt;=0,0,MIN(-PMT('Loan Prepayment'!$B$6/1200,'Loan Prepayment'!$B$7*12,'Loan Prepayment'!$B$5),B130+E130))</f>
        <v>80559.31935518072</v>
      </c>
      <c r="E130">
        <f t="shared" ref="E130:E193" si="42">IF(B130&lt;=0,0,B130*C130/1200)</f>
        <v>40467.503207733178</v>
      </c>
      <c r="F130">
        <f t="shared" ref="F130:F193" si="43">MAX(0,D130-E130)</f>
        <v>40091.816147447542</v>
      </c>
      <c r="G130">
        <v>0</v>
      </c>
      <c r="H130">
        <f t="shared" ref="H130:H193" si="44">MAX(0,B130-F130-G130)</f>
        <v>6434708.6970898611</v>
      </c>
      <c r="I130">
        <v>129</v>
      </c>
      <c r="J130">
        <f t="shared" si="38"/>
        <v>5421993.3239295138</v>
      </c>
      <c r="K130" s="64">
        <f>'Loan Prepayment'!$B$6</f>
        <v>7.5</v>
      </c>
      <c r="L130">
        <f>IF(J130&lt;=0,0,MIN(IF(AND('Loan Prepayment'!$E$15="Reduce EMI",O129&gt;0),-PMT(K130/1200,MAX(1,'Loan Prepayment'!$B$7*12-I130+1),J130),L129),J130+M130))</f>
        <v>67460.316473241648</v>
      </c>
      <c r="M130">
        <f t="shared" ref="M130:M193" si="45">IF(J130&lt;=0,0,J130*K130/1200)</f>
        <v>33887.45827455946</v>
      </c>
      <c r="N130">
        <f t="shared" ref="N130:N193" si="46">MAX(0,L130-M130)</f>
        <v>33572.858198682188</v>
      </c>
      <c r="O130">
        <f>IF(J130&lt;=0,0,MIN(MAX(0,J130-N130),SUMIFS('Loan Prepayment'!$B$12:$B$31,'Loan Prepayment'!$A$12:$A$31,I130)+0))</f>
        <v>0</v>
      </c>
      <c r="P130">
        <f t="shared" ref="P130:P193" si="47">MAX(0,J130-N130-O130)</f>
        <v>5388420.465730832</v>
      </c>
      <c r="Q130">
        <v>129</v>
      </c>
      <c r="R130">
        <f t="shared" si="39"/>
        <v>6474800.5132373087</v>
      </c>
      <c r="S130" s="64">
        <f>'Loan Prepayment'!$B$6</f>
        <v>7.5</v>
      </c>
      <c r="T130">
        <f>IF(R130&lt;=0,0,MIN(IF(AND('Loan Prepayment'!$E$15="Reduce EMI",W129&gt;0),-PMT(S130/1200,MAX(1,'Loan Prepayment'!$B$7*12-Q130+1),R130),T129),R130+U130))</f>
        <v>80559.31935518072</v>
      </c>
      <c r="U130">
        <f t="shared" ref="U130:U193" si="48">IF(R130&lt;=0,0,R130*S130/1200)</f>
        <v>40467.503207733178</v>
      </c>
      <c r="V130">
        <f t="shared" ref="V130:V193" si="49">MAX(0,T130-U130)</f>
        <v>40091.816147447542</v>
      </c>
      <c r="W130">
        <f>IF(R130&lt;=0,0,MIN(MAX(0,R130-V130),0+IF(AND(Q130&gt;='Loan Prepayment'!$B$9,Q130&lt;='Loan Prepayment'!$E$16),'Loan Prepayment'!$B$8,0)))</f>
        <v>0</v>
      </c>
      <c r="X130">
        <f t="shared" ref="X130:X193" si="50">MAX(0,R130-V130-W130)</f>
        <v>6434708.6970898611</v>
      </c>
      <c r="Y130">
        <v>129</v>
      </c>
      <c r="Z130">
        <f t="shared" si="40"/>
        <v>5945971.0921461424</v>
      </c>
      <c r="AA130">
        <f>IF(Y130&gt;='Loan Prepayment'!$E$11,'Loan Prepayment'!$E$12,'Loan Prepayment'!$B$6)</f>
        <v>6.5</v>
      </c>
      <c r="AB130">
        <f>IF(Z130&lt;=0,0,MIN(IF(Y130='Loan Prepayment'!$E$11,IF('Loan Prepayment'!$E$13="Keep tenure, recalculate EMI",-PMT(AA130/1200,MAX(1,'Loan Prepayment'!$B$7*12-Y130+1),Z130),AB129),AB129),Z130+AC130))</f>
        <v>80559.31935518072</v>
      </c>
      <c r="AC130">
        <f t="shared" ref="AC130:AC193" si="51">IF(Z130&lt;=0,0,Z130*AA130/1200)</f>
        <v>32207.343415791602</v>
      </c>
      <c r="AD130">
        <f t="shared" ref="AD130:AD193" si="52">MAX(0,AB130-AC130)</f>
        <v>48351.975939389115</v>
      </c>
      <c r="AE130">
        <f t="shared" ref="AE130:AE193" si="53">IF(Z130&lt;=0,0,MIN(MAX(0,Z130-AD130),0))</f>
        <v>0</v>
      </c>
      <c r="AF130">
        <f t="shared" ref="AF130:AF193" si="54">MAX(0,Z130-AD130-AE130)</f>
        <v>5897619.1162067531</v>
      </c>
      <c r="AG130">
        <v>129</v>
      </c>
      <c r="AH130">
        <f t="shared" si="41"/>
        <v>4979151.9445245769</v>
      </c>
      <c r="AI130">
        <f>IF(AG130&gt;='Loan Prepayment'!$E$11,'Loan Prepayment'!$E$12,'Loan Prepayment'!$B$6)</f>
        <v>6.5</v>
      </c>
      <c r="AJ130">
        <f>IF(AH130&lt;=0,0,MIN(IF(AG130='Loan Prepayment'!$E$11,IF('Loan Prepayment'!$E$13="Keep tenure, recalculate EMI",-PMT(AI130/1200,MAX(1,'Loan Prepayment'!$B$7*12-AG130+1),AH130),IF(AND('Loan Prepayment'!$E$15="Reduce EMI",AM129&gt;0),-PMT(AI129/1200,MAX(1,'Loan Prepayment'!$B$7*12-AG130+1),AH130),AJ129)),IF(AND('Loan Prepayment'!$E$15="Reduce EMI",AM129&gt;0),-PMT(AI130/1200,MAX(1,'Loan Prepayment'!$B$7*12-AG130+1),AH130),AJ129)),AH130+AK130))</f>
        <v>67460.316473241648</v>
      </c>
      <c r="AK130">
        <f t="shared" ref="AK130:AK193" si="55">IF(AH130&lt;=0,0,AH130*AI130/1200)</f>
        <v>26970.406366174793</v>
      </c>
      <c r="AL130">
        <f t="shared" ref="AL130:AL193" si="56">MAX(0,AJ130-AK130)</f>
        <v>40489.910107066855</v>
      </c>
      <c r="AM130">
        <f>IF(AH130&lt;=0,0,MIN(MAX(0,AH130-AL130),SUMIFS('Loan Prepayment'!$B$12:$B$31,'Loan Prepayment'!$A$12:$A$31,AG130)+IF(AND(AG130&gt;='Loan Prepayment'!$B$9,AG130&lt;='Loan Prepayment'!$E$16),'Loan Prepayment'!$B$8,0)))</f>
        <v>0</v>
      </c>
      <c r="AN130">
        <f t="shared" ref="AN130:AN193" si="57">MAX(0,AH130-AL130-AM130)</f>
        <v>4938662.03441751</v>
      </c>
    </row>
    <row r="131" spans="1:40" x14ac:dyDescent="0.35">
      <c r="A131">
        <v>130</v>
      </c>
      <c r="B131">
        <f t="shared" ref="B131:B194" si="58">H130</f>
        <v>6434708.6970898611</v>
      </c>
      <c r="C131" s="64">
        <f>'Loan Prepayment'!$B$6</f>
        <v>7.5</v>
      </c>
      <c r="D131">
        <f>IF(B131&lt;=0,0,MIN(-PMT('Loan Prepayment'!$B$6/1200,'Loan Prepayment'!$B$7*12,'Loan Prepayment'!$B$5),B131+E131))</f>
        <v>80559.31935518072</v>
      </c>
      <c r="E131">
        <f t="shared" si="42"/>
        <v>40216.929356811634</v>
      </c>
      <c r="F131">
        <f t="shared" si="43"/>
        <v>40342.389998369086</v>
      </c>
      <c r="G131">
        <v>0</v>
      </c>
      <c r="H131">
        <f t="shared" si="44"/>
        <v>6394366.3070914922</v>
      </c>
      <c r="I131">
        <v>130</v>
      </c>
      <c r="J131">
        <f t="shared" ref="J131:J194" si="59">P130</f>
        <v>5388420.465730832</v>
      </c>
      <c r="K131" s="64">
        <f>'Loan Prepayment'!$B$6</f>
        <v>7.5</v>
      </c>
      <c r="L131">
        <f>IF(J131&lt;=0,0,MIN(IF(AND('Loan Prepayment'!$E$15="Reduce EMI",O130&gt;0),-PMT(K131/1200,MAX(1,'Loan Prepayment'!$B$7*12-I131+1),J131),L130),J131+M131))</f>
        <v>67460.316473241648</v>
      </c>
      <c r="M131">
        <f t="shared" si="45"/>
        <v>33677.627910817697</v>
      </c>
      <c r="N131">
        <f t="shared" si="46"/>
        <v>33782.688562423951</v>
      </c>
      <c r="O131">
        <f>IF(J131&lt;=0,0,MIN(MAX(0,J131-N131),SUMIFS('Loan Prepayment'!$B$12:$B$31,'Loan Prepayment'!$A$12:$A$31,I131)+0))</f>
        <v>0</v>
      </c>
      <c r="P131">
        <f t="shared" si="47"/>
        <v>5354637.777168408</v>
      </c>
      <c r="Q131">
        <v>130</v>
      </c>
      <c r="R131">
        <f t="shared" ref="R131:R194" si="60">X130</f>
        <v>6434708.6970898611</v>
      </c>
      <c r="S131" s="64">
        <f>'Loan Prepayment'!$B$6</f>
        <v>7.5</v>
      </c>
      <c r="T131">
        <f>IF(R131&lt;=0,0,MIN(IF(AND('Loan Prepayment'!$E$15="Reduce EMI",W130&gt;0),-PMT(S131/1200,MAX(1,'Loan Prepayment'!$B$7*12-Q131+1),R131),T130),R131+U131))</f>
        <v>80559.31935518072</v>
      </c>
      <c r="U131">
        <f t="shared" si="48"/>
        <v>40216.929356811634</v>
      </c>
      <c r="V131">
        <f t="shared" si="49"/>
        <v>40342.389998369086</v>
      </c>
      <c r="W131">
        <f>IF(R131&lt;=0,0,MIN(MAX(0,R131-V131),0+IF(AND(Q131&gt;='Loan Prepayment'!$B$9,Q131&lt;='Loan Prepayment'!$E$16),'Loan Prepayment'!$B$8,0)))</f>
        <v>0</v>
      </c>
      <c r="X131">
        <f t="shared" si="50"/>
        <v>6394366.3070914922</v>
      </c>
      <c r="Y131">
        <v>130</v>
      </c>
      <c r="Z131">
        <f t="shared" ref="Z131:Z194" si="61">AF130</f>
        <v>5897619.1162067531</v>
      </c>
      <c r="AA131">
        <f>IF(Y131&gt;='Loan Prepayment'!$E$11,'Loan Prepayment'!$E$12,'Loan Prepayment'!$B$6)</f>
        <v>6.5</v>
      </c>
      <c r="AB131">
        <f>IF(Z131&lt;=0,0,MIN(IF(Y131='Loan Prepayment'!$E$11,IF('Loan Prepayment'!$E$13="Keep tenure, recalculate EMI",-PMT(AA131/1200,MAX(1,'Loan Prepayment'!$B$7*12-Y131+1),Z131),AB130),AB130),Z131+AC131))</f>
        <v>80559.31935518072</v>
      </c>
      <c r="AC131">
        <f t="shared" si="51"/>
        <v>31945.436879453242</v>
      </c>
      <c r="AD131">
        <f t="shared" si="52"/>
        <v>48613.882475727478</v>
      </c>
      <c r="AE131">
        <f t="shared" si="53"/>
        <v>0</v>
      </c>
      <c r="AF131">
        <f t="shared" si="54"/>
        <v>5849005.2337310258</v>
      </c>
      <c r="AG131">
        <v>130</v>
      </c>
      <c r="AH131">
        <f t="shared" ref="AH131:AH194" si="62">AN130</f>
        <v>4938662.03441751</v>
      </c>
      <c r="AI131">
        <f>IF(AG131&gt;='Loan Prepayment'!$E$11,'Loan Prepayment'!$E$12,'Loan Prepayment'!$B$6)</f>
        <v>6.5</v>
      </c>
      <c r="AJ131">
        <f>IF(AH131&lt;=0,0,MIN(IF(AG131='Loan Prepayment'!$E$11,IF('Loan Prepayment'!$E$13="Keep tenure, recalculate EMI",-PMT(AI131/1200,MAX(1,'Loan Prepayment'!$B$7*12-AG131+1),AH131),IF(AND('Loan Prepayment'!$E$15="Reduce EMI",AM130&gt;0),-PMT(AI130/1200,MAX(1,'Loan Prepayment'!$B$7*12-AG131+1),AH131),AJ130)),IF(AND('Loan Prepayment'!$E$15="Reduce EMI",AM130&gt;0),-PMT(AI131/1200,MAX(1,'Loan Prepayment'!$B$7*12-AG131+1),AH131),AJ130)),AH131+AK131))</f>
        <v>67460.316473241648</v>
      </c>
      <c r="AK131">
        <f t="shared" si="55"/>
        <v>26751.086019761511</v>
      </c>
      <c r="AL131">
        <f t="shared" si="56"/>
        <v>40709.230453480137</v>
      </c>
      <c r="AM131">
        <f>IF(AH131&lt;=0,0,MIN(MAX(0,AH131-AL131),SUMIFS('Loan Prepayment'!$B$12:$B$31,'Loan Prepayment'!$A$12:$A$31,AG131)+IF(AND(AG131&gt;='Loan Prepayment'!$B$9,AG131&lt;='Loan Prepayment'!$E$16),'Loan Prepayment'!$B$8,0)))</f>
        <v>0</v>
      </c>
      <c r="AN131">
        <f t="shared" si="57"/>
        <v>4897952.80396403</v>
      </c>
    </row>
    <row r="132" spans="1:40" x14ac:dyDescent="0.35">
      <c r="A132">
        <v>131</v>
      </c>
      <c r="B132">
        <f t="shared" si="58"/>
        <v>6394366.3070914922</v>
      </c>
      <c r="C132" s="64">
        <f>'Loan Prepayment'!$B$6</f>
        <v>7.5</v>
      </c>
      <c r="D132">
        <f>IF(B132&lt;=0,0,MIN(-PMT('Loan Prepayment'!$B$6/1200,'Loan Prepayment'!$B$7*12,'Loan Prepayment'!$B$5),B132+E132))</f>
        <v>80559.31935518072</v>
      </c>
      <c r="E132">
        <f t="shared" si="42"/>
        <v>39964.789419321831</v>
      </c>
      <c r="F132">
        <f t="shared" si="43"/>
        <v>40594.529935858889</v>
      </c>
      <c r="G132">
        <v>0</v>
      </c>
      <c r="H132">
        <f t="shared" si="44"/>
        <v>6353771.7771556331</v>
      </c>
      <c r="I132">
        <v>131</v>
      </c>
      <c r="J132">
        <f t="shared" si="59"/>
        <v>5354637.777168408</v>
      </c>
      <c r="K132" s="64">
        <f>'Loan Prepayment'!$B$6</f>
        <v>7.5</v>
      </c>
      <c r="L132">
        <f>IF(J132&lt;=0,0,MIN(IF(AND('Loan Prepayment'!$E$15="Reduce EMI",O131&gt;0),-PMT(K132/1200,MAX(1,'Loan Prepayment'!$B$7*12-I132+1),J132),L131),J132+M132))</f>
        <v>67460.316473241648</v>
      </c>
      <c r="M132">
        <f t="shared" si="45"/>
        <v>33466.486107302553</v>
      </c>
      <c r="N132">
        <f t="shared" si="46"/>
        <v>33993.830365939095</v>
      </c>
      <c r="O132">
        <f>IF(J132&lt;=0,0,MIN(MAX(0,J132-N132),SUMIFS('Loan Prepayment'!$B$12:$B$31,'Loan Prepayment'!$A$12:$A$31,I132)+0))</f>
        <v>0</v>
      </c>
      <c r="P132">
        <f t="shared" si="47"/>
        <v>5320643.946802469</v>
      </c>
      <c r="Q132">
        <v>131</v>
      </c>
      <c r="R132">
        <f t="shared" si="60"/>
        <v>6394366.3070914922</v>
      </c>
      <c r="S132" s="64">
        <f>'Loan Prepayment'!$B$6</f>
        <v>7.5</v>
      </c>
      <c r="T132">
        <f>IF(R132&lt;=0,0,MIN(IF(AND('Loan Prepayment'!$E$15="Reduce EMI",W131&gt;0),-PMT(S132/1200,MAX(1,'Loan Prepayment'!$B$7*12-Q132+1),R132),T131),R132+U132))</f>
        <v>80559.31935518072</v>
      </c>
      <c r="U132">
        <f t="shared" si="48"/>
        <v>39964.789419321831</v>
      </c>
      <c r="V132">
        <f t="shared" si="49"/>
        <v>40594.529935858889</v>
      </c>
      <c r="W132">
        <f>IF(R132&lt;=0,0,MIN(MAX(0,R132-V132),0+IF(AND(Q132&gt;='Loan Prepayment'!$B$9,Q132&lt;='Loan Prepayment'!$E$16),'Loan Prepayment'!$B$8,0)))</f>
        <v>0</v>
      </c>
      <c r="X132">
        <f t="shared" si="50"/>
        <v>6353771.7771556331</v>
      </c>
      <c r="Y132">
        <v>131</v>
      </c>
      <c r="Z132">
        <f t="shared" si="61"/>
        <v>5849005.2337310258</v>
      </c>
      <c r="AA132">
        <f>IF(Y132&gt;='Loan Prepayment'!$E$11,'Loan Prepayment'!$E$12,'Loan Prepayment'!$B$6)</f>
        <v>6.5</v>
      </c>
      <c r="AB132">
        <f>IF(Z132&lt;=0,0,MIN(IF(Y132='Loan Prepayment'!$E$11,IF('Loan Prepayment'!$E$13="Keep tenure, recalculate EMI",-PMT(AA132/1200,MAX(1,'Loan Prepayment'!$B$7*12-Y132+1),Z132),AB131),AB131),Z132+AC132))</f>
        <v>80559.31935518072</v>
      </c>
      <c r="AC132">
        <f t="shared" si="51"/>
        <v>31682.111682709721</v>
      </c>
      <c r="AD132">
        <f t="shared" si="52"/>
        <v>48877.207672470999</v>
      </c>
      <c r="AE132">
        <f t="shared" si="53"/>
        <v>0</v>
      </c>
      <c r="AF132">
        <f t="shared" si="54"/>
        <v>5800128.0260585546</v>
      </c>
      <c r="AG132">
        <v>131</v>
      </c>
      <c r="AH132">
        <f t="shared" si="62"/>
        <v>4897952.80396403</v>
      </c>
      <c r="AI132">
        <f>IF(AG132&gt;='Loan Prepayment'!$E$11,'Loan Prepayment'!$E$12,'Loan Prepayment'!$B$6)</f>
        <v>6.5</v>
      </c>
      <c r="AJ132">
        <f>IF(AH132&lt;=0,0,MIN(IF(AG132='Loan Prepayment'!$E$11,IF('Loan Prepayment'!$E$13="Keep tenure, recalculate EMI",-PMT(AI132/1200,MAX(1,'Loan Prepayment'!$B$7*12-AG132+1),AH132),IF(AND('Loan Prepayment'!$E$15="Reduce EMI",AM131&gt;0),-PMT(AI131/1200,MAX(1,'Loan Prepayment'!$B$7*12-AG132+1),AH132),AJ131)),IF(AND('Loan Prepayment'!$E$15="Reduce EMI",AM131&gt;0),-PMT(AI132/1200,MAX(1,'Loan Prepayment'!$B$7*12-AG132+1),AH132),AJ131)),AH132+AK132))</f>
        <v>67460.316473241648</v>
      </c>
      <c r="AK132">
        <f t="shared" si="55"/>
        <v>26530.577688138499</v>
      </c>
      <c r="AL132">
        <f t="shared" si="56"/>
        <v>40929.738785103153</v>
      </c>
      <c r="AM132">
        <f>IF(AH132&lt;=0,0,MIN(MAX(0,AH132-AL132),SUMIFS('Loan Prepayment'!$B$12:$B$31,'Loan Prepayment'!$A$12:$A$31,AG132)+IF(AND(AG132&gt;='Loan Prepayment'!$B$9,AG132&lt;='Loan Prepayment'!$E$16),'Loan Prepayment'!$B$8,0)))</f>
        <v>0</v>
      </c>
      <c r="AN132">
        <f t="shared" si="57"/>
        <v>4857023.065178927</v>
      </c>
    </row>
    <row r="133" spans="1:40" x14ac:dyDescent="0.35">
      <c r="A133">
        <v>132</v>
      </c>
      <c r="B133">
        <f t="shared" si="58"/>
        <v>6353771.7771556331</v>
      </c>
      <c r="C133" s="64">
        <f>'Loan Prepayment'!$B$6</f>
        <v>7.5</v>
      </c>
      <c r="D133">
        <f>IF(B133&lt;=0,0,MIN(-PMT('Loan Prepayment'!$B$6/1200,'Loan Prepayment'!$B$7*12,'Loan Prepayment'!$B$5),B133+E133))</f>
        <v>80559.31935518072</v>
      </c>
      <c r="E133">
        <f t="shared" si="42"/>
        <v>39711.073607222708</v>
      </c>
      <c r="F133">
        <f t="shared" si="43"/>
        <v>40848.245747958012</v>
      </c>
      <c r="G133">
        <v>0</v>
      </c>
      <c r="H133">
        <f t="shared" si="44"/>
        <v>6312923.5314076748</v>
      </c>
      <c r="I133">
        <v>132</v>
      </c>
      <c r="J133">
        <f t="shared" si="59"/>
        <v>5320643.946802469</v>
      </c>
      <c r="K133" s="64">
        <f>'Loan Prepayment'!$B$6</f>
        <v>7.5</v>
      </c>
      <c r="L133">
        <f>IF(J133&lt;=0,0,MIN(IF(AND('Loan Prepayment'!$E$15="Reduce EMI",O132&gt;0),-PMT(K133/1200,MAX(1,'Loan Prepayment'!$B$7*12-I133+1),J133),L132),J133+M133))</f>
        <v>67460.316473241648</v>
      </c>
      <c r="M133">
        <f t="shared" si="45"/>
        <v>33254.024667515434</v>
      </c>
      <c r="N133">
        <f t="shared" si="46"/>
        <v>34206.291805726214</v>
      </c>
      <c r="O133">
        <f>IF(J133&lt;=0,0,MIN(MAX(0,J133-N133),SUMIFS('Loan Prepayment'!$B$12:$B$31,'Loan Prepayment'!$A$12:$A$31,I133)+0))</f>
        <v>0</v>
      </c>
      <c r="P133">
        <f t="shared" si="47"/>
        <v>5286437.6549967425</v>
      </c>
      <c r="Q133">
        <v>132</v>
      </c>
      <c r="R133">
        <f t="shared" si="60"/>
        <v>6353771.7771556331</v>
      </c>
      <c r="S133" s="64">
        <f>'Loan Prepayment'!$B$6</f>
        <v>7.5</v>
      </c>
      <c r="T133">
        <f>IF(R133&lt;=0,0,MIN(IF(AND('Loan Prepayment'!$E$15="Reduce EMI",W132&gt;0),-PMT(S133/1200,MAX(1,'Loan Prepayment'!$B$7*12-Q133+1),R133),T132),R133+U133))</f>
        <v>80559.31935518072</v>
      </c>
      <c r="U133">
        <f t="shared" si="48"/>
        <v>39711.073607222708</v>
      </c>
      <c r="V133">
        <f t="shared" si="49"/>
        <v>40848.245747958012</v>
      </c>
      <c r="W133">
        <f>IF(R133&lt;=0,0,MIN(MAX(0,R133-V133),0+IF(AND(Q133&gt;='Loan Prepayment'!$B$9,Q133&lt;='Loan Prepayment'!$E$16),'Loan Prepayment'!$B$8,0)))</f>
        <v>0</v>
      </c>
      <c r="X133">
        <f t="shared" si="50"/>
        <v>6312923.5314076748</v>
      </c>
      <c r="Y133">
        <v>132</v>
      </c>
      <c r="Z133">
        <f t="shared" si="61"/>
        <v>5800128.0260585546</v>
      </c>
      <c r="AA133">
        <f>IF(Y133&gt;='Loan Prepayment'!$E$11,'Loan Prepayment'!$E$12,'Loan Prepayment'!$B$6)</f>
        <v>6.5</v>
      </c>
      <c r="AB133">
        <f>IF(Z133&lt;=0,0,MIN(IF(Y133='Loan Prepayment'!$E$11,IF('Loan Prepayment'!$E$13="Keep tenure, recalculate EMI",-PMT(AA133/1200,MAX(1,'Loan Prepayment'!$B$7*12-Y133+1),Z133),AB132),AB132),Z133+AC133))</f>
        <v>80559.31935518072</v>
      </c>
      <c r="AC133">
        <f t="shared" si="51"/>
        <v>31417.360141150504</v>
      </c>
      <c r="AD133">
        <f t="shared" si="52"/>
        <v>49141.959214030212</v>
      </c>
      <c r="AE133">
        <f t="shared" si="53"/>
        <v>0</v>
      </c>
      <c r="AF133">
        <f t="shared" si="54"/>
        <v>5750986.0668445248</v>
      </c>
      <c r="AG133">
        <v>132</v>
      </c>
      <c r="AH133">
        <f t="shared" si="62"/>
        <v>4857023.065178927</v>
      </c>
      <c r="AI133">
        <f>IF(AG133&gt;='Loan Prepayment'!$E$11,'Loan Prepayment'!$E$12,'Loan Prepayment'!$B$6)</f>
        <v>6.5</v>
      </c>
      <c r="AJ133">
        <f>IF(AH133&lt;=0,0,MIN(IF(AG133='Loan Prepayment'!$E$11,IF('Loan Prepayment'!$E$13="Keep tenure, recalculate EMI",-PMT(AI133/1200,MAX(1,'Loan Prepayment'!$B$7*12-AG133+1),AH133),IF(AND('Loan Prepayment'!$E$15="Reduce EMI",AM132&gt;0),-PMT(AI132/1200,MAX(1,'Loan Prepayment'!$B$7*12-AG133+1),AH133),AJ132)),IF(AND('Loan Prepayment'!$E$15="Reduce EMI",AM132&gt;0),-PMT(AI133/1200,MAX(1,'Loan Prepayment'!$B$7*12-AG133+1),AH133),AJ132)),AH133+AK133))</f>
        <v>67460.316473241648</v>
      </c>
      <c r="AK133">
        <f t="shared" si="55"/>
        <v>26308.874936385855</v>
      </c>
      <c r="AL133">
        <f t="shared" si="56"/>
        <v>41151.441536855797</v>
      </c>
      <c r="AM133">
        <f>IF(AH133&lt;=0,0,MIN(MAX(0,AH133-AL133),SUMIFS('Loan Prepayment'!$B$12:$B$31,'Loan Prepayment'!$A$12:$A$31,AG133)+IF(AND(AG133&gt;='Loan Prepayment'!$B$9,AG133&lt;='Loan Prepayment'!$E$16),'Loan Prepayment'!$B$8,0)))</f>
        <v>0</v>
      </c>
      <c r="AN133">
        <f t="shared" si="57"/>
        <v>4815871.6236420712</v>
      </c>
    </row>
    <row r="134" spans="1:40" x14ac:dyDescent="0.35">
      <c r="A134">
        <v>133</v>
      </c>
      <c r="B134">
        <f t="shared" si="58"/>
        <v>6312923.5314076748</v>
      </c>
      <c r="C134" s="64">
        <f>'Loan Prepayment'!$B$6</f>
        <v>7.5</v>
      </c>
      <c r="D134">
        <f>IF(B134&lt;=0,0,MIN(-PMT('Loan Prepayment'!$B$6/1200,'Loan Prepayment'!$B$7*12,'Loan Prepayment'!$B$5),B134+E134))</f>
        <v>80559.31935518072</v>
      </c>
      <c r="E134">
        <f t="shared" si="42"/>
        <v>39455.772071297972</v>
      </c>
      <c r="F134">
        <f t="shared" si="43"/>
        <v>41103.547283882748</v>
      </c>
      <c r="G134">
        <v>0</v>
      </c>
      <c r="H134">
        <f t="shared" si="44"/>
        <v>6271819.9841237916</v>
      </c>
      <c r="I134">
        <v>133</v>
      </c>
      <c r="J134">
        <f t="shared" si="59"/>
        <v>5286437.6549967425</v>
      </c>
      <c r="K134" s="64">
        <f>'Loan Prepayment'!$B$6</f>
        <v>7.5</v>
      </c>
      <c r="L134">
        <f>IF(J134&lt;=0,0,MIN(IF(AND('Loan Prepayment'!$E$15="Reduce EMI",O133&gt;0),-PMT(K134/1200,MAX(1,'Loan Prepayment'!$B$7*12-I134+1),J134),L133),J134+M134))</f>
        <v>67460.316473241648</v>
      </c>
      <c r="M134">
        <f t="shared" si="45"/>
        <v>33040.235343729641</v>
      </c>
      <c r="N134">
        <f t="shared" si="46"/>
        <v>34420.081129512007</v>
      </c>
      <c r="O134">
        <f>IF(J134&lt;=0,0,MIN(MAX(0,J134-N134),SUMIFS('Loan Prepayment'!$B$12:$B$31,'Loan Prepayment'!$A$12:$A$31,I134)+0))</f>
        <v>0</v>
      </c>
      <c r="P134">
        <f t="shared" si="47"/>
        <v>5252017.5738672307</v>
      </c>
      <c r="Q134">
        <v>133</v>
      </c>
      <c r="R134">
        <f t="shared" si="60"/>
        <v>6312923.5314076748</v>
      </c>
      <c r="S134" s="64">
        <f>'Loan Prepayment'!$B$6</f>
        <v>7.5</v>
      </c>
      <c r="T134">
        <f>IF(R134&lt;=0,0,MIN(IF(AND('Loan Prepayment'!$E$15="Reduce EMI",W133&gt;0),-PMT(S134/1200,MAX(1,'Loan Prepayment'!$B$7*12-Q134+1),R134),T133),R134+U134))</f>
        <v>80559.31935518072</v>
      </c>
      <c r="U134">
        <f t="shared" si="48"/>
        <v>39455.772071297972</v>
      </c>
      <c r="V134">
        <f t="shared" si="49"/>
        <v>41103.547283882748</v>
      </c>
      <c r="W134">
        <f>IF(R134&lt;=0,0,MIN(MAX(0,R134-V134),0+IF(AND(Q134&gt;='Loan Prepayment'!$B$9,Q134&lt;='Loan Prepayment'!$E$16),'Loan Prepayment'!$B$8,0)))</f>
        <v>0</v>
      </c>
      <c r="X134">
        <f t="shared" si="50"/>
        <v>6271819.9841237916</v>
      </c>
      <c r="Y134">
        <v>133</v>
      </c>
      <c r="Z134">
        <f t="shared" si="61"/>
        <v>5750986.0668445248</v>
      </c>
      <c r="AA134">
        <f>IF(Y134&gt;='Loan Prepayment'!$E$11,'Loan Prepayment'!$E$12,'Loan Prepayment'!$B$6)</f>
        <v>6.5</v>
      </c>
      <c r="AB134">
        <f>IF(Z134&lt;=0,0,MIN(IF(Y134='Loan Prepayment'!$E$11,IF('Loan Prepayment'!$E$13="Keep tenure, recalculate EMI",-PMT(AA134/1200,MAX(1,'Loan Prepayment'!$B$7*12-Y134+1),Z134),AB133),AB133),Z134+AC134))</f>
        <v>80559.31935518072</v>
      </c>
      <c r="AC134">
        <f t="shared" si="51"/>
        <v>31151.17452874118</v>
      </c>
      <c r="AD134">
        <f t="shared" si="52"/>
        <v>49408.144826439544</v>
      </c>
      <c r="AE134">
        <f t="shared" si="53"/>
        <v>0</v>
      </c>
      <c r="AF134">
        <f t="shared" si="54"/>
        <v>5701577.9220180856</v>
      </c>
      <c r="AG134">
        <v>133</v>
      </c>
      <c r="AH134">
        <f t="shared" si="62"/>
        <v>4815871.6236420712</v>
      </c>
      <c r="AI134">
        <f>IF(AG134&gt;='Loan Prepayment'!$E$11,'Loan Prepayment'!$E$12,'Loan Prepayment'!$B$6)</f>
        <v>6.5</v>
      </c>
      <c r="AJ134">
        <f>IF(AH134&lt;=0,0,MIN(IF(AG134='Loan Prepayment'!$E$11,IF('Loan Prepayment'!$E$13="Keep tenure, recalculate EMI",-PMT(AI134/1200,MAX(1,'Loan Prepayment'!$B$7*12-AG134+1),AH134),IF(AND('Loan Prepayment'!$E$15="Reduce EMI",AM133&gt;0),-PMT(AI133/1200,MAX(1,'Loan Prepayment'!$B$7*12-AG134+1),AH134),AJ133)),IF(AND('Loan Prepayment'!$E$15="Reduce EMI",AM133&gt;0),-PMT(AI134/1200,MAX(1,'Loan Prepayment'!$B$7*12-AG134+1),AH134),AJ133)),AH134+AK134))</f>
        <v>67460.316473241648</v>
      </c>
      <c r="AK134">
        <f t="shared" si="55"/>
        <v>26085.971294727886</v>
      </c>
      <c r="AL134">
        <f t="shared" si="56"/>
        <v>41374.345178513759</v>
      </c>
      <c r="AM134">
        <f>IF(AH134&lt;=0,0,MIN(MAX(0,AH134-AL134),SUMIFS('Loan Prepayment'!$B$12:$B$31,'Loan Prepayment'!$A$12:$A$31,AG134)+IF(AND(AG134&gt;='Loan Prepayment'!$B$9,AG134&lt;='Loan Prepayment'!$E$16),'Loan Prepayment'!$B$8,0)))</f>
        <v>0</v>
      </c>
      <c r="AN134">
        <f t="shared" si="57"/>
        <v>4774497.2784635574</v>
      </c>
    </row>
    <row r="135" spans="1:40" x14ac:dyDescent="0.35">
      <c r="A135">
        <v>134</v>
      </c>
      <c r="B135">
        <f t="shared" si="58"/>
        <v>6271819.9841237916</v>
      </c>
      <c r="C135" s="64">
        <f>'Loan Prepayment'!$B$6</f>
        <v>7.5</v>
      </c>
      <c r="D135">
        <f>IF(B135&lt;=0,0,MIN(-PMT('Loan Prepayment'!$B$6/1200,'Loan Prepayment'!$B$7*12,'Loan Prepayment'!$B$5),B135+E135))</f>
        <v>80559.31935518072</v>
      </c>
      <c r="E135">
        <f t="shared" si="42"/>
        <v>39198.874900773699</v>
      </c>
      <c r="F135">
        <f t="shared" si="43"/>
        <v>41360.444454407021</v>
      </c>
      <c r="G135">
        <v>0</v>
      </c>
      <c r="H135">
        <f t="shared" si="44"/>
        <v>6230459.5396693842</v>
      </c>
      <c r="I135">
        <v>134</v>
      </c>
      <c r="J135">
        <f t="shared" si="59"/>
        <v>5252017.5738672307</v>
      </c>
      <c r="K135" s="64">
        <f>'Loan Prepayment'!$B$6</f>
        <v>7.5</v>
      </c>
      <c r="L135">
        <f>IF(J135&lt;=0,0,MIN(IF(AND('Loan Prepayment'!$E$15="Reduce EMI",O134&gt;0),-PMT(K135/1200,MAX(1,'Loan Prepayment'!$B$7*12-I135+1),J135),L134),J135+M135))</f>
        <v>67460.316473241648</v>
      </c>
      <c r="M135">
        <f t="shared" si="45"/>
        <v>32825.109836670192</v>
      </c>
      <c r="N135">
        <f t="shared" si="46"/>
        <v>34635.206636571456</v>
      </c>
      <c r="O135">
        <f>IF(J135&lt;=0,0,MIN(MAX(0,J135-N135),SUMIFS('Loan Prepayment'!$B$12:$B$31,'Loan Prepayment'!$A$12:$A$31,I135)+0))</f>
        <v>0</v>
      </c>
      <c r="P135">
        <f t="shared" si="47"/>
        <v>5217382.3672306594</v>
      </c>
      <c r="Q135">
        <v>134</v>
      </c>
      <c r="R135">
        <f t="shared" si="60"/>
        <v>6271819.9841237916</v>
      </c>
      <c r="S135" s="64">
        <f>'Loan Prepayment'!$B$6</f>
        <v>7.5</v>
      </c>
      <c r="T135">
        <f>IF(R135&lt;=0,0,MIN(IF(AND('Loan Prepayment'!$E$15="Reduce EMI",W134&gt;0),-PMT(S135/1200,MAX(1,'Loan Prepayment'!$B$7*12-Q135+1),R135),T134),R135+U135))</f>
        <v>80559.31935518072</v>
      </c>
      <c r="U135">
        <f t="shared" si="48"/>
        <v>39198.874900773699</v>
      </c>
      <c r="V135">
        <f t="shared" si="49"/>
        <v>41360.444454407021</v>
      </c>
      <c r="W135">
        <f>IF(R135&lt;=0,0,MIN(MAX(0,R135-V135),0+IF(AND(Q135&gt;='Loan Prepayment'!$B$9,Q135&lt;='Loan Prepayment'!$E$16),'Loan Prepayment'!$B$8,0)))</f>
        <v>0</v>
      </c>
      <c r="X135">
        <f t="shared" si="50"/>
        <v>6230459.5396693842</v>
      </c>
      <c r="Y135">
        <v>134</v>
      </c>
      <c r="Z135">
        <f t="shared" si="61"/>
        <v>5701577.9220180856</v>
      </c>
      <c r="AA135">
        <f>IF(Y135&gt;='Loan Prepayment'!$E$11,'Loan Prepayment'!$E$12,'Loan Prepayment'!$B$6)</f>
        <v>6.5</v>
      </c>
      <c r="AB135">
        <f>IF(Z135&lt;=0,0,MIN(IF(Y135='Loan Prepayment'!$E$11,IF('Loan Prepayment'!$E$13="Keep tenure, recalculate EMI",-PMT(AA135/1200,MAX(1,'Loan Prepayment'!$B$7*12-Y135+1),Z135),AB134),AB134),Z135+AC135))</f>
        <v>80559.31935518072</v>
      </c>
      <c r="AC135">
        <f t="shared" si="51"/>
        <v>30883.547077597963</v>
      </c>
      <c r="AD135">
        <f t="shared" si="52"/>
        <v>49675.772277582757</v>
      </c>
      <c r="AE135">
        <f t="shared" si="53"/>
        <v>0</v>
      </c>
      <c r="AF135">
        <f t="shared" si="54"/>
        <v>5651902.1497405032</v>
      </c>
      <c r="AG135">
        <v>134</v>
      </c>
      <c r="AH135">
        <f t="shared" si="62"/>
        <v>4774497.2784635574</v>
      </c>
      <c r="AI135">
        <f>IF(AG135&gt;='Loan Prepayment'!$E$11,'Loan Prepayment'!$E$12,'Loan Prepayment'!$B$6)</f>
        <v>6.5</v>
      </c>
      <c r="AJ135">
        <f>IF(AH135&lt;=0,0,MIN(IF(AG135='Loan Prepayment'!$E$11,IF('Loan Prepayment'!$E$13="Keep tenure, recalculate EMI",-PMT(AI135/1200,MAX(1,'Loan Prepayment'!$B$7*12-AG135+1),AH135),IF(AND('Loan Prepayment'!$E$15="Reduce EMI",AM134&gt;0),-PMT(AI134/1200,MAX(1,'Loan Prepayment'!$B$7*12-AG135+1),AH135),AJ134)),IF(AND('Loan Prepayment'!$E$15="Reduce EMI",AM134&gt;0),-PMT(AI135/1200,MAX(1,'Loan Prepayment'!$B$7*12-AG135+1),AH135),AJ134)),AH135+AK135))</f>
        <v>67460.316473241648</v>
      </c>
      <c r="AK135">
        <f t="shared" si="55"/>
        <v>25861.86025834427</v>
      </c>
      <c r="AL135">
        <f t="shared" si="56"/>
        <v>41598.456214897378</v>
      </c>
      <c r="AM135">
        <f>IF(AH135&lt;=0,0,MIN(MAX(0,AH135-AL135),SUMIFS('Loan Prepayment'!$B$12:$B$31,'Loan Prepayment'!$A$12:$A$31,AG135)+IF(AND(AG135&gt;='Loan Prepayment'!$B$9,AG135&lt;='Loan Prepayment'!$E$16),'Loan Prepayment'!$B$8,0)))</f>
        <v>0</v>
      </c>
      <c r="AN135">
        <f t="shared" si="57"/>
        <v>4732898.82224866</v>
      </c>
    </row>
    <row r="136" spans="1:40" x14ac:dyDescent="0.35">
      <c r="A136">
        <v>135</v>
      </c>
      <c r="B136">
        <f t="shared" si="58"/>
        <v>6230459.5396693842</v>
      </c>
      <c r="C136" s="64">
        <f>'Loan Prepayment'!$B$6</f>
        <v>7.5</v>
      </c>
      <c r="D136">
        <f>IF(B136&lt;=0,0,MIN(-PMT('Loan Prepayment'!$B$6/1200,'Loan Prepayment'!$B$7*12,'Loan Prepayment'!$B$5),B136+E136))</f>
        <v>80559.31935518072</v>
      </c>
      <c r="E136">
        <f t="shared" si="42"/>
        <v>38940.372122933652</v>
      </c>
      <c r="F136">
        <f t="shared" si="43"/>
        <v>41618.947232247068</v>
      </c>
      <c r="G136">
        <v>0</v>
      </c>
      <c r="H136">
        <f t="shared" si="44"/>
        <v>6188840.5924371369</v>
      </c>
      <c r="I136">
        <v>135</v>
      </c>
      <c r="J136">
        <f t="shared" si="59"/>
        <v>5217382.3672306594</v>
      </c>
      <c r="K136" s="64">
        <f>'Loan Prepayment'!$B$6</f>
        <v>7.5</v>
      </c>
      <c r="L136">
        <f>IF(J136&lt;=0,0,MIN(IF(AND('Loan Prepayment'!$E$15="Reduce EMI",O135&gt;0),-PMT(K136/1200,MAX(1,'Loan Prepayment'!$B$7*12-I136+1),J136),L135),J136+M136))</f>
        <v>67460.316473241648</v>
      </c>
      <c r="M136">
        <f t="shared" si="45"/>
        <v>32608.639795191622</v>
      </c>
      <c r="N136">
        <f t="shared" si="46"/>
        <v>34851.676678050026</v>
      </c>
      <c r="O136">
        <f>IF(J136&lt;=0,0,MIN(MAX(0,J136-N136),SUMIFS('Loan Prepayment'!$B$12:$B$31,'Loan Prepayment'!$A$12:$A$31,I136)+0))</f>
        <v>0</v>
      </c>
      <c r="P136">
        <f t="shared" si="47"/>
        <v>5182530.690552609</v>
      </c>
      <c r="Q136">
        <v>135</v>
      </c>
      <c r="R136">
        <f t="shared" si="60"/>
        <v>6230459.5396693842</v>
      </c>
      <c r="S136" s="64">
        <f>'Loan Prepayment'!$B$6</f>
        <v>7.5</v>
      </c>
      <c r="T136">
        <f>IF(R136&lt;=0,0,MIN(IF(AND('Loan Prepayment'!$E$15="Reduce EMI",W135&gt;0),-PMT(S136/1200,MAX(1,'Loan Prepayment'!$B$7*12-Q136+1),R136),T135),R136+U136))</f>
        <v>80559.31935518072</v>
      </c>
      <c r="U136">
        <f t="shared" si="48"/>
        <v>38940.372122933652</v>
      </c>
      <c r="V136">
        <f t="shared" si="49"/>
        <v>41618.947232247068</v>
      </c>
      <c r="W136">
        <f>IF(R136&lt;=0,0,MIN(MAX(0,R136-V136),0+IF(AND(Q136&gt;='Loan Prepayment'!$B$9,Q136&lt;='Loan Prepayment'!$E$16),'Loan Prepayment'!$B$8,0)))</f>
        <v>0</v>
      </c>
      <c r="X136">
        <f t="shared" si="50"/>
        <v>6188840.5924371369</v>
      </c>
      <c r="Y136">
        <v>135</v>
      </c>
      <c r="Z136">
        <f t="shared" si="61"/>
        <v>5651902.1497405032</v>
      </c>
      <c r="AA136">
        <f>IF(Y136&gt;='Loan Prepayment'!$E$11,'Loan Prepayment'!$E$12,'Loan Prepayment'!$B$6)</f>
        <v>6.5</v>
      </c>
      <c r="AB136">
        <f>IF(Z136&lt;=0,0,MIN(IF(Y136='Loan Prepayment'!$E$11,IF('Loan Prepayment'!$E$13="Keep tenure, recalculate EMI",-PMT(AA136/1200,MAX(1,'Loan Prepayment'!$B$7*12-Y136+1),Z136),AB135),AB135),Z136+AC136))</f>
        <v>80559.31935518072</v>
      </c>
      <c r="AC136">
        <f t="shared" si="51"/>
        <v>30614.469977761059</v>
      </c>
      <c r="AD136">
        <f t="shared" si="52"/>
        <v>49944.849377419661</v>
      </c>
      <c r="AE136">
        <f t="shared" si="53"/>
        <v>0</v>
      </c>
      <c r="AF136">
        <f t="shared" si="54"/>
        <v>5601957.3003630834</v>
      </c>
      <c r="AG136">
        <v>135</v>
      </c>
      <c r="AH136">
        <f t="shared" si="62"/>
        <v>4732898.82224866</v>
      </c>
      <c r="AI136">
        <f>IF(AG136&gt;='Loan Prepayment'!$E$11,'Loan Prepayment'!$E$12,'Loan Prepayment'!$B$6)</f>
        <v>6.5</v>
      </c>
      <c r="AJ136">
        <f>IF(AH136&lt;=0,0,MIN(IF(AG136='Loan Prepayment'!$E$11,IF('Loan Prepayment'!$E$13="Keep tenure, recalculate EMI",-PMT(AI136/1200,MAX(1,'Loan Prepayment'!$B$7*12-AG136+1),AH136),IF(AND('Loan Prepayment'!$E$15="Reduce EMI",AM135&gt;0),-PMT(AI135/1200,MAX(1,'Loan Prepayment'!$B$7*12-AG136+1),AH136),AJ135)),IF(AND('Loan Prepayment'!$E$15="Reduce EMI",AM135&gt;0),-PMT(AI136/1200,MAX(1,'Loan Prepayment'!$B$7*12-AG136+1),AH136),AJ135)),AH136+AK136))</f>
        <v>67460.316473241648</v>
      </c>
      <c r="AK136">
        <f t="shared" si="55"/>
        <v>25636.535287180242</v>
      </c>
      <c r="AL136">
        <f t="shared" si="56"/>
        <v>41823.781186061402</v>
      </c>
      <c r="AM136">
        <f>IF(AH136&lt;=0,0,MIN(MAX(0,AH136-AL136),SUMIFS('Loan Prepayment'!$B$12:$B$31,'Loan Prepayment'!$A$12:$A$31,AG136)+IF(AND(AG136&gt;='Loan Prepayment'!$B$9,AG136&lt;='Loan Prepayment'!$E$16),'Loan Prepayment'!$B$8,0)))</f>
        <v>0</v>
      </c>
      <c r="AN136">
        <f t="shared" si="57"/>
        <v>4691075.041062599</v>
      </c>
    </row>
    <row r="137" spans="1:40" x14ac:dyDescent="0.35">
      <c r="A137">
        <v>136</v>
      </c>
      <c r="B137">
        <f t="shared" si="58"/>
        <v>6188840.5924371369</v>
      </c>
      <c r="C137" s="64">
        <f>'Loan Prepayment'!$B$6</f>
        <v>7.5</v>
      </c>
      <c r="D137">
        <f>IF(B137&lt;=0,0,MIN(-PMT('Loan Prepayment'!$B$6/1200,'Loan Prepayment'!$B$7*12,'Loan Prepayment'!$B$5),B137+E137))</f>
        <v>80559.31935518072</v>
      </c>
      <c r="E137">
        <f t="shared" si="42"/>
        <v>38680.253702732109</v>
      </c>
      <c r="F137">
        <f t="shared" si="43"/>
        <v>41879.065652448611</v>
      </c>
      <c r="G137">
        <v>0</v>
      </c>
      <c r="H137">
        <f t="shared" si="44"/>
        <v>6146961.5267846882</v>
      </c>
      <c r="I137">
        <v>136</v>
      </c>
      <c r="J137">
        <f t="shared" si="59"/>
        <v>5182530.690552609</v>
      </c>
      <c r="K137" s="64">
        <f>'Loan Prepayment'!$B$6</f>
        <v>7.5</v>
      </c>
      <c r="L137">
        <f>IF(J137&lt;=0,0,MIN(IF(AND('Loan Prepayment'!$E$15="Reduce EMI",O136&gt;0),-PMT(K137/1200,MAX(1,'Loan Prepayment'!$B$7*12-I137+1),J137),L136),J137+M137))</f>
        <v>67460.316473241648</v>
      </c>
      <c r="M137">
        <f t="shared" si="45"/>
        <v>32390.816815953807</v>
      </c>
      <c r="N137">
        <f t="shared" si="46"/>
        <v>35069.499657287844</v>
      </c>
      <c r="O137">
        <f>IF(J137&lt;=0,0,MIN(MAX(0,J137-N137),SUMIFS('Loan Prepayment'!$B$12:$B$31,'Loan Prepayment'!$A$12:$A$31,I137)+0))</f>
        <v>0</v>
      </c>
      <c r="P137">
        <f t="shared" si="47"/>
        <v>5147461.1908953208</v>
      </c>
      <c r="Q137">
        <v>136</v>
      </c>
      <c r="R137">
        <f t="shared" si="60"/>
        <v>6188840.5924371369</v>
      </c>
      <c r="S137" s="64">
        <f>'Loan Prepayment'!$B$6</f>
        <v>7.5</v>
      </c>
      <c r="T137">
        <f>IF(R137&lt;=0,0,MIN(IF(AND('Loan Prepayment'!$E$15="Reduce EMI",W136&gt;0),-PMT(S137/1200,MAX(1,'Loan Prepayment'!$B$7*12-Q137+1),R137),T136),R137+U137))</f>
        <v>80559.31935518072</v>
      </c>
      <c r="U137">
        <f t="shared" si="48"/>
        <v>38680.253702732109</v>
      </c>
      <c r="V137">
        <f t="shared" si="49"/>
        <v>41879.065652448611</v>
      </c>
      <c r="W137">
        <f>IF(R137&lt;=0,0,MIN(MAX(0,R137-V137),0+IF(AND(Q137&gt;='Loan Prepayment'!$B$9,Q137&lt;='Loan Prepayment'!$E$16),'Loan Prepayment'!$B$8,0)))</f>
        <v>0</v>
      </c>
      <c r="X137">
        <f t="shared" si="50"/>
        <v>6146961.5267846882</v>
      </c>
      <c r="Y137">
        <v>136</v>
      </c>
      <c r="Z137">
        <f t="shared" si="61"/>
        <v>5601957.3003630834</v>
      </c>
      <c r="AA137">
        <f>IF(Y137&gt;='Loan Prepayment'!$E$11,'Loan Prepayment'!$E$12,'Loan Prepayment'!$B$6)</f>
        <v>6.5</v>
      </c>
      <c r="AB137">
        <f>IF(Z137&lt;=0,0,MIN(IF(Y137='Loan Prepayment'!$E$11,IF('Loan Prepayment'!$E$13="Keep tenure, recalculate EMI",-PMT(AA137/1200,MAX(1,'Loan Prepayment'!$B$7*12-Y137+1),Z137),AB136),AB136),Z137+AC137))</f>
        <v>80559.31935518072</v>
      </c>
      <c r="AC137">
        <f t="shared" si="51"/>
        <v>30343.9353769667</v>
      </c>
      <c r="AD137">
        <f t="shared" si="52"/>
        <v>50215.38397821402</v>
      </c>
      <c r="AE137">
        <f t="shared" si="53"/>
        <v>0</v>
      </c>
      <c r="AF137">
        <f t="shared" si="54"/>
        <v>5551741.9163848693</v>
      </c>
      <c r="AG137">
        <v>136</v>
      </c>
      <c r="AH137">
        <f t="shared" si="62"/>
        <v>4691075.041062599</v>
      </c>
      <c r="AI137">
        <f>IF(AG137&gt;='Loan Prepayment'!$E$11,'Loan Prepayment'!$E$12,'Loan Prepayment'!$B$6)</f>
        <v>6.5</v>
      </c>
      <c r="AJ137">
        <f>IF(AH137&lt;=0,0,MIN(IF(AG137='Loan Prepayment'!$E$11,IF('Loan Prepayment'!$E$13="Keep tenure, recalculate EMI",-PMT(AI137/1200,MAX(1,'Loan Prepayment'!$B$7*12-AG137+1),AH137),IF(AND('Loan Prepayment'!$E$15="Reduce EMI",AM136&gt;0),-PMT(AI136/1200,MAX(1,'Loan Prepayment'!$B$7*12-AG137+1),AH137),AJ136)),IF(AND('Loan Prepayment'!$E$15="Reduce EMI",AM136&gt;0),-PMT(AI137/1200,MAX(1,'Loan Prepayment'!$B$7*12-AG137+1),AH137),AJ136)),AH137+AK137))</f>
        <v>67460.316473241648</v>
      </c>
      <c r="AK137">
        <f t="shared" si="55"/>
        <v>25409.989805755744</v>
      </c>
      <c r="AL137">
        <f t="shared" si="56"/>
        <v>42050.326667485904</v>
      </c>
      <c r="AM137">
        <f>IF(AH137&lt;=0,0,MIN(MAX(0,AH137-AL137),SUMIFS('Loan Prepayment'!$B$12:$B$31,'Loan Prepayment'!$A$12:$A$31,AG137)+IF(AND(AG137&gt;='Loan Prepayment'!$B$9,AG137&lt;='Loan Prepayment'!$E$16),'Loan Prepayment'!$B$8,0)))</f>
        <v>0</v>
      </c>
      <c r="AN137">
        <f t="shared" si="57"/>
        <v>4649024.7143951133</v>
      </c>
    </row>
    <row r="138" spans="1:40" x14ac:dyDescent="0.35">
      <c r="A138">
        <v>137</v>
      </c>
      <c r="B138">
        <f t="shared" si="58"/>
        <v>6146961.5267846882</v>
      </c>
      <c r="C138" s="64">
        <f>'Loan Prepayment'!$B$6</f>
        <v>7.5</v>
      </c>
      <c r="D138">
        <f>IF(B138&lt;=0,0,MIN(-PMT('Loan Prepayment'!$B$6/1200,'Loan Prepayment'!$B$7*12,'Loan Prepayment'!$B$5),B138+E138))</f>
        <v>80559.31935518072</v>
      </c>
      <c r="E138">
        <f t="shared" si="42"/>
        <v>38418.509542404303</v>
      </c>
      <c r="F138">
        <f t="shared" si="43"/>
        <v>42140.809812776417</v>
      </c>
      <c r="G138">
        <v>0</v>
      </c>
      <c r="H138">
        <f t="shared" si="44"/>
        <v>6104820.7169719115</v>
      </c>
      <c r="I138">
        <v>137</v>
      </c>
      <c r="J138">
        <f t="shared" si="59"/>
        <v>5147461.1908953208</v>
      </c>
      <c r="K138" s="64">
        <f>'Loan Prepayment'!$B$6</f>
        <v>7.5</v>
      </c>
      <c r="L138">
        <f>IF(J138&lt;=0,0,MIN(IF(AND('Loan Prepayment'!$E$15="Reduce EMI",O137&gt;0),-PMT(K138/1200,MAX(1,'Loan Prepayment'!$B$7*12-I138+1),J138),L137),J138+M138))</f>
        <v>67460.316473241648</v>
      </c>
      <c r="M138">
        <f t="shared" si="45"/>
        <v>32171.632443095757</v>
      </c>
      <c r="N138">
        <f t="shared" si="46"/>
        <v>35288.684030145887</v>
      </c>
      <c r="O138">
        <f>IF(J138&lt;=0,0,MIN(MAX(0,J138-N138),SUMIFS('Loan Prepayment'!$B$12:$B$31,'Loan Prepayment'!$A$12:$A$31,I138)+0))</f>
        <v>0</v>
      </c>
      <c r="P138">
        <f t="shared" si="47"/>
        <v>5112172.5068651745</v>
      </c>
      <c r="Q138">
        <v>137</v>
      </c>
      <c r="R138">
        <f t="shared" si="60"/>
        <v>6146961.5267846882</v>
      </c>
      <c r="S138" s="64">
        <f>'Loan Prepayment'!$B$6</f>
        <v>7.5</v>
      </c>
      <c r="T138">
        <f>IF(R138&lt;=0,0,MIN(IF(AND('Loan Prepayment'!$E$15="Reduce EMI",W137&gt;0),-PMT(S138/1200,MAX(1,'Loan Prepayment'!$B$7*12-Q138+1),R138),T137),R138+U138))</f>
        <v>80559.31935518072</v>
      </c>
      <c r="U138">
        <f t="shared" si="48"/>
        <v>38418.509542404303</v>
      </c>
      <c r="V138">
        <f t="shared" si="49"/>
        <v>42140.809812776417</v>
      </c>
      <c r="W138">
        <f>IF(R138&lt;=0,0,MIN(MAX(0,R138-V138),0+IF(AND(Q138&gt;='Loan Prepayment'!$B$9,Q138&lt;='Loan Prepayment'!$E$16),'Loan Prepayment'!$B$8,0)))</f>
        <v>0</v>
      </c>
      <c r="X138">
        <f t="shared" si="50"/>
        <v>6104820.7169719115</v>
      </c>
      <c r="Y138">
        <v>137</v>
      </c>
      <c r="Z138">
        <f t="shared" si="61"/>
        <v>5551741.9163848693</v>
      </c>
      <c r="AA138">
        <f>IF(Y138&gt;='Loan Prepayment'!$E$11,'Loan Prepayment'!$E$12,'Loan Prepayment'!$B$6)</f>
        <v>6.5</v>
      </c>
      <c r="AB138">
        <f>IF(Z138&lt;=0,0,MIN(IF(Y138='Loan Prepayment'!$E$11,IF('Loan Prepayment'!$E$13="Keep tenure, recalculate EMI",-PMT(AA138/1200,MAX(1,'Loan Prepayment'!$B$7*12-Y138+1),Z138),AB137),AB137),Z138+AC138))</f>
        <v>80559.31935518072</v>
      </c>
      <c r="AC138">
        <f t="shared" si="51"/>
        <v>30071.935380418039</v>
      </c>
      <c r="AD138">
        <f t="shared" si="52"/>
        <v>50487.383974762677</v>
      </c>
      <c r="AE138">
        <f t="shared" si="53"/>
        <v>0</v>
      </c>
      <c r="AF138">
        <f t="shared" si="54"/>
        <v>5501254.5324101066</v>
      </c>
      <c r="AG138">
        <v>137</v>
      </c>
      <c r="AH138">
        <f t="shared" si="62"/>
        <v>4649024.7143951133</v>
      </c>
      <c r="AI138">
        <f>IF(AG138&gt;='Loan Prepayment'!$E$11,'Loan Prepayment'!$E$12,'Loan Prepayment'!$B$6)</f>
        <v>6.5</v>
      </c>
      <c r="AJ138">
        <f>IF(AH138&lt;=0,0,MIN(IF(AG138='Loan Prepayment'!$E$11,IF('Loan Prepayment'!$E$13="Keep tenure, recalculate EMI",-PMT(AI138/1200,MAX(1,'Loan Prepayment'!$B$7*12-AG138+1),AH138),IF(AND('Loan Prepayment'!$E$15="Reduce EMI",AM137&gt;0),-PMT(AI137/1200,MAX(1,'Loan Prepayment'!$B$7*12-AG138+1),AH138),AJ137)),IF(AND('Loan Prepayment'!$E$15="Reduce EMI",AM137&gt;0),-PMT(AI138/1200,MAX(1,'Loan Prepayment'!$B$7*12-AG138+1),AH138),AJ137)),AH138+AK138))</f>
        <v>67460.316473241648</v>
      </c>
      <c r="AK138">
        <f t="shared" si="55"/>
        <v>25182.21720297353</v>
      </c>
      <c r="AL138">
        <f t="shared" si="56"/>
        <v>42278.099270268118</v>
      </c>
      <c r="AM138">
        <f>IF(AH138&lt;=0,0,MIN(MAX(0,AH138-AL138),SUMIFS('Loan Prepayment'!$B$12:$B$31,'Loan Prepayment'!$A$12:$A$31,AG138)+IF(AND(AG138&gt;='Loan Prepayment'!$B$9,AG138&lt;='Loan Prepayment'!$E$16),'Loan Prepayment'!$B$8,0)))</f>
        <v>0</v>
      </c>
      <c r="AN138">
        <f t="shared" si="57"/>
        <v>4606746.6151248449</v>
      </c>
    </row>
    <row r="139" spans="1:40" x14ac:dyDescent="0.35">
      <c r="A139">
        <v>138</v>
      </c>
      <c r="B139">
        <f t="shared" si="58"/>
        <v>6104820.7169719115</v>
      </c>
      <c r="C139" s="64">
        <f>'Loan Prepayment'!$B$6</f>
        <v>7.5</v>
      </c>
      <c r="D139">
        <f>IF(B139&lt;=0,0,MIN(-PMT('Loan Prepayment'!$B$6/1200,'Loan Prepayment'!$B$7*12,'Loan Prepayment'!$B$5),B139+E139))</f>
        <v>80559.31935518072</v>
      </c>
      <c r="E139">
        <f t="shared" si="42"/>
        <v>38155.129481074451</v>
      </c>
      <c r="F139">
        <f t="shared" si="43"/>
        <v>42404.189874106269</v>
      </c>
      <c r="G139">
        <v>0</v>
      </c>
      <c r="H139">
        <f t="shared" si="44"/>
        <v>6062416.5270978054</v>
      </c>
      <c r="I139">
        <v>138</v>
      </c>
      <c r="J139">
        <f t="shared" si="59"/>
        <v>5112172.5068651745</v>
      </c>
      <c r="K139" s="64">
        <f>'Loan Prepayment'!$B$6</f>
        <v>7.5</v>
      </c>
      <c r="L139">
        <f>IF(J139&lt;=0,0,MIN(IF(AND('Loan Prepayment'!$E$15="Reduce EMI",O138&gt;0),-PMT(K139/1200,MAX(1,'Loan Prepayment'!$B$7*12-I139+1),J139),L138),J139+M139))</f>
        <v>67460.316473241648</v>
      </c>
      <c r="M139">
        <f t="shared" si="45"/>
        <v>31951.078167907341</v>
      </c>
      <c r="N139">
        <f t="shared" si="46"/>
        <v>35509.238305334307</v>
      </c>
      <c r="O139">
        <f>IF(J139&lt;=0,0,MIN(MAX(0,J139-N139),SUMIFS('Loan Prepayment'!$B$12:$B$31,'Loan Prepayment'!$A$12:$A$31,I139)+0))</f>
        <v>0</v>
      </c>
      <c r="P139">
        <f t="shared" si="47"/>
        <v>5076663.2685598405</v>
      </c>
      <c r="Q139">
        <v>138</v>
      </c>
      <c r="R139">
        <f t="shared" si="60"/>
        <v>6104820.7169719115</v>
      </c>
      <c r="S139" s="64">
        <f>'Loan Prepayment'!$B$6</f>
        <v>7.5</v>
      </c>
      <c r="T139">
        <f>IF(R139&lt;=0,0,MIN(IF(AND('Loan Prepayment'!$E$15="Reduce EMI",W138&gt;0),-PMT(S139/1200,MAX(1,'Loan Prepayment'!$B$7*12-Q139+1),R139),T138),R139+U139))</f>
        <v>80559.31935518072</v>
      </c>
      <c r="U139">
        <f t="shared" si="48"/>
        <v>38155.129481074451</v>
      </c>
      <c r="V139">
        <f t="shared" si="49"/>
        <v>42404.189874106269</v>
      </c>
      <c r="W139">
        <f>IF(R139&lt;=0,0,MIN(MAX(0,R139-V139),0+IF(AND(Q139&gt;='Loan Prepayment'!$B$9,Q139&lt;='Loan Prepayment'!$E$16),'Loan Prepayment'!$B$8,0)))</f>
        <v>0</v>
      </c>
      <c r="X139">
        <f t="shared" si="50"/>
        <v>6062416.5270978054</v>
      </c>
      <c r="Y139">
        <v>138</v>
      </c>
      <c r="Z139">
        <f t="shared" si="61"/>
        <v>5501254.5324101066</v>
      </c>
      <c r="AA139">
        <f>IF(Y139&gt;='Loan Prepayment'!$E$11,'Loan Prepayment'!$E$12,'Loan Prepayment'!$B$6)</f>
        <v>6.5</v>
      </c>
      <c r="AB139">
        <f>IF(Z139&lt;=0,0,MIN(IF(Y139='Loan Prepayment'!$E$11,IF('Loan Prepayment'!$E$13="Keep tenure, recalculate EMI",-PMT(AA139/1200,MAX(1,'Loan Prepayment'!$B$7*12-Y139+1),Z139),AB138),AB138),Z139+AC139))</f>
        <v>80559.31935518072</v>
      </c>
      <c r="AC139">
        <f t="shared" si="51"/>
        <v>29798.462050554746</v>
      </c>
      <c r="AD139">
        <f t="shared" si="52"/>
        <v>50760.85730462597</v>
      </c>
      <c r="AE139">
        <f t="shared" si="53"/>
        <v>0</v>
      </c>
      <c r="AF139">
        <f t="shared" si="54"/>
        <v>5450493.6751054805</v>
      </c>
      <c r="AG139">
        <v>138</v>
      </c>
      <c r="AH139">
        <f t="shared" si="62"/>
        <v>4606746.6151248449</v>
      </c>
      <c r="AI139">
        <f>IF(AG139&gt;='Loan Prepayment'!$E$11,'Loan Prepayment'!$E$12,'Loan Prepayment'!$B$6)</f>
        <v>6.5</v>
      </c>
      <c r="AJ139">
        <f>IF(AH139&lt;=0,0,MIN(IF(AG139='Loan Prepayment'!$E$11,IF('Loan Prepayment'!$E$13="Keep tenure, recalculate EMI",-PMT(AI139/1200,MAX(1,'Loan Prepayment'!$B$7*12-AG139+1),AH139),IF(AND('Loan Prepayment'!$E$15="Reduce EMI",AM138&gt;0),-PMT(AI138/1200,MAX(1,'Loan Prepayment'!$B$7*12-AG139+1),AH139),AJ138)),IF(AND('Loan Prepayment'!$E$15="Reduce EMI",AM138&gt;0),-PMT(AI139/1200,MAX(1,'Loan Prepayment'!$B$7*12-AG139+1),AH139),AJ138)),AH139+AK139))</f>
        <v>67460.316473241648</v>
      </c>
      <c r="AK139">
        <f t="shared" si="55"/>
        <v>24953.210831926244</v>
      </c>
      <c r="AL139">
        <f t="shared" si="56"/>
        <v>42507.1056413154</v>
      </c>
      <c r="AM139">
        <f>IF(AH139&lt;=0,0,MIN(MAX(0,AH139-AL139),SUMIFS('Loan Prepayment'!$B$12:$B$31,'Loan Prepayment'!$A$12:$A$31,AG139)+IF(AND(AG139&gt;='Loan Prepayment'!$B$9,AG139&lt;='Loan Prepayment'!$E$16),'Loan Prepayment'!$B$8,0)))</f>
        <v>0</v>
      </c>
      <c r="AN139">
        <f t="shared" si="57"/>
        <v>4564239.5094835293</v>
      </c>
    </row>
    <row r="140" spans="1:40" x14ac:dyDescent="0.35">
      <c r="A140">
        <v>139</v>
      </c>
      <c r="B140">
        <f t="shared" si="58"/>
        <v>6062416.5270978054</v>
      </c>
      <c r="C140" s="64">
        <f>'Loan Prepayment'!$B$6</f>
        <v>7.5</v>
      </c>
      <c r="D140">
        <f>IF(B140&lt;=0,0,MIN(-PMT('Loan Prepayment'!$B$6/1200,'Loan Prepayment'!$B$7*12,'Loan Prepayment'!$B$5),B140+E140))</f>
        <v>80559.31935518072</v>
      </c>
      <c r="E140">
        <f t="shared" si="42"/>
        <v>37890.103294361281</v>
      </c>
      <c r="F140">
        <f t="shared" si="43"/>
        <v>42669.216060819439</v>
      </c>
      <c r="G140">
        <v>0</v>
      </c>
      <c r="H140">
        <f t="shared" si="44"/>
        <v>6019747.3110369863</v>
      </c>
      <c r="I140">
        <v>139</v>
      </c>
      <c r="J140">
        <f t="shared" si="59"/>
        <v>5076663.2685598405</v>
      </c>
      <c r="K140" s="64">
        <f>'Loan Prepayment'!$B$6</f>
        <v>7.5</v>
      </c>
      <c r="L140">
        <f>IF(J140&lt;=0,0,MIN(IF(AND('Loan Prepayment'!$E$15="Reduce EMI",O139&gt;0),-PMT(K140/1200,MAX(1,'Loan Prepayment'!$B$7*12-I140+1),J140),L139),J140+M140))</f>
        <v>67460.316473241648</v>
      </c>
      <c r="M140">
        <f t="shared" si="45"/>
        <v>31729.145428499003</v>
      </c>
      <c r="N140">
        <f t="shared" si="46"/>
        <v>35731.171044742645</v>
      </c>
      <c r="O140">
        <f>IF(J140&lt;=0,0,MIN(MAX(0,J140-N140),SUMIFS('Loan Prepayment'!$B$12:$B$31,'Loan Prepayment'!$A$12:$A$31,I140)+0))</f>
        <v>0</v>
      </c>
      <c r="P140">
        <f t="shared" si="47"/>
        <v>5040932.0975150978</v>
      </c>
      <c r="Q140">
        <v>139</v>
      </c>
      <c r="R140">
        <f t="shared" si="60"/>
        <v>6062416.5270978054</v>
      </c>
      <c r="S140" s="64">
        <f>'Loan Prepayment'!$B$6</f>
        <v>7.5</v>
      </c>
      <c r="T140">
        <f>IF(R140&lt;=0,0,MIN(IF(AND('Loan Prepayment'!$E$15="Reduce EMI",W139&gt;0),-PMT(S140/1200,MAX(1,'Loan Prepayment'!$B$7*12-Q140+1),R140),T139),R140+U140))</f>
        <v>80559.31935518072</v>
      </c>
      <c r="U140">
        <f t="shared" si="48"/>
        <v>37890.103294361281</v>
      </c>
      <c r="V140">
        <f t="shared" si="49"/>
        <v>42669.216060819439</v>
      </c>
      <c r="W140">
        <f>IF(R140&lt;=0,0,MIN(MAX(0,R140-V140),0+IF(AND(Q140&gt;='Loan Prepayment'!$B$9,Q140&lt;='Loan Prepayment'!$E$16),'Loan Prepayment'!$B$8,0)))</f>
        <v>0</v>
      </c>
      <c r="X140">
        <f t="shared" si="50"/>
        <v>6019747.3110369863</v>
      </c>
      <c r="Y140">
        <v>139</v>
      </c>
      <c r="Z140">
        <f t="shared" si="61"/>
        <v>5450493.6751054805</v>
      </c>
      <c r="AA140">
        <f>IF(Y140&gt;='Loan Prepayment'!$E$11,'Loan Prepayment'!$E$12,'Loan Prepayment'!$B$6)</f>
        <v>6.5</v>
      </c>
      <c r="AB140">
        <f>IF(Z140&lt;=0,0,MIN(IF(Y140='Loan Prepayment'!$E$11,IF('Loan Prepayment'!$E$13="Keep tenure, recalculate EMI",-PMT(AA140/1200,MAX(1,'Loan Prepayment'!$B$7*12-Y140+1),Z140),AB139),AB139),Z140+AC140))</f>
        <v>80559.31935518072</v>
      </c>
      <c r="AC140">
        <f t="shared" si="51"/>
        <v>29523.507406821351</v>
      </c>
      <c r="AD140">
        <f t="shared" si="52"/>
        <v>51035.811948359369</v>
      </c>
      <c r="AE140">
        <f t="shared" si="53"/>
        <v>0</v>
      </c>
      <c r="AF140">
        <f t="shared" si="54"/>
        <v>5399457.8631571215</v>
      </c>
      <c r="AG140">
        <v>139</v>
      </c>
      <c r="AH140">
        <f t="shared" si="62"/>
        <v>4564239.5094835293</v>
      </c>
      <c r="AI140">
        <f>IF(AG140&gt;='Loan Prepayment'!$E$11,'Loan Prepayment'!$E$12,'Loan Prepayment'!$B$6)</f>
        <v>6.5</v>
      </c>
      <c r="AJ140">
        <f>IF(AH140&lt;=0,0,MIN(IF(AG140='Loan Prepayment'!$E$11,IF('Loan Prepayment'!$E$13="Keep tenure, recalculate EMI",-PMT(AI140/1200,MAX(1,'Loan Prepayment'!$B$7*12-AG140+1),AH140),IF(AND('Loan Prepayment'!$E$15="Reduce EMI",AM139&gt;0),-PMT(AI139/1200,MAX(1,'Loan Prepayment'!$B$7*12-AG140+1),AH140),AJ139)),IF(AND('Loan Prepayment'!$E$15="Reduce EMI",AM139&gt;0),-PMT(AI140/1200,MAX(1,'Loan Prepayment'!$B$7*12-AG140+1),AH140),AJ139)),AH140+AK140))</f>
        <v>67460.316473241648</v>
      </c>
      <c r="AK140">
        <f t="shared" si="55"/>
        <v>24722.964009702449</v>
      </c>
      <c r="AL140">
        <f t="shared" si="56"/>
        <v>42737.352463539195</v>
      </c>
      <c r="AM140">
        <f>IF(AH140&lt;=0,0,MIN(MAX(0,AH140-AL140),SUMIFS('Loan Prepayment'!$B$12:$B$31,'Loan Prepayment'!$A$12:$A$31,AG140)+IF(AND(AG140&gt;='Loan Prepayment'!$B$9,AG140&lt;='Loan Prepayment'!$E$16),'Loan Prepayment'!$B$8,0)))</f>
        <v>0</v>
      </c>
      <c r="AN140">
        <f t="shared" si="57"/>
        <v>4521502.1570199905</v>
      </c>
    </row>
    <row r="141" spans="1:40" x14ac:dyDescent="0.35">
      <c r="A141">
        <v>140</v>
      </c>
      <c r="B141">
        <f t="shared" si="58"/>
        <v>6019747.3110369863</v>
      </c>
      <c r="C141" s="64">
        <f>'Loan Prepayment'!$B$6</f>
        <v>7.5</v>
      </c>
      <c r="D141">
        <f>IF(B141&lt;=0,0,MIN(-PMT('Loan Prepayment'!$B$6/1200,'Loan Prepayment'!$B$7*12,'Loan Prepayment'!$B$5),B141+E141))</f>
        <v>80559.31935518072</v>
      </c>
      <c r="E141">
        <f t="shared" si="42"/>
        <v>37623.420693981163</v>
      </c>
      <c r="F141">
        <f t="shared" si="43"/>
        <v>42935.898661199557</v>
      </c>
      <c r="G141">
        <v>0</v>
      </c>
      <c r="H141">
        <f t="shared" si="44"/>
        <v>5976811.4123757863</v>
      </c>
      <c r="I141">
        <v>140</v>
      </c>
      <c r="J141">
        <f t="shared" si="59"/>
        <v>5040932.0975150978</v>
      </c>
      <c r="K141" s="64">
        <f>'Loan Prepayment'!$B$6</f>
        <v>7.5</v>
      </c>
      <c r="L141">
        <f>IF(J141&lt;=0,0,MIN(IF(AND('Loan Prepayment'!$E$15="Reduce EMI",O140&gt;0),-PMT(K141/1200,MAX(1,'Loan Prepayment'!$B$7*12-I141+1),J141),L140),J141+M141))</f>
        <v>67460.316473241648</v>
      </c>
      <c r="M141">
        <f t="shared" si="45"/>
        <v>31505.825609469364</v>
      </c>
      <c r="N141">
        <f t="shared" si="46"/>
        <v>35954.490863772284</v>
      </c>
      <c r="O141">
        <f>IF(J141&lt;=0,0,MIN(MAX(0,J141-N141),SUMIFS('Loan Prepayment'!$B$12:$B$31,'Loan Prepayment'!$A$12:$A$31,I141)+0))</f>
        <v>0</v>
      </c>
      <c r="P141">
        <f t="shared" si="47"/>
        <v>5004977.6066513257</v>
      </c>
      <c r="Q141">
        <v>140</v>
      </c>
      <c r="R141">
        <f t="shared" si="60"/>
        <v>6019747.3110369863</v>
      </c>
      <c r="S141" s="64">
        <f>'Loan Prepayment'!$B$6</f>
        <v>7.5</v>
      </c>
      <c r="T141">
        <f>IF(R141&lt;=0,0,MIN(IF(AND('Loan Prepayment'!$E$15="Reduce EMI",W140&gt;0),-PMT(S141/1200,MAX(1,'Loan Prepayment'!$B$7*12-Q141+1),R141),T140),R141+U141))</f>
        <v>80559.31935518072</v>
      </c>
      <c r="U141">
        <f t="shared" si="48"/>
        <v>37623.420693981163</v>
      </c>
      <c r="V141">
        <f t="shared" si="49"/>
        <v>42935.898661199557</v>
      </c>
      <c r="W141">
        <f>IF(R141&lt;=0,0,MIN(MAX(0,R141-V141),0+IF(AND(Q141&gt;='Loan Prepayment'!$B$9,Q141&lt;='Loan Prepayment'!$E$16),'Loan Prepayment'!$B$8,0)))</f>
        <v>0</v>
      </c>
      <c r="X141">
        <f t="shared" si="50"/>
        <v>5976811.4123757863</v>
      </c>
      <c r="Y141">
        <v>140</v>
      </c>
      <c r="Z141">
        <f t="shared" si="61"/>
        <v>5399457.8631571215</v>
      </c>
      <c r="AA141">
        <f>IF(Y141&gt;='Loan Prepayment'!$E$11,'Loan Prepayment'!$E$12,'Loan Prepayment'!$B$6)</f>
        <v>6.5</v>
      </c>
      <c r="AB141">
        <f>IF(Z141&lt;=0,0,MIN(IF(Y141='Loan Prepayment'!$E$11,IF('Loan Prepayment'!$E$13="Keep tenure, recalculate EMI",-PMT(AA141/1200,MAX(1,'Loan Prepayment'!$B$7*12-Y141+1),Z141),AB140),AB140),Z141+AC141))</f>
        <v>80559.31935518072</v>
      </c>
      <c r="AC141">
        <f t="shared" si="51"/>
        <v>29247.063425434404</v>
      </c>
      <c r="AD141">
        <f t="shared" si="52"/>
        <v>51312.255929746316</v>
      </c>
      <c r="AE141">
        <f t="shared" si="53"/>
        <v>0</v>
      </c>
      <c r="AF141">
        <f t="shared" si="54"/>
        <v>5348145.6072273748</v>
      </c>
      <c r="AG141">
        <v>140</v>
      </c>
      <c r="AH141">
        <f t="shared" si="62"/>
        <v>4521502.1570199905</v>
      </c>
      <c r="AI141">
        <f>IF(AG141&gt;='Loan Prepayment'!$E$11,'Loan Prepayment'!$E$12,'Loan Prepayment'!$B$6)</f>
        <v>6.5</v>
      </c>
      <c r="AJ141">
        <f>IF(AH141&lt;=0,0,MIN(IF(AG141='Loan Prepayment'!$E$11,IF('Loan Prepayment'!$E$13="Keep tenure, recalculate EMI",-PMT(AI141/1200,MAX(1,'Loan Prepayment'!$B$7*12-AG141+1),AH141),IF(AND('Loan Prepayment'!$E$15="Reduce EMI",AM140&gt;0),-PMT(AI140/1200,MAX(1,'Loan Prepayment'!$B$7*12-AG141+1),AH141),AJ140)),IF(AND('Loan Prepayment'!$E$15="Reduce EMI",AM140&gt;0),-PMT(AI141/1200,MAX(1,'Loan Prepayment'!$B$7*12-AG141+1),AH141),AJ140)),AH141+AK141))</f>
        <v>67460.316473241648</v>
      </c>
      <c r="AK141">
        <f t="shared" si="55"/>
        <v>24491.470017191616</v>
      </c>
      <c r="AL141">
        <f t="shared" si="56"/>
        <v>42968.846456050029</v>
      </c>
      <c r="AM141">
        <f>IF(AH141&lt;=0,0,MIN(MAX(0,AH141-AL141),SUMIFS('Loan Prepayment'!$B$12:$B$31,'Loan Prepayment'!$A$12:$A$31,AG141)+IF(AND(AG141&gt;='Loan Prepayment'!$B$9,AG141&lt;='Loan Prepayment'!$E$16),'Loan Prepayment'!$B$8,0)))</f>
        <v>0</v>
      </c>
      <c r="AN141">
        <f t="shared" si="57"/>
        <v>4478533.3105639406</v>
      </c>
    </row>
    <row r="142" spans="1:40" x14ac:dyDescent="0.35">
      <c r="A142">
        <v>141</v>
      </c>
      <c r="B142">
        <f t="shared" si="58"/>
        <v>5976811.4123757863</v>
      </c>
      <c r="C142" s="64">
        <f>'Loan Prepayment'!$B$6</f>
        <v>7.5</v>
      </c>
      <c r="D142">
        <f>IF(B142&lt;=0,0,MIN(-PMT('Loan Prepayment'!$B$6/1200,'Loan Prepayment'!$B$7*12,'Loan Prepayment'!$B$5),B142+E142))</f>
        <v>80559.31935518072</v>
      </c>
      <c r="E142">
        <f t="shared" si="42"/>
        <v>37355.071327348662</v>
      </c>
      <c r="F142">
        <f t="shared" si="43"/>
        <v>43204.248027832058</v>
      </c>
      <c r="G142">
        <v>0</v>
      </c>
      <c r="H142">
        <f t="shared" si="44"/>
        <v>5933607.1643479541</v>
      </c>
      <c r="I142">
        <v>141</v>
      </c>
      <c r="J142">
        <f t="shared" si="59"/>
        <v>5004977.6066513257</v>
      </c>
      <c r="K142" s="64">
        <f>'Loan Prepayment'!$B$6</f>
        <v>7.5</v>
      </c>
      <c r="L142">
        <f>IF(J142&lt;=0,0,MIN(IF(AND('Loan Prepayment'!$E$15="Reduce EMI",O141&gt;0),-PMT(K142/1200,MAX(1,'Loan Prepayment'!$B$7*12-I142+1),J142),L141),J142+M142))</f>
        <v>67460.316473241648</v>
      </c>
      <c r="M142">
        <f t="shared" si="45"/>
        <v>31281.110041570788</v>
      </c>
      <c r="N142">
        <f t="shared" si="46"/>
        <v>36179.206431670857</v>
      </c>
      <c r="O142">
        <f>IF(J142&lt;=0,0,MIN(MAX(0,J142-N142),SUMIFS('Loan Prepayment'!$B$12:$B$31,'Loan Prepayment'!$A$12:$A$31,I142)+0))</f>
        <v>0</v>
      </c>
      <c r="P142">
        <f t="shared" si="47"/>
        <v>4968798.4002196547</v>
      </c>
      <c r="Q142">
        <v>141</v>
      </c>
      <c r="R142">
        <f t="shared" si="60"/>
        <v>5976811.4123757863</v>
      </c>
      <c r="S142" s="64">
        <f>'Loan Prepayment'!$B$6</f>
        <v>7.5</v>
      </c>
      <c r="T142">
        <f>IF(R142&lt;=0,0,MIN(IF(AND('Loan Prepayment'!$E$15="Reduce EMI",W141&gt;0),-PMT(S142/1200,MAX(1,'Loan Prepayment'!$B$7*12-Q142+1),R142),T141),R142+U142))</f>
        <v>80559.31935518072</v>
      </c>
      <c r="U142">
        <f t="shared" si="48"/>
        <v>37355.071327348662</v>
      </c>
      <c r="V142">
        <f t="shared" si="49"/>
        <v>43204.248027832058</v>
      </c>
      <c r="W142">
        <f>IF(R142&lt;=0,0,MIN(MAX(0,R142-V142),0+IF(AND(Q142&gt;='Loan Prepayment'!$B$9,Q142&lt;='Loan Prepayment'!$E$16),'Loan Prepayment'!$B$8,0)))</f>
        <v>0</v>
      </c>
      <c r="X142">
        <f t="shared" si="50"/>
        <v>5933607.1643479541</v>
      </c>
      <c r="Y142">
        <v>141</v>
      </c>
      <c r="Z142">
        <f t="shared" si="61"/>
        <v>5348145.6072273748</v>
      </c>
      <c r="AA142">
        <f>IF(Y142&gt;='Loan Prepayment'!$E$11,'Loan Prepayment'!$E$12,'Loan Prepayment'!$B$6)</f>
        <v>6.5</v>
      </c>
      <c r="AB142">
        <f>IF(Z142&lt;=0,0,MIN(IF(Y142='Loan Prepayment'!$E$11,IF('Loan Prepayment'!$E$13="Keep tenure, recalculate EMI",-PMT(AA142/1200,MAX(1,'Loan Prepayment'!$B$7*12-Y142+1),Z142),AB141),AB141),Z142+AC142))</f>
        <v>80559.31935518072</v>
      </c>
      <c r="AC142">
        <f t="shared" si="51"/>
        <v>28969.122039148278</v>
      </c>
      <c r="AD142">
        <f t="shared" si="52"/>
        <v>51590.197316032441</v>
      </c>
      <c r="AE142">
        <f t="shared" si="53"/>
        <v>0</v>
      </c>
      <c r="AF142">
        <f t="shared" si="54"/>
        <v>5296555.409911342</v>
      </c>
      <c r="AG142">
        <v>141</v>
      </c>
      <c r="AH142">
        <f t="shared" si="62"/>
        <v>4478533.3105639406</v>
      </c>
      <c r="AI142">
        <f>IF(AG142&gt;='Loan Prepayment'!$E$11,'Loan Prepayment'!$E$12,'Loan Prepayment'!$B$6)</f>
        <v>6.5</v>
      </c>
      <c r="AJ142">
        <f>IF(AH142&lt;=0,0,MIN(IF(AG142='Loan Prepayment'!$E$11,IF('Loan Prepayment'!$E$13="Keep tenure, recalculate EMI",-PMT(AI142/1200,MAX(1,'Loan Prepayment'!$B$7*12-AG142+1),AH142),IF(AND('Loan Prepayment'!$E$15="Reduce EMI",AM141&gt;0),-PMT(AI141/1200,MAX(1,'Loan Prepayment'!$B$7*12-AG142+1),AH142),AJ141)),IF(AND('Loan Prepayment'!$E$15="Reduce EMI",AM141&gt;0),-PMT(AI142/1200,MAX(1,'Loan Prepayment'!$B$7*12-AG142+1),AH142),AJ141)),AH142+AK142))</f>
        <v>67460.316473241648</v>
      </c>
      <c r="AK142">
        <f t="shared" si="55"/>
        <v>24258.722098888011</v>
      </c>
      <c r="AL142">
        <f t="shared" si="56"/>
        <v>43201.594374353634</v>
      </c>
      <c r="AM142">
        <f>IF(AH142&lt;=0,0,MIN(MAX(0,AH142-AL142),SUMIFS('Loan Prepayment'!$B$12:$B$31,'Loan Prepayment'!$A$12:$A$31,AG142)+IF(AND(AG142&gt;='Loan Prepayment'!$B$9,AG142&lt;='Loan Prepayment'!$E$16),'Loan Prepayment'!$B$8,0)))</f>
        <v>0</v>
      </c>
      <c r="AN142">
        <f t="shared" si="57"/>
        <v>4435331.7161895866</v>
      </c>
    </row>
    <row r="143" spans="1:40" x14ac:dyDescent="0.35">
      <c r="A143">
        <v>142</v>
      </c>
      <c r="B143">
        <f t="shared" si="58"/>
        <v>5933607.1643479541</v>
      </c>
      <c r="C143" s="64">
        <f>'Loan Prepayment'!$B$6</f>
        <v>7.5</v>
      </c>
      <c r="D143">
        <f>IF(B143&lt;=0,0,MIN(-PMT('Loan Prepayment'!$B$6/1200,'Loan Prepayment'!$B$7*12,'Loan Prepayment'!$B$5),B143+E143))</f>
        <v>80559.31935518072</v>
      </c>
      <c r="E143">
        <f t="shared" si="42"/>
        <v>37085.044777174713</v>
      </c>
      <c r="F143">
        <f t="shared" si="43"/>
        <v>43474.274578006007</v>
      </c>
      <c r="G143">
        <v>0</v>
      </c>
      <c r="H143">
        <f t="shared" si="44"/>
        <v>5890132.8897699481</v>
      </c>
      <c r="I143">
        <v>142</v>
      </c>
      <c r="J143">
        <f t="shared" si="59"/>
        <v>4968798.4002196547</v>
      </c>
      <c r="K143" s="64">
        <f>'Loan Prepayment'!$B$6</f>
        <v>7.5</v>
      </c>
      <c r="L143">
        <f>IF(J143&lt;=0,0,MIN(IF(AND('Loan Prepayment'!$E$15="Reduce EMI",O142&gt;0),-PMT(K143/1200,MAX(1,'Loan Prepayment'!$B$7*12-I143+1),J143),L142),J143+M143))</f>
        <v>67460.316473241648</v>
      </c>
      <c r="M143">
        <f t="shared" si="45"/>
        <v>31054.990001372844</v>
      </c>
      <c r="N143">
        <f t="shared" si="46"/>
        <v>36405.326471868801</v>
      </c>
      <c r="O143">
        <f>IF(J143&lt;=0,0,MIN(MAX(0,J143-N143),SUMIFS('Loan Prepayment'!$B$12:$B$31,'Loan Prepayment'!$A$12:$A$31,I143)+0))</f>
        <v>0</v>
      </c>
      <c r="P143">
        <f t="shared" si="47"/>
        <v>4932393.0737477858</v>
      </c>
      <c r="Q143">
        <v>142</v>
      </c>
      <c r="R143">
        <f t="shared" si="60"/>
        <v>5933607.1643479541</v>
      </c>
      <c r="S143" s="64">
        <f>'Loan Prepayment'!$B$6</f>
        <v>7.5</v>
      </c>
      <c r="T143">
        <f>IF(R143&lt;=0,0,MIN(IF(AND('Loan Prepayment'!$E$15="Reduce EMI",W142&gt;0),-PMT(S143/1200,MAX(1,'Loan Prepayment'!$B$7*12-Q143+1),R143),T142),R143+U143))</f>
        <v>80559.31935518072</v>
      </c>
      <c r="U143">
        <f t="shared" si="48"/>
        <v>37085.044777174713</v>
      </c>
      <c r="V143">
        <f t="shared" si="49"/>
        <v>43474.274578006007</v>
      </c>
      <c r="W143">
        <f>IF(R143&lt;=0,0,MIN(MAX(0,R143-V143),0+IF(AND(Q143&gt;='Loan Prepayment'!$B$9,Q143&lt;='Loan Prepayment'!$E$16),'Loan Prepayment'!$B$8,0)))</f>
        <v>0</v>
      </c>
      <c r="X143">
        <f t="shared" si="50"/>
        <v>5890132.8897699481</v>
      </c>
      <c r="Y143">
        <v>142</v>
      </c>
      <c r="Z143">
        <f t="shared" si="61"/>
        <v>5296555.409911342</v>
      </c>
      <c r="AA143">
        <f>IF(Y143&gt;='Loan Prepayment'!$E$11,'Loan Prepayment'!$E$12,'Loan Prepayment'!$B$6)</f>
        <v>6.5</v>
      </c>
      <c r="AB143">
        <f>IF(Z143&lt;=0,0,MIN(IF(Y143='Loan Prepayment'!$E$11,IF('Loan Prepayment'!$E$13="Keep tenure, recalculate EMI",-PMT(AA143/1200,MAX(1,'Loan Prepayment'!$B$7*12-Y143+1),Z143),AB142),AB142),Z143+AC143))</f>
        <v>80559.31935518072</v>
      </c>
      <c r="AC143">
        <f t="shared" si="51"/>
        <v>28689.675137019767</v>
      </c>
      <c r="AD143">
        <f t="shared" si="52"/>
        <v>51869.644218160953</v>
      </c>
      <c r="AE143">
        <f t="shared" si="53"/>
        <v>0</v>
      </c>
      <c r="AF143">
        <f t="shared" si="54"/>
        <v>5244685.7656931812</v>
      </c>
      <c r="AG143">
        <v>142</v>
      </c>
      <c r="AH143">
        <f t="shared" si="62"/>
        <v>4435331.7161895866</v>
      </c>
      <c r="AI143">
        <f>IF(AG143&gt;='Loan Prepayment'!$E$11,'Loan Prepayment'!$E$12,'Loan Prepayment'!$B$6)</f>
        <v>6.5</v>
      </c>
      <c r="AJ143">
        <f>IF(AH143&lt;=0,0,MIN(IF(AG143='Loan Prepayment'!$E$11,IF('Loan Prepayment'!$E$13="Keep tenure, recalculate EMI",-PMT(AI143/1200,MAX(1,'Loan Prepayment'!$B$7*12-AG143+1),AH143),IF(AND('Loan Prepayment'!$E$15="Reduce EMI",AM142&gt;0),-PMT(AI142/1200,MAX(1,'Loan Prepayment'!$B$7*12-AG143+1),AH143),AJ142)),IF(AND('Loan Prepayment'!$E$15="Reduce EMI",AM142&gt;0),-PMT(AI143/1200,MAX(1,'Loan Prepayment'!$B$7*12-AG143+1),AH143),AJ142)),AH143+AK143))</f>
        <v>67460.316473241648</v>
      </c>
      <c r="AK143">
        <f t="shared" si="55"/>
        <v>24024.713462693595</v>
      </c>
      <c r="AL143">
        <f t="shared" si="56"/>
        <v>43435.603010548053</v>
      </c>
      <c r="AM143">
        <f>IF(AH143&lt;=0,0,MIN(MAX(0,AH143-AL143),SUMIFS('Loan Prepayment'!$B$12:$B$31,'Loan Prepayment'!$A$12:$A$31,AG143)+IF(AND(AG143&gt;='Loan Prepayment'!$B$9,AG143&lt;='Loan Prepayment'!$E$16),'Loan Prepayment'!$B$8,0)))</f>
        <v>0</v>
      </c>
      <c r="AN143">
        <f t="shared" si="57"/>
        <v>4391896.1131790383</v>
      </c>
    </row>
    <row r="144" spans="1:40" x14ac:dyDescent="0.35">
      <c r="A144">
        <v>143</v>
      </c>
      <c r="B144">
        <f t="shared" si="58"/>
        <v>5890132.8897699481</v>
      </c>
      <c r="C144" s="64">
        <f>'Loan Prepayment'!$B$6</f>
        <v>7.5</v>
      </c>
      <c r="D144">
        <f>IF(B144&lt;=0,0,MIN(-PMT('Loan Prepayment'!$B$6/1200,'Loan Prepayment'!$B$7*12,'Loan Prepayment'!$B$5),B144+E144))</f>
        <v>80559.31935518072</v>
      </c>
      <c r="E144">
        <f t="shared" si="42"/>
        <v>36813.330561062176</v>
      </c>
      <c r="F144">
        <f t="shared" si="43"/>
        <v>43745.988794118544</v>
      </c>
      <c r="G144">
        <v>0</v>
      </c>
      <c r="H144">
        <f t="shared" si="44"/>
        <v>5846386.9009758299</v>
      </c>
      <c r="I144">
        <v>143</v>
      </c>
      <c r="J144">
        <f t="shared" si="59"/>
        <v>4932393.0737477858</v>
      </c>
      <c r="K144" s="64">
        <f>'Loan Prepayment'!$B$6</f>
        <v>7.5</v>
      </c>
      <c r="L144">
        <f>IF(J144&lt;=0,0,MIN(IF(AND('Loan Prepayment'!$E$15="Reduce EMI",O143&gt;0),-PMT(K144/1200,MAX(1,'Loan Prepayment'!$B$7*12-I144+1),J144),L143),J144+M144))</f>
        <v>67460.316473241648</v>
      </c>
      <c r="M144">
        <f t="shared" si="45"/>
        <v>30827.456710923663</v>
      </c>
      <c r="N144">
        <f t="shared" si="46"/>
        <v>36632.859762317981</v>
      </c>
      <c r="O144">
        <f>IF(J144&lt;=0,0,MIN(MAX(0,J144-N144),SUMIFS('Loan Prepayment'!$B$12:$B$31,'Loan Prepayment'!$A$12:$A$31,I144)+0))</f>
        <v>0</v>
      </c>
      <c r="P144">
        <f t="shared" si="47"/>
        <v>4895760.2139854673</v>
      </c>
      <c r="Q144">
        <v>143</v>
      </c>
      <c r="R144">
        <f t="shared" si="60"/>
        <v>5890132.8897699481</v>
      </c>
      <c r="S144" s="64">
        <f>'Loan Prepayment'!$B$6</f>
        <v>7.5</v>
      </c>
      <c r="T144">
        <f>IF(R144&lt;=0,0,MIN(IF(AND('Loan Prepayment'!$E$15="Reduce EMI",W143&gt;0),-PMT(S144/1200,MAX(1,'Loan Prepayment'!$B$7*12-Q144+1),R144),T143),R144+U144))</f>
        <v>80559.31935518072</v>
      </c>
      <c r="U144">
        <f t="shared" si="48"/>
        <v>36813.330561062176</v>
      </c>
      <c r="V144">
        <f t="shared" si="49"/>
        <v>43745.988794118544</v>
      </c>
      <c r="W144">
        <f>IF(R144&lt;=0,0,MIN(MAX(0,R144-V144),0+IF(AND(Q144&gt;='Loan Prepayment'!$B$9,Q144&lt;='Loan Prepayment'!$E$16),'Loan Prepayment'!$B$8,0)))</f>
        <v>0</v>
      </c>
      <c r="X144">
        <f t="shared" si="50"/>
        <v>5846386.9009758299</v>
      </c>
      <c r="Y144">
        <v>143</v>
      </c>
      <c r="Z144">
        <f t="shared" si="61"/>
        <v>5244685.7656931812</v>
      </c>
      <c r="AA144">
        <f>IF(Y144&gt;='Loan Prepayment'!$E$11,'Loan Prepayment'!$E$12,'Loan Prepayment'!$B$6)</f>
        <v>6.5</v>
      </c>
      <c r="AB144">
        <f>IF(Z144&lt;=0,0,MIN(IF(Y144='Loan Prepayment'!$E$11,IF('Loan Prepayment'!$E$13="Keep tenure, recalculate EMI",-PMT(AA144/1200,MAX(1,'Loan Prepayment'!$B$7*12-Y144+1),Z144),AB143),AB143),Z144+AC144))</f>
        <v>80559.31935518072</v>
      </c>
      <c r="AC144">
        <f t="shared" si="51"/>
        <v>28408.714564171398</v>
      </c>
      <c r="AD144">
        <f t="shared" si="52"/>
        <v>52150.604791009318</v>
      </c>
      <c r="AE144">
        <f t="shared" si="53"/>
        <v>0</v>
      </c>
      <c r="AF144">
        <f t="shared" si="54"/>
        <v>5192535.1609021723</v>
      </c>
      <c r="AG144">
        <v>143</v>
      </c>
      <c r="AH144">
        <f t="shared" si="62"/>
        <v>4391896.1131790383</v>
      </c>
      <c r="AI144">
        <f>IF(AG144&gt;='Loan Prepayment'!$E$11,'Loan Prepayment'!$E$12,'Loan Prepayment'!$B$6)</f>
        <v>6.5</v>
      </c>
      <c r="AJ144">
        <f>IF(AH144&lt;=0,0,MIN(IF(AG144='Loan Prepayment'!$E$11,IF('Loan Prepayment'!$E$13="Keep tenure, recalculate EMI",-PMT(AI144/1200,MAX(1,'Loan Prepayment'!$B$7*12-AG144+1),AH144),IF(AND('Loan Prepayment'!$E$15="Reduce EMI",AM143&gt;0),-PMT(AI143/1200,MAX(1,'Loan Prepayment'!$B$7*12-AG144+1),AH144),AJ143)),IF(AND('Loan Prepayment'!$E$15="Reduce EMI",AM143&gt;0),-PMT(AI144/1200,MAX(1,'Loan Prepayment'!$B$7*12-AG144+1),AH144),AJ143)),AH144+AK144))</f>
        <v>67460.316473241648</v>
      </c>
      <c r="AK144">
        <f t="shared" si="55"/>
        <v>23789.43727971979</v>
      </c>
      <c r="AL144">
        <f t="shared" si="56"/>
        <v>43670.879193521861</v>
      </c>
      <c r="AM144">
        <f>IF(AH144&lt;=0,0,MIN(MAX(0,AH144-AL144),SUMIFS('Loan Prepayment'!$B$12:$B$31,'Loan Prepayment'!$A$12:$A$31,AG144)+IF(AND(AG144&gt;='Loan Prepayment'!$B$9,AG144&lt;='Loan Prepayment'!$E$16),'Loan Prepayment'!$B$8,0)))</f>
        <v>0</v>
      </c>
      <c r="AN144">
        <f t="shared" si="57"/>
        <v>4348225.2339855162</v>
      </c>
    </row>
    <row r="145" spans="1:40" x14ac:dyDescent="0.35">
      <c r="A145">
        <v>144</v>
      </c>
      <c r="B145">
        <f t="shared" si="58"/>
        <v>5846386.9009758299</v>
      </c>
      <c r="C145" s="64">
        <f>'Loan Prepayment'!$B$6</f>
        <v>7.5</v>
      </c>
      <c r="D145">
        <f>IF(B145&lt;=0,0,MIN(-PMT('Loan Prepayment'!$B$6/1200,'Loan Prepayment'!$B$7*12,'Loan Prepayment'!$B$5),B145+E145))</f>
        <v>80559.31935518072</v>
      </c>
      <c r="E145">
        <f t="shared" si="42"/>
        <v>36539.918131098937</v>
      </c>
      <c r="F145">
        <f t="shared" si="43"/>
        <v>44019.401224081783</v>
      </c>
      <c r="G145">
        <v>0</v>
      </c>
      <c r="H145">
        <f t="shared" si="44"/>
        <v>5802367.4997517485</v>
      </c>
      <c r="I145">
        <v>144</v>
      </c>
      <c r="J145">
        <f t="shared" si="59"/>
        <v>4895760.2139854673</v>
      </c>
      <c r="K145" s="64">
        <f>'Loan Prepayment'!$B$6</f>
        <v>7.5</v>
      </c>
      <c r="L145">
        <f>IF(J145&lt;=0,0,MIN(IF(AND('Loan Prepayment'!$E$15="Reduce EMI",O144&gt;0),-PMT(K145/1200,MAX(1,'Loan Prepayment'!$B$7*12-I145+1),J145),L144),J145+M145))</f>
        <v>67460.316473241648</v>
      </c>
      <c r="M145">
        <f t="shared" si="45"/>
        <v>30598.501337409169</v>
      </c>
      <c r="N145">
        <f t="shared" si="46"/>
        <v>36861.815135832483</v>
      </c>
      <c r="O145">
        <f>IF(J145&lt;=0,0,MIN(MAX(0,J145-N145),SUMIFS('Loan Prepayment'!$B$12:$B$31,'Loan Prepayment'!$A$12:$A$31,I145)+0))</f>
        <v>0</v>
      </c>
      <c r="P145">
        <f t="shared" si="47"/>
        <v>4858898.3988496345</v>
      </c>
      <c r="Q145">
        <v>144</v>
      </c>
      <c r="R145">
        <f t="shared" si="60"/>
        <v>5846386.9009758299</v>
      </c>
      <c r="S145" s="64">
        <f>'Loan Prepayment'!$B$6</f>
        <v>7.5</v>
      </c>
      <c r="T145">
        <f>IF(R145&lt;=0,0,MIN(IF(AND('Loan Prepayment'!$E$15="Reduce EMI",W144&gt;0),-PMT(S145/1200,MAX(1,'Loan Prepayment'!$B$7*12-Q145+1),R145),T144),R145+U145))</f>
        <v>80559.31935518072</v>
      </c>
      <c r="U145">
        <f t="shared" si="48"/>
        <v>36539.918131098937</v>
      </c>
      <c r="V145">
        <f t="shared" si="49"/>
        <v>44019.401224081783</v>
      </c>
      <c r="W145">
        <f>IF(R145&lt;=0,0,MIN(MAX(0,R145-V145),0+IF(AND(Q145&gt;='Loan Prepayment'!$B$9,Q145&lt;='Loan Prepayment'!$E$16),'Loan Prepayment'!$B$8,0)))</f>
        <v>0</v>
      </c>
      <c r="X145">
        <f t="shared" si="50"/>
        <v>5802367.4997517485</v>
      </c>
      <c r="Y145">
        <v>144</v>
      </c>
      <c r="Z145">
        <f t="shared" si="61"/>
        <v>5192535.1609021723</v>
      </c>
      <c r="AA145">
        <f>IF(Y145&gt;='Loan Prepayment'!$E$11,'Loan Prepayment'!$E$12,'Loan Prepayment'!$B$6)</f>
        <v>6.5</v>
      </c>
      <c r="AB145">
        <f>IF(Z145&lt;=0,0,MIN(IF(Y145='Loan Prepayment'!$E$11,IF('Loan Prepayment'!$E$13="Keep tenure, recalculate EMI",-PMT(AA145/1200,MAX(1,'Loan Prepayment'!$B$7*12-Y145+1),Z145),AB144),AB144),Z145+AC145))</f>
        <v>80559.31935518072</v>
      </c>
      <c r="AC145">
        <f t="shared" si="51"/>
        <v>28126.232121553432</v>
      </c>
      <c r="AD145">
        <f t="shared" si="52"/>
        <v>52433.087233627288</v>
      </c>
      <c r="AE145">
        <f t="shared" si="53"/>
        <v>0</v>
      </c>
      <c r="AF145">
        <f t="shared" si="54"/>
        <v>5140102.0736685451</v>
      </c>
      <c r="AG145">
        <v>144</v>
      </c>
      <c r="AH145">
        <f t="shared" si="62"/>
        <v>4348225.2339855162</v>
      </c>
      <c r="AI145">
        <f>IF(AG145&gt;='Loan Prepayment'!$E$11,'Loan Prepayment'!$E$12,'Loan Prepayment'!$B$6)</f>
        <v>6.5</v>
      </c>
      <c r="AJ145">
        <f>IF(AH145&lt;=0,0,MIN(IF(AG145='Loan Prepayment'!$E$11,IF('Loan Prepayment'!$E$13="Keep tenure, recalculate EMI",-PMT(AI145/1200,MAX(1,'Loan Prepayment'!$B$7*12-AG145+1),AH145),IF(AND('Loan Prepayment'!$E$15="Reduce EMI",AM144&gt;0),-PMT(AI144/1200,MAX(1,'Loan Prepayment'!$B$7*12-AG145+1),AH145),AJ144)),IF(AND('Loan Prepayment'!$E$15="Reduce EMI",AM144&gt;0),-PMT(AI145/1200,MAX(1,'Loan Prepayment'!$B$7*12-AG145+1),AH145),AJ144)),AH145+AK145))</f>
        <v>67460.316473241648</v>
      </c>
      <c r="AK145">
        <f t="shared" si="55"/>
        <v>23552.886684088215</v>
      </c>
      <c r="AL145">
        <f t="shared" si="56"/>
        <v>43907.429789153437</v>
      </c>
      <c r="AM145">
        <f>IF(AH145&lt;=0,0,MIN(MAX(0,AH145-AL145),SUMIFS('Loan Prepayment'!$B$12:$B$31,'Loan Prepayment'!$A$12:$A$31,AG145)+IF(AND(AG145&gt;='Loan Prepayment'!$B$9,AG145&lt;='Loan Prepayment'!$E$16),'Loan Prepayment'!$B$8,0)))</f>
        <v>0</v>
      </c>
      <c r="AN145">
        <f t="shared" si="57"/>
        <v>4304317.8041963624</v>
      </c>
    </row>
    <row r="146" spans="1:40" x14ac:dyDescent="0.35">
      <c r="A146">
        <v>145</v>
      </c>
      <c r="B146">
        <f t="shared" si="58"/>
        <v>5802367.4997517485</v>
      </c>
      <c r="C146" s="64">
        <f>'Loan Prepayment'!$B$6</f>
        <v>7.5</v>
      </c>
      <c r="D146">
        <f>IF(B146&lt;=0,0,MIN(-PMT('Loan Prepayment'!$B$6/1200,'Loan Prepayment'!$B$7*12,'Loan Prepayment'!$B$5),B146+E146))</f>
        <v>80559.31935518072</v>
      </c>
      <c r="E146">
        <f t="shared" si="42"/>
        <v>36264.796873448431</v>
      </c>
      <c r="F146">
        <f t="shared" si="43"/>
        <v>44294.522481732289</v>
      </c>
      <c r="G146">
        <v>0</v>
      </c>
      <c r="H146">
        <f t="shared" si="44"/>
        <v>5758072.9772700164</v>
      </c>
      <c r="I146">
        <v>145</v>
      </c>
      <c r="J146">
        <f t="shared" si="59"/>
        <v>4858898.3988496345</v>
      </c>
      <c r="K146" s="64">
        <f>'Loan Prepayment'!$B$6</f>
        <v>7.5</v>
      </c>
      <c r="L146">
        <f>IF(J146&lt;=0,0,MIN(IF(AND('Loan Prepayment'!$E$15="Reduce EMI",O145&gt;0),-PMT(K146/1200,MAX(1,'Loan Prepayment'!$B$7*12-I146+1),J146),L145),J146+M146))</f>
        <v>67460.316473241648</v>
      </c>
      <c r="M146">
        <f t="shared" si="45"/>
        <v>30368.114992810213</v>
      </c>
      <c r="N146">
        <f t="shared" si="46"/>
        <v>37092.201480431439</v>
      </c>
      <c r="O146">
        <f>IF(J146&lt;=0,0,MIN(MAX(0,J146-N146),SUMIFS('Loan Prepayment'!$B$12:$B$31,'Loan Prepayment'!$A$12:$A$31,I146)+0))</f>
        <v>0</v>
      </c>
      <c r="P146">
        <f t="shared" si="47"/>
        <v>4821806.197369203</v>
      </c>
      <c r="Q146">
        <v>145</v>
      </c>
      <c r="R146">
        <f t="shared" si="60"/>
        <v>5802367.4997517485</v>
      </c>
      <c r="S146" s="64">
        <f>'Loan Prepayment'!$B$6</f>
        <v>7.5</v>
      </c>
      <c r="T146">
        <f>IF(R146&lt;=0,0,MIN(IF(AND('Loan Prepayment'!$E$15="Reduce EMI",W145&gt;0),-PMT(S146/1200,MAX(1,'Loan Prepayment'!$B$7*12-Q146+1),R146),T145),R146+U146))</f>
        <v>80559.31935518072</v>
      </c>
      <c r="U146">
        <f t="shared" si="48"/>
        <v>36264.796873448431</v>
      </c>
      <c r="V146">
        <f t="shared" si="49"/>
        <v>44294.522481732289</v>
      </c>
      <c r="W146">
        <f>IF(R146&lt;=0,0,MIN(MAX(0,R146-V146),0+IF(AND(Q146&gt;='Loan Prepayment'!$B$9,Q146&lt;='Loan Prepayment'!$E$16),'Loan Prepayment'!$B$8,0)))</f>
        <v>0</v>
      </c>
      <c r="X146">
        <f t="shared" si="50"/>
        <v>5758072.9772700164</v>
      </c>
      <c r="Y146">
        <v>145</v>
      </c>
      <c r="Z146">
        <f t="shared" si="61"/>
        <v>5140102.0736685451</v>
      </c>
      <c r="AA146">
        <f>IF(Y146&gt;='Loan Prepayment'!$E$11,'Loan Prepayment'!$E$12,'Loan Prepayment'!$B$6)</f>
        <v>6.5</v>
      </c>
      <c r="AB146">
        <f>IF(Z146&lt;=0,0,MIN(IF(Y146='Loan Prepayment'!$E$11,IF('Loan Prepayment'!$E$13="Keep tenure, recalculate EMI",-PMT(AA146/1200,MAX(1,'Loan Prepayment'!$B$7*12-Y146+1),Z146),AB145),AB145),Z146+AC146))</f>
        <v>80559.31935518072</v>
      </c>
      <c r="AC146">
        <f t="shared" si="51"/>
        <v>27842.219565704621</v>
      </c>
      <c r="AD146">
        <f t="shared" si="52"/>
        <v>52717.099789476095</v>
      </c>
      <c r="AE146">
        <f t="shared" si="53"/>
        <v>0</v>
      </c>
      <c r="AF146">
        <f t="shared" si="54"/>
        <v>5087384.9738790691</v>
      </c>
      <c r="AG146">
        <v>145</v>
      </c>
      <c r="AH146">
        <f t="shared" si="62"/>
        <v>4304317.8041963624</v>
      </c>
      <c r="AI146">
        <f>IF(AG146&gt;='Loan Prepayment'!$E$11,'Loan Prepayment'!$E$12,'Loan Prepayment'!$B$6)</f>
        <v>6.5</v>
      </c>
      <c r="AJ146">
        <f>IF(AH146&lt;=0,0,MIN(IF(AG146='Loan Prepayment'!$E$11,IF('Loan Prepayment'!$E$13="Keep tenure, recalculate EMI",-PMT(AI146/1200,MAX(1,'Loan Prepayment'!$B$7*12-AG146+1),AH146),IF(AND('Loan Prepayment'!$E$15="Reduce EMI",AM145&gt;0),-PMT(AI145/1200,MAX(1,'Loan Prepayment'!$B$7*12-AG146+1),AH146),AJ145)),IF(AND('Loan Prepayment'!$E$15="Reduce EMI",AM145&gt;0),-PMT(AI146/1200,MAX(1,'Loan Prepayment'!$B$7*12-AG146+1),AH146),AJ145)),AH146+AK146))</f>
        <v>67460.316473241648</v>
      </c>
      <c r="AK146">
        <f t="shared" si="55"/>
        <v>23315.054772730295</v>
      </c>
      <c r="AL146">
        <f t="shared" si="56"/>
        <v>44145.261700511357</v>
      </c>
      <c r="AM146">
        <f>IF(AH146&lt;=0,0,MIN(MAX(0,AH146-AL146),SUMIFS('Loan Prepayment'!$B$12:$B$31,'Loan Prepayment'!$A$12:$A$31,AG146)+IF(AND(AG146&gt;='Loan Prepayment'!$B$9,AG146&lt;='Loan Prepayment'!$E$16),'Loan Prepayment'!$B$8,0)))</f>
        <v>0</v>
      </c>
      <c r="AN146">
        <f t="shared" si="57"/>
        <v>4260172.5424958514</v>
      </c>
    </row>
    <row r="147" spans="1:40" x14ac:dyDescent="0.35">
      <c r="A147">
        <v>146</v>
      </c>
      <c r="B147">
        <f t="shared" si="58"/>
        <v>5758072.9772700164</v>
      </c>
      <c r="C147" s="64">
        <f>'Loan Prepayment'!$B$6</f>
        <v>7.5</v>
      </c>
      <c r="D147">
        <f>IF(B147&lt;=0,0,MIN(-PMT('Loan Prepayment'!$B$6/1200,'Loan Prepayment'!$B$7*12,'Loan Prepayment'!$B$5),B147+E147))</f>
        <v>80559.31935518072</v>
      </c>
      <c r="E147">
        <f t="shared" si="42"/>
        <v>35987.9561079376</v>
      </c>
      <c r="F147">
        <f t="shared" si="43"/>
        <v>44571.36324724312</v>
      </c>
      <c r="G147">
        <v>0</v>
      </c>
      <c r="H147">
        <f t="shared" si="44"/>
        <v>5713501.6140227737</v>
      </c>
      <c r="I147">
        <v>146</v>
      </c>
      <c r="J147">
        <f t="shared" si="59"/>
        <v>4821806.197369203</v>
      </c>
      <c r="K147" s="64">
        <f>'Loan Prepayment'!$B$6</f>
        <v>7.5</v>
      </c>
      <c r="L147">
        <f>IF(J147&lt;=0,0,MIN(IF(AND('Loan Prepayment'!$E$15="Reduce EMI",O146&gt;0),-PMT(K147/1200,MAX(1,'Loan Prepayment'!$B$7*12-I147+1),J147),L146),J147+M147))</f>
        <v>67460.316473241648</v>
      </c>
      <c r="M147">
        <f t="shared" si="45"/>
        <v>30136.288733557518</v>
      </c>
      <c r="N147">
        <f t="shared" si="46"/>
        <v>37324.027739684127</v>
      </c>
      <c r="O147">
        <f>IF(J147&lt;=0,0,MIN(MAX(0,J147-N147),SUMIFS('Loan Prepayment'!$B$12:$B$31,'Loan Prepayment'!$A$12:$A$31,I147)+0))</f>
        <v>0</v>
      </c>
      <c r="P147">
        <f t="shared" si="47"/>
        <v>4784482.1696295189</v>
      </c>
      <c r="Q147">
        <v>146</v>
      </c>
      <c r="R147">
        <f t="shared" si="60"/>
        <v>5758072.9772700164</v>
      </c>
      <c r="S147" s="64">
        <f>'Loan Prepayment'!$B$6</f>
        <v>7.5</v>
      </c>
      <c r="T147">
        <f>IF(R147&lt;=0,0,MIN(IF(AND('Loan Prepayment'!$E$15="Reduce EMI",W146&gt;0),-PMT(S147/1200,MAX(1,'Loan Prepayment'!$B$7*12-Q147+1),R147),T146),R147+U147))</f>
        <v>80559.31935518072</v>
      </c>
      <c r="U147">
        <f t="shared" si="48"/>
        <v>35987.9561079376</v>
      </c>
      <c r="V147">
        <f t="shared" si="49"/>
        <v>44571.36324724312</v>
      </c>
      <c r="W147">
        <f>IF(R147&lt;=0,0,MIN(MAX(0,R147-V147),0+IF(AND(Q147&gt;='Loan Prepayment'!$B$9,Q147&lt;='Loan Prepayment'!$E$16),'Loan Prepayment'!$B$8,0)))</f>
        <v>0</v>
      </c>
      <c r="X147">
        <f t="shared" si="50"/>
        <v>5713501.6140227737</v>
      </c>
      <c r="Y147">
        <v>146</v>
      </c>
      <c r="Z147">
        <f t="shared" si="61"/>
        <v>5087384.9738790691</v>
      </c>
      <c r="AA147">
        <f>IF(Y147&gt;='Loan Prepayment'!$E$11,'Loan Prepayment'!$E$12,'Loan Prepayment'!$B$6)</f>
        <v>6.5</v>
      </c>
      <c r="AB147">
        <f>IF(Z147&lt;=0,0,MIN(IF(Y147='Loan Prepayment'!$E$11,IF('Loan Prepayment'!$E$13="Keep tenure, recalculate EMI",-PMT(AA147/1200,MAX(1,'Loan Prepayment'!$B$7*12-Y147+1),Z147),AB146),AB146),Z147+AC147))</f>
        <v>80559.31935518072</v>
      </c>
      <c r="AC147">
        <f t="shared" si="51"/>
        <v>27556.668608511623</v>
      </c>
      <c r="AD147">
        <f t="shared" si="52"/>
        <v>53002.650746669096</v>
      </c>
      <c r="AE147">
        <f t="shared" si="53"/>
        <v>0</v>
      </c>
      <c r="AF147">
        <f t="shared" si="54"/>
        <v>5034382.3231324004</v>
      </c>
      <c r="AG147">
        <v>146</v>
      </c>
      <c r="AH147">
        <f t="shared" si="62"/>
        <v>4260172.5424958514</v>
      </c>
      <c r="AI147">
        <f>IF(AG147&gt;='Loan Prepayment'!$E$11,'Loan Prepayment'!$E$12,'Loan Prepayment'!$B$6)</f>
        <v>6.5</v>
      </c>
      <c r="AJ147">
        <f>IF(AH147&lt;=0,0,MIN(IF(AG147='Loan Prepayment'!$E$11,IF('Loan Prepayment'!$E$13="Keep tenure, recalculate EMI",-PMT(AI147/1200,MAX(1,'Loan Prepayment'!$B$7*12-AG147+1),AH147),IF(AND('Loan Prepayment'!$E$15="Reduce EMI",AM146&gt;0),-PMT(AI146/1200,MAX(1,'Loan Prepayment'!$B$7*12-AG147+1),AH147),AJ146)),IF(AND('Loan Prepayment'!$E$15="Reduce EMI",AM146&gt;0),-PMT(AI147/1200,MAX(1,'Loan Prepayment'!$B$7*12-AG147+1),AH147),AJ146)),AH147+AK147))</f>
        <v>67460.316473241648</v>
      </c>
      <c r="AK147">
        <f t="shared" si="55"/>
        <v>23075.934605185863</v>
      </c>
      <c r="AL147">
        <f t="shared" si="56"/>
        <v>44384.381868055789</v>
      </c>
      <c r="AM147">
        <f>IF(AH147&lt;=0,0,MIN(MAX(0,AH147-AL147),SUMIFS('Loan Prepayment'!$B$12:$B$31,'Loan Prepayment'!$A$12:$A$31,AG147)+IF(AND(AG147&gt;='Loan Prepayment'!$B$9,AG147&lt;='Loan Prepayment'!$E$16),'Loan Prepayment'!$B$8,0)))</f>
        <v>0</v>
      </c>
      <c r="AN147">
        <f t="shared" si="57"/>
        <v>4215788.1606277954</v>
      </c>
    </row>
    <row r="148" spans="1:40" x14ac:dyDescent="0.35">
      <c r="A148">
        <v>147</v>
      </c>
      <c r="B148">
        <f t="shared" si="58"/>
        <v>5713501.6140227737</v>
      </c>
      <c r="C148" s="64">
        <f>'Loan Prepayment'!$B$6</f>
        <v>7.5</v>
      </c>
      <c r="D148">
        <f>IF(B148&lt;=0,0,MIN(-PMT('Loan Prepayment'!$B$6/1200,'Loan Prepayment'!$B$7*12,'Loan Prepayment'!$B$5),B148+E148))</f>
        <v>80559.31935518072</v>
      </c>
      <c r="E148">
        <f t="shared" si="42"/>
        <v>35709.385087642331</v>
      </c>
      <c r="F148">
        <f t="shared" si="43"/>
        <v>44849.934267538389</v>
      </c>
      <c r="G148">
        <v>0</v>
      </c>
      <c r="H148">
        <f t="shared" si="44"/>
        <v>5668651.6797552351</v>
      </c>
      <c r="I148">
        <v>147</v>
      </c>
      <c r="J148">
        <f t="shared" si="59"/>
        <v>4784482.1696295189</v>
      </c>
      <c r="K148" s="64">
        <f>'Loan Prepayment'!$B$6</f>
        <v>7.5</v>
      </c>
      <c r="L148">
        <f>IF(J148&lt;=0,0,MIN(IF(AND('Loan Prepayment'!$E$15="Reduce EMI",O147&gt;0),-PMT(K148/1200,MAX(1,'Loan Prepayment'!$B$7*12-I148+1),J148),L147),J148+M148))</f>
        <v>67460.316473241648</v>
      </c>
      <c r="M148">
        <f t="shared" si="45"/>
        <v>29903.013560184496</v>
      </c>
      <c r="N148">
        <f t="shared" si="46"/>
        <v>37557.302913057152</v>
      </c>
      <c r="O148">
        <f>IF(J148&lt;=0,0,MIN(MAX(0,J148-N148),SUMIFS('Loan Prepayment'!$B$12:$B$31,'Loan Prepayment'!$A$12:$A$31,I148)+0))</f>
        <v>0</v>
      </c>
      <c r="P148">
        <f t="shared" si="47"/>
        <v>4746924.8667164613</v>
      </c>
      <c r="Q148">
        <v>147</v>
      </c>
      <c r="R148">
        <f t="shared" si="60"/>
        <v>5713501.6140227737</v>
      </c>
      <c r="S148" s="64">
        <f>'Loan Prepayment'!$B$6</f>
        <v>7.5</v>
      </c>
      <c r="T148">
        <f>IF(R148&lt;=0,0,MIN(IF(AND('Loan Prepayment'!$E$15="Reduce EMI",W147&gt;0),-PMT(S148/1200,MAX(1,'Loan Prepayment'!$B$7*12-Q148+1),R148),T147),R148+U148))</f>
        <v>80559.31935518072</v>
      </c>
      <c r="U148">
        <f t="shared" si="48"/>
        <v>35709.385087642331</v>
      </c>
      <c r="V148">
        <f t="shared" si="49"/>
        <v>44849.934267538389</v>
      </c>
      <c r="W148">
        <f>IF(R148&lt;=0,0,MIN(MAX(0,R148-V148),0+IF(AND(Q148&gt;='Loan Prepayment'!$B$9,Q148&lt;='Loan Prepayment'!$E$16),'Loan Prepayment'!$B$8,0)))</f>
        <v>0</v>
      </c>
      <c r="X148">
        <f t="shared" si="50"/>
        <v>5668651.6797552351</v>
      </c>
      <c r="Y148">
        <v>147</v>
      </c>
      <c r="Z148">
        <f t="shared" si="61"/>
        <v>5034382.3231324004</v>
      </c>
      <c r="AA148">
        <f>IF(Y148&gt;='Loan Prepayment'!$E$11,'Loan Prepayment'!$E$12,'Loan Prepayment'!$B$6)</f>
        <v>6.5</v>
      </c>
      <c r="AB148">
        <f>IF(Z148&lt;=0,0,MIN(IF(Y148='Loan Prepayment'!$E$11,IF('Loan Prepayment'!$E$13="Keep tenure, recalculate EMI",-PMT(AA148/1200,MAX(1,'Loan Prepayment'!$B$7*12-Y148+1),Z148),AB147),AB147),Z148+AC148))</f>
        <v>80559.31935518072</v>
      </c>
      <c r="AC148">
        <f t="shared" si="51"/>
        <v>27269.570916967168</v>
      </c>
      <c r="AD148">
        <f t="shared" si="52"/>
        <v>53289.748438213552</v>
      </c>
      <c r="AE148">
        <f t="shared" si="53"/>
        <v>0</v>
      </c>
      <c r="AF148">
        <f t="shared" si="54"/>
        <v>4981092.5746941864</v>
      </c>
      <c r="AG148">
        <v>147</v>
      </c>
      <c r="AH148">
        <f t="shared" si="62"/>
        <v>4215788.1606277954</v>
      </c>
      <c r="AI148">
        <f>IF(AG148&gt;='Loan Prepayment'!$E$11,'Loan Prepayment'!$E$12,'Loan Prepayment'!$B$6)</f>
        <v>6.5</v>
      </c>
      <c r="AJ148">
        <f>IF(AH148&lt;=0,0,MIN(IF(AG148='Loan Prepayment'!$E$11,IF('Loan Prepayment'!$E$13="Keep tenure, recalculate EMI",-PMT(AI148/1200,MAX(1,'Loan Prepayment'!$B$7*12-AG148+1),AH148),IF(AND('Loan Prepayment'!$E$15="Reduce EMI",AM147&gt;0),-PMT(AI147/1200,MAX(1,'Loan Prepayment'!$B$7*12-AG148+1),AH148),AJ147)),IF(AND('Loan Prepayment'!$E$15="Reduce EMI",AM147&gt;0),-PMT(AI148/1200,MAX(1,'Loan Prepayment'!$B$7*12-AG148+1),AH148),AJ147)),AH148+AK148))</f>
        <v>67460.316473241648</v>
      </c>
      <c r="AK148">
        <f t="shared" si="55"/>
        <v>22835.519203400559</v>
      </c>
      <c r="AL148">
        <f t="shared" si="56"/>
        <v>44624.797269841089</v>
      </c>
      <c r="AM148">
        <f>IF(AH148&lt;=0,0,MIN(MAX(0,AH148-AL148),SUMIFS('Loan Prepayment'!$B$12:$B$31,'Loan Prepayment'!$A$12:$A$31,AG148)+IF(AND(AG148&gt;='Loan Prepayment'!$B$9,AG148&lt;='Loan Prepayment'!$E$16),'Loan Prepayment'!$B$8,0)))</f>
        <v>0</v>
      </c>
      <c r="AN148">
        <f t="shared" si="57"/>
        <v>4171163.3633579542</v>
      </c>
    </row>
    <row r="149" spans="1:40" x14ac:dyDescent="0.35">
      <c r="A149">
        <v>148</v>
      </c>
      <c r="B149">
        <f t="shared" si="58"/>
        <v>5668651.6797552351</v>
      </c>
      <c r="C149" s="64">
        <f>'Loan Prepayment'!$B$6</f>
        <v>7.5</v>
      </c>
      <c r="D149">
        <f>IF(B149&lt;=0,0,MIN(-PMT('Loan Prepayment'!$B$6/1200,'Loan Prepayment'!$B$7*12,'Loan Prepayment'!$B$5),B149+E149))</f>
        <v>80559.31935518072</v>
      </c>
      <c r="E149">
        <f t="shared" si="42"/>
        <v>35429.072998470219</v>
      </c>
      <c r="F149">
        <f t="shared" si="43"/>
        <v>45130.246356710501</v>
      </c>
      <c r="G149">
        <v>0</v>
      </c>
      <c r="H149">
        <f t="shared" si="44"/>
        <v>5623521.4333985243</v>
      </c>
      <c r="I149">
        <v>148</v>
      </c>
      <c r="J149">
        <f t="shared" si="59"/>
        <v>4746924.8667164613</v>
      </c>
      <c r="K149" s="64">
        <f>'Loan Prepayment'!$B$6</f>
        <v>7.5</v>
      </c>
      <c r="L149">
        <f>IF(J149&lt;=0,0,MIN(IF(AND('Loan Prepayment'!$E$15="Reduce EMI",O148&gt;0),-PMT(K149/1200,MAX(1,'Loan Prepayment'!$B$7*12-I149+1),J149),L148),J149+M149))</f>
        <v>67460.316473241648</v>
      </c>
      <c r="M149">
        <f t="shared" si="45"/>
        <v>29668.280416977883</v>
      </c>
      <c r="N149">
        <f t="shared" si="46"/>
        <v>37792.036056263765</v>
      </c>
      <c r="O149">
        <f>IF(J149&lt;=0,0,MIN(MAX(0,J149-N149),SUMIFS('Loan Prepayment'!$B$12:$B$31,'Loan Prepayment'!$A$12:$A$31,I149)+0))</f>
        <v>0</v>
      </c>
      <c r="P149">
        <f t="shared" si="47"/>
        <v>4709132.8306601979</v>
      </c>
      <c r="Q149">
        <v>148</v>
      </c>
      <c r="R149">
        <f t="shared" si="60"/>
        <v>5668651.6797552351</v>
      </c>
      <c r="S149" s="64">
        <f>'Loan Prepayment'!$B$6</f>
        <v>7.5</v>
      </c>
      <c r="T149">
        <f>IF(R149&lt;=0,0,MIN(IF(AND('Loan Prepayment'!$E$15="Reduce EMI",W148&gt;0),-PMT(S149/1200,MAX(1,'Loan Prepayment'!$B$7*12-Q149+1),R149),T148),R149+U149))</f>
        <v>80559.31935518072</v>
      </c>
      <c r="U149">
        <f t="shared" si="48"/>
        <v>35429.072998470219</v>
      </c>
      <c r="V149">
        <f t="shared" si="49"/>
        <v>45130.246356710501</v>
      </c>
      <c r="W149">
        <f>IF(R149&lt;=0,0,MIN(MAX(0,R149-V149),0+IF(AND(Q149&gt;='Loan Prepayment'!$B$9,Q149&lt;='Loan Prepayment'!$E$16),'Loan Prepayment'!$B$8,0)))</f>
        <v>0</v>
      </c>
      <c r="X149">
        <f t="shared" si="50"/>
        <v>5623521.4333985243</v>
      </c>
      <c r="Y149">
        <v>148</v>
      </c>
      <c r="Z149">
        <f t="shared" si="61"/>
        <v>4981092.5746941864</v>
      </c>
      <c r="AA149">
        <f>IF(Y149&gt;='Loan Prepayment'!$E$11,'Loan Prepayment'!$E$12,'Loan Prepayment'!$B$6)</f>
        <v>6.5</v>
      </c>
      <c r="AB149">
        <f>IF(Z149&lt;=0,0,MIN(IF(Y149='Loan Prepayment'!$E$11,IF('Loan Prepayment'!$E$13="Keep tenure, recalculate EMI",-PMT(AA149/1200,MAX(1,'Loan Prepayment'!$B$7*12-Y149+1),Z149),AB148),AB148),Z149+AC149))</f>
        <v>80559.31935518072</v>
      </c>
      <c r="AC149">
        <f t="shared" si="51"/>
        <v>26980.918112926844</v>
      </c>
      <c r="AD149">
        <f t="shared" si="52"/>
        <v>53578.40124225388</v>
      </c>
      <c r="AE149">
        <f t="shared" si="53"/>
        <v>0</v>
      </c>
      <c r="AF149">
        <f t="shared" si="54"/>
        <v>4927514.1734519321</v>
      </c>
      <c r="AG149">
        <v>148</v>
      </c>
      <c r="AH149">
        <f t="shared" si="62"/>
        <v>4171163.3633579542</v>
      </c>
      <c r="AI149">
        <f>IF(AG149&gt;='Loan Prepayment'!$E$11,'Loan Prepayment'!$E$12,'Loan Prepayment'!$B$6)</f>
        <v>6.5</v>
      </c>
      <c r="AJ149">
        <f>IF(AH149&lt;=0,0,MIN(IF(AG149='Loan Prepayment'!$E$11,IF('Loan Prepayment'!$E$13="Keep tenure, recalculate EMI",-PMT(AI149/1200,MAX(1,'Loan Prepayment'!$B$7*12-AG149+1),AH149),IF(AND('Loan Prepayment'!$E$15="Reduce EMI",AM148&gt;0),-PMT(AI148/1200,MAX(1,'Loan Prepayment'!$B$7*12-AG149+1),AH149),AJ148)),IF(AND('Loan Prepayment'!$E$15="Reduce EMI",AM148&gt;0),-PMT(AI149/1200,MAX(1,'Loan Prepayment'!$B$7*12-AG149+1),AH149),AJ148)),AH149+AK149))</f>
        <v>67460.316473241648</v>
      </c>
      <c r="AK149">
        <f t="shared" si="55"/>
        <v>22593.801551522254</v>
      </c>
      <c r="AL149">
        <f t="shared" si="56"/>
        <v>44866.514921719398</v>
      </c>
      <c r="AM149">
        <f>IF(AH149&lt;=0,0,MIN(MAX(0,AH149-AL149),SUMIFS('Loan Prepayment'!$B$12:$B$31,'Loan Prepayment'!$A$12:$A$31,AG149)+IF(AND(AG149&gt;='Loan Prepayment'!$B$9,AG149&lt;='Loan Prepayment'!$E$16),'Loan Prepayment'!$B$8,0)))</f>
        <v>0</v>
      </c>
      <c r="AN149">
        <f t="shared" si="57"/>
        <v>4126296.848436235</v>
      </c>
    </row>
    <row r="150" spans="1:40" x14ac:dyDescent="0.35">
      <c r="A150">
        <v>149</v>
      </c>
      <c r="B150">
        <f t="shared" si="58"/>
        <v>5623521.4333985243</v>
      </c>
      <c r="C150" s="64">
        <f>'Loan Prepayment'!$B$6</f>
        <v>7.5</v>
      </c>
      <c r="D150">
        <f>IF(B150&lt;=0,0,MIN(-PMT('Loan Prepayment'!$B$6/1200,'Loan Prepayment'!$B$7*12,'Loan Prepayment'!$B$5),B150+E150))</f>
        <v>80559.31935518072</v>
      </c>
      <c r="E150">
        <f t="shared" si="42"/>
        <v>35147.008958740771</v>
      </c>
      <c r="F150">
        <f t="shared" si="43"/>
        <v>45412.310396439949</v>
      </c>
      <c r="G150">
        <v>0</v>
      </c>
      <c r="H150">
        <f t="shared" si="44"/>
        <v>5578109.123002084</v>
      </c>
      <c r="I150">
        <v>149</v>
      </c>
      <c r="J150">
        <f t="shared" si="59"/>
        <v>4709132.8306601979</v>
      </c>
      <c r="K150" s="64">
        <f>'Loan Prepayment'!$B$6</f>
        <v>7.5</v>
      </c>
      <c r="L150">
        <f>IF(J150&lt;=0,0,MIN(IF(AND('Loan Prepayment'!$E$15="Reduce EMI",O149&gt;0),-PMT(K150/1200,MAX(1,'Loan Prepayment'!$B$7*12-I150+1),J150),L149),J150+M150))</f>
        <v>67460.316473241648</v>
      </c>
      <c r="M150">
        <f t="shared" si="45"/>
        <v>29432.080191626239</v>
      </c>
      <c r="N150">
        <f t="shared" si="46"/>
        <v>38028.236281615405</v>
      </c>
      <c r="O150">
        <f>IF(J150&lt;=0,0,MIN(MAX(0,J150-N150),SUMIFS('Loan Prepayment'!$B$12:$B$31,'Loan Prepayment'!$A$12:$A$31,I150)+0))</f>
        <v>0</v>
      </c>
      <c r="P150">
        <f t="shared" si="47"/>
        <v>4671104.5943785822</v>
      </c>
      <c r="Q150">
        <v>149</v>
      </c>
      <c r="R150">
        <f t="shared" si="60"/>
        <v>5623521.4333985243</v>
      </c>
      <c r="S150" s="64">
        <f>'Loan Prepayment'!$B$6</f>
        <v>7.5</v>
      </c>
      <c r="T150">
        <f>IF(R150&lt;=0,0,MIN(IF(AND('Loan Prepayment'!$E$15="Reduce EMI",W149&gt;0),-PMT(S150/1200,MAX(1,'Loan Prepayment'!$B$7*12-Q150+1),R150),T149),R150+U150))</f>
        <v>80559.31935518072</v>
      </c>
      <c r="U150">
        <f t="shared" si="48"/>
        <v>35147.008958740771</v>
      </c>
      <c r="V150">
        <f t="shared" si="49"/>
        <v>45412.310396439949</v>
      </c>
      <c r="W150">
        <f>IF(R150&lt;=0,0,MIN(MAX(0,R150-V150),0+IF(AND(Q150&gt;='Loan Prepayment'!$B$9,Q150&lt;='Loan Prepayment'!$E$16),'Loan Prepayment'!$B$8,0)))</f>
        <v>0</v>
      </c>
      <c r="X150">
        <f t="shared" si="50"/>
        <v>5578109.123002084</v>
      </c>
      <c r="Y150">
        <v>149</v>
      </c>
      <c r="Z150">
        <f t="shared" si="61"/>
        <v>4927514.1734519321</v>
      </c>
      <c r="AA150">
        <f>IF(Y150&gt;='Loan Prepayment'!$E$11,'Loan Prepayment'!$E$12,'Loan Prepayment'!$B$6)</f>
        <v>6.5</v>
      </c>
      <c r="AB150">
        <f>IF(Z150&lt;=0,0,MIN(IF(Y150='Loan Prepayment'!$E$11,IF('Loan Prepayment'!$E$13="Keep tenure, recalculate EMI",-PMT(AA150/1200,MAX(1,'Loan Prepayment'!$B$7*12-Y150+1),Z150),AB149),AB149),Z150+AC150))</f>
        <v>80559.31935518072</v>
      </c>
      <c r="AC150">
        <f t="shared" si="51"/>
        <v>26690.701772864631</v>
      </c>
      <c r="AD150">
        <f t="shared" si="52"/>
        <v>53868.617582316088</v>
      </c>
      <c r="AE150">
        <f t="shared" si="53"/>
        <v>0</v>
      </c>
      <c r="AF150">
        <f t="shared" si="54"/>
        <v>4873645.5558696156</v>
      </c>
      <c r="AG150">
        <v>149</v>
      </c>
      <c r="AH150">
        <f t="shared" si="62"/>
        <v>4126296.848436235</v>
      </c>
      <c r="AI150">
        <f>IF(AG150&gt;='Loan Prepayment'!$E$11,'Loan Prepayment'!$E$12,'Loan Prepayment'!$B$6)</f>
        <v>6.5</v>
      </c>
      <c r="AJ150">
        <f>IF(AH150&lt;=0,0,MIN(IF(AG150='Loan Prepayment'!$E$11,IF('Loan Prepayment'!$E$13="Keep tenure, recalculate EMI",-PMT(AI150/1200,MAX(1,'Loan Prepayment'!$B$7*12-AG150+1),AH150),IF(AND('Loan Prepayment'!$E$15="Reduce EMI",AM149&gt;0),-PMT(AI149/1200,MAX(1,'Loan Prepayment'!$B$7*12-AG150+1),AH150),AJ149)),IF(AND('Loan Prepayment'!$E$15="Reduce EMI",AM149&gt;0),-PMT(AI150/1200,MAX(1,'Loan Prepayment'!$B$7*12-AG150+1),AH150),AJ149)),AH150+AK150))</f>
        <v>67460.316473241648</v>
      </c>
      <c r="AK150">
        <f t="shared" si="55"/>
        <v>22350.774595696275</v>
      </c>
      <c r="AL150">
        <f t="shared" si="56"/>
        <v>45109.541877545373</v>
      </c>
      <c r="AM150">
        <f>IF(AH150&lt;=0,0,MIN(MAX(0,AH150-AL150),SUMIFS('Loan Prepayment'!$B$12:$B$31,'Loan Prepayment'!$A$12:$A$31,AG150)+IF(AND(AG150&gt;='Loan Prepayment'!$B$9,AG150&lt;='Loan Prepayment'!$E$16),'Loan Prepayment'!$B$8,0)))</f>
        <v>0</v>
      </c>
      <c r="AN150">
        <f t="shared" si="57"/>
        <v>4081187.3065586896</v>
      </c>
    </row>
    <row r="151" spans="1:40" x14ac:dyDescent="0.35">
      <c r="A151">
        <v>150</v>
      </c>
      <c r="B151">
        <f t="shared" si="58"/>
        <v>5578109.123002084</v>
      </c>
      <c r="C151" s="64">
        <f>'Loan Prepayment'!$B$6</f>
        <v>7.5</v>
      </c>
      <c r="D151">
        <f>IF(B151&lt;=0,0,MIN(-PMT('Loan Prepayment'!$B$6/1200,'Loan Prepayment'!$B$7*12,'Loan Prepayment'!$B$5),B151+E151))</f>
        <v>80559.31935518072</v>
      </c>
      <c r="E151">
        <f t="shared" si="42"/>
        <v>34863.182018763029</v>
      </c>
      <c r="F151">
        <f t="shared" si="43"/>
        <v>45696.137336417691</v>
      </c>
      <c r="G151">
        <v>0</v>
      </c>
      <c r="H151">
        <f t="shared" si="44"/>
        <v>5532412.9856656659</v>
      </c>
      <c r="I151">
        <v>150</v>
      </c>
      <c r="J151">
        <f t="shared" si="59"/>
        <v>4671104.5943785822</v>
      </c>
      <c r="K151" s="64">
        <f>'Loan Prepayment'!$B$6</f>
        <v>7.5</v>
      </c>
      <c r="L151">
        <f>IF(J151&lt;=0,0,MIN(IF(AND('Loan Prepayment'!$E$15="Reduce EMI",O150&gt;0),-PMT(K151/1200,MAX(1,'Loan Prepayment'!$B$7*12-I151+1),J151),L150),J151+M151))</f>
        <v>67460.316473241648</v>
      </c>
      <c r="M151">
        <f t="shared" si="45"/>
        <v>29194.403714866141</v>
      </c>
      <c r="N151">
        <f t="shared" si="46"/>
        <v>38265.912758375503</v>
      </c>
      <c r="O151">
        <f>IF(J151&lt;=0,0,MIN(MAX(0,J151-N151),SUMIFS('Loan Prepayment'!$B$12:$B$31,'Loan Prepayment'!$A$12:$A$31,I151)+0))</f>
        <v>0</v>
      </c>
      <c r="P151">
        <f t="shared" si="47"/>
        <v>4632838.6816202067</v>
      </c>
      <c r="Q151">
        <v>150</v>
      </c>
      <c r="R151">
        <f t="shared" si="60"/>
        <v>5578109.123002084</v>
      </c>
      <c r="S151" s="64">
        <f>'Loan Prepayment'!$B$6</f>
        <v>7.5</v>
      </c>
      <c r="T151">
        <f>IF(R151&lt;=0,0,MIN(IF(AND('Loan Prepayment'!$E$15="Reduce EMI",W150&gt;0),-PMT(S151/1200,MAX(1,'Loan Prepayment'!$B$7*12-Q151+1),R151),T150),R151+U151))</f>
        <v>80559.31935518072</v>
      </c>
      <c r="U151">
        <f t="shared" si="48"/>
        <v>34863.182018763029</v>
      </c>
      <c r="V151">
        <f t="shared" si="49"/>
        <v>45696.137336417691</v>
      </c>
      <c r="W151">
        <f>IF(R151&lt;=0,0,MIN(MAX(0,R151-V151),0+IF(AND(Q151&gt;='Loan Prepayment'!$B$9,Q151&lt;='Loan Prepayment'!$E$16),'Loan Prepayment'!$B$8,0)))</f>
        <v>0</v>
      </c>
      <c r="X151">
        <f t="shared" si="50"/>
        <v>5532412.9856656659</v>
      </c>
      <c r="Y151">
        <v>150</v>
      </c>
      <c r="Z151">
        <f t="shared" si="61"/>
        <v>4873645.5558696156</v>
      </c>
      <c r="AA151">
        <f>IF(Y151&gt;='Loan Prepayment'!$E$11,'Loan Prepayment'!$E$12,'Loan Prepayment'!$B$6)</f>
        <v>6.5</v>
      </c>
      <c r="AB151">
        <f>IF(Z151&lt;=0,0,MIN(IF(Y151='Loan Prepayment'!$E$11,IF('Loan Prepayment'!$E$13="Keep tenure, recalculate EMI",-PMT(AA151/1200,MAX(1,'Loan Prepayment'!$B$7*12-Y151+1),Z151),AB150),AB150),Z151+AC151))</f>
        <v>80559.31935518072</v>
      </c>
      <c r="AC151">
        <f t="shared" si="51"/>
        <v>26398.913427627085</v>
      </c>
      <c r="AD151">
        <f t="shared" si="52"/>
        <v>54160.405927553635</v>
      </c>
      <c r="AE151">
        <f t="shared" si="53"/>
        <v>0</v>
      </c>
      <c r="AF151">
        <f t="shared" si="54"/>
        <v>4819485.1499420619</v>
      </c>
      <c r="AG151">
        <v>150</v>
      </c>
      <c r="AH151">
        <f t="shared" si="62"/>
        <v>4081187.3065586896</v>
      </c>
      <c r="AI151">
        <f>IF(AG151&gt;='Loan Prepayment'!$E$11,'Loan Prepayment'!$E$12,'Loan Prepayment'!$B$6)</f>
        <v>6.5</v>
      </c>
      <c r="AJ151">
        <f>IF(AH151&lt;=0,0,MIN(IF(AG151='Loan Prepayment'!$E$11,IF('Loan Prepayment'!$E$13="Keep tenure, recalculate EMI",-PMT(AI151/1200,MAX(1,'Loan Prepayment'!$B$7*12-AG151+1),AH151),IF(AND('Loan Prepayment'!$E$15="Reduce EMI",AM150&gt;0),-PMT(AI150/1200,MAX(1,'Loan Prepayment'!$B$7*12-AG151+1),AH151),AJ150)),IF(AND('Loan Prepayment'!$E$15="Reduce EMI",AM150&gt;0),-PMT(AI151/1200,MAX(1,'Loan Prepayment'!$B$7*12-AG151+1),AH151),AJ150)),AH151+AK151))</f>
        <v>67460.316473241648</v>
      </c>
      <c r="AK151">
        <f t="shared" si="55"/>
        <v>22106.43124385957</v>
      </c>
      <c r="AL151">
        <f t="shared" si="56"/>
        <v>45353.885229382082</v>
      </c>
      <c r="AM151">
        <f>IF(AH151&lt;=0,0,MIN(MAX(0,AH151-AL151),SUMIFS('Loan Prepayment'!$B$12:$B$31,'Loan Prepayment'!$A$12:$A$31,AG151)+IF(AND(AG151&gt;='Loan Prepayment'!$B$9,AG151&lt;='Loan Prepayment'!$E$16),'Loan Prepayment'!$B$8,0)))</f>
        <v>0</v>
      </c>
      <c r="AN151">
        <f t="shared" si="57"/>
        <v>4035833.4213293074</v>
      </c>
    </row>
    <row r="152" spans="1:40" x14ac:dyDescent="0.35">
      <c r="A152">
        <v>151</v>
      </c>
      <c r="B152">
        <f t="shared" si="58"/>
        <v>5532412.9856656659</v>
      </c>
      <c r="C152" s="64">
        <f>'Loan Prepayment'!$B$6</f>
        <v>7.5</v>
      </c>
      <c r="D152">
        <f>IF(B152&lt;=0,0,MIN(-PMT('Loan Prepayment'!$B$6/1200,'Loan Prepayment'!$B$7*12,'Loan Prepayment'!$B$5),B152+E152))</f>
        <v>80559.31935518072</v>
      </c>
      <c r="E152">
        <f t="shared" si="42"/>
        <v>34577.581160410416</v>
      </c>
      <c r="F152">
        <f t="shared" si="43"/>
        <v>45981.738194770303</v>
      </c>
      <c r="G152">
        <v>0</v>
      </c>
      <c r="H152">
        <f t="shared" si="44"/>
        <v>5486431.2474708958</v>
      </c>
      <c r="I152">
        <v>151</v>
      </c>
      <c r="J152">
        <f t="shared" si="59"/>
        <v>4632838.6816202067</v>
      </c>
      <c r="K152" s="64">
        <f>'Loan Prepayment'!$B$6</f>
        <v>7.5</v>
      </c>
      <c r="L152">
        <f>IF(J152&lt;=0,0,MIN(IF(AND('Loan Prepayment'!$E$15="Reduce EMI",O151&gt;0),-PMT(K152/1200,MAX(1,'Loan Prepayment'!$B$7*12-I152+1),J152),L151),J152+M152))</f>
        <v>67460.316473241648</v>
      </c>
      <c r="M152">
        <f t="shared" si="45"/>
        <v>28955.24176012629</v>
      </c>
      <c r="N152">
        <f t="shared" si="46"/>
        <v>38505.074713115362</v>
      </c>
      <c r="O152">
        <f>IF(J152&lt;=0,0,MIN(MAX(0,J152-N152),SUMIFS('Loan Prepayment'!$B$12:$B$31,'Loan Prepayment'!$A$12:$A$31,I152)+0))</f>
        <v>0</v>
      </c>
      <c r="P152">
        <f t="shared" si="47"/>
        <v>4594333.6069070911</v>
      </c>
      <c r="Q152">
        <v>151</v>
      </c>
      <c r="R152">
        <f t="shared" si="60"/>
        <v>5532412.9856656659</v>
      </c>
      <c r="S152" s="64">
        <f>'Loan Prepayment'!$B$6</f>
        <v>7.5</v>
      </c>
      <c r="T152">
        <f>IF(R152&lt;=0,0,MIN(IF(AND('Loan Prepayment'!$E$15="Reduce EMI",W151&gt;0),-PMT(S152/1200,MAX(1,'Loan Prepayment'!$B$7*12-Q152+1),R152),T151),R152+U152))</f>
        <v>80559.31935518072</v>
      </c>
      <c r="U152">
        <f t="shared" si="48"/>
        <v>34577.581160410416</v>
      </c>
      <c r="V152">
        <f t="shared" si="49"/>
        <v>45981.738194770303</v>
      </c>
      <c r="W152">
        <f>IF(R152&lt;=0,0,MIN(MAX(0,R152-V152),0+IF(AND(Q152&gt;='Loan Prepayment'!$B$9,Q152&lt;='Loan Prepayment'!$E$16),'Loan Prepayment'!$B$8,0)))</f>
        <v>0</v>
      </c>
      <c r="X152">
        <f t="shared" si="50"/>
        <v>5486431.2474708958</v>
      </c>
      <c r="Y152">
        <v>151</v>
      </c>
      <c r="Z152">
        <f t="shared" si="61"/>
        <v>4819485.1499420619</v>
      </c>
      <c r="AA152">
        <f>IF(Y152&gt;='Loan Prepayment'!$E$11,'Loan Prepayment'!$E$12,'Loan Prepayment'!$B$6)</f>
        <v>6.5</v>
      </c>
      <c r="AB152">
        <f>IF(Z152&lt;=0,0,MIN(IF(Y152='Loan Prepayment'!$E$11,IF('Loan Prepayment'!$E$13="Keep tenure, recalculate EMI",-PMT(AA152/1200,MAX(1,'Loan Prepayment'!$B$7*12-Y152+1),Z152),AB151),AB151),Z152+AC152))</f>
        <v>80559.31935518072</v>
      </c>
      <c r="AC152">
        <f t="shared" si="51"/>
        <v>26105.544562186169</v>
      </c>
      <c r="AD152">
        <f t="shared" si="52"/>
        <v>54453.774792994547</v>
      </c>
      <c r="AE152">
        <f t="shared" si="53"/>
        <v>0</v>
      </c>
      <c r="AF152">
        <f t="shared" si="54"/>
        <v>4765031.3751490675</v>
      </c>
      <c r="AG152">
        <v>151</v>
      </c>
      <c r="AH152">
        <f t="shared" si="62"/>
        <v>4035833.4213293074</v>
      </c>
      <c r="AI152">
        <f>IF(AG152&gt;='Loan Prepayment'!$E$11,'Loan Prepayment'!$E$12,'Loan Prepayment'!$B$6)</f>
        <v>6.5</v>
      </c>
      <c r="AJ152">
        <f>IF(AH152&lt;=0,0,MIN(IF(AG152='Loan Prepayment'!$E$11,IF('Loan Prepayment'!$E$13="Keep tenure, recalculate EMI",-PMT(AI152/1200,MAX(1,'Loan Prepayment'!$B$7*12-AG152+1),AH152),IF(AND('Loan Prepayment'!$E$15="Reduce EMI",AM151&gt;0),-PMT(AI151/1200,MAX(1,'Loan Prepayment'!$B$7*12-AG152+1),AH152),AJ151)),IF(AND('Loan Prepayment'!$E$15="Reduce EMI",AM151&gt;0),-PMT(AI152/1200,MAX(1,'Loan Prepayment'!$B$7*12-AG152+1),AH152),AJ151)),AH152+AK152))</f>
        <v>67460.316473241648</v>
      </c>
      <c r="AK152">
        <f t="shared" si="55"/>
        <v>21860.764365533749</v>
      </c>
      <c r="AL152">
        <f t="shared" si="56"/>
        <v>45599.552107707903</v>
      </c>
      <c r="AM152">
        <f>IF(AH152&lt;=0,0,MIN(MAX(0,AH152-AL152),SUMIFS('Loan Prepayment'!$B$12:$B$31,'Loan Prepayment'!$A$12:$A$31,AG152)+IF(AND(AG152&gt;='Loan Prepayment'!$B$9,AG152&lt;='Loan Prepayment'!$E$16),'Loan Prepayment'!$B$8,0)))</f>
        <v>0</v>
      </c>
      <c r="AN152">
        <f t="shared" si="57"/>
        <v>3990233.8692215993</v>
      </c>
    </row>
    <row r="153" spans="1:40" x14ac:dyDescent="0.35">
      <c r="A153">
        <v>152</v>
      </c>
      <c r="B153">
        <f t="shared" si="58"/>
        <v>5486431.2474708958</v>
      </c>
      <c r="C153" s="64">
        <f>'Loan Prepayment'!$B$6</f>
        <v>7.5</v>
      </c>
      <c r="D153">
        <f>IF(B153&lt;=0,0,MIN(-PMT('Loan Prepayment'!$B$6/1200,'Loan Prepayment'!$B$7*12,'Loan Prepayment'!$B$5),B153+E153))</f>
        <v>80559.31935518072</v>
      </c>
      <c r="E153">
        <f t="shared" si="42"/>
        <v>34290.195296693098</v>
      </c>
      <c r="F153">
        <f t="shared" si="43"/>
        <v>46269.124058487621</v>
      </c>
      <c r="G153">
        <v>0</v>
      </c>
      <c r="H153">
        <f t="shared" si="44"/>
        <v>5440162.1234124079</v>
      </c>
      <c r="I153">
        <v>152</v>
      </c>
      <c r="J153">
        <f t="shared" si="59"/>
        <v>4594333.6069070911</v>
      </c>
      <c r="K153" s="64">
        <f>'Loan Prepayment'!$B$6</f>
        <v>7.5</v>
      </c>
      <c r="L153">
        <f>IF(J153&lt;=0,0,MIN(IF(AND('Loan Prepayment'!$E$15="Reduce EMI",O152&gt;0),-PMT(K153/1200,MAX(1,'Loan Prepayment'!$B$7*12-I153+1),J153),L152),J153+M153))</f>
        <v>67460.316473241648</v>
      </c>
      <c r="M153">
        <f t="shared" si="45"/>
        <v>28714.585043169322</v>
      </c>
      <c r="N153">
        <f t="shared" si="46"/>
        <v>38745.731430072323</v>
      </c>
      <c r="O153">
        <f>IF(J153&lt;=0,0,MIN(MAX(0,J153-N153),SUMIFS('Loan Prepayment'!$B$12:$B$31,'Loan Prepayment'!$A$12:$A$31,I153)+0))</f>
        <v>0</v>
      </c>
      <c r="P153">
        <f t="shared" si="47"/>
        <v>4555587.8754770188</v>
      </c>
      <c r="Q153">
        <v>152</v>
      </c>
      <c r="R153">
        <f t="shared" si="60"/>
        <v>5486431.2474708958</v>
      </c>
      <c r="S153" s="64">
        <f>'Loan Prepayment'!$B$6</f>
        <v>7.5</v>
      </c>
      <c r="T153">
        <f>IF(R153&lt;=0,0,MIN(IF(AND('Loan Prepayment'!$E$15="Reduce EMI",W152&gt;0),-PMT(S153/1200,MAX(1,'Loan Prepayment'!$B$7*12-Q153+1),R153),T152),R153+U153))</f>
        <v>80559.31935518072</v>
      </c>
      <c r="U153">
        <f t="shared" si="48"/>
        <v>34290.195296693098</v>
      </c>
      <c r="V153">
        <f t="shared" si="49"/>
        <v>46269.124058487621</v>
      </c>
      <c r="W153">
        <f>IF(R153&lt;=0,0,MIN(MAX(0,R153-V153),0+IF(AND(Q153&gt;='Loan Prepayment'!$B$9,Q153&lt;='Loan Prepayment'!$E$16),'Loan Prepayment'!$B$8,0)))</f>
        <v>0</v>
      </c>
      <c r="X153">
        <f t="shared" si="50"/>
        <v>5440162.1234124079</v>
      </c>
      <c r="Y153">
        <v>152</v>
      </c>
      <c r="Z153">
        <f t="shared" si="61"/>
        <v>4765031.3751490675</v>
      </c>
      <c r="AA153">
        <f>IF(Y153&gt;='Loan Prepayment'!$E$11,'Loan Prepayment'!$E$12,'Loan Prepayment'!$B$6)</f>
        <v>6.5</v>
      </c>
      <c r="AB153">
        <f>IF(Z153&lt;=0,0,MIN(IF(Y153='Loan Prepayment'!$E$11,IF('Loan Prepayment'!$E$13="Keep tenure, recalculate EMI",-PMT(AA153/1200,MAX(1,'Loan Prepayment'!$B$7*12-Y153+1),Z153),AB152),AB152),Z153+AC153))</f>
        <v>80559.31935518072</v>
      </c>
      <c r="AC153">
        <f t="shared" si="51"/>
        <v>25810.586615390785</v>
      </c>
      <c r="AD153">
        <f t="shared" si="52"/>
        <v>54748.732739789935</v>
      </c>
      <c r="AE153">
        <f t="shared" si="53"/>
        <v>0</v>
      </c>
      <c r="AF153">
        <f t="shared" si="54"/>
        <v>4710282.6424092771</v>
      </c>
      <c r="AG153">
        <v>152</v>
      </c>
      <c r="AH153">
        <f t="shared" si="62"/>
        <v>3990233.8692215993</v>
      </c>
      <c r="AI153">
        <f>IF(AG153&gt;='Loan Prepayment'!$E$11,'Loan Prepayment'!$E$12,'Loan Prepayment'!$B$6)</f>
        <v>6.5</v>
      </c>
      <c r="AJ153">
        <f>IF(AH153&lt;=0,0,MIN(IF(AG153='Loan Prepayment'!$E$11,IF('Loan Prepayment'!$E$13="Keep tenure, recalculate EMI",-PMT(AI153/1200,MAX(1,'Loan Prepayment'!$B$7*12-AG153+1),AH153),IF(AND('Loan Prepayment'!$E$15="Reduce EMI",AM152&gt;0),-PMT(AI152/1200,MAX(1,'Loan Prepayment'!$B$7*12-AG153+1),AH153),AJ152)),IF(AND('Loan Prepayment'!$E$15="Reduce EMI",AM152&gt;0),-PMT(AI153/1200,MAX(1,'Loan Prepayment'!$B$7*12-AG153+1),AH153),AJ152)),AH153+AK153))</f>
        <v>67460.316473241648</v>
      </c>
      <c r="AK153">
        <f t="shared" si="55"/>
        <v>21613.766791616996</v>
      </c>
      <c r="AL153">
        <f t="shared" si="56"/>
        <v>45846.549681624652</v>
      </c>
      <c r="AM153">
        <f>IF(AH153&lt;=0,0,MIN(MAX(0,AH153-AL153),SUMIFS('Loan Prepayment'!$B$12:$B$31,'Loan Prepayment'!$A$12:$A$31,AG153)+IF(AND(AG153&gt;='Loan Prepayment'!$B$9,AG153&lt;='Loan Prepayment'!$E$16),'Loan Prepayment'!$B$8,0)))</f>
        <v>0</v>
      </c>
      <c r="AN153">
        <f t="shared" si="57"/>
        <v>3944387.3195399744</v>
      </c>
    </row>
    <row r="154" spans="1:40" x14ac:dyDescent="0.35">
      <c r="A154">
        <v>153</v>
      </c>
      <c r="B154">
        <f t="shared" si="58"/>
        <v>5440162.1234124079</v>
      </c>
      <c r="C154" s="64">
        <f>'Loan Prepayment'!$B$6</f>
        <v>7.5</v>
      </c>
      <c r="D154">
        <f>IF(B154&lt;=0,0,MIN(-PMT('Loan Prepayment'!$B$6/1200,'Loan Prepayment'!$B$7*12,'Loan Prepayment'!$B$5),B154+E154))</f>
        <v>80559.31935518072</v>
      </c>
      <c r="E154">
        <f t="shared" si="42"/>
        <v>34001.013271327553</v>
      </c>
      <c r="F154">
        <f t="shared" si="43"/>
        <v>46558.306083853167</v>
      </c>
      <c r="G154">
        <v>0</v>
      </c>
      <c r="H154">
        <f t="shared" si="44"/>
        <v>5393603.8173285546</v>
      </c>
      <c r="I154">
        <v>153</v>
      </c>
      <c r="J154">
        <f t="shared" si="59"/>
        <v>4555587.8754770188</v>
      </c>
      <c r="K154" s="64">
        <f>'Loan Prepayment'!$B$6</f>
        <v>7.5</v>
      </c>
      <c r="L154">
        <f>IF(J154&lt;=0,0,MIN(IF(AND('Loan Prepayment'!$E$15="Reduce EMI",O153&gt;0),-PMT(K154/1200,MAX(1,'Loan Prepayment'!$B$7*12-I154+1),J154),L153),J154+M154))</f>
        <v>67460.316473241648</v>
      </c>
      <c r="M154">
        <f t="shared" si="45"/>
        <v>28472.424221731369</v>
      </c>
      <c r="N154">
        <f t="shared" si="46"/>
        <v>38987.892251510275</v>
      </c>
      <c r="O154">
        <f>IF(J154&lt;=0,0,MIN(MAX(0,J154-N154),SUMIFS('Loan Prepayment'!$B$12:$B$31,'Loan Prepayment'!$A$12:$A$31,I154)+0))</f>
        <v>0</v>
      </c>
      <c r="P154">
        <f t="shared" si="47"/>
        <v>4516599.9832255086</v>
      </c>
      <c r="Q154">
        <v>153</v>
      </c>
      <c r="R154">
        <f t="shared" si="60"/>
        <v>5440162.1234124079</v>
      </c>
      <c r="S154" s="64">
        <f>'Loan Prepayment'!$B$6</f>
        <v>7.5</v>
      </c>
      <c r="T154">
        <f>IF(R154&lt;=0,0,MIN(IF(AND('Loan Prepayment'!$E$15="Reduce EMI",W153&gt;0),-PMT(S154/1200,MAX(1,'Loan Prepayment'!$B$7*12-Q154+1),R154),T153),R154+U154))</f>
        <v>80559.31935518072</v>
      </c>
      <c r="U154">
        <f t="shared" si="48"/>
        <v>34001.013271327553</v>
      </c>
      <c r="V154">
        <f t="shared" si="49"/>
        <v>46558.306083853167</v>
      </c>
      <c r="W154">
        <f>IF(R154&lt;=0,0,MIN(MAX(0,R154-V154),0+IF(AND(Q154&gt;='Loan Prepayment'!$B$9,Q154&lt;='Loan Prepayment'!$E$16),'Loan Prepayment'!$B$8,0)))</f>
        <v>0</v>
      </c>
      <c r="X154">
        <f t="shared" si="50"/>
        <v>5393603.8173285546</v>
      </c>
      <c r="Y154">
        <v>153</v>
      </c>
      <c r="Z154">
        <f t="shared" si="61"/>
        <v>4710282.6424092771</v>
      </c>
      <c r="AA154">
        <f>IF(Y154&gt;='Loan Prepayment'!$E$11,'Loan Prepayment'!$E$12,'Loan Prepayment'!$B$6)</f>
        <v>6.5</v>
      </c>
      <c r="AB154">
        <f>IF(Z154&lt;=0,0,MIN(IF(Y154='Loan Prepayment'!$E$11,IF('Loan Prepayment'!$E$13="Keep tenure, recalculate EMI",-PMT(AA154/1200,MAX(1,'Loan Prepayment'!$B$7*12-Y154+1),Z154),AB153),AB153),Z154+AC154))</f>
        <v>80559.31935518072</v>
      </c>
      <c r="AC154">
        <f t="shared" si="51"/>
        <v>25514.030979716917</v>
      </c>
      <c r="AD154">
        <f t="shared" si="52"/>
        <v>55045.288375463802</v>
      </c>
      <c r="AE154">
        <f t="shared" si="53"/>
        <v>0</v>
      </c>
      <c r="AF154">
        <f t="shared" si="54"/>
        <v>4655237.3540338129</v>
      </c>
      <c r="AG154">
        <v>153</v>
      </c>
      <c r="AH154">
        <f t="shared" si="62"/>
        <v>3944387.3195399744</v>
      </c>
      <c r="AI154">
        <f>IF(AG154&gt;='Loan Prepayment'!$E$11,'Loan Prepayment'!$E$12,'Loan Prepayment'!$B$6)</f>
        <v>6.5</v>
      </c>
      <c r="AJ154">
        <f>IF(AH154&lt;=0,0,MIN(IF(AG154='Loan Prepayment'!$E$11,IF('Loan Prepayment'!$E$13="Keep tenure, recalculate EMI",-PMT(AI154/1200,MAX(1,'Loan Prepayment'!$B$7*12-AG154+1),AH154),IF(AND('Loan Prepayment'!$E$15="Reduce EMI",AM153&gt;0),-PMT(AI153/1200,MAX(1,'Loan Prepayment'!$B$7*12-AG154+1),AH154),AJ153)),IF(AND('Loan Prepayment'!$E$15="Reduce EMI",AM153&gt;0),-PMT(AI154/1200,MAX(1,'Loan Prepayment'!$B$7*12-AG154+1),AH154),AJ153)),AH154+AK154))</f>
        <v>67460.316473241648</v>
      </c>
      <c r="AK154">
        <f t="shared" si="55"/>
        <v>21365.431314174861</v>
      </c>
      <c r="AL154">
        <f t="shared" si="56"/>
        <v>46094.885159066791</v>
      </c>
      <c r="AM154">
        <f>IF(AH154&lt;=0,0,MIN(MAX(0,AH154-AL154),SUMIFS('Loan Prepayment'!$B$12:$B$31,'Loan Prepayment'!$A$12:$A$31,AG154)+IF(AND(AG154&gt;='Loan Prepayment'!$B$9,AG154&lt;='Loan Prepayment'!$E$16),'Loan Prepayment'!$B$8,0)))</f>
        <v>0</v>
      </c>
      <c r="AN154">
        <f t="shared" si="57"/>
        <v>3898292.4343809076</v>
      </c>
    </row>
    <row r="155" spans="1:40" x14ac:dyDescent="0.35">
      <c r="A155">
        <v>154</v>
      </c>
      <c r="B155">
        <f t="shared" si="58"/>
        <v>5393603.8173285546</v>
      </c>
      <c r="C155" s="64">
        <f>'Loan Prepayment'!$B$6</f>
        <v>7.5</v>
      </c>
      <c r="D155">
        <f>IF(B155&lt;=0,0,MIN(-PMT('Loan Prepayment'!$B$6/1200,'Loan Prepayment'!$B$7*12,'Loan Prepayment'!$B$5),B155+E155))</f>
        <v>80559.31935518072</v>
      </c>
      <c r="E155">
        <f t="shared" si="42"/>
        <v>33710.023858303466</v>
      </c>
      <c r="F155">
        <f t="shared" si="43"/>
        <v>46849.295496877254</v>
      </c>
      <c r="G155">
        <v>0</v>
      </c>
      <c r="H155">
        <f t="shared" si="44"/>
        <v>5346754.5218316773</v>
      </c>
      <c r="I155">
        <v>154</v>
      </c>
      <c r="J155">
        <f t="shared" si="59"/>
        <v>4516599.9832255086</v>
      </c>
      <c r="K155" s="64">
        <f>'Loan Prepayment'!$B$6</f>
        <v>7.5</v>
      </c>
      <c r="L155">
        <f>IF(J155&lt;=0,0,MIN(IF(AND('Loan Prepayment'!$E$15="Reduce EMI",O154&gt;0),-PMT(K155/1200,MAX(1,'Loan Prepayment'!$B$7*12-I155+1),J155),L154),J155+M155))</f>
        <v>67460.316473241648</v>
      </c>
      <c r="M155">
        <f t="shared" si="45"/>
        <v>28228.749895159428</v>
      </c>
      <c r="N155">
        <f t="shared" si="46"/>
        <v>39231.566578082216</v>
      </c>
      <c r="O155">
        <f>IF(J155&lt;=0,0,MIN(MAX(0,J155-N155),SUMIFS('Loan Prepayment'!$B$12:$B$31,'Loan Prepayment'!$A$12:$A$31,I155)+0))</f>
        <v>0</v>
      </c>
      <c r="P155">
        <f t="shared" si="47"/>
        <v>4477368.4166474268</v>
      </c>
      <c r="Q155">
        <v>154</v>
      </c>
      <c r="R155">
        <f t="shared" si="60"/>
        <v>5393603.8173285546</v>
      </c>
      <c r="S155" s="64">
        <f>'Loan Prepayment'!$B$6</f>
        <v>7.5</v>
      </c>
      <c r="T155">
        <f>IF(R155&lt;=0,0,MIN(IF(AND('Loan Prepayment'!$E$15="Reduce EMI",W154&gt;0),-PMT(S155/1200,MAX(1,'Loan Prepayment'!$B$7*12-Q155+1),R155),T154),R155+U155))</f>
        <v>80559.31935518072</v>
      </c>
      <c r="U155">
        <f t="shared" si="48"/>
        <v>33710.023858303466</v>
      </c>
      <c r="V155">
        <f t="shared" si="49"/>
        <v>46849.295496877254</v>
      </c>
      <c r="W155">
        <f>IF(R155&lt;=0,0,MIN(MAX(0,R155-V155),0+IF(AND(Q155&gt;='Loan Prepayment'!$B$9,Q155&lt;='Loan Prepayment'!$E$16),'Loan Prepayment'!$B$8,0)))</f>
        <v>0</v>
      </c>
      <c r="X155">
        <f t="shared" si="50"/>
        <v>5346754.5218316773</v>
      </c>
      <c r="Y155">
        <v>154</v>
      </c>
      <c r="Z155">
        <f t="shared" si="61"/>
        <v>4655237.3540338129</v>
      </c>
      <c r="AA155">
        <f>IF(Y155&gt;='Loan Prepayment'!$E$11,'Loan Prepayment'!$E$12,'Loan Prepayment'!$B$6)</f>
        <v>6.5</v>
      </c>
      <c r="AB155">
        <f>IF(Z155&lt;=0,0,MIN(IF(Y155='Loan Prepayment'!$E$11,IF('Loan Prepayment'!$E$13="Keep tenure, recalculate EMI",-PMT(AA155/1200,MAX(1,'Loan Prepayment'!$B$7*12-Y155+1),Z155),AB154),AB154),Z155+AC155))</f>
        <v>80559.31935518072</v>
      </c>
      <c r="AC155">
        <f t="shared" si="51"/>
        <v>25215.869001016486</v>
      </c>
      <c r="AD155">
        <f t="shared" si="52"/>
        <v>55343.450354164233</v>
      </c>
      <c r="AE155">
        <f t="shared" si="53"/>
        <v>0</v>
      </c>
      <c r="AF155">
        <f t="shared" si="54"/>
        <v>4599893.9036796484</v>
      </c>
      <c r="AG155">
        <v>154</v>
      </c>
      <c r="AH155">
        <f t="shared" si="62"/>
        <v>3898292.4343809076</v>
      </c>
      <c r="AI155">
        <f>IF(AG155&gt;='Loan Prepayment'!$E$11,'Loan Prepayment'!$E$12,'Loan Prepayment'!$B$6)</f>
        <v>6.5</v>
      </c>
      <c r="AJ155">
        <f>IF(AH155&lt;=0,0,MIN(IF(AG155='Loan Prepayment'!$E$11,IF('Loan Prepayment'!$E$13="Keep tenure, recalculate EMI",-PMT(AI155/1200,MAX(1,'Loan Prepayment'!$B$7*12-AG155+1),AH155),IF(AND('Loan Prepayment'!$E$15="Reduce EMI",AM154&gt;0),-PMT(AI154/1200,MAX(1,'Loan Prepayment'!$B$7*12-AG155+1),AH155),AJ154)),IF(AND('Loan Prepayment'!$E$15="Reduce EMI",AM154&gt;0),-PMT(AI155/1200,MAX(1,'Loan Prepayment'!$B$7*12-AG155+1),AH155),AJ154)),AH155+AK155))</f>
        <v>67460.316473241648</v>
      </c>
      <c r="AK155">
        <f t="shared" si="55"/>
        <v>21115.750686229916</v>
      </c>
      <c r="AL155">
        <f t="shared" si="56"/>
        <v>46344.565787011728</v>
      </c>
      <c r="AM155">
        <f>IF(AH155&lt;=0,0,MIN(MAX(0,AH155-AL155),SUMIFS('Loan Prepayment'!$B$12:$B$31,'Loan Prepayment'!$A$12:$A$31,AG155)+IF(AND(AG155&gt;='Loan Prepayment'!$B$9,AG155&lt;='Loan Prepayment'!$E$16),'Loan Prepayment'!$B$8,0)))</f>
        <v>0</v>
      </c>
      <c r="AN155">
        <f t="shared" si="57"/>
        <v>3851947.8685938958</v>
      </c>
    </row>
    <row r="156" spans="1:40" x14ac:dyDescent="0.35">
      <c r="A156">
        <v>155</v>
      </c>
      <c r="B156">
        <f t="shared" si="58"/>
        <v>5346754.5218316773</v>
      </c>
      <c r="C156" s="64">
        <f>'Loan Prepayment'!$B$6</f>
        <v>7.5</v>
      </c>
      <c r="D156">
        <f>IF(B156&lt;=0,0,MIN(-PMT('Loan Prepayment'!$B$6/1200,'Loan Prepayment'!$B$7*12,'Loan Prepayment'!$B$5),B156+E156))</f>
        <v>80559.31935518072</v>
      </c>
      <c r="E156">
        <f t="shared" si="42"/>
        <v>33417.21576144798</v>
      </c>
      <c r="F156">
        <f t="shared" si="43"/>
        <v>47142.10359373274</v>
      </c>
      <c r="G156">
        <v>0</v>
      </c>
      <c r="H156">
        <f t="shared" si="44"/>
        <v>5299612.4182379441</v>
      </c>
      <c r="I156">
        <v>155</v>
      </c>
      <c r="J156">
        <f t="shared" si="59"/>
        <v>4477368.4166474268</v>
      </c>
      <c r="K156" s="64">
        <f>'Loan Prepayment'!$B$6</f>
        <v>7.5</v>
      </c>
      <c r="L156">
        <f>IF(J156&lt;=0,0,MIN(IF(AND('Loan Prepayment'!$E$15="Reduce EMI",O155&gt;0),-PMT(K156/1200,MAX(1,'Loan Prepayment'!$B$7*12-I156+1),J156),L155),J156+M156))</f>
        <v>67460.316473241648</v>
      </c>
      <c r="M156">
        <f t="shared" si="45"/>
        <v>27983.552604046414</v>
      </c>
      <c r="N156">
        <f t="shared" si="46"/>
        <v>39476.763869195231</v>
      </c>
      <c r="O156">
        <f>IF(J156&lt;=0,0,MIN(MAX(0,J156-N156),SUMIFS('Loan Prepayment'!$B$12:$B$31,'Loan Prepayment'!$A$12:$A$31,I156)+0))</f>
        <v>0</v>
      </c>
      <c r="P156">
        <f t="shared" si="47"/>
        <v>4437891.6527782315</v>
      </c>
      <c r="Q156">
        <v>155</v>
      </c>
      <c r="R156">
        <f t="shared" si="60"/>
        <v>5346754.5218316773</v>
      </c>
      <c r="S156" s="64">
        <f>'Loan Prepayment'!$B$6</f>
        <v>7.5</v>
      </c>
      <c r="T156">
        <f>IF(R156&lt;=0,0,MIN(IF(AND('Loan Prepayment'!$E$15="Reduce EMI",W155&gt;0),-PMT(S156/1200,MAX(1,'Loan Prepayment'!$B$7*12-Q156+1),R156),T155),R156+U156))</f>
        <v>80559.31935518072</v>
      </c>
      <c r="U156">
        <f t="shared" si="48"/>
        <v>33417.21576144798</v>
      </c>
      <c r="V156">
        <f t="shared" si="49"/>
        <v>47142.10359373274</v>
      </c>
      <c r="W156">
        <f>IF(R156&lt;=0,0,MIN(MAX(0,R156-V156),0+IF(AND(Q156&gt;='Loan Prepayment'!$B$9,Q156&lt;='Loan Prepayment'!$E$16),'Loan Prepayment'!$B$8,0)))</f>
        <v>0</v>
      </c>
      <c r="X156">
        <f t="shared" si="50"/>
        <v>5299612.4182379441</v>
      </c>
      <c r="Y156">
        <v>155</v>
      </c>
      <c r="Z156">
        <f t="shared" si="61"/>
        <v>4599893.9036796484</v>
      </c>
      <c r="AA156">
        <f>IF(Y156&gt;='Loan Prepayment'!$E$11,'Loan Prepayment'!$E$12,'Loan Prepayment'!$B$6)</f>
        <v>6.5</v>
      </c>
      <c r="AB156">
        <f>IF(Z156&lt;=0,0,MIN(IF(Y156='Loan Prepayment'!$E$11,IF('Loan Prepayment'!$E$13="Keep tenure, recalculate EMI",-PMT(AA156/1200,MAX(1,'Loan Prepayment'!$B$7*12-Y156+1),Z156),AB155),AB155),Z156+AC156))</f>
        <v>80559.31935518072</v>
      </c>
      <c r="AC156">
        <f t="shared" si="51"/>
        <v>24916.091978264762</v>
      </c>
      <c r="AD156">
        <f t="shared" si="52"/>
        <v>55643.227376915958</v>
      </c>
      <c r="AE156">
        <f t="shared" si="53"/>
        <v>0</v>
      </c>
      <c r="AF156">
        <f t="shared" si="54"/>
        <v>4544250.6763027329</v>
      </c>
      <c r="AG156">
        <v>155</v>
      </c>
      <c r="AH156">
        <f t="shared" si="62"/>
        <v>3851947.8685938958</v>
      </c>
      <c r="AI156">
        <f>IF(AG156&gt;='Loan Prepayment'!$E$11,'Loan Prepayment'!$E$12,'Loan Prepayment'!$B$6)</f>
        <v>6.5</v>
      </c>
      <c r="AJ156">
        <f>IF(AH156&lt;=0,0,MIN(IF(AG156='Loan Prepayment'!$E$11,IF('Loan Prepayment'!$E$13="Keep tenure, recalculate EMI",-PMT(AI156/1200,MAX(1,'Loan Prepayment'!$B$7*12-AG156+1),AH156),IF(AND('Loan Prepayment'!$E$15="Reduce EMI",AM155&gt;0),-PMT(AI155/1200,MAX(1,'Loan Prepayment'!$B$7*12-AG156+1),AH156),AJ155)),IF(AND('Loan Prepayment'!$E$15="Reduce EMI",AM155&gt;0),-PMT(AI156/1200,MAX(1,'Loan Prepayment'!$B$7*12-AG156+1),AH156),AJ155)),AH156+AK156))</f>
        <v>67460.316473241648</v>
      </c>
      <c r="AK156">
        <f t="shared" si="55"/>
        <v>20864.71762155027</v>
      </c>
      <c r="AL156">
        <f t="shared" si="56"/>
        <v>46595.598851691379</v>
      </c>
      <c r="AM156">
        <f>IF(AH156&lt;=0,0,MIN(MAX(0,AH156-AL156),SUMIFS('Loan Prepayment'!$B$12:$B$31,'Loan Prepayment'!$A$12:$A$31,AG156)+IF(AND(AG156&gt;='Loan Prepayment'!$B$9,AG156&lt;='Loan Prepayment'!$E$16),'Loan Prepayment'!$B$8,0)))</f>
        <v>0</v>
      </c>
      <c r="AN156">
        <f t="shared" si="57"/>
        <v>3805352.2697422043</v>
      </c>
    </row>
    <row r="157" spans="1:40" x14ac:dyDescent="0.35">
      <c r="A157">
        <v>156</v>
      </c>
      <c r="B157">
        <f t="shared" si="58"/>
        <v>5299612.4182379441</v>
      </c>
      <c r="C157" s="64">
        <f>'Loan Prepayment'!$B$6</f>
        <v>7.5</v>
      </c>
      <c r="D157">
        <f>IF(B157&lt;=0,0,MIN(-PMT('Loan Prepayment'!$B$6/1200,'Loan Prepayment'!$B$7*12,'Loan Prepayment'!$B$5),B157+E157))</f>
        <v>80559.31935518072</v>
      </c>
      <c r="E157">
        <f t="shared" si="42"/>
        <v>33122.577613987152</v>
      </c>
      <c r="F157">
        <f t="shared" si="43"/>
        <v>47436.741741193568</v>
      </c>
      <c r="G157">
        <v>0</v>
      </c>
      <c r="H157">
        <f t="shared" si="44"/>
        <v>5252175.6764967507</v>
      </c>
      <c r="I157">
        <v>156</v>
      </c>
      <c r="J157">
        <f t="shared" si="59"/>
        <v>4437891.6527782315</v>
      </c>
      <c r="K157" s="64">
        <f>'Loan Prepayment'!$B$6</f>
        <v>7.5</v>
      </c>
      <c r="L157">
        <f>IF(J157&lt;=0,0,MIN(IF(AND('Loan Prepayment'!$E$15="Reduce EMI",O156&gt;0),-PMT(K157/1200,MAX(1,'Loan Prepayment'!$B$7*12-I157+1),J157),L156),J157+M157))</f>
        <v>67460.316473241648</v>
      </c>
      <c r="M157">
        <f t="shared" si="45"/>
        <v>27736.822829863948</v>
      </c>
      <c r="N157">
        <f t="shared" si="46"/>
        <v>39723.493643377704</v>
      </c>
      <c r="O157">
        <f>IF(J157&lt;=0,0,MIN(MAX(0,J157-N157),SUMIFS('Loan Prepayment'!$B$12:$B$31,'Loan Prepayment'!$A$12:$A$31,I157)+0))</f>
        <v>0</v>
      </c>
      <c r="P157">
        <f t="shared" si="47"/>
        <v>4398168.1591348536</v>
      </c>
      <c r="Q157">
        <v>156</v>
      </c>
      <c r="R157">
        <f t="shared" si="60"/>
        <v>5299612.4182379441</v>
      </c>
      <c r="S157" s="64">
        <f>'Loan Prepayment'!$B$6</f>
        <v>7.5</v>
      </c>
      <c r="T157">
        <f>IF(R157&lt;=0,0,MIN(IF(AND('Loan Prepayment'!$E$15="Reduce EMI",W156&gt;0),-PMT(S157/1200,MAX(1,'Loan Prepayment'!$B$7*12-Q157+1),R157),T156),R157+U157))</f>
        <v>80559.31935518072</v>
      </c>
      <c r="U157">
        <f t="shared" si="48"/>
        <v>33122.577613987152</v>
      </c>
      <c r="V157">
        <f t="shared" si="49"/>
        <v>47436.741741193568</v>
      </c>
      <c r="W157">
        <f>IF(R157&lt;=0,0,MIN(MAX(0,R157-V157),0+IF(AND(Q157&gt;='Loan Prepayment'!$B$9,Q157&lt;='Loan Prepayment'!$E$16),'Loan Prepayment'!$B$8,0)))</f>
        <v>0</v>
      </c>
      <c r="X157">
        <f t="shared" si="50"/>
        <v>5252175.6764967507</v>
      </c>
      <c r="Y157">
        <v>156</v>
      </c>
      <c r="Z157">
        <f t="shared" si="61"/>
        <v>4544250.6763027329</v>
      </c>
      <c r="AA157">
        <f>IF(Y157&gt;='Loan Prepayment'!$E$11,'Loan Prepayment'!$E$12,'Loan Prepayment'!$B$6)</f>
        <v>6.5</v>
      </c>
      <c r="AB157">
        <f>IF(Z157&lt;=0,0,MIN(IF(Y157='Loan Prepayment'!$E$11,IF('Loan Prepayment'!$E$13="Keep tenure, recalculate EMI",-PMT(AA157/1200,MAX(1,'Loan Prepayment'!$B$7*12-Y157+1),Z157),AB156),AB156),Z157+AC157))</f>
        <v>80559.31935518072</v>
      </c>
      <c r="AC157">
        <f t="shared" si="51"/>
        <v>24614.69116330647</v>
      </c>
      <c r="AD157">
        <f t="shared" si="52"/>
        <v>55944.628191874246</v>
      </c>
      <c r="AE157">
        <f t="shared" si="53"/>
        <v>0</v>
      </c>
      <c r="AF157">
        <f t="shared" si="54"/>
        <v>4488306.0481108585</v>
      </c>
      <c r="AG157">
        <v>156</v>
      </c>
      <c r="AH157">
        <f t="shared" si="62"/>
        <v>3805352.2697422043</v>
      </c>
      <c r="AI157">
        <f>IF(AG157&gt;='Loan Prepayment'!$E$11,'Loan Prepayment'!$E$12,'Loan Prepayment'!$B$6)</f>
        <v>6.5</v>
      </c>
      <c r="AJ157">
        <f>IF(AH157&lt;=0,0,MIN(IF(AG157='Loan Prepayment'!$E$11,IF('Loan Prepayment'!$E$13="Keep tenure, recalculate EMI",-PMT(AI157/1200,MAX(1,'Loan Prepayment'!$B$7*12-AG157+1),AH157),IF(AND('Loan Prepayment'!$E$15="Reduce EMI",AM156&gt;0),-PMT(AI156/1200,MAX(1,'Loan Prepayment'!$B$7*12-AG157+1),AH157),AJ156)),IF(AND('Loan Prepayment'!$E$15="Reduce EMI",AM156&gt;0),-PMT(AI157/1200,MAX(1,'Loan Prepayment'!$B$7*12-AG157+1),AH157),AJ156)),AH157+AK157))</f>
        <v>67460.316473241648</v>
      </c>
      <c r="AK157">
        <f t="shared" si="55"/>
        <v>20612.324794436943</v>
      </c>
      <c r="AL157">
        <f t="shared" si="56"/>
        <v>46847.991678804705</v>
      </c>
      <c r="AM157">
        <f>IF(AH157&lt;=0,0,MIN(MAX(0,AH157-AL157),SUMIFS('Loan Prepayment'!$B$12:$B$31,'Loan Prepayment'!$A$12:$A$31,AG157)+IF(AND(AG157&gt;='Loan Prepayment'!$B$9,AG157&lt;='Loan Prepayment'!$E$16),'Loan Prepayment'!$B$8,0)))</f>
        <v>0</v>
      </c>
      <c r="AN157">
        <f t="shared" si="57"/>
        <v>3758504.2780633997</v>
      </c>
    </row>
    <row r="158" spans="1:40" x14ac:dyDescent="0.35">
      <c r="A158">
        <v>157</v>
      </c>
      <c r="B158">
        <f t="shared" si="58"/>
        <v>5252175.6764967507</v>
      </c>
      <c r="C158" s="64">
        <f>'Loan Prepayment'!$B$6</f>
        <v>7.5</v>
      </c>
      <c r="D158">
        <f>IF(B158&lt;=0,0,MIN(-PMT('Loan Prepayment'!$B$6/1200,'Loan Prepayment'!$B$7*12,'Loan Prepayment'!$B$5),B158+E158))</f>
        <v>80559.31935518072</v>
      </c>
      <c r="E158">
        <f t="shared" si="42"/>
        <v>32826.097978104692</v>
      </c>
      <c r="F158">
        <f t="shared" si="43"/>
        <v>47733.221377076028</v>
      </c>
      <c r="G158">
        <v>0</v>
      </c>
      <c r="H158">
        <f t="shared" si="44"/>
        <v>5204442.455119675</v>
      </c>
      <c r="I158">
        <v>157</v>
      </c>
      <c r="J158">
        <f t="shared" si="59"/>
        <v>4398168.1591348536</v>
      </c>
      <c r="K158" s="64">
        <f>'Loan Prepayment'!$B$6</f>
        <v>7.5</v>
      </c>
      <c r="L158">
        <f>IF(J158&lt;=0,0,MIN(IF(AND('Loan Prepayment'!$E$15="Reduce EMI",O157&gt;0),-PMT(K158/1200,MAX(1,'Loan Prepayment'!$B$7*12-I158+1),J158),L157),J158+M158))</f>
        <v>67460.316473241648</v>
      </c>
      <c r="M158">
        <f t="shared" si="45"/>
        <v>27488.550994592835</v>
      </c>
      <c r="N158">
        <f t="shared" si="46"/>
        <v>39971.765478648813</v>
      </c>
      <c r="O158">
        <f>IF(J158&lt;=0,0,MIN(MAX(0,J158-N158),SUMIFS('Loan Prepayment'!$B$12:$B$31,'Loan Prepayment'!$A$12:$A$31,I158)+0))</f>
        <v>0</v>
      </c>
      <c r="P158">
        <f t="shared" si="47"/>
        <v>4358196.3936562045</v>
      </c>
      <c r="Q158">
        <v>157</v>
      </c>
      <c r="R158">
        <f t="shared" si="60"/>
        <v>5252175.6764967507</v>
      </c>
      <c r="S158" s="64">
        <f>'Loan Prepayment'!$B$6</f>
        <v>7.5</v>
      </c>
      <c r="T158">
        <f>IF(R158&lt;=0,0,MIN(IF(AND('Loan Prepayment'!$E$15="Reduce EMI",W157&gt;0),-PMT(S158/1200,MAX(1,'Loan Prepayment'!$B$7*12-Q158+1),R158),T157),R158+U158))</f>
        <v>80559.31935518072</v>
      </c>
      <c r="U158">
        <f t="shared" si="48"/>
        <v>32826.097978104692</v>
      </c>
      <c r="V158">
        <f t="shared" si="49"/>
        <v>47733.221377076028</v>
      </c>
      <c r="W158">
        <f>IF(R158&lt;=0,0,MIN(MAX(0,R158-V158),0+IF(AND(Q158&gt;='Loan Prepayment'!$B$9,Q158&lt;='Loan Prepayment'!$E$16),'Loan Prepayment'!$B$8,0)))</f>
        <v>0</v>
      </c>
      <c r="X158">
        <f t="shared" si="50"/>
        <v>5204442.455119675</v>
      </c>
      <c r="Y158">
        <v>157</v>
      </c>
      <c r="Z158">
        <f t="shared" si="61"/>
        <v>4488306.0481108585</v>
      </c>
      <c r="AA158">
        <f>IF(Y158&gt;='Loan Prepayment'!$E$11,'Loan Prepayment'!$E$12,'Loan Prepayment'!$B$6)</f>
        <v>6.5</v>
      </c>
      <c r="AB158">
        <f>IF(Z158&lt;=0,0,MIN(IF(Y158='Loan Prepayment'!$E$11,IF('Loan Prepayment'!$E$13="Keep tenure, recalculate EMI",-PMT(AA158/1200,MAX(1,'Loan Prepayment'!$B$7*12-Y158+1),Z158),AB157),AB157),Z158+AC158))</f>
        <v>80559.31935518072</v>
      </c>
      <c r="AC158">
        <f t="shared" si="51"/>
        <v>24311.657760600487</v>
      </c>
      <c r="AD158">
        <f t="shared" si="52"/>
        <v>56247.661594580233</v>
      </c>
      <c r="AE158">
        <f t="shared" si="53"/>
        <v>0</v>
      </c>
      <c r="AF158">
        <f t="shared" si="54"/>
        <v>4432058.3865162786</v>
      </c>
      <c r="AG158">
        <v>157</v>
      </c>
      <c r="AH158">
        <f t="shared" si="62"/>
        <v>3758504.2780633997</v>
      </c>
      <c r="AI158">
        <f>IF(AG158&gt;='Loan Prepayment'!$E$11,'Loan Prepayment'!$E$12,'Loan Prepayment'!$B$6)</f>
        <v>6.5</v>
      </c>
      <c r="AJ158">
        <f>IF(AH158&lt;=0,0,MIN(IF(AG158='Loan Prepayment'!$E$11,IF('Loan Prepayment'!$E$13="Keep tenure, recalculate EMI",-PMT(AI158/1200,MAX(1,'Loan Prepayment'!$B$7*12-AG158+1),AH158),IF(AND('Loan Prepayment'!$E$15="Reduce EMI",AM157&gt;0),-PMT(AI157/1200,MAX(1,'Loan Prepayment'!$B$7*12-AG158+1),AH158),AJ157)),IF(AND('Loan Prepayment'!$E$15="Reduce EMI",AM157&gt;0),-PMT(AI158/1200,MAX(1,'Loan Prepayment'!$B$7*12-AG158+1),AH158),AJ157)),AH158+AK158))</f>
        <v>67460.316473241648</v>
      </c>
      <c r="AK158">
        <f t="shared" si="55"/>
        <v>20358.564839510083</v>
      </c>
      <c r="AL158">
        <f t="shared" si="56"/>
        <v>47101.751633731561</v>
      </c>
      <c r="AM158">
        <f>IF(AH158&lt;=0,0,MIN(MAX(0,AH158-AL158),SUMIFS('Loan Prepayment'!$B$12:$B$31,'Loan Prepayment'!$A$12:$A$31,AG158)+IF(AND(AG158&gt;='Loan Prepayment'!$B$9,AG158&lt;='Loan Prepayment'!$E$16),'Loan Prepayment'!$B$8,0)))</f>
        <v>0</v>
      </c>
      <c r="AN158">
        <f t="shared" si="57"/>
        <v>3711402.5264296681</v>
      </c>
    </row>
    <row r="159" spans="1:40" x14ac:dyDescent="0.35">
      <c r="A159">
        <v>158</v>
      </c>
      <c r="B159">
        <f t="shared" si="58"/>
        <v>5204442.455119675</v>
      </c>
      <c r="C159" s="64">
        <f>'Loan Prepayment'!$B$6</f>
        <v>7.5</v>
      </c>
      <c r="D159">
        <f>IF(B159&lt;=0,0,MIN(-PMT('Loan Prepayment'!$B$6/1200,'Loan Prepayment'!$B$7*12,'Loan Prepayment'!$B$5),B159+E159))</f>
        <v>80559.31935518072</v>
      </c>
      <c r="E159">
        <f t="shared" si="42"/>
        <v>32527.76534449797</v>
      </c>
      <c r="F159">
        <f t="shared" si="43"/>
        <v>48031.554010682754</v>
      </c>
      <c r="G159">
        <v>0</v>
      </c>
      <c r="H159">
        <f t="shared" si="44"/>
        <v>5156410.9011089923</v>
      </c>
      <c r="I159">
        <v>158</v>
      </c>
      <c r="J159">
        <f t="shared" si="59"/>
        <v>4358196.3936562045</v>
      </c>
      <c r="K159" s="64">
        <f>'Loan Prepayment'!$B$6</f>
        <v>7.5</v>
      </c>
      <c r="L159">
        <f>IF(J159&lt;=0,0,MIN(IF(AND('Loan Prepayment'!$E$15="Reduce EMI",O158&gt;0),-PMT(K159/1200,MAX(1,'Loan Prepayment'!$B$7*12-I159+1),J159),L158),J159+M159))</f>
        <v>67460.316473241648</v>
      </c>
      <c r="M159">
        <f t="shared" si="45"/>
        <v>27238.727460351278</v>
      </c>
      <c r="N159">
        <f t="shared" si="46"/>
        <v>40221.58901289037</v>
      </c>
      <c r="O159">
        <f>IF(J159&lt;=0,0,MIN(MAX(0,J159-N159),SUMIFS('Loan Prepayment'!$B$12:$B$31,'Loan Prepayment'!$A$12:$A$31,I159)+0))</f>
        <v>0</v>
      </c>
      <c r="P159">
        <f t="shared" si="47"/>
        <v>4317974.8046433143</v>
      </c>
      <c r="Q159">
        <v>158</v>
      </c>
      <c r="R159">
        <f t="shared" si="60"/>
        <v>5204442.455119675</v>
      </c>
      <c r="S159" s="64">
        <f>'Loan Prepayment'!$B$6</f>
        <v>7.5</v>
      </c>
      <c r="T159">
        <f>IF(R159&lt;=0,0,MIN(IF(AND('Loan Prepayment'!$E$15="Reduce EMI",W158&gt;0),-PMT(S159/1200,MAX(1,'Loan Prepayment'!$B$7*12-Q159+1),R159),T158),R159+U159))</f>
        <v>80559.31935518072</v>
      </c>
      <c r="U159">
        <f t="shared" si="48"/>
        <v>32527.76534449797</v>
      </c>
      <c r="V159">
        <f t="shared" si="49"/>
        <v>48031.554010682754</v>
      </c>
      <c r="W159">
        <f>IF(R159&lt;=0,0,MIN(MAX(0,R159-V159),0+IF(AND(Q159&gt;='Loan Prepayment'!$B$9,Q159&lt;='Loan Prepayment'!$E$16),'Loan Prepayment'!$B$8,0)))</f>
        <v>0</v>
      </c>
      <c r="X159">
        <f t="shared" si="50"/>
        <v>5156410.9011089923</v>
      </c>
      <c r="Y159">
        <v>158</v>
      </c>
      <c r="Z159">
        <f t="shared" si="61"/>
        <v>4432058.3865162786</v>
      </c>
      <c r="AA159">
        <f>IF(Y159&gt;='Loan Prepayment'!$E$11,'Loan Prepayment'!$E$12,'Loan Prepayment'!$B$6)</f>
        <v>6.5</v>
      </c>
      <c r="AB159">
        <f>IF(Z159&lt;=0,0,MIN(IF(Y159='Loan Prepayment'!$E$11,IF('Loan Prepayment'!$E$13="Keep tenure, recalculate EMI",-PMT(AA159/1200,MAX(1,'Loan Prepayment'!$B$7*12-Y159+1),Z159),AB158),AB158),Z159+AC159))</f>
        <v>80559.31935518072</v>
      </c>
      <c r="AC159">
        <f t="shared" si="51"/>
        <v>24006.982926963177</v>
      </c>
      <c r="AD159">
        <f t="shared" si="52"/>
        <v>56552.336428217546</v>
      </c>
      <c r="AE159">
        <f t="shared" si="53"/>
        <v>0</v>
      </c>
      <c r="AF159">
        <f t="shared" si="54"/>
        <v>4375506.050088061</v>
      </c>
      <c r="AG159">
        <v>158</v>
      </c>
      <c r="AH159">
        <f t="shared" si="62"/>
        <v>3711402.5264296681</v>
      </c>
      <c r="AI159">
        <f>IF(AG159&gt;='Loan Prepayment'!$E$11,'Loan Prepayment'!$E$12,'Loan Prepayment'!$B$6)</f>
        <v>6.5</v>
      </c>
      <c r="AJ159">
        <f>IF(AH159&lt;=0,0,MIN(IF(AG159='Loan Prepayment'!$E$11,IF('Loan Prepayment'!$E$13="Keep tenure, recalculate EMI",-PMT(AI159/1200,MAX(1,'Loan Prepayment'!$B$7*12-AG159+1),AH159),IF(AND('Loan Prepayment'!$E$15="Reduce EMI",AM158&gt;0),-PMT(AI158/1200,MAX(1,'Loan Prepayment'!$B$7*12-AG159+1),AH159),AJ158)),IF(AND('Loan Prepayment'!$E$15="Reduce EMI",AM158&gt;0),-PMT(AI159/1200,MAX(1,'Loan Prepayment'!$B$7*12-AG159+1),AH159),AJ158)),AH159+AK159))</f>
        <v>67460.316473241648</v>
      </c>
      <c r="AK159">
        <f t="shared" si="55"/>
        <v>20103.430351494037</v>
      </c>
      <c r="AL159">
        <f t="shared" si="56"/>
        <v>47356.886121747608</v>
      </c>
      <c r="AM159">
        <f>IF(AH159&lt;=0,0,MIN(MAX(0,AH159-AL159),SUMIFS('Loan Prepayment'!$B$12:$B$31,'Loan Prepayment'!$A$12:$A$31,AG159)+IF(AND(AG159&gt;='Loan Prepayment'!$B$9,AG159&lt;='Loan Prepayment'!$E$16),'Loan Prepayment'!$B$8,0)))</f>
        <v>0</v>
      </c>
      <c r="AN159">
        <f t="shared" si="57"/>
        <v>3664045.6403079205</v>
      </c>
    </row>
    <row r="160" spans="1:40" x14ac:dyDescent="0.35">
      <c r="A160">
        <v>159</v>
      </c>
      <c r="B160">
        <f t="shared" si="58"/>
        <v>5156410.9011089923</v>
      </c>
      <c r="C160" s="64">
        <f>'Loan Prepayment'!$B$6</f>
        <v>7.5</v>
      </c>
      <c r="D160">
        <f>IF(B160&lt;=0,0,MIN(-PMT('Loan Prepayment'!$B$6/1200,'Loan Prepayment'!$B$7*12,'Loan Prepayment'!$B$5),B160+E160))</f>
        <v>80559.31935518072</v>
      </c>
      <c r="E160">
        <f t="shared" si="42"/>
        <v>32227.568131931199</v>
      </c>
      <c r="F160">
        <f t="shared" si="43"/>
        <v>48331.751223249521</v>
      </c>
      <c r="G160">
        <v>0</v>
      </c>
      <c r="H160">
        <f t="shared" si="44"/>
        <v>5108079.1498857429</v>
      </c>
      <c r="I160">
        <v>159</v>
      </c>
      <c r="J160">
        <f t="shared" si="59"/>
        <v>4317974.8046433143</v>
      </c>
      <c r="K160" s="64">
        <f>'Loan Prepayment'!$B$6</f>
        <v>7.5</v>
      </c>
      <c r="L160">
        <f>IF(J160&lt;=0,0,MIN(IF(AND('Loan Prepayment'!$E$15="Reduce EMI",O159&gt;0),-PMT(K160/1200,MAX(1,'Loan Prepayment'!$B$7*12-I160+1),J160),L159),J160+M160))</f>
        <v>67460.316473241648</v>
      </c>
      <c r="M160">
        <f t="shared" si="45"/>
        <v>26987.342529020712</v>
      </c>
      <c r="N160">
        <f t="shared" si="46"/>
        <v>40472.973944220939</v>
      </c>
      <c r="O160">
        <f>IF(J160&lt;=0,0,MIN(MAX(0,J160-N160),SUMIFS('Loan Prepayment'!$B$12:$B$31,'Loan Prepayment'!$A$12:$A$31,I160)+0))</f>
        <v>0</v>
      </c>
      <c r="P160">
        <f t="shared" si="47"/>
        <v>4277501.8306990936</v>
      </c>
      <c r="Q160">
        <v>159</v>
      </c>
      <c r="R160">
        <f t="shared" si="60"/>
        <v>5156410.9011089923</v>
      </c>
      <c r="S160" s="64">
        <f>'Loan Prepayment'!$B$6</f>
        <v>7.5</v>
      </c>
      <c r="T160">
        <f>IF(R160&lt;=0,0,MIN(IF(AND('Loan Prepayment'!$E$15="Reduce EMI",W159&gt;0),-PMT(S160/1200,MAX(1,'Loan Prepayment'!$B$7*12-Q160+1),R160),T159),R160+U160))</f>
        <v>80559.31935518072</v>
      </c>
      <c r="U160">
        <f t="shared" si="48"/>
        <v>32227.568131931199</v>
      </c>
      <c r="V160">
        <f t="shared" si="49"/>
        <v>48331.751223249521</v>
      </c>
      <c r="W160">
        <f>IF(R160&lt;=0,0,MIN(MAX(0,R160-V160),0+IF(AND(Q160&gt;='Loan Prepayment'!$B$9,Q160&lt;='Loan Prepayment'!$E$16),'Loan Prepayment'!$B$8,0)))</f>
        <v>0</v>
      </c>
      <c r="X160">
        <f t="shared" si="50"/>
        <v>5108079.1498857429</v>
      </c>
      <c r="Y160">
        <v>159</v>
      </c>
      <c r="Z160">
        <f t="shared" si="61"/>
        <v>4375506.050088061</v>
      </c>
      <c r="AA160">
        <f>IF(Y160&gt;='Loan Prepayment'!$E$11,'Loan Prepayment'!$E$12,'Loan Prepayment'!$B$6)</f>
        <v>6.5</v>
      </c>
      <c r="AB160">
        <f>IF(Z160&lt;=0,0,MIN(IF(Y160='Loan Prepayment'!$E$11,IF('Loan Prepayment'!$E$13="Keep tenure, recalculate EMI",-PMT(AA160/1200,MAX(1,'Loan Prepayment'!$B$7*12-Y160+1),Z160),AB159),AB159),Z160+AC160))</f>
        <v>80559.31935518072</v>
      </c>
      <c r="AC160">
        <f t="shared" si="51"/>
        <v>23700.657771310332</v>
      </c>
      <c r="AD160">
        <f t="shared" si="52"/>
        <v>56858.661583870387</v>
      </c>
      <c r="AE160">
        <f t="shared" si="53"/>
        <v>0</v>
      </c>
      <c r="AF160">
        <f t="shared" si="54"/>
        <v>4318647.3885041904</v>
      </c>
      <c r="AG160">
        <v>159</v>
      </c>
      <c r="AH160">
        <f t="shared" si="62"/>
        <v>3664045.6403079205</v>
      </c>
      <c r="AI160">
        <f>IF(AG160&gt;='Loan Prepayment'!$E$11,'Loan Prepayment'!$E$12,'Loan Prepayment'!$B$6)</f>
        <v>6.5</v>
      </c>
      <c r="AJ160">
        <f>IF(AH160&lt;=0,0,MIN(IF(AG160='Loan Prepayment'!$E$11,IF('Loan Prepayment'!$E$13="Keep tenure, recalculate EMI",-PMT(AI160/1200,MAX(1,'Loan Prepayment'!$B$7*12-AG160+1),AH160),IF(AND('Loan Prepayment'!$E$15="Reduce EMI",AM159&gt;0),-PMT(AI159/1200,MAX(1,'Loan Prepayment'!$B$7*12-AG160+1),AH160),AJ159)),IF(AND('Loan Prepayment'!$E$15="Reduce EMI",AM159&gt;0),-PMT(AI160/1200,MAX(1,'Loan Prepayment'!$B$7*12-AG160+1),AH160),AJ159)),AH160+AK160))</f>
        <v>67460.316473241648</v>
      </c>
      <c r="AK160">
        <f t="shared" si="55"/>
        <v>19846.913885001235</v>
      </c>
      <c r="AL160">
        <f t="shared" si="56"/>
        <v>47613.402588240409</v>
      </c>
      <c r="AM160">
        <f>IF(AH160&lt;=0,0,MIN(MAX(0,AH160-AL160),SUMIFS('Loan Prepayment'!$B$12:$B$31,'Loan Prepayment'!$A$12:$A$31,AG160)+IF(AND(AG160&gt;='Loan Prepayment'!$B$9,AG160&lt;='Loan Prepayment'!$E$16),'Loan Prepayment'!$B$8,0)))</f>
        <v>0</v>
      </c>
      <c r="AN160">
        <f t="shared" si="57"/>
        <v>3616432.2377196802</v>
      </c>
    </row>
    <row r="161" spans="1:40" x14ac:dyDescent="0.35">
      <c r="A161">
        <v>160</v>
      </c>
      <c r="B161">
        <f t="shared" si="58"/>
        <v>5108079.1498857429</v>
      </c>
      <c r="C161" s="64">
        <f>'Loan Prepayment'!$B$6</f>
        <v>7.5</v>
      </c>
      <c r="D161">
        <f>IF(B161&lt;=0,0,MIN(-PMT('Loan Prepayment'!$B$6/1200,'Loan Prepayment'!$B$7*12,'Loan Prepayment'!$B$5),B161+E161))</f>
        <v>80559.31935518072</v>
      </c>
      <c r="E161">
        <f t="shared" si="42"/>
        <v>31925.494686785893</v>
      </c>
      <c r="F161">
        <f t="shared" si="43"/>
        <v>48633.824668394824</v>
      </c>
      <c r="G161">
        <v>0</v>
      </c>
      <c r="H161">
        <f t="shared" si="44"/>
        <v>5059445.3252173485</v>
      </c>
      <c r="I161">
        <v>160</v>
      </c>
      <c r="J161">
        <f t="shared" si="59"/>
        <v>4277501.8306990936</v>
      </c>
      <c r="K161" s="64">
        <f>'Loan Prepayment'!$B$6</f>
        <v>7.5</v>
      </c>
      <c r="L161">
        <f>IF(J161&lt;=0,0,MIN(IF(AND('Loan Prepayment'!$E$15="Reduce EMI",O160&gt;0),-PMT(K161/1200,MAX(1,'Loan Prepayment'!$B$7*12-I161+1),J161),L160),J161+M161))</f>
        <v>67460.316473241648</v>
      </c>
      <c r="M161">
        <f t="shared" si="45"/>
        <v>26734.386441869334</v>
      </c>
      <c r="N161">
        <f t="shared" si="46"/>
        <v>40725.930031372314</v>
      </c>
      <c r="O161">
        <f>IF(J161&lt;=0,0,MIN(MAX(0,J161-N161),SUMIFS('Loan Prepayment'!$B$12:$B$31,'Loan Prepayment'!$A$12:$A$31,I161)+0))</f>
        <v>0</v>
      </c>
      <c r="P161">
        <f t="shared" si="47"/>
        <v>4236775.9006677214</v>
      </c>
      <c r="Q161">
        <v>160</v>
      </c>
      <c r="R161">
        <f t="shared" si="60"/>
        <v>5108079.1498857429</v>
      </c>
      <c r="S161" s="64">
        <f>'Loan Prepayment'!$B$6</f>
        <v>7.5</v>
      </c>
      <c r="T161">
        <f>IF(R161&lt;=0,0,MIN(IF(AND('Loan Prepayment'!$E$15="Reduce EMI",W160&gt;0),-PMT(S161/1200,MAX(1,'Loan Prepayment'!$B$7*12-Q161+1),R161),T160),R161+U161))</f>
        <v>80559.31935518072</v>
      </c>
      <c r="U161">
        <f t="shared" si="48"/>
        <v>31925.494686785893</v>
      </c>
      <c r="V161">
        <f t="shared" si="49"/>
        <v>48633.824668394824</v>
      </c>
      <c r="W161">
        <f>IF(R161&lt;=0,0,MIN(MAX(0,R161-V161),0+IF(AND(Q161&gt;='Loan Prepayment'!$B$9,Q161&lt;='Loan Prepayment'!$E$16),'Loan Prepayment'!$B$8,0)))</f>
        <v>0</v>
      </c>
      <c r="X161">
        <f t="shared" si="50"/>
        <v>5059445.3252173485</v>
      </c>
      <c r="Y161">
        <v>160</v>
      </c>
      <c r="Z161">
        <f t="shared" si="61"/>
        <v>4318647.3885041904</v>
      </c>
      <c r="AA161">
        <f>IF(Y161&gt;='Loan Prepayment'!$E$11,'Loan Prepayment'!$E$12,'Loan Prepayment'!$B$6)</f>
        <v>6.5</v>
      </c>
      <c r="AB161">
        <f>IF(Z161&lt;=0,0,MIN(IF(Y161='Loan Prepayment'!$E$11,IF('Loan Prepayment'!$E$13="Keep tenure, recalculate EMI",-PMT(AA161/1200,MAX(1,'Loan Prepayment'!$B$7*12-Y161+1),Z161),AB160),AB160),Z161+AC161))</f>
        <v>80559.31935518072</v>
      </c>
      <c r="AC161">
        <f t="shared" si="51"/>
        <v>23392.673354397699</v>
      </c>
      <c r="AD161">
        <f t="shared" si="52"/>
        <v>57166.646000783017</v>
      </c>
      <c r="AE161">
        <f t="shared" si="53"/>
        <v>0</v>
      </c>
      <c r="AF161">
        <f t="shared" si="54"/>
        <v>4261480.7425034074</v>
      </c>
      <c r="AG161">
        <v>160</v>
      </c>
      <c r="AH161">
        <f t="shared" si="62"/>
        <v>3616432.2377196802</v>
      </c>
      <c r="AI161">
        <f>IF(AG161&gt;='Loan Prepayment'!$E$11,'Loan Prepayment'!$E$12,'Loan Prepayment'!$B$6)</f>
        <v>6.5</v>
      </c>
      <c r="AJ161">
        <f>IF(AH161&lt;=0,0,MIN(IF(AG161='Loan Prepayment'!$E$11,IF('Loan Prepayment'!$E$13="Keep tenure, recalculate EMI",-PMT(AI161/1200,MAX(1,'Loan Prepayment'!$B$7*12-AG161+1),AH161),IF(AND('Loan Prepayment'!$E$15="Reduce EMI",AM160&gt;0),-PMT(AI160/1200,MAX(1,'Loan Prepayment'!$B$7*12-AG161+1),AH161),AJ160)),IF(AND('Loan Prepayment'!$E$15="Reduce EMI",AM160&gt;0),-PMT(AI161/1200,MAX(1,'Loan Prepayment'!$B$7*12-AG161+1),AH161),AJ160)),AH161+AK161))</f>
        <v>67460.316473241648</v>
      </c>
      <c r="AK161">
        <f t="shared" si="55"/>
        <v>19589.007954314933</v>
      </c>
      <c r="AL161">
        <f t="shared" si="56"/>
        <v>47871.308518926715</v>
      </c>
      <c r="AM161">
        <f>IF(AH161&lt;=0,0,MIN(MAX(0,AH161-AL161),SUMIFS('Loan Prepayment'!$B$12:$B$31,'Loan Prepayment'!$A$12:$A$31,AG161)+IF(AND(AG161&gt;='Loan Prepayment'!$B$9,AG161&lt;='Loan Prepayment'!$E$16),'Loan Prepayment'!$B$8,0)))</f>
        <v>0</v>
      </c>
      <c r="AN161">
        <f t="shared" si="57"/>
        <v>3568560.9292007536</v>
      </c>
    </row>
    <row r="162" spans="1:40" x14ac:dyDescent="0.35">
      <c r="A162">
        <v>161</v>
      </c>
      <c r="B162">
        <f t="shared" si="58"/>
        <v>5059445.3252173485</v>
      </c>
      <c r="C162" s="64">
        <f>'Loan Prepayment'!$B$6</f>
        <v>7.5</v>
      </c>
      <c r="D162">
        <f>IF(B162&lt;=0,0,MIN(-PMT('Loan Prepayment'!$B$6/1200,'Loan Prepayment'!$B$7*12,'Loan Prepayment'!$B$5),B162+E162))</f>
        <v>80559.31935518072</v>
      </c>
      <c r="E162">
        <f t="shared" si="42"/>
        <v>31621.533282608427</v>
      </c>
      <c r="F162">
        <f t="shared" si="43"/>
        <v>48937.786072572293</v>
      </c>
      <c r="G162">
        <v>0</v>
      </c>
      <c r="H162">
        <f t="shared" si="44"/>
        <v>5010507.5391447758</v>
      </c>
      <c r="I162">
        <v>161</v>
      </c>
      <c r="J162">
        <f t="shared" si="59"/>
        <v>4236775.9006677214</v>
      </c>
      <c r="K162" s="64">
        <f>'Loan Prepayment'!$B$6</f>
        <v>7.5</v>
      </c>
      <c r="L162">
        <f>IF(J162&lt;=0,0,MIN(IF(AND('Loan Prepayment'!$E$15="Reduce EMI",O161&gt;0),-PMT(K162/1200,MAX(1,'Loan Prepayment'!$B$7*12-I162+1),J162),L161),J162+M162))</f>
        <v>67460.316473241648</v>
      </c>
      <c r="M162">
        <f t="shared" si="45"/>
        <v>26479.849379173258</v>
      </c>
      <c r="N162">
        <f t="shared" si="46"/>
        <v>40980.467094068386</v>
      </c>
      <c r="O162">
        <f>IF(J162&lt;=0,0,MIN(MAX(0,J162-N162),SUMIFS('Loan Prepayment'!$B$12:$B$31,'Loan Prepayment'!$A$12:$A$31,I162)+0))</f>
        <v>0</v>
      </c>
      <c r="P162">
        <f t="shared" si="47"/>
        <v>4195795.433573653</v>
      </c>
      <c r="Q162">
        <v>161</v>
      </c>
      <c r="R162">
        <f t="shared" si="60"/>
        <v>5059445.3252173485</v>
      </c>
      <c r="S162" s="64">
        <f>'Loan Prepayment'!$B$6</f>
        <v>7.5</v>
      </c>
      <c r="T162">
        <f>IF(R162&lt;=0,0,MIN(IF(AND('Loan Prepayment'!$E$15="Reduce EMI",W161&gt;0),-PMT(S162/1200,MAX(1,'Loan Prepayment'!$B$7*12-Q162+1),R162),T161),R162+U162))</f>
        <v>80559.31935518072</v>
      </c>
      <c r="U162">
        <f t="shared" si="48"/>
        <v>31621.533282608427</v>
      </c>
      <c r="V162">
        <f t="shared" si="49"/>
        <v>48937.786072572293</v>
      </c>
      <c r="W162">
        <f>IF(R162&lt;=0,0,MIN(MAX(0,R162-V162),0+IF(AND(Q162&gt;='Loan Prepayment'!$B$9,Q162&lt;='Loan Prepayment'!$E$16),'Loan Prepayment'!$B$8,0)))</f>
        <v>0</v>
      </c>
      <c r="X162">
        <f t="shared" si="50"/>
        <v>5010507.5391447758</v>
      </c>
      <c r="Y162">
        <v>161</v>
      </c>
      <c r="Z162">
        <f t="shared" si="61"/>
        <v>4261480.7425034074</v>
      </c>
      <c r="AA162">
        <f>IF(Y162&gt;='Loan Prepayment'!$E$11,'Loan Prepayment'!$E$12,'Loan Prepayment'!$B$6)</f>
        <v>6.5</v>
      </c>
      <c r="AB162">
        <f>IF(Z162&lt;=0,0,MIN(IF(Y162='Loan Prepayment'!$E$11,IF('Loan Prepayment'!$E$13="Keep tenure, recalculate EMI",-PMT(AA162/1200,MAX(1,'Loan Prepayment'!$B$7*12-Y162+1),Z162),AB161),AB161),Z162+AC162))</f>
        <v>80559.31935518072</v>
      </c>
      <c r="AC162">
        <f t="shared" si="51"/>
        <v>23083.020688560126</v>
      </c>
      <c r="AD162">
        <f t="shared" si="52"/>
        <v>57476.298666620598</v>
      </c>
      <c r="AE162">
        <f t="shared" si="53"/>
        <v>0</v>
      </c>
      <c r="AF162">
        <f t="shared" si="54"/>
        <v>4204004.4438367868</v>
      </c>
      <c r="AG162">
        <v>161</v>
      </c>
      <c r="AH162">
        <f t="shared" si="62"/>
        <v>3568560.9292007536</v>
      </c>
      <c r="AI162">
        <f>IF(AG162&gt;='Loan Prepayment'!$E$11,'Loan Prepayment'!$E$12,'Loan Prepayment'!$B$6)</f>
        <v>6.5</v>
      </c>
      <c r="AJ162">
        <f>IF(AH162&lt;=0,0,MIN(IF(AG162='Loan Prepayment'!$E$11,IF('Loan Prepayment'!$E$13="Keep tenure, recalculate EMI",-PMT(AI162/1200,MAX(1,'Loan Prepayment'!$B$7*12-AG162+1),AH162),IF(AND('Loan Prepayment'!$E$15="Reduce EMI",AM161&gt;0),-PMT(AI161/1200,MAX(1,'Loan Prepayment'!$B$7*12-AG162+1),AH162),AJ161)),IF(AND('Loan Prepayment'!$E$15="Reduce EMI",AM161&gt;0),-PMT(AI162/1200,MAX(1,'Loan Prepayment'!$B$7*12-AG162+1),AH162),AJ161)),AH162+AK162))</f>
        <v>67460.316473241648</v>
      </c>
      <c r="AK162">
        <f t="shared" si="55"/>
        <v>19329.705033170747</v>
      </c>
      <c r="AL162">
        <f t="shared" si="56"/>
        <v>48130.611440070905</v>
      </c>
      <c r="AM162">
        <f>IF(AH162&lt;=0,0,MIN(MAX(0,AH162-AL162),SUMIFS('Loan Prepayment'!$B$12:$B$31,'Loan Prepayment'!$A$12:$A$31,AG162)+IF(AND(AG162&gt;='Loan Prepayment'!$B$9,AG162&lt;='Loan Prepayment'!$E$16),'Loan Prepayment'!$B$8,0)))</f>
        <v>0</v>
      </c>
      <c r="AN162">
        <f t="shared" si="57"/>
        <v>3520430.3177606827</v>
      </c>
    </row>
    <row r="163" spans="1:40" x14ac:dyDescent="0.35">
      <c r="A163">
        <v>162</v>
      </c>
      <c r="B163">
        <f t="shared" si="58"/>
        <v>5010507.5391447758</v>
      </c>
      <c r="C163" s="64">
        <f>'Loan Prepayment'!$B$6</f>
        <v>7.5</v>
      </c>
      <c r="D163">
        <f>IF(B163&lt;=0,0,MIN(-PMT('Loan Prepayment'!$B$6/1200,'Loan Prepayment'!$B$7*12,'Loan Prepayment'!$B$5),B163+E163))</f>
        <v>80559.31935518072</v>
      </c>
      <c r="E163">
        <f t="shared" si="42"/>
        <v>31315.672119654853</v>
      </c>
      <c r="F163">
        <f t="shared" si="43"/>
        <v>49243.647235525867</v>
      </c>
      <c r="G163">
        <v>0</v>
      </c>
      <c r="H163">
        <f t="shared" si="44"/>
        <v>4961263.8919092501</v>
      </c>
      <c r="I163">
        <v>162</v>
      </c>
      <c r="J163">
        <f t="shared" si="59"/>
        <v>4195795.433573653</v>
      </c>
      <c r="K163" s="64">
        <f>'Loan Prepayment'!$B$6</f>
        <v>7.5</v>
      </c>
      <c r="L163">
        <f>IF(J163&lt;=0,0,MIN(IF(AND('Loan Prepayment'!$E$15="Reduce EMI",O162&gt;0),-PMT(K163/1200,MAX(1,'Loan Prepayment'!$B$7*12-I163+1),J163),L162),J163+M163))</f>
        <v>67460.316473241648</v>
      </c>
      <c r="M163">
        <f t="shared" si="45"/>
        <v>26223.721459835331</v>
      </c>
      <c r="N163">
        <f t="shared" si="46"/>
        <v>41236.595013406317</v>
      </c>
      <c r="O163">
        <f>IF(J163&lt;=0,0,MIN(MAX(0,J163-N163),SUMIFS('Loan Prepayment'!$B$12:$B$31,'Loan Prepayment'!$A$12:$A$31,I163)+0))</f>
        <v>0</v>
      </c>
      <c r="P163">
        <f t="shared" si="47"/>
        <v>4154558.8385602469</v>
      </c>
      <c r="Q163">
        <v>162</v>
      </c>
      <c r="R163">
        <f t="shared" si="60"/>
        <v>5010507.5391447758</v>
      </c>
      <c r="S163" s="64">
        <f>'Loan Prepayment'!$B$6</f>
        <v>7.5</v>
      </c>
      <c r="T163">
        <f>IF(R163&lt;=0,0,MIN(IF(AND('Loan Prepayment'!$E$15="Reduce EMI",W162&gt;0),-PMT(S163/1200,MAX(1,'Loan Prepayment'!$B$7*12-Q163+1),R163),T162),R163+U163))</f>
        <v>80559.31935518072</v>
      </c>
      <c r="U163">
        <f t="shared" si="48"/>
        <v>31315.672119654853</v>
      </c>
      <c r="V163">
        <f t="shared" si="49"/>
        <v>49243.647235525867</v>
      </c>
      <c r="W163">
        <f>IF(R163&lt;=0,0,MIN(MAX(0,R163-V163),0+IF(AND(Q163&gt;='Loan Prepayment'!$B$9,Q163&lt;='Loan Prepayment'!$E$16),'Loan Prepayment'!$B$8,0)))</f>
        <v>0</v>
      </c>
      <c r="X163">
        <f t="shared" si="50"/>
        <v>4961263.8919092501</v>
      </c>
      <c r="Y163">
        <v>162</v>
      </c>
      <c r="Z163">
        <f t="shared" si="61"/>
        <v>4204004.4438367868</v>
      </c>
      <c r="AA163">
        <f>IF(Y163&gt;='Loan Prepayment'!$E$11,'Loan Prepayment'!$E$12,'Loan Prepayment'!$B$6)</f>
        <v>6.5</v>
      </c>
      <c r="AB163">
        <f>IF(Z163&lt;=0,0,MIN(IF(Y163='Loan Prepayment'!$E$11,IF('Loan Prepayment'!$E$13="Keep tenure, recalculate EMI",-PMT(AA163/1200,MAX(1,'Loan Prepayment'!$B$7*12-Y163+1),Z163),AB162),AB162),Z163+AC163))</f>
        <v>80559.31935518072</v>
      </c>
      <c r="AC163">
        <f t="shared" si="51"/>
        <v>22771.690737449262</v>
      </c>
      <c r="AD163">
        <f t="shared" si="52"/>
        <v>57787.628617731461</v>
      </c>
      <c r="AE163">
        <f t="shared" si="53"/>
        <v>0</v>
      </c>
      <c r="AF163">
        <f t="shared" si="54"/>
        <v>4146216.8152190554</v>
      </c>
      <c r="AG163">
        <v>162</v>
      </c>
      <c r="AH163">
        <f t="shared" si="62"/>
        <v>3520430.3177606827</v>
      </c>
      <c r="AI163">
        <f>IF(AG163&gt;='Loan Prepayment'!$E$11,'Loan Prepayment'!$E$12,'Loan Prepayment'!$B$6)</f>
        <v>6.5</v>
      </c>
      <c r="AJ163">
        <f>IF(AH163&lt;=0,0,MIN(IF(AG163='Loan Prepayment'!$E$11,IF('Loan Prepayment'!$E$13="Keep tenure, recalculate EMI",-PMT(AI163/1200,MAX(1,'Loan Prepayment'!$B$7*12-AG163+1),AH163),IF(AND('Loan Prepayment'!$E$15="Reduce EMI",AM162&gt;0),-PMT(AI162/1200,MAX(1,'Loan Prepayment'!$B$7*12-AG163+1),AH163),AJ162)),IF(AND('Loan Prepayment'!$E$15="Reduce EMI",AM162&gt;0),-PMT(AI163/1200,MAX(1,'Loan Prepayment'!$B$7*12-AG163+1),AH163),AJ162)),AH163+AK163))</f>
        <v>67460.316473241648</v>
      </c>
      <c r="AK163">
        <f t="shared" si="55"/>
        <v>19068.997554537029</v>
      </c>
      <c r="AL163">
        <f t="shared" si="56"/>
        <v>48391.318918704623</v>
      </c>
      <c r="AM163">
        <f>IF(AH163&lt;=0,0,MIN(MAX(0,AH163-AL163),SUMIFS('Loan Prepayment'!$B$12:$B$31,'Loan Prepayment'!$A$12:$A$31,AG163)+IF(AND(AG163&gt;='Loan Prepayment'!$B$9,AG163&lt;='Loan Prepayment'!$E$16),'Loan Prepayment'!$B$8,0)))</f>
        <v>0</v>
      </c>
      <c r="AN163">
        <f t="shared" si="57"/>
        <v>3472038.9988419781</v>
      </c>
    </row>
    <row r="164" spans="1:40" x14ac:dyDescent="0.35">
      <c r="A164">
        <v>163</v>
      </c>
      <c r="B164">
        <f t="shared" si="58"/>
        <v>4961263.8919092501</v>
      </c>
      <c r="C164" s="64">
        <f>'Loan Prepayment'!$B$6</f>
        <v>7.5</v>
      </c>
      <c r="D164">
        <f>IF(B164&lt;=0,0,MIN(-PMT('Loan Prepayment'!$B$6/1200,'Loan Prepayment'!$B$7*12,'Loan Prepayment'!$B$5),B164+E164))</f>
        <v>80559.31935518072</v>
      </c>
      <c r="E164">
        <f t="shared" si="42"/>
        <v>31007.899324432808</v>
      </c>
      <c r="F164">
        <f t="shared" si="43"/>
        <v>49551.420030747911</v>
      </c>
      <c r="G164">
        <v>0</v>
      </c>
      <c r="H164">
        <f t="shared" si="44"/>
        <v>4911712.4718785025</v>
      </c>
      <c r="I164">
        <v>163</v>
      </c>
      <c r="J164">
        <f t="shared" si="59"/>
        <v>4154558.8385602469</v>
      </c>
      <c r="K164" s="64">
        <f>'Loan Prepayment'!$B$6</f>
        <v>7.5</v>
      </c>
      <c r="L164">
        <f>IF(J164&lt;=0,0,MIN(IF(AND('Loan Prepayment'!$E$15="Reduce EMI",O163&gt;0),-PMT(K164/1200,MAX(1,'Loan Prepayment'!$B$7*12-I164+1),J164),L163),J164+M164))</f>
        <v>67460.316473241648</v>
      </c>
      <c r="M164">
        <f t="shared" si="45"/>
        <v>25965.992741001544</v>
      </c>
      <c r="N164">
        <f t="shared" si="46"/>
        <v>41494.323732240104</v>
      </c>
      <c r="O164">
        <f>IF(J164&lt;=0,0,MIN(MAX(0,J164-N164),SUMIFS('Loan Prepayment'!$B$12:$B$31,'Loan Prepayment'!$A$12:$A$31,I164)+0))</f>
        <v>0</v>
      </c>
      <c r="P164">
        <f t="shared" si="47"/>
        <v>4113064.5148280067</v>
      </c>
      <c r="Q164">
        <v>163</v>
      </c>
      <c r="R164">
        <f t="shared" si="60"/>
        <v>4961263.8919092501</v>
      </c>
      <c r="S164" s="64">
        <f>'Loan Prepayment'!$B$6</f>
        <v>7.5</v>
      </c>
      <c r="T164">
        <f>IF(R164&lt;=0,0,MIN(IF(AND('Loan Prepayment'!$E$15="Reduce EMI",W163&gt;0),-PMT(S164/1200,MAX(1,'Loan Prepayment'!$B$7*12-Q164+1),R164),T163),R164+U164))</f>
        <v>80559.31935518072</v>
      </c>
      <c r="U164">
        <f t="shared" si="48"/>
        <v>31007.899324432808</v>
      </c>
      <c r="V164">
        <f t="shared" si="49"/>
        <v>49551.420030747911</v>
      </c>
      <c r="W164">
        <f>IF(R164&lt;=0,0,MIN(MAX(0,R164-V164),0+IF(AND(Q164&gt;='Loan Prepayment'!$B$9,Q164&lt;='Loan Prepayment'!$E$16),'Loan Prepayment'!$B$8,0)))</f>
        <v>0</v>
      </c>
      <c r="X164">
        <f t="shared" si="50"/>
        <v>4911712.4718785025</v>
      </c>
      <c r="Y164">
        <v>163</v>
      </c>
      <c r="Z164">
        <f t="shared" si="61"/>
        <v>4146216.8152190554</v>
      </c>
      <c r="AA164">
        <f>IF(Y164&gt;='Loan Prepayment'!$E$11,'Loan Prepayment'!$E$12,'Loan Prepayment'!$B$6)</f>
        <v>6.5</v>
      </c>
      <c r="AB164">
        <f>IF(Z164&lt;=0,0,MIN(IF(Y164='Loan Prepayment'!$E$11,IF('Loan Prepayment'!$E$13="Keep tenure, recalculate EMI",-PMT(AA164/1200,MAX(1,'Loan Prepayment'!$B$7*12-Y164+1),Z164),AB163),AB163),Z164+AC164))</f>
        <v>80559.31935518072</v>
      </c>
      <c r="AC164">
        <f t="shared" si="51"/>
        <v>22458.674415769885</v>
      </c>
      <c r="AD164">
        <f t="shared" si="52"/>
        <v>58100.644939410835</v>
      </c>
      <c r="AE164">
        <f t="shared" si="53"/>
        <v>0</v>
      </c>
      <c r="AF164">
        <f t="shared" si="54"/>
        <v>4088116.1702796444</v>
      </c>
      <c r="AG164">
        <v>163</v>
      </c>
      <c r="AH164">
        <f t="shared" si="62"/>
        <v>3472038.9988419781</v>
      </c>
      <c r="AI164">
        <f>IF(AG164&gt;='Loan Prepayment'!$E$11,'Loan Prepayment'!$E$12,'Loan Prepayment'!$B$6)</f>
        <v>6.5</v>
      </c>
      <c r="AJ164">
        <f>IF(AH164&lt;=0,0,MIN(IF(AG164='Loan Prepayment'!$E$11,IF('Loan Prepayment'!$E$13="Keep tenure, recalculate EMI",-PMT(AI164/1200,MAX(1,'Loan Prepayment'!$B$7*12-AG164+1),AH164),IF(AND('Loan Prepayment'!$E$15="Reduce EMI",AM163&gt;0),-PMT(AI163/1200,MAX(1,'Loan Prepayment'!$B$7*12-AG164+1),AH164),AJ163)),IF(AND('Loan Prepayment'!$E$15="Reduce EMI",AM163&gt;0),-PMT(AI164/1200,MAX(1,'Loan Prepayment'!$B$7*12-AG164+1),AH164),AJ163)),AH164+AK164))</f>
        <v>67460.316473241648</v>
      </c>
      <c r="AK164">
        <f t="shared" si="55"/>
        <v>18806.877910394047</v>
      </c>
      <c r="AL164">
        <f t="shared" si="56"/>
        <v>48653.438562847601</v>
      </c>
      <c r="AM164">
        <f>IF(AH164&lt;=0,0,MIN(MAX(0,AH164-AL164),SUMIFS('Loan Prepayment'!$B$12:$B$31,'Loan Prepayment'!$A$12:$A$31,AG164)+IF(AND(AG164&gt;='Loan Prepayment'!$B$9,AG164&lt;='Loan Prepayment'!$E$16),'Loan Prepayment'!$B$8,0)))</f>
        <v>0</v>
      </c>
      <c r="AN164">
        <f t="shared" si="57"/>
        <v>3423385.5602791305</v>
      </c>
    </row>
    <row r="165" spans="1:40" x14ac:dyDescent="0.35">
      <c r="A165">
        <v>164</v>
      </c>
      <c r="B165">
        <f t="shared" si="58"/>
        <v>4911712.4718785025</v>
      </c>
      <c r="C165" s="64">
        <f>'Loan Prepayment'!$B$6</f>
        <v>7.5</v>
      </c>
      <c r="D165">
        <f>IF(B165&lt;=0,0,MIN(-PMT('Loan Prepayment'!$B$6/1200,'Loan Prepayment'!$B$7*12,'Loan Prepayment'!$B$5),B165+E165))</f>
        <v>80559.31935518072</v>
      </c>
      <c r="E165">
        <f t="shared" si="42"/>
        <v>30698.202949240644</v>
      </c>
      <c r="F165">
        <f t="shared" si="43"/>
        <v>49861.116405940076</v>
      </c>
      <c r="G165">
        <v>0</v>
      </c>
      <c r="H165">
        <f t="shared" si="44"/>
        <v>4861851.3554725628</v>
      </c>
      <c r="I165">
        <v>164</v>
      </c>
      <c r="J165">
        <f t="shared" si="59"/>
        <v>4113064.5148280067</v>
      </c>
      <c r="K165" s="64">
        <f>'Loan Prepayment'!$B$6</f>
        <v>7.5</v>
      </c>
      <c r="L165">
        <f>IF(J165&lt;=0,0,MIN(IF(AND('Loan Prepayment'!$E$15="Reduce EMI",O164&gt;0),-PMT(K165/1200,MAX(1,'Loan Prepayment'!$B$7*12-I165+1),J165),L164),J165+M165))</f>
        <v>67460.316473241648</v>
      </c>
      <c r="M165">
        <f t="shared" si="45"/>
        <v>25706.653217675044</v>
      </c>
      <c r="N165">
        <f t="shared" si="46"/>
        <v>41753.6632555666</v>
      </c>
      <c r="O165">
        <f>IF(J165&lt;=0,0,MIN(MAX(0,J165-N165),SUMIFS('Loan Prepayment'!$B$12:$B$31,'Loan Prepayment'!$A$12:$A$31,I165)+0))</f>
        <v>0</v>
      </c>
      <c r="P165">
        <f t="shared" si="47"/>
        <v>4071310.85157244</v>
      </c>
      <c r="Q165">
        <v>164</v>
      </c>
      <c r="R165">
        <f t="shared" si="60"/>
        <v>4911712.4718785025</v>
      </c>
      <c r="S165" s="64">
        <f>'Loan Prepayment'!$B$6</f>
        <v>7.5</v>
      </c>
      <c r="T165">
        <f>IF(R165&lt;=0,0,MIN(IF(AND('Loan Prepayment'!$E$15="Reduce EMI",W164&gt;0),-PMT(S165/1200,MAX(1,'Loan Prepayment'!$B$7*12-Q165+1),R165),T164),R165+U165))</f>
        <v>80559.31935518072</v>
      </c>
      <c r="U165">
        <f t="shared" si="48"/>
        <v>30698.202949240644</v>
      </c>
      <c r="V165">
        <f t="shared" si="49"/>
        <v>49861.116405940076</v>
      </c>
      <c r="W165">
        <f>IF(R165&lt;=0,0,MIN(MAX(0,R165-V165),0+IF(AND(Q165&gt;='Loan Prepayment'!$B$9,Q165&lt;='Loan Prepayment'!$E$16),'Loan Prepayment'!$B$8,0)))</f>
        <v>0</v>
      </c>
      <c r="X165">
        <f t="shared" si="50"/>
        <v>4861851.3554725628</v>
      </c>
      <c r="Y165">
        <v>164</v>
      </c>
      <c r="Z165">
        <f t="shared" si="61"/>
        <v>4088116.1702796444</v>
      </c>
      <c r="AA165">
        <f>IF(Y165&gt;='Loan Prepayment'!$E$11,'Loan Prepayment'!$E$12,'Loan Prepayment'!$B$6)</f>
        <v>6.5</v>
      </c>
      <c r="AB165">
        <f>IF(Z165&lt;=0,0,MIN(IF(Y165='Loan Prepayment'!$E$11,IF('Loan Prepayment'!$E$13="Keep tenure, recalculate EMI",-PMT(AA165/1200,MAX(1,'Loan Prepayment'!$B$7*12-Y165+1),Z165),AB164),AB164),Z165+AC165))</f>
        <v>80559.31935518072</v>
      </c>
      <c r="AC165">
        <f t="shared" si="51"/>
        <v>22143.96258901474</v>
      </c>
      <c r="AD165">
        <f t="shared" si="52"/>
        <v>58415.356766165976</v>
      </c>
      <c r="AE165">
        <f t="shared" si="53"/>
        <v>0</v>
      </c>
      <c r="AF165">
        <f t="shared" si="54"/>
        <v>4029700.8135134783</v>
      </c>
      <c r="AG165">
        <v>164</v>
      </c>
      <c r="AH165">
        <f t="shared" si="62"/>
        <v>3423385.5602791305</v>
      </c>
      <c r="AI165">
        <f>IF(AG165&gt;='Loan Prepayment'!$E$11,'Loan Prepayment'!$E$12,'Loan Prepayment'!$B$6)</f>
        <v>6.5</v>
      </c>
      <c r="AJ165">
        <f>IF(AH165&lt;=0,0,MIN(IF(AG165='Loan Prepayment'!$E$11,IF('Loan Prepayment'!$E$13="Keep tenure, recalculate EMI",-PMT(AI165/1200,MAX(1,'Loan Prepayment'!$B$7*12-AG165+1),AH165),IF(AND('Loan Prepayment'!$E$15="Reduce EMI",AM164&gt;0),-PMT(AI164/1200,MAX(1,'Loan Prepayment'!$B$7*12-AG165+1),AH165),AJ164)),IF(AND('Loan Prepayment'!$E$15="Reduce EMI",AM164&gt;0),-PMT(AI165/1200,MAX(1,'Loan Prepayment'!$B$7*12-AG165+1),AH165),AJ164)),AH165+AK165))</f>
        <v>67460.316473241648</v>
      </c>
      <c r="AK165">
        <f t="shared" si="55"/>
        <v>18543.338451511958</v>
      </c>
      <c r="AL165">
        <f t="shared" si="56"/>
        <v>48916.978021729694</v>
      </c>
      <c r="AM165">
        <f>IF(AH165&lt;=0,0,MIN(MAX(0,AH165-AL165),SUMIFS('Loan Prepayment'!$B$12:$B$31,'Loan Prepayment'!$A$12:$A$31,AG165)+IF(AND(AG165&gt;='Loan Prepayment'!$B$9,AG165&lt;='Loan Prepayment'!$E$16),'Loan Prepayment'!$B$8,0)))</f>
        <v>0</v>
      </c>
      <c r="AN165">
        <f t="shared" si="57"/>
        <v>3374468.5822574007</v>
      </c>
    </row>
    <row r="166" spans="1:40" x14ac:dyDescent="0.35">
      <c r="A166">
        <v>165</v>
      </c>
      <c r="B166">
        <f t="shared" si="58"/>
        <v>4861851.3554725628</v>
      </c>
      <c r="C166" s="64">
        <f>'Loan Prepayment'!$B$6</f>
        <v>7.5</v>
      </c>
      <c r="D166">
        <f>IF(B166&lt;=0,0,MIN(-PMT('Loan Prepayment'!$B$6/1200,'Loan Prepayment'!$B$7*12,'Loan Prepayment'!$B$5),B166+E166))</f>
        <v>80559.31935518072</v>
      </c>
      <c r="E166">
        <f t="shared" si="42"/>
        <v>30386.570971703517</v>
      </c>
      <c r="F166">
        <f t="shared" si="43"/>
        <v>50172.748383477199</v>
      </c>
      <c r="G166">
        <v>0</v>
      </c>
      <c r="H166">
        <f t="shared" si="44"/>
        <v>4811678.6070890855</v>
      </c>
      <c r="I166">
        <v>165</v>
      </c>
      <c r="J166">
        <f t="shared" si="59"/>
        <v>4071310.85157244</v>
      </c>
      <c r="K166" s="64">
        <f>'Loan Prepayment'!$B$6</f>
        <v>7.5</v>
      </c>
      <c r="L166">
        <f>IF(J166&lt;=0,0,MIN(IF(AND('Loan Prepayment'!$E$15="Reduce EMI",O165&gt;0),-PMT(K166/1200,MAX(1,'Loan Prepayment'!$B$7*12-I166+1),J166),L165),J166+M166))</f>
        <v>67460.316473241648</v>
      </c>
      <c r="M166">
        <f t="shared" si="45"/>
        <v>25445.69282232775</v>
      </c>
      <c r="N166">
        <f t="shared" si="46"/>
        <v>42014.623650913898</v>
      </c>
      <c r="O166">
        <f>IF(J166&lt;=0,0,MIN(MAX(0,J166-N166),SUMIFS('Loan Prepayment'!$B$12:$B$31,'Loan Prepayment'!$A$12:$A$31,I166)+0))</f>
        <v>0</v>
      </c>
      <c r="P166">
        <f t="shared" si="47"/>
        <v>4029296.2279215259</v>
      </c>
      <c r="Q166">
        <v>165</v>
      </c>
      <c r="R166">
        <f t="shared" si="60"/>
        <v>4861851.3554725628</v>
      </c>
      <c r="S166" s="64">
        <f>'Loan Prepayment'!$B$6</f>
        <v>7.5</v>
      </c>
      <c r="T166">
        <f>IF(R166&lt;=0,0,MIN(IF(AND('Loan Prepayment'!$E$15="Reduce EMI",W165&gt;0),-PMT(S166/1200,MAX(1,'Loan Prepayment'!$B$7*12-Q166+1),R166),T165),R166+U166))</f>
        <v>80559.31935518072</v>
      </c>
      <c r="U166">
        <f t="shared" si="48"/>
        <v>30386.570971703517</v>
      </c>
      <c r="V166">
        <f t="shared" si="49"/>
        <v>50172.748383477199</v>
      </c>
      <c r="W166">
        <f>IF(R166&lt;=0,0,MIN(MAX(0,R166-V166),0+IF(AND(Q166&gt;='Loan Prepayment'!$B$9,Q166&lt;='Loan Prepayment'!$E$16),'Loan Prepayment'!$B$8,0)))</f>
        <v>0</v>
      </c>
      <c r="X166">
        <f t="shared" si="50"/>
        <v>4811678.6070890855</v>
      </c>
      <c r="Y166">
        <v>165</v>
      </c>
      <c r="Z166">
        <f t="shared" si="61"/>
        <v>4029700.8135134783</v>
      </c>
      <c r="AA166">
        <f>IF(Y166&gt;='Loan Prepayment'!$E$11,'Loan Prepayment'!$E$12,'Loan Prepayment'!$B$6)</f>
        <v>6.5</v>
      </c>
      <c r="AB166">
        <f>IF(Z166&lt;=0,0,MIN(IF(Y166='Loan Prepayment'!$E$11,IF('Loan Prepayment'!$E$13="Keep tenure, recalculate EMI",-PMT(AA166/1200,MAX(1,'Loan Prepayment'!$B$7*12-Y166+1),Z166),AB165),AB165),Z166+AC166))</f>
        <v>80559.31935518072</v>
      </c>
      <c r="AC166">
        <f t="shared" si="51"/>
        <v>21827.546073198009</v>
      </c>
      <c r="AD166">
        <f t="shared" si="52"/>
        <v>58731.773281982707</v>
      </c>
      <c r="AE166">
        <f t="shared" si="53"/>
        <v>0</v>
      </c>
      <c r="AF166">
        <f t="shared" si="54"/>
        <v>3970969.0402314956</v>
      </c>
      <c r="AG166">
        <v>165</v>
      </c>
      <c r="AH166">
        <f t="shared" si="62"/>
        <v>3374468.5822574007</v>
      </c>
      <c r="AI166">
        <f>IF(AG166&gt;='Loan Prepayment'!$E$11,'Loan Prepayment'!$E$12,'Loan Prepayment'!$B$6)</f>
        <v>6.5</v>
      </c>
      <c r="AJ166">
        <f>IF(AH166&lt;=0,0,MIN(IF(AG166='Loan Prepayment'!$E$11,IF('Loan Prepayment'!$E$13="Keep tenure, recalculate EMI",-PMT(AI166/1200,MAX(1,'Loan Prepayment'!$B$7*12-AG166+1),AH166),IF(AND('Loan Prepayment'!$E$15="Reduce EMI",AM165&gt;0),-PMT(AI165/1200,MAX(1,'Loan Prepayment'!$B$7*12-AG166+1),AH166),AJ165)),IF(AND('Loan Prepayment'!$E$15="Reduce EMI",AM165&gt;0),-PMT(AI166/1200,MAX(1,'Loan Prepayment'!$B$7*12-AG166+1),AH166),AJ165)),AH166+AK166))</f>
        <v>67460.316473241648</v>
      </c>
      <c r="AK166">
        <f t="shared" si="55"/>
        <v>18278.371487227589</v>
      </c>
      <c r="AL166">
        <f t="shared" si="56"/>
        <v>49181.944986014059</v>
      </c>
      <c r="AM166">
        <f>IF(AH166&lt;=0,0,MIN(MAX(0,AH166-AL166),SUMIFS('Loan Prepayment'!$B$12:$B$31,'Loan Prepayment'!$A$12:$A$31,AG166)+IF(AND(AG166&gt;='Loan Prepayment'!$B$9,AG166&lt;='Loan Prepayment'!$E$16),'Loan Prepayment'!$B$8,0)))</f>
        <v>0</v>
      </c>
      <c r="AN166">
        <f t="shared" si="57"/>
        <v>3325286.6372713866</v>
      </c>
    </row>
    <row r="167" spans="1:40" x14ac:dyDescent="0.35">
      <c r="A167">
        <v>166</v>
      </c>
      <c r="B167">
        <f t="shared" si="58"/>
        <v>4811678.6070890855</v>
      </c>
      <c r="C167" s="64">
        <f>'Loan Prepayment'!$B$6</f>
        <v>7.5</v>
      </c>
      <c r="D167">
        <f>IF(B167&lt;=0,0,MIN(-PMT('Loan Prepayment'!$B$6/1200,'Loan Prepayment'!$B$7*12,'Loan Prepayment'!$B$5),B167+E167))</f>
        <v>80559.31935518072</v>
      </c>
      <c r="E167">
        <f t="shared" si="42"/>
        <v>30072.991294306783</v>
      </c>
      <c r="F167">
        <f t="shared" si="43"/>
        <v>50486.328060873937</v>
      </c>
      <c r="G167">
        <v>0</v>
      </c>
      <c r="H167">
        <f t="shared" si="44"/>
        <v>4761192.2790282117</v>
      </c>
      <c r="I167">
        <v>166</v>
      </c>
      <c r="J167">
        <f t="shared" si="59"/>
        <v>4029296.2279215259</v>
      </c>
      <c r="K167" s="64">
        <f>'Loan Prepayment'!$B$6</f>
        <v>7.5</v>
      </c>
      <c r="L167">
        <f>IF(J167&lt;=0,0,MIN(IF(AND('Loan Prepayment'!$E$15="Reduce EMI",O166&gt;0),-PMT(K167/1200,MAX(1,'Loan Prepayment'!$B$7*12-I167+1),J167),L166),J167+M167))</f>
        <v>67460.316473241648</v>
      </c>
      <c r="M167">
        <f t="shared" si="45"/>
        <v>25183.101424509539</v>
      </c>
      <c r="N167">
        <f t="shared" si="46"/>
        <v>42277.215048732105</v>
      </c>
      <c r="O167">
        <f>IF(J167&lt;=0,0,MIN(MAX(0,J167-N167),SUMIFS('Loan Prepayment'!$B$12:$B$31,'Loan Prepayment'!$A$12:$A$31,I167)+0))</f>
        <v>0</v>
      </c>
      <c r="P167">
        <f t="shared" si="47"/>
        <v>3987019.0128727937</v>
      </c>
      <c r="Q167">
        <v>166</v>
      </c>
      <c r="R167">
        <f t="shared" si="60"/>
        <v>4811678.6070890855</v>
      </c>
      <c r="S167" s="64">
        <f>'Loan Prepayment'!$B$6</f>
        <v>7.5</v>
      </c>
      <c r="T167">
        <f>IF(R167&lt;=0,0,MIN(IF(AND('Loan Prepayment'!$E$15="Reduce EMI",W166&gt;0),-PMT(S167/1200,MAX(1,'Loan Prepayment'!$B$7*12-Q167+1),R167),T166),R167+U167))</f>
        <v>80559.31935518072</v>
      </c>
      <c r="U167">
        <f t="shared" si="48"/>
        <v>30072.991294306783</v>
      </c>
      <c r="V167">
        <f t="shared" si="49"/>
        <v>50486.328060873937</v>
      </c>
      <c r="W167">
        <f>IF(R167&lt;=0,0,MIN(MAX(0,R167-V167),0+IF(AND(Q167&gt;='Loan Prepayment'!$B$9,Q167&lt;='Loan Prepayment'!$E$16),'Loan Prepayment'!$B$8,0)))</f>
        <v>0</v>
      </c>
      <c r="X167">
        <f t="shared" si="50"/>
        <v>4761192.2790282117</v>
      </c>
      <c r="Y167">
        <v>166</v>
      </c>
      <c r="Z167">
        <f t="shared" si="61"/>
        <v>3970969.0402314956</v>
      </c>
      <c r="AA167">
        <f>IF(Y167&gt;='Loan Prepayment'!$E$11,'Loan Prepayment'!$E$12,'Loan Prepayment'!$B$6)</f>
        <v>6.5</v>
      </c>
      <c r="AB167">
        <f>IF(Z167&lt;=0,0,MIN(IF(Y167='Loan Prepayment'!$E$11,IF('Loan Prepayment'!$E$13="Keep tenure, recalculate EMI",-PMT(AA167/1200,MAX(1,'Loan Prepayment'!$B$7*12-Y167+1),Z167),AB166),AB166),Z167+AC167))</f>
        <v>80559.31935518072</v>
      </c>
      <c r="AC167">
        <f t="shared" si="51"/>
        <v>21509.415634587269</v>
      </c>
      <c r="AD167">
        <f t="shared" si="52"/>
        <v>59049.903720593451</v>
      </c>
      <c r="AE167">
        <f t="shared" si="53"/>
        <v>0</v>
      </c>
      <c r="AF167">
        <f t="shared" si="54"/>
        <v>3911919.1365109021</v>
      </c>
      <c r="AG167">
        <v>166</v>
      </c>
      <c r="AH167">
        <f t="shared" si="62"/>
        <v>3325286.6372713866</v>
      </c>
      <c r="AI167">
        <f>IF(AG167&gt;='Loan Prepayment'!$E$11,'Loan Prepayment'!$E$12,'Loan Prepayment'!$B$6)</f>
        <v>6.5</v>
      </c>
      <c r="AJ167">
        <f>IF(AH167&lt;=0,0,MIN(IF(AG167='Loan Prepayment'!$E$11,IF('Loan Prepayment'!$E$13="Keep tenure, recalculate EMI",-PMT(AI167/1200,MAX(1,'Loan Prepayment'!$B$7*12-AG167+1),AH167),IF(AND('Loan Prepayment'!$E$15="Reduce EMI",AM166&gt;0),-PMT(AI166/1200,MAX(1,'Loan Prepayment'!$B$7*12-AG167+1),AH167),AJ166)),IF(AND('Loan Prepayment'!$E$15="Reduce EMI",AM166&gt;0),-PMT(AI167/1200,MAX(1,'Loan Prepayment'!$B$7*12-AG167+1),AH167),AJ166)),AH167+AK167))</f>
        <v>67460.316473241648</v>
      </c>
      <c r="AK167">
        <f t="shared" si="55"/>
        <v>18011.96928522001</v>
      </c>
      <c r="AL167">
        <f t="shared" si="56"/>
        <v>49448.347188021638</v>
      </c>
      <c r="AM167">
        <f>IF(AH167&lt;=0,0,MIN(MAX(0,AH167-AL167),SUMIFS('Loan Prepayment'!$B$12:$B$31,'Loan Prepayment'!$A$12:$A$31,AG167)+IF(AND(AG167&gt;='Loan Prepayment'!$B$9,AG167&lt;='Loan Prepayment'!$E$16),'Loan Prepayment'!$B$8,0)))</f>
        <v>0</v>
      </c>
      <c r="AN167">
        <f t="shared" si="57"/>
        <v>3275838.290083365</v>
      </c>
    </row>
    <row r="168" spans="1:40" x14ac:dyDescent="0.35">
      <c r="A168">
        <v>167</v>
      </c>
      <c r="B168">
        <f t="shared" si="58"/>
        <v>4761192.2790282117</v>
      </c>
      <c r="C168" s="64">
        <f>'Loan Prepayment'!$B$6</f>
        <v>7.5</v>
      </c>
      <c r="D168">
        <f>IF(B168&lt;=0,0,MIN(-PMT('Loan Prepayment'!$B$6/1200,'Loan Prepayment'!$B$7*12,'Loan Prepayment'!$B$5),B168+E168))</f>
        <v>80559.31935518072</v>
      </c>
      <c r="E168">
        <f t="shared" si="42"/>
        <v>29757.451743926325</v>
      </c>
      <c r="F168">
        <f t="shared" si="43"/>
        <v>50801.867611254391</v>
      </c>
      <c r="G168">
        <v>0</v>
      </c>
      <c r="H168">
        <f t="shared" si="44"/>
        <v>4710390.4114169572</v>
      </c>
      <c r="I168">
        <v>167</v>
      </c>
      <c r="J168">
        <f t="shared" si="59"/>
        <v>3987019.0128727937</v>
      </c>
      <c r="K168" s="64">
        <f>'Loan Prepayment'!$B$6</f>
        <v>7.5</v>
      </c>
      <c r="L168">
        <f>IF(J168&lt;=0,0,MIN(IF(AND('Loan Prepayment'!$E$15="Reduce EMI",O167&gt;0),-PMT(K168/1200,MAX(1,'Loan Prepayment'!$B$7*12-I168+1),J168),L167),J168+M168))</f>
        <v>67460.316473241648</v>
      </c>
      <c r="M168">
        <f t="shared" si="45"/>
        <v>24918.868830454961</v>
      </c>
      <c r="N168">
        <f t="shared" si="46"/>
        <v>42541.44764278669</v>
      </c>
      <c r="O168">
        <f>IF(J168&lt;=0,0,MIN(MAX(0,J168-N168),SUMIFS('Loan Prepayment'!$B$12:$B$31,'Loan Prepayment'!$A$12:$A$31,I168)+0))</f>
        <v>0</v>
      </c>
      <c r="P168">
        <f t="shared" si="47"/>
        <v>3944477.5652300068</v>
      </c>
      <c r="Q168">
        <v>167</v>
      </c>
      <c r="R168">
        <f t="shared" si="60"/>
        <v>4761192.2790282117</v>
      </c>
      <c r="S168" s="64">
        <f>'Loan Prepayment'!$B$6</f>
        <v>7.5</v>
      </c>
      <c r="T168">
        <f>IF(R168&lt;=0,0,MIN(IF(AND('Loan Prepayment'!$E$15="Reduce EMI",W167&gt;0),-PMT(S168/1200,MAX(1,'Loan Prepayment'!$B$7*12-Q168+1),R168),T167),R168+U168))</f>
        <v>80559.31935518072</v>
      </c>
      <c r="U168">
        <f t="shared" si="48"/>
        <v>29757.451743926325</v>
      </c>
      <c r="V168">
        <f t="shared" si="49"/>
        <v>50801.867611254391</v>
      </c>
      <c r="W168">
        <f>IF(R168&lt;=0,0,MIN(MAX(0,R168-V168),0+IF(AND(Q168&gt;='Loan Prepayment'!$B$9,Q168&lt;='Loan Prepayment'!$E$16),'Loan Prepayment'!$B$8,0)))</f>
        <v>0</v>
      </c>
      <c r="X168">
        <f t="shared" si="50"/>
        <v>4710390.4114169572</v>
      </c>
      <c r="Y168">
        <v>167</v>
      </c>
      <c r="Z168">
        <f t="shared" si="61"/>
        <v>3911919.1365109021</v>
      </c>
      <c r="AA168">
        <f>IF(Y168&gt;='Loan Prepayment'!$E$11,'Loan Prepayment'!$E$12,'Loan Prepayment'!$B$6)</f>
        <v>6.5</v>
      </c>
      <c r="AB168">
        <f>IF(Z168&lt;=0,0,MIN(IF(Y168='Loan Prepayment'!$E$11,IF('Loan Prepayment'!$E$13="Keep tenure, recalculate EMI",-PMT(AA168/1200,MAX(1,'Loan Prepayment'!$B$7*12-Y168+1),Z168),AB167),AB167),Z168+AC168))</f>
        <v>80559.31935518072</v>
      </c>
      <c r="AC168">
        <f t="shared" si="51"/>
        <v>21189.561989434053</v>
      </c>
      <c r="AD168">
        <f t="shared" si="52"/>
        <v>59369.757365746671</v>
      </c>
      <c r="AE168">
        <f t="shared" si="53"/>
        <v>0</v>
      </c>
      <c r="AF168">
        <f t="shared" si="54"/>
        <v>3852549.3791451552</v>
      </c>
      <c r="AG168">
        <v>167</v>
      </c>
      <c r="AH168">
        <f t="shared" si="62"/>
        <v>3275838.290083365</v>
      </c>
      <c r="AI168">
        <f>IF(AG168&gt;='Loan Prepayment'!$E$11,'Loan Prepayment'!$E$12,'Loan Prepayment'!$B$6)</f>
        <v>6.5</v>
      </c>
      <c r="AJ168">
        <f>IF(AH168&lt;=0,0,MIN(IF(AG168='Loan Prepayment'!$E$11,IF('Loan Prepayment'!$E$13="Keep tenure, recalculate EMI",-PMT(AI168/1200,MAX(1,'Loan Prepayment'!$B$7*12-AG168+1),AH168),IF(AND('Loan Prepayment'!$E$15="Reduce EMI",AM167&gt;0),-PMT(AI167/1200,MAX(1,'Loan Prepayment'!$B$7*12-AG168+1),AH168),AJ167)),IF(AND('Loan Prepayment'!$E$15="Reduce EMI",AM167&gt;0),-PMT(AI168/1200,MAX(1,'Loan Prepayment'!$B$7*12-AG168+1),AH168),AJ167)),AH168+AK168))</f>
        <v>67460.316473241648</v>
      </c>
      <c r="AK168">
        <f t="shared" si="55"/>
        <v>17744.124071284892</v>
      </c>
      <c r="AL168">
        <f t="shared" si="56"/>
        <v>49716.192401956752</v>
      </c>
      <c r="AM168">
        <f>IF(AH168&lt;=0,0,MIN(MAX(0,AH168-AL168),SUMIFS('Loan Prepayment'!$B$12:$B$31,'Loan Prepayment'!$A$12:$A$31,AG168)+IF(AND(AG168&gt;='Loan Prepayment'!$B$9,AG168&lt;='Loan Prepayment'!$E$16),'Loan Prepayment'!$B$8,0)))</f>
        <v>0</v>
      </c>
      <c r="AN168">
        <f t="shared" si="57"/>
        <v>3226122.0976814083</v>
      </c>
    </row>
    <row r="169" spans="1:40" x14ac:dyDescent="0.35">
      <c r="A169">
        <v>168</v>
      </c>
      <c r="B169">
        <f t="shared" si="58"/>
        <v>4710390.4114169572</v>
      </c>
      <c r="C169" s="64">
        <f>'Loan Prepayment'!$B$6</f>
        <v>7.5</v>
      </c>
      <c r="D169">
        <f>IF(B169&lt;=0,0,MIN(-PMT('Loan Prepayment'!$B$6/1200,'Loan Prepayment'!$B$7*12,'Loan Prepayment'!$B$5),B169+E169))</f>
        <v>80559.31935518072</v>
      </c>
      <c r="E169">
        <f t="shared" si="42"/>
        <v>29439.940071355981</v>
      </c>
      <c r="F169">
        <f t="shared" si="43"/>
        <v>51119.379283824739</v>
      </c>
      <c r="G169">
        <v>0</v>
      </c>
      <c r="H169">
        <f t="shared" si="44"/>
        <v>4659271.0321331322</v>
      </c>
      <c r="I169">
        <v>168</v>
      </c>
      <c r="J169">
        <f t="shared" si="59"/>
        <v>3944477.5652300068</v>
      </c>
      <c r="K169" s="64">
        <f>'Loan Prepayment'!$B$6</f>
        <v>7.5</v>
      </c>
      <c r="L169">
        <f>IF(J169&lt;=0,0,MIN(IF(AND('Loan Prepayment'!$E$15="Reduce EMI",O168&gt;0),-PMT(K169/1200,MAX(1,'Loan Prepayment'!$B$7*12-I169+1),J169),L168),J169+M169))</f>
        <v>67460.316473241648</v>
      </c>
      <c r="M169">
        <f t="shared" si="45"/>
        <v>24652.984782687545</v>
      </c>
      <c r="N169">
        <f t="shared" si="46"/>
        <v>42807.3316905541</v>
      </c>
      <c r="O169">
        <f>IF(J169&lt;=0,0,MIN(MAX(0,J169-N169),SUMIFS('Loan Prepayment'!$B$12:$B$31,'Loan Prepayment'!$A$12:$A$31,I169)+0))</f>
        <v>0</v>
      </c>
      <c r="P169">
        <f t="shared" si="47"/>
        <v>3901670.2335394528</v>
      </c>
      <c r="Q169">
        <v>168</v>
      </c>
      <c r="R169">
        <f t="shared" si="60"/>
        <v>4710390.4114169572</v>
      </c>
      <c r="S169" s="64">
        <f>'Loan Prepayment'!$B$6</f>
        <v>7.5</v>
      </c>
      <c r="T169">
        <f>IF(R169&lt;=0,0,MIN(IF(AND('Loan Prepayment'!$E$15="Reduce EMI",W168&gt;0),-PMT(S169/1200,MAX(1,'Loan Prepayment'!$B$7*12-Q169+1),R169),T168),R169+U169))</f>
        <v>80559.31935518072</v>
      </c>
      <c r="U169">
        <f t="shared" si="48"/>
        <v>29439.940071355981</v>
      </c>
      <c r="V169">
        <f t="shared" si="49"/>
        <v>51119.379283824739</v>
      </c>
      <c r="W169">
        <f>IF(R169&lt;=0,0,MIN(MAX(0,R169-V169),0+IF(AND(Q169&gt;='Loan Prepayment'!$B$9,Q169&lt;='Loan Prepayment'!$E$16),'Loan Prepayment'!$B$8,0)))</f>
        <v>0</v>
      </c>
      <c r="X169">
        <f t="shared" si="50"/>
        <v>4659271.0321331322</v>
      </c>
      <c r="Y169">
        <v>168</v>
      </c>
      <c r="Z169">
        <f t="shared" si="61"/>
        <v>3852549.3791451552</v>
      </c>
      <c r="AA169">
        <f>IF(Y169&gt;='Loan Prepayment'!$E$11,'Loan Prepayment'!$E$12,'Loan Prepayment'!$B$6)</f>
        <v>6.5</v>
      </c>
      <c r="AB169">
        <f>IF(Z169&lt;=0,0,MIN(IF(Y169='Loan Prepayment'!$E$11,IF('Loan Prepayment'!$E$13="Keep tenure, recalculate EMI",-PMT(AA169/1200,MAX(1,'Loan Prepayment'!$B$7*12-Y169+1),Z169),AB168),AB168),Z169+AC169))</f>
        <v>80559.31935518072</v>
      </c>
      <c r="AC169">
        <f t="shared" si="51"/>
        <v>20867.975803702924</v>
      </c>
      <c r="AD169">
        <f t="shared" si="52"/>
        <v>59691.343551477796</v>
      </c>
      <c r="AE169">
        <f t="shared" si="53"/>
        <v>0</v>
      </c>
      <c r="AF169">
        <f t="shared" si="54"/>
        <v>3792858.0355936773</v>
      </c>
      <c r="AG169">
        <v>168</v>
      </c>
      <c r="AH169">
        <f t="shared" si="62"/>
        <v>3226122.0976814083</v>
      </c>
      <c r="AI169">
        <f>IF(AG169&gt;='Loan Prepayment'!$E$11,'Loan Prepayment'!$E$12,'Loan Prepayment'!$B$6)</f>
        <v>6.5</v>
      </c>
      <c r="AJ169">
        <f>IF(AH169&lt;=0,0,MIN(IF(AG169='Loan Prepayment'!$E$11,IF('Loan Prepayment'!$E$13="Keep tenure, recalculate EMI",-PMT(AI169/1200,MAX(1,'Loan Prepayment'!$B$7*12-AG169+1),AH169),IF(AND('Loan Prepayment'!$E$15="Reduce EMI",AM168&gt;0),-PMT(AI168/1200,MAX(1,'Loan Prepayment'!$B$7*12-AG169+1),AH169),AJ168)),IF(AND('Loan Prepayment'!$E$15="Reduce EMI",AM168&gt;0),-PMT(AI169/1200,MAX(1,'Loan Prepayment'!$B$7*12-AG169+1),AH169),AJ168)),AH169+AK169))</f>
        <v>67460.316473241648</v>
      </c>
      <c r="AK169">
        <f t="shared" si="55"/>
        <v>17474.82802910763</v>
      </c>
      <c r="AL169">
        <f t="shared" si="56"/>
        <v>49985.488444134018</v>
      </c>
      <c r="AM169">
        <f>IF(AH169&lt;=0,0,MIN(MAX(0,AH169-AL169),SUMIFS('Loan Prepayment'!$B$12:$B$31,'Loan Prepayment'!$A$12:$A$31,AG169)+IF(AND(AG169&gt;='Loan Prepayment'!$B$9,AG169&lt;='Loan Prepayment'!$E$16),'Loan Prepayment'!$B$8,0)))</f>
        <v>0</v>
      </c>
      <c r="AN169">
        <f t="shared" si="57"/>
        <v>3176136.6092372742</v>
      </c>
    </row>
    <row r="170" spans="1:40" x14ac:dyDescent="0.35">
      <c r="A170">
        <v>169</v>
      </c>
      <c r="B170">
        <f t="shared" si="58"/>
        <v>4659271.0321331322</v>
      </c>
      <c r="C170" s="64">
        <f>'Loan Prepayment'!$B$6</f>
        <v>7.5</v>
      </c>
      <c r="D170">
        <f>IF(B170&lt;=0,0,MIN(-PMT('Loan Prepayment'!$B$6/1200,'Loan Prepayment'!$B$7*12,'Loan Prepayment'!$B$5),B170+E170))</f>
        <v>80559.31935518072</v>
      </c>
      <c r="E170">
        <f t="shared" si="42"/>
        <v>29120.443950832076</v>
      </c>
      <c r="F170">
        <f t="shared" si="43"/>
        <v>51438.875404348641</v>
      </c>
      <c r="G170">
        <v>0</v>
      </c>
      <c r="H170">
        <f t="shared" si="44"/>
        <v>4607832.1567287836</v>
      </c>
      <c r="I170">
        <v>169</v>
      </c>
      <c r="J170">
        <f t="shared" si="59"/>
        <v>3901670.2335394528</v>
      </c>
      <c r="K170" s="64">
        <f>'Loan Prepayment'!$B$6</f>
        <v>7.5</v>
      </c>
      <c r="L170">
        <f>IF(J170&lt;=0,0,MIN(IF(AND('Loan Prepayment'!$E$15="Reduce EMI",O169&gt;0),-PMT(K170/1200,MAX(1,'Loan Prepayment'!$B$7*12-I170+1),J170),L169),J170+M170))</f>
        <v>67460.316473241648</v>
      </c>
      <c r="M170">
        <f t="shared" si="45"/>
        <v>24385.438959621581</v>
      </c>
      <c r="N170">
        <f t="shared" si="46"/>
        <v>43074.877513620071</v>
      </c>
      <c r="O170">
        <f>IF(J170&lt;=0,0,MIN(MAX(0,J170-N170),SUMIFS('Loan Prepayment'!$B$12:$B$31,'Loan Prepayment'!$A$12:$A$31,I170)+0))</f>
        <v>0</v>
      </c>
      <c r="P170">
        <f t="shared" si="47"/>
        <v>3858595.3560258327</v>
      </c>
      <c r="Q170">
        <v>169</v>
      </c>
      <c r="R170">
        <f t="shared" si="60"/>
        <v>4659271.0321331322</v>
      </c>
      <c r="S170" s="64">
        <f>'Loan Prepayment'!$B$6</f>
        <v>7.5</v>
      </c>
      <c r="T170">
        <f>IF(R170&lt;=0,0,MIN(IF(AND('Loan Prepayment'!$E$15="Reduce EMI",W169&gt;0),-PMT(S170/1200,MAX(1,'Loan Prepayment'!$B$7*12-Q170+1),R170),T169),R170+U170))</f>
        <v>80559.31935518072</v>
      </c>
      <c r="U170">
        <f t="shared" si="48"/>
        <v>29120.443950832076</v>
      </c>
      <c r="V170">
        <f t="shared" si="49"/>
        <v>51438.875404348641</v>
      </c>
      <c r="W170">
        <f>IF(R170&lt;=0,0,MIN(MAX(0,R170-V170),0+IF(AND(Q170&gt;='Loan Prepayment'!$B$9,Q170&lt;='Loan Prepayment'!$E$16),'Loan Prepayment'!$B$8,0)))</f>
        <v>0</v>
      </c>
      <c r="X170">
        <f t="shared" si="50"/>
        <v>4607832.1567287836</v>
      </c>
      <c r="Y170">
        <v>169</v>
      </c>
      <c r="Z170">
        <f t="shared" si="61"/>
        <v>3792858.0355936773</v>
      </c>
      <c r="AA170">
        <f>IF(Y170&gt;='Loan Prepayment'!$E$11,'Loan Prepayment'!$E$12,'Loan Prepayment'!$B$6)</f>
        <v>6.5</v>
      </c>
      <c r="AB170">
        <f>IF(Z170&lt;=0,0,MIN(IF(Y170='Loan Prepayment'!$E$11,IF('Loan Prepayment'!$E$13="Keep tenure, recalculate EMI",-PMT(AA170/1200,MAX(1,'Loan Prepayment'!$B$7*12-Y170+1),Z170),AB169),AB169),Z170+AC170))</f>
        <v>80559.31935518072</v>
      </c>
      <c r="AC170">
        <f t="shared" si="51"/>
        <v>20544.647692799084</v>
      </c>
      <c r="AD170">
        <f t="shared" si="52"/>
        <v>60014.671662381632</v>
      </c>
      <c r="AE170">
        <f t="shared" si="53"/>
        <v>0</v>
      </c>
      <c r="AF170">
        <f t="shared" si="54"/>
        <v>3732843.3639312955</v>
      </c>
      <c r="AG170">
        <v>169</v>
      </c>
      <c r="AH170">
        <f t="shared" si="62"/>
        <v>3176136.6092372742</v>
      </c>
      <c r="AI170">
        <f>IF(AG170&gt;='Loan Prepayment'!$E$11,'Loan Prepayment'!$E$12,'Loan Prepayment'!$B$6)</f>
        <v>6.5</v>
      </c>
      <c r="AJ170">
        <f>IF(AH170&lt;=0,0,MIN(IF(AG170='Loan Prepayment'!$E$11,IF('Loan Prepayment'!$E$13="Keep tenure, recalculate EMI",-PMT(AI170/1200,MAX(1,'Loan Prepayment'!$B$7*12-AG170+1),AH170),IF(AND('Loan Prepayment'!$E$15="Reduce EMI",AM169&gt;0),-PMT(AI169/1200,MAX(1,'Loan Prepayment'!$B$7*12-AG170+1),AH170),AJ169)),IF(AND('Loan Prepayment'!$E$15="Reduce EMI",AM169&gt;0),-PMT(AI170/1200,MAX(1,'Loan Prepayment'!$B$7*12-AG170+1),AH170),AJ169)),AH170+AK170))</f>
        <v>67460.316473241648</v>
      </c>
      <c r="AK170">
        <f t="shared" si="55"/>
        <v>17204.073300035237</v>
      </c>
      <c r="AL170">
        <f t="shared" si="56"/>
        <v>50256.243173206414</v>
      </c>
      <c r="AM170">
        <f>IF(AH170&lt;=0,0,MIN(MAX(0,AH170-AL170),SUMIFS('Loan Prepayment'!$B$12:$B$31,'Loan Prepayment'!$A$12:$A$31,AG170)+IF(AND(AG170&gt;='Loan Prepayment'!$B$9,AG170&lt;='Loan Prepayment'!$E$16),'Loan Prepayment'!$B$8,0)))</f>
        <v>0</v>
      </c>
      <c r="AN170">
        <f t="shared" si="57"/>
        <v>3125880.3660640679</v>
      </c>
    </row>
    <row r="171" spans="1:40" x14ac:dyDescent="0.35">
      <c r="A171">
        <v>170</v>
      </c>
      <c r="B171">
        <f t="shared" si="58"/>
        <v>4607832.1567287836</v>
      </c>
      <c r="C171" s="64">
        <f>'Loan Prepayment'!$B$6</f>
        <v>7.5</v>
      </c>
      <c r="D171">
        <f>IF(B171&lt;=0,0,MIN(-PMT('Loan Prepayment'!$B$6/1200,'Loan Prepayment'!$B$7*12,'Loan Prepayment'!$B$5),B171+E171))</f>
        <v>80559.31935518072</v>
      </c>
      <c r="E171">
        <f t="shared" si="42"/>
        <v>28798.950979554895</v>
      </c>
      <c r="F171">
        <f t="shared" si="43"/>
        <v>51760.368375625825</v>
      </c>
      <c r="G171">
        <v>0</v>
      </c>
      <c r="H171">
        <f t="shared" si="44"/>
        <v>4556071.7883531582</v>
      </c>
      <c r="I171">
        <v>170</v>
      </c>
      <c r="J171">
        <f t="shared" si="59"/>
        <v>3858595.3560258327</v>
      </c>
      <c r="K171" s="64">
        <f>'Loan Prepayment'!$B$6</f>
        <v>7.5</v>
      </c>
      <c r="L171">
        <f>IF(J171&lt;=0,0,MIN(IF(AND('Loan Prepayment'!$E$15="Reduce EMI",O170&gt;0),-PMT(K171/1200,MAX(1,'Loan Prepayment'!$B$7*12-I171+1),J171),L170),J171+M171))</f>
        <v>67460.316473241648</v>
      </c>
      <c r="M171">
        <f t="shared" si="45"/>
        <v>24116.220975161457</v>
      </c>
      <c r="N171">
        <f t="shared" si="46"/>
        <v>43344.095498080191</v>
      </c>
      <c r="O171">
        <f>IF(J171&lt;=0,0,MIN(MAX(0,J171-N171),SUMIFS('Loan Prepayment'!$B$12:$B$31,'Loan Prepayment'!$A$12:$A$31,I171)+0))</f>
        <v>0</v>
      </c>
      <c r="P171">
        <f t="shared" si="47"/>
        <v>3815251.2605277523</v>
      </c>
      <c r="Q171">
        <v>170</v>
      </c>
      <c r="R171">
        <f t="shared" si="60"/>
        <v>4607832.1567287836</v>
      </c>
      <c r="S171" s="64">
        <f>'Loan Prepayment'!$B$6</f>
        <v>7.5</v>
      </c>
      <c r="T171">
        <f>IF(R171&lt;=0,0,MIN(IF(AND('Loan Prepayment'!$E$15="Reduce EMI",W170&gt;0),-PMT(S171/1200,MAX(1,'Loan Prepayment'!$B$7*12-Q171+1),R171),T170),R171+U171))</f>
        <v>80559.31935518072</v>
      </c>
      <c r="U171">
        <f t="shared" si="48"/>
        <v>28798.950979554895</v>
      </c>
      <c r="V171">
        <f t="shared" si="49"/>
        <v>51760.368375625825</v>
      </c>
      <c r="W171">
        <f>IF(R171&lt;=0,0,MIN(MAX(0,R171-V171),0+IF(AND(Q171&gt;='Loan Prepayment'!$B$9,Q171&lt;='Loan Prepayment'!$E$16),'Loan Prepayment'!$B$8,0)))</f>
        <v>0</v>
      </c>
      <c r="X171">
        <f t="shared" si="50"/>
        <v>4556071.7883531582</v>
      </c>
      <c r="Y171">
        <v>170</v>
      </c>
      <c r="Z171">
        <f t="shared" si="61"/>
        <v>3732843.3639312955</v>
      </c>
      <c r="AA171">
        <f>IF(Y171&gt;='Loan Prepayment'!$E$11,'Loan Prepayment'!$E$12,'Loan Prepayment'!$B$6)</f>
        <v>6.5</v>
      </c>
      <c r="AB171">
        <f>IF(Z171&lt;=0,0,MIN(IF(Y171='Loan Prepayment'!$E$11,IF('Loan Prepayment'!$E$13="Keep tenure, recalculate EMI",-PMT(AA171/1200,MAX(1,'Loan Prepayment'!$B$7*12-Y171+1),Z171),AB170),AB170),Z171+AC171))</f>
        <v>80559.31935518072</v>
      </c>
      <c r="AC171">
        <f t="shared" si="51"/>
        <v>20219.568221294518</v>
      </c>
      <c r="AD171">
        <f t="shared" si="52"/>
        <v>60339.751133886202</v>
      </c>
      <c r="AE171">
        <f t="shared" si="53"/>
        <v>0</v>
      </c>
      <c r="AF171">
        <f t="shared" si="54"/>
        <v>3672503.6127974093</v>
      </c>
      <c r="AG171">
        <v>170</v>
      </c>
      <c r="AH171">
        <f t="shared" si="62"/>
        <v>3125880.3660640679</v>
      </c>
      <c r="AI171">
        <f>IF(AG171&gt;='Loan Prepayment'!$E$11,'Loan Prepayment'!$E$12,'Loan Prepayment'!$B$6)</f>
        <v>6.5</v>
      </c>
      <c r="AJ171">
        <f>IF(AH171&lt;=0,0,MIN(IF(AG171='Loan Prepayment'!$E$11,IF('Loan Prepayment'!$E$13="Keep tenure, recalculate EMI",-PMT(AI171/1200,MAX(1,'Loan Prepayment'!$B$7*12-AG171+1),AH171),IF(AND('Loan Prepayment'!$E$15="Reduce EMI",AM170&gt;0),-PMT(AI170/1200,MAX(1,'Loan Prepayment'!$B$7*12-AG171+1),AH171),AJ170)),IF(AND('Loan Prepayment'!$E$15="Reduce EMI",AM170&gt;0),-PMT(AI171/1200,MAX(1,'Loan Prepayment'!$B$7*12-AG171+1),AH171),AJ170)),AH171+AK171))</f>
        <v>67460.316473241648</v>
      </c>
      <c r="AK171">
        <f t="shared" si="55"/>
        <v>16931.851982847034</v>
      </c>
      <c r="AL171">
        <f t="shared" si="56"/>
        <v>50528.464490394617</v>
      </c>
      <c r="AM171">
        <f>IF(AH171&lt;=0,0,MIN(MAX(0,AH171-AL171),SUMIFS('Loan Prepayment'!$B$12:$B$31,'Loan Prepayment'!$A$12:$A$31,AG171)+IF(AND(AG171&gt;='Loan Prepayment'!$B$9,AG171&lt;='Loan Prepayment'!$E$16),'Loan Prepayment'!$B$8,0)))</f>
        <v>0</v>
      </c>
      <c r="AN171">
        <f t="shared" si="57"/>
        <v>3075351.9015736734</v>
      </c>
    </row>
    <row r="172" spans="1:40" x14ac:dyDescent="0.35">
      <c r="A172">
        <v>171</v>
      </c>
      <c r="B172">
        <f t="shared" si="58"/>
        <v>4556071.7883531582</v>
      </c>
      <c r="C172" s="64">
        <f>'Loan Prepayment'!$B$6</f>
        <v>7.5</v>
      </c>
      <c r="D172">
        <f>IF(B172&lt;=0,0,MIN(-PMT('Loan Prepayment'!$B$6/1200,'Loan Prepayment'!$B$7*12,'Loan Prepayment'!$B$5),B172+E172))</f>
        <v>80559.31935518072</v>
      </c>
      <c r="E172">
        <f t="shared" si="42"/>
        <v>28475.448677207238</v>
      </c>
      <c r="F172">
        <f t="shared" si="43"/>
        <v>52083.870677973478</v>
      </c>
      <c r="G172">
        <v>0</v>
      </c>
      <c r="H172">
        <f t="shared" si="44"/>
        <v>4503987.917675185</v>
      </c>
      <c r="I172">
        <v>171</v>
      </c>
      <c r="J172">
        <f t="shared" si="59"/>
        <v>3815251.2605277523</v>
      </c>
      <c r="K172" s="64">
        <f>'Loan Prepayment'!$B$6</f>
        <v>7.5</v>
      </c>
      <c r="L172">
        <f>IF(J172&lt;=0,0,MIN(IF(AND('Loan Prepayment'!$E$15="Reduce EMI",O171&gt;0),-PMT(K172/1200,MAX(1,'Loan Prepayment'!$B$7*12-I172+1),J172),L171),J172+M172))</f>
        <v>67460.316473241648</v>
      </c>
      <c r="M172">
        <f t="shared" si="45"/>
        <v>23845.320378298453</v>
      </c>
      <c r="N172">
        <f t="shared" si="46"/>
        <v>43614.996094943199</v>
      </c>
      <c r="O172">
        <f>IF(J172&lt;=0,0,MIN(MAX(0,J172-N172),SUMIFS('Loan Prepayment'!$B$12:$B$31,'Loan Prepayment'!$A$12:$A$31,I172)+0))</f>
        <v>0</v>
      </c>
      <c r="P172">
        <f t="shared" si="47"/>
        <v>3771636.2644328093</v>
      </c>
      <c r="Q172">
        <v>171</v>
      </c>
      <c r="R172">
        <f t="shared" si="60"/>
        <v>4556071.7883531582</v>
      </c>
      <c r="S172" s="64">
        <f>'Loan Prepayment'!$B$6</f>
        <v>7.5</v>
      </c>
      <c r="T172">
        <f>IF(R172&lt;=0,0,MIN(IF(AND('Loan Prepayment'!$E$15="Reduce EMI",W171&gt;0),-PMT(S172/1200,MAX(1,'Loan Prepayment'!$B$7*12-Q172+1),R172),T171),R172+U172))</f>
        <v>80559.31935518072</v>
      </c>
      <c r="U172">
        <f t="shared" si="48"/>
        <v>28475.448677207238</v>
      </c>
      <c r="V172">
        <f t="shared" si="49"/>
        <v>52083.870677973478</v>
      </c>
      <c r="W172">
        <f>IF(R172&lt;=0,0,MIN(MAX(0,R172-V172),0+IF(AND(Q172&gt;='Loan Prepayment'!$B$9,Q172&lt;='Loan Prepayment'!$E$16),'Loan Prepayment'!$B$8,0)))</f>
        <v>0</v>
      </c>
      <c r="X172">
        <f t="shared" si="50"/>
        <v>4503987.917675185</v>
      </c>
      <c r="Y172">
        <v>171</v>
      </c>
      <c r="Z172">
        <f t="shared" si="61"/>
        <v>3672503.6127974093</v>
      </c>
      <c r="AA172">
        <f>IF(Y172&gt;='Loan Prepayment'!$E$11,'Loan Prepayment'!$E$12,'Loan Prepayment'!$B$6)</f>
        <v>6.5</v>
      </c>
      <c r="AB172">
        <f>IF(Z172&lt;=0,0,MIN(IF(Y172='Loan Prepayment'!$E$11,IF('Loan Prepayment'!$E$13="Keep tenure, recalculate EMI",-PMT(AA172/1200,MAX(1,'Loan Prepayment'!$B$7*12-Y172+1),Z172),AB171),AB171),Z172+AC172))</f>
        <v>80559.31935518072</v>
      </c>
      <c r="AC172">
        <f t="shared" si="51"/>
        <v>19892.727902652634</v>
      </c>
      <c r="AD172">
        <f t="shared" si="52"/>
        <v>60666.591452528082</v>
      </c>
      <c r="AE172">
        <f t="shared" si="53"/>
        <v>0</v>
      </c>
      <c r="AF172">
        <f t="shared" si="54"/>
        <v>3611837.021344881</v>
      </c>
      <c r="AG172">
        <v>171</v>
      </c>
      <c r="AH172">
        <f t="shared" si="62"/>
        <v>3075351.9015736734</v>
      </c>
      <c r="AI172">
        <f>IF(AG172&gt;='Loan Prepayment'!$E$11,'Loan Prepayment'!$E$12,'Loan Prepayment'!$B$6)</f>
        <v>6.5</v>
      </c>
      <c r="AJ172">
        <f>IF(AH172&lt;=0,0,MIN(IF(AG172='Loan Prepayment'!$E$11,IF('Loan Prepayment'!$E$13="Keep tenure, recalculate EMI",-PMT(AI172/1200,MAX(1,'Loan Prepayment'!$B$7*12-AG172+1),AH172),IF(AND('Loan Prepayment'!$E$15="Reduce EMI",AM171&gt;0),-PMT(AI171/1200,MAX(1,'Loan Prepayment'!$B$7*12-AG172+1),AH172),AJ171)),IF(AND('Loan Prepayment'!$E$15="Reduce EMI",AM171&gt;0),-PMT(AI172/1200,MAX(1,'Loan Prepayment'!$B$7*12-AG172+1),AH172),AJ171)),AH172+AK172))</f>
        <v>67460.316473241648</v>
      </c>
      <c r="AK172">
        <f t="shared" si="55"/>
        <v>16658.156133524066</v>
      </c>
      <c r="AL172">
        <f t="shared" si="56"/>
        <v>50802.160339717579</v>
      </c>
      <c r="AM172">
        <f>IF(AH172&lt;=0,0,MIN(MAX(0,AH172-AL172),SUMIFS('Loan Prepayment'!$B$12:$B$31,'Loan Prepayment'!$A$12:$A$31,AG172)+IF(AND(AG172&gt;='Loan Prepayment'!$B$9,AG172&lt;='Loan Prepayment'!$E$16),'Loan Prepayment'!$B$8,0)))</f>
        <v>0</v>
      </c>
      <c r="AN172">
        <f t="shared" si="57"/>
        <v>3024549.7412339556</v>
      </c>
    </row>
    <row r="173" spans="1:40" x14ac:dyDescent="0.35">
      <c r="A173">
        <v>172</v>
      </c>
      <c r="B173">
        <f t="shared" si="58"/>
        <v>4503987.917675185</v>
      </c>
      <c r="C173" s="64">
        <f>'Loan Prepayment'!$B$6</f>
        <v>7.5</v>
      </c>
      <c r="D173">
        <f>IF(B173&lt;=0,0,MIN(-PMT('Loan Prepayment'!$B$6/1200,'Loan Prepayment'!$B$7*12,'Loan Prepayment'!$B$5),B173+E173))</f>
        <v>80559.31935518072</v>
      </c>
      <c r="E173">
        <f t="shared" si="42"/>
        <v>28149.924485469906</v>
      </c>
      <c r="F173">
        <f t="shared" si="43"/>
        <v>52409.394869710814</v>
      </c>
      <c r="G173">
        <v>0</v>
      </c>
      <c r="H173">
        <f t="shared" si="44"/>
        <v>4451578.5228054738</v>
      </c>
      <c r="I173">
        <v>172</v>
      </c>
      <c r="J173">
        <f t="shared" si="59"/>
        <v>3771636.2644328093</v>
      </c>
      <c r="K173" s="64">
        <f>'Loan Prepayment'!$B$6</f>
        <v>7.5</v>
      </c>
      <c r="L173">
        <f>IF(J173&lt;=0,0,MIN(IF(AND('Loan Prepayment'!$E$15="Reduce EMI",O172&gt;0),-PMT(K173/1200,MAX(1,'Loan Prepayment'!$B$7*12-I173+1),J173),L172),J173+M173))</f>
        <v>67460.316473241648</v>
      </c>
      <c r="M173">
        <f t="shared" si="45"/>
        <v>23572.726652705056</v>
      </c>
      <c r="N173">
        <f t="shared" si="46"/>
        <v>43887.589820536596</v>
      </c>
      <c r="O173">
        <f>IF(J173&lt;=0,0,MIN(MAX(0,J173-N173),SUMIFS('Loan Prepayment'!$B$12:$B$31,'Loan Prepayment'!$A$12:$A$31,I173)+0))</f>
        <v>0</v>
      </c>
      <c r="P173">
        <f t="shared" si="47"/>
        <v>3727748.6746122725</v>
      </c>
      <c r="Q173">
        <v>172</v>
      </c>
      <c r="R173">
        <f t="shared" si="60"/>
        <v>4503987.917675185</v>
      </c>
      <c r="S173" s="64">
        <f>'Loan Prepayment'!$B$6</f>
        <v>7.5</v>
      </c>
      <c r="T173">
        <f>IF(R173&lt;=0,0,MIN(IF(AND('Loan Prepayment'!$E$15="Reduce EMI",W172&gt;0),-PMT(S173/1200,MAX(1,'Loan Prepayment'!$B$7*12-Q173+1),R173),T172),R173+U173))</f>
        <v>80559.31935518072</v>
      </c>
      <c r="U173">
        <f t="shared" si="48"/>
        <v>28149.924485469906</v>
      </c>
      <c r="V173">
        <f t="shared" si="49"/>
        <v>52409.394869710814</v>
      </c>
      <c r="W173">
        <f>IF(R173&lt;=0,0,MIN(MAX(0,R173-V173),0+IF(AND(Q173&gt;='Loan Prepayment'!$B$9,Q173&lt;='Loan Prepayment'!$E$16),'Loan Prepayment'!$B$8,0)))</f>
        <v>0</v>
      </c>
      <c r="X173">
        <f t="shared" si="50"/>
        <v>4451578.5228054738</v>
      </c>
      <c r="Y173">
        <v>172</v>
      </c>
      <c r="Z173">
        <f t="shared" si="61"/>
        <v>3611837.021344881</v>
      </c>
      <c r="AA173">
        <f>IF(Y173&gt;='Loan Prepayment'!$E$11,'Loan Prepayment'!$E$12,'Loan Prepayment'!$B$6)</f>
        <v>6.5</v>
      </c>
      <c r="AB173">
        <f>IF(Z173&lt;=0,0,MIN(IF(Y173='Loan Prepayment'!$E$11,IF('Loan Prepayment'!$E$13="Keep tenure, recalculate EMI",-PMT(AA173/1200,MAX(1,'Loan Prepayment'!$B$7*12-Y173+1),Z173),AB172),AB172),Z173+AC173))</f>
        <v>80559.31935518072</v>
      </c>
      <c r="AC173">
        <f t="shared" si="51"/>
        <v>19564.117198951441</v>
      </c>
      <c r="AD173">
        <f t="shared" si="52"/>
        <v>60995.202156229279</v>
      </c>
      <c r="AE173">
        <f t="shared" si="53"/>
        <v>0</v>
      </c>
      <c r="AF173">
        <f t="shared" si="54"/>
        <v>3550841.8191886516</v>
      </c>
      <c r="AG173">
        <v>172</v>
      </c>
      <c r="AH173">
        <f t="shared" si="62"/>
        <v>3024549.7412339556</v>
      </c>
      <c r="AI173">
        <f>IF(AG173&gt;='Loan Prepayment'!$E$11,'Loan Prepayment'!$E$12,'Loan Prepayment'!$B$6)</f>
        <v>6.5</v>
      </c>
      <c r="AJ173">
        <f>IF(AH173&lt;=0,0,MIN(IF(AG173='Loan Prepayment'!$E$11,IF('Loan Prepayment'!$E$13="Keep tenure, recalculate EMI",-PMT(AI173/1200,MAX(1,'Loan Prepayment'!$B$7*12-AG173+1),AH173),IF(AND('Loan Prepayment'!$E$15="Reduce EMI",AM172&gt;0),-PMT(AI172/1200,MAX(1,'Loan Prepayment'!$B$7*12-AG173+1),AH173),AJ172)),IF(AND('Loan Prepayment'!$E$15="Reduce EMI",AM172&gt;0),-PMT(AI173/1200,MAX(1,'Loan Prepayment'!$B$7*12-AG173+1),AH173),AJ172)),AH173+AK173))</f>
        <v>67460.316473241648</v>
      </c>
      <c r="AK173">
        <f t="shared" si="55"/>
        <v>16382.97776501726</v>
      </c>
      <c r="AL173">
        <f t="shared" si="56"/>
        <v>51077.338708224386</v>
      </c>
      <c r="AM173">
        <f>IF(AH173&lt;=0,0,MIN(MAX(0,AH173-AL173),SUMIFS('Loan Prepayment'!$B$12:$B$31,'Loan Prepayment'!$A$12:$A$31,AG173)+IF(AND(AG173&gt;='Loan Prepayment'!$B$9,AG173&lt;='Loan Prepayment'!$E$16),'Loan Prepayment'!$B$8,0)))</f>
        <v>0</v>
      </c>
      <c r="AN173">
        <f t="shared" si="57"/>
        <v>2973472.4025257314</v>
      </c>
    </row>
    <row r="174" spans="1:40" x14ac:dyDescent="0.35">
      <c r="A174">
        <v>173</v>
      </c>
      <c r="B174">
        <f t="shared" si="58"/>
        <v>4451578.5228054738</v>
      </c>
      <c r="C174" s="64">
        <f>'Loan Prepayment'!$B$6</f>
        <v>7.5</v>
      </c>
      <c r="D174">
        <f>IF(B174&lt;=0,0,MIN(-PMT('Loan Prepayment'!$B$6/1200,'Loan Prepayment'!$B$7*12,'Loan Prepayment'!$B$5),B174+E174))</f>
        <v>80559.31935518072</v>
      </c>
      <c r="E174">
        <f t="shared" si="42"/>
        <v>27822.365767534211</v>
      </c>
      <c r="F174">
        <f t="shared" si="43"/>
        <v>52736.953587646509</v>
      </c>
      <c r="G174">
        <v>0</v>
      </c>
      <c r="H174">
        <f t="shared" si="44"/>
        <v>4398841.5692178272</v>
      </c>
      <c r="I174">
        <v>173</v>
      </c>
      <c r="J174">
        <f t="shared" si="59"/>
        <v>3727748.6746122725</v>
      </c>
      <c r="K174" s="64">
        <f>'Loan Prepayment'!$B$6</f>
        <v>7.5</v>
      </c>
      <c r="L174">
        <f>IF(J174&lt;=0,0,MIN(IF(AND('Loan Prepayment'!$E$15="Reduce EMI",O173&gt;0),-PMT(K174/1200,MAX(1,'Loan Prepayment'!$B$7*12-I174+1),J174),L173),J174+M174))</f>
        <v>67460.316473241648</v>
      </c>
      <c r="M174">
        <f t="shared" si="45"/>
        <v>23298.429216326706</v>
      </c>
      <c r="N174">
        <f t="shared" si="46"/>
        <v>44161.887256914939</v>
      </c>
      <c r="O174">
        <f>IF(J174&lt;=0,0,MIN(MAX(0,J174-N174),SUMIFS('Loan Prepayment'!$B$12:$B$31,'Loan Prepayment'!$A$12:$A$31,I174)+0))</f>
        <v>0</v>
      </c>
      <c r="P174">
        <f t="shared" si="47"/>
        <v>3683586.7873553578</v>
      </c>
      <c r="Q174">
        <v>173</v>
      </c>
      <c r="R174">
        <f t="shared" si="60"/>
        <v>4451578.5228054738</v>
      </c>
      <c r="S174" s="64">
        <f>'Loan Prepayment'!$B$6</f>
        <v>7.5</v>
      </c>
      <c r="T174">
        <f>IF(R174&lt;=0,0,MIN(IF(AND('Loan Prepayment'!$E$15="Reduce EMI",W173&gt;0),-PMT(S174/1200,MAX(1,'Loan Prepayment'!$B$7*12-Q174+1),R174),T173),R174+U174))</f>
        <v>80559.31935518072</v>
      </c>
      <c r="U174">
        <f t="shared" si="48"/>
        <v>27822.365767534211</v>
      </c>
      <c r="V174">
        <f t="shared" si="49"/>
        <v>52736.953587646509</v>
      </c>
      <c r="W174">
        <f>IF(R174&lt;=0,0,MIN(MAX(0,R174-V174),0+IF(AND(Q174&gt;='Loan Prepayment'!$B$9,Q174&lt;='Loan Prepayment'!$E$16),'Loan Prepayment'!$B$8,0)))</f>
        <v>0</v>
      </c>
      <c r="X174">
        <f t="shared" si="50"/>
        <v>4398841.5692178272</v>
      </c>
      <c r="Y174">
        <v>173</v>
      </c>
      <c r="Z174">
        <f t="shared" si="61"/>
        <v>3550841.8191886516</v>
      </c>
      <c r="AA174">
        <f>IF(Y174&gt;='Loan Prepayment'!$E$11,'Loan Prepayment'!$E$12,'Loan Prepayment'!$B$6)</f>
        <v>6.5</v>
      </c>
      <c r="AB174">
        <f>IF(Z174&lt;=0,0,MIN(IF(Y174='Loan Prepayment'!$E$11,IF('Loan Prepayment'!$E$13="Keep tenure, recalculate EMI",-PMT(AA174/1200,MAX(1,'Loan Prepayment'!$B$7*12-Y174+1),Z174),AB173),AB173),Z174+AC174))</f>
        <v>80559.31935518072</v>
      </c>
      <c r="AC174">
        <f t="shared" si="51"/>
        <v>19233.726520605196</v>
      </c>
      <c r="AD174">
        <f t="shared" si="52"/>
        <v>61325.592834575524</v>
      </c>
      <c r="AE174">
        <f t="shared" si="53"/>
        <v>0</v>
      </c>
      <c r="AF174">
        <f t="shared" si="54"/>
        <v>3489516.2263540761</v>
      </c>
      <c r="AG174">
        <v>173</v>
      </c>
      <c r="AH174">
        <f t="shared" si="62"/>
        <v>2973472.4025257314</v>
      </c>
      <c r="AI174">
        <f>IF(AG174&gt;='Loan Prepayment'!$E$11,'Loan Prepayment'!$E$12,'Loan Prepayment'!$B$6)</f>
        <v>6.5</v>
      </c>
      <c r="AJ174">
        <f>IF(AH174&lt;=0,0,MIN(IF(AG174='Loan Prepayment'!$E$11,IF('Loan Prepayment'!$E$13="Keep tenure, recalculate EMI",-PMT(AI174/1200,MAX(1,'Loan Prepayment'!$B$7*12-AG174+1),AH174),IF(AND('Loan Prepayment'!$E$15="Reduce EMI",AM173&gt;0),-PMT(AI173/1200,MAX(1,'Loan Prepayment'!$B$7*12-AG174+1),AH174),AJ173)),IF(AND('Loan Prepayment'!$E$15="Reduce EMI",AM173&gt;0),-PMT(AI174/1200,MAX(1,'Loan Prepayment'!$B$7*12-AG174+1),AH174),AJ173)),AH174+AK174))</f>
        <v>67460.316473241648</v>
      </c>
      <c r="AK174">
        <f t="shared" si="55"/>
        <v>16106.308847014379</v>
      </c>
      <c r="AL174">
        <f t="shared" si="56"/>
        <v>51354.007626227271</v>
      </c>
      <c r="AM174">
        <f>IF(AH174&lt;=0,0,MIN(MAX(0,AH174-AL174),SUMIFS('Loan Prepayment'!$B$12:$B$31,'Loan Prepayment'!$A$12:$A$31,AG174)+IF(AND(AG174&gt;='Loan Prepayment'!$B$9,AG174&lt;='Loan Prepayment'!$E$16),'Loan Prepayment'!$B$8,0)))</f>
        <v>0</v>
      </c>
      <c r="AN174">
        <f t="shared" si="57"/>
        <v>2922118.3948995043</v>
      </c>
    </row>
    <row r="175" spans="1:40" x14ac:dyDescent="0.35">
      <c r="A175">
        <v>174</v>
      </c>
      <c r="B175">
        <f t="shared" si="58"/>
        <v>4398841.5692178272</v>
      </c>
      <c r="C175" s="64">
        <f>'Loan Prepayment'!$B$6</f>
        <v>7.5</v>
      </c>
      <c r="D175">
        <f>IF(B175&lt;=0,0,MIN(-PMT('Loan Prepayment'!$B$6/1200,'Loan Prepayment'!$B$7*12,'Loan Prepayment'!$B$5),B175+E175))</f>
        <v>80559.31935518072</v>
      </c>
      <c r="E175">
        <f t="shared" si="42"/>
        <v>27492.759807611419</v>
      </c>
      <c r="F175">
        <f t="shared" si="43"/>
        <v>53066.559547569297</v>
      </c>
      <c r="G175">
        <v>0</v>
      </c>
      <c r="H175">
        <f t="shared" si="44"/>
        <v>4345775.0096702576</v>
      </c>
      <c r="I175">
        <v>174</v>
      </c>
      <c r="J175">
        <f t="shared" si="59"/>
        <v>3683586.7873553578</v>
      </c>
      <c r="K175" s="64">
        <f>'Loan Prepayment'!$B$6</f>
        <v>7.5</v>
      </c>
      <c r="L175">
        <f>IF(J175&lt;=0,0,MIN(IF(AND('Loan Prepayment'!$E$15="Reduce EMI",O174&gt;0),-PMT(K175/1200,MAX(1,'Loan Prepayment'!$B$7*12-I175+1),J175),L174),J175+M175))</f>
        <v>67460.316473241648</v>
      </c>
      <c r="M175">
        <f t="shared" si="45"/>
        <v>23022.417420970985</v>
      </c>
      <c r="N175">
        <f t="shared" si="46"/>
        <v>44437.899052270659</v>
      </c>
      <c r="O175">
        <f>IF(J175&lt;=0,0,MIN(MAX(0,J175-N175),SUMIFS('Loan Prepayment'!$B$12:$B$31,'Loan Prepayment'!$A$12:$A$31,I175)+0))</f>
        <v>0</v>
      </c>
      <c r="P175">
        <f t="shared" si="47"/>
        <v>3639148.8883030871</v>
      </c>
      <c r="Q175">
        <v>174</v>
      </c>
      <c r="R175">
        <f t="shared" si="60"/>
        <v>4398841.5692178272</v>
      </c>
      <c r="S175" s="64">
        <f>'Loan Prepayment'!$B$6</f>
        <v>7.5</v>
      </c>
      <c r="T175">
        <f>IF(R175&lt;=0,0,MIN(IF(AND('Loan Prepayment'!$E$15="Reduce EMI",W174&gt;0),-PMT(S175/1200,MAX(1,'Loan Prepayment'!$B$7*12-Q175+1),R175),T174),R175+U175))</f>
        <v>80559.31935518072</v>
      </c>
      <c r="U175">
        <f t="shared" si="48"/>
        <v>27492.759807611419</v>
      </c>
      <c r="V175">
        <f t="shared" si="49"/>
        <v>53066.559547569297</v>
      </c>
      <c r="W175">
        <f>IF(R175&lt;=0,0,MIN(MAX(0,R175-V175),0+IF(AND(Q175&gt;='Loan Prepayment'!$B$9,Q175&lt;='Loan Prepayment'!$E$16),'Loan Prepayment'!$B$8,0)))</f>
        <v>0</v>
      </c>
      <c r="X175">
        <f t="shared" si="50"/>
        <v>4345775.0096702576</v>
      </c>
      <c r="Y175">
        <v>174</v>
      </c>
      <c r="Z175">
        <f t="shared" si="61"/>
        <v>3489516.2263540761</v>
      </c>
      <c r="AA175">
        <f>IF(Y175&gt;='Loan Prepayment'!$E$11,'Loan Prepayment'!$E$12,'Loan Prepayment'!$B$6)</f>
        <v>6.5</v>
      </c>
      <c r="AB175">
        <f>IF(Z175&lt;=0,0,MIN(IF(Y175='Loan Prepayment'!$E$11,IF('Loan Prepayment'!$E$13="Keep tenure, recalculate EMI",-PMT(AA175/1200,MAX(1,'Loan Prepayment'!$B$7*12-Y175+1),Z175),AB174),AB174),Z175+AC175))</f>
        <v>80559.31935518072</v>
      </c>
      <c r="AC175">
        <f t="shared" si="51"/>
        <v>18901.546226084582</v>
      </c>
      <c r="AD175">
        <f t="shared" si="52"/>
        <v>61657.773129096138</v>
      </c>
      <c r="AE175">
        <f t="shared" si="53"/>
        <v>0</v>
      </c>
      <c r="AF175">
        <f t="shared" si="54"/>
        <v>3427858.4532249798</v>
      </c>
      <c r="AG175">
        <v>174</v>
      </c>
      <c r="AH175">
        <f t="shared" si="62"/>
        <v>2922118.3948995043</v>
      </c>
      <c r="AI175">
        <f>IF(AG175&gt;='Loan Prepayment'!$E$11,'Loan Prepayment'!$E$12,'Loan Prepayment'!$B$6)</f>
        <v>6.5</v>
      </c>
      <c r="AJ175">
        <f>IF(AH175&lt;=0,0,MIN(IF(AG175='Loan Prepayment'!$E$11,IF('Loan Prepayment'!$E$13="Keep tenure, recalculate EMI",-PMT(AI175/1200,MAX(1,'Loan Prepayment'!$B$7*12-AG175+1),AH175),IF(AND('Loan Prepayment'!$E$15="Reduce EMI",AM174&gt;0),-PMT(AI174/1200,MAX(1,'Loan Prepayment'!$B$7*12-AG175+1),AH175),AJ174)),IF(AND('Loan Prepayment'!$E$15="Reduce EMI",AM174&gt;0),-PMT(AI175/1200,MAX(1,'Loan Prepayment'!$B$7*12-AG175+1),AH175),AJ174)),AH175+AK175))</f>
        <v>67460.316473241648</v>
      </c>
      <c r="AK175">
        <f t="shared" si="55"/>
        <v>15828.141305705647</v>
      </c>
      <c r="AL175">
        <f t="shared" si="56"/>
        <v>51632.175167535999</v>
      </c>
      <c r="AM175">
        <f>IF(AH175&lt;=0,0,MIN(MAX(0,AH175-AL175),SUMIFS('Loan Prepayment'!$B$12:$B$31,'Loan Prepayment'!$A$12:$A$31,AG175)+IF(AND(AG175&gt;='Loan Prepayment'!$B$9,AG175&lt;='Loan Prepayment'!$E$16),'Loan Prepayment'!$B$8,0)))</f>
        <v>0</v>
      </c>
      <c r="AN175">
        <f t="shared" si="57"/>
        <v>2870486.2197319684</v>
      </c>
    </row>
    <row r="176" spans="1:40" x14ac:dyDescent="0.35">
      <c r="A176">
        <v>175</v>
      </c>
      <c r="B176">
        <f t="shared" si="58"/>
        <v>4345775.0096702576</v>
      </c>
      <c r="C176" s="64">
        <f>'Loan Prepayment'!$B$6</f>
        <v>7.5</v>
      </c>
      <c r="D176">
        <f>IF(B176&lt;=0,0,MIN(-PMT('Loan Prepayment'!$B$6/1200,'Loan Prepayment'!$B$7*12,'Loan Prepayment'!$B$5),B176+E176))</f>
        <v>80559.31935518072</v>
      </c>
      <c r="E176">
        <f t="shared" si="42"/>
        <v>27161.09381043911</v>
      </c>
      <c r="F176">
        <f t="shared" si="43"/>
        <v>53398.22554474161</v>
      </c>
      <c r="G176">
        <v>0</v>
      </c>
      <c r="H176">
        <f t="shared" si="44"/>
        <v>4292376.7841255162</v>
      </c>
      <c r="I176">
        <v>175</v>
      </c>
      <c r="J176">
        <f t="shared" si="59"/>
        <v>3639148.8883030871</v>
      </c>
      <c r="K176" s="64">
        <f>'Loan Prepayment'!$B$6</f>
        <v>7.5</v>
      </c>
      <c r="L176">
        <f>IF(J176&lt;=0,0,MIN(IF(AND('Loan Prepayment'!$E$15="Reduce EMI",O175&gt;0),-PMT(K176/1200,MAX(1,'Loan Prepayment'!$B$7*12-I176+1),J176),L175),J176+M176))</f>
        <v>67460.316473241648</v>
      </c>
      <c r="M176">
        <f t="shared" si="45"/>
        <v>22744.680551894297</v>
      </c>
      <c r="N176">
        <f t="shared" si="46"/>
        <v>44715.635921347348</v>
      </c>
      <c r="O176">
        <f>IF(J176&lt;=0,0,MIN(MAX(0,J176-N176),SUMIFS('Loan Prepayment'!$B$12:$B$31,'Loan Prepayment'!$A$12:$A$31,I176)+0))</f>
        <v>0</v>
      </c>
      <c r="P176">
        <f t="shared" si="47"/>
        <v>3594433.2523817397</v>
      </c>
      <c r="Q176">
        <v>175</v>
      </c>
      <c r="R176">
        <f t="shared" si="60"/>
        <v>4345775.0096702576</v>
      </c>
      <c r="S176" s="64">
        <f>'Loan Prepayment'!$B$6</f>
        <v>7.5</v>
      </c>
      <c r="T176">
        <f>IF(R176&lt;=0,0,MIN(IF(AND('Loan Prepayment'!$E$15="Reduce EMI",W175&gt;0),-PMT(S176/1200,MAX(1,'Loan Prepayment'!$B$7*12-Q176+1),R176),T175),R176+U176))</f>
        <v>80559.31935518072</v>
      </c>
      <c r="U176">
        <f t="shared" si="48"/>
        <v>27161.09381043911</v>
      </c>
      <c r="V176">
        <f t="shared" si="49"/>
        <v>53398.22554474161</v>
      </c>
      <c r="W176">
        <f>IF(R176&lt;=0,0,MIN(MAX(0,R176-V176),0+IF(AND(Q176&gt;='Loan Prepayment'!$B$9,Q176&lt;='Loan Prepayment'!$E$16),'Loan Prepayment'!$B$8,0)))</f>
        <v>0</v>
      </c>
      <c r="X176">
        <f t="shared" si="50"/>
        <v>4292376.7841255162</v>
      </c>
      <c r="Y176">
        <v>175</v>
      </c>
      <c r="Z176">
        <f t="shared" si="61"/>
        <v>3427858.4532249798</v>
      </c>
      <c r="AA176">
        <f>IF(Y176&gt;='Loan Prepayment'!$E$11,'Loan Prepayment'!$E$12,'Loan Prepayment'!$B$6)</f>
        <v>6.5</v>
      </c>
      <c r="AB176">
        <f>IF(Z176&lt;=0,0,MIN(IF(Y176='Loan Prepayment'!$E$11,IF('Loan Prepayment'!$E$13="Keep tenure, recalculate EMI",-PMT(AA176/1200,MAX(1,'Loan Prepayment'!$B$7*12-Y176+1),Z176),AB175),AB175),Z176+AC176))</f>
        <v>80559.31935518072</v>
      </c>
      <c r="AC176">
        <f t="shared" si="51"/>
        <v>18567.566621635309</v>
      </c>
      <c r="AD176">
        <f t="shared" si="52"/>
        <v>61991.752733545407</v>
      </c>
      <c r="AE176">
        <f t="shared" si="53"/>
        <v>0</v>
      </c>
      <c r="AF176">
        <f t="shared" si="54"/>
        <v>3365866.7004914344</v>
      </c>
      <c r="AG176">
        <v>175</v>
      </c>
      <c r="AH176">
        <f t="shared" si="62"/>
        <v>2870486.2197319684</v>
      </c>
      <c r="AI176">
        <f>IF(AG176&gt;='Loan Prepayment'!$E$11,'Loan Prepayment'!$E$12,'Loan Prepayment'!$B$6)</f>
        <v>6.5</v>
      </c>
      <c r="AJ176">
        <f>IF(AH176&lt;=0,0,MIN(IF(AG176='Loan Prepayment'!$E$11,IF('Loan Prepayment'!$E$13="Keep tenure, recalculate EMI",-PMT(AI176/1200,MAX(1,'Loan Prepayment'!$B$7*12-AG176+1),AH176),IF(AND('Loan Prepayment'!$E$15="Reduce EMI",AM175&gt;0),-PMT(AI175/1200,MAX(1,'Loan Prepayment'!$B$7*12-AG176+1),AH176),AJ175)),IF(AND('Loan Prepayment'!$E$15="Reduce EMI",AM175&gt;0),-PMT(AI176/1200,MAX(1,'Loan Prepayment'!$B$7*12-AG176+1),AH176),AJ175)),AH176+AK176))</f>
        <v>67460.316473241648</v>
      </c>
      <c r="AK176">
        <f t="shared" si="55"/>
        <v>15548.467023548161</v>
      </c>
      <c r="AL176">
        <f t="shared" si="56"/>
        <v>51911.849449693487</v>
      </c>
      <c r="AM176">
        <f>IF(AH176&lt;=0,0,MIN(MAX(0,AH176-AL176),SUMIFS('Loan Prepayment'!$B$12:$B$31,'Loan Prepayment'!$A$12:$A$31,AG176)+IF(AND(AG176&gt;='Loan Prepayment'!$B$9,AG176&lt;='Loan Prepayment'!$E$16),'Loan Prepayment'!$B$8,0)))</f>
        <v>0</v>
      </c>
      <c r="AN176">
        <f t="shared" si="57"/>
        <v>2818574.3702822747</v>
      </c>
    </row>
    <row r="177" spans="1:40" x14ac:dyDescent="0.35">
      <c r="A177">
        <v>176</v>
      </c>
      <c r="B177">
        <f t="shared" si="58"/>
        <v>4292376.7841255162</v>
      </c>
      <c r="C177" s="64">
        <f>'Loan Prepayment'!$B$6</f>
        <v>7.5</v>
      </c>
      <c r="D177">
        <f>IF(B177&lt;=0,0,MIN(-PMT('Loan Prepayment'!$B$6/1200,'Loan Prepayment'!$B$7*12,'Loan Prepayment'!$B$5),B177+E177))</f>
        <v>80559.31935518072</v>
      </c>
      <c r="E177">
        <f t="shared" si="42"/>
        <v>26827.354900784478</v>
      </c>
      <c r="F177">
        <f t="shared" si="43"/>
        <v>53731.964454396242</v>
      </c>
      <c r="G177">
        <v>0</v>
      </c>
      <c r="H177">
        <f t="shared" si="44"/>
        <v>4238644.8196711196</v>
      </c>
      <c r="I177">
        <v>176</v>
      </c>
      <c r="J177">
        <f t="shared" si="59"/>
        <v>3594433.2523817397</v>
      </c>
      <c r="K177" s="64">
        <f>'Loan Prepayment'!$B$6</f>
        <v>7.5</v>
      </c>
      <c r="L177">
        <f>IF(J177&lt;=0,0,MIN(IF(AND('Loan Prepayment'!$E$15="Reduce EMI",O176&gt;0),-PMT(K177/1200,MAX(1,'Loan Prepayment'!$B$7*12-I177+1),J177),L176),J177+M177))</f>
        <v>67460.316473241648</v>
      </c>
      <c r="M177">
        <f t="shared" si="45"/>
        <v>22465.207827385871</v>
      </c>
      <c r="N177">
        <f t="shared" si="46"/>
        <v>44995.108645855777</v>
      </c>
      <c r="O177">
        <f>IF(J177&lt;=0,0,MIN(MAX(0,J177-N177),SUMIFS('Loan Prepayment'!$B$12:$B$31,'Loan Prepayment'!$A$12:$A$31,I177)+0))</f>
        <v>0</v>
      </c>
      <c r="P177">
        <f t="shared" si="47"/>
        <v>3549438.1437358838</v>
      </c>
      <c r="Q177">
        <v>176</v>
      </c>
      <c r="R177">
        <f t="shared" si="60"/>
        <v>4292376.7841255162</v>
      </c>
      <c r="S177" s="64">
        <f>'Loan Prepayment'!$B$6</f>
        <v>7.5</v>
      </c>
      <c r="T177">
        <f>IF(R177&lt;=0,0,MIN(IF(AND('Loan Prepayment'!$E$15="Reduce EMI",W176&gt;0),-PMT(S177/1200,MAX(1,'Loan Prepayment'!$B$7*12-Q177+1),R177),T176),R177+U177))</f>
        <v>80559.31935518072</v>
      </c>
      <c r="U177">
        <f t="shared" si="48"/>
        <v>26827.354900784478</v>
      </c>
      <c r="V177">
        <f t="shared" si="49"/>
        <v>53731.964454396242</v>
      </c>
      <c r="W177">
        <f>IF(R177&lt;=0,0,MIN(MAX(0,R177-V177),0+IF(AND(Q177&gt;='Loan Prepayment'!$B$9,Q177&lt;='Loan Prepayment'!$E$16),'Loan Prepayment'!$B$8,0)))</f>
        <v>0</v>
      </c>
      <c r="X177">
        <f t="shared" si="50"/>
        <v>4238644.8196711196</v>
      </c>
      <c r="Y177">
        <v>176</v>
      </c>
      <c r="Z177">
        <f t="shared" si="61"/>
        <v>3365866.7004914344</v>
      </c>
      <c r="AA177">
        <f>IF(Y177&gt;='Loan Prepayment'!$E$11,'Loan Prepayment'!$E$12,'Loan Prepayment'!$B$6)</f>
        <v>6.5</v>
      </c>
      <c r="AB177">
        <f>IF(Z177&lt;=0,0,MIN(IF(Y177='Loan Prepayment'!$E$11,IF('Loan Prepayment'!$E$13="Keep tenure, recalculate EMI",-PMT(AA177/1200,MAX(1,'Loan Prepayment'!$B$7*12-Y177+1),Z177),AB176),AB176),Z177+AC177))</f>
        <v>80559.31935518072</v>
      </c>
      <c r="AC177">
        <f t="shared" si="51"/>
        <v>18231.77796099527</v>
      </c>
      <c r="AD177">
        <f t="shared" si="52"/>
        <v>62327.541394185449</v>
      </c>
      <c r="AE177">
        <f t="shared" si="53"/>
        <v>0</v>
      </c>
      <c r="AF177">
        <f t="shared" si="54"/>
        <v>3303539.1590972492</v>
      </c>
      <c r="AG177">
        <v>176</v>
      </c>
      <c r="AH177">
        <f t="shared" si="62"/>
        <v>2818574.3702822747</v>
      </c>
      <c r="AI177">
        <f>IF(AG177&gt;='Loan Prepayment'!$E$11,'Loan Prepayment'!$E$12,'Loan Prepayment'!$B$6)</f>
        <v>6.5</v>
      </c>
      <c r="AJ177">
        <f>IF(AH177&lt;=0,0,MIN(IF(AG177='Loan Prepayment'!$E$11,IF('Loan Prepayment'!$E$13="Keep tenure, recalculate EMI",-PMT(AI177/1200,MAX(1,'Loan Prepayment'!$B$7*12-AG177+1),AH177),IF(AND('Loan Prepayment'!$E$15="Reduce EMI",AM176&gt;0),-PMT(AI176/1200,MAX(1,'Loan Prepayment'!$B$7*12-AG177+1),AH177),AJ176)),IF(AND('Loan Prepayment'!$E$15="Reduce EMI",AM176&gt;0),-PMT(AI177/1200,MAX(1,'Loan Prepayment'!$B$7*12-AG177+1),AH177),AJ176)),AH177+AK177))</f>
        <v>67460.316473241648</v>
      </c>
      <c r="AK177">
        <f t="shared" si="55"/>
        <v>15267.277839028988</v>
      </c>
      <c r="AL177">
        <f t="shared" si="56"/>
        <v>52193.038634212659</v>
      </c>
      <c r="AM177">
        <f>IF(AH177&lt;=0,0,MIN(MAX(0,AH177-AL177),SUMIFS('Loan Prepayment'!$B$12:$B$31,'Loan Prepayment'!$A$12:$A$31,AG177)+IF(AND(AG177&gt;='Loan Prepayment'!$B$9,AG177&lt;='Loan Prepayment'!$E$16),'Loan Prepayment'!$B$8,0)))</f>
        <v>0</v>
      </c>
      <c r="AN177">
        <f t="shared" si="57"/>
        <v>2766381.331648062</v>
      </c>
    </row>
    <row r="178" spans="1:40" x14ac:dyDescent="0.35">
      <c r="A178">
        <v>177</v>
      </c>
      <c r="B178">
        <f t="shared" si="58"/>
        <v>4238644.8196711196</v>
      </c>
      <c r="C178" s="64">
        <f>'Loan Prepayment'!$B$6</f>
        <v>7.5</v>
      </c>
      <c r="D178">
        <f>IF(B178&lt;=0,0,MIN(-PMT('Loan Prepayment'!$B$6/1200,'Loan Prepayment'!$B$7*12,'Loan Prepayment'!$B$5),B178+E178))</f>
        <v>80559.31935518072</v>
      </c>
      <c r="E178">
        <f t="shared" si="42"/>
        <v>26491.530122944499</v>
      </c>
      <c r="F178">
        <f t="shared" si="43"/>
        <v>54067.789232236217</v>
      </c>
      <c r="G178">
        <v>0</v>
      </c>
      <c r="H178">
        <f t="shared" si="44"/>
        <v>4184577.0304388832</v>
      </c>
      <c r="I178">
        <v>177</v>
      </c>
      <c r="J178">
        <f t="shared" si="59"/>
        <v>3549438.1437358838</v>
      </c>
      <c r="K178" s="64">
        <f>'Loan Prepayment'!$B$6</f>
        <v>7.5</v>
      </c>
      <c r="L178">
        <f>IF(J178&lt;=0,0,MIN(IF(AND('Loan Prepayment'!$E$15="Reduce EMI",O177&gt;0),-PMT(K178/1200,MAX(1,'Loan Prepayment'!$B$7*12-I178+1),J178),L177),J178+M178))</f>
        <v>67460.316473241648</v>
      </c>
      <c r="M178">
        <f t="shared" si="45"/>
        <v>22183.988398349273</v>
      </c>
      <c r="N178">
        <f t="shared" si="46"/>
        <v>45276.328074892372</v>
      </c>
      <c r="O178">
        <f>IF(J178&lt;=0,0,MIN(MAX(0,J178-N178),SUMIFS('Loan Prepayment'!$B$12:$B$31,'Loan Prepayment'!$A$12:$A$31,I178)+0))</f>
        <v>0</v>
      </c>
      <c r="P178">
        <f t="shared" si="47"/>
        <v>3504161.8156609912</v>
      </c>
      <c r="Q178">
        <v>177</v>
      </c>
      <c r="R178">
        <f t="shared" si="60"/>
        <v>4238644.8196711196</v>
      </c>
      <c r="S178" s="64">
        <f>'Loan Prepayment'!$B$6</f>
        <v>7.5</v>
      </c>
      <c r="T178">
        <f>IF(R178&lt;=0,0,MIN(IF(AND('Loan Prepayment'!$E$15="Reduce EMI",W177&gt;0),-PMT(S178/1200,MAX(1,'Loan Prepayment'!$B$7*12-Q178+1),R178),T177),R178+U178))</f>
        <v>80559.31935518072</v>
      </c>
      <c r="U178">
        <f t="shared" si="48"/>
        <v>26491.530122944499</v>
      </c>
      <c r="V178">
        <f t="shared" si="49"/>
        <v>54067.789232236217</v>
      </c>
      <c r="W178">
        <f>IF(R178&lt;=0,0,MIN(MAX(0,R178-V178),0+IF(AND(Q178&gt;='Loan Prepayment'!$B$9,Q178&lt;='Loan Prepayment'!$E$16),'Loan Prepayment'!$B$8,0)))</f>
        <v>0</v>
      </c>
      <c r="X178">
        <f t="shared" si="50"/>
        <v>4184577.0304388832</v>
      </c>
      <c r="Y178">
        <v>177</v>
      </c>
      <c r="Z178">
        <f t="shared" si="61"/>
        <v>3303539.1590972492</v>
      </c>
      <c r="AA178">
        <f>IF(Y178&gt;='Loan Prepayment'!$E$11,'Loan Prepayment'!$E$12,'Loan Prepayment'!$B$6)</f>
        <v>6.5</v>
      </c>
      <c r="AB178">
        <f>IF(Z178&lt;=0,0,MIN(IF(Y178='Loan Prepayment'!$E$11,IF('Loan Prepayment'!$E$13="Keep tenure, recalculate EMI",-PMT(AA178/1200,MAX(1,'Loan Prepayment'!$B$7*12-Y178+1),Z178),AB177),AB177),Z178+AC178))</f>
        <v>80559.31935518072</v>
      </c>
      <c r="AC178">
        <f t="shared" si="51"/>
        <v>17894.1704451101</v>
      </c>
      <c r="AD178">
        <f t="shared" si="52"/>
        <v>62665.148910070624</v>
      </c>
      <c r="AE178">
        <f t="shared" si="53"/>
        <v>0</v>
      </c>
      <c r="AF178">
        <f t="shared" si="54"/>
        <v>3240874.0101871784</v>
      </c>
      <c r="AG178">
        <v>177</v>
      </c>
      <c r="AH178">
        <f t="shared" si="62"/>
        <v>2766381.331648062</v>
      </c>
      <c r="AI178">
        <f>IF(AG178&gt;='Loan Prepayment'!$E$11,'Loan Prepayment'!$E$12,'Loan Prepayment'!$B$6)</f>
        <v>6.5</v>
      </c>
      <c r="AJ178">
        <f>IF(AH178&lt;=0,0,MIN(IF(AG178='Loan Prepayment'!$E$11,IF('Loan Prepayment'!$E$13="Keep tenure, recalculate EMI",-PMT(AI178/1200,MAX(1,'Loan Prepayment'!$B$7*12-AG178+1),AH178),IF(AND('Loan Prepayment'!$E$15="Reduce EMI",AM177&gt;0),-PMT(AI177/1200,MAX(1,'Loan Prepayment'!$B$7*12-AG178+1),AH178),AJ177)),IF(AND('Loan Prepayment'!$E$15="Reduce EMI",AM177&gt;0),-PMT(AI178/1200,MAX(1,'Loan Prepayment'!$B$7*12-AG178+1),AH178),AJ177)),AH178+AK178))</f>
        <v>67460.316473241648</v>
      </c>
      <c r="AK178">
        <f t="shared" si="55"/>
        <v>14984.565546427002</v>
      </c>
      <c r="AL178">
        <f t="shared" si="56"/>
        <v>52475.750926814646</v>
      </c>
      <c r="AM178">
        <f>IF(AH178&lt;=0,0,MIN(MAX(0,AH178-AL178),SUMIFS('Loan Prepayment'!$B$12:$B$31,'Loan Prepayment'!$A$12:$A$31,AG178)+IF(AND(AG178&gt;='Loan Prepayment'!$B$9,AG178&lt;='Loan Prepayment'!$E$16),'Loan Prepayment'!$B$8,0)))</f>
        <v>0</v>
      </c>
      <c r="AN178">
        <f t="shared" si="57"/>
        <v>2713905.5807212475</v>
      </c>
    </row>
    <row r="179" spans="1:40" x14ac:dyDescent="0.35">
      <c r="A179">
        <v>178</v>
      </c>
      <c r="B179">
        <f t="shared" si="58"/>
        <v>4184577.0304388832</v>
      </c>
      <c r="C179" s="64">
        <f>'Loan Prepayment'!$B$6</f>
        <v>7.5</v>
      </c>
      <c r="D179">
        <f>IF(B179&lt;=0,0,MIN(-PMT('Loan Prepayment'!$B$6/1200,'Loan Prepayment'!$B$7*12,'Loan Prepayment'!$B$5),B179+E179))</f>
        <v>80559.31935518072</v>
      </c>
      <c r="E179">
        <f t="shared" si="42"/>
        <v>26153.60644024302</v>
      </c>
      <c r="F179">
        <f t="shared" si="43"/>
        <v>54405.7129149377</v>
      </c>
      <c r="G179">
        <v>0</v>
      </c>
      <c r="H179">
        <f t="shared" si="44"/>
        <v>4130171.3175239456</v>
      </c>
      <c r="I179">
        <v>178</v>
      </c>
      <c r="J179">
        <f t="shared" si="59"/>
        <v>3504161.8156609912</v>
      </c>
      <c r="K179" s="64">
        <f>'Loan Prepayment'!$B$6</f>
        <v>7.5</v>
      </c>
      <c r="L179">
        <f>IF(J179&lt;=0,0,MIN(IF(AND('Loan Prepayment'!$E$15="Reduce EMI",O178&gt;0),-PMT(K179/1200,MAX(1,'Loan Prepayment'!$B$7*12-I179+1),J179),L178),J179+M179))</f>
        <v>67460.316473241648</v>
      </c>
      <c r="M179">
        <f t="shared" si="45"/>
        <v>21901.011347881195</v>
      </c>
      <c r="N179">
        <f t="shared" si="46"/>
        <v>45559.30512536045</v>
      </c>
      <c r="O179">
        <f>IF(J179&lt;=0,0,MIN(MAX(0,J179-N179),SUMIFS('Loan Prepayment'!$B$12:$B$31,'Loan Prepayment'!$A$12:$A$31,I179)+0))</f>
        <v>0</v>
      </c>
      <c r="P179">
        <f t="shared" si="47"/>
        <v>3458602.5105356309</v>
      </c>
      <c r="Q179">
        <v>178</v>
      </c>
      <c r="R179">
        <f t="shared" si="60"/>
        <v>4184577.0304388832</v>
      </c>
      <c r="S179" s="64">
        <f>'Loan Prepayment'!$B$6</f>
        <v>7.5</v>
      </c>
      <c r="T179">
        <f>IF(R179&lt;=0,0,MIN(IF(AND('Loan Prepayment'!$E$15="Reduce EMI",W178&gt;0),-PMT(S179/1200,MAX(1,'Loan Prepayment'!$B$7*12-Q179+1),R179),T178),R179+U179))</f>
        <v>80559.31935518072</v>
      </c>
      <c r="U179">
        <f t="shared" si="48"/>
        <v>26153.60644024302</v>
      </c>
      <c r="V179">
        <f t="shared" si="49"/>
        <v>54405.7129149377</v>
      </c>
      <c r="W179">
        <f>IF(R179&lt;=0,0,MIN(MAX(0,R179-V179),0+IF(AND(Q179&gt;='Loan Prepayment'!$B$9,Q179&lt;='Loan Prepayment'!$E$16),'Loan Prepayment'!$B$8,0)))</f>
        <v>0</v>
      </c>
      <c r="X179">
        <f t="shared" si="50"/>
        <v>4130171.3175239456</v>
      </c>
      <c r="Y179">
        <v>178</v>
      </c>
      <c r="Z179">
        <f t="shared" si="61"/>
        <v>3240874.0101871784</v>
      </c>
      <c r="AA179">
        <f>IF(Y179&gt;='Loan Prepayment'!$E$11,'Loan Prepayment'!$E$12,'Loan Prepayment'!$B$6)</f>
        <v>6.5</v>
      </c>
      <c r="AB179">
        <f>IF(Z179&lt;=0,0,MIN(IF(Y179='Loan Prepayment'!$E$11,IF('Loan Prepayment'!$E$13="Keep tenure, recalculate EMI",-PMT(AA179/1200,MAX(1,'Loan Prepayment'!$B$7*12-Y179+1),Z179),AB178),AB178),Z179+AC179))</f>
        <v>80559.31935518072</v>
      </c>
      <c r="AC179">
        <f t="shared" si="51"/>
        <v>17554.734221847215</v>
      </c>
      <c r="AD179">
        <f t="shared" si="52"/>
        <v>63004.585133333501</v>
      </c>
      <c r="AE179">
        <f t="shared" si="53"/>
        <v>0</v>
      </c>
      <c r="AF179">
        <f t="shared" si="54"/>
        <v>3177869.4250538447</v>
      </c>
      <c r="AG179">
        <v>178</v>
      </c>
      <c r="AH179">
        <f t="shared" si="62"/>
        <v>2713905.5807212475</v>
      </c>
      <c r="AI179">
        <f>IF(AG179&gt;='Loan Prepayment'!$E$11,'Loan Prepayment'!$E$12,'Loan Prepayment'!$B$6)</f>
        <v>6.5</v>
      </c>
      <c r="AJ179">
        <f>IF(AH179&lt;=0,0,MIN(IF(AG179='Loan Prepayment'!$E$11,IF('Loan Prepayment'!$E$13="Keep tenure, recalculate EMI",-PMT(AI179/1200,MAX(1,'Loan Prepayment'!$B$7*12-AG179+1),AH179),IF(AND('Loan Prepayment'!$E$15="Reduce EMI",AM178&gt;0),-PMT(AI178/1200,MAX(1,'Loan Prepayment'!$B$7*12-AG179+1),AH179),AJ178)),IF(AND('Loan Prepayment'!$E$15="Reduce EMI",AM178&gt;0),-PMT(AI179/1200,MAX(1,'Loan Prepayment'!$B$7*12-AG179+1),AH179),AJ178)),AH179+AK179))</f>
        <v>67460.316473241648</v>
      </c>
      <c r="AK179">
        <f t="shared" si="55"/>
        <v>14700.321895573425</v>
      </c>
      <c r="AL179">
        <f t="shared" si="56"/>
        <v>52759.994577668222</v>
      </c>
      <c r="AM179">
        <f>IF(AH179&lt;=0,0,MIN(MAX(0,AH179-AL179),SUMIFS('Loan Prepayment'!$B$12:$B$31,'Loan Prepayment'!$A$12:$A$31,AG179)+IF(AND(AG179&gt;='Loan Prepayment'!$B$9,AG179&lt;='Loan Prepayment'!$E$16),'Loan Prepayment'!$B$8,0)))</f>
        <v>0</v>
      </c>
      <c r="AN179">
        <f t="shared" si="57"/>
        <v>2661145.5861435793</v>
      </c>
    </row>
    <row r="180" spans="1:40" x14ac:dyDescent="0.35">
      <c r="A180">
        <v>179</v>
      </c>
      <c r="B180">
        <f t="shared" si="58"/>
        <v>4130171.3175239456</v>
      </c>
      <c r="C180" s="64">
        <f>'Loan Prepayment'!$B$6</f>
        <v>7.5</v>
      </c>
      <c r="D180">
        <f>IF(B180&lt;=0,0,MIN(-PMT('Loan Prepayment'!$B$6/1200,'Loan Prepayment'!$B$7*12,'Loan Prepayment'!$B$5),B180+E180))</f>
        <v>80559.31935518072</v>
      </c>
      <c r="E180">
        <f t="shared" si="42"/>
        <v>25813.570734524659</v>
      </c>
      <c r="F180">
        <f t="shared" si="43"/>
        <v>54745.748620656057</v>
      </c>
      <c r="G180">
        <v>0</v>
      </c>
      <c r="H180">
        <f t="shared" si="44"/>
        <v>4075425.5689032897</v>
      </c>
      <c r="I180">
        <v>179</v>
      </c>
      <c r="J180">
        <f t="shared" si="59"/>
        <v>3458602.5105356309</v>
      </c>
      <c r="K180" s="64">
        <f>'Loan Prepayment'!$B$6</f>
        <v>7.5</v>
      </c>
      <c r="L180">
        <f>IF(J180&lt;=0,0,MIN(IF(AND('Loan Prepayment'!$E$15="Reduce EMI",O179&gt;0),-PMT(K180/1200,MAX(1,'Loan Prepayment'!$B$7*12-I180+1),J180),L179),J180+M180))</f>
        <v>67460.316473241648</v>
      </c>
      <c r="M180">
        <f t="shared" si="45"/>
        <v>21616.265690847693</v>
      </c>
      <c r="N180">
        <f t="shared" si="46"/>
        <v>45844.050782393955</v>
      </c>
      <c r="O180">
        <f>IF(J180&lt;=0,0,MIN(MAX(0,J180-N180),SUMIFS('Loan Prepayment'!$B$12:$B$31,'Loan Prepayment'!$A$12:$A$31,I180)+0))</f>
        <v>0</v>
      </c>
      <c r="P180">
        <f t="shared" si="47"/>
        <v>3412758.4597532367</v>
      </c>
      <c r="Q180">
        <v>179</v>
      </c>
      <c r="R180">
        <f t="shared" si="60"/>
        <v>4130171.3175239456</v>
      </c>
      <c r="S180" s="64">
        <f>'Loan Prepayment'!$B$6</f>
        <v>7.5</v>
      </c>
      <c r="T180">
        <f>IF(R180&lt;=0,0,MIN(IF(AND('Loan Prepayment'!$E$15="Reduce EMI",W179&gt;0),-PMT(S180/1200,MAX(1,'Loan Prepayment'!$B$7*12-Q180+1),R180),T179),R180+U180))</f>
        <v>80559.31935518072</v>
      </c>
      <c r="U180">
        <f t="shared" si="48"/>
        <v>25813.570734524659</v>
      </c>
      <c r="V180">
        <f t="shared" si="49"/>
        <v>54745.748620656057</v>
      </c>
      <c r="W180">
        <f>IF(R180&lt;=0,0,MIN(MAX(0,R180-V180),0+IF(AND(Q180&gt;='Loan Prepayment'!$B$9,Q180&lt;='Loan Prepayment'!$E$16),'Loan Prepayment'!$B$8,0)))</f>
        <v>0</v>
      </c>
      <c r="X180">
        <f t="shared" si="50"/>
        <v>4075425.5689032897</v>
      </c>
      <c r="Y180">
        <v>179</v>
      </c>
      <c r="Z180">
        <f t="shared" si="61"/>
        <v>3177869.4250538447</v>
      </c>
      <c r="AA180">
        <f>IF(Y180&gt;='Loan Prepayment'!$E$11,'Loan Prepayment'!$E$12,'Loan Prepayment'!$B$6)</f>
        <v>6.5</v>
      </c>
      <c r="AB180">
        <f>IF(Z180&lt;=0,0,MIN(IF(Y180='Loan Prepayment'!$E$11,IF('Loan Prepayment'!$E$13="Keep tenure, recalculate EMI",-PMT(AA180/1200,MAX(1,'Loan Prepayment'!$B$7*12-Y180+1),Z180),AB179),AB179),Z180+AC180))</f>
        <v>80559.31935518072</v>
      </c>
      <c r="AC180">
        <f t="shared" si="51"/>
        <v>17213.459385708324</v>
      </c>
      <c r="AD180">
        <f t="shared" si="52"/>
        <v>63345.859969472396</v>
      </c>
      <c r="AE180">
        <f t="shared" si="53"/>
        <v>0</v>
      </c>
      <c r="AF180">
        <f t="shared" si="54"/>
        <v>3114523.5650843722</v>
      </c>
      <c r="AG180">
        <v>179</v>
      </c>
      <c r="AH180">
        <f t="shared" si="62"/>
        <v>2661145.5861435793</v>
      </c>
      <c r="AI180">
        <f>IF(AG180&gt;='Loan Prepayment'!$E$11,'Loan Prepayment'!$E$12,'Loan Prepayment'!$B$6)</f>
        <v>6.5</v>
      </c>
      <c r="AJ180">
        <f>IF(AH180&lt;=0,0,MIN(IF(AG180='Loan Prepayment'!$E$11,IF('Loan Prepayment'!$E$13="Keep tenure, recalculate EMI",-PMT(AI180/1200,MAX(1,'Loan Prepayment'!$B$7*12-AG180+1),AH180),IF(AND('Loan Prepayment'!$E$15="Reduce EMI",AM179&gt;0),-PMT(AI179/1200,MAX(1,'Loan Prepayment'!$B$7*12-AG180+1),AH180),AJ179)),IF(AND('Loan Prepayment'!$E$15="Reduce EMI",AM179&gt;0),-PMT(AI180/1200,MAX(1,'Loan Prepayment'!$B$7*12-AG180+1),AH180),AJ179)),AH180+AK180))</f>
        <v>67460.316473241648</v>
      </c>
      <c r="AK180">
        <f t="shared" si="55"/>
        <v>14414.538591611055</v>
      </c>
      <c r="AL180">
        <f t="shared" si="56"/>
        <v>53045.777881630594</v>
      </c>
      <c r="AM180">
        <f>IF(AH180&lt;=0,0,MIN(MAX(0,AH180-AL180),SUMIFS('Loan Prepayment'!$B$12:$B$31,'Loan Prepayment'!$A$12:$A$31,AG180)+IF(AND(AG180&gt;='Loan Prepayment'!$B$9,AG180&lt;='Loan Prepayment'!$E$16),'Loan Prepayment'!$B$8,0)))</f>
        <v>0</v>
      </c>
      <c r="AN180">
        <f t="shared" si="57"/>
        <v>2608099.8082619486</v>
      </c>
    </row>
    <row r="181" spans="1:40" x14ac:dyDescent="0.35">
      <c r="A181">
        <v>180</v>
      </c>
      <c r="B181">
        <f t="shared" si="58"/>
        <v>4075425.5689032897</v>
      </c>
      <c r="C181" s="64">
        <f>'Loan Prepayment'!$B$6</f>
        <v>7.5</v>
      </c>
      <c r="D181">
        <f>IF(B181&lt;=0,0,MIN(-PMT('Loan Prepayment'!$B$6/1200,'Loan Prepayment'!$B$7*12,'Loan Prepayment'!$B$5),B181+E181))</f>
        <v>80559.31935518072</v>
      </c>
      <c r="E181">
        <f t="shared" si="42"/>
        <v>25471.409805645562</v>
      </c>
      <c r="F181">
        <f t="shared" si="43"/>
        <v>55087.909549535158</v>
      </c>
      <c r="G181">
        <v>0</v>
      </c>
      <c r="H181">
        <f t="shared" si="44"/>
        <v>4020337.6593537545</v>
      </c>
      <c r="I181">
        <v>180</v>
      </c>
      <c r="J181">
        <f t="shared" si="59"/>
        <v>3412758.4597532367</v>
      </c>
      <c r="K181" s="64">
        <f>'Loan Prepayment'!$B$6</f>
        <v>7.5</v>
      </c>
      <c r="L181">
        <f>IF(J181&lt;=0,0,MIN(IF(AND('Loan Prepayment'!$E$15="Reduce EMI",O180&gt;0),-PMT(K181/1200,MAX(1,'Loan Prepayment'!$B$7*12-I181+1),J181),L180),J181+M181))</f>
        <v>67460.316473241648</v>
      </c>
      <c r="M181">
        <f t="shared" si="45"/>
        <v>21329.740373457727</v>
      </c>
      <c r="N181">
        <f t="shared" si="46"/>
        <v>46130.576099783924</v>
      </c>
      <c r="O181">
        <f>IF(J181&lt;=0,0,MIN(MAX(0,J181-N181),SUMIFS('Loan Prepayment'!$B$12:$B$31,'Loan Prepayment'!$A$12:$A$31,I181)+0))</f>
        <v>0</v>
      </c>
      <c r="P181">
        <f t="shared" si="47"/>
        <v>3366627.8836534526</v>
      </c>
      <c r="Q181">
        <v>180</v>
      </c>
      <c r="R181">
        <f t="shared" si="60"/>
        <v>4075425.5689032897</v>
      </c>
      <c r="S181" s="64">
        <f>'Loan Prepayment'!$B$6</f>
        <v>7.5</v>
      </c>
      <c r="T181">
        <f>IF(R181&lt;=0,0,MIN(IF(AND('Loan Prepayment'!$E$15="Reduce EMI",W180&gt;0),-PMT(S181/1200,MAX(1,'Loan Prepayment'!$B$7*12-Q181+1),R181),T180),R181+U181))</f>
        <v>80559.31935518072</v>
      </c>
      <c r="U181">
        <f t="shared" si="48"/>
        <v>25471.409805645562</v>
      </c>
      <c r="V181">
        <f t="shared" si="49"/>
        <v>55087.909549535158</v>
      </c>
      <c r="W181">
        <f>IF(R181&lt;=0,0,MIN(MAX(0,R181-V181),0+IF(AND(Q181&gt;='Loan Prepayment'!$B$9,Q181&lt;='Loan Prepayment'!$E$16),'Loan Prepayment'!$B$8,0)))</f>
        <v>0</v>
      </c>
      <c r="X181">
        <f t="shared" si="50"/>
        <v>4020337.6593537545</v>
      </c>
      <c r="Y181">
        <v>180</v>
      </c>
      <c r="Z181">
        <f t="shared" si="61"/>
        <v>3114523.5650843722</v>
      </c>
      <c r="AA181">
        <f>IF(Y181&gt;='Loan Prepayment'!$E$11,'Loan Prepayment'!$E$12,'Loan Prepayment'!$B$6)</f>
        <v>6.5</v>
      </c>
      <c r="AB181">
        <f>IF(Z181&lt;=0,0,MIN(IF(Y181='Loan Prepayment'!$E$11,IF('Loan Prepayment'!$E$13="Keep tenure, recalculate EMI",-PMT(AA181/1200,MAX(1,'Loan Prepayment'!$B$7*12-Y181+1),Z181),AB180),AB180),Z181+AC181))</f>
        <v>80559.31935518072</v>
      </c>
      <c r="AC181">
        <f t="shared" si="51"/>
        <v>16870.335977540348</v>
      </c>
      <c r="AD181">
        <f t="shared" si="52"/>
        <v>63688.983377640368</v>
      </c>
      <c r="AE181">
        <f t="shared" si="53"/>
        <v>0</v>
      </c>
      <c r="AF181">
        <f t="shared" si="54"/>
        <v>3050834.5817067316</v>
      </c>
      <c r="AG181">
        <v>180</v>
      </c>
      <c r="AH181">
        <f t="shared" si="62"/>
        <v>2608099.8082619486</v>
      </c>
      <c r="AI181">
        <f>IF(AG181&gt;='Loan Prepayment'!$E$11,'Loan Prepayment'!$E$12,'Loan Prepayment'!$B$6)</f>
        <v>6.5</v>
      </c>
      <c r="AJ181">
        <f>IF(AH181&lt;=0,0,MIN(IF(AG181='Loan Prepayment'!$E$11,IF('Loan Prepayment'!$E$13="Keep tenure, recalculate EMI",-PMT(AI181/1200,MAX(1,'Loan Prepayment'!$B$7*12-AG181+1),AH181),IF(AND('Loan Prepayment'!$E$15="Reduce EMI",AM180&gt;0),-PMT(AI180/1200,MAX(1,'Loan Prepayment'!$B$7*12-AG181+1),AH181),AJ180)),IF(AND('Loan Prepayment'!$E$15="Reduce EMI",AM180&gt;0),-PMT(AI181/1200,MAX(1,'Loan Prepayment'!$B$7*12-AG181+1),AH181),AJ180)),AH181+AK181))</f>
        <v>67460.316473241648</v>
      </c>
      <c r="AK181">
        <f t="shared" si="55"/>
        <v>14127.207294752223</v>
      </c>
      <c r="AL181">
        <f t="shared" si="56"/>
        <v>53333.109178489423</v>
      </c>
      <c r="AM181">
        <f>IF(AH181&lt;=0,0,MIN(MAX(0,AH181-AL181),SUMIFS('Loan Prepayment'!$B$12:$B$31,'Loan Prepayment'!$A$12:$A$31,AG181)+IF(AND(AG181&gt;='Loan Prepayment'!$B$9,AG181&lt;='Loan Prepayment'!$E$16),'Loan Prepayment'!$B$8,0)))</f>
        <v>0</v>
      </c>
      <c r="AN181">
        <f t="shared" si="57"/>
        <v>2554766.6990834591</v>
      </c>
    </row>
    <row r="182" spans="1:40" x14ac:dyDescent="0.35">
      <c r="A182">
        <v>181</v>
      </c>
      <c r="B182">
        <f t="shared" si="58"/>
        <v>4020337.6593537545</v>
      </c>
      <c r="C182" s="64">
        <f>'Loan Prepayment'!$B$6</f>
        <v>7.5</v>
      </c>
      <c r="D182">
        <f>IF(B182&lt;=0,0,MIN(-PMT('Loan Prepayment'!$B$6/1200,'Loan Prepayment'!$B$7*12,'Loan Prepayment'!$B$5),B182+E182))</f>
        <v>80559.31935518072</v>
      </c>
      <c r="E182">
        <f t="shared" si="42"/>
        <v>25127.110370960963</v>
      </c>
      <c r="F182">
        <f t="shared" si="43"/>
        <v>55432.20898421976</v>
      </c>
      <c r="G182">
        <v>0</v>
      </c>
      <c r="H182">
        <f t="shared" si="44"/>
        <v>3964905.4503695345</v>
      </c>
      <c r="I182">
        <v>181</v>
      </c>
      <c r="J182">
        <f t="shared" si="59"/>
        <v>3366627.8836534526</v>
      </c>
      <c r="K182" s="64">
        <f>'Loan Prepayment'!$B$6</f>
        <v>7.5</v>
      </c>
      <c r="L182">
        <f>IF(J182&lt;=0,0,MIN(IF(AND('Loan Prepayment'!$E$15="Reduce EMI",O181&gt;0),-PMT(K182/1200,MAX(1,'Loan Prepayment'!$B$7*12-I182+1),J182),L181),J182+M182))</f>
        <v>67460.316473241648</v>
      </c>
      <c r="M182">
        <f t="shared" si="45"/>
        <v>21041.42427283408</v>
      </c>
      <c r="N182">
        <f t="shared" si="46"/>
        <v>46418.892200407572</v>
      </c>
      <c r="O182">
        <f>IF(J182&lt;=0,0,MIN(MAX(0,J182-N182),SUMIFS('Loan Prepayment'!$B$12:$B$31,'Loan Prepayment'!$A$12:$A$31,I182)+0))</f>
        <v>0</v>
      </c>
      <c r="P182">
        <f t="shared" si="47"/>
        <v>3320208.991453045</v>
      </c>
      <c r="Q182">
        <v>181</v>
      </c>
      <c r="R182">
        <f t="shared" si="60"/>
        <v>4020337.6593537545</v>
      </c>
      <c r="S182" s="64">
        <f>'Loan Prepayment'!$B$6</f>
        <v>7.5</v>
      </c>
      <c r="T182">
        <f>IF(R182&lt;=0,0,MIN(IF(AND('Loan Prepayment'!$E$15="Reduce EMI",W181&gt;0),-PMT(S182/1200,MAX(1,'Loan Prepayment'!$B$7*12-Q182+1),R182),T181),R182+U182))</f>
        <v>80559.31935518072</v>
      </c>
      <c r="U182">
        <f t="shared" si="48"/>
        <v>25127.110370960963</v>
      </c>
      <c r="V182">
        <f t="shared" si="49"/>
        <v>55432.20898421976</v>
      </c>
      <c r="W182">
        <f>IF(R182&lt;=0,0,MIN(MAX(0,R182-V182),0+IF(AND(Q182&gt;='Loan Prepayment'!$B$9,Q182&lt;='Loan Prepayment'!$E$16),'Loan Prepayment'!$B$8,0)))</f>
        <v>0</v>
      </c>
      <c r="X182">
        <f t="shared" si="50"/>
        <v>3964905.4503695345</v>
      </c>
      <c r="Y182">
        <v>181</v>
      </c>
      <c r="Z182">
        <f t="shared" si="61"/>
        <v>3050834.5817067316</v>
      </c>
      <c r="AA182">
        <f>IF(Y182&gt;='Loan Prepayment'!$E$11,'Loan Prepayment'!$E$12,'Loan Prepayment'!$B$6)</f>
        <v>6.5</v>
      </c>
      <c r="AB182">
        <f>IF(Z182&lt;=0,0,MIN(IF(Y182='Loan Prepayment'!$E$11,IF('Loan Prepayment'!$E$13="Keep tenure, recalculate EMI",-PMT(AA182/1200,MAX(1,'Loan Prepayment'!$B$7*12-Y182+1),Z182),AB181),AB181),Z182+AC182))</f>
        <v>80559.31935518072</v>
      </c>
      <c r="AC182">
        <f t="shared" si="51"/>
        <v>16525.353984244794</v>
      </c>
      <c r="AD182">
        <f t="shared" si="52"/>
        <v>64033.965370935926</v>
      </c>
      <c r="AE182">
        <f t="shared" si="53"/>
        <v>0</v>
      </c>
      <c r="AF182">
        <f t="shared" si="54"/>
        <v>2986800.6163357957</v>
      </c>
      <c r="AG182">
        <v>181</v>
      </c>
      <c r="AH182">
        <f t="shared" si="62"/>
        <v>2554766.6990834591</v>
      </c>
      <c r="AI182">
        <f>IF(AG182&gt;='Loan Prepayment'!$E$11,'Loan Prepayment'!$E$12,'Loan Prepayment'!$B$6)</f>
        <v>6.5</v>
      </c>
      <c r="AJ182">
        <f>IF(AH182&lt;=0,0,MIN(IF(AG182='Loan Prepayment'!$E$11,IF('Loan Prepayment'!$E$13="Keep tenure, recalculate EMI",-PMT(AI182/1200,MAX(1,'Loan Prepayment'!$B$7*12-AG182+1),AH182),IF(AND('Loan Prepayment'!$E$15="Reduce EMI",AM181&gt;0),-PMT(AI181/1200,MAX(1,'Loan Prepayment'!$B$7*12-AG182+1),AH182),AJ181)),IF(AND('Loan Prepayment'!$E$15="Reduce EMI",AM181&gt;0),-PMT(AI182/1200,MAX(1,'Loan Prepayment'!$B$7*12-AG182+1),AH182),AJ181)),AH182+AK182))</f>
        <v>67460.316473241648</v>
      </c>
      <c r="AK182">
        <f t="shared" si="55"/>
        <v>13838.319620035403</v>
      </c>
      <c r="AL182">
        <f t="shared" si="56"/>
        <v>53621.996853206248</v>
      </c>
      <c r="AM182">
        <f>IF(AH182&lt;=0,0,MIN(MAX(0,AH182-AL182),SUMIFS('Loan Prepayment'!$B$12:$B$31,'Loan Prepayment'!$A$12:$A$31,AG182)+IF(AND(AG182&gt;='Loan Prepayment'!$B$9,AG182&lt;='Loan Prepayment'!$E$16),'Loan Prepayment'!$B$8,0)))</f>
        <v>0</v>
      </c>
      <c r="AN182">
        <f t="shared" si="57"/>
        <v>2501144.7022302528</v>
      </c>
    </row>
    <row r="183" spans="1:40" x14ac:dyDescent="0.35">
      <c r="A183">
        <v>182</v>
      </c>
      <c r="B183">
        <f t="shared" si="58"/>
        <v>3964905.4503695345</v>
      </c>
      <c r="C183" s="64">
        <f>'Loan Prepayment'!$B$6</f>
        <v>7.5</v>
      </c>
      <c r="D183">
        <f>IF(B183&lt;=0,0,MIN(-PMT('Loan Prepayment'!$B$6/1200,'Loan Prepayment'!$B$7*12,'Loan Prepayment'!$B$5),B183+E183))</f>
        <v>80559.31935518072</v>
      </c>
      <c r="E183">
        <f t="shared" si="42"/>
        <v>24780.659064809592</v>
      </c>
      <c r="F183">
        <f t="shared" si="43"/>
        <v>55778.660290371132</v>
      </c>
      <c r="G183">
        <v>0</v>
      </c>
      <c r="H183">
        <f t="shared" si="44"/>
        <v>3909126.7900791634</v>
      </c>
      <c r="I183">
        <v>182</v>
      </c>
      <c r="J183">
        <f t="shared" si="59"/>
        <v>3320208.991453045</v>
      </c>
      <c r="K183" s="64">
        <f>'Loan Prepayment'!$B$6</f>
        <v>7.5</v>
      </c>
      <c r="L183">
        <f>IF(J183&lt;=0,0,MIN(IF(AND('Loan Prepayment'!$E$15="Reduce EMI",O182&gt;0),-PMT(K183/1200,MAX(1,'Loan Prepayment'!$B$7*12-I183+1),J183),L182),J183+M183))</f>
        <v>67460.316473241648</v>
      </c>
      <c r="M183">
        <f t="shared" si="45"/>
        <v>20751.306196581532</v>
      </c>
      <c r="N183">
        <f t="shared" si="46"/>
        <v>46709.010276660119</v>
      </c>
      <c r="O183">
        <f>IF(J183&lt;=0,0,MIN(MAX(0,J183-N183),SUMIFS('Loan Prepayment'!$B$12:$B$31,'Loan Prepayment'!$A$12:$A$31,I183)+0))</f>
        <v>0</v>
      </c>
      <c r="P183">
        <f t="shared" si="47"/>
        <v>3273499.9811763847</v>
      </c>
      <c r="Q183">
        <v>182</v>
      </c>
      <c r="R183">
        <f t="shared" si="60"/>
        <v>3964905.4503695345</v>
      </c>
      <c r="S183" s="64">
        <f>'Loan Prepayment'!$B$6</f>
        <v>7.5</v>
      </c>
      <c r="T183">
        <f>IF(R183&lt;=0,0,MIN(IF(AND('Loan Prepayment'!$E$15="Reduce EMI",W182&gt;0),-PMT(S183/1200,MAX(1,'Loan Prepayment'!$B$7*12-Q183+1),R183),T182),R183+U183))</f>
        <v>80559.31935518072</v>
      </c>
      <c r="U183">
        <f t="shared" si="48"/>
        <v>24780.659064809592</v>
      </c>
      <c r="V183">
        <f t="shared" si="49"/>
        <v>55778.660290371132</v>
      </c>
      <c r="W183">
        <f>IF(R183&lt;=0,0,MIN(MAX(0,R183-V183),0+IF(AND(Q183&gt;='Loan Prepayment'!$B$9,Q183&lt;='Loan Prepayment'!$E$16),'Loan Prepayment'!$B$8,0)))</f>
        <v>0</v>
      </c>
      <c r="X183">
        <f t="shared" si="50"/>
        <v>3909126.7900791634</v>
      </c>
      <c r="Y183">
        <v>182</v>
      </c>
      <c r="Z183">
        <f t="shared" si="61"/>
        <v>2986800.6163357957</v>
      </c>
      <c r="AA183">
        <f>IF(Y183&gt;='Loan Prepayment'!$E$11,'Loan Prepayment'!$E$12,'Loan Prepayment'!$B$6)</f>
        <v>6.5</v>
      </c>
      <c r="AB183">
        <f>IF(Z183&lt;=0,0,MIN(IF(Y183='Loan Prepayment'!$E$11,IF('Loan Prepayment'!$E$13="Keep tenure, recalculate EMI",-PMT(AA183/1200,MAX(1,'Loan Prepayment'!$B$7*12-Y183+1),Z183),AB182),AB182),Z183+AC183))</f>
        <v>80559.31935518072</v>
      </c>
      <c r="AC183">
        <f t="shared" si="51"/>
        <v>16178.50333848556</v>
      </c>
      <c r="AD183">
        <f t="shared" si="52"/>
        <v>64380.816016695157</v>
      </c>
      <c r="AE183">
        <f t="shared" si="53"/>
        <v>0</v>
      </c>
      <c r="AF183">
        <f t="shared" si="54"/>
        <v>2922419.8003191007</v>
      </c>
      <c r="AG183">
        <v>182</v>
      </c>
      <c r="AH183">
        <f t="shared" si="62"/>
        <v>2501144.7022302528</v>
      </c>
      <c r="AI183">
        <f>IF(AG183&gt;='Loan Prepayment'!$E$11,'Loan Prepayment'!$E$12,'Loan Prepayment'!$B$6)</f>
        <v>6.5</v>
      </c>
      <c r="AJ183">
        <f>IF(AH183&lt;=0,0,MIN(IF(AG183='Loan Prepayment'!$E$11,IF('Loan Prepayment'!$E$13="Keep tenure, recalculate EMI",-PMT(AI183/1200,MAX(1,'Loan Prepayment'!$B$7*12-AG183+1),AH183),IF(AND('Loan Prepayment'!$E$15="Reduce EMI",AM182&gt;0),-PMT(AI182/1200,MAX(1,'Loan Prepayment'!$B$7*12-AG183+1),AH183),AJ182)),IF(AND('Loan Prepayment'!$E$15="Reduce EMI",AM182&gt;0),-PMT(AI183/1200,MAX(1,'Loan Prepayment'!$B$7*12-AG183+1),AH183),AJ182)),AH183+AK183))</f>
        <v>67460.316473241648</v>
      </c>
      <c r="AK183">
        <f t="shared" si="55"/>
        <v>13547.867137080537</v>
      </c>
      <c r="AL183">
        <f t="shared" si="56"/>
        <v>53912.449336161109</v>
      </c>
      <c r="AM183">
        <f>IF(AH183&lt;=0,0,MIN(MAX(0,AH183-AL183),SUMIFS('Loan Prepayment'!$B$12:$B$31,'Loan Prepayment'!$A$12:$A$31,AG183)+IF(AND(AG183&gt;='Loan Prepayment'!$B$9,AG183&lt;='Loan Prepayment'!$E$16),'Loan Prepayment'!$B$8,0)))</f>
        <v>0</v>
      </c>
      <c r="AN183">
        <f t="shared" si="57"/>
        <v>2447232.2528940919</v>
      </c>
    </row>
    <row r="184" spans="1:40" x14ac:dyDescent="0.35">
      <c r="A184">
        <v>183</v>
      </c>
      <c r="B184">
        <f t="shared" si="58"/>
        <v>3909126.7900791634</v>
      </c>
      <c r="C184" s="64">
        <f>'Loan Prepayment'!$B$6</f>
        <v>7.5</v>
      </c>
      <c r="D184">
        <f>IF(B184&lt;=0,0,MIN(-PMT('Loan Prepayment'!$B$6/1200,'Loan Prepayment'!$B$7*12,'Loan Prepayment'!$B$5),B184+E184))</f>
        <v>80559.31935518072</v>
      </c>
      <c r="E184">
        <f t="shared" si="42"/>
        <v>24432.042437994773</v>
      </c>
      <c r="F184">
        <f t="shared" si="43"/>
        <v>56127.276917185947</v>
      </c>
      <c r="G184">
        <v>0</v>
      </c>
      <c r="H184">
        <f t="shared" si="44"/>
        <v>3852999.5131619773</v>
      </c>
      <c r="I184">
        <v>183</v>
      </c>
      <c r="J184">
        <f t="shared" si="59"/>
        <v>3273499.9811763847</v>
      </c>
      <c r="K184" s="64">
        <f>'Loan Prepayment'!$B$6</f>
        <v>7.5</v>
      </c>
      <c r="L184">
        <f>IF(J184&lt;=0,0,MIN(IF(AND('Loan Prepayment'!$E$15="Reduce EMI",O183&gt;0),-PMT(K184/1200,MAX(1,'Loan Prepayment'!$B$7*12-I184+1),J184),L183),J184+M184))</f>
        <v>67460.316473241648</v>
      </c>
      <c r="M184">
        <f t="shared" si="45"/>
        <v>20459.374882352404</v>
      </c>
      <c r="N184">
        <f t="shared" si="46"/>
        <v>47000.941590889241</v>
      </c>
      <c r="O184">
        <f>IF(J184&lt;=0,0,MIN(MAX(0,J184-N184),SUMIFS('Loan Prepayment'!$B$12:$B$31,'Loan Prepayment'!$A$12:$A$31,I184)+0))</f>
        <v>0</v>
      </c>
      <c r="P184">
        <f t="shared" si="47"/>
        <v>3226499.0395854954</v>
      </c>
      <c r="Q184">
        <v>183</v>
      </c>
      <c r="R184">
        <f t="shared" si="60"/>
        <v>3909126.7900791634</v>
      </c>
      <c r="S184" s="64">
        <f>'Loan Prepayment'!$B$6</f>
        <v>7.5</v>
      </c>
      <c r="T184">
        <f>IF(R184&lt;=0,0,MIN(IF(AND('Loan Prepayment'!$E$15="Reduce EMI",W183&gt;0),-PMT(S184/1200,MAX(1,'Loan Prepayment'!$B$7*12-Q184+1),R184),T183),R184+U184))</f>
        <v>80559.31935518072</v>
      </c>
      <c r="U184">
        <f t="shared" si="48"/>
        <v>24432.042437994773</v>
      </c>
      <c r="V184">
        <f t="shared" si="49"/>
        <v>56127.276917185947</v>
      </c>
      <c r="W184">
        <f>IF(R184&lt;=0,0,MIN(MAX(0,R184-V184),0+IF(AND(Q184&gt;='Loan Prepayment'!$B$9,Q184&lt;='Loan Prepayment'!$E$16),'Loan Prepayment'!$B$8,0)))</f>
        <v>0</v>
      </c>
      <c r="X184">
        <f t="shared" si="50"/>
        <v>3852999.5131619773</v>
      </c>
      <c r="Y184">
        <v>183</v>
      </c>
      <c r="Z184">
        <f t="shared" si="61"/>
        <v>2922419.8003191007</v>
      </c>
      <c r="AA184">
        <f>IF(Y184&gt;='Loan Prepayment'!$E$11,'Loan Prepayment'!$E$12,'Loan Prepayment'!$B$6)</f>
        <v>6.5</v>
      </c>
      <c r="AB184">
        <f>IF(Z184&lt;=0,0,MIN(IF(Y184='Loan Prepayment'!$E$11,IF('Loan Prepayment'!$E$13="Keep tenure, recalculate EMI",-PMT(AA184/1200,MAX(1,'Loan Prepayment'!$B$7*12-Y184+1),Z184),AB183),AB183),Z184+AC184))</f>
        <v>80559.31935518072</v>
      </c>
      <c r="AC184">
        <f t="shared" si="51"/>
        <v>15829.773918395129</v>
      </c>
      <c r="AD184">
        <f t="shared" si="52"/>
        <v>64729.545436785593</v>
      </c>
      <c r="AE184">
        <f t="shared" si="53"/>
        <v>0</v>
      </c>
      <c r="AF184">
        <f t="shared" si="54"/>
        <v>2857690.2548823152</v>
      </c>
      <c r="AG184">
        <v>183</v>
      </c>
      <c r="AH184">
        <f t="shared" si="62"/>
        <v>2447232.2528940919</v>
      </c>
      <c r="AI184">
        <f>IF(AG184&gt;='Loan Prepayment'!$E$11,'Loan Prepayment'!$E$12,'Loan Prepayment'!$B$6)</f>
        <v>6.5</v>
      </c>
      <c r="AJ184">
        <f>IF(AH184&lt;=0,0,MIN(IF(AG184='Loan Prepayment'!$E$11,IF('Loan Prepayment'!$E$13="Keep tenure, recalculate EMI",-PMT(AI184/1200,MAX(1,'Loan Prepayment'!$B$7*12-AG184+1),AH184),IF(AND('Loan Prepayment'!$E$15="Reduce EMI",AM183&gt;0),-PMT(AI183/1200,MAX(1,'Loan Prepayment'!$B$7*12-AG184+1),AH184),AJ183)),IF(AND('Loan Prepayment'!$E$15="Reduce EMI",AM183&gt;0),-PMT(AI184/1200,MAX(1,'Loan Prepayment'!$B$7*12-AG184+1),AH184),AJ183)),AH184+AK184))</f>
        <v>67460.316473241648</v>
      </c>
      <c r="AK184">
        <f t="shared" si="55"/>
        <v>13255.841369842998</v>
      </c>
      <c r="AL184">
        <f t="shared" si="56"/>
        <v>54204.475103398654</v>
      </c>
      <c r="AM184">
        <f>IF(AH184&lt;=0,0,MIN(MAX(0,AH184-AL184),SUMIFS('Loan Prepayment'!$B$12:$B$31,'Loan Prepayment'!$A$12:$A$31,AG184)+IF(AND(AG184&gt;='Loan Prepayment'!$B$9,AG184&lt;='Loan Prepayment'!$E$16),'Loan Prepayment'!$B$8,0)))</f>
        <v>0</v>
      </c>
      <c r="AN184">
        <f t="shared" si="57"/>
        <v>2393027.7777906931</v>
      </c>
    </row>
    <row r="185" spans="1:40" x14ac:dyDescent="0.35">
      <c r="A185">
        <v>184</v>
      </c>
      <c r="B185">
        <f t="shared" si="58"/>
        <v>3852999.5131619773</v>
      </c>
      <c r="C185" s="64">
        <f>'Loan Prepayment'!$B$6</f>
        <v>7.5</v>
      </c>
      <c r="D185">
        <f>IF(B185&lt;=0,0,MIN(-PMT('Loan Prepayment'!$B$6/1200,'Loan Prepayment'!$B$7*12,'Loan Prepayment'!$B$5),B185+E185))</f>
        <v>80559.31935518072</v>
      </c>
      <c r="E185">
        <f t="shared" si="42"/>
        <v>24081.246957262356</v>
      </c>
      <c r="F185">
        <f t="shared" si="43"/>
        <v>56478.072397918368</v>
      </c>
      <c r="G185">
        <v>0</v>
      </c>
      <c r="H185">
        <f t="shared" si="44"/>
        <v>3796521.4407640588</v>
      </c>
      <c r="I185">
        <v>184</v>
      </c>
      <c r="J185">
        <f t="shared" si="59"/>
        <v>3226499.0395854954</v>
      </c>
      <c r="K185" s="64">
        <f>'Loan Prepayment'!$B$6</f>
        <v>7.5</v>
      </c>
      <c r="L185">
        <f>IF(J185&lt;=0,0,MIN(IF(AND('Loan Prepayment'!$E$15="Reduce EMI",O184&gt;0),-PMT(K185/1200,MAX(1,'Loan Prepayment'!$B$7*12-I185+1),J185),L184),J185+M185))</f>
        <v>67460.316473241648</v>
      </c>
      <c r="M185">
        <f t="shared" si="45"/>
        <v>20165.618997409347</v>
      </c>
      <c r="N185">
        <f t="shared" si="46"/>
        <v>47294.697475832305</v>
      </c>
      <c r="O185">
        <f>IF(J185&lt;=0,0,MIN(MAX(0,J185-N185),SUMIFS('Loan Prepayment'!$B$12:$B$31,'Loan Prepayment'!$A$12:$A$31,I185)+0))</f>
        <v>0</v>
      </c>
      <c r="P185">
        <f t="shared" si="47"/>
        <v>3179204.3421096629</v>
      </c>
      <c r="Q185">
        <v>184</v>
      </c>
      <c r="R185">
        <f t="shared" si="60"/>
        <v>3852999.5131619773</v>
      </c>
      <c r="S185" s="64">
        <f>'Loan Prepayment'!$B$6</f>
        <v>7.5</v>
      </c>
      <c r="T185">
        <f>IF(R185&lt;=0,0,MIN(IF(AND('Loan Prepayment'!$E$15="Reduce EMI",W184&gt;0),-PMT(S185/1200,MAX(1,'Loan Prepayment'!$B$7*12-Q185+1),R185),T184),R185+U185))</f>
        <v>80559.31935518072</v>
      </c>
      <c r="U185">
        <f t="shared" si="48"/>
        <v>24081.246957262356</v>
      </c>
      <c r="V185">
        <f t="shared" si="49"/>
        <v>56478.072397918368</v>
      </c>
      <c r="W185">
        <f>IF(R185&lt;=0,0,MIN(MAX(0,R185-V185),0+IF(AND(Q185&gt;='Loan Prepayment'!$B$9,Q185&lt;='Loan Prepayment'!$E$16),'Loan Prepayment'!$B$8,0)))</f>
        <v>0</v>
      </c>
      <c r="X185">
        <f t="shared" si="50"/>
        <v>3796521.4407640588</v>
      </c>
      <c r="Y185">
        <v>184</v>
      </c>
      <c r="Z185">
        <f t="shared" si="61"/>
        <v>2857690.2548823152</v>
      </c>
      <c r="AA185">
        <f>IF(Y185&gt;='Loan Prepayment'!$E$11,'Loan Prepayment'!$E$12,'Loan Prepayment'!$B$6)</f>
        <v>6.5</v>
      </c>
      <c r="AB185">
        <f>IF(Z185&lt;=0,0,MIN(IF(Y185='Loan Prepayment'!$E$11,IF('Loan Prepayment'!$E$13="Keep tenure, recalculate EMI",-PMT(AA185/1200,MAX(1,'Loan Prepayment'!$B$7*12-Y185+1),Z185),AB184),AB184),Z185+AC185))</f>
        <v>80559.31935518072</v>
      </c>
      <c r="AC185">
        <f t="shared" si="51"/>
        <v>15479.155547279206</v>
      </c>
      <c r="AD185">
        <f t="shared" si="52"/>
        <v>65080.16380790151</v>
      </c>
      <c r="AE185">
        <f t="shared" si="53"/>
        <v>0</v>
      </c>
      <c r="AF185">
        <f t="shared" si="54"/>
        <v>2792610.0910744136</v>
      </c>
      <c r="AG185">
        <v>184</v>
      </c>
      <c r="AH185">
        <f t="shared" si="62"/>
        <v>2393027.7777906931</v>
      </c>
      <c r="AI185">
        <f>IF(AG185&gt;='Loan Prepayment'!$E$11,'Loan Prepayment'!$E$12,'Loan Prepayment'!$B$6)</f>
        <v>6.5</v>
      </c>
      <c r="AJ185">
        <f>IF(AH185&lt;=0,0,MIN(IF(AG185='Loan Prepayment'!$E$11,IF('Loan Prepayment'!$E$13="Keep tenure, recalculate EMI",-PMT(AI185/1200,MAX(1,'Loan Prepayment'!$B$7*12-AG185+1),AH185),IF(AND('Loan Prepayment'!$E$15="Reduce EMI",AM184&gt;0),-PMT(AI184/1200,MAX(1,'Loan Prepayment'!$B$7*12-AG185+1),AH185),AJ184)),IF(AND('Loan Prepayment'!$E$15="Reduce EMI",AM184&gt;0),-PMT(AI185/1200,MAX(1,'Loan Prepayment'!$B$7*12-AG185+1),AH185),AJ184)),AH185+AK185))</f>
        <v>67460.316473241648</v>
      </c>
      <c r="AK185">
        <f t="shared" si="55"/>
        <v>12962.233796366254</v>
      </c>
      <c r="AL185">
        <f t="shared" si="56"/>
        <v>54498.08267687539</v>
      </c>
      <c r="AM185">
        <f>IF(AH185&lt;=0,0,MIN(MAX(0,AH185-AL185),SUMIFS('Loan Prepayment'!$B$12:$B$31,'Loan Prepayment'!$A$12:$A$31,AG185)+IF(AND(AG185&gt;='Loan Prepayment'!$B$9,AG185&lt;='Loan Prepayment'!$E$16),'Loan Prepayment'!$B$8,0)))</f>
        <v>0</v>
      </c>
      <c r="AN185">
        <f t="shared" si="57"/>
        <v>2338529.6951138177</v>
      </c>
    </row>
    <row r="186" spans="1:40" x14ac:dyDescent="0.35">
      <c r="A186">
        <v>185</v>
      </c>
      <c r="B186">
        <f t="shared" si="58"/>
        <v>3796521.4407640588</v>
      </c>
      <c r="C186" s="64">
        <f>'Loan Prepayment'!$B$6</f>
        <v>7.5</v>
      </c>
      <c r="D186">
        <f>IF(B186&lt;=0,0,MIN(-PMT('Loan Prepayment'!$B$6/1200,'Loan Prepayment'!$B$7*12,'Loan Prepayment'!$B$5),B186+E186))</f>
        <v>80559.31935518072</v>
      </c>
      <c r="E186">
        <f t="shared" si="42"/>
        <v>23728.259004775366</v>
      </c>
      <c r="F186">
        <f t="shared" si="43"/>
        <v>56831.060350405358</v>
      </c>
      <c r="G186">
        <v>0</v>
      </c>
      <c r="H186">
        <f t="shared" si="44"/>
        <v>3739690.3804136533</v>
      </c>
      <c r="I186">
        <v>185</v>
      </c>
      <c r="J186">
        <f t="shared" si="59"/>
        <v>3179204.3421096629</v>
      </c>
      <c r="K186" s="64">
        <f>'Loan Prepayment'!$B$6</f>
        <v>7.5</v>
      </c>
      <c r="L186">
        <f>IF(J186&lt;=0,0,MIN(IF(AND('Loan Prepayment'!$E$15="Reduce EMI",O185&gt;0),-PMT(K186/1200,MAX(1,'Loan Prepayment'!$B$7*12-I186+1),J186),L185),J186+M186))</f>
        <v>67460.316473241648</v>
      </c>
      <c r="M186">
        <f t="shared" si="45"/>
        <v>19870.027138185393</v>
      </c>
      <c r="N186">
        <f t="shared" si="46"/>
        <v>47590.289335056252</v>
      </c>
      <c r="O186">
        <f>IF(J186&lt;=0,0,MIN(MAX(0,J186-N186),SUMIFS('Loan Prepayment'!$B$12:$B$31,'Loan Prepayment'!$A$12:$A$31,I186)+0))</f>
        <v>0</v>
      </c>
      <c r="P186">
        <f t="shared" si="47"/>
        <v>3131614.0527746067</v>
      </c>
      <c r="Q186">
        <v>185</v>
      </c>
      <c r="R186">
        <f t="shared" si="60"/>
        <v>3796521.4407640588</v>
      </c>
      <c r="S186" s="64">
        <f>'Loan Prepayment'!$B$6</f>
        <v>7.5</v>
      </c>
      <c r="T186">
        <f>IF(R186&lt;=0,0,MIN(IF(AND('Loan Prepayment'!$E$15="Reduce EMI",W185&gt;0),-PMT(S186/1200,MAX(1,'Loan Prepayment'!$B$7*12-Q186+1),R186),T185),R186+U186))</f>
        <v>80559.31935518072</v>
      </c>
      <c r="U186">
        <f t="shared" si="48"/>
        <v>23728.259004775366</v>
      </c>
      <c r="V186">
        <f t="shared" si="49"/>
        <v>56831.060350405358</v>
      </c>
      <c r="W186">
        <f>IF(R186&lt;=0,0,MIN(MAX(0,R186-V186),0+IF(AND(Q186&gt;='Loan Prepayment'!$B$9,Q186&lt;='Loan Prepayment'!$E$16),'Loan Prepayment'!$B$8,0)))</f>
        <v>0</v>
      </c>
      <c r="X186">
        <f t="shared" si="50"/>
        <v>3739690.3804136533</v>
      </c>
      <c r="Y186">
        <v>185</v>
      </c>
      <c r="Z186">
        <f t="shared" si="61"/>
        <v>2792610.0910744136</v>
      </c>
      <c r="AA186">
        <f>IF(Y186&gt;='Loan Prepayment'!$E$11,'Loan Prepayment'!$E$12,'Loan Prepayment'!$B$6)</f>
        <v>6.5</v>
      </c>
      <c r="AB186">
        <f>IF(Z186&lt;=0,0,MIN(IF(Y186='Loan Prepayment'!$E$11,IF('Loan Prepayment'!$E$13="Keep tenure, recalculate EMI",-PMT(AA186/1200,MAX(1,'Loan Prepayment'!$B$7*12-Y186+1),Z186),AB185),AB185),Z186+AC186))</f>
        <v>80559.31935518072</v>
      </c>
      <c r="AC186">
        <f t="shared" si="51"/>
        <v>15126.637993319739</v>
      </c>
      <c r="AD186">
        <f t="shared" si="52"/>
        <v>65432.681361860981</v>
      </c>
      <c r="AE186">
        <f t="shared" si="53"/>
        <v>0</v>
      </c>
      <c r="AF186">
        <f t="shared" si="54"/>
        <v>2727177.4097125526</v>
      </c>
      <c r="AG186">
        <v>185</v>
      </c>
      <c r="AH186">
        <f t="shared" si="62"/>
        <v>2338529.6951138177</v>
      </c>
      <c r="AI186">
        <f>IF(AG186&gt;='Loan Prepayment'!$E$11,'Loan Prepayment'!$E$12,'Loan Prepayment'!$B$6)</f>
        <v>6.5</v>
      </c>
      <c r="AJ186">
        <f>IF(AH186&lt;=0,0,MIN(IF(AG186='Loan Prepayment'!$E$11,IF('Loan Prepayment'!$E$13="Keep tenure, recalculate EMI",-PMT(AI186/1200,MAX(1,'Loan Prepayment'!$B$7*12-AG186+1),AH186),IF(AND('Loan Prepayment'!$E$15="Reduce EMI",AM185&gt;0),-PMT(AI185/1200,MAX(1,'Loan Prepayment'!$B$7*12-AG186+1),AH186),AJ185)),IF(AND('Loan Prepayment'!$E$15="Reduce EMI",AM185&gt;0),-PMT(AI186/1200,MAX(1,'Loan Prepayment'!$B$7*12-AG186+1),AH186),AJ185)),AH186+AK186))</f>
        <v>67460.316473241648</v>
      </c>
      <c r="AK186">
        <f t="shared" si="55"/>
        <v>12667.03584853318</v>
      </c>
      <c r="AL186">
        <f t="shared" si="56"/>
        <v>54793.280624708466</v>
      </c>
      <c r="AM186">
        <f>IF(AH186&lt;=0,0,MIN(MAX(0,AH186-AL186),SUMIFS('Loan Prepayment'!$B$12:$B$31,'Loan Prepayment'!$A$12:$A$31,AG186)+IF(AND(AG186&gt;='Loan Prepayment'!$B$9,AG186&lt;='Loan Prepayment'!$E$16),'Loan Prepayment'!$B$8,0)))</f>
        <v>0</v>
      </c>
      <c r="AN186">
        <f t="shared" si="57"/>
        <v>2283736.4144891091</v>
      </c>
    </row>
    <row r="187" spans="1:40" x14ac:dyDescent="0.35">
      <c r="A187">
        <v>186</v>
      </c>
      <c r="B187">
        <f t="shared" si="58"/>
        <v>3739690.3804136533</v>
      </c>
      <c r="C187" s="64">
        <f>'Loan Prepayment'!$B$6</f>
        <v>7.5</v>
      </c>
      <c r="D187">
        <f>IF(B187&lt;=0,0,MIN(-PMT('Loan Prepayment'!$B$6/1200,'Loan Prepayment'!$B$7*12,'Loan Prepayment'!$B$5),B187+E187))</f>
        <v>80559.31935518072</v>
      </c>
      <c r="E187">
        <f t="shared" si="42"/>
        <v>23373.064877585333</v>
      </c>
      <c r="F187">
        <f t="shared" si="43"/>
        <v>57186.254477595387</v>
      </c>
      <c r="G187">
        <v>0</v>
      </c>
      <c r="H187">
        <f t="shared" si="44"/>
        <v>3682504.1259360579</v>
      </c>
      <c r="I187">
        <v>186</v>
      </c>
      <c r="J187">
        <f t="shared" si="59"/>
        <v>3131614.0527746067</v>
      </c>
      <c r="K187" s="64">
        <f>'Loan Prepayment'!$B$6</f>
        <v>7.5</v>
      </c>
      <c r="L187">
        <f>IF(J187&lt;=0,0,MIN(IF(AND('Loan Prepayment'!$E$15="Reduce EMI",O186&gt;0),-PMT(K187/1200,MAX(1,'Loan Prepayment'!$B$7*12-I187+1),J187),L186),J187+M187))</f>
        <v>67460.316473241648</v>
      </c>
      <c r="M187">
        <f t="shared" si="45"/>
        <v>19572.58782984129</v>
      </c>
      <c r="N187">
        <f t="shared" si="46"/>
        <v>47887.728643400362</v>
      </c>
      <c r="O187">
        <f>IF(J187&lt;=0,0,MIN(MAX(0,J187-N187),SUMIFS('Loan Prepayment'!$B$12:$B$31,'Loan Prepayment'!$A$12:$A$31,I187)+0))</f>
        <v>0</v>
      </c>
      <c r="P187">
        <f t="shared" si="47"/>
        <v>3083726.3241312066</v>
      </c>
      <c r="Q187">
        <v>186</v>
      </c>
      <c r="R187">
        <f t="shared" si="60"/>
        <v>3739690.3804136533</v>
      </c>
      <c r="S187" s="64">
        <f>'Loan Prepayment'!$B$6</f>
        <v>7.5</v>
      </c>
      <c r="T187">
        <f>IF(R187&lt;=0,0,MIN(IF(AND('Loan Prepayment'!$E$15="Reduce EMI",W186&gt;0),-PMT(S187/1200,MAX(1,'Loan Prepayment'!$B$7*12-Q187+1),R187),T186),R187+U187))</f>
        <v>80559.31935518072</v>
      </c>
      <c r="U187">
        <f t="shared" si="48"/>
        <v>23373.064877585333</v>
      </c>
      <c r="V187">
        <f t="shared" si="49"/>
        <v>57186.254477595387</v>
      </c>
      <c r="W187">
        <f>IF(R187&lt;=0,0,MIN(MAX(0,R187-V187),0+IF(AND(Q187&gt;='Loan Prepayment'!$B$9,Q187&lt;='Loan Prepayment'!$E$16),'Loan Prepayment'!$B$8,0)))</f>
        <v>0</v>
      </c>
      <c r="X187">
        <f t="shared" si="50"/>
        <v>3682504.1259360579</v>
      </c>
      <c r="Y187">
        <v>186</v>
      </c>
      <c r="Z187">
        <f t="shared" si="61"/>
        <v>2727177.4097125526</v>
      </c>
      <c r="AA187">
        <f>IF(Y187&gt;='Loan Prepayment'!$E$11,'Loan Prepayment'!$E$12,'Loan Prepayment'!$B$6)</f>
        <v>6.5</v>
      </c>
      <c r="AB187">
        <f>IF(Z187&lt;=0,0,MIN(IF(Y187='Loan Prepayment'!$E$11,IF('Loan Prepayment'!$E$13="Keep tenure, recalculate EMI",-PMT(AA187/1200,MAX(1,'Loan Prepayment'!$B$7*12-Y187+1),Z187),AB186),AB186),Z187+AC187))</f>
        <v>80559.31935518072</v>
      </c>
      <c r="AC187">
        <f t="shared" si="51"/>
        <v>14772.210969276326</v>
      </c>
      <c r="AD187">
        <f t="shared" si="52"/>
        <v>65787.108385904401</v>
      </c>
      <c r="AE187">
        <f t="shared" si="53"/>
        <v>0</v>
      </c>
      <c r="AF187">
        <f t="shared" si="54"/>
        <v>2661390.3013266483</v>
      </c>
      <c r="AG187">
        <v>186</v>
      </c>
      <c r="AH187">
        <f t="shared" si="62"/>
        <v>2283736.4144891091</v>
      </c>
      <c r="AI187">
        <f>IF(AG187&gt;='Loan Prepayment'!$E$11,'Loan Prepayment'!$E$12,'Loan Prepayment'!$B$6)</f>
        <v>6.5</v>
      </c>
      <c r="AJ187">
        <f>IF(AH187&lt;=0,0,MIN(IF(AG187='Loan Prepayment'!$E$11,IF('Loan Prepayment'!$E$13="Keep tenure, recalculate EMI",-PMT(AI187/1200,MAX(1,'Loan Prepayment'!$B$7*12-AG187+1),AH187),IF(AND('Loan Prepayment'!$E$15="Reduce EMI",AM186&gt;0),-PMT(AI186/1200,MAX(1,'Loan Prepayment'!$B$7*12-AG187+1),AH187),AJ186)),IF(AND('Loan Prepayment'!$E$15="Reduce EMI",AM186&gt;0),-PMT(AI187/1200,MAX(1,'Loan Prepayment'!$B$7*12-AG187+1),AH187),AJ186)),AH187+AK187))</f>
        <v>67460.316473241648</v>
      </c>
      <c r="AK187">
        <f t="shared" si="55"/>
        <v>12370.238911816008</v>
      </c>
      <c r="AL187">
        <f t="shared" si="56"/>
        <v>55090.077561425642</v>
      </c>
      <c r="AM187">
        <f>IF(AH187&lt;=0,0,MIN(MAX(0,AH187-AL187),SUMIFS('Loan Prepayment'!$B$12:$B$31,'Loan Prepayment'!$A$12:$A$31,AG187)+IF(AND(AG187&gt;='Loan Prepayment'!$B$9,AG187&lt;='Loan Prepayment'!$E$16),'Loan Prepayment'!$B$8,0)))</f>
        <v>0</v>
      </c>
      <c r="AN187">
        <f t="shared" si="57"/>
        <v>2228646.3369276836</v>
      </c>
    </row>
    <row r="188" spans="1:40" x14ac:dyDescent="0.35">
      <c r="A188">
        <v>187</v>
      </c>
      <c r="B188">
        <f t="shared" si="58"/>
        <v>3682504.1259360579</v>
      </c>
      <c r="C188" s="64">
        <f>'Loan Prepayment'!$B$6</f>
        <v>7.5</v>
      </c>
      <c r="D188">
        <f>IF(B188&lt;=0,0,MIN(-PMT('Loan Prepayment'!$B$6/1200,'Loan Prepayment'!$B$7*12,'Loan Prepayment'!$B$5),B188+E188))</f>
        <v>80559.31935518072</v>
      </c>
      <c r="E188">
        <f t="shared" si="42"/>
        <v>23015.65078710036</v>
      </c>
      <c r="F188">
        <f t="shared" si="43"/>
        <v>57543.668568080364</v>
      </c>
      <c r="G188">
        <v>0</v>
      </c>
      <c r="H188">
        <f t="shared" si="44"/>
        <v>3624960.4573679776</v>
      </c>
      <c r="I188">
        <v>187</v>
      </c>
      <c r="J188">
        <f t="shared" si="59"/>
        <v>3083726.3241312066</v>
      </c>
      <c r="K188" s="64">
        <f>'Loan Prepayment'!$B$6</f>
        <v>7.5</v>
      </c>
      <c r="L188">
        <f>IF(J188&lt;=0,0,MIN(IF(AND('Loan Prepayment'!$E$15="Reduce EMI",O187&gt;0),-PMT(K188/1200,MAX(1,'Loan Prepayment'!$B$7*12-I188+1),J188),L187),J188+M188))</f>
        <v>67460.316473241648</v>
      </c>
      <c r="M188">
        <f t="shared" si="45"/>
        <v>19273.289525820041</v>
      </c>
      <c r="N188">
        <f t="shared" si="46"/>
        <v>48187.026947421604</v>
      </c>
      <c r="O188">
        <f>IF(J188&lt;=0,0,MIN(MAX(0,J188-N188),SUMIFS('Loan Prepayment'!$B$12:$B$31,'Loan Prepayment'!$A$12:$A$31,I188)+0))</f>
        <v>0</v>
      </c>
      <c r="P188">
        <f t="shared" si="47"/>
        <v>3035539.2971837851</v>
      </c>
      <c r="Q188">
        <v>187</v>
      </c>
      <c r="R188">
        <f t="shared" si="60"/>
        <v>3682504.1259360579</v>
      </c>
      <c r="S188" s="64">
        <f>'Loan Prepayment'!$B$6</f>
        <v>7.5</v>
      </c>
      <c r="T188">
        <f>IF(R188&lt;=0,0,MIN(IF(AND('Loan Prepayment'!$E$15="Reduce EMI",W187&gt;0),-PMT(S188/1200,MAX(1,'Loan Prepayment'!$B$7*12-Q188+1),R188),T187),R188+U188))</f>
        <v>80559.31935518072</v>
      </c>
      <c r="U188">
        <f t="shared" si="48"/>
        <v>23015.65078710036</v>
      </c>
      <c r="V188">
        <f t="shared" si="49"/>
        <v>57543.668568080364</v>
      </c>
      <c r="W188">
        <f>IF(R188&lt;=0,0,MIN(MAX(0,R188-V188),0+IF(AND(Q188&gt;='Loan Prepayment'!$B$9,Q188&lt;='Loan Prepayment'!$E$16),'Loan Prepayment'!$B$8,0)))</f>
        <v>0</v>
      </c>
      <c r="X188">
        <f t="shared" si="50"/>
        <v>3624960.4573679776</v>
      </c>
      <c r="Y188">
        <v>187</v>
      </c>
      <c r="Z188">
        <f t="shared" si="61"/>
        <v>2661390.3013266483</v>
      </c>
      <c r="AA188">
        <f>IF(Y188&gt;='Loan Prepayment'!$E$11,'Loan Prepayment'!$E$12,'Loan Prepayment'!$B$6)</f>
        <v>6.5</v>
      </c>
      <c r="AB188">
        <f>IF(Z188&lt;=0,0,MIN(IF(Y188='Loan Prepayment'!$E$11,IF('Loan Prepayment'!$E$13="Keep tenure, recalculate EMI",-PMT(AA188/1200,MAX(1,'Loan Prepayment'!$B$7*12-Y188+1),Z188),AB187),AB187),Z188+AC188))</f>
        <v>80559.31935518072</v>
      </c>
      <c r="AC188">
        <f t="shared" si="51"/>
        <v>14415.864132186012</v>
      </c>
      <c r="AD188">
        <f t="shared" si="52"/>
        <v>66143.4552229947</v>
      </c>
      <c r="AE188">
        <f t="shared" si="53"/>
        <v>0</v>
      </c>
      <c r="AF188">
        <f t="shared" si="54"/>
        <v>2595246.8461036538</v>
      </c>
      <c r="AG188">
        <v>187</v>
      </c>
      <c r="AH188">
        <f t="shared" si="62"/>
        <v>2228646.3369276836</v>
      </c>
      <c r="AI188">
        <f>IF(AG188&gt;='Loan Prepayment'!$E$11,'Loan Prepayment'!$E$12,'Loan Prepayment'!$B$6)</f>
        <v>6.5</v>
      </c>
      <c r="AJ188">
        <f>IF(AH188&lt;=0,0,MIN(IF(AG188='Loan Prepayment'!$E$11,IF('Loan Prepayment'!$E$13="Keep tenure, recalculate EMI",-PMT(AI188/1200,MAX(1,'Loan Prepayment'!$B$7*12-AG188+1),AH188),IF(AND('Loan Prepayment'!$E$15="Reduce EMI",AM187&gt;0),-PMT(AI187/1200,MAX(1,'Loan Prepayment'!$B$7*12-AG188+1),AH188),AJ187)),IF(AND('Loan Prepayment'!$E$15="Reduce EMI",AM187&gt;0),-PMT(AI188/1200,MAX(1,'Loan Prepayment'!$B$7*12-AG188+1),AH188),AJ187)),AH188+AK188))</f>
        <v>67460.316473241648</v>
      </c>
      <c r="AK188">
        <f t="shared" si="55"/>
        <v>12071.834325024953</v>
      </c>
      <c r="AL188">
        <f t="shared" si="56"/>
        <v>55388.482148216695</v>
      </c>
      <c r="AM188">
        <f>IF(AH188&lt;=0,0,MIN(MAX(0,AH188-AL188),SUMIFS('Loan Prepayment'!$B$12:$B$31,'Loan Prepayment'!$A$12:$A$31,AG188)+IF(AND(AG188&gt;='Loan Prepayment'!$B$9,AG188&lt;='Loan Prepayment'!$E$16),'Loan Prepayment'!$B$8,0)))</f>
        <v>0</v>
      </c>
      <c r="AN188">
        <f t="shared" si="57"/>
        <v>2173257.854779467</v>
      </c>
    </row>
    <row r="189" spans="1:40" x14ac:dyDescent="0.35">
      <c r="A189">
        <v>188</v>
      </c>
      <c r="B189">
        <f t="shared" si="58"/>
        <v>3624960.4573679776</v>
      </c>
      <c r="C189" s="64">
        <f>'Loan Prepayment'!$B$6</f>
        <v>7.5</v>
      </c>
      <c r="D189">
        <f>IF(B189&lt;=0,0,MIN(-PMT('Loan Prepayment'!$B$6/1200,'Loan Prepayment'!$B$7*12,'Loan Prepayment'!$B$5),B189+E189))</f>
        <v>80559.31935518072</v>
      </c>
      <c r="E189">
        <f t="shared" si="42"/>
        <v>22656.002858549859</v>
      </c>
      <c r="F189">
        <f t="shared" si="43"/>
        <v>57903.316496630861</v>
      </c>
      <c r="G189">
        <v>0</v>
      </c>
      <c r="H189">
        <f t="shared" si="44"/>
        <v>3567057.1408713469</v>
      </c>
      <c r="I189">
        <v>188</v>
      </c>
      <c r="J189">
        <f t="shared" si="59"/>
        <v>3035539.2971837851</v>
      </c>
      <c r="K189" s="64">
        <f>'Loan Prepayment'!$B$6</f>
        <v>7.5</v>
      </c>
      <c r="L189">
        <f>IF(J189&lt;=0,0,MIN(IF(AND('Loan Prepayment'!$E$15="Reduce EMI",O188&gt;0),-PMT(K189/1200,MAX(1,'Loan Prepayment'!$B$7*12-I189+1),J189),L188),J189+M189))</f>
        <v>67460.316473241648</v>
      </c>
      <c r="M189">
        <f t="shared" si="45"/>
        <v>18972.120607398658</v>
      </c>
      <c r="N189">
        <f t="shared" si="46"/>
        <v>48488.195865842994</v>
      </c>
      <c r="O189">
        <f>IF(J189&lt;=0,0,MIN(MAX(0,J189-N189),SUMIFS('Loan Prepayment'!$B$12:$B$31,'Loan Prepayment'!$A$12:$A$31,I189)+0))</f>
        <v>0</v>
      </c>
      <c r="P189">
        <f t="shared" si="47"/>
        <v>2987051.1013179421</v>
      </c>
      <c r="Q189">
        <v>188</v>
      </c>
      <c r="R189">
        <f t="shared" si="60"/>
        <v>3624960.4573679776</v>
      </c>
      <c r="S189" s="64">
        <f>'Loan Prepayment'!$B$6</f>
        <v>7.5</v>
      </c>
      <c r="T189">
        <f>IF(R189&lt;=0,0,MIN(IF(AND('Loan Prepayment'!$E$15="Reduce EMI",W188&gt;0),-PMT(S189/1200,MAX(1,'Loan Prepayment'!$B$7*12-Q189+1),R189),T188),R189+U189))</f>
        <v>80559.31935518072</v>
      </c>
      <c r="U189">
        <f t="shared" si="48"/>
        <v>22656.002858549859</v>
      </c>
      <c r="V189">
        <f t="shared" si="49"/>
        <v>57903.316496630861</v>
      </c>
      <c r="W189">
        <f>IF(R189&lt;=0,0,MIN(MAX(0,R189-V189),0+IF(AND(Q189&gt;='Loan Prepayment'!$B$9,Q189&lt;='Loan Prepayment'!$E$16),'Loan Prepayment'!$B$8,0)))</f>
        <v>0</v>
      </c>
      <c r="X189">
        <f t="shared" si="50"/>
        <v>3567057.1408713469</v>
      </c>
      <c r="Y189">
        <v>188</v>
      </c>
      <c r="Z189">
        <f t="shared" si="61"/>
        <v>2595246.8461036538</v>
      </c>
      <c r="AA189">
        <f>IF(Y189&gt;='Loan Prepayment'!$E$11,'Loan Prepayment'!$E$12,'Loan Prepayment'!$B$6)</f>
        <v>6.5</v>
      </c>
      <c r="AB189">
        <f>IF(Z189&lt;=0,0,MIN(IF(Y189='Loan Prepayment'!$E$11,IF('Loan Prepayment'!$E$13="Keep tenure, recalculate EMI",-PMT(AA189/1200,MAX(1,'Loan Prepayment'!$B$7*12-Y189+1),Z189),AB188),AB188),Z189+AC189))</f>
        <v>80559.31935518072</v>
      </c>
      <c r="AC189">
        <f t="shared" si="51"/>
        <v>14057.587083061459</v>
      </c>
      <c r="AD189">
        <f t="shared" si="52"/>
        <v>66501.732272119261</v>
      </c>
      <c r="AE189">
        <f t="shared" si="53"/>
        <v>0</v>
      </c>
      <c r="AF189">
        <f t="shared" si="54"/>
        <v>2528745.1138315345</v>
      </c>
      <c r="AG189">
        <v>188</v>
      </c>
      <c r="AH189">
        <f t="shared" si="62"/>
        <v>2173257.854779467</v>
      </c>
      <c r="AI189">
        <f>IF(AG189&gt;='Loan Prepayment'!$E$11,'Loan Prepayment'!$E$12,'Loan Prepayment'!$B$6)</f>
        <v>6.5</v>
      </c>
      <c r="AJ189">
        <f>IF(AH189&lt;=0,0,MIN(IF(AG189='Loan Prepayment'!$E$11,IF('Loan Prepayment'!$E$13="Keep tenure, recalculate EMI",-PMT(AI189/1200,MAX(1,'Loan Prepayment'!$B$7*12-AG189+1),AH189),IF(AND('Loan Prepayment'!$E$15="Reduce EMI",AM188&gt;0),-PMT(AI188/1200,MAX(1,'Loan Prepayment'!$B$7*12-AG189+1),AH189),AJ188)),IF(AND('Loan Prepayment'!$E$15="Reduce EMI",AM188&gt;0),-PMT(AI189/1200,MAX(1,'Loan Prepayment'!$B$7*12-AG189+1),AH189),AJ188)),AH189+AK189))</f>
        <v>67460.316473241648</v>
      </c>
      <c r="AK189">
        <f t="shared" si="55"/>
        <v>11771.813380055446</v>
      </c>
      <c r="AL189">
        <f t="shared" si="56"/>
        <v>55688.503093186198</v>
      </c>
      <c r="AM189">
        <f>IF(AH189&lt;=0,0,MIN(MAX(0,AH189-AL189),SUMIFS('Loan Prepayment'!$B$12:$B$31,'Loan Prepayment'!$A$12:$A$31,AG189)+IF(AND(AG189&gt;='Loan Prepayment'!$B$9,AG189&lt;='Loan Prepayment'!$E$16),'Loan Prepayment'!$B$8,0)))</f>
        <v>0</v>
      </c>
      <c r="AN189">
        <f t="shared" si="57"/>
        <v>2117569.3516862807</v>
      </c>
    </row>
    <row r="190" spans="1:40" x14ac:dyDescent="0.35">
      <c r="A190">
        <v>189</v>
      </c>
      <c r="B190">
        <f t="shared" si="58"/>
        <v>3567057.1408713469</v>
      </c>
      <c r="C190" s="64">
        <f>'Loan Prepayment'!$B$6</f>
        <v>7.5</v>
      </c>
      <c r="D190">
        <f>IF(B190&lt;=0,0,MIN(-PMT('Loan Prepayment'!$B$6/1200,'Loan Prepayment'!$B$7*12,'Loan Prepayment'!$B$5),B190+E190))</f>
        <v>80559.31935518072</v>
      </c>
      <c r="E190">
        <f t="shared" si="42"/>
        <v>22294.107130445918</v>
      </c>
      <c r="F190">
        <f t="shared" si="43"/>
        <v>58265.212224734802</v>
      </c>
      <c r="G190">
        <v>0</v>
      </c>
      <c r="H190">
        <f t="shared" si="44"/>
        <v>3508791.928646612</v>
      </c>
      <c r="I190">
        <v>189</v>
      </c>
      <c r="J190">
        <f t="shared" si="59"/>
        <v>2987051.1013179421</v>
      </c>
      <c r="K190" s="64">
        <f>'Loan Prepayment'!$B$6</f>
        <v>7.5</v>
      </c>
      <c r="L190">
        <f>IF(J190&lt;=0,0,MIN(IF(AND('Loan Prepayment'!$E$15="Reduce EMI",O189&gt;0),-PMT(K190/1200,MAX(1,'Loan Prepayment'!$B$7*12-I190+1),J190),L189),J190+M190))</f>
        <v>67460.316473241648</v>
      </c>
      <c r="M190">
        <f t="shared" si="45"/>
        <v>18669.06938323714</v>
      </c>
      <c r="N190">
        <f t="shared" si="46"/>
        <v>48791.247090004508</v>
      </c>
      <c r="O190">
        <f>IF(J190&lt;=0,0,MIN(MAX(0,J190-N190),SUMIFS('Loan Prepayment'!$B$12:$B$31,'Loan Prepayment'!$A$12:$A$31,I190)+0))</f>
        <v>0</v>
      </c>
      <c r="P190">
        <f t="shared" si="47"/>
        <v>2938259.8542279378</v>
      </c>
      <c r="Q190">
        <v>189</v>
      </c>
      <c r="R190">
        <f t="shared" si="60"/>
        <v>3567057.1408713469</v>
      </c>
      <c r="S190" s="64">
        <f>'Loan Prepayment'!$B$6</f>
        <v>7.5</v>
      </c>
      <c r="T190">
        <f>IF(R190&lt;=0,0,MIN(IF(AND('Loan Prepayment'!$E$15="Reduce EMI",W189&gt;0),-PMT(S190/1200,MAX(1,'Loan Prepayment'!$B$7*12-Q190+1),R190),T189),R190+U190))</f>
        <v>80559.31935518072</v>
      </c>
      <c r="U190">
        <f t="shared" si="48"/>
        <v>22294.107130445918</v>
      </c>
      <c r="V190">
        <f t="shared" si="49"/>
        <v>58265.212224734802</v>
      </c>
      <c r="W190">
        <f>IF(R190&lt;=0,0,MIN(MAX(0,R190-V190),0+IF(AND(Q190&gt;='Loan Prepayment'!$B$9,Q190&lt;='Loan Prepayment'!$E$16),'Loan Prepayment'!$B$8,0)))</f>
        <v>0</v>
      </c>
      <c r="X190">
        <f t="shared" si="50"/>
        <v>3508791.928646612</v>
      </c>
      <c r="Y190">
        <v>189</v>
      </c>
      <c r="Z190">
        <f t="shared" si="61"/>
        <v>2528745.1138315345</v>
      </c>
      <c r="AA190">
        <f>IF(Y190&gt;='Loan Prepayment'!$E$11,'Loan Prepayment'!$E$12,'Loan Prepayment'!$B$6)</f>
        <v>6.5</v>
      </c>
      <c r="AB190">
        <f>IF(Z190&lt;=0,0,MIN(IF(Y190='Loan Prepayment'!$E$11,IF('Loan Prepayment'!$E$13="Keep tenure, recalculate EMI",-PMT(AA190/1200,MAX(1,'Loan Prepayment'!$B$7*12-Y190+1),Z190),AB189),AB189),Z190+AC190))</f>
        <v>80559.31935518072</v>
      </c>
      <c r="AC190">
        <f t="shared" si="51"/>
        <v>13697.369366587478</v>
      </c>
      <c r="AD190">
        <f t="shared" si="52"/>
        <v>66861.949988593246</v>
      </c>
      <c r="AE190">
        <f t="shared" si="53"/>
        <v>0</v>
      </c>
      <c r="AF190">
        <f t="shared" si="54"/>
        <v>2461883.1638429412</v>
      </c>
      <c r="AG190">
        <v>189</v>
      </c>
      <c r="AH190">
        <f t="shared" si="62"/>
        <v>2117569.3516862807</v>
      </c>
      <c r="AI190">
        <f>IF(AG190&gt;='Loan Prepayment'!$E$11,'Loan Prepayment'!$E$12,'Loan Prepayment'!$B$6)</f>
        <v>6.5</v>
      </c>
      <c r="AJ190">
        <f>IF(AH190&lt;=0,0,MIN(IF(AG190='Loan Prepayment'!$E$11,IF('Loan Prepayment'!$E$13="Keep tenure, recalculate EMI",-PMT(AI190/1200,MAX(1,'Loan Prepayment'!$B$7*12-AG190+1),AH190),IF(AND('Loan Prepayment'!$E$15="Reduce EMI",AM189&gt;0),-PMT(AI189/1200,MAX(1,'Loan Prepayment'!$B$7*12-AG190+1),AH190),AJ189)),IF(AND('Loan Prepayment'!$E$15="Reduce EMI",AM189&gt;0),-PMT(AI190/1200,MAX(1,'Loan Prepayment'!$B$7*12-AG190+1),AH190),AJ189)),AH190+AK190))</f>
        <v>67460.316473241648</v>
      </c>
      <c r="AK190">
        <f t="shared" si="55"/>
        <v>11470.16732163402</v>
      </c>
      <c r="AL190">
        <f t="shared" si="56"/>
        <v>55990.149151607628</v>
      </c>
      <c r="AM190">
        <f>IF(AH190&lt;=0,0,MIN(MAX(0,AH190-AL190),SUMIFS('Loan Prepayment'!$B$12:$B$31,'Loan Prepayment'!$A$12:$A$31,AG190)+IF(AND(AG190&gt;='Loan Prepayment'!$B$9,AG190&lt;='Loan Prepayment'!$E$16),'Loan Prepayment'!$B$8,0)))</f>
        <v>0</v>
      </c>
      <c r="AN190">
        <f t="shared" si="57"/>
        <v>2061579.202534673</v>
      </c>
    </row>
    <row r="191" spans="1:40" x14ac:dyDescent="0.35">
      <c r="A191">
        <v>190</v>
      </c>
      <c r="B191">
        <f t="shared" si="58"/>
        <v>3508791.928646612</v>
      </c>
      <c r="C191" s="64">
        <f>'Loan Prepayment'!$B$6</f>
        <v>7.5</v>
      </c>
      <c r="D191">
        <f>IF(B191&lt;=0,0,MIN(-PMT('Loan Prepayment'!$B$6/1200,'Loan Prepayment'!$B$7*12,'Loan Prepayment'!$B$5),B191+E191))</f>
        <v>80559.31935518072</v>
      </c>
      <c r="E191">
        <f t="shared" si="42"/>
        <v>21929.949554041326</v>
      </c>
      <c r="F191">
        <f t="shared" si="43"/>
        <v>58629.369801139394</v>
      </c>
      <c r="G191">
        <v>0</v>
      </c>
      <c r="H191">
        <f t="shared" si="44"/>
        <v>3450162.5588454725</v>
      </c>
      <c r="I191">
        <v>190</v>
      </c>
      <c r="J191">
        <f t="shared" si="59"/>
        <v>2938259.8542279378</v>
      </c>
      <c r="K191" s="64">
        <f>'Loan Prepayment'!$B$6</f>
        <v>7.5</v>
      </c>
      <c r="L191">
        <f>IF(J191&lt;=0,0,MIN(IF(AND('Loan Prepayment'!$E$15="Reduce EMI",O190&gt;0),-PMT(K191/1200,MAX(1,'Loan Prepayment'!$B$7*12-I191+1),J191),L190),J191+M191))</f>
        <v>67460.316473241648</v>
      </c>
      <c r="M191">
        <f t="shared" si="45"/>
        <v>18364.124088924611</v>
      </c>
      <c r="N191">
        <f t="shared" si="46"/>
        <v>49096.192384317037</v>
      </c>
      <c r="O191">
        <f>IF(J191&lt;=0,0,MIN(MAX(0,J191-N191),SUMIFS('Loan Prepayment'!$B$12:$B$31,'Loan Prepayment'!$A$12:$A$31,I191)+0))</f>
        <v>0</v>
      </c>
      <c r="P191">
        <f t="shared" si="47"/>
        <v>2889163.6618436207</v>
      </c>
      <c r="Q191">
        <v>190</v>
      </c>
      <c r="R191">
        <f t="shared" si="60"/>
        <v>3508791.928646612</v>
      </c>
      <c r="S191" s="64">
        <f>'Loan Prepayment'!$B$6</f>
        <v>7.5</v>
      </c>
      <c r="T191">
        <f>IF(R191&lt;=0,0,MIN(IF(AND('Loan Prepayment'!$E$15="Reduce EMI",W190&gt;0),-PMT(S191/1200,MAX(1,'Loan Prepayment'!$B$7*12-Q191+1),R191),T190),R191+U191))</f>
        <v>80559.31935518072</v>
      </c>
      <c r="U191">
        <f t="shared" si="48"/>
        <v>21929.949554041326</v>
      </c>
      <c r="V191">
        <f t="shared" si="49"/>
        <v>58629.369801139394</v>
      </c>
      <c r="W191">
        <f>IF(R191&lt;=0,0,MIN(MAX(0,R191-V191),0+IF(AND(Q191&gt;='Loan Prepayment'!$B$9,Q191&lt;='Loan Prepayment'!$E$16),'Loan Prepayment'!$B$8,0)))</f>
        <v>0</v>
      </c>
      <c r="X191">
        <f t="shared" si="50"/>
        <v>3450162.5588454725</v>
      </c>
      <c r="Y191">
        <v>190</v>
      </c>
      <c r="Z191">
        <f t="shared" si="61"/>
        <v>2461883.1638429412</v>
      </c>
      <c r="AA191">
        <f>IF(Y191&gt;='Loan Prepayment'!$E$11,'Loan Prepayment'!$E$12,'Loan Prepayment'!$B$6)</f>
        <v>6.5</v>
      </c>
      <c r="AB191">
        <f>IF(Z191&lt;=0,0,MIN(IF(Y191='Loan Prepayment'!$E$11,IF('Loan Prepayment'!$E$13="Keep tenure, recalculate EMI",-PMT(AA191/1200,MAX(1,'Loan Prepayment'!$B$7*12-Y191+1),Z191),AB190),AB190),Z191+AC191))</f>
        <v>80559.31935518072</v>
      </c>
      <c r="AC191">
        <f t="shared" si="51"/>
        <v>13335.200470815931</v>
      </c>
      <c r="AD191">
        <f t="shared" si="52"/>
        <v>67224.118884364783</v>
      </c>
      <c r="AE191">
        <f t="shared" si="53"/>
        <v>0</v>
      </c>
      <c r="AF191">
        <f t="shared" si="54"/>
        <v>2394659.0449585766</v>
      </c>
      <c r="AG191">
        <v>190</v>
      </c>
      <c r="AH191">
        <f t="shared" si="62"/>
        <v>2061579.202534673</v>
      </c>
      <c r="AI191">
        <f>IF(AG191&gt;='Loan Prepayment'!$E$11,'Loan Prepayment'!$E$12,'Loan Prepayment'!$B$6)</f>
        <v>6.5</v>
      </c>
      <c r="AJ191">
        <f>IF(AH191&lt;=0,0,MIN(IF(AG191='Loan Prepayment'!$E$11,IF('Loan Prepayment'!$E$13="Keep tenure, recalculate EMI",-PMT(AI191/1200,MAX(1,'Loan Prepayment'!$B$7*12-AG191+1),AH191),IF(AND('Loan Prepayment'!$E$15="Reduce EMI",AM190&gt;0),-PMT(AI190/1200,MAX(1,'Loan Prepayment'!$B$7*12-AG191+1),AH191),AJ190)),IF(AND('Loan Prepayment'!$E$15="Reduce EMI",AM190&gt;0),-PMT(AI191/1200,MAX(1,'Loan Prepayment'!$B$7*12-AG191+1),AH191),AJ190)),AH191+AK191))</f>
        <v>67460.316473241648</v>
      </c>
      <c r="AK191">
        <f t="shared" si="55"/>
        <v>11166.887347062811</v>
      </c>
      <c r="AL191">
        <f t="shared" si="56"/>
        <v>56293.429126178838</v>
      </c>
      <c r="AM191">
        <f>IF(AH191&lt;=0,0,MIN(MAX(0,AH191-AL191),SUMIFS('Loan Prepayment'!$B$12:$B$31,'Loan Prepayment'!$A$12:$A$31,AG191)+IF(AND(AG191&gt;='Loan Prepayment'!$B$9,AG191&lt;='Loan Prepayment'!$E$16),'Loan Prepayment'!$B$8,0)))</f>
        <v>0</v>
      </c>
      <c r="AN191">
        <f t="shared" si="57"/>
        <v>2005285.7734084942</v>
      </c>
    </row>
    <row r="192" spans="1:40" x14ac:dyDescent="0.35">
      <c r="A192">
        <v>191</v>
      </c>
      <c r="B192">
        <f t="shared" si="58"/>
        <v>3450162.5588454725</v>
      </c>
      <c r="C192" s="64">
        <f>'Loan Prepayment'!$B$6</f>
        <v>7.5</v>
      </c>
      <c r="D192">
        <f>IF(B192&lt;=0,0,MIN(-PMT('Loan Prepayment'!$B$6/1200,'Loan Prepayment'!$B$7*12,'Loan Prepayment'!$B$5),B192+E192))</f>
        <v>80559.31935518072</v>
      </c>
      <c r="E192">
        <f t="shared" si="42"/>
        <v>21563.515992784203</v>
      </c>
      <c r="F192">
        <f t="shared" si="43"/>
        <v>58995.803362396517</v>
      </c>
      <c r="G192">
        <v>0</v>
      </c>
      <c r="H192">
        <f t="shared" si="44"/>
        <v>3391166.755483076</v>
      </c>
      <c r="I192">
        <v>191</v>
      </c>
      <c r="J192">
        <f t="shared" si="59"/>
        <v>2889163.6618436207</v>
      </c>
      <c r="K192" s="64">
        <f>'Loan Prepayment'!$B$6</f>
        <v>7.5</v>
      </c>
      <c r="L192">
        <f>IF(J192&lt;=0,0,MIN(IF(AND('Loan Prepayment'!$E$15="Reduce EMI",O191&gt;0),-PMT(K192/1200,MAX(1,'Loan Prepayment'!$B$7*12-I192+1),J192),L191),J192+M192))</f>
        <v>67460.316473241648</v>
      </c>
      <c r="M192">
        <f t="shared" si="45"/>
        <v>18057.272886522631</v>
      </c>
      <c r="N192">
        <f t="shared" si="46"/>
        <v>49403.043586719017</v>
      </c>
      <c r="O192">
        <f>IF(J192&lt;=0,0,MIN(MAX(0,J192-N192),SUMIFS('Loan Prepayment'!$B$12:$B$31,'Loan Prepayment'!$A$12:$A$31,I192)+0))</f>
        <v>0</v>
      </c>
      <c r="P192">
        <f t="shared" si="47"/>
        <v>2839760.6182569019</v>
      </c>
      <c r="Q192">
        <v>191</v>
      </c>
      <c r="R192">
        <f t="shared" si="60"/>
        <v>3450162.5588454725</v>
      </c>
      <c r="S192" s="64">
        <f>'Loan Prepayment'!$B$6</f>
        <v>7.5</v>
      </c>
      <c r="T192">
        <f>IF(R192&lt;=0,0,MIN(IF(AND('Loan Prepayment'!$E$15="Reduce EMI",W191&gt;0),-PMT(S192/1200,MAX(1,'Loan Prepayment'!$B$7*12-Q192+1),R192),T191),R192+U192))</f>
        <v>80559.31935518072</v>
      </c>
      <c r="U192">
        <f t="shared" si="48"/>
        <v>21563.515992784203</v>
      </c>
      <c r="V192">
        <f t="shared" si="49"/>
        <v>58995.803362396517</v>
      </c>
      <c r="W192">
        <f>IF(R192&lt;=0,0,MIN(MAX(0,R192-V192),0+IF(AND(Q192&gt;='Loan Prepayment'!$B$9,Q192&lt;='Loan Prepayment'!$E$16),'Loan Prepayment'!$B$8,0)))</f>
        <v>0</v>
      </c>
      <c r="X192">
        <f t="shared" si="50"/>
        <v>3391166.755483076</v>
      </c>
      <c r="Y192">
        <v>191</v>
      </c>
      <c r="Z192">
        <f t="shared" si="61"/>
        <v>2394659.0449585766</v>
      </c>
      <c r="AA192">
        <f>IF(Y192&gt;='Loan Prepayment'!$E$11,'Loan Prepayment'!$E$12,'Loan Prepayment'!$B$6)</f>
        <v>6.5</v>
      </c>
      <c r="AB192">
        <f>IF(Z192&lt;=0,0,MIN(IF(Y192='Loan Prepayment'!$E$11,IF('Loan Prepayment'!$E$13="Keep tenure, recalculate EMI",-PMT(AA192/1200,MAX(1,'Loan Prepayment'!$B$7*12-Y192+1),Z192),AB191),AB191),Z192+AC192))</f>
        <v>80559.31935518072</v>
      </c>
      <c r="AC192">
        <f t="shared" si="51"/>
        <v>12971.069826858957</v>
      </c>
      <c r="AD192">
        <f t="shared" si="52"/>
        <v>67588.249528321758</v>
      </c>
      <c r="AE192">
        <f t="shared" si="53"/>
        <v>0</v>
      </c>
      <c r="AF192">
        <f t="shared" si="54"/>
        <v>2327070.7954302547</v>
      </c>
      <c r="AG192">
        <v>191</v>
      </c>
      <c r="AH192">
        <f t="shared" si="62"/>
        <v>2005285.7734084942</v>
      </c>
      <c r="AI192">
        <f>IF(AG192&gt;='Loan Prepayment'!$E$11,'Loan Prepayment'!$E$12,'Loan Prepayment'!$B$6)</f>
        <v>6.5</v>
      </c>
      <c r="AJ192">
        <f>IF(AH192&lt;=0,0,MIN(IF(AG192='Loan Prepayment'!$E$11,IF('Loan Prepayment'!$E$13="Keep tenure, recalculate EMI",-PMT(AI192/1200,MAX(1,'Loan Prepayment'!$B$7*12-AG192+1),AH192),IF(AND('Loan Prepayment'!$E$15="Reduce EMI",AM191&gt;0),-PMT(AI191/1200,MAX(1,'Loan Prepayment'!$B$7*12-AG192+1),AH192),AJ191)),IF(AND('Loan Prepayment'!$E$15="Reduce EMI",AM191&gt;0),-PMT(AI192/1200,MAX(1,'Loan Prepayment'!$B$7*12-AG192+1),AH192),AJ191)),AH192+AK192))</f>
        <v>67460.316473241648</v>
      </c>
      <c r="AK192">
        <f t="shared" si="55"/>
        <v>10861.964605962678</v>
      </c>
      <c r="AL192">
        <f t="shared" si="56"/>
        <v>56598.351867278972</v>
      </c>
      <c r="AM192">
        <f>IF(AH192&lt;=0,0,MIN(MAX(0,AH192-AL192),SUMIFS('Loan Prepayment'!$B$12:$B$31,'Loan Prepayment'!$A$12:$A$31,AG192)+IF(AND(AG192&gt;='Loan Prepayment'!$B$9,AG192&lt;='Loan Prepayment'!$E$16),'Loan Prepayment'!$B$8,0)))</f>
        <v>0</v>
      </c>
      <c r="AN192">
        <f t="shared" si="57"/>
        <v>1948687.4215412152</v>
      </c>
    </row>
    <row r="193" spans="1:40" x14ac:dyDescent="0.35">
      <c r="A193">
        <v>192</v>
      </c>
      <c r="B193">
        <f t="shared" si="58"/>
        <v>3391166.755483076</v>
      </c>
      <c r="C193" s="64">
        <f>'Loan Prepayment'!$B$6</f>
        <v>7.5</v>
      </c>
      <c r="D193">
        <f>IF(B193&lt;=0,0,MIN(-PMT('Loan Prepayment'!$B$6/1200,'Loan Prepayment'!$B$7*12,'Loan Prepayment'!$B$5),B193+E193))</f>
        <v>80559.31935518072</v>
      </c>
      <c r="E193">
        <f t="shared" si="42"/>
        <v>21194.792221769225</v>
      </c>
      <c r="F193">
        <f t="shared" si="43"/>
        <v>59364.527133411495</v>
      </c>
      <c r="G193">
        <v>0</v>
      </c>
      <c r="H193">
        <f t="shared" si="44"/>
        <v>3331802.2283496642</v>
      </c>
      <c r="I193">
        <v>192</v>
      </c>
      <c r="J193">
        <f t="shared" si="59"/>
        <v>2839760.6182569019</v>
      </c>
      <c r="K193" s="64">
        <f>'Loan Prepayment'!$B$6</f>
        <v>7.5</v>
      </c>
      <c r="L193">
        <f>IF(J193&lt;=0,0,MIN(IF(AND('Loan Prepayment'!$E$15="Reduce EMI",O192&gt;0),-PMT(K193/1200,MAX(1,'Loan Prepayment'!$B$7*12-I193+1),J193),L192),J193+M193))</f>
        <v>67460.316473241648</v>
      </c>
      <c r="M193">
        <f t="shared" si="45"/>
        <v>17748.503864105634</v>
      </c>
      <c r="N193">
        <f t="shared" si="46"/>
        <v>49711.812609136017</v>
      </c>
      <c r="O193">
        <f>IF(J193&lt;=0,0,MIN(MAX(0,J193-N193),SUMIFS('Loan Prepayment'!$B$12:$B$31,'Loan Prepayment'!$A$12:$A$31,I193)+0))</f>
        <v>0</v>
      </c>
      <c r="P193">
        <f t="shared" si="47"/>
        <v>2790048.8056477658</v>
      </c>
      <c r="Q193">
        <v>192</v>
      </c>
      <c r="R193">
        <f t="shared" si="60"/>
        <v>3391166.755483076</v>
      </c>
      <c r="S193" s="64">
        <f>'Loan Prepayment'!$B$6</f>
        <v>7.5</v>
      </c>
      <c r="T193">
        <f>IF(R193&lt;=0,0,MIN(IF(AND('Loan Prepayment'!$E$15="Reduce EMI",W192&gt;0),-PMT(S193/1200,MAX(1,'Loan Prepayment'!$B$7*12-Q193+1),R193),T192),R193+U193))</f>
        <v>80559.31935518072</v>
      </c>
      <c r="U193">
        <f t="shared" si="48"/>
        <v>21194.792221769225</v>
      </c>
      <c r="V193">
        <f t="shared" si="49"/>
        <v>59364.527133411495</v>
      </c>
      <c r="W193">
        <f>IF(R193&lt;=0,0,MIN(MAX(0,R193-V193),0+IF(AND(Q193&gt;='Loan Prepayment'!$B$9,Q193&lt;='Loan Prepayment'!$E$16),'Loan Prepayment'!$B$8,0)))</f>
        <v>0</v>
      </c>
      <c r="X193">
        <f t="shared" si="50"/>
        <v>3331802.2283496642</v>
      </c>
      <c r="Y193">
        <v>192</v>
      </c>
      <c r="Z193">
        <f t="shared" si="61"/>
        <v>2327070.7954302547</v>
      </c>
      <c r="AA193">
        <f>IF(Y193&gt;='Loan Prepayment'!$E$11,'Loan Prepayment'!$E$12,'Loan Prepayment'!$B$6)</f>
        <v>6.5</v>
      </c>
      <c r="AB193">
        <f>IF(Z193&lt;=0,0,MIN(IF(Y193='Loan Prepayment'!$E$11,IF('Loan Prepayment'!$E$13="Keep tenure, recalculate EMI",-PMT(AA193/1200,MAX(1,'Loan Prepayment'!$B$7*12-Y193+1),Z193),AB192),AB192),Z193+AC193))</f>
        <v>80559.31935518072</v>
      </c>
      <c r="AC193">
        <f t="shared" si="51"/>
        <v>12604.966808580546</v>
      </c>
      <c r="AD193">
        <f t="shared" si="52"/>
        <v>67954.352546600174</v>
      </c>
      <c r="AE193">
        <f t="shared" si="53"/>
        <v>0</v>
      </c>
      <c r="AF193">
        <f t="shared" si="54"/>
        <v>2259116.4428836545</v>
      </c>
      <c r="AG193">
        <v>192</v>
      </c>
      <c r="AH193">
        <f t="shared" si="62"/>
        <v>1948687.4215412152</v>
      </c>
      <c r="AI193">
        <f>IF(AG193&gt;='Loan Prepayment'!$E$11,'Loan Prepayment'!$E$12,'Loan Prepayment'!$B$6)</f>
        <v>6.5</v>
      </c>
      <c r="AJ193">
        <f>IF(AH193&lt;=0,0,MIN(IF(AG193='Loan Prepayment'!$E$11,IF('Loan Prepayment'!$E$13="Keep tenure, recalculate EMI",-PMT(AI193/1200,MAX(1,'Loan Prepayment'!$B$7*12-AG193+1),AH193),IF(AND('Loan Prepayment'!$E$15="Reduce EMI",AM192&gt;0),-PMT(AI192/1200,MAX(1,'Loan Prepayment'!$B$7*12-AG193+1),AH193),AJ192)),IF(AND('Loan Prepayment'!$E$15="Reduce EMI",AM192&gt;0),-PMT(AI193/1200,MAX(1,'Loan Prepayment'!$B$7*12-AG193+1),AH193),AJ192)),AH193+AK193))</f>
        <v>67460.316473241648</v>
      </c>
      <c r="AK193">
        <f t="shared" si="55"/>
        <v>10555.390200014916</v>
      </c>
      <c r="AL193">
        <f t="shared" si="56"/>
        <v>56904.926273226731</v>
      </c>
      <c r="AM193">
        <f>IF(AH193&lt;=0,0,MIN(MAX(0,AH193-AL193),SUMIFS('Loan Prepayment'!$B$12:$B$31,'Loan Prepayment'!$A$12:$A$31,AG193)+IF(AND(AG193&gt;='Loan Prepayment'!$B$9,AG193&lt;='Loan Prepayment'!$E$16),'Loan Prepayment'!$B$8,0)))</f>
        <v>0</v>
      </c>
      <c r="AN193">
        <f t="shared" si="57"/>
        <v>1891782.4952679884</v>
      </c>
    </row>
    <row r="194" spans="1:40" x14ac:dyDescent="0.35">
      <c r="A194">
        <v>193</v>
      </c>
      <c r="B194">
        <f t="shared" si="58"/>
        <v>3331802.2283496642</v>
      </c>
      <c r="C194" s="64">
        <f>'Loan Prepayment'!$B$6</f>
        <v>7.5</v>
      </c>
      <c r="D194">
        <f>IF(B194&lt;=0,0,MIN(-PMT('Loan Prepayment'!$B$6/1200,'Loan Prepayment'!$B$7*12,'Loan Prepayment'!$B$5),B194+E194))</f>
        <v>80559.31935518072</v>
      </c>
      <c r="E194">
        <f t="shared" ref="E194:E257" si="63">IF(B194&lt;=0,0,B194*C194/1200)</f>
        <v>20823.763927185402</v>
      </c>
      <c r="F194">
        <f t="shared" ref="F194:F257" si="64">MAX(0,D194-E194)</f>
        <v>59735.555427995321</v>
      </c>
      <c r="G194">
        <v>0</v>
      </c>
      <c r="H194">
        <f t="shared" ref="H194:H257" si="65">MAX(0,B194-F194-G194)</f>
        <v>3272066.6729216687</v>
      </c>
      <c r="I194">
        <v>193</v>
      </c>
      <c r="J194">
        <f t="shared" si="59"/>
        <v>2790048.8056477658</v>
      </c>
      <c r="K194" s="64">
        <f>'Loan Prepayment'!$B$6</f>
        <v>7.5</v>
      </c>
      <c r="L194">
        <f>IF(J194&lt;=0,0,MIN(IF(AND('Loan Prepayment'!$E$15="Reduce EMI",O193&gt;0),-PMT(K194/1200,MAX(1,'Loan Prepayment'!$B$7*12-I194+1),J194),L193),J194+M194))</f>
        <v>67460.316473241648</v>
      </c>
      <c r="M194">
        <f t="shared" ref="M194:M257" si="66">IF(J194&lt;=0,0,J194*K194/1200)</f>
        <v>17437.805035298534</v>
      </c>
      <c r="N194">
        <f t="shared" ref="N194:N257" si="67">MAX(0,L194-M194)</f>
        <v>50022.511437943118</v>
      </c>
      <c r="O194">
        <f>IF(J194&lt;=0,0,MIN(MAX(0,J194-N194),SUMIFS('Loan Prepayment'!$B$12:$B$31,'Loan Prepayment'!$A$12:$A$31,I194)+0))</f>
        <v>0</v>
      </c>
      <c r="P194">
        <f t="shared" ref="P194:P257" si="68">MAX(0,J194-N194-O194)</f>
        <v>2740026.2942098225</v>
      </c>
      <c r="Q194">
        <v>193</v>
      </c>
      <c r="R194">
        <f t="shared" si="60"/>
        <v>3331802.2283496642</v>
      </c>
      <c r="S194" s="64">
        <f>'Loan Prepayment'!$B$6</f>
        <v>7.5</v>
      </c>
      <c r="T194">
        <f>IF(R194&lt;=0,0,MIN(IF(AND('Loan Prepayment'!$E$15="Reduce EMI",W193&gt;0),-PMT(S194/1200,MAX(1,'Loan Prepayment'!$B$7*12-Q194+1),R194),T193),R194+U194))</f>
        <v>80559.31935518072</v>
      </c>
      <c r="U194">
        <f t="shared" ref="U194:U257" si="69">IF(R194&lt;=0,0,R194*S194/1200)</f>
        <v>20823.763927185402</v>
      </c>
      <c r="V194">
        <f t="shared" ref="V194:V257" si="70">MAX(0,T194-U194)</f>
        <v>59735.555427995321</v>
      </c>
      <c r="W194">
        <f>IF(R194&lt;=0,0,MIN(MAX(0,R194-V194),0+IF(AND(Q194&gt;='Loan Prepayment'!$B$9,Q194&lt;='Loan Prepayment'!$E$16),'Loan Prepayment'!$B$8,0)))</f>
        <v>0</v>
      </c>
      <c r="X194">
        <f t="shared" ref="X194:X257" si="71">MAX(0,R194-V194-W194)</f>
        <v>3272066.6729216687</v>
      </c>
      <c r="Y194">
        <v>193</v>
      </c>
      <c r="Z194">
        <f t="shared" si="61"/>
        <v>2259116.4428836545</v>
      </c>
      <c r="AA194">
        <f>IF(Y194&gt;='Loan Prepayment'!$E$11,'Loan Prepayment'!$E$12,'Loan Prepayment'!$B$6)</f>
        <v>6.5</v>
      </c>
      <c r="AB194">
        <f>IF(Z194&lt;=0,0,MIN(IF(Y194='Loan Prepayment'!$E$11,IF('Loan Prepayment'!$E$13="Keep tenure, recalculate EMI",-PMT(AA194/1200,MAX(1,'Loan Prepayment'!$B$7*12-Y194+1),Z194),AB193),AB193),Z194+AC194))</f>
        <v>80559.31935518072</v>
      </c>
      <c r="AC194">
        <f t="shared" ref="AC194:AC257" si="72">IF(Z194&lt;=0,0,Z194*AA194/1200)</f>
        <v>12236.880732286461</v>
      </c>
      <c r="AD194">
        <f t="shared" ref="AD194:AD257" si="73">MAX(0,AB194-AC194)</f>
        <v>68322.43862289426</v>
      </c>
      <c r="AE194">
        <f t="shared" ref="AE194:AE257" si="74">IF(Z194&lt;=0,0,MIN(MAX(0,Z194-AD194),0))</f>
        <v>0</v>
      </c>
      <c r="AF194">
        <f t="shared" ref="AF194:AF257" si="75">MAX(0,Z194-AD194-AE194)</f>
        <v>2190794.0042607603</v>
      </c>
      <c r="AG194">
        <v>193</v>
      </c>
      <c r="AH194">
        <f t="shared" si="62"/>
        <v>1891782.4952679884</v>
      </c>
      <c r="AI194">
        <f>IF(AG194&gt;='Loan Prepayment'!$E$11,'Loan Prepayment'!$E$12,'Loan Prepayment'!$B$6)</f>
        <v>6.5</v>
      </c>
      <c r="AJ194">
        <f>IF(AH194&lt;=0,0,MIN(IF(AG194='Loan Prepayment'!$E$11,IF('Loan Prepayment'!$E$13="Keep tenure, recalculate EMI",-PMT(AI194/1200,MAX(1,'Loan Prepayment'!$B$7*12-AG194+1),AH194),IF(AND('Loan Prepayment'!$E$15="Reduce EMI",AM193&gt;0),-PMT(AI193/1200,MAX(1,'Loan Prepayment'!$B$7*12-AG194+1),AH194),AJ193)),IF(AND('Loan Prepayment'!$E$15="Reduce EMI",AM193&gt;0),-PMT(AI194/1200,MAX(1,'Loan Prepayment'!$B$7*12-AG194+1),AH194),AJ193)),AH194+AK194))</f>
        <v>67460.316473241648</v>
      </c>
      <c r="AK194">
        <f t="shared" ref="AK194:AK257" si="76">IF(AH194&lt;=0,0,AH194*AI194/1200)</f>
        <v>10247.155182701605</v>
      </c>
      <c r="AL194">
        <f t="shared" ref="AL194:AL257" si="77">MAX(0,AJ194-AK194)</f>
        <v>57213.16129054004</v>
      </c>
      <c r="AM194">
        <f>IF(AH194&lt;=0,0,MIN(MAX(0,AH194-AL194),SUMIFS('Loan Prepayment'!$B$12:$B$31,'Loan Prepayment'!$A$12:$A$31,AG194)+IF(AND(AG194&gt;='Loan Prepayment'!$B$9,AG194&lt;='Loan Prepayment'!$E$16),'Loan Prepayment'!$B$8,0)))</f>
        <v>0</v>
      </c>
      <c r="AN194">
        <f t="shared" ref="AN194:AN257" si="78">MAX(0,AH194-AL194-AM194)</f>
        <v>1834569.3339774483</v>
      </c>
    </row>
    <row r="195" spans="1:40" x14ac:dyDescent="0.35">
      <c r="A195">
        <v>194</v>
      </c>
      <c r="B195">
        <f t="shared" ref="B195:B258" si="79">H194</f>
        <v>3272066.6729216687</v>
      </c>
      <c r="C195" s="64">
        <f>'Loan Prepayment'!$B$6</f>
        <v>7.5</v>
      </c>
      <c r="D195">
        <f>IF(B195&lt;=0,0,MIN(-PMT('Loan Prepayment'!$B$6/1200,'Loan Prepayment'!$B$7*12,'Loan Prepayment'!$B$5),B195+E195))</f>
        <v>80559.31935518072</v>
      </c>
      <c r="E195">
        <f t="shared" si="63"/>
        <v>20450.416705760428</v>
      </c>
      <c r="F195">
        <f t="shared" si="64"/>
        <v>60108.902649420292</v>
      </c>
      <c r="G195">
        <v>0</v>
      </c>
      <c r="H195">
        <f t="shared" si="65"/>
        <v>3211957.7702722484</v>
      </c>
      <c r="I195">
        <v>194</v>
      </c>
      <c r="J195">
        <f t="shared" ref="J195:J258" si="80">P194</f>
        <v>2740026.2942098225</v>
      </c>
      <c r="K195" s="64">
        <f>'Loan Prepayment'!$B$6</f>
        <v>7.5</v>
      </c>
      <c r="L195">
        <f>IF(J195&lt;=0,0,MIN(IF(AND('Loan Prepayment'!$E$15="Reduce EMI",O194&gt;0),-PMT(K195/1200,MAX(1,'Loan Prepayment'!$B$7*12-I195+1),J195),L194),J195+M195))</f>
        <v>67460.316473241648</v>
      </c>
      <c r="M195">
        <f t="shared" si="66"/>
        <v>17125.164338811392</v>
      </c>
      <c r="N195">
        <f t="shared" si="67"/>
        <v>50335.15213443026</v>
      </c>
      <c r="O195">
        <f>IF(J195&lt;=0,0,MIN(MAX(0,J195-N195),SUMIFS('Loan Prepayment'!$B$12:$B$31,'Loan Prepayment'!$A$12:$A$31,I195)+0))</f>
        <v>0</v>
      </c>
      <c r="P195">
        <f t="shared" si="68"/>
        <v>2689691.1420753924</v>
      </c>
      <c r="Q195">
        <v>194</v>
      </c>
      <c r="R195">
        <f t="shared" ref="R195:R258" si="81">X194</f>
        <v>3272066.6729216687</v>
      </c>
      <c r="S195" s="64">
        <f>'Loan Prepayment'!$B$6</f>
        <v>7.5</v>
      </c>
      <c r="T195">
        <f>IF(R195&lt;=0,0,MIN(IF(AND('Loan Prepayment'!$E$15="Reduce EMI",W194&gt;0),-PMT(S195/1200,MAX(1,'Loan Prepayment'!$B$7*12-Q195+1),R195),T194),R195+U195))</f>
        <v>80559.31935518072</v>
      </c>
      <c r="U195">
        <f t="shared" si="69"/>
        <v>20450.416705760428</v>
      </c>
      <c r="V195">
        <f t="shared" si="70"/>
        <v>60108.902649420292</v>
      </c>
      <c r="W195">
        <f>IF(R195&lt;=0,0,MIN(MAX(0,R195-V195),0+IF(AND(Q195&gt;='Loan Prepayment'!$B$9,Q195&lt;='Loan Prepayment'!$E$16),'Loan Prepayment'!$B$8,0)))</f>
        <v>0</v>
      </c>
      <c r="X195">
        <f t="shared" si="71"/>
        <v>3211957.7702722484</v>
      </c>
      <c r="Y195">
        <v>194</v>
      </c>
      <c r="Z195">
        <f t="shared" ref="Z195:Z258" si="82">AF194</f>
        <v>2190794.0042607603</v>
      </c>
      <c r="AA195">
        <f>IF(Y195&gt;='Loan Prepayment'!$E$11,'Loan Prepayment'!$E$12,'Loan Prepayment'!$B$6)</f>
        <v>6.5</v>
      </c>
      <c r="AB195">
        <f>IF(Z195&lt;=0,0,MIN(IF(Y195='Loan Prepayment'!$E$11,IF('Loan Prepayment'!$E$13="Keep tenure, recalculate EMI",-PMT(AA195/1200,MAX(1,'Loan Prepayment'!$B$7*12-Y195+1),Z195),AB194),AB194),Z195+AC195))</f>
        <v>80559.31935518072</v>
      </c>
      <c r="AC195">
        <f t="shared" si="72"/>
        <v>11866.800856412452</v>
      </c>
      <c r="AD195">
        <f t="shared" si="73"/>
        <v>68692.518498768273</v>
      </c>
      <c r="AE195">
        <f t="shared" si="74"/>
        <v>0</v>
      </c>
      <c r="AF195">
        <f t="shared" si="75"/>
        <v>2122101.4857619922</v>
      </c>
      <c r="AG195">
        <v>194</v>
      </c>
      <c r="AH195">
        <f t="shared" ref="AH195:AH258" si="83">AN194</f>
        <v>1834569.3339774483</v>
      </c>
      <c r="AI195">
        <f>IF(AG195&gt;='Loan Prepayment'!$E$11,'Loan Prepayment'!$E$12,'Loan Prepayment'!$B$6)</f>
        <v>6.5</v>
      </c>
      <c r="AJ195">
        <f>IF(AH195&lt;=0,0,MIN(IF(AG195='Loan Prepayment'!$E$11,IF('Loan Prepayment'!$E$13="Keep tenure, recalculate EMI",-PMT(AI195/1200,MAX(1,'Loan Prepayment'!$B$7*12-AG195+1),AH195),IF(AND('Loan Prepayment'!$E$15="Reduce EMI",AM194&gt;0),-PMT(AI194/1200,MAX(1,'Loan Prepayment'!$B$7*12-AG195+1),AH195),AJ194)),IF(AND('Loan Prepayment'!$E$15="Reduce EMI",AM194&gt;0),-PMT(AI195/1200,MAX(1,'Loan Prepayment'!$B$7*12-AG195+1),AH195),AJ194)),AH195+AK195))</f>
        <v>67460.316473241648</v>
      </c>
      <c r="AK195">
        <f t="shared" si="76"/>
        <v>9937.2505590445107</v>
      </c>
      <c r="AL195">
        <f t="shared" si="77"/>
        <v>57523.065914197141</v>
      </c>
      <c r="AM195">
        <f>IF(AH195&lt;=0,0,MIN(MAX(0,AH195-AL195),SUMIFS('Loan Prepayment'!$B$12:$B$31,'Loan Prepayment'!$A$12:$A$31,AG195)+IF(AND(AG195&gt;='Loan Prepayment'!$B$9,AG195&lt;='Loan Prepayment'!$E$16),'Loan Prepayment'!$B$8,0)))</f>
        <v>0</v>
      </c>
      <c r="AN195">
        <f t="shared" si="78"/>
        <v>1777046.2680632512</v>
      </c>
    </row>
    <row r="196" spans="1:40" x14ac:dyDescent="0.35">
      <c r="A196">
        <v>195</v>
      </c>
      <c r="B196">
        <f t="shared" si="79"/>
        <v>3211957.7702722484</v>
      </c>
      <c r="C196" s="64">
        <f>'Loan Prepayment'!$B$6</f>
        <v>7.5</v>
      </c>
      <c r="D196">
        <f>IF(B196&lt;=0,0,MIN(-PMT('Loan Prepayment'!$B$6/1200,'Loan Prepayment'!$B$7*12,'Loan Prepayment'!$B$5),B196+E196))</f>
        <v>80559.31935518072</v>
      </c>
      <c r="E196">
        <f t="shared" si="63"/>
        <v>20074.736064201552</v>
      </c>
      <c r="F196">
        <f t="shared" si="64"/>
        <v>60484.583290979164</v>
      </c>
      <c r="G196">
        <v>0</v>
      </c>
      <c r="H196">
        <f t="shared" si="65"/>
        <v>3151473.1869812692</v>
      </c>
      <c r="I196">
        <v>195</v>
      </c>
      <c r="J196">
        <f t="shared" si="80"/>
        <v>2689691.1420753924</v>
      </c>
      <c r="K196" s="64">
        <f>'Loan Prepayment'!$B$6</f>
        <v>7.5</v>
      </c>
      <c r="L196">
        <f>IF(J196&lt;=0,0,MIN(IF(AND('Loan Prepayment'!$E$15="Reduce EMI",O195&gt;0),-PMT(K196/1200,MAX(1,'Loan Prepayment'!$B$7*12-I196+1),J196),L195),J196+M196))</f>
        <v>67460.316473241648</v>
      </c>
      <c r="M196">
        <f t="shared" si="66"/>
        <v>16810.569637971203</v>
      </c>
      <c r="N196">
        <f t="shared" si="67"/>
        <v>50649.746835270445</v>
      </c>
      <c r="O196">
        <f>IF(J196&lt;=0,0,MIN(MAX(0,J196-N196),SUMIFS('Loan Prepayment'!$B$12:$B$31,'Loan Prepayment'!$A$12:$A$31,I196)+0))</f>
        <v>0</v>
      </c>
      <c r="P196">
        <f t="shared" si="68"/>
        <v>2639041.395240122</v>
      </c>
      <c r="Q196">
        <v>195</v>
      </c>
      <c r="R196">
        <f t="shared" si="81"/>
        <v>3211957.7702722484</v>
      </c>
      <c r="S196" s="64">
        <f>'Loan Prepayment'!$B$6</f>
        <v>7.5</v>
      </c>
      <c r="T196">
        <f>IF(R196&lt;=0,0,MIN(IF(AND('Loan Prepayment'!$E$15="Reduce EMI",W195&gt;0),-PMT(S196/1200,MAX(1,'Loan Prepayment'!$B$7*12-Q196+1),R196),T195),R196+U196))</f>
        <v>80559.31935518072</v>
      </c>
      <c r="U196">
        <f t="shared" si="69"/>
        <v>20074.736064201552</v>
      </c>
      <c r="V196">
        <f t="shared" si="70"/>
        <v>60484.583290979164</v>
      </c>
      <c r="W196">
        <f>IF(R196&lt;=0,0,MIN(MAX(0,R196-V196),0+IF(AND(Q196&gt;='Loan Prepayment'!$B$9,Q196&lt;='Loan Prepayment'!$E$16),'Loan Prepayment'!$B$8,0)))</f>
        <v>0</v>
      </c>
      <c r="X196">
        <f t="shared" si="71"/>
        <v>3151473.1869812692</v>
      </c>
      <c r="Y196">
        <v>195</v>
      </c>
      <c r="Z196">
        <f t="shared" si="82"/>
        <v>2122101.4857619922</v>
      </c>
      <c r="AA196">
        <f>IF(Y196&gt;='Loan Prepayment'!$E$11,'Loan Prepayment'!$E$12,'Loan Prepayment'!$B$6)</f>
        <v>6.5</v>
      </c>
      <c r="AB196">
        <f>IF(Z196&lt;=0,0,MIN(IF(Y196='Loan Prepayment'!$E$11,IF('Loan Prepayment'!$E$13="Keep tenure, recalculate EMI",-PMT(AA196/1200,MAX(1,'Loan Prepayment'!$B$7*12-Y196+1),Z196),AB195),AB195),Z196+AC196))</f>
        <v>80559.31935518072</v>
      </c>
      <c r="AC196">
        <f t="shared" si="72"/>
        <v>11494.71638121079</v>
      </c>
      <c r="AD196">
        <f t="shared" si="73"/>
        <v>69064.60297396993</v>
      </c>
      <c r="AE196">
        <f t="shared" si="74"/>
        <v>0</v>
      </c>
      <c r="AF196">
        <f t="shared" si="75"/>
        <v>2053036.8827880223</v>
      </c>
      <c r="AG196">
        <v>195</v>
      </c>
      <c r="AH196">
        <f t="shared" si="83"/>
        <v>1777046.2680632512</v>
      </c>
      <c r="AI196">
        <f>IF(AG196&gt;='Loan Prepayment'!$E$11,'Loan Prepayment'!$E$12,'Loan Prepayment'!$B$6)</f>
        <v>6.5</v>
      </c>
      <c r="AJ196">
        <f>IF(AH196&lt;=0,0,MIN(IF(AG196='Loan Prepayment'!$E$11,IF('Loan Prepayment'!$E$13="Keep tenure, recalculate EMI",-PMT(AI196/1200,MAX(1,'Loan Prepayment'!$B$7*12-AG196+1),AH196),IF(AND('Loan Prepayment'!$E$15="Reduce EMI",AM195&gt;0),-PMT(AI195/1200,MAX(1,'Loan Prepayment'!$B$7*12-AG196+1),AH196),AJ195)),IF(AND('Loan Prepayment'!$E$15="Reduce EMI",AM195&gt;0),-PMT(AI196/1200,MAX(1,'Loan Prepayment'!$B$7*12-AG196+1),AH196),AJ195)),AH196+AK196))</f>
        <v>67460.316473241648</v>
      </c>
      <c r="AK196">
        <f t="shared" si="76"/>
        <v>9625.6672853426116</v>
      </c>
      <c r="AL196">
        <f t="shared" si="77"/>
        <v>57834.649187899035</v>
      </c>
      <c r="AM196">
        <f>IF(AH196&lt;=0,0,MIN(MAX(0,AH196-AL196),SUMIFS('Loan Prepayment'!$B$12:$B$31,'Loan Prepayment'!$A$12:$A$31,AG196)+IF(AND(AG196&gt;='Loan Prepayment'!$B$9,AG196&lt;='Loan Prepayment'!$E$16),'Loan Prepayment'!$B$8,0)))</f>
        <v>0</v>
      </c>
      <c r="AN196">
        <f t="shared" si="78"/>
        <v>1719211.6188753522</v>
      </c>
    </row>
    <row r="197" spans="1:40" x14ac:dyDescent="0.35">
      <c r="A197">
        <v>196</v>
      </c>
      <c r="B197">
        <f t="shared" si="79"/>
        <v>3151473.1869812692</v>
      </c>
      <c r="C197" s="64">
        <f>'Loan Prepayment'!$B$6</f>
        <v>7.5</v>
      </c>
      <c r="D197">
        <f>IF(B197&lt;=0,0,MIN(-PMT('Loan Prepayment'!$B$6/1200,'Loan Prepayment'!$B$7*12,'Loan Prepayment'!$B$5),B197+E197))</f>
        <v>80559.31935518072</v>
      </c>
      <c r="E197">
        <f t="shared" si="63"/>
        <v>19696.707418632934</v>
      </c>
      <c r="F197">
        <f t="shared" si="64"/>
        <v>60862.611936547786</v>
      </c>
      <c r="G197">
        <v>0</v>
      </c>
      <c r="H197">
        <f t="shared" si="65"/>
        <v>3090610.5750447214</v>
      </c>
      <c r="I197">
        <v>196</v>
      </c>
      <c r="J197">
        <f t="shared" si="80"/>
        <v>2639041.395240122</v>
      </c>
      <c r="K197" s="64">
        <f>'Loan Prepayment'!$B$6</f>
        <v>7.5</v>
      </c>
      <c r="L197">
        <f>IF(J197&lt;=0,0,MIN(IF(AND('Loan Prepayment'!$E$15="Reduce EMI",O196&gt;0),-PMT(K197/1200,MAX(1,'Loan Prepayment'!$B$7*12-I197+1),J197),L196),J197+M197))</f>
        <v>67460.316473241648</v>
      </c>
      <c r="M197">
        <f t="shared" si="66"/>
        <v>16494.008720250764</v>
      </c>
      <c r="N197">
        <f t="shared" si="67"/>
        <v>50966.307752990884</v>
      </c>
      <c r="O197">
        <f>IF(J197&lt;=0,0,MIN(MAX(0,J197-N197),SUMIFS('Loan Prepayment'!$B$12:$B$31,'Loan Prepayment'!$A$12:$A$31,I197)+0))</f>
        <v>0</v>
      </c>
      <c r="P197">
        <f t="shared" si="68"/>
        <v>2588075.0874871309</v>
      </c>
      <c r="Q197">
        <v>196</v>
      </c>
      <c r="R197">
        <f t="shared" si="81"/>
        <v>3151473.1869812692</v>
      </c>
      <c r="S197" s="64">
        <f>'Loan Prepayment'!$B$6</f>
        <v>7.5</v>
      </c>
      <c r="T197">
        <f>IF(R197&lt;=0,0,MIN(IF(AND('Loan Prepayment'!$E$15="Reduce EMI",W196&gt;0),-PMT(S197/1200,MAX(1,'Loan Prepayment'!$B$7*12-Q197+1),R197),T196),R197+U197))</f>
        <v>80559.31935518072</v>
      </c>
      <c r="U197">
        <f t="shared" si="69"/>
        <v>19696.707418632934</v>
      </c>
      <c r="V197">
        <f t="shared" si="70"/>
        <v>60862.611936547786</v>
      </c>
      <c r="W197">
        <f>IF(R197&lt;=0,0,MIN(MAX(0,R197-V197),0+IF(AND(Q197&gt;='Loan Prepayment'!$B$9,Q197&lt;='Loan Prepayment'!$E$16),'Loan Prepayment'!$B$8,0)))</f>
        <v>0</v>
      </c>
      <c r="X197">
        <f t="shared" si="71"/>
        <v>3090610.5750447214</v>
      </c>
      <c r="Y197">
        <v>196</v>
      </c>
      <c r="Z197">
        <f t="shared" si="82"/>
        <v>2053036.8827880223</v>
      </c>
      <c r="AA197">
        <f>IF(Y197&gt;='Loan Prepayment'!$E$11,'Loan Prepayment'!$E$12,'Loan Prepayment'!$B$6)</f>
        <v>6.5</v>
      </c>
      <c r="AB197">
        <f>IF(Z197&lt;=0,0,MIN(IF(Y197='Loan Prepayment'!$E$11,IF('Loan Prepayment'!$E$13="Keep tenure, recalculate EMI",-PMT(AA197/1200,MAX(1,'Loan Prepayment'!$B$7*12-Y197+1),Z197),AB196),AB196),Z197+AC197))</f>
        <v>80559.31935518072</v>
      </c>
      <c r="AC197">
        <f t="shared" si="72"/>
        <v>11120.616448435121</v>
      </c>
      <c r="AD197">
        <f t="shared" si="73"/>
        <v>69438.702906745602</v>
      </c>
      <c r="AE197">
        <f t="shared" si="74"/>
        <v>0</v>
      </c>
      <c r="AF197">
        <f t="shared" si="75"/>
        <v>1983598.1798812766</v>
      </c>
      <c r="AG197">
        <v>196</v>
      </c>
      <c r="AH197">
        <f t="shared" si="83"/>
        <v>1719211.6188753522</v>
      </c>
      <c r="AI197">
        <f>IF(AG197&gt;='Loan Prepayment'!$E$11,'Loan Prepayment'!$E$12,'Loan Prepayment'!$B$6)</f>
        <v>6.5</v>
      </c>
      <c r="AJ197">
        <f>IF(AH197&lt;=0,0,MIN(IF(AG197='Loan Prepayment'!$E$11,IF('Loan Prepayment'!$E$13="Keep tenure, recalculate EMI",-PMT(AI197/1200,MAX(1,'Loan Prepayment'!$B$7*12-AG197+1),AH197),IF(AND('Loan Prepayment'!$E$15="Reduce EMI",AM196&gt;0),-PMT(AI196/1200,MAX(1,'Loan Prepayment'!$B$7*12-AG197+1),AH197),AJ196)),IF(AND('Loan Prepayment'!$E$15="Reduce EMI",AM196&gt;0),-PMT(AI197/1200,MAX(1,'Loan Prepayment'!$B$7*12-AG197+1),AH197),AJ196)),AH197+AK197))</f>
        <v>67460.316473241648</v>
      </c>
      <c r="AK197">
        <f t="shared" si="76"/>
        <v>9312.3962689081582</v>
      </c>
      <c r="AL197">
        <f t="shared" si="77"/>
        <v>58147.920204333488</v>
      </c>
      <c r="AM197">
        <f>IF(AH197&lt;=0,0,MIN(MAX(0,AH197-AL197),SUMIFS('Loan Prepayment'!$B$12:$B$31,'Loan Prepayment'!$A$12:$A$31,AG197)+IF(AND(AG197&gt;='Loan Prepayment'!$B$9,AG197&lt;='Loan Prepayment'!$E$16),'Loan Prepayment'!$B$8,0)))</f>
        <v>0</v>
      </c>
      <c r="AN197">
        <f t="shared" si="78"/>
        <v>1661063.6986710187</v>
      </c>
    </row>
    <row r="198" spans="1:40" x14ac:dyDescent="0.35">
      <c r="A198">
        <v>197</v>
      </c>
      <c r="B198">
        <f t="shared" si="79"/>
        <v>3090610.5750447214</v>
      </c>
      <c r="C198" s="64">
        <f>'Loan Prepayment'!$B$6</f>
        <v>7.5</v>
      </c>
      <c r="D198">
        <f>IF(B198&lt;=0,0,MIN(-PMT('Loan Prepayment'!$B$6/1200,'Loan Prepayment'!$B$7*12,'Loan Prepayment'!$B$5),B198+E198))</f>
        <v>80559.31935518072</v>
      </c>
      <c r="E198">
        <f t="shared" si="63"/>
        <v>19316.316094029509</v>
      </c>
      <c r="F198">
        <f t="shared" si="64"/>
        <v>61243.003261151214</v>
      </c>
      <c r="G198">
        <v>0</v>
      </c>
      <c r="H198">
        <f t="shared" si="65"/>
        <v>3029367.5717835701</v>
      </c>
      <c r="I198">
        <v>197</v>
      </c>
      <c r="J198">
        <f t="shared" si="80"/>
        <v>2588075.0874871309</v>
      </c>
      <c r="K198" s="64">
        <f>'Loan Prepayment'!$B$6</f>
        <v>7.5</v>
      </c>
      <c r="L198">
        <f>IF(J198&lt;=0,0,MIN(IF(AND('Loan Prepayment'!$E$15="Reduce EMI",O197&gt;0),-PMT(K198/1200,MAX(1,'Loan Prepayment'!$B$7*12-I198+1),J198),L197),J198+M198))</f>
        <v>67460.316473241648</v>
      </c>
      <c r="M198">
        <f t="shared" si="66"/>
        <v>16175.469296794568</v>
      </c>
      <c r="N198">
        <f t="shared" si="67"/>
        <v>51284.847176447081</v>
      </c>
      <c r="O198">
        <f>IF(J198&lt;=0,0,MIN(MAX(0,J198-N198),SUMIFS('Loan Prepayment'!$B$12:$B$31,'Loan Prepayment'!$A$12:$A$31,I198)+0))</f>
        <v>0</v>
      </c>
      <c r="P198">
        <f t="shared" si="68"/>
        <v>2536790.2403106838</v>
      </c>
      <c r="Q198">
        <v>197</v>
      </c>
      <c r="R198">
        <f t="shared" si="81"/>
        <v>3090610.5750447214</v>
      </c>
      <c r="S198" s="64">
        <f>'Loan Prepayment'!$B$6</f>
        <v>7.5</v>
      </c>
      <c r="T198">
        <f>IF(R198&lt;=0,0,MIN(IF(AND('Loan Prepayment'!$E$15="Reduce EMI",W197&gt;0),-PMT(S198/1200,MAX(1,'Loan Prepayment'!$B$7*12-Q198+1),R198),T197),R198+U198))</f>
        <v>80559.31935518072</v>
      </c>
      <c r="U198">
        <f t="shared" si="69"/>
        <v>19316.316094029509</v>
      </c>
      <c r="V198">
        <f t="shared" si="70"/>
        <v>61243.003261151214</v>
      </c>
      <c r="W198">
        <f>IF(R198&lt;=0,0,MIN(MAX(0,R198-V198),0+IF(AND(Q198&gt;='Loan Prepayment'!$B$9,Q198&lt;='Loan Prepayment'!$E$16),'Loan Prepayment'!$B$8,0)))</f>
        <v>0</v>
      </c>
      <c r="X198">
        <f t="shared" si="71"/>
        <v>3029367.5717835701</v>
      </c>
      <c r="Y198">
        <v>197</v>
      </c>
      <c r="Z198">
        <f t="shared" si="82"/>
        <v>1983598.1798812766</v>
      </c>
      <c r="AA198">
        <f>IF(Y198&gt;='Loan Prepayment'!$E$11,'Loan Prepayment'!$E$12,'Loan Prepayment'!$B$6)</f>
        <v>6.5</v>
      </c>
      <c r="AB198">
        <f>IF(Z198&lt;=0,0,MIN(IF(Y198='Loan Prepayment'!$E$11,IF('Loan Prepayment'!$E$13="Keep tenure, recalculate EMI",-PMT(AA198/1200,MAX(1,'Loan Prepayment'!$B$7*12-Y198+1),Z198),AB197),AB197),Z198+AC198))</f>
        <v>80559.31935518072</v>
      </c>
      <c r="AC198">
        <f t="shared" si="72"/>
        <v>10744.49014102358</v>
      </c>
      <c r="AD198">
        <f t="shared" si="73"/>
        <v>69814.829214157144</v>
      </c>
      <c r="AE198">
        <f t="shared" si="74"/>
        <v>0</v>
      </c>
      <c r="AF198">
        <f t="shared" si="75"/>
        <v>1913783.3506671195</v>
      </c>
      <c r="AG198">
        <v>197</v>
      </c>
      <c r="AH198">
        <f t="shared" si="83"/>
        <v>1661063.6986710187</v>
      </c>
      <c r="AI198">
        <f>IF(AG198&gt;='Loan Prepayment'!$E$11,'Loan Prepayment'!$E$12,'Loan Prepayment'!$B$6)</f>
        <v>6.5</v>
      </c>
      <c r="AJ198">
        <f>IF(AH198&lt;=0,0,MIN(IF(AG198='Loan Prepayment'!$E$11,IF('Loan Prepayment'!$E$13="Keep tenure, recalculate EMI",-PMT(AI198/1200,MAX(1,'Loan Prepayment'!$B$7*12-AG198+1),AH198),IF(AND('Loan Prepayment'!$E$15="Reduce EMI",AM197&gt;0),-PMT(AI197/1200,MAX(1,'Loan Prepayment'!$B$7*12-AG198+1),AH198),AJ197)),IF(AND('Loan Prepayment'!$E$15="Reduce EMI",AM197&gt;0),-PMT(AI198/1200,MAX(1,'Loan Prepayment'!$B$7*12-AG198+1),AH198),AJ197)),AH198+AK198))</f>
        <v>67460.316473241648</v>
      </c>
      <c r="AK198">
        <f t="shared" si="76"/>
        <v>8997.4283678013526</v>
      </c>
      <c r="AL198">
        <f t="shared" si="77"/>
        <v>58462.888105440295</v>
      </c>
      <c r="AM198">
        <f>IF(AH198&lt;=0,0,MIN(MAX(0,AH198-AL198),SUMIFS('Loan Prepayment'!$B$12:$B$31,'Loan Prepayment'!$A$12:$A$31,AG198)+IF(AND(AG198&gt;='Loan Prepayment'!$B$9,AG198&lt;='Loan Prepayment'!$E$16),'Loan Prepayment'!$B$8,0)))</f>
        <v>0</v>
      </c>
      <c r="AN198">
        <f t="shared" si="78"/>
        <v>1602600.8105655785</v>
      </c>
    </row>
    <row r="199" spans="1:40" x14ac:dyDescent="0.35">
      <c r="A199">
        <v>198</v>
      </c>
      <c r="B199">
        <f t="shared" si="79"/>
        <v>3029367.5717835701</v>
      </c>
      <c r="C199" s="64">
        <f>'Loan Prepayment'!$B$6</f>
        <v>7.5</v>
      </c>
      <c r="D199">
        <f>IF(B199&lt;=0,0,MIN(-PMT('Loan Prepayment'!$B$6/1200,'Loan Prepayment'!$B$7*12,'Loan Prepayment'!$B$5),B199+E199))</f>
        <v>80559.31935518072</v>
      </c>
      <c r="E199">
        <f t="shared" si="63"/>
        <v>18933.547323647312</v>
      </c>
      <c r="F199">
        <f t="shared" si="64"/>
        <v>61625.772031533408</v>
      </c>
      <c r="G199">
        <v>0</v>
      </c>
      <c r="H199">
        <f t="shared" si="65"/>
        <v>2967741.7997520366</v>
      </c>
      <c r="I199">
        <v>198</v>
      </c>
      <c r="J199">
        <f t="shared" si="80"/>
        <v>2536790.2403106838</v>
      </c>
      <c r="K199" s="64">
        <f>'Loan Prepayment'!$B$6</f>
        <v>7.5</v>
      </c>
      <c r="L199">
        <f>IF(J199&lt;=0,0,MIN(IF(AND('Loan Prepayment'!$E$15="Reduce EMI",O198&gt;0),-PMT(K199/1200,MAX(1,'Loan Prepayment'!$B$7*12-I199+1),J199),L198),J199+M199))</f>
        <v>67460.316473241648</v>
      </c>
      <c r="M199">
        <f t="shared" si="66"/>
        <v>15854.939001941773</v>
      </c>
      <c r="N199">
        <f t="shared" si="67"/>
        <v>51605.377471299871</v>
      </c>
      <c r="O199">
        <f>IF(J199&lt;=0,0,MIN(MAX(0,J199-N199),SUMIFS('Loan Prepayment'!$B$12:$B$31,'Loan Prepayment'!$A$12:$A$31,I199)+0))</f>
        <v>0</v>
      </c>
      <c r="P199">
        <f t="shared" si="68"/>
        <v>2485184.862839384</v>
      </c>
      <c r="Q199">
        <v>198</v>
      </c>
      <c r="R199">
        <f t="shared" si="81"/>
        <v>3029367.5717835701</v>
      </c>
      <c r="S199" s="64">
        <f>'Loan Prepayment'!$B$6</f>
        <v>7.5</v>
      </c>
      <c r="T199">
        <f>IF(R199&lt;=0,0,MIN(IF(AND('Loan Prepayment'!$E$15="Reduce EMI",W198&gt;0),-PMT(S199/1200,MAX(1,'Loan Prepayment'!$B$7*12-Q199+1),R199),T198),R199+U199))</f>
        <v>80559.31935518072</v>
      </c>
      <c r="U199">
        <f t="shared" si="69"/>
        <v>18933.547323647312</v>
      </c>
      <c r="V199">
        <f t="shared" si="70"/>
        <v>61625.772031533408</v>
      </c>
      <c r="W199">
        <f>IF(R199&lt;=0,0,MIN(MAX(0,R199-V199),0+IF(AND(Q199&gt;='Loan Prepayment'!$B$9,Q199&lt;='Loan Prepayment'!$E$16),'Loan Prepayment'!$B$8,0)))</f>
        <v>0</v>
      </c>
      <c r="X199">
        <f t="shared" si="71"/>
        <v>2967741.7997520366</v>
      </c>
      <c r="Y199">
        <v>198</v>
      </c>
      <c r="Z199">
        <f t="shared" si="82"/>
        <v>1913783.3506671195</v>
      </c>
      <c r="AA199">
        <f>IF(Y199&gt;='Loan Prepayment'!$E$11,'Loan Prepayment'!$E$12,'Loan Prepayment'!$B$6)</f>
        <v>6.5</v>
      </c>
      <c r="AB199">
        <f>IF(Z199&lt;=0,0,MIN(IF(Y199='Loan Prepayment'!$E$11,IF('Loan Prepayment'!$E$13="Keep tenure, recalculate EMI",-PMT(AA199/1200,MAX(1,'Loan Prepayment'!$B$7*12-Y199+1),Z199),AB198),AB198),Z199+AC199))</f>
        <v>80559.31935518072</v>
      </c>
      <c r="AC199">
        <f t="shared" si="72"/>
        <v>10366.32648278023</v>
      </c>
      <c r="AD199">
        <f t="shared" si="73"/>
        <v>70192.992872400486</v>
      </c>
      <c r="AE199">
        <f t="shared" si="74"/>
        <v>0</v>
      </c>
      <c r="AF199">
        <f t="shared" si="75"/>
        <v>1843590.357794719</v>
      </c>
      <c r="AG199">
        <v>198</v>
      </c>
      <c r="AH199">
        <f t="shared" si="83"/>
        <v>1602600.8105655785</v>
      </c>
      <c r="AI199">
        <f>IF(AG199&gt;='Loan Prepayment'!$E$11,'Loan Prepayment'!$E$12,'Loan Prepayment'!$B$6)</f>
        <v>6.5</v>
      </c>
      <c r="AJ199">
        <f>IF(AH199&lt;=0,0,MIN(IF(AG199='Loan Prepayment'!$E$11,IF('Loan Prepayment'!$E$13="Keep tenure, recalculate EMI",-PMT(AI199/1200,MAX(1,'Loan Prepayment'!$B$7*12-AG199+1),AH199),IF(AND('Loan Prepayment'!$E$15="Reduce EMI",AM198&gt;0),-PMT(AI198/1200,MAX(1,'Loan Prepayment'!$B$7*12-AG199+1),AH199),AJ198)),IF(AND('Loan Prepayment'!$E$15="Reduce EMI",AM198&gt;0),-PMT(AI199/1200,MAX(1,'Loan Prepayment'!$B$7*12-AG199+1),AH199),AJ198)),AH199+AK199))</f>
        <v>67460.316473241648</v>
      </c>
      <c r="AK199">
        <f t="shared" si="76"/>
        <v>8680.7543905635503</v>
      </c>
      <c r="AL199">
        <f t="shared" si="77"/>
        <v>58779.562082678094</v>
      </c>
      <c r="AM199">
        <f>IF(AH199&lt;=0,0,MIN(MAX(0,AH199-AL199),SUMIFS('Loan Prepayment'!$B$12:$B$31,'Loan Prepayment'!$A$12:$A$31,AG199)+IF(AND(AG199&gt;='Loan Prepayment'!$B$9,AG199&lt;='Loan Prepayment'!$E$16),'Loan Prepayment'!$B$8,0)))</f>
        <v>0</v>
      </c>
      <c r="AN199">
        <f t="shared" si="78"/>
        <v>1543821.2484829004</v>
      </c>
    </row>
    <row r="200" spans="1:40" x14ac:dyDescent="0.35">
      <c r="A200">
        <v>199</v>
      </c>
      <c r="B200">
        <f t="shared" si="79"/>
        <v>2967741.7997520366</v>
      </c>
      <c r="C200" s="64">
        <f>'Loan Prepayment'!$B$6</f>
        <v>7.5</v>
      </c>
      <c r="D200">
        <f>IF(B200&lt;=0,0,MIN(-PMT('Loan Prepayment'!$B$6/1200,'Loan Prepayment'!$B$7*12,'Loan Prepayment'!$B$5),B200+E200))</f>
        <v>80559.31935518072</v>
      </c>
      <c r="E200">
        <f t="shared" si="63"/>
        <v>18548.386248450228</v>
      </c>
      <c r="F200">
        <f t="shared" si="64"/>
        <v>62010.933106730488</v>
      </c>
      <c r="G200">
        <v>0</v>
      </c>
      <c r="H200">
        <f t="shared" si="65"/>
        <v>2905730.8666453059</v>
      </c>
      <c r="I200">
        <v>199</v>
      </c>
      <c r="J200">
        <f t="shared" si="80"/>
        <v>2485184.862839384</v>
      </c>
      <c r="K200" s="64">
        <f>'Loan Prepayment'!$B$6</f>
        <v>7.5</v>
      </c>
      <c r="L200">
        <f>IF(J200&lt;=0,0,MIN(IF(AND('Loan Prepayment'!$E$15="Reduce EMI",O199&gt;0),-PMT(K200/1200,MAX(1,'Loan Prepayment'!$B$7*12-I200+1),J200),L199),J200+M200))</f>
        <v>67460.316473241648</v>
      </c>
      <c r="M200">
        <f t="shared" si="66"/>
        <v>15532.40539274615</v>
      </c>
      <c r="N200">
        <f t="shared" si="67"/>
        <v>51927.911080495498</v>
      </c>
      <c r="O200">
        <f>IF(J200&lt;=0,0,MIN(MAX(0,J200-N200),SUMIFS('Loan Prepayment'!$B$12:$B$31,'Loan Prepayment'!$A$12:$A$31,I200)+0))</f>
        <v>0</v>
      </c>
      <c r="P200">
        <f t="shared" si="68"/>
        <v>2433256.9517588886</v>
      </c>
      <c r="Q200">
        <v>199</v>
      </c>
      <c r="R200">
        <f t="shared" si="81"/>
        <v>2967741.7997520366</v>
      </c>
      <c r="S200" s="64">
        <f>'Loan Prepayment'!$B$6</f>
        <v>7.5</v>
      </c>
      <c r="T200">
        <f>IF(R200&lt;=0,0,MIN(IF(AND('Loan Prepayment'!$E$15="Reduce EMI",W199&gt;0),-PMT(S200/1200,MAX(1,'Loan Prepayment'!$B$7*12-Q200+1),R200),T199),R200+U200))</f>
        <v>80559.31935518072</v>
      </c>
      <c r="U200">
        <f t="shared" si="69"/>
        <v>18548.386248450228</v>
      </c>
      <c r="V200">
        <f t="shared" si="70"/>
        <v>62010.933106730488</v>
      </c>
      <c r="W200">
        <f>IF(R200&lt;=0,0,MIN(MAX(0,R200-V200),0+IF(AND(Q200&gt;='Loan Prepayment'!$B$9,Q200&lt;='Loan Prepayment'!$E$16),'Loan Prepayment'!$B$8,0)))</f>
        <v>0</v>
      </c>
      <c r="X200">
        <f t="shared" si="71"/>
        <v>2905730.8666453059</v>
      </c>
      <c r="Y200">
        <v>199</v>
      </c>
      <c r="Z200">
        <f t="shared" si="82"/>
        <v>1843590.357794719</v>
      </c>
      <c r="AA200">
        <f>IF(Y200&gt;='Loan Prepayment'!$E$11,'Loan Prepayment'!$E$12,'Loan Prepayment'!$B$6)</f>
        <v>6.5</v>
      </c>
      <c r="AB200">
        <f>IF(Z200&lt;=0,0,MIN(IF(Y200='Loan Prepayment'!$E$11,IF('Loan Prepayment'!$E$13="Keep tenure, recalculate EMI",-PMT(AA200/1200,MAX(1,'Loan Prepayment'!$B$7*12-Y200+1),Z200),AB199),AB199),Z200+AC200))</f>
        <v>80559.31935518072</v>
      </c>
      <c r="AC200">
        <f t="shared" si="72"/>
        <v>9986.1144380547285</v>
      </c>
      <c r="AD200">
        <f t="shared" si="73"/>
        <v>70573.204917125986</v>
      </c>
      <c r="AE200">
        <f t="shared" si="74"/>
        <v>0</v>
      </c>
      <c r="AF200">
        <f t="shared" si="75"/>
        <v>1773017.1528775929</v>
      </c>
      <c r="AG200">
        <v>199</v>
      </c>
      <c r="AH200">
        <f t="shared" si="83"/>
        <v>1543821.2484829004</v>
      </c>
      <c r="AI200">
        <f>IF(AG200&gt;='Loan Prepayment'!$E$11,'Loan Prepayment'!$E$12,'Loan Prepayment'!$B$6)</f>
        <v>6.5</v>
      </c>
      <c r="AJ200">
        <f>IF(AH200&lt;=0,0,MIN(IF(AG200='Loan Prepayment'!$E$11,IF('Loan Prepayment'!$E$13="Keep tenure, recalculate EMI",-PMT(AI200/1200,MAX(1,'Loan Prepayment'!$B$7*12-AG200+1),AH200),IF(AND('Loan Prepayment'!$E$15="Reduce EMI",AM199&gt;0),-PMT(AI199/1200,MAX(1,'Loan Prepayment'!$B$7*12-AG200+1),AH200),AJ199)),IF(AND('Loan Prepayment'!$E$15="Reduce EMI",AM199&gt;0),-PMT(AI200/1200,MAX(1,'Loan Prepayment'!$B$7*12-AG200+1),AH200),AJ199)),AH200+AK200))</f>
        <v>67460.316473241648</v>
      </c>
      <c r="AK200">
        <f t="shared" si="76"/>
        <v>8362.3650959490442</v>
      </c>
      <c r="AL200">
        <f t="shared" si="77"/>
        <v>59097.9513772926</v>
      </c>
      <c r="AM200">
        <f>IF(AH200&lt;=0,0,MIN(MAX(0,AH200-AL200),SUMIFS('Loan Prepayment'!$B$12:$B$31,'Loan Prepayment'!$A$12:$A$31,AG200)+IF(AND(AG200&gt;='Loan Prepayment'!$B$9,AG200&lt;='Loan Prepayment'!$E$16),'Loan Prepayment'!$B$8,0)))</f>
        <v>0</v>
      </c>
      <c r="AN200">
        <f t="shared" si="78"/>
        <v>1484723.2971056078</v>
      </c>
    </row>
    <row r="201" spans="1:40" x14ac:dyDescent="0.35">
      <c r="A201">
        <v>200</v>
      </c>
      <c r="B201">
        <f t="shared" si="79"/>
        <v>2905730.8666453059</v>
      </c>
      <c r="C201" s="64">
        <f>'Loan Prepayment'!$B$6</f>
        <v>7.5</v>
      </c>
      <c r="D201">
        <f>IF(B201&lt;=0,0,MIN(-PMT('Loan Prepayment'!$B$6/1200,'Loan Prepayment'!$B$7*12,'Loan Prepayment'!$B$5),B201+E201))</f>
        <v>80559.31935518072</v>
      </c>
      <c r="E201">
        <f t="shared" si="63"/>
        <v>18160.81791653316</v>
      </c>
      <c r="F201">
        <f t="shared" si="64"/>
        <v>62398.50143864756</v>
      </c>
      <c r="G201">
        <v>0</v>
      </c>
      <c r="H201">
        <f t="shared" si="65"/>
        <v>2843332.3652066584</v>
      </c>
      <c r="I201">
        <v>200</v>
      </c>
      <c r="J201">
        <f t="shared" si="80"/>
        <v>2433256.9517588886</v>
      </c>
      <c r="K201" s="64">
        <f>'Loan Prepayment'!$B$6</f>
        <v>7.5</v>
      </c>
      <c r="L201">
        <f>IF(J201&lt;=0,0,MIN(IF(AND('Loan Prepayment'!$E$15="Reduce EMI",O200&gt;0),-PMT(K201/1200,MAX(1,'Loan Prepayment'!$B$7*12-I201+1),J201),L200),J201+M201))</f>
        <v>67460.316473241648</v>
      </c>
      <c r="M201">
        <f t="shared" si="66"/>
        <v>15207.855948493052</v>
      </c>
      <c r="N201">
        <f t="shared" si="67"/>
        <v>52252.460524748596</v>
      </c>
      <c r="O201">
        <f>IF(J201&lt;=0,0,MIN(MAX(0,J201-N201),SUMIFS('Loan Prepayment'!$B$12:$B$31,'Loan Prepayment'!$A$12:$A$31,I201)+0))</f>
        <v>0</v>
      </c>
      <c r="P201">
        <f t="shared" si="68"/>
        <v>2381004.49123414</v>
      </c>
      <c r="Q201">
        <v>200</v>
      </c>
      <c r="R201">
        <f t="shared" si="81"/>
        <v>2905730.8666453059</v>
      </c>
      <c r="S201" s="64">
        <f>'Loan Prepayment'!$B$6</f>
        <v>7.5</v>
      </c>
      <c r="T201">
        <f>IF(R201&lt;=0,0,MIN(IF(AND('Loan Prepayment'!$E$15="Reduce EMI",W200&gt;0),-PMT(S201/1200,MAX(1,'Loan Prepayment'!$B$7*12-Q201+1),R201),T200),R201+U201))</f>
        <v>80559.31935518072</v>
      </c>
      <c r="U201">
        <f t="shared" si="69"/>
        <v>18160.81791653316</v>
      </c>
      <c r="V201">
        <f t="shared" si="70"/>
        <v>62398.50143864756</v>
      </c>
      <c r="W201">
        <f>IF(R201&lt;=0,0,MIN(MAX(0,R201-V201),0+IF(AND(Q201&gt;='Loan Prepayment'!$B$9,Q201&lt;='Loan Prepayment'!$E$16),'Loan Prepayment'!$B$8,0)))</f>
        <v>0</v>
      </c>
      <c r="X201">
        <f t="shared" si="71"/>
        <v>2843332.3652066584</v>
      </c>
      <c r="Y201">
        <v>200</v>
      </c>
      <c r="Z201">
        <f t="shared" si="82"/>
        <v>1773017.1528775929</v>
      </c>
      <c r="AA201">
        <f>IF(Y201&gt;='Loan Prepayment'!$E$11,'Loan Prepayment'!$E$12,'Loan Prepayment'!$B$6)</f>
        <v>6.5</v>
      </c>
      <c r="AB201">
        <f>IF(Z201&lt;=0,0,MIN(IF(Y201='Loan Prepayment'!$E$11,IF('Loan Prepayment'!$E$13="Keep tenure, recalculate EMI",-PMT(AA201/1200,MAX(1,'Loan Prepayment'!$B$7*12-Y201+1),Z201),AB200),AB200),Z201+AC201))</f>
        <v>80559.31935518072</v>
      </c>
      <c r="AC201">
        <f t="shared" si="72"/>
        <v>9603.8429114202954</v>
      </c>
      <c r="AD201">
        <f t="shared" si="73"/>
        <v>70955.476443760417</v>
      </c>
      <c r="AE201">
        <f t="shared" si="74"/>
        <v>0</v>
      </c>
      <c r="AF201">
        <f t="shared" si="75"/>
        <v>1702061.6764338326</v>
      </c>
      <c r="AG201">
        <v>200</v>
      </c>
      <c r="AH201">
        <f t="shared" si="83"/>
        <v>1484723.2971056078</v>
      </c>
      <c r="AI201">
        <f>IF(AG201&gt;='Loan Prepayment'!$E$11,'Loan Prepayment'!$E$12,'Loan Prepayment'!$B$6)</f>
        <v>6.5</v>
      </c>
      <c r="AJ201">
        <f>IF(AH201&lt;=0,0,MIN(IF(AG201='Loan Prepayment'!$E$11,IF('Loan Prepayment'!$E$13="Keep tenure, recalculate EMI",-PMT(AI201/1200,MAX(1,'Loan Prepayment'!$B$7*12-AG201+1),AH201),IF(AND('Loan Prepayment'!$E$15="Reduce EMI",AM200&gt;0),-PMT(AI200/1200,MAX(1,'Loan Prepayment'!$B$7*12-AG201+1),AH201),AJ200)),IF(AND('Loan Prepayment'!$E$15="Reduce EMI",AM200&gt;0),-PMT(AI201/1200,MAX(1,'Loan Prepayment'!$B$7*12-AG201+1),AH201),AJ200)),AH201+AK201))</f>
        <v>67460.316473241648</v>
      </c>
      <c r="AK201">
        <f t="shared" si="76"/>
        <v>8042.2511926553752</v>
      </c>
      <c r="AL201">
        <f t="shared" si="77"/>
        <v>59418.06528058627</v>
      </c>
      <c r="AM201">
        <f>IF(AH201&lt;=0,0,MIN(MAX(0,AH201-AL201),SUMIFS('Loan Prepayment'!$B$12:$B$31,'Loan Prepayment'!$A$12:$A$31,AG201)+IF(AND(AG201&gt;='Loan Prepayment'!$B$9,AG201&lt;='Loan Prepayment'!$E$16),'Loan Prepayment'!$B$8,0)))</f>
        <v>0</v>
      </c>
      <c r="AN201">
        <f t="shared" si="78"/>
        <v>1425305.2318250216</v>
      </c>
    </row>
    <row r="202" spans="1:40" x14ac:dyDescent="0.35">
      <c r="A202">
        <v>201</v>
      </c>
      <c r="B202">
        <f t="shared" si="79"/>
        <v>2843332.3652066584</v>
      </c>
      <c r="C202" s="64">
        <f>'Loan Prepayment'!$B$6</f>
        <v>7.5</v>
      </c>
      <c r="D202">
        <f>IF(B202&lt;=0,0,MIN(-PMT('Loan Prepayment'!$B$6/1200,'Loan Prepayment'!$B$7*12,'Loan Prepayment'!$B$5),B202+E202))</f>
        <v>80559.31935518072</v>
      </c>
      <c r="E202">
        <f t="shared" si="63"/>
        <v>17770.827282541613</v>
      </c>
      <c r="F202">
        <f t="shared" si="64"/>
        <v>62788.492072639106</v>
      </c>
      <c r="G202">
        <v>0</v>
      </c>
      <c r="H202">
        <f t="shared" si="65"/>
        <v>2780543.8731340193</v>
      </c>
      <c r="I202">
        <v>201</v>
      </c>
      <c r="J202">
        <f t="shared" si="80"/>
        <v>2381004.49123414</v>
      </c>
      <c r="K202" s="64">
        <f>'Loan Prepayment'!$B$6</f>
        <v>7.5</v>
      </c>
      <c r="L202">
        <f>IF(J202&lt;=0,0,MIN(IF(AND('Loan Prepayment'!$E$15="Reduce EMI",O201&gt;0),-PMT(K202/1200,MAX(1,'Loan Prepayment'!$B$7*12-I202+1),J202),L201),J202+M202))</f>
        <v>67460.316473241648</v>
      </c>
      <c r="M202">
        <f t="shared" si="66"/>
        <v>14881.278070213375</v>
      </c>
      <c r="N202">
        <f t="shared" si="67"/>
        <v>52579.038403028273</v>
      </c>
      <c r="O202">
        <f>IF(J202&lt;=0,0,MIN(MAX(0,J202-N202),SUMIFS('Loan Prepayment'!$B$12:$B$31,'Loan Prepayment'!$A$12:$A$31,I202)+0))</f>
        <v>0</v>
      </c>
      <c r="P202">
        <f t="shared" si="68"/>
        <v>2328425.4528311118</v>
      </c>
      <c r="Q202">
        <v>201</v>
      </c>
      <c r="R202">
        <f t="shared" si="81"/>
        <v>2843332.3652066584</v>
      </c>
      <c r="S202" s="64">
        <f>'Loan Prepayment'!$B$6</f>
        <v>7.5</v>
      </c>
      <c r="T202">
        <f>IF(R202&lt;=0,0,MIN(IF(AND('Loan Prepayment'!$E$15="Reduce EMI",W201&gt;0),-PMT(S202/1200,MAX(1,'Loan Prepayment'!$B$7*12-Q202+1),R202),T201),R202+U202))</f>
        <v>80559.31935518072</v>
      </c>
      <c r="U202">
        <f t="shared" si="69"/>
        <v>17770.827282541613</v>
      </c>
      <c r="V202">
        <f t="shared" si="70"/>
        <v>62788.492072639106</v>
      </c>
      <c r="W202">
        <f>IF(R202&lt;=0,0,MIN(MAX(0,R202-V202),0+IF(AND(Q202&gt;='Loan Prepayment'!$B$9,Q202&lt;='Loan Prepayment'!$E$16),'Loan Prepayment'!$B$8,0)))</f>
        <v>0</v>
      </c>
      <c r="X202">
        <f t="shared" si="71"/>
        <v>2780543.8731340193</v>
      </c>
      <c r="Y202">
        <v>201</v>
      </c>
      <c r="Z202">
        <f t="shared" si="82"/>
        <v>1702061.6764338326</v>
      </c>
      <c r="AA202">
        <f>IF(Y202&gt;='Loan Prepayment'!$E$11,'Loan Prepayment'!$E$12,'Loan Prepayment'!$B$6)</f>
        <v>6.5</v>
      </c>
      <c r="AB202">
        <f>IF(Z202&lt;=0,0,MIN(IF(Y202='Loan Prepayment'!$E$11,IF('Loan Prepayment'!$E$13="Keep tenure, recalculate EMI",-PMT(AA202/1200,MAX(1,'Loan Prepayment'!$B$7*12-Y202+1),Z202),AB201),AB201),Z202+AC202))</f>
        <v>80559.31935518072</v>
      </c>
      <c r="AC202">
        <f t="shared" si="72"/>
        <v>9219.5007473499263</v>
      </c>
      <c r="AD202">
        <f t="shared" si="73"/>
        <v>71339.818607830792</v>
      </c>
      <c r="AE202">
        <f t="shared" si="74"/>
        <v>0</v>
      </c>
      <c r="AF202">
        <f t="shared" si="75"/>
        <v>1630721.8578260019</v>
      </c>
      <c r="AG202">
        <v>201</v>
      </c>
      <c r="AH202">
        <f t="shared" si="83"/>
        <v>1425305.2318250216</v>
      </c>
      <c r="AI202">
        <f>IF(AG202&gt;='Loan Prepayment'!$E$11,'Loan Prepayment'!$E$12,'Loan Prepayment'!$B$6)</f>
        <v>6.5</v>
      </c>
      <c r="AJ202">
        <f>IF(AH202&lt;=0,0,MIN(IF(AG202='Loan Prepayment'!$E$11,IF('Loan Prepayment'!$E$13="Keep tenure, recalculate EMI",-PMT(AI202/1200,MAX(1,'Loan Prepayment'!$B$7*12-AG202+1),AH202),IF(AND('Loan Prepayment'!$E$15="Reduce EMI",AM201&gt;0),-PMT(AI201/1200,MAX(1,'Loan Prepayment'!$B$7*12-AG202+1),AH202),AJ201)),IF(AND('Loan Prepayment'!$E$15="Reduce EMI",AM201&gt;0),-PMT(AI202/1200,MAX(1,'Loan Prepayment'!$B$7*12-AG202+1),AH202),AJ201)),AH202+AK202))</f>
        <v>67460.316473241648</v>
      </c>
      <c r="AK202">
        <f t="shared" si="76"/>
        <v>7720.4033390522</v>
      </c>
      <c r="AL202">
        <f t="shared" si="77"/>
        <v>59739.913134189446</v>
      </c>
      <c r="AM202">
        <f>IF(AH202&lt;=0,0,MIN(MAX(0,AH202-AL202),SUMIFS('Loan Prepayment'!$B$12:$B$31,'Loan Prepayment'!$A$12:$A$31,AG202)+IF(AND(AG202&gt;='Loan Prepayment'!$B$9,AG202&lt;='Loan Prepayment'!$E$16),'Loan Prepayment'!$B$8,0)))</f>
        <v>0</v>
      </c>
      <c r="AN202">
        <f t="shared" si="78"/>
        <v>1365565.318690832</v>
      </c>
    </row>
    <row r="203" spans="1:40" x14ac:dyDescent="0.35">
      <c r="A203">
        <v>202</v>
      </c>
      <c r="B203">
        <f t="shared" si="79"/>
        <v>2780543.8731340193</v>
      </c>
      <c r="C203" s="64">
        <f>'Loan Prepayment'!$B$6</f>
        <v>7.5</v>
      </c>
      <c r="D203">
        <f>IF(B203&lt;=0,0,MIN(-PMT('Loan Prepayment'!$B$6/1200,'Loan Prepayment'!$B$7*12,'Loan Prepayment'!$B$5),B203+E203))</f>
        <v>80559.31935518072</v>
      </c>
      <c r="E203">
        <f t="shared" si="63"/>
        <v>17378.399207087623</v>
      </c>
      <c r="F203">
        <f t="shared" si="64"/>
        <v>63180.920148093093</v>
      </c>
      <c r="G203">
        <v>0</v>
      </c>
      <c r="H203">
        <f t="shared" si="65"/>
        <v>2717362.9529859261</v>
      </c>
      <c r="I203">
        <v>202</v>
      </c>
      <c r="J203">
        <f t="shared" si="80"/>
        <v>2328425.4528311118</v>
      </c>
      <c r="K203" s="64">
        <f>'Loan Prepayment'!$B$6</f>
        <v>7.5</v>
      </c>
      <c r="L203">
        <f>IF(J203&lt;=0,0,MIN(IF(AND('Loan Prepayment'!$E$15="Reduce EMI",O202&gt;0),-PMT(K203/1200,MAX(1,'Loan Prepayment'!$B$7*12-I203+1),J203),L202),J203+M203))</f>
        <v>67460.316473241648</v>
      </c>
      <c r="M203">
        <f t="shared" si="66"/>
        <v>14552.659080194449</v>
      </c>
      <c r="N203">
        <f t="shared" si="67"/>
        <v>52907.6573930472</v>
      </c>
      <c r="O203">
        <f>IF(J203&lt;=0,0,MIN(MAX(0,J203-N203),SUMIFS('Loan Prepayment'!$B$12:$B$31,'Loan Prepayment'!$A$12:$A$31,I203)+0))</f>
        <v>0</v>
      </c>
      <c r="P203">
        <f t="shared" si="68"/>
        <v>2275517.7954380647</v>
      </c>
      <c r="Q203">
        <v>202</v>
      </c>
      <c r="R203">
        <f t="shared" si="81"/>
        <v>2780543.8731340193</v>
      </c>
      <c r="S203" s="64">
        <f>'Loan Prepayment'!$B$6</f>
        <v>7.5</v>
      </c>
      <c r="T203">
        <f>IF(R203&lt;=0,0,MIN(IF(AND('Loan Prepayment'!$E$15="Reduce EMI",W202&gt;0),-PMT(S203/1200,MAX(1,'Loan Prepayment'!$B$7*12-Q203+1),R203),T202),R203+U203))</f>
        <v>80559.31935518072</v>
      </c>
      <c r="U203">
        <f t="shared" si="69"/>
        <v>17378.399207087623</v>
      </c>
      <c r="V203">
        <f t="shared" si="70"/>
        <v>63180.920148093093</v>
      </c>
      <c r="W203">
        <f>IF(R203&lt;=0,0,MIN(MAX(0,R203-V203),0+IF(AND(Q203&gt;='Loan Prepayment'!$B$9,Q203&lt;='Loan Prepayment'!$E$16),'Loan Prepayment'!$B$8,0)))</f>
        <v>0</v>
      </c>
      <c r="X203">
        <f t="shared" si="71"/>
        <v>2717362.9529859261</v>
      </c>
      <c r="Y203">
        <v>202</v>
      </c>
      <c r="Z203">
        <f t="shared" si="82"/>
        <v>1630721.8578260019</v>
      </c>
      <c r="AA203">
        <f>IF(Y203&gt;='Loan Prepayment'!$E$11,'Loan Prepayment'!$E$12,'Loan Prepayment'!$B$6)</f>
        <v>6.5</v>
      </c>
      <c r="AB203">
        <f>IF(Z203&lt;=0,0,MIN(IF(Y203='Loan Prepayment'!$E$11,IF('Loan Prepayment'!$E$13="Keep tenure, recalculate EMI",-PMT(AA203/1200,MAX(1,'Loan Prepayment'!$B$7*12-Y203+1),Z203),AB202),AB202),Z203+AC203))</f>
        <v>80559.31935518072</v>
      </c>
      <c r="AC203">
        <f t="shared" si="72"/>
        <v>8833.0767298908431</v>
      </c>
      <c r="AD203">
        <f t="shared" si="73"/>
        <v>71726.242625289873</v>
      </c>
      <c r="AE203">
        <f t="shared" si="74"/>
        <v>0</v>
      </c>
      <c r="AF203">
        <f t="shared" si="75"/>
        <v>1558995.6152007121</v>
      </c>
      <c r="AG203">
        <v>202</v>
      </c>
      <c r="AH203">
        <f t="shared" si="83"/>
        <v>1365565.318690832</v>
      </c>
      <c r="AI203">
        <f>IF(AG203&gt;='Loan Prepayment'!$E$11,'Loan Prepayment'!$E$12,'Loan Prepayment'!$B$6)</f>
        <v>6.5</v>
      </c>
      <c r="AJ203">
        <f>IF(AH203&lt;=0,0,MIN(IF(AG203='Loan Prepayment'!$E$11,IF('Loan Prepayment'!$E$13="Keep tenure, recalculate EMI",-PMT(AI203/1200,MAX(1,'Loan Prepayment'!$B$7*12-AG203+1),AH203),IF(AND('Loan Prepayment'!$E$15="Reduce EMI",AM202&gt;0),-PMT(AI202/1200,MAX(1,'Loan Prepayment'!$B$7*12-AG203+1),AH203),AJ202)),IF(AND('Loan Prepayment'!$E$15="Reduce EMI",AM202&gt;0),-PMT(AI203/1200,MAX(1,'Loan Prepayment'!$B$7*12-AG203+1),AH203),AJ202)),AH203+AK203))</f>
        <v>67460.316473241648</v>
      </c>
      <c r="AK203">
        <f t="shared" si="76"/>
        <v>7396.8121429086741</v>
      </c>
      <c r="AL203">
        <f t="shared" si="77"/>
        <v>60063.504330332973</v>
      </c>
      <c r="AM203">
        <f>IF(AH203&lt;=0,0,MIN(MAX(0,AH203-AL203),SUMIFS('Loan Prepayment'!$B$12:$B$31,'Loan Prepayment'!$A$12:$A$31,AG203)+IF(AND(AG203&gt;='Loan Prepayment'!$B$9,AG203&lt;='Loan Prepayment'!$E$16),'Loan Prepayment'!$B$8,0)))</f>
        <v>0</v>
      </c>
      <c r="AN203">
        <f t="shared" si="78"/>
        <v>1305501.8143604989</v>
      </c>
    </row>
    <row r="204" spans="1:40" x14ac:dyDescent="0.35">
      <c r="A204">
        <v>203</v>
      </c>
      <c r="B204">
        <f t="shared" si="79"/>
        <v>2717362.9529859261</v>
      </c>
      <c r="C204" s="64">
        <f>'Loan Prepayment'!$B$6</f>
        <v>7.5</v>
      </c>
      <c r="D204">
        <f>IF(B204&lt;=0,0,MIN(-PMT('Loan Prepayment'!$B$6/1200,'Loan Prepayment'!$B$7*12,'Loan Prepayment'!$B$5),B204+E204))</f>
        <v>80559.31935518072</v>
      </c>
      <c r="E204">
        <f t="shared" si="63"/>
        <v>16983.518456162037</v>
      </c>
      <c r="F204">
        <f t="shared" si="64"/>
        <v>63575.800899018679</v>
      </c>
      <c r="G204">
        <v>0</v>
      </c>
      <c r="H204">
        <f t="shared" si="65"/>
        <v>2653787.1520869075</v>
      </c>
      <c r="I204">
        <v>203</v>
      </c>
      <c r="J204">
        <f t="shared" si="80"/>
        <v>2275517.7954380647</v>
      </c>
      <c r="K204" s="64">
        <f>'Loan Prepayment'!$B$6</f>
        <v>7.5</v>
      </c>
      <c r="L204">
        <f>IF(J204&lt;=0,0,MIN(IF(AND('Loan Prepayment'!$E$15="Reduce EMI",O203&gt;0),-PMT(K204/1200,MAX(1,'Loan Prepayment'!$B$7*12-I204+1),J204),L203),J204+M204))</f>
        <v>67460.316473241648</v>
      </c>
      <c r="M204">
        <f t="shared" si="66"/>
        <v>14221.986221487903</v>
      </c>
      <c r="N204">
        <f t="shared" si="67"/>
        <v>53238.330251753745</v>
      </c>
      <c r="O204">
        <f>IF(J204&lt;=0,0,MIN(MAX(0,J204-N204),SUMIFS('Loan Prepayment'!$B$12:$B$31,'Loan Prepayment'!$A$12:$A$31,I204)+0))</f>
        <v>0</v>
      </c>
      <c r="P204">
        <f t="shared" si="68"/>
        <v>2222279.4651863109</v>
      </c>
      <c r="Q204">
        <v>203</v>
      </c>
      <c r="R204">
        <f t="shared" si="81"/>
        <v>2717362.9529859261</v>
      </c>
      <c r="S204" s="64">
        <f>'Loan Prepayment'!$B$6</f>
        <v>7.5</v>
      </c>
      <c r="T204">
        <f>IF(R204&lt;=0,0,MIN(IF(AND('Loan Prepayment'!$E$15="Reduce EMI",W203&gt;0),-PMT(S204/1200,MAX(1,'Loan Prepayment'!$B$7*12-Q204+1),R204),T203),R204+U204))</f>
        <v>80559.31935518072</v>
      </c>
      <c r="U204">
        <f t="shared" si="69"/>
        <v>16983.518456162037</v>
      </c>
      <c r="V204">
        <f t="shared" si="70"/>
        <v>63575.800899018679</v>
      </c>
      <c r="W204">
        <f>IF(R204&lt;=0,0,MIN(MAX(0,R204-V204),0+IF(AND(Q204&gt;='Loan Prepayment'!$B$9,Q204&lt;='Loan Prepayment'!$E$16),'Loan Prepayment'!$B$8,0)))</f>
        <v>0</v>
      </c>
      <c r="X204">
        <f t="shared" si="71"/>
        <v>2653787.1520869075</v>
      </c>
      <c r="Y204">
        <v>203</v>
      </c>
      <c r="Z204">
        <f t="shared" si="82"/>
        <v>1558995.6152007121</v>
      </c>
      <c r="AA204">
        <f>IF(Y204&gt;='Loan Prepayment'!$E$11,'Loan Prepayment'!$E$12,'Loan Prepayment'!$B$6)</f>
        <v>6.5</v>
      </c>
      <c r="AB204">
        <f>IF(Z204&lt;=0,0,MIN(IF(Y204='Loan Prepayment'!$E$11,IF('Loan Prepayment'!$E$13="Keep tenure, recalculate EMI",-PMT(AA204/1200,MAX(1,'Loan Prepayment'!$B$7*12-Y204+1),Z204),AB203),AB203),Z204+AC204))</f>
        <v>80559.31935518072</v>
      </c>
      <c r="AC204">
        <f t="shared" si="72"/>
        <v>8444.5595823371914</v>
      </c>
      <c r="AD204">
        <f t="shared" si="73"/>
        <v>72114.759772843536</v>
      </c>
      <c r="AE204">
        <f t="shared" si="74"/>
        <v>0</v>
      </c>
      <c r="AF204">
        <f t="shared" si="75"/>
        <v>1486880.8554278687</v>
      </c>
      <c r="AG204">
        <v>203</v>
      </c>
      <c r="AH204">
        <f t="shared" si="83"/>
        <v>1305501.8143604989</v>
      </c>
      <c r="AI204">
        <f>IF(AG204&gt;='Loan Prepayment'!$E$11,'Loan Prepayment'!$E$12,'Loan Prepayment'!$B$6)</f>
        <v>6.5</v>
      </c>
      <c r="AJ204">
        <f>IF(AH204&lt;=0,0,MIN(IF(AG204='Loan Prepayment'!$E$11,IF('Loan Prepayment'!$E$13="Keep tenure, recalculate EMI",-PMT(AI204/1200,MAX(1,'Loan Prepayment'!$B$7*12-AG204+1),AH204),IF(AND('Loan Prepayment'!$E$15="Reduce EMI",AM203&gt;0),-PMT(AI203/1200,MAX(1,'Loan Prepayment'!$B$7*12-AG204+1),AH204),AJ203)),IF(AND('Loan Prepayment'!$E$15="Reduce EMI",AM203&gt;0),-PMT(AI204/1200,MAX(1,'Loan Prepayment'!$B$7*12-AG204+1),AH204),AJ203)),AH204+AK204))</f>
        <v>67460.316473241648</v>
      </c>
      <c r="AK204">
        <f t="shared" si="76"/>
        <v>7071.4681611193682</v>
      </c>
      <c r="AL204">
        <f t="shared" si="77"/>
        <v>60388.848312122282</v>
      </c>
      <c r="AM204">
        <f>IF(AH204&lt;=0,0,MIN(MAX(0,AH204-AL204),SUMIFS('Loan Prepayment'!$B$12:$B$31,'Loan Prepayment'!$A$12:$A$31,AG204)+IF(AND(AG204&gt;='Loan Prepayment'!$B$9,AG204&lt;='Loan Prepayment'!$E$16),'Loan Prepayment'!$B$8,0)))</f>
        <v>0</v>
      </c>
      <c r="AN204">
        <f t="shared" si="78"/>
        <v>1245112.9660483766</v>
      </c>
    </row>
    <row r="205" spans="1:40" x14ac:dyDescent="0.35">
      <c r="A205">
        <v>204</v>
      </c>
      <c r="B205">
        <f t="shared" si="79"/>
        <v>2653787.1520869075</v>
      </c>
      <c r="C205" s="64">
        <f>'Loan Prepayment'!$B$6</f>
        <v>7.5</v>
      </c>
      <c r="D205">
        <f>IF(B205&lt;=0,0,MIN(-PMT('Loan Prepayment'!$B$6/1200,'Loan Prepayment'!$B$7*12,'Loan Prepayment'!$B$5),B205+E205))</f>
        <v>80559.31935518072</v>
      </c>
      <c r="E205">
        <f t="shared" si="63"/>
        <v>16586.169700543174</v>
      </c>
      <c r="F205">
        <f t="shared" si="64"/>
        <v>63973.149654637542</v>
      </c>
      <c r="G205">
        <v>0</v>
      </c>
      <c r="H205">
        <f t="shared" si="65"/>
        <v>2589814.00243227</v>
      </c>
      <c r="I205">
        <v>204</v>
      </c>
      <c r="J205">
        <f t="shared" si="80"/>
        <v>2222279.4651863109</v>
      </c>
      <c r="K205" s="64">
        <f>'Loan Prepayment'!$B$6</f>
        <v>7.5</v>
      </c>
      <c r="L205">
        <f>IF(J205&lt;=0,0,MIN(IF(AND('Loan Prepayment'!$E$15="Reduce EMI",O204&gt;0),-PMT(K205/1200,MAX(1,'Loan Prepayment'!$B$7*12-I205+1),J205),L204),J205+M205))</f>
        <v>67460.316473241648</v>
      </c>
      <c r="M205">
        <f t="shared" si="66"/>
        <v>13889.246657414442</v>
      </c>
      <c r="N205">
        <f t="shared" si="67"/>
        <v>53571.069815827206</v>
      </c>
      <c r="O205">
        <f>IF(J205&lt;=0,0,MIN(MAX(0,J205-N205),SUMIFS('Loan Prepayment'!$B$12:$B$31,'Loan Prepayment'!$A$12:$A$31,I205)+0))</f>
        <v>0</v>
      </c>
      <c r="P205">
        <f t="shared" si="68"/>
        <v>2168708.3953704839</v>
      </c>
      <c r="Q205">
        <v>204</v>
      </c>
      <c r="R205">
        <f t="shared" si="81"/>
        <v>2653787.1520869075</v>
      </c>
      <c r="S205" s="64">
        <f>'Loan Prepayment'!$B$6</f>
        <v>7.5</v>
      </c>
      <c r="T205">
        <f>IF(R205&lt;=0,0,MIN(IF(AND('Loan Prepayment'!$E$15="Reduce EMI",W204&gt;0),-PMT(S205/1200,MAX(1,'Loan Prepayment'!$B$7*12-Q205+1),R205),T204),R205+U205))</f>
        <v>80559.31935518072</v>
      </c>
      <c r="U205">
        <f t="shared" si="69"/>
        <v>16586.169700543174</v>
      </c>
      <c r="V205">
        <f t="shared" si="70"/>
        <v>63973.149654637542</v>
      </c>
      <c r="W205">
        <f>IF(R205&lt;=0,0,MIN(MAX(0,R205-V205),0+IF(AND(Q205&gt;='Loan Prepayment'!$B$9,Q205&lt;='Loan Prepayment'!$E$16),'Loan Prepayment'!$B$8,0)))</f>
        <v>0</v>
      </c>
      <c r="X205">
        <f t="shared" si="71"/>
        <v>2589814.00243227</v>
      </c>
      <c r="Y205">
        <v>204</v>
      </c>
      <c r="Z205">
        <f t="shared" si="82"/>
        <v>1486880.8554278687</v>
      </c>
      <c r="AA205">
        <f>IF(Y205&gt;='Loan Prepayment'!$E$11,'Loan Prepayment'!$E$12,'Loan Prepayment'!$B$6)</f>
        <v>6.5</v>
      </c>
      <c r="AB205">
        <f>IF(Z205&lt;=0,0,MIN(IF(Y205='Loan Prepayment'!$E$11,IF('Loan Prepayment'!$E$13="Keep tenure, recalculate EMI",-PMT(AA205/1200,MAX(1,'Loan Prepayment'!$B$7*12-Y205+1),Z205),AB204),AB204),Z205+AC205))</f>
        <v>80559.31935518072</v>
      </c>
      <c r="AC205">
        <f t="shared" si="72"/>
        <v>8053.937966900955</v>
      </c>
      <c r="AD205">
        <f t="shared" si="73"/>
        <v>72505.381388279769</v>
      </c>
      <c r="AE205">
        <f t="shared" si="74"/>
        <v>0</v>
      </c>
      <c r="AF205">
        <f t="shared" si="75"/>
        <v>1414375.4740395888</v>
      </c>
      <c r="AG205">
        <v>204</v>
      </c>
      <c r="AH205">
        <f t="shared" si="83"/>
        <v>1245112.9660483766</v>
      </c>
      <c r="AI205">
        <f>IF(AG205&gt;='Loan Prepayment'!$E$11,'Loan Prepayment'!$E$12,'Loan Prepayment'!$B$6)</f>
        <v>6.5</v>
      </c>
      <c r="AJ205">
        <f>IF(AH205&lt;=0,0,MIN(IF(AG205='Loan Prepayment'!$E$11,IF('Loan Prepayment'!$E$13="Keep tenure, recalculate EMI",-PMT(AI205/1200,MAX(1,'Loan Prepayment'!$B$7*12-AG205+1),AH205),IF(AND('Loan Prepayment'!$E$15="Reduce EMI",AM204&gt;0),-PMT(AI204/1200,MAX(1,'Loan Prepayment'!$B$7*12-AG205+1),AH205),AJ204)),IF(AND('Loan Prepayment'!$E$15="Reduce EMI",AM204&gt;0),-PMT(AI205/1200,MAX(1,'Loan Prepayment'!$B$7*12-AG205+1),AH205),AJ204)),AH205+AK205))</f>
        <v>67460.316473241648</v>
      </c>
      <c r="AK205">
        <f t="shared" si="76"/>
        <v>6744.3618994287071</v>
      </c>
      <c r="AL205">
        <f t="shared" si="77"/>
        <v>60715.954573812938</v>
      </c>
      <c r="AM205">
        <f>IF(AH205&lt;=0,0,MIN(MAX(0,AH205-AL205),SUMIFS('Loan Prepayment'!$B$12:$B$31,'Loan Prepayment'!$A$12:$A$31,AG205)+IF(AND(AG205&gt;='Loan Prepayment'!$B$9,AG205&lt;='Loan Prepayment'!$E$16),'Loan Prepayment'!$B$8,0)))</f>
        <v>0</v>
      </c>
      <c r="AN205">
        <f t="shared" si="78"/>
        <v>1184397.0114745637</v>
      </c>
    </row>
    <row r="206" spans="1:40" x14ac:dyDescent="0.35">
      <c r="A206">
        <v>205</v>
      </c>
      <c r="B206">
        <f t="shared" si="79"/>
        <v>2589814.00243227</v>
      </c>
      <c r="C206" s="64">
        <f>'Loan Prepayment'!$B$6</f>
        <v>7.5</v>
      </c>
      <c r="D206">
        <f>IF(B206&lt;=0,0,MIN(-PMT('Loan Prepayment'!$B$6/1200,'Loan Prepayment'!$B$7*12,'Loan Prepayment'!$B$5),B206+E206))</f>
        <v>80559.31935518072</v>
      </c>
      <c r="E206">
        <f t="shared" si="63"/>
        <v>16186.337515201687</v>
      </c>
      <c r="F206">
        <f t="shared" si="64"/>
        <v>64372.981839979031</v>
      </c>
      <c r="G206">
        <v>0</v>
      </c>
      <c r="H206">
        <f t="shared" si="65"/>
        <v>2525441.0205922909</v>
      </c>
      <c r="I206">
        <v>205</v>
      </c>
      <c r="J206">
        <f t="shared" si="80"/>
        <v>2168708.3953704839</v>
      </c>
      <c r="K206" s="64">
        <f>'Loan Prepayment'!$B$6</f>
        <v>7.5</v>
      </c>
      <c r="L206">
        <f>IF(J206&lt;=0,0,MIN(IF(AND('Loan Prepayment'!$E$15="Reduce EMI",O205&gt;0),-PMT(K206/1200,MAX(1,'Loan Prepayment'!$B$7*12-I206+1),J206),L205),J206+M206))</f>
        <v>67460.316473241648</v>
      </c>
      <c r="M206">
        <f t="shared" si="66"/>
        <v>13554.427471065525</v>
      </c>
      <c r="N206">
        <f t="shared" si="67"/>
        <v>53905.889002176125</v>
      </c>
      <c r="O206">
        <f>IF(J206&lt;=0,0,MIN(MAX(0,J206-N206),SUMIFS('Loan Prepayment'!$B$12:$B$31,'Loan Prepayment'!$A$12:$A$31,I206)+0))</f>
        <v>0</v>
      </c>
      <c r="P206">
        <f t="shared" si="68"/>
        <v>2114802.5063683079</v>
      </c>
      <c r="Q206">
        <v>205</v>
      </c>
      <c r="R206">
        <f t="shared" si="81"/>
        <v>2589814.00243227</v>
      </c>
      <c r="S206" s="64">
        <f>'Loan Prepayment'!$B$6</f>
        <v>7.5</v>
      </c>
      <c r="T206">
        <f>IF(R206&lt;=0,0,MIN(IF(AND('Loan Prepayment'!$E$15="Reduce EMI",W205&gt;0),-PMT(S206/1200,MAX(1,'Loan Prepayment'!$B$7*12-Q206+1),R206),T205),R206+U206))</f>
        <v>80559.31935518072</v>
      </c>
      <c r="U206">
        <f t="shared" si="69"/>
        <v>16186.337515201687</v>
      </c>
      <c r="V206">
        <f t="shared" si="70"/>
        <v>64372.981839979031</v>
      </c>
      <c r="W206">
        <f>IF(R206&lt;=0,0,MIN(MAX(0,R206-V206),0+IF(AND(Q206&gt;='Loan Prepayment'!$B$9,Q206&lt;='Loan Prepayment'!$E$16),'Loan Prepayment'!$B$8,0)))</f>
        <v>0</v>
      </c>
      <c r="X206">
        <f t="shared" si="71"/>
        <v>2525441.0205922909</v>
      </c>
      <c r="Y206">
        <v>205</v>
      </c>
      <c r="Z206">
        <f t="shared" si="82"/>
        <v>1414375.4740395888</v>
      </c>
      <c r="AA206">
        <f>IF(Y206&gt;='Loan Prepayment'!$E$11,'Loan Prepayment'!$E$12,'Loan Prepayment'!$B$6)</f>
        <v>6.5</v>
      </c>
      <c r="AB206">
        <f>IF(Z206&lt;=0,0,MIN(IF(Y206='Loan Prepayment'!$E$11,IF('Loan Prepayment'!$E$13="Keep tenure, recalculate EMI",-PMT(AA206/1200,MAX(1,'Loan Prepayment'!$B$7*12-Y206+1),Z206),AB205),AB205),Z206+AC206))</f>
        <v>80559.31935518072</v>
      </c>
      <c r="AC206">
        <f t="shared" si="72"/>
        <v>7661.2004843811055</v>
      </c>
      <c r="AD206">
        <f t="shared" si="73"/>
        <v>72898.118870799619</v>
      </c>
      <c r="AE206">
        <f t="shared" si="74"/>
        <v>0</v>
      </c>
      <c r="AF206">
        <f t="shared" si="75"/>
        <v>1341477.3551687892</v>
      </c>
      <c r="AG206">
        <v>205</v>
      </c>
      <c r="AH206">
        <f t="shared" si="83"/>
        <v>1184397.0114745637</v>
      </c>
      <c r="AI206">
        <f>IF(AG206&gt;='Loan Prepayment'!$E$11,'Loan Prepayment'!$E$12,'Loan Prepayment'!$B$6)</f>
        <v>6.5</v>
      </c>
      <c r="AJ206">
        <f>IF(AH206&lt;=0,0,MIN(IF(AG206='Loan Prepayment'!$E$11,IF('Loan Prepayment'!$E$13="Keep tenure, recalculate EMI",-PMT(AI206/1200,MAX(1,'Loan Prepayment'!$B$7*12-AG206+1),AH206),IF(AND('Loan Prepayment'!$E$15="Reduce EMI",AM205&gt;0),-PMT(AI205/1200,MAX(1,'Loan Prepayment'!$B$7*12-AG206+1),AH206),AJ205)),IF(AND('Loan Prepayment'!$E$15="Reduce EMI",AM205&gt;0),-PMT(AI206/1200,MAX(1,'Loan Prepayment'!$B$7*12-AG206+1),AH206),AJ205)),AH206+AK206))</f>
        <v>67460.316473241648</v>
      </c>
      <c r="AK206">
        <f t="shared" si="76"/>
        <v>6415.4838121538869</v>
      </c>
      <c r="AL206">
        <f t="shared" si="77"/>
        <v>61044.832661087763</v>
      </c>
      <c r="AM206">
        <f>IF(AH206&lt;=0,0,MIN(MAX(0,AH206-AL206),SUMIFS('Loan Prepayment'!$B$12:$B$31,'Loan Prepayment'!$A$12:$A$31,AG206)+IF(AND(AG206&gt;='Loan Prepayment'!$B$9,AG206&lt;='Loan Prepayment'!$E$16),'Loan Prepayment'!$B$8,0)))</f>
        <v>0</v>
      </c>
      <c r="AN206">
        <f t="shared" si="78"/>
        <v>1123352.1788134759</v>
      </c>
    </row>
    <row r="207" spans="1:40" x14ac:dyDescent="0.35">
      <c r="A207">
        <v>206</v>
      </c>
      <c r="B207">
        <f t="shared" si="79"/>
        <v>2525441.0205922909</v>
      </c>
      <c r="C207" s="64">
        <f>'Loan Prepayment'!$B$6</f>
        <v>7.5</v>
      </c>
      <c r="D207">
        <f>IF(B207&lt;=0,0,MIN(-PMT('Loan Prepayment'!$B$6/1200,'Loan Prepayment'!$B$7*12,'Loan Prepayment'!$B$5),B207+E207))</f>
        <v>80559.31935518072</v>
      </c>
      <c r="E207">
        <f t="shared" si="63"/>
        <v>15784.006378701819</v>
      </c>
      <c r="F207">
        <f t="shared" si="64"/>
        <v>64775.312976478905</v>
      </c>
      <c r="G207">
        <v>0</v>
      </c>
      <c r="H207">
        <f t="shared" si="65"/>
        <v>2460665.7076158118</v>
      </c>
      <c r="I207">
        <v>206</v>
      </c>
      <c r="J207">
        <f t="shared" si="80"/>
        <v>2114802.5063683079</v>
      </c>
      <c r="K207" s="64">
        <f>'Loan Prepayment'!$B$6</f>
        <v>7.5</v>
      </c>
      <c r="L207">
        <f>IF(J207&lt;=0,0,MIN(IF(AND('Loan Prepayment'!$E$15="Reduce EMI",O206&gt;0),-PMT(K207/1200,MAX(1,'Loan Prepayment'!$B$7*12-I207+1),J207),L206),J207+M207))</f>
        <v>67460.316473241648</v>
      </c>
      <c r="M207">
        <f t="shared" si="66"/>
        <v>13217.515664801924</v>
      </c>
      <c r="N207">
        <f t="shared" si="67"/>
        <v>54242.800808439722</v>
      </c>
      <c r="O207">
        <f>IF(J207&lt;=0,0,MIN(MAX(0,J207-N207),SUMIFS('Loan Prepayment'!$B$12:$B$31,'Loan Prepayment'!$A$12:$A$31,I207)+0))</f>
        <v>0</v>
      </c>
      <c r="P207">
        <f t="shared" si="68"/>
        <v>2060559.7055598681</v>
      </c>
      <c r="Q207">
        <v>206</v>
      </c>
      <c r="R207">
        <f t="shared" si="81"/>
        <v>2525441.0205922909</v>
      </c>
      <c r="S207" s="64">
        <f>'Loan Prepayment'!$B$6</f>
        <v>7.5</v>
      </c>
      <c r="T207">
        <f>IF(R207&lt;=0,0,MIN(IF(AND('Loan Prepayment'!$E$15="Reduce EMI",W206&gt;0),-PMT(S207/1200,MAX(1,'Loan Prepayment'!$B$7*12-Q207+1),R207),T206),R207+U207))</f>
        <v>80559.31935518072</v>
      </c>
      <c r="U207">
        <f t="shared" si="69"/>
        <v>15784.006378701819</v>
      </c>
      <c r="V207">
        <f t="shared" si="70"/>
        <v>64775.312976478905</v>
      </c>
      <c r="W207">
        <f>IF(R207&lt;=0,0,MIN(MAX(0,R207-V207),0+IF(AND(Q207&gt;='Loan Prepayment'!$B$9,Q207&lt;='Loan Prepayment'!$E$16),'Loan Prepayment'!$B$8,0)))</f>
        <v>0</v>
      </c>
      <c r="X207">
        <f t="shared" si="71"/>
        <v>2460665.7076158118</v>
      </c>
      <c r="Y207">
        <v>206</v>
      </c>
      <c r="Z207">
        <f t="shared" si="82"/>
        <v>1341477.3551687892</v>
      </c>
      <c r="AA207">
        <f>IF(Y207&gt;='Loan Prepayment'!$E$11,'Loan Prepayment'!$E$12,'Loan Prepayment'!$B$6)</f>
        <v>6.5</v>
      </c>
      <c r="AB207">
        <f>IF(Z207&lt;=0,0,MIN(IF(Y207='Loan Prepayment'!$E$11,IF('Loan Prepayment'!$E$13="Keep tenure, recalculate EMI",-PMT(AA207/1200,MAX(1,'Loan Prepayment'!$B$7*12-Y207+1),Z207),AB206),AB206),Z207+AC207))</f>
        <v>80559.31935518072</v>
      </c>
      <c r="AC207">
        <f t="shared" si="72"/>
        <v>7266.3356738309403</v>
      </c>
      <c r="AD207">
        <f t="shared" si="73"/>
        <v>73292.983681349782</v>
      </c>
      <c r="AE207">
        <f t="shared" si="74"/>
        <v>0</v>
      </c>
      <c r="AF207">
        <f t="shared" si="75"/>
        <v>1268184.3714874394</v>
      </c>
      <c r="AG207">
        <v>206</v>
      </c>
      <c r="AH207">
        <f t="shared" si="83"/>
        <v>1123352.1788134759</v>
      </c>
      <c r="AI207">
        <f>IF(AG207&gt;='Loan Prepayment'!$E$11,'Loan Prepayment'!$E$12,'Loan Prepayment'!$B$6)</f>
        <v>6.5</v>
      </c>
      <c r="AJ207">
        <f>IF(AH207&lt;=0,0,MIN(IF(AG207='Loan Prepayment'!$E$11,IF('Loan Prepayment'!$E$13="Keep tenure, recalculate EMI",-PMT(AI207/1200,MAX(1,'Loan Prepayment'!$B$7*12-AG207+1),AH207),IF(AND('Loan Prepayment'!$E$15="Reduce EMI",AM206&gt;0),-PMT(AI206/1200,MAX(1,'Loan Prepayment'!$B$7*12-AG207+1),AH207),AJ206)),IF(AND('Loan Prepayment'!$E$15="Reduce EMI",AM206&gt;0),-PMT(AI207/1200,MAX(1,'Loan Prepayment'!$B$7*12-AG207+1),AH207),AJ206)),AH207+AK207))</f>
        <v>67460.316473241648</v>
      </c>
      <c r="AK207">
        <f t="shared" si="76"/>
        <v>6084.8243019063275</v>
      </c>
      <c r="AL207">
        <f t="shared" si="77"/>
        <v>61375.492171335318</v>
      </c>
      <c r="AM207">
        <f>IF(AH207&lt;=0,0,MIN(MAX(0,AH207-AL207),SUMIFS('Loan Prepayment'!$B$12:$B$31,'Loan Prepayment'!$A$12:$A$31,AG207)+IF(AND(AG207&gt;='Loan Prepayment'!$B$9,AG207&lt;='Loan Prepayment'!$E$16),'Loan Prepayment'!$B$8,0)))</f>
        <v>0</v>
      </c>
      <c r="AN207">
        <f t="shared" si="78"/>
        <v>1061976.6866421406</v>
      </c>
    </row>
    <row r="208" spans="1:40" x14ac:dyDescent="0.35">
      <c r="A208">
        <v>207</v>
      </c>
      <c r="B208">
        <f t="shared" si="79"/>
        <v>2460665.7076158118</v>
      </c>
      <c r="C208" s="64">
        <f>'Loan Prepayment'!$B$6</f>
        <v>7.5</v>
      </c>
      <c r="D208">
        <f>IF(B208&lt;=0,0,MIN(-PMT('Loan Prepayment'!$B$6/1200,'Loan Prepayment'!$B$7*12,'Loan Prepayment'!$B$5),B208+E208))</f>
        <v>80559.31935518072</v>
      </c>
      <c r="E208">
        <f t="shared" si="63"/>
        <v>15379.160672598822</v>
      </c>
      <c r="F208">
        <f t="shared" si="64"/>
        <v>65180.158682581896</v>
      </c>
      <c r="G208">
        <v>0</v>
      </c>
      <c r="H208">
        <f t="shared" si="65"/>
        <v>2395485.5489332299</v>
      </c>
      <c r="I208">
        <v>207</v>
      </c>
      <c r="J208">
        <f t="shared" si="80"/>
        <v>2060559.7055598681</v>
      </c>
      <c r="K208" s="64">
        <f>'Loan Prepayment'!$B$6</f>
        <v>7.5</v>
      </c>
      <c r="L208">
        <f>IF(J208&lt;=0,0,MIN(IF(AND('Loan Prepayment'!$E$15="Reduce EMI",O207&gt;0),-PMT(K208/1200,MAX(1,'Loan Prepayment'!$B$7*12-I208+1),J208),L207),J208+M208))</f>
        <v>67460.316473241648</v>
      </c>
      <c r="M208">
        <f t="shared" si="66"/>
        <v>12878.498159749175</v>
      </c>
      <c r="N208">
        <f t="shared" si="67"/>
        <v>54581.818313492477</v>
      </c>
      <c r="O208">
        <f>IF(J208&lt;=0,0,MIN(MAX(0,J208-N208),SUMIFS('Loan Prepayment'!$B$12:$B$31,'Loan Prepayment'!$A$12:$A$31,I208)+0))</f>
        <v>0</v>
      </c>
      <c r="P208">
        <f t="shared" si="68"/>
        <v>2005977.8872463757</v>
      </c>
      <c r="Q208">
        <v>207</v>
      </c>
      <c r="R208">
        <f t="shared" si="81"/>
        <v>2460665.7076158118</v>
      </c>
      <c r="S208" s="64">
        <f>'Loan Prepayment'!$B$6</f>
        <v>7.5</v>
      </c>
      <c r="T208">
        <f>IF(R208&lt;=0,0,MIN(IF(AND('Loan Prepayment'!$E$15="Reduce EMI",W207&gt;0),-PMT(S208/1200,MAX(1,'Loan Prepayment'!$B$7*12-Q208+1),R208),T207),R208+U208))</f>
        <v>80559.31935518072</v>
      </c>
      <c r="U208">
        <f t="shared" si="69"/>
        <v>15379.160672598822</v>
      </c>
      <c r="V208">
        <f t="shared" si="70"/>
        <v>65180.158682581896</v>
      </c>
      <c r="W208">
        <f>IF(R208&lt;=0,0,MIN(MAX(0,R208-V208),0+IF(AND(Q208&gt;='Loan Prepayment'!$B$9,Q208&lt;='Loan Prepayment'!$E$16),'Loan Prepayment'!$B$8,0)))</f>
        <v>0</v>
      </c>
      <c r="X208">
        <f t="shared" si="71"/>
        <v>2395485.5489332299</v>
      </c>
      <c r="Y208">
        <v>207</v>
      </c>
      <c r="Z208">
        <f t="shared" si="82"/>
        <v>1268184.3714874394</v>
      </c>
      <c r="AA208">
        <f>IF(Y208&gt;='Loan Prepayment'!$E$11,'Loan Prepayment'!$E$12,'Loan Prepayment'!$B$6)</f>
        <v>6.5</v>
      </c>
      <c r="AB208">
        <f>IF(Z208&lt;=0,0,MIN(IF(Y208='Loan Prepayment'!$E$11,IF('Loan Prepayment'!$E$13="Keep tenure, recalculate EMI",-PMT(AA208/1200,MAX(1,'Loan Prepayment'!$B$7*12-Y208+1),Z208),AB207),AB207),Z208+AC208))</f>
        <v>80559.31935518072</v>
      </c>
      <c r="AC208">
        <f t="shared" si="72"/>
        <v>6869.33201222363</v>
      </c>
      <c r="AD208">
        <f t="shared" si="73"/>
        <v>73689.987342957087</v>
      </c>
      <c r="AE208">
        <f t="shared" si="74"/>
        <v>0</v>
      </c>
      <c r="AF208">
        <f t="shared" si="75"/>
        <v>1194494.3841444822</v>
      </c>
      <c r="AG208">
        <v>207</v>
      </c>
      <c r="AH208">
        <f t="shared" si="83"/>
        <v>1061976.6866421406</v>
      </c>
      <c r="AI208">
        <f>IF(AG208&gt;='Loan Prepayment'!$E$11,'Loan Prepayment'!$E$12,'Loan Prepayment'!$B$6)</f>
        <v>6.5</v>
      </c>
      <c r="AJ208">
        <f>IF(AH208&lt;=0,0,MIN(IF(AG208='Loan Prepayment'!$E$11,IF('Loan Prepayment'!$E$13="Keep tenure, recalculate EMI",-PMT(AI208/1200,MAX(1,'Loan Prepayment'!$B$7*12-AG208+1),AH208),IF(AND('Loan Prepayment'!$E$15="Reduce EMI",AM207&gt;0),-PMT(AI207/1200,MAX(1,'Loan Prepayment'!$B$7*12-AG208+1),AH208),AJ207)),IF(AND('Loan Prepayment'!$E$15="Reduce EMI",AM207&gt;0),-PMT(AI208/1200,MAX(1,'Loan Prepayment'!$B$7*12-AG208+1),AH208),AJ207)),AH208+AK208))</f>
        <v>67460.316473241648</v>
      </c>
      <c r="AK208">
        <f t="shared" si="76"/>
        <v>5752.3737193115949</v>
      </c>
      <c r="AL208">
        <f t="shared" si="77"/>
        <v>61707.942753930052</v>
      </c>
      <c r="AM208">
        <f>IF(AH208&lt;=0,0,MIN(MAX(0,AH208-AL208),SUMIFS('Loan Prepayment'!$B$12:$B$31,'Loan Prepayment'!$A$12:$A$31,AG208)+IF(AND(AG208&gt;='Loan Prepayment'!$B$9,AG208&lt;='Loan Prepayment'!$E$16),'Loan Prepayment'!$B$8,0)))</f>
        <v>0</v>
      </c>
      <c r="AN208">
        <f t="shared" si="78"/>
        <v>1000268.7438882105</v>
      </c>
    </row>
    <row r="209" spans="1:40" x14ac:dyDescent="0.35">
      <c r="A209">
        <v>208</v>
      </c>
      <c r="B209">
        <f t="shared" si="79"/>
        <v>2395485.5489332299</v>
      </c>
      <c r="C209" s="64">
        <f>'Loan Prepayment'!$B$6</f>
        <v>7.5</v>
      </c>
      <c r="D209">
        <f>IF(B209&lt;=0,0,MIN(-PMT('Loan Prepayment'!$B$6/1200,'Loan Prepayment'!$B$7*12,'Loan Prepayment'!$B$5),B209+E209))</f>
        <v>80559.31935518072</v>
      </c>
      <c r="E209">
        <f t="shared" si="63"/>
        <v>14971.784680832687</v>
      </c>
      <c r="F209">
        <f t="shared" si="64"/>
        <v>65587.534674348033</v>
      </c>
      <c r="G209">
        <v>0</v>
      </c>
      <c r="H209">
        <f t="shared" si="65"/>
        <v>2329898.014258882</v>
      </c>
      <c r="I209">
        <v>208</v>
      </c>
      <c r="J209">
        <f t="shared" si="80"/>
        <v>2005977.8872463757</v>
      </c>
      <c r="K209" s="64">
        <f>'Loan Prepayment'!$B$6</f>
        <v>7.5</v>
      </c>
      <c r="L209">
        <f>IF(J209&lt;=0,0,MIN(IF(AND('Loan Prepayment'!$E$15="Reduce EMI",O208&gt;0),-PMT(K209/1200,MAX(1,'Loan Prepayment'!$B$7*12-I209+1),J209),L208),J209+M209))</f>
        <v>67460.316473241648</v>
      </c>
      <c r="M209">
        <f t="shared" si="66"/>
        <v>12537.361795289849</v>
      </c>
      <c r="N209">
        <f t="shared" si="67"/>
        <v>54922.954677951799</v>
      </c>
      <c r="O209">
        <f>IF(J209&lt;=0,0,MIN(MAX(0,J209-N209),SUMIFS('Loan Prepayment'!$B$12:$B$31,'Loan Prepayment'!$A$12:$A$31,I209)+0))</f>
        <v>0</v>
      </c>
      <c r="P209">
        <f t="shared" si="68"/>
        <v>1951054.9325684239</v>
      </c>
      <c r="Q209">
        <v>208</v>
      </c>
      <c r="R209">
        <f t="shared" si="81"/>
        <v>2395485.5489332299</v>
      </c>
      <c r="S209" s="64">
        <f>'Loan Prepayment'!$B$6</f>
        <v>7.5</v>
      </c>
      <c r="T209">
        <f>IF(R209&lt;=0,0,MIN(IF(AND('Loan Prepayment'!$E$15="Reduce EMI",W208&gt;0),-PMT(S209/1200,MAX(1,'Loan Prepayment'!$B$7*12-Q209+1),R209),T208),R209+U209))</f>
        <v>80559.31935518072</v>
      </c>
      <c r="U209">
        <f t="shared" si="69"/>
        <v>14971.784680832687</v>
      </c>
      <c r="V209">
        <f t="shared" si="70"/>
        <v>65587.534674348033</v>
      </c>
      <c r="W209">
        <f>IF(R209&lt;=0,0,MIN(MAX(0,R209-V209),0+IF(AND(Q209&gt;='Loan Prepayment'!$B$9,Q209&lt;='Loan Prepayment'!$E$16),'Loan Prepayment'!$B$8,0)))</f>
        <v>0</v>
      </c>
      <c r="X209">
        <f t="shared" si="71"/>
        <v>2329898.014258882</v>
      </c>
      <c r="Y209">
        <v>208</v>
      </c>
      <c r="Z209">
        <f t="shared" si="82"/>
        <v>1194494.3841444822</v>
      </c>
      <c r="AA209">
        <f>IF(Y209&gt;='Loan Prepayment'!$E$11,'Loan Prepayment'!$E$12,'Loan Prepayment'!$B$6)</f>
        <v>6.5</v>
      </c>
      <c r="AB209">
        <f>IF(Z209&lt;=0,0,MIN(IF(Y209='Loan Prepayment'!$E$11,IF('Loan Prepayment'!$E$13="Keep tenure, recalculate EMI",-PMT(AA209/1200,MAX(1,'Loan Prepayment'!$B$7*12-Y209+1),Z209),AB208),AB208),Z209+AC209))</f>
        <v>80559.31935518072</v>
      </c>
      <c r="AC209">
        <f t="shared" si="72"/>
        <v>6470.177914115945</v>
      </c>
      <c r="AD209">
        <f t="shared" si="73"/>
        <v>74089.14144106477</v>
      </c>
      <c r="AE209">
        <f t="shared" si="74"/>
        <v>0</v>
      </c>
      <c r="AF209">
        <f t="shared" si="75"/>
        <v>1120405.2427034173</v>
      </c>
      <c r="AG209">
        <v>208</v>
      </c>
      <c r="AH209">
        <f t="shared" si="83"/>
        <v>1000268.7438882105</v>
      </c>
      <c r="AI209">
        <f>IF(AG209&gt;='Loan Prepayment'!$E$11,'Loan Prepayment'!$E$12,'Loan Prepayment'!$B$6)</f>
        <v>6.5</v>
      </c>
      <c r="AJ209">
        <f>IF(AH209&lt;=0,0,MIN(IF(AG209='Loan Prepayment'!$E$11,IF('Loan Prepayment'!$E$13="Keep tenure, recalculate EMI",-PMT(AI209/1200,MAX(1,'Loan Prepayment'!$B$7*12-AG209+1),AH209),IF(AND('Loan Prepayment'!$E$15="Reduce EMI",AM208&gt;0),-PMT(AI208/1200,MAX(1,'Loan Prepayment'!$B$7*12-AG209+1),AH209),AJ208)),IF(AND('Loan Prepayment'!$E$15="Reduce EMI",AM208&gt;0),-PMT(AI209/1200,MAX(1,'Loan Prepayment'!$B$7*12-AG209+1),AH209),AJ208)),AH209+AK209))</f>
        <v>67460.316473241648</v>
      </c>
      <c r="AK209">
        <f t="shared" si="76"/>
        <v>5418.1223627278068</v>
      </c>
      <c r="AL209">
        <f t="shared" si="77"/>
        <v>62042.194110513839</v>
      </c>
      <c r="AM209">
        <f>IF(AH209&lt;=0,0,MIN(MAX(0,AH209-AL209),SUMIFS('Loan Prepayment'!$B$12:$B$31,'Loan Prepayment'!$A$12:$A$31,AG209)+IF(AND(AG209&gt;='Loan Prepayment'!$B$9,AG209&lt;='Loan Prepayment'!$E$16),'Loan Prepayment'!$B$8,0)))</f>
        <v>0</v>
      </c>
      <c r="AN209">
        <f t="shared" si="78"/>
        <v>938226.54977769661</v>
      </c>
    </row>
    <row r="210" spans="1:40" x14ac:dyDescent="0.35">
      <c r="A210">
        <v>209</v>
      </c>
      <c r="B210">
        <f t="shared" si="79"/>
        <v>2329898.014258882</v>
      </c>
      <c r="C210" s="64">
        <f>'Loan Prepayment'!$B$6</f>
        <v>7.5</v>
      </c>
      <c r="D210">
        <f>IF(B210&lt;=0,0,MIN(-PMT('Loan Prepayment'!$B$6/1200,'Loan Prepayment'!$B$7*12,'Loan Prepayment'!$B$5),B210+E210))</f>
        <v>80559.31935518072</v>
      </c>
      <c r="E210">
        <f t="shared" si="63"/>
        <v>14561.862589118013</v>
      </c>
      <c r="F210">
        <f t="shared" si="64"/>
        <v>65997.456766062707</v>
      </c>
      <c r="G210">
        <v>0</v>
      </c>
      <c r="H210">
        <f t="shared" si="65"/>
        <v>2263900.5574928191</v>
      </c>
      <c r="I210">
        <v>209</v>
      </c>
      <c r="J210">
        <f t="shared" si="80"/>
        <v>1951054.9325684239</v>
      </c>
      <c r="K210" s="64">
        <f>'Loan Prepayment'!$B$6</f>
        <v>7.5</v>
      </c>
      <c r="L210">
        <f>IF(J210&lt;=0,0,MIN(IF(AND('Loan Prepayment'!$E$15="Reduce EMI",O209&gt;0),-PMT(K210/1200,MAX(1,'Loan Prepayment'!$B$7*12-I210+1),J210),L209),J210+M210))</f>
        <v>67460.316473241648</v>
      </c>
      <c r="M210">
        <f t="shared" si="66"/>
        <v>12194.09332855265</v>
      </c>
      <c r="N210">
        <f t="shared" si="67"/>
        <v>55266.223144689</v>
      </c>
      <c r="O210">
        <f>IF(J210&lt;=0,0,MIN(MAX(0,J210-N210),SUMIFS('Loan Prepayment'!$B$12:$B$31,'Loan Prepayment'!$A$12:$A$31,I210)+0))</f>
        <v>0</v>
      </c>
      <c r="P210">
        <f t="shared" si="68"/>
        <v>1895788.7094237348</v>
      </c>
      <c r="Q210">
        <v>209</v>
      </c>
      <c r="R210">
        <f t="shared" si="81"/>
        <v>2329898.014258882</v>
      </c>
      <c r="S210" s="64">
        <f>'Loan Prepayment'!$B$6</f>
        <v>7.5</v>
      </c>
      <c r="T210">
        <f>IF(R210&lt;=0,0,MIN(IF(AND('Loan Prepayment'!$E$15="Reduce EMI",W209&gt;0),-PMT(S210/1200,MAX(1,'Loan Prepayment'!$B$7*12-Q210+1),R210),T209),R210+U210))</f>
        <v>80559.31935518072</v>
      </c>
      <c r="U210">
        <f t="shared" si="69"/>
        <v>14561.862589118013</v>
      </c>
      <c r="V210">
        <f t="shared" si="70"/>
        <v>65997.456766062707</v>
      </c>
      <c r="W210">
        <f>IF(R210&lt;=0,0,MIN(MAX(0,R210-V210),0+IF(AND(Q210&gt;='Loan Prepayment'!$B$9,Q210&lt;='Loan Prepayment'!$E$16),'Loan Prepayment'!$B$8,0)))</f>
        <v>0</v>
      </c>
      <c r="X210">
        <f t="shared" si="71"/>
        <v>2263900.5574928191</v>
      </c>
      <c r="Y210">
        <v>209</v>
      </c>
      <c r="Z210">
        <f t="shared" si="82"/>
        <v>1120405.2427034173</v>
      </c>
      <c r="AA210">
        <f>IF(Y210&gt;='Loan Prepayment'!$E$11,'Loan Prepayment'!$E$12,'Loan Prepayment'!$B$6)</f>
        <v>6.5</v>
      </c>
      <c r="AB210">
        <f>IF(Z210&lt;=0,0,MIN(IF(Y210='Loan Prepayment'!$E$11,IF('Loan Prepayment'!$E$13="Keep tenure, recalculate EMI",-PMT(AA210/1200,MAX(1,'Loan Prepayment'!$B$7*12-Y210+1),Z210),AB209),AB209),Z210+AC210))</f>
        <v>80559.31935518072</v>
      </c>
      <c r="AC210">
        <f t="shared" si="72"/>
        <v>6068.8617313101768</v>
      </c>
      <c r="AD210">
        <f t="shared" si="73"/>
        <v>74490.457623870549</v>
      </c>
      <c r="AE210">
        <f t="shared" si="74"/>
        <v>0</v>
      </c>
      <c r="AF210">
        <f t="shared" si="75"/>
        <v>1045914.7850795467</v>
      </c>
      <c r="AG210">
        <v>209</v>
      </c>
      <c r="AH210">
        <f t="shared" si="83"/>
        <v>938226.54977769661</v>
      </c>
      <c r="AI210">
        <f>IF(AG210&gt;='Loan Prepayment'!$E$11,'Loan Prepayment'!$E$12,'Loan Prepayment'!$B$6)</f>
        <v>6.5</v>
      </c>
      <c r="AJ210">
        <f>IF(AH210&lt;=0,0,MIN(IF(AG210='Loan Prepayment'!$E$11,IF('Loan Prepayment'!$E$13="Keep tenure, recalculate EMI",-PMT(AI210/1200,MAX(1,'Loan Prepayment'!$B$7*12-AG210+1),AH210),IF(AND('Loan Prepayment'!$E$15="Reduce EMI",AM209&gt;0),-PMT(AI209/1200,MAX(1,'Loan Prepayment'!$B$7*12-AG210+1),AH210),AJ209)),IF(AND('Loan Prepayment'!$E$15="Reduce EMI",AM209&gt;0),-PMT(AI210/1200,MAX(1,'Loan Prepayment'!$B$7*12-AG210+1),AH210),AJ209)),AH210+AK210))</f>
        <v>67460.316473241648</v>
      </c>
      <c r="AK210">
        <f t="shared" si="76"/>
        <v>5082.0604779625237</v>
      </c>
      <c r="AL210">
        <f t="shared" si="77"/>
        <v>62378.255995279127</v>
      </c>
      <c r="AM210">
        <f>IF(AH210&lt;=0,0,MIN(MAX(0,AH210-AL210),SUMIFS('Loan Prepayment'!$B$12:$B$31,'Loan Prepayment'!$A$12:$A$31,AG210)+IF(AND(AG210&gt;='Loan Prepayment'!$B$9,AG210&lt;='Loan Prepayment'!$E$16),'Loan Prepayment'!$B$8,0)))</f>
        <v>0</v>
      </c>
      <c r="AN210">
        <f t="shared" si="78"/>
        <v>875848.29378241743</v>
      </c>
    </row>
    <row r="211" spans="1:40" x14ac:dyDescent="0.35">
      <c r="A211">
        <v>210</v>
      </c>
      <c r="B211">
        <f t="shared" si="79"/>
        <v>2263900.5574928191</v>
      </c>
      <c r="C211" s="64">
        <f>'Loan Prepayment'!$B$6</f>
        <v>7.5</v>
      </c>
      <c r="D211">
        <f>IF(B211&lt;=0,0,MIN(-PMT('Loan Prepayment'!$B$6/1200,'Loan Prepayment'!$B$7*12,'Loan Prepayment'!$B$5),B211+E211))</f>
        <v>80559.31935518072</v>
      </c>
      <c r="E211">
        <f t="shared" si="63"/>
        <v>14149.378484330118</v>
      </c>
      <c r="F211">
        <f t="shared" si="64"/>
        <v>66409.940870850609</v>
      </c>
      <c r="G211">
        <v>0</v>
      </c>
      <c r="H211">
        <f t="shared" si="65"/>
        <v>2197490.6166219683</v>
      </c>
      <c r="I211">
        <v>210</v>
      </c>
      <c r="J211">
        <f t="shared" si="80"/>
        <v>1895788.7094237348</v>
      </c>
      <c r="K211" s="64">
        <f>'Loan Prepayment'!$B$6</f>
        <v>7.5</v>
      </c>
      <c r="L211">
        <f>IF(J211&lt;=0,0,MIN(IF(AND('Loan Prepayment'!$E$15="Reduce EMI",O210&gt;0),-PMT(K211/1200,MAX(1,'Loan Prepayment'!$B$7*12-I211+1),J211),L210),J211+M211))</f>
        <v>67460.316473241648</v>
      </c>
      <c r="M211">
        <f t="shared" si="66"/>
        <v>11848.679433898342</v>
      </c>
      <c r="N211">
        <f t="shared" si="67"/>
        <v>55611.637039343303</v>
      </c>
      <c r="O211">
        <f>IF(J211&lt;=0,0,MIN(MAX(0,J211-N211),SUMIFS('Loan Prepayment'!$B$12:$B$31,'Loan Prepayment'!$A$12:$A$31,I211)+0))</f>
        <v>0</v>
      </c>
      <c r="P211">
        <f t="shared" si="68"/>
        <v>1840177.0723843914</v>
      </c>
      <c r="Q211">
        <v>210</v>
      </c>
      <c r="R211">
        <f t="shared" si="81"/>
        <v>2263900.5574928191</v>
      </c>
      <c r="S211" s="64">
        <f>'Loan Prepayment'!$B$6</f>
        <v>7.5</v>
      </c>
      <c r="T211">
        <f>IF(R211&lt;=0,0,MIN(IF(AND('Loan Prepayment'!$E$15="Reduce EMI",W210&gt;0),-PMT(S211/1200,MAX(1,'Loan Prepayment'!$B$7*12-Q211+1),R211),T210),R211+U211))</f>
        <v>80559.31935518072</v>
      </c>
      <c r="U211">
        <f t="shared" si="69"/>
        <v>14149.378484330118</v>
      </c>
      <c r="V211">
        <f t="shared" si="70"/>
        <v>66409.940870850609</v>
      </c>
      <c r="W211">
        <f>IF(R211&lt;=0,0,MIN(MAX(0,R211-V211),0+IF(AND(Q211&gt;='Loan Prepayment'!$B$9,Q211&lt;='Loan Prepayment'!$E$16),'Loan Prepayment'!$B$8,0)))</f>
        <v>0</v>
      </c>
      <c r="X211">
        <f t="shared" si="71"/>
        <v>2197490.6166219683</v>
      </c>
      <c r="Y211">
        <v>210</v>
      </c>
      <c r="Z211">
        <f t="shared" si="82"/>
        <v>1045914.7850795467</v>
      </c>
      <c r="AA211">
        <f>IF(Y211&gt;='Loan Prepayment'!$E$11,'Loan Prepayment'!$E$12,'Loan Prepayment'!$B$6)</f>
        <v>6.5</v>
      </c>
      <c r="AB211">
        <f>IF(Z211&lt;=0,0,MIN(IF(Y211='Loan Prepayment'!$E$11,IF('Loan Prepayment'!$E$13="Keep tenure, recalculate EMI",-PMT(AA211/1200,MAX(1,'Loan Prepayment'!$B$7*12-Y211+1),Z211),AB210),AB210),Z211+AC211))</f>
        <v>80559.31935518072</v>
      </c>
      <c r="AC211">
        <f t="shared" si="72"/>
        <v>5665.371752514211</v>
      </c>
      <c r="AD211">
        <f t="shared" si="73"/>
        <v>74893.947602666507</v>
      </c>
      <c r="AE211">
        <f t="shared" si="74"/>
        <v>0</v>
      </c>
      <c r="AF211">
        <f t="shared" si="75"/>
        <v>971020.83747688029</v>
      </c>
      <c r="AG211">
        <v>210</v>
      </c>
      <c r="AH211">
        <f t="shared" si="83"/>
        <v>875848.29378241743</v>
      </c>
      <c r="AI211">
        <f>IF(AG211&gt;='Loan Prepayment'!$E$11,'Loan Prepayment'!$E$12,'Loan Prepayment'!$B$6)</f>
        <v>6.5</v>
      </c>
      <c r="AJ211">
        <f>IF(AH211&lt;=0,0,MIN(IF(AG211='Loan Prepayment'!$E$11,IF('Loan Prepayment'!$E$13="Keep tenure, recalculate EMI",-PMT(AI211/1200,MAX(1,'Loan Prepayment'!$B$7*12-AG211+1),AH211),IF(AND('Loan Prepayment'!$E$15="Reduce EMI",AM210&gt;0),-PMT(AI210/1200,MAX(1,'Loan Prepayment'!$B$7*12-AG211+1),AH211),AJ210)),IF(AND('Loan Prepayment'!$E$15="Reduce EMI",AM210&gt;0),-PMT(AI211/1200,MAX(1,'Loan Prepayment'!$B$7*12-AG211+1),AH211),AJ210)),AH211+AK211))</f>
        <v>67460.316473241648</v>
      </c>
      <c r="AK211">
        <f t="shared" si="76"/>
        <v>4744.1782579880946</v>
      </c>
      <c r="AL211">
        <f t="shared" si="77"/>
        <v>62716.138215253552</v>
      </c>
      <c r="AM211">
        <f>IF(AH211&lt;=0,0,MIN(MAX(0,AH211-AL211),SUMIFS('Loan Prepayment'!$B$12:$B$31,'Loan Prepayment'!$A$12:$A$31,AG211)+IF(AND(AG211&gt;='Loan Prepayment'!$B$9,AG211&lt;='Loan Prepayment'!$E$16),'Loan Prepayment'!$B$8,0)))</f>
        <v>0</v>
      </c>
      <c r="AN211">
        <f t="shared" si="78"/>
        <v>813132.15556716383</v>
      </c>
    </row>
    <row r="212" spans="1:40" x14ac:dyDescent="0.35">
      <c r="A212">
        <v>211</v>
      </c>
      <c r="B212">
        <f t="shared" si="79"/>
        <v>2197490.6166219683</v>
      </c>
      <c r="C212" s="64">
        <f>'Loan Prepayment'!$B$6</f>
        <v>7.5</v>
      </c>
      <c r="D212">
        <f>IF(B212&lt;=0,0,MIN(-PMT('Loan Prepayment'!$B$6/1200,'Loan Prepayment'!$B$7*12,'Loan Prepayment'!$B$5),B212+E212))</f>
        <v>80559.31935518072</v>
      </c>
      <c r="E212">
        <f t="shared" si="63"/>
        <v>13734.316353887303</v>
      </c>
      <c r="F212">
        <f t="shared" si="64"/>
        <v>66825.003001293415</v>
      </c>
      <c r="G212">
        <v>0</v>
      </c>
      <c r="H212">
        <f t="shared" si="65"/>
        <v>2130665.6136206747</v>
      </c>
      <c r="I212">
        <v>211</v>
      </c>
      <c r="J212">
        <f t="shared" si="80"/>
        <v>1840177.0723843914</v>
      </c>
      <c r="K212" s="64">
        <f>'Loan Prepayment'!$B$6</f>
        <v>7.5</v>
      </c>
      <c r="L212">
        <f>IF(J212&lt;=0,0,MIN(IF(AND('Loan Prepayment'!$E$15="Reduce EMI",O211&gt;0),-PMT(K212/1200,MAX(1,'Loan Prepayment'!$B$7*12-I212+1),J212),L211),J212+M212))</f>
        <v>67460.316473241648</v>
      </c>
      <c r="M212">
        <f t="shared" si="66"/>
        <v>11501.106702402447</v>
      </c>
      <c r="N212">
        <f t="shared" si="67"/>
        <v>55959.209770839203</v>
      </c>
      <c r="O212">
        <f>IF(J212&lt;=0,0,MIN(MAX(0,J212-N212),SUMIFS('Loan Prepayment'!$B$12:$B$31,'Loan Prepayment'!$A$12:$A$31,I212)+0))</f>
        <v>0</v>
      </c>
      <c r="P212">
        <f t="shared" si="68"/>
        <v>1784217.8626135522</v>
      </c>
      <c r="Q212">
        <v>211</v>
      </c>
      <c r="R212">
        <f t="shared" si="81"/>
        <v>2197490.6166219683</v>
      </c>
      <c r="S212" s="64">
        <f>'Loan Prepayment'!$B$6</f>
        <v>7.5</v>
      </c>
      <c r="T212">
        <f>IF(R212&lt;=0,0,MIN(IF(AND('Loan Prepayment'!$E$15="Reduce EMI",W211&gt;0),-PMT(S212/1200,MAX(1,'Loan Prepayment'!$B$7*12-Q212+1),R212),T211),R212+U212))</f>
        <v>80559.31935518072</v>
      </c>
      <c r="U212">
        <f t="shared" si="69"/>
        <v>13734.316353887303</v>
      </c>
      <c r="V212">
        <f t="shared" si="70"/>
        <v>66825.003001293415</v>
      </c>
      <c r="W212">
        <f>IF(R212&lt;=0,0,MIN(MAX(0,R212-V212),0+IF(AND(Q212&gt;='Loan Prepayment'!$B$9,Q212&lt;='Loan Prepayment'!$E$16),'Loan Prepayment'!$B$8,0)))</f>
        <v>0</v>
      </c>
      <c r="X212">
        <f t="shared" si="71"/>
        <v>2130665.6136206747</v>
      </c>
      <c r="Y212">
        <v>211</v>
      </c>
      <c r="Z212">
        <f t="shared" si="82"/>
        <v>971020.83747688029</v>
      </c>
      <c r="AA212">
        <f>IF(Y212&gt;='Loan Prepayment'!$E$11,'Loan Prepayment'!$E$12,'Loan Prepayment'!$B$6)</f>
        <v>6.5</v>
      </c>
      <c r="AB212">
        <f>IF(Z212&lt;=0,0,MIN(IF(Y212='Loan Prepayment'!$E$11,IF('Loan Prepayment'!$E$13="Keep tenure, recalculate EMI",-PMT(AA212/1200,MAX(1,'Loan Prepayment'!$B$7*12-Y212+1),Z212),AB211),AB211),Z212+AC212))</f>
        <v>80559.31935518072</v>
      </c>
      <c r="AC212">
        <f t="shared" si="72"/>
        <v>5259.6962029997676</v>
      </c>
      <c r="AD212">
        <f t="shared" si="73"/>
        <v>75299.623152180953</v>
      </c>
      <c r="AE212">
        <f t="shared" si="74"/>
        <v>0</v>
      </c>
      <c r="AF212">
        <f t="shared" si="75"/>
        <v>895721.21432469937</v>
      </c>
      <c r="AG212">
        <v>211</v>
      </c>
      <c r="AH212">
        <f t="shared" si="83"/>
        <v>813132.15556716383</v>
      </c>
      <c r="AI212">
        <f>IF(AG212&gt;='Loan Prepayment'!$E$11,'Loan Prepayment'!$E$12,'Loan Prepayment'!$B$6)</f>
        <v>6.5</v>
      </c>
      <c r="AJ212">
        <f>IF(AH212&lt;=0,0,MIN(IF(AG212='Loan Prepayment'!$E$11,IF('Loan Prepayment'!$E$13="Keep tenure, recalculate EMI",-PMT(AI212/1200,MAX(1,'Loan Prepayment'!$B$7*12-AG212+1),AH212),IF(AND('Loan Prepayment'!$E$15="Reduce EMI",AM211&gt;0),-PMT(AI211/1200,MAX(1,'Loan Prepayment'!$B$7*12-AG212+1),AH212),AJ211)),IF(AND('Loan Prepayment'!$E$15="Reduce EMI",AM211&gt;0),-PMT(AI212/1200,MAX(1,'Loan Prepayment'!$B$7*12-AG212+1),AH212),AJ211)),AH212+AK212))</f>
        <v>67460.316473241648</v>
      </c>
      <c r="AK212">
        <f t="shared" si="76"/>
        <v>4404.4658426554706</v>
      </c>
      <c r="AL212">
        <f t="shared" si="77"/>
        <v>63055.850630586181</v>
      </c>
      <c r="AM212">
        <f>IF(AH212&lt;=0,0,MIN(MAX(0,AH212-AL212),SUMIFS('Loan Prepayment'!$B$12:$B$31,'Loan Prepayment'!$A$12:$A$31,AG212)+IF(AND(AG212&gt;='Loan Prepayment'!$B$9,AG212&lt;='Loan Prepayment'!$E$16),'Loan Prepayment'!$B$8,0)))</f>
        <v>0</v>
      </c>
      <c r="AN212">
        <f t="shared" si="78"/>
        <v>750076.30493657768</v>
      </c>
    </row>
    <row r="213" spans="1:40" x14ac:dyDescent="0.35">
      <c r="A213">
        <v>212</v>
      </c>
      <c r="B213">
        <f t="shared" si="79"/>
        <v>2130665.6136206747</v>
      </c>
      <c r="C213" s="64">
        <f>'Loan Prepayment'!$B$6</f>
        <v>7.5</v>
      </c>
      <c r="D213">
        <f>IF(B213&lt;=0,0,MIN(-PMT('Loan Prepayment'!$B$6/1200,'Loan Prepayment'!$B$7*12,'Loan Prepayment'!$B$5),B213+E213))</f>
        <v>80559.31935518072</v>
      </c>
      <c r="E213">
        <f t="shared" si="63"/>
        <v>13316.660085129217</v>
      </c>
      <c r="F213">
        <f t="shared" si="64"/>
        <v>67242.659270051503</v>
      </c>
      <c r="G213">
        <v>0</v>
      </c>
      <c r="H213">
        <f t="shared" si="65"/>
        <v>2063422.9543506233</v>
      </c>
      <c r="I213">
        <v>212</v>
      </c>
      <c r="J213">
        <f t="shared" si="80"/>
        <v>1784217.8626135522</v>
      </c>
      <c r="K213" s="64">
        <f>'Loan Prepayment'!$B$6</f>
        <v>7.5</v>
      </c>
      <c r="L213">
        <f>IF(J213&lt;=0,0,MIN(IF(AND('Loan Prepayment'!$E$15="Reduce EMI",O212&gt;0),-PMT(K213/1200,MAX(1,'Loan Prepayment'!$B$7*12-I213+1),J213),L212),J213+M213))</f>
        <v>67460.316473241648</v>
      </c>
      <c r="M213">
        <f t="shared" si="66"/>
        <v>11151.361641334703</v>
      </c>
      <c r="N213">
        <f t="shared" si="67"/>
        <v>56308.954831906944</v>
      </c>
      <c r="O213">
        <f>IF(J213&lt;=0,0,MIN(MAX(0,J213-N213),SUMIFS('Loan Prepayment'!$B$12:$B$31,'Loan Prepayment'!$A$12:$A$31,I213)+0))</f>
        <v>0</v>
      </c>
      <c r="P213">
        <f t="shared" si="68"/>
        <v>1727908.9077816452</v>
      </c>
      <c r="Q213">
        <v>212</v>
      </c>
      <c r="R213">
        <f t="shared" si="81"/>
        <v>2130665.6136206747</v>
      </c>
      <c r="S213" s="64">
        <f>'Loan Prepayment'!$B$6</f>
        <v>7.5</v>
      </c>
      <c r="T213">
        <f>IF(R213&lt;=0,0,MIN(IF(AND('Loan Prepayment'!$E$15="Reduce EMI",W212&gt;0),-PMT(S213/1200,MAX(1,'Loan Prepayment'!$B$7*12-Q213+1),R213),T212),R213+U213))</f>
        <v>80559.31935518072</v>
      </c>
      <c r="U213">
        <f t="shared" si="69"/>
        <v>13316.660085129217</v>
      </c>
      <c r="V213">
        <f t="shared" si="70"/>
        <v>67242.659270051503</v>
      </c>
      <c r="W213">
        <f>IF(R213&lt;=0,0,MIN(MAX(0,R213-V213),0+IF(AND(Q213&gt;='Loan Prepayment'!$B$9,Q213&lt;='Loan Prepayment'!$E$16),'Loan Prepayment'!$B$8,0)))</f>
        <v>0</v>
      </c>
      <c r="X213">
        <f t="shared" si="71"/>
        <v>2063422.9543506233</v>
      </c>
      <c r="Y213">
        <v>212</v>
      </c>
      <c r="Z213">
        <f t="shared" si="82"/>
        <v>895721.21432469937</v>
      </c>
      <c r="AA213">
        <f>IF(Y213&gt;='Loan Prepayment'!$E$11,'Loan Prepayment'!$E$12,'Loan Prepayment'!$B$6)</f>
        <v>6.5</v>
      </c>
      <c r="AB213">
        <f>IF(Z213&lt;=0,0,MIN(IF(Y213='Loan Prepayment'!$E$11,IF('Loan Prepayment'!$E$13="Keep tenure, recalculate EMI",-PMT(AA213/1200,MAX(1,'Loan Prepayment'!$B$7*12-Y213+1),Z213),AB212),AB212),Z213+AC213))</f>
        <v>80559.31935518072</v>
      </c>
      <c r="AC213">
        <f t="shared" si="72"/>
        <v>4851.8232442587887</v>
      </c>
      <c r="AD213">
        <f t="shared" si="73"/>
        <v>75707.496110921929</v>
      </c>
      <c r="AE213">
        <f t="shared" si="74"/>
        <v>0</v>
      </c>
      <c r="AF213">
        <f t="shared" si="75"/>
        <v>820013.71821377741</v>
      </c>
      <c r="AG213">
        <v>212</v>
      </c>
      <c r="AH213">
        <f t="shared" si="83"/>
        <v>750076.30493657768</v>
      </c>
      <c r="AI213">
        <f>IF(AG213&gt;='Loan Prepayment'!$E$11,'Loan Prepayment'!$E$12,'Loan Prepayment'!$B$6)</f>
        <v>6.5</v>
      </c>
      <c r="AJ213">
        <f>IF(AH213&lt;=0,0,MIN(IF(AG213='Loan Prepayment'!$E$11,IF('Loan Prepayment'!$E$13="Keep tenure, recalculate EMI",-PMT(AI213/1200,MAX(1,'Loan Prepayment'!$B$7*12-AG213+1),AH213),IF(AND('Loan Prepayment'!$E$15="Reduce EMI",AM212&gt;0),-PMT(AI212/1200,MAX(1,'Loan Prepayment'!$B$7*12-AG213+1),AH213),AJ212)),IF(AND('Loan Prepayment'!$E$15="Reduce EMI",AM212&gt;0),-PMT(AI213/1200,MAX(1,'Loan Prepayment'!$B$7*12-AG213+1),AH213),AJ212)),AH213+AK213))</f>
        <v>67460.316473241648</v>
      </c>
      <c r="AK213">
        <f t="shared" si="76"/>
        <v>4062.9133184064622</v>
      </c>
      <c r="AL213">
        <f t="shared" si="77"/>
        <v>63397.403154835185</v>
      </c>
      <c r="AM213">
        <f>IF(AH213&lt;=0,0,MIN(MAX(0,AH213-AL213),SUMIFS('Loan Prepayment'!$B$12:$B$31,'Loan Prepayment'!$A$12:$A$31,AG213)+IF(AND(AG213&gt;='Loan Prepayment'!$B$9,AG213&lt;='Loan Prepayment'!$E$16),'Loan Prepayment'!$B$8,0)))</f>
        <v>0</v>
      </c>
      <c r="AN213">
        <f t="shared" si="78"/>
        <v>686678.90178174246</v>
      </c>
    </row>
    <row r="214" spans="1:40" x14ac:dyDescent="0.35">
      <c r="A214">
        <v>213</v>
      </c>
      <c r="B214">
        <f t="shared" si="79"/>
        <v>2063422.9543506233</v>
      </c>
      <c r="C214" s="64">
        <f>'Loan Prepayment'!$B$6</f>
        <v>7.5</v>
      </c>
      <c r="D214">
        <f>IF(B214&lt;=0,0,MIN(-PMT('Loan Prepayment'!$B$6/1200,'Loan Prepayment'!$B$7*12,'Loan Prepayment'!$B$5),B214+E214))</f>
        <v>80559.31935518072</v>
      </c>
      <c r="E214">
        <f t="shared" si="63"/>
        <v>12896.393464691395</v>
      </c>
      <c r="F214">
        <f t="shared" si="64"/>
        <v>67662.925890489321</v>
      </c>
      <c r="G214">
        <v>0</v>
      </c>
      <c r="H214">
        <f t="shared" si="65"/>
        <v>1995760.0284601341</v>
      </c>
      <c r="I214">
        <v>213</v>
      </c>
      <c r="J214">
        <f t="shared" si="80"/>
        <v>1727908.9077816452</v>
      </c>
      <c r="K214" s="64">
        <f>'Loan Prepayment'!$B$6</f>
        <v>7.5</v>
      </c>
      <c r="L214">
        <f>IF(J214&lt;=0,0,MIN(IF(AND('Loan Prepayment'!$E$15="Reduce EMI",O213&gt;0),-PMT(K214/1200,MAX(1,'Loan Prepayment'!$B$7*12-I214+1),J214),L213),J214+M214))</f>
        <v>67460.316473241648</v>
      </c>
      <c r="M214">
        <f t="shared" si="66"/>
        <v>10799.430673635283</v>
      </c>
      <c r="N214">
        <f t="shared" si="67"/>
        <v>56660.885799606367</v>
      </c>
      <c r="O214">
        <f>IF(J214&lt;=0,0,MIN(MAX(0,J214-N214),SUMIFS('Loan Prepayment'!$B$12:$B$31,'Loan Prepayment'!$A$12:$A$31,I214)+0))</f>
        <v>0</v>
      </c>
      <c r="P214">
        <f t="shared" si="68"/>
        <v>1671248.0219820389</v>
      </c>
      <c r="Q214">
        <v>213</v>
      </c>
      <c r="R214">
        <f t="shared" si="81"/>
        <v>2063422.9543506233</v>
      </c>
      <c r="S214" s="64">
        <f>'Loan Prepayment'!$B$6</f>
        <v>7.5</v>
      </c>
      <c r="T214">
        <f>IF(R214&lt;=0,0,MIN(IF(AND('Loan Prepayment'!$E$15="Reduce EMI",W213&gt;0),-PMT(S214/1200,MAX(1,'Loan Prepayment'!$B$7*12-Q214+1),R214),T213),R214+U214))</f>
        <v>80559.31935518072</v>
      </c>
      <c r="U214">
        <f t="shared" si="69"/>
        <v>12896.393464691395</v>
      </c>
      <c r="V214">
        <f t="shared" si="70"/>
        <v>67662.925890489321</v>
      </c>
      <c r="W214">
        <f>IF(R214&lt;=0,0,MIN(MAX(0,R214-V214),0+IF(AND(Q214&gt;='Loan Prepayment'!$B$9,Q214&lt;='Loan Prepayment'!$E$16),'Loan Prepayment'!$B$8,0)))</f>
        <v>0</v>
      </c>
      <c r="X214">
        <f t="shared" si="71"/>
        <v>1995760.0284601341</v>
      </c>
      <c r="Y214">
        <v>213</v>
      </c>
      <c r="Z214">
        <f t="shared" si="82"/>
        <v>820013.71821377741</v>
      </c>
      <c r="AA214">
        <f>IF(Y214&gt;='Loan Prepayment'!$E$11,'Loan Prepayment'!$E$12,'Loan Prepayment'!$B$6)</f>
        <v>6.5</v>
      </c>
      <c r="AB214">
        <f>IF(Z214&lt;=0,0,MIN(IF(Y214='Loan Prepayment'!$E$11,IF('Loan Prepayment'!$E$13="Keep tenure, recalculate EMI",-PMT(AA214/1200,MAX(1,'Loan Prepayment'!$B$7*12-Y214+1),Z214),AB213),AB213),Z214+AC214))</f>
        <v>80559.31935518072</v>
      </c>
      <c r="AC214">
        <f t="shared" si="72"/>
        <v>4441.7409736579611</v>
      </c>
      <c r="AD214">
        <f t="shared" si="73"/>
        <v>76117.578381522762</v>
      </c>
      <c r="AE214">
        <f t="shared" si="74"/>
        <v>0</v>
      </c>
      <c r="AF214">
        <f t="shared" si="75"/>
        <v>743896.13983225462</v>
      </c>
      <c r="AG214">
        <v>213</v>
      </c>
      <c r="AH214">
        <f t="shared" si="83"/>
        <v>686678.90178174246</v>
      </c>
      <c r="AI214">
        <f>IF(AG214&gt;='Loan Prepayment'!$E$11,'Loan Prepayment'!$E$12,'Loan Prepayment'!$B$6)</f>
        <v>6.5</v>
      </c>
      <c r="AJ214">
        <f>IF(AH214&lt;=0,0,MIN(IF(AG214='Loan Prepayment'!$E$11,IF('Loan Prepayment'!$E$13="Keep tenure, recalculate EMI",-PMT(AI214/1200,MAX(1,'Loan Prepayment'!$B$7*12-AG214+1),AH214),IF(AND('Loan Prepayment'!$E$15="Reduce EMI",AM213&gt;0),-PMT(AI213/1200,MAX(1,'Loan Prepayment'!$B$7*12-AG214+1),AH214),AJ213)),IF(AND('Loan Prepayment'!$E$15="Reduce EMI",AM213&gt;0),-PMT(AI214/1200,MAX(1,'Loan Prepayment'!$B$7*12-AG214+1),AH214),AJ213)),AH214+AK214))</f>
        <v>67460.316473241648</v>
      </c>
      <c r="AK214">
        <f t="shared" si="76"/>
        <v>3719.5107179844381</v>
      </c>
      <c r="AL214">
        <f t="shared" si="77"/>
        <v>63740.805755257214</v>
      </c>
      <c r="AM214">
        <f>IF(AH214&lt;=0,0,MIN(MAX(0,AH214-AL214),SUMIFS('Loan Prepayment'!$B$12:$B$31,'Loan Prepayment'!$A$12:$A$31,AG214)+IF(AND(AG214&gt;='Loan Prepayment'!$B$9,AG214&lt;='Loan Prepayment'!$E$16),'Loan Prepayment'!$B$8,0)))</f>
        <v>0</v>
      </c>
      <c r="AN214">
        <f t="shared" si="78"/>
        <v>622938.0960264852</v>
      </c>
    </row>
    <row r="215" spans="1:40" x14ac:dyDescent="0.35">
      <c r="A215">
        <v>214</v>
      </c>
      <c r="B215">
        <f t="shared" si="79"/>
        <v>1995760.0284601341</v>
      </c>
      <c r="C215" s="64">
        <f>'Loan Prepayment'!$B$6</f>
        <v>7.5</v>
      </c>
      <c r="D215">
        <f>IF(B215&lt;=0,0,MIN(-PMT('Loan Prepayment'!$B$6/1200,'Loan Prepayment'!$B$7*12,'Loan Prepayment'!$B$5),B215+E215))</f>
        <v>80559.31935518072</v>
      </c>
      <c r="E215">
        <f t="shared" si="63"/>
        <v>12473.500177875838</v>
      </c>
      <c r="F215">
        <f t="shared" si="64"/>
        <v>68085.819177304889</v>
      </c>
      <c r="G215">
        <v>0</v>
      </c>
      <c r="H215">
        <f t="shared" si="65"/>
        <v>1927674.2092828292</v>
      </c>
      <c r="I215">
        <v>214</v>
      </c>
      <c r="J215">
        <f t="shared" si="80"/>
        <v>1671248.0219820389</v>
      </c>
      <c r="K215" s="64">
        <f>'Loan Prepayment'!$B$6</f>
        <v>7.5</v>
      </c>
      <c r="L215">
        <f>IF(J215&lt;=0,0,MIN(IF(AND('Loan Prepayment'!$E$15="Reduce EMI",O214&gt;0),-PMT(K215/1200,MAX(1,'Loan Prepayment'!$B$7*12-I215+1),J215),L214),J215+M215))</f>
        <v>67460.316473241648</v>
      </c>
      <c r="M215">
        <f t="shared" si="66"/>
        <v>10445.300137387741</v>
      </c>
      <c r="N215">
        <f t="shared" si="67"/>
        <v>57015.016335853907</v>
      </c>
      <c r="O215">
        <f>IF(J215&lt;=0,0,MIN(MAX(0,J215-N215),SUMIFS('Loan Prepayment'!$B$12:$B$31,'Loan Prepayment'!$A$12:$A$31,I215)+0))</f>
        <v>0</v>
      </c>
      <c r="P215">
        <f t="shared" si="68"/>
        <v>1614233.005646185</v>
      </c>
      <c r="Q215">
        <v>214</v>
      </c>
      <c r="R215">
        <f t="shared" si="81"/>
        <v>1995760.0284601341</v>
      </c>
      <c r="S215" s="64">
        <f>'Loan Prepayment'!$B$6</f>
        <v>7.5</v>
      </c>
      <c r="T215">
        <f>IF(R215&lt;=0,0,MIN(IF(AND('Loan Prepayment'!$E$15="Reduce EMI",W214&gt;0),-PMT(S215/1200,MAX(1,'Loan Prepayment'!$B$7*12-Q215+1),R215),T214),R215+U215))</f>
        <v>80559.31935518072</v>
      </c>
      <c r="U215">
        <f t="shared" si="69"/>
        <v>12473.500177875838</v>
      </c>
      <c r="V215">
        <f t="shared" si="70"/>
        <v>68085.819177304889</v>
      </c>
      <c r="W215">
        <f>IF(R215&lt;=0,0,MIN(MAX(0,R215-V215),0+IF(AND(Q215&gt;='Loan Prepayment'!$B$9,Q215&lt;='Loan Prepayment'!$E$16),'Loan Prepayment'!$B$8,0)))</f>
        <v>0</v>
      </c>
      <c r="X215">
        <f t="shared" si="71"/>
        <v>1927674.2092828292</v>
      </c>
      <c r="Y215">
        <v>214</v>
      </c>
      <c r="Z215">
        <f t="shared" si="82"/>
        <v>743896.13983225462</v>
      </c>
      <c r="AA215">
        <f>IF(Y215&gt;='Loan Prepayment'!$E$11,'Loan Prepayment'!$E$12,'Loan Prepayment'!$B$6)</f>
        <v>6.5</v>
      </c>
      <c r="AB215">
        <f>IF(Z215&lt;=0,0,MIN(IF(Y215='Loan Prepayment'!$E$11,IF('Loan Prepayment'!$E$13="Keep tenure, recalculate EMI",-PMT(AA215/1200,MAX(1,'Loan Prepayment'!$B$7*12-Y215+1),Z215),AB214),AB214),Z215+AC215))</f>
        <v>80559.31935518072</v>
      </c>
      <c r="AC215">
        <f t="shared" si="72"/>
        <v>4029.4374240913794</v>
      </c>
      <c r="AD215">
        <f t="shared" si="73"/>
        <v>76529.881931089345</v>
      </c>
      <c r="AE215">
        <f t="shared" si="74"/>
        <v>0</v>
      </c>
      <c r="AF215">
        <f t="shared" si="75"/>
        <v>667366.25790116529</v>
      </c>
      <c r="AG215">
        <v>214</v>
      </c>
      <c r="AH215">
        <f t="shared" si="83"/>
        <v>622938.0960264852</v>
      </c>
      <c r="AI215">
        <f>IF(AG215&gt;='Loan Prepayment'!$E$11,'Loan Prepayment'!$E$12,'Loan Prepayment'!$B$6)</f>
        <v>6.5</v>
      </c>
      <c r="AJ215">
        <f>IF(AH215&lt;=0,0,MIN(IF(AG215='Loan Prepayment'!$E$11,IF('Loan Prepayment'!$E$13="Keep tenure, recalculate EMI",-PMT(AI215/1200,MAX(1,'Loan Prepayment'!$B$7*12-AG215+1),AH215),IF(AND('Loan Prepayment'!$E$15="Reduce EMI",AM214&gt;0),-PMT(AI214/1200,MAX(1,'Loan Prepayment'!$B$7*12-AG215+1),AH215),AJ214)),IF(AND('Loan Prepayment'!$E$15="Reduce EMI",AM214&gt;0),-PMT(AI215/1200,MAX(1,'Loan Prepayment'!$B$7*12-AG215+1),AH215),AJ214)),AH215+AK215))</f>
        <v>67460.316473241648</v>
      </c>
      <c r="AK215">
        <f t="shared" si="76"/>
        <v>3374.2480201434614</v>
      </c>
      <c r="AL215">
        <f t="shared" si="77"/>
        <v>64086.068453098189</v>
      </c>
      <c r="AM215">
        <f>IF(AH215&lt;=0,0,MIN(MAX(0,AH215-AL215),SUMIFS('Loan Prepayment'!$B$12:$B$31,'Loan Prepayment'!$A$12:$A$31,AG215)+IF(AND(AG215&gt;='Loan Prepayment'!$B$9,AG215&lt;='Loan Prepayment'!$E$16),'Loan Prepayment'!$B$8,0)))</f>
        <v>0</v>
      </c>
      <c r="AN215">
        <f t="shared" si="78"/>
        <v>558852.02757338702</v>
      </c>
    </row>
    <row r="216" spans="1:40" x14ac:dyDescent="0.35">
      <c r="A216">
        <v>215</v>
      </c>
      <c r="B216">
        <f t="shared" si="79"/>
        <v>1927674.2092828292</v>
      </c>
      <c r="C216" s="64">
        <f>'Loan Prepayment'!$B$6</f>
        <v>7.5</v>
      </c>
      <c r="D216">
        <f>IF(B216&lt;=0,0,MIN(-PMT('Loan Prepayment'!$B$6/1200,'Loan Prepayment'!$B$7*12,'Loan Prepayment'!$B$5),B216+E216))</f>
        <v>80559.31935518072</v>
      </c>
      <c r="E216">
        <f t="shared" si="63"/>
        <v>12047.963808017683</v>
      </c>
      <c r="F216">
        <f t="shared" si="64"/>
        <v>68511.355547163039</v>
      </c>
      <c r="G216">
        <v>0</v>
      </c>
      <c r="H216">
        <f t="shared" si="65"/>
        <v>1859162.8537356663</v>
      </c>
      <c r="I216">
        <v>215</v>
      </c>
      <c r="J216">
        <f t="shared" si="80"/>
        <v>1614233.005646185</v>
      </c>
      <c r="K216" s="64">
        <f>'Loan Prepayment'!$B$6</f>
        <v>7.5</v>
      </c>
      <c r="L216">
        <f>IF(J216&lt;=0,0,MIN(IF(AND('Loan Prepayment'!$E$15="Reduce EMI",O215&gt;0),-PMT(K216/1200,MAX(1,'Loan Prepayment'!$B$7*12-I216+1),J216),L215),J216+M216))</f>
        <v>67460.316473241648</v>
      </c>
      <c r="M216">
        <f t="shared" si="66"/>
        <v>10088.956285288657</v>
      </c>
      <c r="N216">
        <f t="shared" si="67"/>
        <v>57371.360187952989</v>
      </c>
      <c r="O216">
        <f>IF(J216&lt;=0,0,MIN(MAX(0,J216-N216),SUMIFS('Loan Prepayment'!$B$12:$B$31,'Loan Prepayment'!$A$12:$A$31,I216)+0))</f>
        <v>0</v>
      </c>
      <c r="P216">
        <f t="shared" si="68"/>
        <v>1556861.6454582321</v>
      </c>
      <c r="Q216">
        <v>215</v>
      </c>
      <c r="R216">
        <f t="shared" si="81"/>
        <v>1927674.2092828292</v>
      </c>
      <c r="S216" s="64">
        <f>'Loan Prepayment'!$B$6</f>
        <v>7.5</v>
      </c>
      <c r="T216">
        <f>IF(R216&lt;=0,0,MIN(IF(AND('Loan Prepayment'!$E$15="Reduce EMI",W215&gt;0),-PMT(S216/1200,MAX(1,'Loan Prepayment'!$B$7*12-Q216+1),R216),T215),R216+U216))</f>
        <v>80559.31935518072</v>
      </c>
      <c r="U216">
        <f t="shared" si="69"/>
        <v>12047.963808017683</v>
      </c>
      <c r="V216">
        <f t="shared" si="70"/>
        <v>68511.355547163039</v>
      </c>
      <c r="W216">
        <f>IF(R216&lt;=0,0,MIN(MAX(0,R216-V216),0+IF(AND(Q216&gt;='Loan Prepayment'!$B$9,Q216&lt;='Loan Prepayment'!$E$16),'Loan Prepayment'!$B$8,0)))</f>
        <v>0</v>
      </c>
      <c r="X216">
        <f t="shared" si="71"/>
        <v>1859162.8537356663</v>
      </c>
      <c r="Y216">
        <v>215</v>
      </c>
      <c r="Z216">
        <f t="shared" si="82"/>
        <v>667366.25790116529</v>
      </c>
      <c r="AA216">
        <f>IF(Y216&gt;='Loan Prepayment'!$E$11,'Loan Prepayment'!$E$12,'Loan Prepayment'!$B$6)</f>
        <v>6.5</v>
      </c>
      <c r="AB216">
        <f>IF(Z216&lt;=0,0,MIN(IF(Y216='Loan Prepayment'!$E$11,IF('Loan Prepayment'!$E$13="Keep tenure, recalculate EMI",-PMT(AA216/1200,MAX(1,'Loan Prepayment'!$B$7*12-Y216+1),Z216),AB215),AB215),Z216+AC216))</f>
        <v>80559.31935518072</v>
      </c>
      <c r="AC216">
        <f t="shared" si="72"/>
        <v>3614.9005636313123</v>
      </c>
      <c r="AD216">
        <f t="shared" si="73"/>
        <v>76944.418791549411</v>
      </c>
      <c r="AE216">
        <f t="shared" si="74"/>
        <v>0</v>
      </c>
      <c r="AF216">
        <f t="shared" si="75"/>
        <v>590421.83910961589</v>
      </c>
      <c r="AG216">
        <v>215</v>
      </c>
      <c r="AH216">
        <f t="shared" si="83"/>
        <v>558852.02757338702</v>
      </c>
      <c r="AI216">
        <f>IF(AG216&gt;='Loan Prepayment'!$E$11,'Loan Prepayment'!$E$12,'Loan Prepayment'!$B$6)</f>
        <v>6.5</v>
      </c>
      <c r="AJ216">
        <f>IF(AH216&lt;=0,0,MIN(IF(AG216='Loan Prepayment'!$E$11,IF('Loan Prepayment'!$E$13="Keep tenure, recalculate EMI",-PMT(AI216/1200,MAX(1,'Loan Prepayment'!$B$7*12-AG216+1),AH216),IF(AND('Loan Prepayment'!$E$15="Reduce EMI",AM215&gt;0),-PMT(AI215/1200,MAX(1,'Loan Prepayment'!$B$7*12-AG216+1),AH216),AJ215)),IF(AND('Loan Prepayment'!$E$15="Reduce EMI",AM215&gt;0),-PMT(AI216/1200,MAX(1,'Loan Prepayment'!$B$7*12-AG216+1),AH216),AJ215)),AH216+AK216))</f>
        <v>67460.316473241648</v>
      </c>
      <c r="AK216">
        <f t="shared" si="76"/>
        <v>3027.1151493558464</v>
      </c>
      <c r="AL216">
        <f t="shared" si="77"/>
        <v>64433.201323885805</v>
      </c>
      <c r="AM216">
        <f>IF(AH216&lt;=0,0,MIN(MAX(0,AH216-AL216),SUMIFS('Loan Prepayment'!$B$12:$B$31,'Loan Prepayment'!$A$12:$A$31,AG216)+IF(AND(AG216&gt;='Loan Prepayment'!$B$9,AG216&lt;='Loan Prepayment'!$E$16),'Loan Prepayment'!$B$8,0)))</f>
        <v>0</v>
      </c>
      <c r="AN216">
        <f t="shared" si="78"/>
        <v>494418.8262495012</v>
      </c>
    </row>
    <row r="217" spans="1:40" x14ac:dyDescent="0.35">
      <c r="A217">
        <v>216</v>
      </c>
      <c r="B217">
        <f t="shared" si="79"/>
        <v>1859162.8537356663</v>
      </c>
      <c r="C217" s="64">
        <f>'Loan Prepayment'!$B$6</f>
        <v>7.5</v>
      </c>
      <c r="D217">
        <f>IF(B217&lt;=0,0,MIN(-PMT('Loan Prepayment'!$B$6/1200,'Loan Prepayment'!$B$7*12,'Loan Prepayment'!$B$5),B217+E217))</f>
        <v>80559.31935518072</v>
      </c>
      <c r="E217">
        <f t="shared" si="63"/>
        <v>11619.767835847913</v>
      </c>
      <c r="F217">
        <f t="shared" si="64"/>
        <v>68939.551519332803</v>
      </c>
      <c r="G217">
        <v>0</v>
      </c>
      <c r="H217">
        <f t="shared" si="65"/>
        <v>1790223.3022163333</v>
      </c>
      <c r="I217">
        <v>216</v>
      </c>
      <c r="J217">
        <f t="shared" si="80"/>
        <v>1556861.6454582321</v>
      </c>
      <c r="K217" s="64">
        <f>'Loan Prepayment'!$B$6</f>
        <v>7.5</v>
      </c>
      <c r="L217">
        <f>IF(J217&lt;=0,0,MIN(IF(AND('Loan Prepayment'!$E$15="Reduce EMI",O216&gt;0),-PMT(K217/1200,MAX(1,'Loan Prepayment'!$B$7*12-I217+1),J217),L216),J217+M217))</f>
        <v>67460.316473241648</v>
      </c>
      <c r="M217">
        <f t="shared" si="66"/>
        <v>9730.3852841139505</v>
      </c>
      <c r="N217">
        <f t="shared" si="67"/>
        <v>57729.931189127696</v>
      </c>
      <c r="O217">
        <f>IF(J217&lt;=0,0,MIN(MAX(0,J217-N217),SUMIFS('Loan Prepayment'!$B$12:$B$31,'Loan Prepayment'!$A$12:$A$31,I217)+0))</f>
        <v>0</v>
      </c>
      <c r="P217">
        <f t="shared" si="68"/>
        <v>1499131.7142691044</v>
      </c>
      <c r="Q217">
        <v>216</v>
      </c>
      <c r="R217">
        <f t="shared" si="81"/>
        <v>1859162.8537356663</v>
      </c>
      <c r="S217" s="64">
        <f>'Loan Prepayment'!$B$6</f>
        <v>7.5</v>
      </c>
      <c r="T217">
        <f>IF(R217&lt;=0,0,MIN(IF(AND('Loan Prepayment'!$E$15="Reduce EMI",W216&gt;0),-PMT(S217/1200,MAX(1,'Loan Prepayment'!$B$7*12-Q217+1),R217),T216),R217+U217))</f>
        <v>80559.31935518072</v>
      </c>
      <c r="U217">
        <f t="shared" si="69"/>
        <v>11619.767835847913</v>
      </c>
      <c r="V217">
        <f t="shared" si="70"/>
        <v>68939.551519332803</v>
      </c>
      <c r="W217">
        <f>IF(R217&lt;=0,0,MIN(MAX(0,R217-V217),0+IF(AND(Q217&gt;='Loan Prepayment'!$B$9,Q217&lt;='Loan Prepayment'!$E$16),'Loan Prepayment'!$B$8,0)))</f>
        <v>0</v>
      </c>
      <c r="X217">
        <f t="shared" si="71"/>
        <v>1790223.3022163333</v>
      </c>
      <c r="Y217">
        <v>216</v>
      </c>
      <c r="Z217">
        <f t="shared" si="82"/>
        <v>590421.83910961589</v>
      </c>
      <c r="AA217">
        <f>IF(Y217&gt;='Loan Prepayment'!$E$11,'Loan Prepayment'!$E$12,'Loan Prepayment'!$B$6)</f>
        <v>6.5</v>
      </c>
      <c r="AB217">
        <f>IF(Z217&lt;=0,0,MIN(IF(Y217='Loan Prepayment'!$E$11,IF('Loan Prepayment'!$E$13="Keep tenure, recalculate EMI",-PMT(AA217/1200,MAX(1,'Loan Prepayment'!$B$7*12-Y217+1),Z217),AB216),AB216),Z217+AC217))</f>
        <v>80559.31935518072</v>
      </c>
      <c r="AC217">
        <f t="shared" si="72"/>
        <v>3198.1182951770861</v>
      </c>
      <c r="AD217">
        <f t="shared" si="73"/>
        <v>77361.20106000363</v>
      </c>
      <c r="AE217">
        <f t="shared" si="74"/>
        <v>0</v>
      </c>
      <c r="AF217">
        <f t="shared" si="75"/>
        <v>513060.63804961229</v>
      </c>
      <c r="AG217">
        <v>216</v>
      </c>
      <c r="AH217">
        <f t="shared" si="83"/>
        <v>494418.8262495012</v>
      </c>
      <c r="AI217">
        <f>IF(AG217&gt;='Loan Prepayment'!$E$11,'Loan Prepayment'!$E$12,'Loan Prepayment'!$B$6)</f>
        <v>6.5</v>
      </c>
      <c r="AJ217">
        <f>IF(AH217&lt;=0,0,MIN(IF(AG217='Loan Prepayment'!$E$11,IF('Loan Prepayment'!$E$13="Keep tenure, recalculate EMI",-PMT(AI217/1200,MAX(1,'Loan Prepayment'!$B$7*12-AG217+1),AH217),IF(AND('Loan Prepayment'!$E$15="Reduce EMI",AM216&gt;0),-PMT(AI216/1200,MAX(1,'Loan Prepayment'!$B$7*12-AG217+1),AH217),AJ216)),IF(AND('Loan Prepayment'!$E$15="Reduce EMI",AM216&gt;0),-PMT(AI217/1200,MAX(1,'Loan Prepayment'!$B$7*12-AG217+1),AH217),AJ216)),AH217+AK217))</f>
        <v>67460.316473241648</v>
      </c>
      <c r="AK217">
        <f t="shared" si="76"/>
        <v>2678.1019755181314</v>
      </c>
      <c r="AL217">
        <f t="shared" si="77"/>
        <v>64782.214497723515</v>
      </c>
      <c r="AM217">
        <f>IF(AH217&lt;=0,0,MIN(MAX(0,AH217-AL217),SUMIFS('Loan Prepayment'!$B$12:$B$31,'Loan Prepayment'!$A$12:$A$31,AG217)+IF(AND(AG217&gt;='Loan Prepayment'!$B$9,AG217&lt;='Loan Prepayment'!$E$16),'Loan Prepayment'!$B$8,0)))</f>
        <v>0</v>
      </c>
      <c r="AN217">
        <f t="shared" si="78"/>
        <v>429636.6117517777</v>
      </c>
    </row>
    <row r="218" spans="1:40" x14ac:dyDescent="0.35">
      <c r="A218">
        <v>217</v>
      </c>
      <c r="B218">
        <f t="shared" si="79"/>
        <v>1790223.3022163333</v>
      </c>
      <c r="C218" s="64">
        <f>'Loan Prepayment'!$B$6</f>
        <v>7.5</v>
      </c>
      <c r="D218">
        <f>IF(B218&lt;=0,0,MIN(-PMT('Loan Prepayment'!$B$6/1200,'Loan Prepayment'!$B$7*12,'Loan Prepayment'!$B$5),B218+E218))</f>
        <v>80559.31935518072</v>
      </c>
      <c r="E218">
        <f t="shared" si="63"/>
        <v>11188.895638852084</v>
      </c>
      <c r="F218">
        <f t="shared" si="64"/>
        <v>69370.423716328631</v>
      </c>
      <c r="G218">
        <v>0</v>
      </c>
      <c r="H218">
        <f t="shared" si="65"/>
        <v>1720852.8785000048</v>
      </c>
      <c r="I218">
        <v>217</v>
      </c>
      <c r="J218">
        <f t="shared" si="80"/>
        <v>1499131.7142691044</v>
      </c>
      <c r="K218" s="64">
        <f>'Loan Prepayment'!$B$6</f>
        <v>7.5</v>
      </c>
      <c r="L218">
        <f>IF(J218&lt;=0,0,MIN(IF(AND('Loan Prepayment'!$E$15="Reduce EMI",O217&gt;0),-PMT(K218/1200,MAX(1,'Loan Prepayment'!$B$7*12-I218+1),J218),L217),J218+M218))</f>
        <v>67460.316473241648</v>
      </c>
      <c r="M218">
        <f t="shared" si="66"/>
        <v>9369.5732141819026</v>
      </c>
      <c r="N218">
        <f t="shared" si="67"/>
        <v>58090.743259059745</v>
      </c>
      <c r="O218">
        <f>IF(J218&lt;=0,0,MIN(MAX(0,J218-N218),SUMIFS('Loan Prepayment'!$B$12:$B$31,'Loan Prepayment'!$A$12:$A$31,I218)+0))</f>
        <v>0</v>
      </c>
      <c r="P218">
        <f t="shared" si="68"/>
        <v>1441040.9710100447</v>
      </c>
      <c r="Q218">
        <v>217</v>
      </c>
      <c r="R218">
        <f t="shared" si="81"/>
        <v>1790223.3022163333</v>
      </c>
      <c r="S218" s="64">
        <f>'Loan Prepayment'!$B$6</f>
        <v>7.5</v>
      </c>
      <c r="T218">
        <f>IF(R218&lt;=0,0,MIN(IF(AND('Loan Prepayment'!$E$15="Reduce EMI",W217&gt;0),-PMT(S218/1200,MAX(1,'Loan Prepayment'!$B$7*12-Q218+1),R218),T217),R218+U218))</f>
        <v>80559.31935518072</v>
      </c>
      <c r="U218">
        <f t="shared" si="69"/>
        <v>11188.895638852084</v>
      </c>
      <c r="V218">
        <f t="shared" si="70"/>
        <v>69370.423716328631</v>
      </c>
      <c r="W218">
        <f>IF(R218&lt;=0,0,MIN(MAX(0,R218-V218),0+IF(AND(Q218&gt;='Loan Prepayment'!$B$9,Q218&lt;='Loan Prepayment'!$E$16),'Loan Prepayment'!$B$8,0)))</f>
        <v>0</v>
      </c>
      <c r="X218">
        <f t="shared" si="71"/>
        <v>1720852.8785000048</v>
      </c>
      <c r="Y218">
        <v>217</v>
      </c>
      <c r="Z218">
        <f t="shared" si="82"/>
        <v>513060.63804961229</v>
      </c>
      <c r="AA218">
        <f>IF(Y218&gt;='Loan Prepayment'!$E$11,'Loan Prepayment'!$E$12,'Loan Prepayment'!$B$6)</f>
        <v>6.5</v>
      </c>
      <c r="AB218">
        <f>IF(Z218&lt;=0,0,MIN(IF(Y218='Loan Prepayment'!$E$11,IF('Loan Prepayment'!$E$13="Keep tenure, recalculate EMI",-PMT(AA218/1200,MAX(1,'Loan Prepayment'!$B$7*12-Y218+1),Z218),AB217),AB217),Z218+AC218))</f>
        <v>80559.31935518072</v>
      </c>
      <c r="AC218">
        <f t="shared" si="72"/>
        <v>2779.0784561020664</v>
      </c>
      <c r="AD218">
        <f t="shared" si="73"/>
        <v>77780.24089907865</v>
      </c>
      <c r="AE218">
        <f t="shared" si="74"/>
        <v>0</v>
      </c>
      <c r="AF218">
        <f t="shared" si="75"/>
        <v>435280.39715053362</v>
      </c>
      <c r="AG218">
        <v>217</v>
      </c>
      <c r="AH218">
        <f t="shared" si="83"/>
        <v>429636.6117517777</v>
      </c>
      <c r="AI218">
        <f>IF(AG218&gt;='Loan Prepayment'!$E$11,'Loan Prepayment'!$E$12,'Loan Prepayment'!$B$6)</f>
        <v>6.5</v>
      </c>
      <c r="AJ218">
        <f>IF(AH218&lt;=0,0,MIN(IF(AG218='Loan Prepayment'!$E$11,IF('Loan Prepayment'!$E$13="Keep tenure, recalculate EMI",-PMT(AI218/1200,MAX(1,'Loan Prepayment'!$B$7*12-AG218+1),AH218),IF(AND('Loan Prepayment'!$E$15="Reduce EMI",AM217&gt;0),-PMT(AI217/1200,MAX(1,'Loan Prepayment'!$B$7*12-AG218+1),AH218),AJ217)),IF(AND('Loan Prepayment'!$E$15="Reduce EMI",AM217&gt;0),-PMT(AI218/1200,MAX(1,'Loan Prepayment'!$B$7*12-AG218+1),AH218),AJ217)),AH218+AK218))</f>
        <v>67460.316473241648</v>
      </c>
      <c r="AK218">
        <f t="shared" si="76"/>
        <v>2327.1983136554627</v>
      </c>
      <c r="AL218">
        <f t="shared" si="77"/>
        <v>65133.118159586185</v>
      </c>
      <c r="AM218">
        <f>IF(AH218&lt;=0,0,MIN(MAX(0,AH218-AL218),SUMIFS('Loan Prepayment'!$B$12:$B$31,'Loan Prepayment'!$A$12:$A$31,AG218)+IF(AND(AG218&gt;='Loan Prepayment'!$B$9,AG218&lt;='Loan Prepayment'!$E$16),'Loan Prepayment'!$B$8,0)))</f>
        <v>0</v>
      </c>
      <c r="AN218">
        <f t="shared" si="78"/>
        <v>364503.49359219149</v>
      </c>
    </row>
    <row r="219" spans="1:40" x14ac:dyDescent="0.35">
      <c r="A219">
        <v>218</v>
      </c>
      <c r="B219">
        <f t="shared" si="79"/>
        <v>1720852.8785000048</v>
      </c>
      <c r="C219" s="64">
        <f>'Loan Prepayment'!$B$6</f>
        <v>7.5</v>
      </c>
      <c r="D219">
        <f>IF(B219&lt;=0,0,MIN(-PMT('Loan Prepayment'!$B$6/1200,'Loan Prepayment'!$B$7*12,'Loan Prepayment'!$B$5),B219+E219))</f>
        <v>80559.31935518072</v>
      </c>
      <c r="E219">
        <f t="shared" si="63"/>
        <v>10755.330490625031</v>
      </c>
      <c r="F219">
        <f t="shared" si="64"/>
        <v>69803.988864555693</v>
      </c>
      <c r="G219">
        <v>0</v>
      </c>
      <c r="H219">
        <f t="shared" si="65"/>
        <v>1651048.889635449</v>
      </c>
      <c r="I219">
        <v>218</v>
      </c>
      <c r="J219">
        <f t="shared" si="80"/>
        <v>1441040.9710100447</v>
      </c>
      <c r="K219" s="64">
        <f>'Loan Prepayment'!$B$6</f>
        <v>7.5</v>
      </c>
      <c r="L219">
        <f>IF(J219&lt;=0,0,MIN(IF(AND('Loan Prepayment'!$E$15="Reduce EMI",O218&gt;0),-PMT(K219/1200,MAX(1,'Loan Prepayment'!$B$7*12-I219+1),J219),L218),J219+M219))</f>
        <v>67460.316473241648</v>
      </c>
      <c r="M219">
        <f t="shared" si="66"/>
        <v>9006.5060688127796</v>
      </c>
      <c r="N219">
        <f t="shared" si="67"/>
        <v>58453.81040442887</v>
      </c>
      <c r="O219">
        <f>IF(J219&lt;=0,0,MIN(MAX(0,J219-N219),SUMIFS('Loan Prepayment'!$B$12:$B$31,'Loan Prepayment'!$A$12:$A$31,I219)+0))</f>
        <v>0</v>
      </c>
      <c r="P219">
        <f t="shared" si="68"/>
        <v>1382587.1606056157</v>
      </c>
      <c r="Q219">
        <v>218</v>
      </c>
      <c r="R219">
        <f t="shared" si="81"/>
        <v>1720852.8785000048</v>
      </c>
      <c r="S219" s="64">
        <f>'Loan Prepayment'!$B$6</f>
        <v>7.5</v>
      </c>
      <c r="T219">
        <f>IF(R219&lt;=0,0,MIN(IF(AND('Loan Prepayment'!$E$15="Reduce EMI",W218&gt;0),-PMT(S219/1200,MAX(1,'Loan Prepayment'!$B$7*12-Q219+1),R219),T218),R219+U219))</f>
        <v>80559.31935518072</v>
      </c>
      <c r="U219">
        <f t="shared" si="69"/>
        <v>10755.330490625031</v>
      </c>
      <c r="V219">
        <f t="shared" si="70"/>
        <v>69803.988864555693</v>
      </c>
      <c r="W219">
        <f>IF(R219&lt;=0,0,MIN(MAX(0,R219-V219),0+IF(AND(Q219&gt;='Loan Prepayment'!$B$9,Q219&lt;='Loan Prepayment'!$E$16),'Loan Prepayment'!$B$8,0)))</f>
        <v>0</v>
      </c>
      <c r="X219">
        <f t="shared" si="71"/>
        <v>1651048.889635449</v>
      </c>
      <c r="Y219">
        <v>218</v>
      </c>
      <c r="Z219">
        <f t="shared" si="82"/>
        <v>435280.39715053362</v>
      </c>
      <c r="AA219">
        <f>IF(Y219&gt;='Loan Prepayment'!$E$11,'Loan Prepayment'!$E$12,'Loan Prepayment'!$B$6)</f>
        <v>6.5</v>
      </c>
      <c r="AB219">
        <f>IF(Z219&lt;=0,0,MIN(IF(Y219='Loan Prepayment'!$E$11,IF('Loan Prepayment'!$E$13="Keep tenure, recalculate EMI",-PMT(AA219/1200,MAX(1,'Loan Prepayment'!$B$7*12-Y219+1),Z219),AB218),AB218),Z219+AC219))</f>
        <v>80559.31935518072</v>
      </c>
      <c r="AC219">
        <f t="shared" si="72"/>
        <v>2357.7688178987237</v>
      </c>
      <c r="AD219">
        <f t="shared" si="73"/>
        <v>78201.55053728199</v>
      </c>
      <c r="AE219">
        <f t="shared" si="74"/>
        <v>0</v>
      </c>
      <c r="AF219">
        <f t="shared" si="75"/>
        <v>357078.8466132516</v>
      </c>
      <c r="AG219">
        <v>218</v>
      </c>
      <c r="AH219">
        <f t="shared" si="83"/>
        <v>364503.49359219149</v>
      </c>
      <c r="AI219">
        <f>IF(AG219&gt;='Loan Prepayment'!$E$11,'Loan Prepayment'!$E$12,'Loan Prepayment'!$B$6)</f>
        <v>6.5</v>
      </c>
      <c r="AJ219">
        <f>IF(AH219&lt;=0,0,MIN(IF(AG219='Loan Prepayment'!$E$11,IF('Loan Prepayment'!$E$13="Keep tenure, recalculate EMI",-PMT(AI219/1200,MAX(1,'Loan Prepayment'!$B$7*12-AG219+1),AH219),IF(AND('Loan Prepayment'!$E$15="Reduce EMI",AM218&gt;0),-PMT(AI218/1200,MAX(1,'Loan Prepayment'!$B$7*12-AG219+1),AH219),AJ218)),IF(AND('Loan Prepayment'!$E$15="Reduce EMI",AM218&gt;0),-PMT(AI219/1200,MAX(1,'Loan Prepayment'!$B$7*12-AG219+1),AH219),AJ218)),AH219+AK219))</f>
        <v>67460.316473241648</v>
      </c>
      <c r="AK219">
        <f t="shared" si="76"/>
        <v>1974.3939236243705</v>
      </c>
      <c r="AL219">
        <f t="shared" si="77"/>
        <v>65485.92254961728</v>
      </c>
      <c r="AM219">
        <f>IF(AH219&lt;=0,0,MIN(MAX(0,AH219-AL219),SUMIFS('Loan Prepayment'!$B$12:$B$31,'Loan Prepayment'!$A$12:$A$31,AG219)+IF(AND(AG219&gt;='Loan Prepayment'!$B$9,AG219&lt;='Loan Prepayment'!$E$16),'Loan Prepayment'!$B$8,0)))</f>
        <v>0</v>
      </c>
      <c r="AN219">
        <f t="shared" si="78"/>
        <v>299017.57104257419</v>
      </c>
    </row>
    <row r="220" spans="1:40" x14ac:dyDescent="0.35">
      <c r="A220">
        <v>219</v>
      </c>
      <c r="B220">
        <f t="shared" si="79"/>
        <v>1651048.889635449</v>
      </c>
      <c r="C220" s="64">
        <f>'Loan Prepayment'!$B$6</f>
        <v>7.5</v>
      </c>
      <c r="D220">
        <f>IF(B220&lt;=0,0,MIN(-PMT('Loan Prepayment'!$B$6/1200,'Loan Prepayment'!$B$7*12,'Loan Prepayment'!$B$5),B220+E220))</f>
        <v>80559.31935518072</v>
      </c>
      <c r="E220">
        <f t="shared" si="63"/>
        <v>10319.055560221557</v>
      </c>
      <c r="F220">
        <f t="shared" si="64"/>
        <v>70240.263794959159</v>
      </c>
      <c r="G220">
        <v>0</v>
      </c>
      <c r="H220">
        <f t="shared" si="65"/>
        <v>1580808.62584049</v>
      </c>
      <c r="I220">
        <v>219</v>
      </c>
      <c r="J220">
        <f t="shared" si="80"/>
        <v>1382587.1606056157</v>
      </c>
      <c r="K220" s="64">
        <f>'Loan Prepayment'!$B$6</f>
        <v>7.5</v>
      </c>
      <c r="L220">
        <f>IF(J220&lt;=0,0,MIN(IF(AND('Loan Prepayment'!$E$15="Reduce EMI",O219&gt;0),-PMT(K220/1200,MAX(1,'Loan Prepayment'!$B$7*12-I220+1),J220),L219),J220+M220))</f>
        <v>67460.316473241648</v>
      </c>
      <c r="M220">
        <f t="shared" si="66"/>
        <v>8641.1697537850978</v>
      </c>
      <c r="N220">
        <f t="shared" si="67"/>
        <v>58819.146719456548</v>
      </c>
      <c r="O220">
        <f>IF(J220&lt;=0,0,MIN(MAX(0,J220-N220),SUMIFS('Loan Prepayment'!$B$12:$B$31,'Loan Prepayment'!$A$12:$A$31,I220)+0))</f>
        <v>0</v>
      </c>
      <c r="P220">
        <f t="shared" si="68"/>
        <v>1323768.0138861591</v>
      </c>
      <c r="Q220">
        <v>219</v>
      </c>
      <c r="R220">
        <f t="shared" si="81"/>
        <v>1651048.889635449</v>
      </c>
      <c r="S220" s="64">
        <f>'Loan Prepayment'!$B$6</f>
        <v>7.5</v>
      </c>
      <c r="T220">
        <f>IF(R220&lt;=0,0,MIN(IF(AND('Loan Prepayment'!$E$15="Reduce EMI",W219&gt;0),-PMT(S220/1200,MAX(1,'Loan Prepayment'!$B$7*12-Q220+1),R220),T219),R220+U220))</f>
        <v>80559.31935518072</v>
      </c>
      <c r="U220">
        <f t="shared" si="69"/>
        <v>10319.055560221557</v>
      </c>
      <c r="V220">
        <f t="shared" si="70"/>
        <v>70240.263794959159</v>
      </c>
      <c r="W220">
        <f>IF(R220&lt;=0,0,MIN(MAX(0,R220-V220),0+IF(AND(Q220&gt;='Loan Prepayment'!$B$9,Q220&lt;='Loan Prepayment'!$E$16),'Loan Prepayment'!$B$8,0)))</f>
        <v>0</v>
      </c>
      <c r="X220">
        <f t="shared" si="71"/>
        <v>1580808.62584049</v>
      </c>
      <c r="Y220">
        <v>219</v>
      </c>
      <c r="Z220">
        <f t="shared" si="82"/>
        <v>357078.8466132516</v>
      </c>
      <c r="AA220">
        <f>IF(Y220&gt;='Loan Prepayment'!$E$11,'Loan Prepayment'!$E$12,'Loan Prepayment'!$B$6)</f>
        <v>6.5</v>
      </c>
      <c r="AB220">
        <f>IF(Z220&lt;=0,0,MIN(IF(Y220='Loan Prepayment'!$E$11,IF('Loan Prepayment'!$E$13="Keep tenure, recalculate EMI",-PMT(AA220/1200,MAX(1,'Loan Prepayment'!$B$7*12-Y220+1),Z220),AB219),AB219),Z220+AC220))</f>
        <v>80559.31935518072</v>
      </c>
      <c r="AC220">
        <f t="shared" si="72"/>
        <v>1934.1770858217794</v>
      </c>
      <c r="AD220">
        <f t="shared" si="73"/>
        <v>78625.142269358941</v>
      </c>
      <c r="AE220">
        <f t="shared" si="74"/>
        <v>0</v>
      </c>
      <c r="AF220">
        <f t="shared" si="75"/>
        <v>278453.70434389263</v>
      </c>
      <c r="AG220">
        <v>219</v>
      </c>
      <c r="AH220">
        <f t="shared" si="83"/>
        <v>299017.57104257419</v>
      </c>
      <c r="AI220">
        <f>IF(AG220&gt;='Loan Prepayment'!$E$11,'Loan Prepayment'!$E$12,'Loan Prepayment'!$B$6)</f>
        <v>6.5</v>
      </c>
      <c r="AJ220">
        <f>IF(AH220&lt;=0,0,MIN(IF(AG220='Loan Prepayment'!$E$11,IF('Loan Prepayment'!$E$13="Keep tenure, recalculate EMI",-PMT(AI220/1200,MAX(1,'Loan Prepayment'!$B$7*12-AG220+1),AH220),IF(AND('Loan Prepayment'!$E$15="Reduce EMI",AM219&gt;0),-PMT(AI219/1200,MAX(1,'Loan Prepayment'!$B$7*12-AG220+1),AH220),AJ219)),IF(AND('Loan Prepayment'!$E$15="Reduce EMI",AM219&gt;0),-PMT(AI220/1200,MAX(1,'Loan Prepayment'!$B$7*12-AG220+1),AH220),AJ219)),AH220+AK220))</f>
        <v>67460.316473241648</v>
      </c>
      <c r="AK220">
        <f t="shared" si="76"/>
        <v>1619.6785098139435</v>
      </c>
      <c r="AL220">
        <f t="shared" si="77"/>
        <v>65840.637963427711</v>
      </c>
      <c r="AM220">
        <f>IF(AH220&lt;=0,0,MIN(MAX(0,AH220-AL220),SUMIFS('Loan Prepayment'!$B$12:$B$31,'Loan Prepayment'!$A$12:$A$31,AG220)+IF(AND(AG220&gt;='Loan Prepayment'!$B$9,AG220&lt;='Loan Prepayment'!$E$16),'Loan Prepayment'!$B$8,0)))</f>
        <v>0</v>
      </c>
      <c r="AN220">
        <f t="shared" si="78"/>
        <v>233176.93307914649</v>
      </c>
    </row>
    <row r="221" spans="1:40" x14ac:dyDescent="0.35">
      <c r="A221">
        <v>220</v>
      </c>
      <c r="B221">
        <f t="shared" si="79"/>
        <v>1580808.62584049</v>
      </c>
      <c r="C221" s="64">
        <f>'Loan Prepayment'!$B$6</f>
        <v>7.5</v>
      </c>
      <c r="D221">
        <f>IF(B221&lt;=0,0,MIN(-PMT('Loan Prepayment'!$B$6/1200,'Loan Prepayment'!$B$7*12,'Loan Prepayment'!$B$5),B221+E221))</f>
        <v>80559.31935518072</v>
      </c>
      <c r="E221">
        <f t="shared" si="63"/>
        <v>9880.0539115030624</v>
      </c>
      <c r="F221">
        <f t="shared" si="64"/>
        <v>70679.265443677665</v>
      </c>
      <c r="G221">
        <v>0</v>
      </c>
      <c r="H221">
        <f t="shared" si="65"/>
        <v>1510129.3603968122</v>
      </c>
      <c r="I221">
        <v>220</v>
      </c>
      <c r="J221">
        <f t="shared" si="80"/>
        <v>1323768.0138861591</v>
      </c>
      <c r="K221" s="64">
        <f>'Loan Prepayment'!$B$6</f>
        <v>7.5</v>
      </c>
      <c r="L221">
        <f>IF(J221&lt;=0,0,MIN(IF(AND('Loan Prepayment'!$E$15="Reduce EMI",O220&gt;0),-PMT(K221/1200,MAX(1,'Loan Prepayment'!$B$7*12-I221+1),J221),L220),J221+M221))</f>
        <v>67460.316473241648</v>
      </c>
      <c r="M221">
        <f t="shared" si="66"/>
        <v>8273.5500867884948</v>
      </c>
      <c r="N221">
        <f t="shared" si="67"/>
        <v>59186.76638645315</v>
      </c>
      <c r="O221">
        <f>IF(J221&lt;=0,0,MIN(MAX(0,J221-N221),SUMIFS('Loan Prepayment'!$B$12:$B$31,'Loan Prepayment'!$A$12:$A$31,I221)+0))</f>
        <v>0</v>
      </c>
      <c r="P221">
        <f t="shared" si="68"/>
        <v>1264581.247499706</v>
      </c>
      <c r="Q221">
        <v>220</v>
      </c>
      <c r="R221">
        <f t="shared" si="81"/>
        <v>1580808.62584049</v>
      </c>
      <c r="S221" s="64">
        <f>'Loan Prepayment'!$B$6</f>
        <v>7.5</v>
      </c>
      <c r="T221">
        <f>IF(R221&lt;=0,0,MIN(IF(AND('Loan Prepayment'!$E$15="Reduce EMI",W220&gt;0),-PMT(S221/1200,MAX(1,'Loan Prepayment'!$B$7*12-Q221+1),R221),T220),R221+U221))</f>
        <v>80559.31935518072</v>
      </c>
      <c r="U221">
        <f t="shared" si="69"/>
        <v>9880.0539115030624</v>
      </c>
      <c r="V221">
        <f t="shared" si="70"/>
        <v>70679.265443677665</v>
      </c>
      <c r="W221">
        <f>IF(R221&lt;=0,0,MIN(MAX(0,R221-V221),0+IF(AND(Q221&gt;='Loan Prepayment'!$B$9,Q221&lt;='Loan Prepayment'!$E$16),'Loan Prepayment'!$B$8,0)))</f>
        <v>0</v>
      </c>
      <c r="X221">
        <f t="shared" si="71"/>
        <v>1510129.3603968122</v>
      </c>
      <c r="Y221">
        <v>220</v>
      </c>
      <c r="Z221">
        <f t="shared" si="82"/>
        <v>278453.70434389263</v>
      </c>
      <c r="AA221">
        <f>IF(Y221&gt;='Loan Prepayment'!$E$11,'Loan Prepayment'!$E$12,'Loan Prepayment'!$B$6)</f>
        <v>6.5</v>
      </c>
      <c r="AB221">
        <f>IF(Z221&lt;=0,0,MIN(IF(Y221='Loan Prepayment'!$E$11,IF('Loan Prepayment'!$E$13="Keep tenure, recalculate EMI",-PMT(AA221/1200,MAX(1,'Loan Prepayment'!$B$7*12-Y221+1),Z221),AB220),AB220),Z221+AC221))</f>
        <v>80559.31935518072</v>
      </c>
      <c r="AC221">
        <f t="shared" si="72"/>
        <v>1508.2908985294184</v>
      </c>
      <c r="AD221">
        <f t="shared" si="73"/>
        <v>79051.0284566513</v>
      </c>
      <c r="AE221">
        <f t="shared" si="74"/>
        <v>0</v>
      </c>
      <c r="AF221">
        <f t="shared" si="75"/>
        <v>199402.67588724132</v>
      </c>
      <c r="AG221">
        <v>220</v>
      </c>
      <c r="AH221">
        <f t="shared" si="83"/>
        <v>233176.93307914649</v>
      </c>
      <c r="AI221">
        <f>IF(AG221&gt;='Loan Prepayment'!$E$11,'Loan Prepayment'!$E$12,'Loan Prepayment'!$B$6)</f>
        <v>6.5</v>
      </c>
      <c r="AJ221">
        <f>IF(AH221&lt;=0,0,MIN(IF(AG221='Loan Prepayment'!$E$11,IF('Loan Prepayment'!$E$13="Keep tenure, recalculate EMI",-PMT(AI221/1200,MAX(1,'Loan Prepayment'!$B$7*12-AG221+1),AH221),IF(AND('Loan Prepayment'!$E$15="Reduce EMI",AM220&gt;0),-PMT(AI220/1200,MAX(1,'Loan Prepayment'!$B$7*12-AG221+1),AH221),AJ220)),IF(AND('Loan Prepayment'!$E$15="Reduce EMI",AM220&gt;0),-PMT(AI221/1200,MAX(1,'Loan Prepayment'!$B$7*12-AG221+1),AH221),AJ220)),AH221+AK221))</f>
        <v>67460.316473241648</v>
      </c>
      <c r="AK221">
        <f t="shared" si="76"/>
        <v>1263.0417208453769</v>
      </c>
      <c r="AL221">
        <f t="shared" si="77"/>
        <v>66197.274752396275</v>
      </c>
      <c r="AM221">
        <f>IF(AH221&lt;=0,0,MIN(MAX(0,AH221-AL221),SUMIFS('Loan Prepayment'!$B$12:$B$31,'Loan Prepayment'!$A$12:$A$31,AG221)+IF(AND(AG221&gt;='Loan Prepayment'!$B$9,AG221&lt;='Loan Prepayment'!$E$16),'Loan Prepayment'!$B$8,0)))</f>
        <v>0</v>
      </c>
      <c r="AN221">
        <f t="shared" si="78"/>
        <v>166979.65832675021</v>
      </c>
    </row>
    <row r="222" spans="1:40" x14ac:dyDescent="0.35">
      <c r="A222">
        <v>221</v>
      </c>
      <c r="B222">
        <f t="shared" si="79"/>
        <v>1510129.3603968122</v>
      </c>
      <c r="C222" s="64">
        <f>'Loan Prepayment'!$B$6</f>
        <v>7.5</v>
      </c>
      <c r="D222">
        <f>IF(B222&lt;=0,0,MIN(-PMT('Loan Prepayment'!$B$6/1200,'Loan Prepayment'!$B$7*12,'Loan Prepayment'!$B$5),B222+E222))</f>
        <v>80559.31935518072</v>
      </c>
      <c r="E222">
        <f t="shared" si="63"/>
        <v>9438.3085024800748</v>
      </c>
      <c r="F222">
        <f t="shared" si="64"/>
        <v>71121.010852700652</v>
      </c>
      <c r="G222">
        <v>0</v>
      </c>
      <c r="H222">
        <f t="shared" si="65"/>
        <v>1439008.3495441116</v>
      </c>
      <c r="I222">
        <v>221</v>
      </c>
      <c r="J222">
        <f t="shared" si="80"/>
        <v>1264581.247499706</v>
      </c>
      <c r="K222" s="64">
        <f>'Loan Prepayment'!$B$6</f>
        <v>7.5</v>
      </c>
      <c r="L222">
        <f>IF(J222&lt;=0,0,MIN(IF(AND('Loan Prepayment'!$E$15="Reduce EMI",O221&gt;0),-PMT(K222/1200,MAX(1,'Loan Prepayment'!$B$7*12-I222+1),J222),L221),J222+M222))</f>
        <v>67460.316473241648</v>
      </c>
      <c r="M222">
        <f t="shared" si="66"/>
        <v>7903.632796873163</v>
      </c>
      <c r="N222">
        <f t="shared" si="67"/>
        <v>59556.683676368484</v>
      </c>
      <c r="O222">
        <f>IF(J222&lt;=0,0,MIN(MAX(0,J222-N222),SUMIFS('Loan Prepayment'!$B$12:$B$31,'Loan Prepayment'!$A$12:$A$31,I222)+0))</f>
        <v>0</v>
      </c>
      <c r="P222">
        <f t="shared" si="68"/>
        <v>1205024.5638233374</v>
      </c>
      <c r="Q222">
        <v>221</v>
      </c>
      <c r="R222">
        <f t="shared" si="81"/>
        <v>1510129.3603968122</v>
      </c>
      <c r="S222" s="64">
        <f>'Loan Prepayment'!$B$6</f>
        <v>7.5</v>
      </c>
      <c r="T222">
        <f>IF(R222&lt;=0,0,MIN(IF(AND('Loan Prepayment'!$E$15="Reduce EMI",W221&gt;0),-PMT(S222/1200,MAX(1,'Loan Prepayment'!$B$7*12-Q222+1),R222),T221),R222+U222))</f>
        <v>80559.31935518072</v>
      </c>
      <c r="U222">
        <f t="shared" si="69"/>
        <v>9438.3085024800748</v>
      </c>
      <c r="V222">
        <f t="shared" si="70"/>
        <v>71121.010852700652</v>
      </c>
      <c r="W222">
        <f>IF(R222&lt;=0,0,MIN(MAX(0,R222-V222),0+IF(AND(Q222&gt;='Loan Prepayment'!$B$9,Q222&lt;='Loan Prepayment'!$E$16),'Loan Prepayment'!$B$8,0)))</f>
        <v>0</v>
      </c>
      <c r="X222">
        <f t="shared" si="71"/>
        <v>1439008.3495441116</v>
      </c>
      <c r="Y222">
        <v>221</v>
      </c>
      <c r="Z222">
        <f t="shared" si="82"/>
        <v>199402.67588724132</v>
      </c>
      <c r="AA222">
        <f>IF(Y222&gt;='Loan Prepayment'!$E$11,'Loan Prepayment'!$E$12,'Loan Prepayment'!$B$6)</f>
        <v>6.5</v>
      </c>
      <c r="AB222">
        <f>IF(Z222&lt;=0,0,MIN(IF(Y222='Loan Prepayment'!$E$11,IF('Loan Prepayment'!$E$13="Keep tenure, recalculate EMI",-PMT(AA222/1200,MAX(1,'Loan Prepayment'!$B$7*12-Y222+1),Z222),AB221),AB221),Z222+AC222))</f>
        <v>80559.31935518072</v>
      </c>
      <c r="AC222">
        <f t="shared" si="72"/>
        <v>1080.0978277225572</v>
      </c>
      <c r="AD222">
        <f t="shared" si="73"/>
        <v>79479.221527458169</v>
      </c>
      <c r="AE222">
        <f t="shared" si="74"/>
        <v>0</v>
      </c>
      <c r="AF222">
        <f t="shared" si="75"/>
        <v>119923.45435978315</v>
      </c>
      <c r="AG222">
        <v>221</v>
      </c>
      <c r="AH222">
        <f t="shared" si="83"/>
        <v>166979.65832675021</v>
      </c>
      <c r="AI222">
        <f>IF(AG222&gt;='Loan Prepayment'!$E$11,'Loan Prepayment'!$E$12,'Loan Prepayment'!$B$6)</f>
        <v>6.5</v>
      </c>
      <c r="AJ222">
        <f>IF(AH222&lt;=0,0,MIN(IF(AG222='Loan Prepayment'!$E$11,IF('Loan Prepayment'!$E$13="Keep tenure, recalculate EMI",-PMT(AI222/1200,MAX(1,'Loan Prepayment'!$B$7*12-AG222+1),AH222),IF(AND('Loan Prepayment'!$E$15="Reduce EMI",AM221&gt;0),-PMT(AI221/1200,MAX(1,'Loan Prepayment'!$B$7*12-AG222+1),AH222),AJ221)),IF(AND('Loan Prepayment'!$E$15="Reduce EMI",AM221&gt;0),-PMT(AI222/1200,MAX(1,'Loan Prepayment'!$B$7*12-AG222+1),AH222),AJ221)),AH222+AK222))</f>
        <v>67460.316473241648</v>
      </c>
      <c r="AK222">
        <f t="shared" si="76"/>
        <v>904.47314926989702</v>
      </c>
      <c r="AL222">
        <f t="shared" si="77"/>
        <v>66555.843323971756</v>
      </c>
      <c r="AM222">
        <f>IF(AH222&lt;=0,0,MIN(MAX(0,AH222-AL222),SUMIFS('Loan Prepayment'!$B$12:$B$31,'Loan Prepayment'!$A$12:$A$31,AG222)+IF(AND(AG222&gt;='Loan Prepayment'!$B$9,AG222&lt;='Loan Prepayment'!$E$16),'Loan Prepayment'!$B$8,0)))</f>
        <v>0</v>
      </c>
      <c r="AN222">
        <f t="shared" si="78"/>
        <v>100423.81500277846</v>
      </c>
    </row>
    <row r="223" spans="1:40" x14ac:dyDescent="0.35">
      <c r="A223">
        <v>222</v>
      </c>
      <c r="B223">
        <f t="shared" si="79"/>
        <v>1439008.3495441116</v>
      </c>
      <c r="C223" s="64">
        <f>'Loan Prepayment'!$B$6</f>
        <v>7.5</v>
      </c>
      <c r="D223">
        <f>IF(B223&lt;=0,0,MIN(-PMT('Loan Prepayment'!$B$6/1200,'Loan Prepayment'!$B$7*12,'Loan Prepayment'!$B$5),B223+E223))</f>
        <v>80559.31935518072</v>
      </c>
      <c r="E223">
        <f t="shared" si="63"/>
        <v>8993.8021846506981</v>
      </c>
      <c r="F223">
        <f t="shared" si="64"/>
        <v>71565.517170530016</v>
      </c>
      <c r="G223">
        <v>0</v>
      </c>
      <c r="H223">
        <f t="shared" si="65"/>
        <v>1367442.8323735816</v>
      </c>
      <c r="I223">
        <v>222</v>
      </c>
      <c r="J223">
        <f t="shared" si="80"/>
        <v>1205024.5638233374</v>
      </c>
      <c r="K223" s="64">
        <f>'Loan Prepayment'!$B$6</f>
        <v>7.5</v>
      </c>
      <c r="L223">
        <f>IF(J223&lt;=0,0,MIN(IF(AND('Loan Prepayment'!$E$15="Reduce EMI",O222&gt;0),-PMT(K223/1200,MAX(1,'Loan Prepayment'!$B$7*12-I223+1),J223),L222),J223+M223))</f>
        <v>67460.316473241648</v>
      </c>
      <c r="M223">
        <f t="shared" si="66"/>
        <v>7531.4035238958586</v>
      </c>
      <c r="N223">
        <f t="shared" si="67"/>
        <v>59928.912949345788</v>
      </c>
      <c r="O223">
        <f>IF(J223&lt;=0,0,MIN(MAX(0,J223-N223),SUMIFS('Loan Prepayment'!$B$12:$B$31,'Loan Prepayment'!$A$12:$A$31,I223)+0))</f>
        <v>0</v>
      </c>
      <c r="P223">
        <f t="shared" si="68"/>
        <v>1145095.6508739917</v>
      </c>
      <c r="Q223">
        <v>222</v>
      </c>
      <c r="R223">
        <f t="shared" si="81"/>
        <v>1439008.3495441116</v>
      </c>
      <c r="S223" s="64">
        <f>'Loan Prepayment'!$B$6</f>
        <v>7.5</v>
      </c>
      <c r="T223">
        <f>IF(R223&lt;=0,0,MIN(IF(AND('Loan Prepayment'!$E$15="Reduce EMI",W222&gt;0),-PMT(S223/1200,MAX(1,'Loan Prepayment'!$B$7*12-Q223+1),R223),T222),R223+U223))</f>
        <v>80559.31935518072</v>
      </c>
      <c r="U223">
        <f t="shared" si="69"/>
        <v>8993.8021846506981</v>
      </c>
      <c r="V223">
        <f t="shared" si="70"/>
        <v>71565.517170530016</v>
      </c>
      <c r="W223">
        <f>IF(R223&lt;=0,0,MIN(MAX(0,R223-V223),0+IF(AND(Q223&gt;='Loan Prepayment'!$B$9,Q223&lt;='Loan Prepayment'!$E$16),'Loan Prepayment'!$B$8,0)))</f>
        <v>0</v>
      </c>
      <c r="X223">
        <f t="shared" si="71"/>
        <v>1367442.8323735816</v>
      </c>
      <c r="Y223">
        <v>222</v>
      </c>
      <c r="Z223">
        <f t="shared" si="82"/>
        <v>119923.45435978315</v>
      </c>
      <c r="AA223">
        <f>IF(Y223&gt;='Loan Prepayment'!$E$11,'Loan Prepayment'!$E$12,'Loan Prepayment'!$B$6)</f>
        <v>6.5</v>
      </c>
      <c r="AB223">
        <f>IF(Z223&lt;=0,0,MIN(IF(Y223='Loan Prepayment'!$E$11,IF('Loan Prepayment'!$E$13="Keep tenure, recalculate EMI",-PMT(AA223/1200,MAX(1,'Loan Prepayment'!$B$7*12-Y223+1),Z223),AB222),AB222),Z223+AC223))</f>
        <v>80559.31935518072</v>
      </c>
      <c r="AC223">
        <f t="shared" si="72"/>
        <v>649.58537778215873</v>
      </c>
      <c r="AD223">
        <f t="shared" si="73"/>
        <v>79909.733977398559</v>
      </c>
      <c r="AE223">
        <f t="shared" si="74"/>
        <v>0</v>
      </c>
      <c r="AF223">
        <f t="shared" si="75"/>
        <v>40013.720382384592</v>
      </c>
      <c r="AG223">
        <v>222</v>
      </c>
      <c r="AH223">
        <f t="shared" si="83"/>
        <v>100423.81500277846</v>
      </c>
      <c r="AI223">
        <f>IF(AG223&gt;='Loan Prepayment'!$E$11,'Loan Prepayment'!$E$12,'Loan Prepayment'!$B$6)</f>
        <v>6.5</v>
      </c>
      <c r="AJ223">
        <f>IF(AH223&lt;=0,0,MIN(IF(AG223='Loan Prepayment'!$E$11,IF('Loan Prepayment'!$E$13="Keep tenure, recalculate EMI",-PMT(AI223/1200,MAX(1,'Loan Prepayment'!$B$7*12-AG223+1),AH223),IF(AND('Loan Prepayment'!$E$15="Reduce EMI",AM222&gt;0),-PMT(AI222/1200,MAX(1,'Loan Prepayment'!$B$7*12-AG223+1),AH223),AJ222)),IF(AND('Loan Prepayment'!$E$15="Reduce EMI",AM222&gt;0),-PMT(AI223/1200,MAX(1,'Loan Prepayment'!$B$7*12-AG223+1),AH223),AJ222)),AH223+AK223))</f>
        <v>67460.316473241648</v>
      </c>
      <c r="AK223">
        <f t="shared" si="76"/>
        <v>543.96233126505001</v>
      </c>
      <c r="AL223">
        <f t="shared" si="77"/>
        <v>66916.354141976597</v>
      </c>
      <c r="AM223">
        <f>IF(AH223&lt;=0,0,MIN(MAX(0,AH223-AL223),SUMIFS('Loan Prepayment'!$B$12:$B$31,'Loan Prepayment'!$A$12:$A$31,AG223)+IF(AND(AG223&gt;='Loan Prepayment'!$B$9,AG223&lt;='Loan Prepayment'!$E$16),'Loan Prepayment'!$B$8,0)))</f>
        <v>0</v>
      </c>
      <c r="AN223">
        <f t="shared" si="78"/>
        <v>33507.460860801861</v>
      </c>
    </row>
    <row r="224" spans="1:40" x14ac:dyDescent="0.35">
      <c r="A224">
        <v>223</v>
      </c>
      <c r="B224">
        <f t="shared" si="79"/>
        <v>1367442.8323735816</v>
      </c>
      <c r="C224" s="64">
        <f>'Loan Prepayment'!$B$6</f>
        <v>7.5</v>
      </c>
      <c r="D224">
        <f>IF(B224&lt;=0,0,MIN(-PMT('Loan Prepayment'!$B$6/1200,'Loan Prepayment'!$B$7*12,'Loan Prepayment'!$B$5),B224+E224))</f>
        <v>80559.31935518072</v>
      </c>
      <c r="E224">
        <f t="shared" si="63"/>
        <v>8546.5177023348842</v>
      </c>
      <c r="F224">
        <f t="shared" si="64"/>
        <v>72012.801652845839</v>
      </c>
      <c r="G224">
        <v>0</v>
      </c>
      <c r="H224">
        <f t="shared" si="65"/>
        <v>1295430.0307207357</v>
      </c>
      <c r="I224">
        <v>223</v>
      </c>
      <c r="J224">
        <f t="shared" si="80"/>
        <v>1145095.6508739917</v>
      </c>
      <c r="K224" s="64">
        <f>'Loan Prepayment'!$B$6</f>
        <v>7.5</v>
      </c>
      <c r="L224">
        <f>IF(J224&lt;=0,0,MIN(IF(AND('Loan Prepayment'!$E$15="Reduce EMI",O223&gt;0),-PMT(K224/1200,MAX(1,'Loan Prepayment'!$B$7*12-I224+1),J224),L223),J224+M224))</f>
        <v>67460.316473241648</v>
      </c>
      <c r="M224">
        <f t="shared" si="66"/>
        <v>7156.8478179624472</v>
      </c>
      <c r="N224">
        <f t="shared" si="67"/>
        <v>60303.468655279197</v>
      </c>
      <c r="O224">
        <f>IF(J224&lt;=0,0,MIN(MAX(0,J224-N224),SUMIFS('Loan Prepayment'!$B$12:$B$31,'Loan Prepayment'!$A$12:$A$31,I224)+0))</f>
        <v>0</v>
      </c>
      <c r="P224">
        <f t="shared" si="68"/>
        <v>1084792.1822187125</v>
      </c>
      <c r="Q224">
        <v>223</v>
      </c>
      <c r="R224">
        <f t="shared" si="81"/>
        <v>1367442.8323735816</v>
      </c>
      <c r="S224" s="64">
        <f>'Loan Prepayment'!$B$6</f>
        <v>7.5</v>
      </c>
      <c r="T224">
        <f>IF(R224&lt;=0,0,MIN(IF(AND('Loan Prepayment'!$E$15="Reduce EMI",W223&gt;0),-PMT(S224/1200,MAX(1,'Loan Prepayment'!$B$7*12-Q224+1),R224),T223),R224+U224))</f>
        <v>80559.31935518072</v>
      </c>
      <c r="U224">
        <f t="shared" si="69"/>
        <v>8546.5177023348842</v>
      </c>
      <c r="V224">
        <f t="shared" si="70"/>
        <v>72012.801652845839</v>
      </c>
      <c r="W224">
        <f>IF(R224&lt;=0,0,MIN(MAX(0,R224-V224),0+IF(AND(Q224&gt;='Loan Prepayment'!$B$9,Q224&lt;='Loan Prepayment'!$E$16),'Loan Prepayment'!$B$8,0)))</f>
        <v>0</v>
      </c>
      <c r="X224">
        <f t="shared" si="71"/>
        <v>1295430.0307207357</v>
      </c>
      <c r="Y224">
        <v>223</v>
      </c>
      <c r="Z224">
        <f t="shared" si="82"/>
        <v>40013.720382384592</v>
      </c>
      <c r="AA224">
        <f>IF(Y224&gt;='Loan Prepayment'!$E$11,'Loan Prepayment'!$E$12,'Loan Prepayment'!$B$6)</f>
        <v>6.5</v>
      </c>
      <c r="AB224">
        <f>IF(Z224&lt;=0,0,MIN(IF(Y224='Loan Prepayment'!$E$11,IF('Loan Prepayment'!$E$13="Keep tenure, recalculate EMI",-PMT(AA224/1200,MAX(1,'Loan Prepayment'!$B$7*12-Y224+1),Z224),AB223),AB223),Z224+AC224))</f>
        <v>40230.461367789176</v>
      </c>
      <c r="AC224">
        <f t="shared" si="72"/>
        <v>216.7409854045832</v>
      </c>
      <c r="AD224">
        <f t="shared" si="73"/>
        <v>40013.720382384592</v>
      </c>
      <c r="AE224">
        <f t="shared" si="74"/>
        <v>0</v>
      </c>
      <c r="AF224">
        <f t="shared" si="75"/>
        <v>0</v>
      </c>
      <c r="AG224">
        <v>223</v>
      </c>
      <c r="AH224">
        <f t="shared" si="83"/>
        <v>33507.460860801861</v>
      </c>
      <c r="AI224">
        <f>IF(AG224&gt;='Loan Prepayment'!$E$11,'Loan Prepayment'!$E$12,'Loan Prepayment'!$B$6)</f>
        <v>6.5</v>
      </c>
      <c r="AJ224">
        <f>IF(AH224&lt;=0,0,MIN(IF(AG224='Loan Prepayment'!$E$11,IF('Loan Prepayment'!$E$13="Keep tenure, recalculate EMI",-PMT(AI224/1200,MAX(1,'Loan Prepayment'!$B$7*12-AG224+1),AH224),IF(AND('Loan Prepayment'!$E$15="Reduce EMI",AM223&gt;0),-PMT(AI223/1200,MAX(1,'Loan Prepayment'!$B$7*12-AG224+1),AH224),AJ223)),IF(AND('Loan Prepayment'!$E$15="Reduce EMI",AM223&gt;0),-PMT(AI224/1200,MAX(1,'Loan Prepayment'!$B$7*12-AG224+1),AH224),AJ223)),AH224+AK224))</f>
        <v>33688.959607131204</v>
      </c>
      <c r="AK224">
        <f t="shared" si="76"/>
        <v>181.49874632934342</v>
      </c>
      <c r="AL224">
        <f t="shared" si="77"/>
        <v>33507.460860801861</v>
      </c>
      <c r="AM224">
        <f>IF(AH224&lt;=0,0,MIN(MAX(0,AH224-AL224),SUMIFS('Loan Prepayment'!$B$12:$B$31,'Loan Prepayment'!$A$12:$A$31,AG224)+IF(AND(AG224&gt;='Loan Prepayment'!$B$9,AG224&lt;='Loan Prepayment'!$E$16),'Loan Prepayment'!$B$8,0)))</f>
        <v>0</v>
      </c>
      <c r="AN224">
        <f t="shared" si="78"/>
        <v>0</v>
      </c>
    </row>
    <row r="225" spans="1:40" x14ac:dyDescent="0.35">
      <c r="A225">
        <v>224</v>
      </c>
      <c r="B225">
        <f t="shared" si="79"/>
        <v>1295430.0307207357</v>
      </c>
      <c r="C225" s="64">
        <f>'Loan Prepayment'!$B$6</f>
        <v>7.5</v>
      </c>
      <c r="D225">
        <f>IF(B225&lt;=0,0,MIN(-PMT('Loan Prepayment'!$B$6/1200,'Loan Prepayment'!$B$7*12,'Loan Prepayment'!$B$5),B225+E225))</f>
        <v>80559.31935518072</v>
      </c>
      <c r="E225">
        <f t="shared" si="63"/>
        <v>8096.437692004597</v>
      </c>
      <c r="F225">
        <f t="shared" si="64"/>
        <v>72462.881663176129</v>
      </c>
      <c r="G225">
        <v>0</v>
      </c>
      <c r="H225">
        <f t="shared" si="65"/>
        <v>1222967.1490575594</v>
      </c>
      <c r="I225">
        <v>224</v>
      </c>
      <c r="J225">
        <f t="shared" si="80"/>
        <v>1084792.1822187125</v>
      </c>
      <c r="K225" s="64">
        <f>'Loan Prepayment'!$B$6</f>
        <v>7.5</v>
      </c>
      <c r="L225">
        <f>IF(J225&lt;=0,0,MIN(IF(AND('Loan Prepayment'!$E$15="Reduce EMI",O224&gt;0),-PMT(K225/1200,MAX(1,'Loan Prepayment'!$B$7*12-I225+1),J225),L224),J225+M225))</f>
        <v>67460.316473241648</v>
      </c>
      <c r="M225">
        <f t="shared" si="66"/>
        <v>6779.9511388669534</v>
      </c>
      <c r="N225">
        <f t="shared" si="67"/>
        <v>60680.365334374692</v>
      </c>
      <c r="O225">
        <f>IF(J225&lt;=0,0,MIN(MAX(0,J225-N225),SUMIFS('Loan Prepayment'!$B$12:$B$31,'Loan Prepayment'!$A$12:$A$31,I225)+0))</f>
        <v>0</v>
      </c>
      <c r="P225">
        <f t="shared" si="68"/>
        <v>1024111.8168843378</v>
      </c>
      <c r="Q225">
        <v>224</v>
      </c>
      <c r="R225">
        <f t="shared" si="81"/>
        <v>1295430.0307207357</v>
      </c>
      <c r="S225" s="64">
        <f>'Loan Prepayment'!$B$6</f>
        <v>7.5</v>
      </c>
      <c r="T225">
        <f>IF(R225&lt;=0,0,MIN(IF(AND('Loan Prepayment'!$E$15="Reduce EMI",W224&gt;0),-PMT(S225/1200,MAX(1,'Loan Prepayment'!$B$7*12-Q225+1),R225),T224),R225+U225))</f>
        <v>80559.31935518072</v>
      </c>
      <c r="U225">
        <f t="shared" si="69"/>
        <v>8096.437692004597</v>
      </c>
      <c r="V225">
        <f t="shared" si="70"/>
        <v>72462.881663176129</v>
      </c>
      <c r="W225">
        <f>IF(R225&lt;=0,0,MIN(MAX(0,R225-V225),0+IF(AND(Q225&gt;='Loan Prepayment'!$B$9,Q225&lt;='Loan Prepayment'!$E$16),'Loan Prepayment'!$B$8,0)))</f>
        <v>0</v>
      </c>
      <c r="X225">
        <f t="shared" si="71"/>
        <v>1222967.1490575594</v>
      </c>
      <c r="Y225">
        <v>224</v>
      </c>
      <c r="Z225">
        <f t="shared" si="82"/>
        <v>0</v>
      </c>
      <c r="AA225">
        <f>IF(Y225&gt;='Loan Prepayment'!$E$11,'Loan Prepayment'!$E$12,'Loan Prepayment'!$B$6)</f>
        <v>6.5</v>
      </c>
      <c r="AB225">
        <f>IF(Z225&lt;=0,0,MIN(IF(Y225='Loan Prepayment'!$E$11,IF('Loan Prepayment'!$E$13="Keep tenure, recalculate EMI",-PMT(AA225/1200,MAX(1,'Loan Prepayment'!$B$7*12-Y225+1),Z225),AB224),AB224),Z225+AC225))</f>
        <v>0</v>
      </c>
      <c r="AC225">
        <f t="shared" si="72"/>
        <v>0</v>
      </c>
      <c r="AD225">
        <f t="shared" si="73"/>
        <v>0</v>
      </c>
      <c r="AE225">
        <f t="shared" si="74"/>
        <v>0</v>
      </c>
      <c r="AF225">
        <f t="shared" si="75"/>
        <v>0</v>
      </c>
      <c r="AG225">
        <v>224</v>
      </c>
      <c r="AH225">
        <f t="shared" si="83"/>
        <v>0</v>
      </c>
      <c r="AI225">
        <f>IF(AG225&gt;='Loan Prepayment'!$E$11,'Loan Prepayment'!$E$12,'Loan Prepayment'!$B$6)</f>
        <v>6.5</v>
      </c>
      <c r="AJ225">
        <f>IF(AH225&lt;=0,0,MIN(IF(AG225='Loan Prepayment'!$E$11,IF('Loan Prepayment'!$E$13="Keep tenure, recalculate EMI",-PMT(AI225/1200,MAX(1,'Loan Prepayment'!$B$7*12-AG225+1),AH225),IF(AND('Loan Prepayment'!$E$15="Reduce EMI",AM224&gt;0),-PMT(AI224/1200,MAX(1,'Loan Prepayment'!$B$7*12-AG225+1),AH225),AJ224)),IF(AND('Loan Prepayment'!$E$15="Reduce EMI",AM224&gt;0),-PMT(AI225/1200,MAX(1,'Loan Prepayment'!$B$7*12-AG225+1),AH225),AJ224)),AH225+AK225))</f>
        <v>0</v>
      </c>
      <c r="AK225">
        <f t="shared" si="76"/>
        <v>0</v>
      </c>
      <c r="AL225">
        <f t="shared" si="77"/>
        <v>0</v>
      </c>
      <c r="AM225">
        <f>IF(AH225&lt;=0,0,MIN(MAX(0,AH225-AL225),SUMIFS('Loan Prepayment'!$B$12:$B$31,'Loan Prepayment'!$A$12:$A$31,AG225)+IF(AND(AG225&gt;='Loan Prepayment'!$B$9,AG225&lt;='Loan Prepayment'!$E$16),'Loan Prepayment'!$B$8,0)))</f>
        <v>0</v>
      </c>
      <c r="AN225">
        <f t="shared" si="78"/>
        <v>0</v>
      </c>
    </row>
    <row r="226" spans="1:40" x14ac:dyDescent="0.35">
      <c r="A226">
        <v>225</v>
      </c>
      <c r="B226">
        <f t="shared" si="79"/>
        <v>1222967.1490575594</v>
      </c>
      <c r="C226" s="64">
        <f>'Loan Prepayment'!$B$6</f>
        <v>7.5</v>
      </c>
      <c r="D226">
        <f>IF(B226&lt;=0,0,MIN(-PMT('Loan Prepayment'!$B$6/1200,'Loan Prepayment'!$B$7*12,'Loan Prepayment'!$B$5),B226+E226))</f>
        <v>80559.31935518072</v>
      </c>
      <c r="E226">
        <f t="shared" si="63"/>
        <v>7643.5446816097465</v>
      </c>
      <c r="F226">
        <f t="shared" si="64"/>
        <v>72915.774673570966</v>
      </c>
      <c r="G226">
        <v>0</v>
      </c>
      <c r="H226">
        <f t="shared" si="65"/>
        <v>1150051.3743839886</v>
      </c>
      <c r="I226">
        <v>225</v>
      </c>
      <c r="J226">
        <f t="shared" si="80"/>
        <v>1024111.8168843378</v>
      </c>
      <c r="K226" s="64">
        <f>'Loan Prepayment'!$B$6</f>
        <v>7.5</v>
      </c>
      <c r="L226">
        <f>IF(J226&lt;=0,0,MIN(IF(AND('Loan Prepayment'!$E$15="Reduce EMI",O225&gt;0),-PMT(K226/1200,MAX(1,'Loan Prepayment'!$B$7*12-I226+1),J226),L225),J226+M226))</f>
        <v>67460.316473241648</v>
      </c>
      <c r="M226">
        <f t="shared" si="66"/>
        <v>6400.6988555271118</v>
      </c>
      <c r="N226">
        <f t="shared" si="67"/>
        <v>61059.617617714539</v>
      </c>
      <c r="O226">
        <f>IF(J226&lt;=0,0,MIN(MAX(0,J226-N226),SUMIFS('Loan Prepayment'!$B$12:$B$31,'Loan Prepayment'!$A$12:$A$31,I226)+0))</f>
        <v>0</v>
      </c>
      <c r="P226">
        <f t="shared" si="68"/>
        <v>963052.19926662324</v>
      </c>
      <c r="Q226">
        <v>225</v>
      </c>
      <c r="R226">
        <f t="shared" si="81"/>
        <v>1222967.1490575594</v>
      </c>
      <c r="S226" s="64">
        <f>'Loan Prepayment'!$B$6</f>
        <v>7.5</v>
      </c>
      <c r="T226">
        <f>IF(R226&lt;=0,0,MIN(IF(AND('Loan Prepayment'!$E$15="Reduce EMI",W225&gt;0),-PMT(S226/1200,MAX(1,'Loan Prepayment'!$B$7*12-Q226+1),R226),T225),R226+U226))</f>
        <v>80559.31935518072</v>
      </c>
      <c r="U226">
        <f t="shared" si="69"/>
        <v>7643.5446816097465</v>
      </c>
      <c r="V226">
        <f t="shared" si="70"/>
        <v>72915.774673570966</v>
      </c>
      <c r="W226">
        <f>IF(R226&lt;=0,0,MIN(MAX(0,R226-V226),0+IF(AND(Q226&gt;='Loan Prepayment'!$B$9,Q226&lt;='Loan Prepayment'!$E$16),'Loan Prepayment'!$B$8,0)))</f>
        <v>0</v>
      </c>
      <c r="X226">
        <f t="shared" si="71"/>
        <v>1150051.3743839886</v>
      </c>
      <c r="Y226">
        <v>225</v>
      </c>
      <c r="Z226">
        <f t="shared" si="82"/>
        <v>0</v>
      </c>
      <c r="AA226">
        <f>IF(Y226&gt;='Loan Prepayment'!$E$11,'Loan Prepayment'!$E$12,'Loan Prepayment'!$B$6)</f>
        <v>6.5</v>
      </c>
      <c r="AB226">
        <f>IF(Z226&lt;=0,0,MIN(IF(Y226='Loan Prepayment'!$E$11,IF('Loan Prepayment'!$E$13="Keep tenure, recalculate EMI",-PMT(AA226/1200,MAX(1,'Loan Prepayment'!$B$7*12-Y226+1),Z226),AB225),AB225),Z226+AC226))</f>
        <v>0</v>
      </c>
      <c r="AC226">
        <f t="shared" si="72"/>
        <v>0</v>
      </c>
      <c r="AD226">
        <f t="shared" si="73"/>
        <v>0</v>
      </c>
      <c r="AE226">
        <f t="shared" si="74"/>
        <v>0</v>
      </c>
      <c r="AF226">
        <f t="shared" si="75"/>
        <v>0</v>
      </c>
      <c r="AG226">
        <v>225</v>
      </c>
      <c r="AH226">
        <f t="shared" si="83"/>
        <v>0</v>
      </c>
      <c r="AI226">
        <f>IF(AG226&gt;='Loan Prepayment'!$E$11,'Loan Prepayment'!$E$12,'Loan Prepayment'!$B$6)</f>
        <v>6.5</v>
      </c>
      <c r="AJ226">
        <f>IF(AH226&lt;=0,0,MIN(IF(AG226='Loan Prepayment'!$E$11,IF('Loan Prepayment'!$E$13="Keep tenure, recalculate EMI",-PMT(AI226/1200,MAX(1,'Loan Prepayment'!$B$7*12-AG226+1),AH226),IF(AND('Loan Prepayment'!$E$15="Reduce EMI",AM225&gt;0),-PMT(AI225/1200,MAX(1,'Loan Prepayment'!$B$7*12-AG226+1),AH226),AJ225)),IF(AND('Loan Prepayment'!$E$15="Reduce EMI",AM225&gt;0),-PMT(AI226/1200,MAX(1,'Loan Prepayment'!$B$7*12-AG226+1),AH226),AJ225)),AH226+AK226))</f>
        <v>0</v>
      </c>
      <c r="AK226">
        <f t="shared" si="76"/>
        <v>0</v>
      </c>
      <c r="AL226">
        <f t="shared" si="77"/>
        <v>0</v>
      </c>
      <c r="AM226">
        <f>IF(AH226&lt;=0,0,MIN(MAX(0,AH226-AL226),SUMIFS('Loan Prepayment'!$B$12:$B$31,'Loan Prepayment'!$A$12:$A$31,AG226)+IF(AND(AG226&gt;='Loan Prepayment'!$B$9,AG226&lt;='Loan Prepayment'!$E$16),'Loan Prepayment'!$B$8,0)))</f>
        <v>0</v>
      </c>
      <c r="AN226">
        <f t="shared" si="78"/>
        <v>0</v>
      </c>
    </row>
    <row r="227" spans="1:40" x14ac:dyDescent="0.35">
      <c r="A227">
        <v>226</v>
      </c>
      <c r="B227">
        <f t="shared" si="79"/>
        <v>1150051.3743839886</v>
      </c>
      <c r="C227" s="64">
        <f>'Loan Prepayment'!$B$6</f>
        <v>7.5</v>
      </c>
      <c r="D227">
        <f>IF(B227&lt;=0,0,MIN(-PMT('Loan Prepayment'!$B$6/1200,'Loan Prepayment'!$B$7*12,'Loan Prepayment'!$B$5),B227+E227))</f>
        <v>80559.31935518072</v>
      </c>
      <c r="E227">
        <f t="shared" si="63"/>
        <v>7187.8210898999278</v>
      </c>
      <c r="F227">
        <f t="shared" si="64"/>
        <v>73371.498265280796</v>
      </c>
      <c r="G227">
        <v>0</v>
      </c>
      <c r="H227">
        <f t="shared" si="65"/>
        <v>1076679.8761187077</v>
      </c>
      <c r="I227">
        <v>226</v>
      </c>
      <c r="J227">
        <f t="shared" si="80"/>
        <v>963052.19926662324</v>
      </c>
      <c r="K227" s="64">
        <f>'Loan Prepayment'!$B$6</f>
        <v>7.5</v>
      </c>
      <c r="L227">
        <f>IF(J227&lt;=0,0,MIN(IF(AND('Loan Prepayment'!$E$15="Reduce EMI",O226&gt;0),-PMT(K227/1200,MAX(1,'Loan Prepayment'!$B$7*12-I227+1),J227),L226),J227+M227))</f>
        <v>67460.316473241648</v>
      </c>
      <c r="M227">
        <f t="shared" si="66"/>
        <v>6019.0762454163951</v>
      </c>
      <c r="N227">
        <f t="shared" si="67"/>
        <v>61441.240227825256</v>
      </c>
      <c r="O227">
        <f>IF(J227&lt;=0,0,MIN(MAX(0,J227-N227),SUMIFS('Loan Prepayment'!$B$12:$B$31,'Loan Prepayment'!$A$12:$A$31,I227)+0))</f>
        <v>0</v>
      </c>
      <c r="P227">
        <f t="shared" si="68"/>
        <v>901610.959038798</v>
      </c>
      <c r="Q227">
        <v>226</v>
      </c>
      <c r="R227">
        <f t="shared" si="81"/>
        <v>1150051.3743839886</v>
      </c>
      <c r="S227" s="64">
        <f>'Loan Prepayment'!$B$6</f>
        <v>7.5</v>
      </c>
      <c r="T227">
        <f>IF(R227&lt;=0,0,MIN(IF(AND('Loan Prepayment'!$E$15="Reduce EMI",W226&gt;0),-PMT(S227/1200,MAX(1,'Loan Prepayment'!$B$7*12-Q227+1),R227),T226),R227+U227))</f>
        <v>80559.31935518072</v>
      </c>
      <c r="U227">
        <f t="shared" si="69"/>
        <v>7187.8210898999278</v>
      </c>
      <c r="V227">
        <f t="shared" si="70"/>
        <v>73371.498265280796</v>
      </c>
      <c r="W227">
        <f>IF(R227&lt;=0,0,MIN(MAX(0,R227-V227),0+IF(AND(Q227&gt;='Loan Prepayment'!$B$9,Q227&lt;='Loan Prepayment'!$E$16),'Loan Prepayment'!$B$8,0)))</f>
        <v>0</v>
      </c>
      <c r="X227">
        <f t="shared" si="71"/>
        <v>1076679.8761187077</v>
      </c>
      <c r="Y227">
        <v>226</v>
      </c>
      <c r="Z227">
        <f t="shared" si="82"/>
        <v>0</v>
      </c>
      <c r="AA227">
        <f>IF(Y227&gt;='Loan Prepayment'!$E$11,'Loan Prepayment'!$E$12,'Loan Prepayment'!$B$6)</f>
        <v>6.5</v>
      </c>
      <c r="AB227">
        <f>IF(Z227&lt;=0,0,MIN(IF(Y227='Loan Prepayment'!$E$11,IF('Loan Prepayment'!$E$13="Keep tenure, recalculate EMI",-PMT(AA227/1200,MAX(1,'Loan Prepayment'!$B$7*12-Y227+1),Z227),AB226),AB226),Z227+AC227))</f>
        <v>0</v>
      </c>
      <c r="AC227">
        <f t="shared" si="72"/>
        <v>0</v>
      </c>
      <c r="AD227">
        <f t="shared" si="73"/>
        <v>0</v>
      </c>
      <c r="AE227">
        <f t="shared" si="74"/>
        <v>0</v>
      </c>
      <c r="AF227">
        <f t="shared" si="75"/>
        <v>0</v>
      </c>
      <c r="AG227">
        <v>226</v>
      </c>
      <c r="AH227">
        <f t="shared" si="83"/>
        <v>0</v>
      </c>
      <c r="AI227">
        <f>IF(AG227&gt;='Loan Prepayment'!$E$11,'Loan Prepayment'!$E$12,'Loan Prepayment'!$B$6)</f>
        <v>6.5</v>
      </c>
      <c r="AJ227">
        <f>IF(AH227&lt;=0,0,MIN(IF(AG227='Loan Prepayment'!$E$11,IF('Loan Prepayment'!$E$13="Keep tenure, recalculate EMI",-PMT(AI227/1200,MAX(1,'Loan Prepayment'!$B$7*12-AG227+1),AH227),IF(AND('Loan Prepayment'!$E$15="Reduce EMI",AM226&gt;0),-PMT(AI226/1200,MAX(1,'Loan Prepayment'!$B$7*12-AG227+1),AH227),AJ226)),IF(AND('Loan Prepayment'!$E$15="Reduce EMI",AM226&gt;0),-PMT(AI227/1200,MAX(1,'Loan Prepayment'!$B$7*12-AG227+1),AH227),AJ226)),AH227+AK227))</f>
        <v>0</v>
      </c>
      <c r="AK227">
        <f t="shared" si="76"/>
        <v>0</v>
      </c>
      <c r="AL227">
        <f t="shared" si="77"/>
        <v>0</v>
      </c>
      <c r="AM227">
        <f>IF(AH227&lt;=0,0,MIN(MAX(0,AH227-AL227),SUMIFS('Loan Prepayment'!$B$12:$B$31,'Loan Prepayment'!$A$12:$A$31,AG227)+IF(AND(AG227&gt;='Loan Prepayment'!$B$9,AG227&lt;='Loan Prepayment'!$E$16),'Loan Prepayment'!$B$8,0)))</f>
        <v>0</v>
      </c>
      <c r="AN227">
        <f t="shared" si="78"/>
        <v>0</v>
      </c>
    </row>
    <row r="228" spans="1:40" x14ac:dyDescent="0.35">
      <c r="A228">
        <v>227</v>
      </c>
      <c r="B228">
        <f t="shared" si="79"/>
        <v>1076679.8761187077</v>
      </c>
      <c r="C228" s="64">
        <f>'Loan Prepayment'!$B$6</f>
        <v>7.5</v>
      </c>
      <c r="D228">
        <f>IF(B228&lt;=0,0,MIN(-PMT('Loan Prepayment'!$B$6/1200,'Loan Prepayment'!$B$7*12,'Loan Prepayment'!$B$5),B228+E228))</f>
        <v>80559.31935518072</v>
      </c>
      <c r="E228">
        <f t="shared" si="63"/>
        <v>6729.2492257419226</v>
      </c>
      <c r="F228">
        <f t="shared" si="64"/>
        <v>73830.070129438798</v>
      </c>
      <c r="G228">
        <v>0</v>
      </c>
      <c r="H228">
        <f t="shared" si="65"/>
        <v>1002849.8059892689</v>
      </c>
      <c r="I228">
        <v>227</v>
      </c>
      <c r="J228">
        <f t="shared" si="80"/>
        <v>901610.959038798</v>
      </c>
      <c r="K228" s="64">
        <f>'Loan Prepayment'!$B$6</f>
        <v>7.5</v>
      </c>
      <c r="L228">
        <f>IF(J228&lt;=0,0,MIN(IF(AND('Loan Prepayment'!$E$15="Reduce EMI",O227&gt;0),-PMT(K228/1200,MAX(1,'Loan Prepayment'!$B$7*12-I228+1),J228),L227),J228+M228))</f>
        <v>67460.316473241648</v>
      </c>
      <c r="M228">
        <f t="shared" si="66"/>
        <v>5635.0684939924877</v>
      </c>
      <c r="N228">
        <f t="shared" si="67"/>
        <v>61825.247979249158</v>
      </c>
      <c r="O228">
        <f>IF(J228&lt;=0,0,MIN(MAX(0,J228-N228),SUMIFS('Loan Prepayment'!$B$12:$B$31,'Loan Prepayment'!$A$12:$A$31,I228)+0))</f>
        <v>0</v>
      </c>
      <c r="P228">
        <f t="shared" si="68"/>
        <v>839785.71105954889</v>
      </c>
      <c r="Q228">
        <v>227</v>
      </c>
      <c r="R228">
        <f t="shared" si="81"/>
        <v>1076679.8761187077</v>
      </c>
      <c r="S228" s="64">
        <f>'Loan Prepayment'!$B$6</f>
        <v>7.5</v>
      </c>
      <c r="T228">
        <f>IF(R228&lt;=0,0,MIN(IF(AND('Loan Prepayment'!$E$15="Reduce EMI",W227&gt;0),-PMT(S228/1200,MAX(1,'Loan Prepayment'!$B$7*12-Q228+1),R228),T227),R228+U228))</f>
        <v>80559.31935518072</v>
      </c>
      <c r="U228">
        <f t="shared" si="69"/>
        <v>6729.2492257419226</v>
      </c>
      <c r="V228">
        <f t="shared" si="70"/>
        <v>73830.070129438798</v>
      </c>
      <c r="W228">
        <f>IF(R228&lt;=0,0,MIN(MAX(0,R228-V228),0+IF(AND(Q228&gt;='Loan Prepayment'!$B$9,Q228&lt;='Loan Prepayment'!$E$16),'Loan Prepayment'!$B$8,0)))</f>
        <v>0</v>
      </c>
      <c r="X228">
        <f t="shared" si="71"/>
        <v>1002849.8059892689</v>
      </c>
      <c r="Y228">
        <v>227</v>
      </c>
      <c r="Z228">
        <f t="shared" si="82"/>
        <v>0</v>
      </c>
      <c r="AA228">
        <f>IF(Y228&gt;='Loan Prepayment'!$E$11,'Loan Prepayment'!$E$12,'Loan Prepayment'!$B$6)</f>
        <v>6.5</v>
      </c>
      <c r="AB228">
        <f>IF(Z228&lt;=0,0,MIN(IF(Y228='Loan Prepayment'!$E$11,IF('Loan Prepayment'!$E$13="Keep tenure, recalculate EMI",-PMT(AA228/1200,MAX(1,'Loan Prepayment'!$B$7*12-Y228+1),Z228),AB227),AB227),Z228+AC228))</f>
        <v>0</v>
      </c>
      <c r="AC228">
        <f t="shared" si="72"/>
        <v>0</v>
      </c>
      <c r="AD228">
        <f t="shared" si="73"/>
        <v>0</v>
      </c>
      <c r="AE228">
        <f t="shared" si="74"/>
        <v>0</v>
      </c>
      <c r="AF228">
        <f t="shared" si="75"/>
        <v>0</v>
      </c>
      <c r="AG228">
        <v>227</v>
      </c>
      <c r="AH228">
        <f t="shared" si="83"/>
        <v>0</v>
      </c>
      <c r="AI228">
        <f>IF(AG228&gt;='Loan Prepayment'!$E$11,'Loan Prepayment'!$E$12,'Loan Prepayment'!$B$6)</f>
        <v>6.5</v>
      </c>
      <c r="AJ228">
        <f>IF(AH228&lt;=0,0,MIN(IF(AG228='Loan Prepayment'!$E$11,IF('Loan Prepayment'!$E$13="Keep tenure, recalculate EMI",-PMT(AI228/1200,MAX(1,'Loan Prepayment'!$B$7*12-AG228+1),AH228),IF(AND('Loan Prepayment'!$E$15="Reduce EMI",AM227&gt;0),-PMT(AI227/1200,MAX(1,'Loan Prepayment'!$B$7*12-AG228+1),AH228),AJ227)),IF(AND('Loan Prepayment'!$E$15="Reduce EMI",AM227&gt;0),-PMT(AI228/1200,MAX(1,'Loan Prepayment'!$B$7*12-AG228+1),AH228),AJ227)),AH228+AK228))</f>
        <v>0</v>
      </c>
      <c r="AK228">
        <f t="shared" si="76"/>
        <v>0</v>
      </c>
      <c r="AL228">
        <f t="shared" si="77"/>
        <v>0</v>
      </c>
      <c r="AM228">
        <f>IF(AH228&lt;=0,0,MIN(MAX(0,AH228-AL228),SUMIFS('Loan Prepayment'!$B$12:$B$31,'Loan Prepayment'!$A$12:$A$31,AG228)+IF(AND(AG228&gt;='Loan Prepayment'!$B$9,AG228&lt;='Loan Prepayment'!$E$16),'Loan Prepayment'!$B$8,0)))</f>
        <v>0</v>
      </c>
      <c r="AN228">
        <f t="shared" si="78"/>
        <v>0</v>
      </c>
    </row>
    <row r="229" spans="1:40" x14ac:dyDescent="0.35">
      <c r="A229">
        <v>228</v>
      </c>
      <c r="B229">
        <f t="shared" si="79"/>
        <v>1002849.8059892689</v>
      </c>
      <c r="C229" s="64">
        <f>'Loan Prepayment'!$B$6</f>
        <v>7.5</v>
      </c>
      <c r="D229">
        <f>IF(B229&lt;=0,0,MIN(-PMT('Loan Prepayment'!$B$6/1200,'Loan Prepayment'!$B$7*12,'Loan Prepayment'!$B$5),B229+E229))</f>
        <v>80559.31935518072</v>
      </c>
      <c r="E229">
        <f t="shared" si="63"/>
        <v>6267.8112874329308</v>
      </c>
      <c r="F229">
        <f t="shared" si="64"/>
        <v>74291.508067747782</v>
      </c>
      <c r="G229">
        <v>0</v>
      </c>
      <c r="H229">
        <f t="shared" si="65"/>
        <v>928558.29792152112</v>
      </c>
      <c r="I229">
        <v>228</v>
      </c>
      <c r="J229">
        <f t="shared" si="80"/>
        <v>839785.71105954889</v>
      </c>
      <c r="K229" s="64">
        <f>'Loan Prepayment'!$B$6</f>
        <v>7.5</v>
      </c>
      <c r="L229">
        <f>IF(J229&lt;=0,0,MIN(IF(AND('Loan Prepayment'!$E$15="Reduce EMI",O228&gt;0),-PMT(K229/1200,MAX(1,'Loan Prepayment'!$B$7*12-I229+1),J229),L228),J229+M229))</f>
        <v>67460.316473241648</v>
      </c>
      <c r="M229">
        <f t="shared" si="66"/>
        <v>5248.6606941221808</v>
      </c>
      <c r="N229">
        <f t="shared" si="67"/>
        <v>62211.655779119465</v>
      </c>
      <c r="O229">
        <f>IF(J229&lt;=0,0,MIN(MAX(0,J229-N229),SUMIFS('Loan Prepayment'!$B$12:$B$31,'Loan Prepayment'!$A$12:$A$31,I229)+0))</f>
        <v>0</v>
      </c>
      <c r="P229">
        <f t="shared" si="68"/>
        <v>777574.05528042943</v>
      </c>
      <c r="Q229">
        <v>228</v>
      </c>
      <c r="R229">
        <f t="shared" si="81"/>
        <v>1002849.8059892689</v>
      </c>
      <c r="S229" s="64">
        <f>'Loan Prepayment'!$B$6</f>
        <v>7.5</v>
      </c>
      <c r="T229">
        <f>IF(R229&lt;=0,0,MIN(IF(AND('Loan Prepayment'!$E$15="Reduce EMI",W228&gt;0),-PMT(S229/1200,MAX(1,'Loan Prepayment'!$B$7*12-Q229+1),R229),T228),R229+U229))</f>
        <v>80559.31935518072</v>
      </c>
      <c r="U229">
        <f t="shared" si="69"/>
        <v>6267.8112874329308</v>
      </c>
      <c r="V229">
        <f t="shared" si="70"/>
        <v>74291.508067747782</v>
      </c>
      <c r="W229">
        <f>IF(R229&lt;=0,0,MIN(MAX(0,R229-V229),0+IF(AND(Q229&gt;='Loan Prepayment'!$B$9,Q229&lt;='Loan Prepayment'!$E$16),'Loan Prepayment'!$B$8,0)))</f>
        <v>0</v>
      </c>
      <c r="X229">
        <f t="shared" si="71"/>
        <v>928558.29792152112</v>
      </c>
      <c r="Y229">
        <v>228</v>
      </c>
      <c r="Z229">
        <f t="shared" si="82"/>
        <v>0</v>
      </c>
      <c r="AA229">
        <f>IF(Y229&gt;='Loan Prepayment'!$E$11,'Loan Prepayment'!$E$12,'Loan Prepayment'!$B$6)</f>
        <v>6.5</v>
      </c>
      <c r="AB229">
        <f>IF(Z229&lt;=0,0,MIN(IF(Y229='Loan Prepayment'!$E$11,IF('Loan Prepayment'!$E$13="Keep tenure, recalculate EMI",-PMT(AA229/1200,MAX(1,'Loan Prepayment'!$B$7*12-Y229+1),Z229),AB228),AB228),Z229+AC229))</f>
        <v>0</v>
      </c>
      <c r="AC229">
        <f t="shared" si="72"/>
        <v>0</v>
      </c>
      <c r="AD229">
        <f t="shared" si="73"/>
        <v>0</v>
      </c>
      <c r="AE229">
        <f t="shared" si="74"/>
        <v>0</v>
      </c>
      <c r="AF229">
        <f t="shared" si="75"/>
        <v>0</v>
      </c>
      <c r="AG229">
        <v>228</v>
      </c>
      <c r="AH229">
        <f t="shared" si="83"/>
        <v>0</v>
      </c>
      <c r="AI229">
        <f>IF(AG229&gt;='Loan Prepayment'!$E$11,'Loan Prepayment'!$E$12,'Loan Prepayment'!$B$6)</f>
        <v>6.5</v>
      </c>
      <c r="AJ229">
        <f>IF(AH229&lt;=0,0,MIN(IF(AG229='Loan Prepayment'!$E$11,IF('Loan Prepayment'!$E$13="Keep tenure, recalculate EMI",-PMT(AI229/1200,MAX(1,'Loan Prepayment'!$B$7*12-AG229+1),AH229),IF(AND('Loan Prepayment'!$E$15="Reduce EMI",AM228&gt;0),-PMT(AI228/1200,MAX(1,'Loan Prepayment'!$B$7*12-AG229+1),AH229),AJ228)),IF(AND('Loan Prepayment'!$E$15="Reduce EMI",AM228&gt;0),-PMT(AI229/1200,MAX(1,'Loan Prepayment'!$B$7*12-AG229+1),AH229),AJ228)),AH229+AK229))</f>
        <v>0</v>
      </c>
      <c r="AK229">
        <f t="shared" si="76"/>
        <v>0</v>
      </c>
      <c r="AL229">
        <f t="shared" si="77"/>
        <v>0</v>
      </c>
      <c r="AM229">
        <f>IF(AH229&lt;=0,0,MIN(MAX(0,AH229-AL229),SUMIFS('Loan Prepayment'!$B$12:$B$31,'Loan Prepayment'!$A$12:$A$31,AG229)+IF(AND(AG229&gt;='Loan Prepayment'!$B$9,AG229&lt;='Loan Prepayment'!$E$16),'Loan Prepayment'!$B$8,0)))</f>
        <v>0</v>
      </c>
      <c r="AN229">
        <f t="shared" si="78"/>
        <v>0</v>
      </c>
    </row>
    <row r="230" spans="1:40" x14ac:dyDescent="0.35">
      <c r="A230">
        <v>229</v>
      </c>
      <c r="B230">
        <f t="shared" si="79"/>
        <v>928558.29792152112</v>
      </c>
      <c r="C230" s="64">
        <f>'Loan Prepayment'!$B$6</f>
        <v>7.5</v>
      </c>
      <c r="D230">
        <f>IF(B230&lt;=0,0,MIN(-PMT('Loan Prepayment'!$B$6/1200,'Loan Prepayment'!$B$7*12,'Loan Prepayment'!$B$5),B230+E230))</f>
        <v>80559.31935518072</v>
      </c>
      <c r="E230">
        <f t="shared" si="63"/>
        <v>5803.4893620095072</v>
      </c>
      <c r="F230">
        <f t="shared" si="64"/>
        <v>74755.82999317121</v>
      </c>
      <c r="G230">
        <v>0</v>
      </c>
      <c r="H230">
        <f t="shared" si="65"/>
        <v>853802.46792834997</v>
      </c>
      <c r="I230">
        <v>229</v>
      </c>
      <c r="J230">
        <f t="shared" si="80"/>
        <v>777574.05528042943</v>
      </c>
      <c r="K230" s="64">
        <f>'Loan Prepayment'!$B$6</f>
        <v>7.5</v>
      </c>
      <c r="L230">
        <f>IF(J230&lt;=0,0,MIN(IF(AND('Loan Prepayment'!$E$15="Reduce EMI",O229&gt;0),-PMT(K230/1200,MAX(1,'Loan Prepayment'!$B$7*12-I230+1),J230),L229),J230+M230))</f>
        <v>67460.316473241648</v>
      </c>
      <c r="M230">
        <f t="shared" si="66"/>
        <v>4859.8378455026832</v>
      </c>
      <c r="N230">
        <f t="shared" si="67"/>
        <v>62600.478627738965</v>
      </c>
      <c r="O230">
        <f>IF(J230&lt;=0,0,MIN(MAX(0,J230-N230),SUMIFS('Loan Prepayment'!$B$12:$B$31,'Loan Prepayment'!$A$12:$A$31,I230)+0))</f>
        <v>0</v>
      </c>
      <c r="P230">
        <f t="shared" si="68"/>
        <v>714973.57665269042</v>
      </c>
      <c r="Q230">
        <v>229</v>
      </c>
      <c r="R230">
        <f t="shared" si="81"/>
        <v>928558.29792152112</v>
      </c>
      <c r="S230" s="64">
        <f>'Loan Prepayment'!$B$6</f>
        <v>7.5</v>
      </c>
      <c r="T230">
        <f>IF(R230&lt;=0,0,MIN(IF(AND('Loan Prepayment'!$E$15="Reduce EMI",W229&gt;0),-PMT(S230/1200,MAX(1,'Loan Prepayment'!$B$7*12-Q230+1),R230),T229),R230+U230))</f>
        <v>80559.31935518072</v>
      </c>
      <c r="U230">
        <f t="shared" si="69"/>
        <v>5803.4893620095072</v>
      </c>
      <c r="V230">
        <f t="shared" si="70"/>
        <v>74755.82999317121</v>
      </c>
      <c r="W230">
        <f>IF(R230&lt;=0,0,MIN(MAX(0,R230-V230),0+IF(AND(Q230&gt;='Loan Prepayment'!$B$9,Q230&lt;='Loan Prepayment'!$E$16),'Loan Prepayment'!$B$8,0)))</f>
        <v>0</v>
      </c>
      <c r="X230">
        <f t="shared" si="71"/>
        <v>853802.46792834997</v>
      </c>
      <c r="Y230">
        <v>229</v>
      </c>
      <c r="Z230">
        <f t="shared" si="82"/>
        <v>0</v>
      </c>
      <c r="AA230">
        <f>IF(Y230&gt;='Loan Prepayment'!$E$11,'Loan Prepayment'!$E$12,'Loan Prepayment'!$B$6)</f>
        <v>6.5</v>
      </c>
      <c r="AB230">
        <f>IF(Z230&lt;=0,0,MIN(IF(Y230='Loan Prepayment'!$E$11,IF('Loan Prepayment'!$E$13="Keep tenure, recalculate EMI",-PMT(AA230/1200,MAX(1,'Loan Prepayment'!$B$7*12-Y230+1),Z230),AB229),AB229),Z230+AC230))</f>
        <v>0</v>
      </c>
      <c r="AC230">
        <f t="shared" si="72"/>
        <v>0</v>
      </c>
      <c r="AD230">
        <f t="shared" si="73"/>
        <v>0</v>
      </c>
      <c r="AE230">
        <f t="shared" si="74"/>
        <v>0</v>
      </c>
      <c r="AF230">
        <f t="shared" si="75"/>
        <v>0</v>
      </c>
      <c r="AG230">
        <v>229</v>
      </c>
      <c r="AH230">
        <f t="shared" si="83"/>
        <v>0</v>
      </c>
      <c r="AI230">
        <f>IF(AG230&gt;='Loan Prepayment'!$E$11,'Loan Prepayment'!$E$12,'Loan Prepayment'!$B$6)</f>
        <v>6.5</v>
      </c>
      <c r="AJ230">
        <f>IF(AH230&lt;=0,0,MIN(IF(AG230='Loan Prepayment'!$E$11,IF('Loan Prepayment'!$E$13="Keep tenure, recalculate EMI",-PMT(AI230/1200,MAX(1,'Loan Prepayment'!$B$7*12-AG230+1),AH230),IF(AND('Loan Prepayment'!$E$15="Reduce EMI",AM229&gt;0),-PMT(AI229/1200,MAX(1,'Loan Prepayment'!$B$7*12-AG230+1),AH230),AJ229)),IF(AND('Loan Prepayment'!$E$15="Reduce EMI",AM229&gt;0),-PMT(AI230/1200,MAX(1,'Loan Prepayment'!$B$7*12-AG230+1),AH230),AJ229)),AH230+AK230))</f>
        <v>0</v>
      </c>
      <c r="AK230">
        <f t="shared" si="76"/>
        <v>0</v>
      </c>
      <c r="AL230">
        <f t="shared" si="77"/>
        <v>0</v>
      </c>
      <c r="AM230">
        <f>IF(AH230&lt;=0,0,MIN(MAX(0,AH230-AL230),SUMIFS('Loan Prepayment'!$B$12:$B$31,'Loan Prepayment'!$A$12:$A$31,AG230)+IF(AND(AG230&gt;='Loan Prepayment'!$B$9,AG230&lt;='Loan Prepayment'!$E$16),'Loan Prepayment'!$B$8,0)))</f>
        <v>0</v>
      </c>
      <c r="AN230">
        <f t="shared" si="78"/>
        <v>0</v>
      </c>
    </row>
    <row r="231" spans="1:40" x14ac:dyDescent="0.35">
      <c r="A231">
        <v>230</v>
      </c>
      <c r="B231">
        <f t="shared" si="79"/>
        <v>853802.46792834997</v>
      </c>
      <c r="C231" s="64">
        <f>'Loan Prepayment'!$B$6</f>
        <v>7.5</v>
      </c>
      <c r="D231">
        <f>IF(B231&lt;=0,0,MIN(-PMT('Loan Prepayment'!$B$6/1200,'Loan Prepayment'!$B$7*12,'Loan Prepayment'!$B$5),B231+E231))</f>
        <v>80559.31935518072</v>
      </c>
      <c r="E231">
        <f t="shared" si="63"/>
        <v>5336.2654245521871</v>
      </c>
      <c r="F231">
        <f t="shared" si="64"/>
        <v>75223.053930628535</v>
      </c>
      <c r="G231">
        <v>0</v>
      </c>
      <c r="H231">
        <f t="shared" si="65"/>
        <v>778579.41399772139</v>
      </c>
      <c r="I231">
        <v>230</v>
      </c>
      <c r="J231">
        <f t="shared" si="80"/>
        <v>714973.57665269042</v>
      </c>
      <c r="K231" s="64">
        <f>'Loan Prepayment'!$B$6</f>
        <v>7.5</v>
      </c>
      <c r="L231">
        <f>IF(J231&lt;=0,0,MIN(IF(AND('Loan Prepayment'!$E$15="Reduce EMI",O230&gt;0),-PMT(K231/1200,MAX(1,'Loan Prepayment'!$B$7*12-I231+1),J231),L230),J231+M231))</f>
        <v>67460.316473241648</v>
      </c>
      <c r="M231">
        <f t="shared" si="66"/>
        <v>4468.5848540793149</v>
      </c>
      <c r="N231">
        <f t="shared" si="67"/>
        <v>62991.731619162332</v>
      </c>
      <c r="O231">
        <f>IF(J231&lt;=0,0,MIN(MAX(0,J231-N231),SUMIFS('Loan Prepayment'!$B$12:$B$31,'Loan Prepayment'!$A$12:$A$31,I231)+0))</f>
        <v>0</v>
      </c>
      <c r="P231">
        <f t="shared" si="68"/>
        <v>651981.84503352805</v>
      </c>
      <c r="Q231">
        <v>230</v>
      </c>
      <c r="R231">
        <f t="shared" si="81"/>
        <v>853802.46792834997</v>
      </c>
      <c r="S231" s="64">
        <f>'Loan Prepayment'!$B$6</f>
        <v>7.5</v>
      </c>
      <c r="T231">
        <f>IF(R231&lt;=0,0,MIN(IF(AND('Loan Prepayment'!$E$15="Reduce EMI",W230&gt;0),-PMT(S231/1200,MAX(1,'Loan Prepayment'!$B$7*12-Q231+1),R231),T230),R231+U231))</f>
        <v>80559.31935518072</v>
      </c>
      <c r="U231">
        <f t="shared" si="69"/>
        <v>5336.2654245521871</v>
      </c>
      <c r="V231">
        <f t="shared" si="70"/>
        <v>75223.053930628535</v>
      </c>
      <c r="W231">
        <f>IF(R231&lt;=0,0,MIN(MAX(0,R231-V231),0+IF(AND(Q231&gt;='Loan Prepayment'!$B$9,Q231&lt;='Loan Prepayment'!$E$16),'Loan Prepayment'!$B$8,0)))</f>
        <v>0</v>
      </c>
      <c r="X231">
        <f t="shared" si="71"/>
        <v>778579.41399772139</v>
      </c>
      <c r="Y231">
        <v>230</v>
      </c>
      <c r="Z231">
        <f t="shared" si="82"/>
        <v>0</v>
      </c>
      <c r="AA231">
        <f>IF(Y231&gt;='Loan Prepayment'!$E$11,'Loan Prepayment'!$E$12,'Loan Prepayment'!$B$6)</f>
        <v>6.5</v>
      </c>
      <c r="AB231">
        <f>IF(Z231&lt;=0,0,MIN(IF(Y231='Loan Prepayment'!$E$11,IF('Loan Prepayment'!$E$13="Keep tenure, recalculate EMI",-PMT(AA231/1200,MAX(1,'Loan Prepayment'!$B$7*12-Y231+1),Z231),AB230),AB230),Z231+AC231))</f>
        <v>0</v>
      </c>
      <c r="AC231">
        <f t="shared" si="72"/>
        <v>0</v>
      </c>
      <c r="AD231">
        <f t="shared" si="73"/>
        <v>0</v>
      </c>
      <c r="AE231">
        <f t="shared" si="74"/>
        <v>0</v>
      </c>
      <c r="AF231">
        <f t="shared" si="75"/>
        <v>0</v>
      </c>
      <c r="AG231">
        <v>230</v>
      </c>
      <c r="AH231">
        <f t="shared" si="83"/>
        <v>0</v>
      </c>
      <c r="AI231">
        <f>IF(AG231&gt;='Loan Prepayment'!$E$11,'Loan Prepayment'!$E$12,'Loan Prepayment'!$B$6)</f>
        <v>6.5</v>
      </c>
      <c r="AJ231">
        <f>IF(AH231&lt;=0,0,MIN(IF(AG231='Loan Prepayment'!$E$11,IF('Loan Prepayment'!$E$13="Keep tenure, recalculate EMI",-PMT(AI231/1200,MAX(1,'Loan Prepayment'!$B$7*12-AG231+1),AH231),IF(AND('Loan Prepayment'!$E$15="Reduce EMI",AM230&gt;0),-PMT(AI230/1200,MAX(1,'Loan Prepayment'!$B$7*12-AG231+1),AH231),AJ230)),IF(AND('Loan Prepayment'!$E$15="Reduce EMI",AM230&gt;0),-PMT(AI231/1200,MAX(1,'Loan Prepayment'!$B$7*12-AG231+1),AH231),AJ230)),AH231+AK231))</f>
        <v>0</v>
      </c>
      <c r="AK231">
        <f t="shared" si="76"/>
        <v>0</v>
      </c>
      <c r="AL231">
        <f t="shared" si="77"/>
        <v>0</v>
      </c>
      <c r="AM231">
        <f>IF(AH231&lt;=0,0,MIN(MAX(0,AH231-AL231),SUMIFS('Loan Prepayment'!$B$12:$B$31,'Loan Prepayment'!$A$12:$A$31,AG231)+IF(AND(AG231&gt;='Loan Prepayment'!$B$9,AG231&lt;='Loan Prepayment'!$E$16),'Loan Prepayment'!$B$8,0)))</f>
        <v>0</v>
      </c>
      <c r="AN231">
        <f t="shared" si="78"/>
        <v>0</v>
      </c>
    </row>
    <row r="232" spans="1:40" x14ac:dyDescent="0.35">
      <c r="A232">
        <v>231</v>
      </c>
      <c r="B232">
        <f t="shared" si="79"/>
        <v>778579.41399772139</v>
      </c>
      <c r="C232" s="64">
        <f>'Loan Prepayment'!$B$6</f>
        <v>7.5</v>
      </c>
      <c r="D232">
        <f>IF(B232&lt;=0,0,MIN(-PMT('Loan Prepayment'!$B$6/1200,'Loan Prepayment'!$B$7*12,'Loan Prepayment'!$B$5),B232+E232))</f>
        <v>80559.31935518072</v>
      </c>
      <c r="E232">
        <f t="shared" si="63"/>
        <v>4866.1213374857589</v>
      </c>
      <c r="F232">
        <f t="shared" si="64"/>
        <v>75693.198017694958</v>
      </c>
      <c r="G232">
        <v>0</v>
      </c>
      <c r="H232">
        <f t="shared" si="65"/>
        <v>702886.21598002641</v>
      </c>
      <c r="I232">
        <v>231</v>
      </c>
      <c r="J232">
        <f t="shared" si="80"/>
        <v>651981.84503352805</v>
      </c>
      <c r="K232" s="64">
        <f>'Loan Prepayment'!$B$6</f>
        <v>7.5</v>
      </c>
      <c r="L232">
        <f>IF(J232&lt;=0,0,MIN(IF(AND('Loan Prepayment'!$E$15="Reduce EMI",O231&gt;0),-PMT(K232/1200,MAX(1,'Loan Prepayment'!$B$7*12-I232+1),J232),L231),J232+M232))</f>
        <v>67460.316473241648</v>
      </c>
      <c r="M232">
        <f t="shared" si="66"/>
        <v>4074.88653145955</v>
      </c>
      <c r="N232">
        <f t="shared" si="67"/>
        <v>63385.429941782095</v>
      </c>
      <c r="O232">
        <f>IF(J232&lt;=0,0,MIN(MAX(0,J232-N232),SUMIFS('Loan Prepayment'!$B$12:$B$31,'Loan Prepayment'!$A$12:$A$31,I232)+0))</f>
        <v>0</v>
      </c>
      <c r="P232">
        <f t="shared" si="68"/>
        <v>588596.4150917459</v>
      </c>
      <c r="Q232">
        <v>231</v>
      </c>
      <c r="R232">
        <f t="shared" si="81"/>
        <v>778579.41399772139</v>
      </c>
      <c r="S232" s="64">
        <f>'Loan Prepayment'!$B$6</f>
        <v>7.5</v>
      </c>
      <c r="T232">
        <f>IF(R232&lt;=0,0,MIN(IF(AND('Loan Prepayment'!$E$15="Reduce EMI",W231&gt;0),-PMT(S232/1200,MAX(1,'Loan Prepayment'!$B$7*12-Q232+1),R232),T231),R232+U232))</f>
        <v>80559.31935518072</v>
      </c>
      <c r="U232">
        <f t="shared" si="69"/>
        <v>4866.1213374857589</v>
      </c>
      <c r="V232">
        <f t="shared" si="70"/>
        <v>75693.198017694958</v>
      </c>
      <c r="W232">
        <f>IF(R232&lt;=0,0,MIN(MAX(0,R232-V232),0+IF(AND(Q232&gt;='Loan Prepayment'!$B$9,Q232&lt;='Loan Prepayment'!$E$16),'Loan Prepayment'!$B$8,0)))</f>
        <v>0</v>
      </c>
      <c r="X232">
        <f t="shared" si="71"/>
        <v>702886.21598002641</v>
      </c>
      <c r="Y232">
        <v>231</v>
      </c>
      <c r="Z232">
        <f t="shared" si="82"/>
        <v>0</v>
      </c>
      <c r="AA232">
        <f>IF(Y232&gt;='Loan Prepayment'!$E$11,'Loan Prepayment'!$E$12,'Loan Prepayment'!$B$6)</f>
        <v>6.5</v>
      </c>
      <c r="AB232">
        <f>IF(Z232&lt;=0,0,MIN(IF(Y232='Loan Prepayment'!$E$11,IF('Loan Prepayment'!$E$13="Keep tenure, recalculate EMI",-PMT(AA232/1200,MAX(1,'Loan Prepayment'!$B$7*12-Y232+1),Z232),AB231),AB231),Z232+AC232))</f>
        <v>0</v>
      </c>
      <c r="AC232">
        <f t="shared" si="72"/>
        <v>0</v>
      </c>
      <c r="AD232">
        <f t="shared" si="73"/>
        <v>0</v>
      </c>
      <c r="AE232">
        <f t="shared" si="74"/>
        <v>0</v>
      </c>
      <c r="AF232">
        <f t="shared" si="75"/>
        <v>0</v>
      </c>
      <c r="AG232">
        <v>231</v>
      </c>
      <c r="AH232">
        <f t="shared" si="83"/>
        <v>0</v>
      </c>
      <c r="AI232">
        <f>IF(AG232&gt;='Loan Prepayment'!$E$11,'Loan Prepayment'!$E$12,'Loan Prepayment'!$B$6)</f>
        <v>6.5</v>
      </c>
      <c r="AJ232">
        <f>IF(AH232&lt;=0,0,MIN(IF(AG232='Loan Prepayment'!$E$11,IF('Loan Prepayment'!$E$13="Keep tenure, recalculate EMI",-PMT(AI232/1200,MAX(1,'Loan Prepayment'!$B$7*12-AG232+1),AH232),IF(AND('Loan Prepayment'!$E$15="Reduce EMI",AM231&gt;0),-PMT(AI231/1200,MAX(1,'Loan Prepayment'!$B$7*12-AG232+1),AH232),AJ231)),IF(AND('Loan Prepayment'!$E$15="Reduce EMI",AM231&gt;0),-PMT(AI232/1200,MAX(1,'Loan Prepayment'!$B$7*12-AG232+1),AH232),AJ231)),AH232+AK232))</f>
        <v>0</v>
      </c>
      <c r="AK232">
        <f t="shared" si="76"/>
        <v>0</v>
      </c>
      <c r="AL232">
        <f t="shared" si="77"/>
        <v>0</v>
      </c>
      <c r="AM232">
        <f>IF(AH232&lt;=0,0,MIN(MAX(0,AH232-AL232),SUMIFS('Loan Prepayment'!$B$12:$B$31,'Loan Prepayment'!$A$12:$A$31,AG232)+IF(AND(AG232&gt;='Loan Prepayment'!$B$9,AG232&lt;='Loan Prepayment'!$E$16),'Loan Prepayment'!$B$8,0)))</f>
        <v>0</v>
      </c>
      <c r="AN232">
        <f t="shared" si="78"/>
        <v>0</v>
      </c>
    </row>
    <row r="233" spans="1:40" x14ac:dyDescent="0.35">
      <c r="A233">
        <v>232</v>
      </c>
      <c r="B233">
        <f t="shared" si="79"/>
        <v>702886.21598002641</v>
      </c>
      <c r="C233" s="64">
        <f>'Loan Prepayment'!$B$6</f>
        <v>7.5</v>
      </c>
      <c r="D233">
        <f>IF(B233&lt;=0,0,MIN(-PMT('Loan Prepayment'!$B$6/1200,'Loan Prepayment'!$B$7*12,'Loan Prepayment'!$B$5),B233+E233))</f>
        <v>80559.31935518072</v>
      </c>
      <c r="E233">
        <f t="shared" si="63"/>
        <v>4393.0388498751645</v>
      </c>
      <c r="F233">
        <f t="shared" si="64"/>
        <v>76166.280505305549</v>
      </c>
      <c r="G233">
        <v>0</v>
      </c>
      <c r="H233">
        <f t="shared" si="65"/>
        <v>626719.9354747209</v>
      </c>
      <c r="I233">
        <v>232</v>
      </c>
      <c r="J233">
        <f t="shared" si="80"/>
        <v>588596.4150917459</v>
      </c>
      <c r="K233" s="64">
        <f>'Loan Prepayment'!$B$6</f>
        <v>7.5</v>
      </c>
      <c r="L233">
        <f>IF(J233&lt;=0,0,MIN(IF(AND('Loan Prepayment'!$E$15="Reduce EMI",O232&gt;0),-PMT(K233/1200,MAX(1,'Loan Prepayment'!$B$7*12-I233+1),J233),L232),J233+M233))</f>
        <v>67460.316473241648</v>
      </c>
      <c r="M233">
        <f t="shared" si="66"/>
        <v>3678.7275943234122</v>
      </c>
      <c r="N233">
        <f t="shared" si="67"/>
        <v>63781.588878918235</v>
      </c>
      <c r="O233">
        <f>IF(J233&lt;=0,0,MIN(MAX(0,J233-N233),SUMIFS('Loan Prepayment'!$B$12:$B$31,'Loan Prepayment'!$A$12:$A$31,I233)+0))</f>
        <v>0</v>
      </c>
      <c r="P233">
        <f t="shared" si="68"/>
        <v>524814.8262128277</v>
      </c>
      <c r="Q233">
        <v>232</v>
      </c>
      <c r="R233">
        <f t="shared" si="81"/>
        <v>702886.21598002641</v>
      </c>
      <c r="S233" s="64">
        <f>'Loan Prepayment'!$B$6</f>
        <v>7.5</v>
      </c>
      <c r="T233">
        <f>IF(R233&lt;=0,0,MIN(IF(AND('Loan Prepayment'!$E$15="Reduce EMI",W232&gt;0),-PMT(S233/1200,MAX(1,'Loan Prepayment'!$B$7*12-Q233+1),R233),T232),R233+U233))</f>
        <v>80559.31935518072</v>
      </c>
      <c r="U233">
        <f t="shared" si="69"/>
        <v>4393.0388498751645</v>
      </c>
      <c r="V233">
        <f t="shared" si="70"/>
        <v>76166.280505305549</v>
      </c>
      <c r="W233">
        <f>IF(R233&lt;=0,0,MIN(MAX(0,R233-V233),0+IF(AND(Q233&gt;='Loan Prepayment'!$B$9,Q233&lt;='Loan Prepayment'!$E$16),'Loan Prepayment'!$B$8,0)))</f>
        <v>0</v>
      </c>
      <c r="X233">
        <f t="shared" si="71"/>
        <v>626719.9354747209</v>
      </c>
      <c r="Y233">
        <v>232</v>
      </c>
      <c r="Z233">
        <f t="shared" si="82"/>
        <v>0</v>
      </c>
      <c r="AA233">
        <f>IF(Y233&gt;='Loan Prepayment'!$E$11,'Loan Prepayment'!$E$12,'Loan Prepayment'!$B$6)</f>
        <v>6.5</v>
      </c>
      <c r="AB233">
        <f>IF(Z233&lt;=0,0,MIN(IF(Y233='Loan Prepayment'!$E$11,IF('Loan Prepayment'!$E$13="Keep tenure, recalculate EMI",-PMT(AA233/1200,MAX(1,'Loan Prepayment'!$B$7*12-Y233+1),Z233),AB232),AB232),Z233+AC233))</f>
        <v>0</v>
      </c>
      <c r="AC233">
        <f t="shared" si="72"/>
        <v>0</v>
      </c>
      <c r="AD233">
        <f t="shared" si="73"/>
        <v>0</v>
      </c>
      <c r="AE233">
        <f t="shared" si="74"/>
        <v>0</v>
      </c>
      <c r="AF233">
        <f t="shared" si="75"/>
        <v>0</v>
      </c>
      <c r="AG233">
        <v>232</v>
      </c>
      <c r="AH233">
        <f t="shared" si="83"/>
        <v>0</v>
      </c>
      <c r="AI233">
        <f>IF(AG233&gt;='Loan Prepayment'!$E$11,'Loan Prepayment'!$E$12,'Loan Prepayment'!$B$6)</f>
        <v>6.5</v>
      </c>
      <c r="AJ233">
        <f>IF(AH233&lt;=0,0,MIN(IF(AG233='Loan Prepayment'!$E$11,IF('Loan Prepayment'!$E$13="Keep tenure, recalculate EMI",-PMT(AI233/1200,MAX(1,'Loan Prepayment'!$B$7*12-AG233+1),AH233),IF(AND('Loan Prepayment'!$E$15="Reduce EMI",AM232&gt;0),-PMT(AI232/1200,MAX(1,'Loan Prepayment'!$B$7*12-AG233+1),AH233),AJ232)),IF(AND('Loan Prepayment'!$E$15="Reduce EMI",AM232&gt;0),-PMT(AI233/1200,MAX(1,'Loan Prepayment'!$B$7*12-AG233+1),AH233),AJ232)),AH233+AK233))</f>
        <v>0</v>
      </c>
      <c r="AK233">
        <f t="shared" si="76"/>
        <v>0</v>
      </c>
      <c r="AL233">
        <f t="shared" si="77"/>
        <v>0</v>
      </c>
      <c r="AM233">
        <f>IF(AH233&lt;=0,0,MIN(MAX(0,AH233-AL233),SUMIFS('Loan Prepayment'!$B$12:$B$31,'Loan Prepayment'!$A$12:$A$31,AG233)+IF(AND(AG233&gt;='Loan Prepayment'!$B$9,AG233&lt;='Loan Prepayment'!$E$16),'Loan Prepayment'!$B$8,0)))</f>
        <v>0</v>
      </c>
      <c r="AN233">
        <f t="shared" si="78"/>
        <v>0</v>
      </c>
    </row>
    <row r="234" spans="1:40" x14ac:dyDescent="0.35">
      <c r="A234">
        <v>233</v>
      </c>
      <c r="B234">
        <f t="shared" si="79"/>
        <v>626719.9354747209</v>
      </c>
      <c r="C234" s="64">
        <f>'Loan Prepayment'!$B$6</f>
        <v>7.5</v>
      </c>
      <c r="D234">
        <f>IF(B234&lt;=0,0,MIN(-PMT('Loan Prepayment'!$B$6/1200,'Loan Prepayment'!$B$7*12,'Loan Prepayment'!$B$5),B234+E234))</f>
        <v>80559.31935518072</v>
      </c>
      <c r="E234">
        <f t="shared" si="63"/>
        <v>3916.9995967170053</v>
      </c>
      <c r="F234">
        <f t="shared" si="64"/>
        <v>76642.319758463709</v>
      </c>
      <c r="G234">
        <v>0</v>
      </c>
      <c r="H234">
        <f t="shared" si="65"/>
        <v>550077.61571625713</v>
      </c>
      <c r="I234">
        <v>233</v>
      </c>
      <c r="J234">
        <f t="shared" si="80"/>
        <v>524814.8262128277</v>
      </c>
      <c r="K234" s="64">
        <f>'Loan Prepayment'!$B$6</f>
        <v>7.5</v>
      </c>
      <c r="L234">
        <f>IF(J234&lt;=0,0,MIN(IF(AND('Loan Prepayment'!$E$15="Reduce EMI",O233&gt;0),-PMT(K234/1200,MAX(1,'Loan Prepayment'!$B$7*12-I234+1),J234),L233),J234+M234))</f>
        <v>67460.316473241648</v>
      </c>
      <c r="M234">
        <f t="shared" si="66"/>
        <v>3280.092663830173</v>
      </c>
      <c r="N234">
        <f t="shared" si="67"/>
        <v>64180.223809411473</v>
      </c>
      <c r="O234">
        <f>IF(J234&lt;=0,0,MIN(MAX(0,J234-N234),SUMIFS('Loan Prepayment'!$B$12:$B$31,'Loan Prepayment'!$A$12:$A$31,I234)+0))</f>
        <v>0</v>
      </c>
      <c r="P234">
        <f t="shared" si="68"/>
        <v>460634.60240341624</v>
      </c>
      <c r="Q234">
        <v>233</v>
      </c>
      <c r="R234">
        <f t="shared" si="81"/>
        <v>626719.9354747209</v>
      </c>
      <c r="S234" s="64">
        <f>'Loan Prepayment'!$B$6</f>
        <v>7.5</v>
      </c>
      <c r="T234">
        <f>IF(R234&lt;=0,0,MIN(IF(AND('Loan Prepayment'!$E$15="Reduce EMI",W233&gt;0),-PMT(S234/1200,MAX(1,'Loan Prepayment'!$B$7*12-Q234+1),R234),T233),R234+U234))</f>
        <v>80559.31935518072</v>
      </c>
      <c r="U234">
        <f t="shared" si="69"/>
        <v>3916.9995967170053</v>
      </c>
      <c r="V234">
        <f t="shared" si="70"/>
        <v>76642.319758463709</v>
      </c>
      <c r="W234">
        <f>IF(R234&lt;=0,0,MIN(MAX(0,R234-V234),0+IF(AND(Q234&gt;='Loan Prepayment'!$B$9,Q234&lt;='Loan Prepayment'!$E$16),'Loan Prepayment'!$B$8,0)))</f>
        <v>0</v>
      </c>
      <c r="X234">
        <f t="shared" si="71"/>
        <v>550077.61571625713</v>
      </c>
      <c r="Y234">
        <v>233</v>
      </c>
      <c r="Z234">
        <f t="shared" si="82"/>
        <v>0</v>
      </c>
      <c r="AA234">
        <f>IF(Y234&gt;='Loan Prepayment'!$E$11,'Loan Prepayment'!$E$12,'Loan Prepayment'!$B$6)</f>
        <v>6.5</v>
      </c>
      <c r="AB234">
        <f>IF(Z234&lt;=0,0,MIN(IF(Y234='Loan Prepayment'!$E$11,IF('Loan Prepayment'!$E$13="Keep tenure, recalculate EMI",-PMT(AA234/1200,MAX(1,'Loan Prepayment'!$B$7*12-Y234+1),Z234),AB233),AB233),Z234+AC234))</f>
        <v>0</v>
      </c>
      <c r="AC234">
        <f t="shared" si="72"/>
        <v>0</v>
      </c>
      <c r="AD234">
        <f t="shared" si="73"/>
        <v>0</v>
      </c>
      <c r="AE234">
        <f t="shared" si="74"/>
        <v>0</v>
      </c>
      <c r="AF234">
        <f t="shared" si="75"/>
        <v>0</v>
      </c>
      <c r="AG234">
        <v>233</v>
      </c>
      <c r="AH234">
        <f t="shared" si="83"/>
        <v>0</v>
      </c>
      <c r="AI234">
        <f>IF(AG234&gt;='Loan Prepayment'!$E$11,'Loan Prepayment'!$E$12,'Loan Prepayment'!$B$6)</f>
        <v>6.5</v>
      </c>
      <c r="AJ234">
        <f>IF(AH234&lt;=0,0,MIN(IF(AG234='Loan Prepayment'!$E$11,IF('Loan Prepayment'!$E$13="Keep tenure, recalculate EMI",-PMT(AI234/1200,MAX(1,'Loan Prepayment'!$B$7*12-AG234+1),AH234),IF(AND('Loan Prepayment'!$E$15="Reduce EMI",AM233&gt;0),-PMT(AI233/1200,MAX(1,'Loan Prepayment'!$B$7*12-AG234+1),AH234),AJ233)),IF(AND('Loan Prepayment'!$E$15="Reduce EMI",AM233&gt;0),-PMT(AI234/1200,MAX(1,'Loan Prepayment'!$B$7*12-AG234+1),AH234),AJ233)),AH234+AK234))</f>
        <v>0</v>
      </c>
      <c r="AK234">
        <f t="shared" si="76"/>
        <v>0</v>
      </c>
      <c r="AL234">
        <f t="shared" si="77"/>
        <v>0</v>
      </c>
      <c r="AM234">
        <f>IF(AH234&lt;=0,0,MIN(MAX(0,AH234-AL234),SUMIFS('Loan Prepayment'!$B$12:$B$31,'Loan Prepayment'!$A$12:$A$31,AG234)+IF(AND(AG234&gt;='Loan Prepayment'!$B$9,AG234&lt;='Loan Prepayment'!$E$16),'Loan Prepayment'!$B$8,0)))</f>
        <v>0</v>
      </c>
      <c r="AN234">
        <f t="shared" si="78"/>
        <v>0</v>
      </c>
    </row>
    <row r="235" spans="1:40" x14ac:dyDescent="0.35">
      <c r="A235">
        <v>234</v>
      </c>
      <c r="B235">
        <f t="shared" si="79"/>
        <v>550077.61571625713</v>
      </c>
      <c r="C235" s="64">
        <f>'Loan Prepayment'!$B$6</f>
        <v>7.5</v>
      </c>
      <c r="D235">
        <f>IF(B235&lt;=0,0,MIN(-PMT('Loan Prepayment'!$B$6/1200,'Loan Prepayment'!$B$7*12,'Loan Prepayment'!$B$5),B235+E235))</f>
        <v>80559.31935518072</v>
      </c>
      <c r="E235">
        <f t="shared" si="63"/>
        <v>3437.9850982266071</v>
      </c>
      <c r="F235">
        <f t="shared" si="64"/>
        <v>77121.334256954113</v>
      </c>
      <c r="G235">
        <v>0</v>
      </c>
      <c r="H235">
        <f t="shared" si="65"/>
        <v>472956.28145930299</v>
      </c>
      <c r="I235">
        <v>234</v>
      </c>
      <c r="J235">
        <f t="shared" si="80"/>
        <v>460634.60240341624</v>
      </c>
      <c r="K235" s="64">
        <f>'Loan Prepayment'!$B$6</f>
        <v>7.5</v>
      </c>
      <c r="L235">
        <f>IF(J235&lt;=0,0,MIN(IF(AND('Loan Prepayment'!$E$15="Reduce EMI",O234&gt;0),-PMT(K235/1200,MAX(1,'Loan Prepayment'!$B$7*12-I235+1),J235),L234),J235+M235))</f>
        <v>67460.316473241648</v>
      </c>
      <c r="M235">
        <f t="shared" si="66"/>
        <v>2878.9662650213513</v>
      </c>
      <c r="N235">
        <f t="shared" si="67"/>
        <v>64581.350208220298</v>
      </c>
      <c r="O235">
        <f>IF(J235&lt;=0,0,MIN(MAX(0,J235-N235),SUMIFS('Loan Prepayment'!$B$12:$B$31,'Loan Prepayment'!$A$12:$A$31,I235)+0))</f>
        <v>0</v>
      </c>
      <c r="P235">
        <f t="shared" si="68"/>
        <v>396053.25219519594</v>
      </c>
      <c r="Q235">
        <v>234</v>
      </c>
      <c r="R235">
        <f t="shared" si="81"/>
        <v>550077.61571625713</v>
      </c>
      <c r="S235" s="64">
        <f>'Loan Prepayment'!$B$6</f>
        <v>7.5</v>
      </c>
      <c r="T235">
        <f>IF(R235&lt;=0,0,MIN(IF(AND('Loan Prepayment'!$E$15="Reduce EMI",W234&gt;0),-PMT(S235/1200,MAX(1,'Loan Prepayment'!$B$7*12-Q235+1),R235),T234),R235+U235))</f>
        <v>80559.31935518072</v>
      </c>
      <c r="U235">
        <f t="shared" si="69"/>
        <v>3437.9850982266071</v>
      </c>
      <c r="V235">
        <f t="shared" si="70"/>
        <v>77121.334256954113</v>
      </c>
      <c r="W235">
        <f>IF(R235&lt;=0,0,MIN(MAX(0,R235-V235),0+IF(AND(Q235&gt;='Loan Prepayment'!$B$9,Q235&lt;='Loan Prepayment'!$E$16),'Loan Prepayment'!$B$8,0)))</f>
        <v>0</v>
      </c>
      <c r="X235">
        <f t="shared" si="71"/>
        <v>472956.28145930299</v>
      </c>
      <c r="Y235">
        <v>234</v>
      </c>
      <c r="Z235">
        <f t="shared" si="82"/>
        <v>0</v>
      </c>
      <c r="AA235">
        <f>IF(Y235&gt;='Loan Prepayment'!$E$11,'Loan Prepayment'!$E$12,'Loan Prepayment'!$B$6)</f>
        <v>6.5</v>
      </c>
      <c r="AB235">
        <f>IF(Z235&lt;=0,0,MIN(IF(Y235='Loan Prepayment'!$E$11,IF('Loan Prepayment'!$E$13="Keep tenure, recalculate EMI",-PMT(AA235/1200,MAX(1,'Loan Prepayment'!$B$7*12-Y235+1),Z235),AB234),AB234),Z235+AC235))</f>
        <v>0</v>
      </c>
      <c r="AC235">
        <f t="shared" si="72"/>
        <v>0</v>
      </c>
      <c r="AD235">
        <f t="shared" si="73"/>
        <v>0</v>
      </c>
      <c r="AE235">
        <f t="shared" si="74"/>
        <v>0</v>
      </c>
      <c r="AF235">
        <f t="shared" si="75"/>
        <v>0</v>
      </c>
      <c r="AG235">
        <v>234</v>
      </c>
      <c r="AH235">
        <f t="shared" si="83"/>
        <v>0</v>
      </c>
      <c r="AI235">
        <f>IF(AG235&gt;='Loan Prepayment'!$E$11,'Loan Prepayment'!$E$12,'Loan Prepayment'!$B$6)</f>
        <v>6.5</v>
      </c>
      <c r="AJ235">
        <f>IF(AH235&lt;=0,0,MIN(IF(AG235='Loan Prepayment'!$E$11,IF('Loan Prepayment'!$E$13="Keep tenure, recalculate EMI",-PMT(AI235/1200,MAX(1,'Loan Prepayment'!$B$7*12-AG235+1),AH235),IF(AND('Loan Prepayment'!$E$15="Reduce EMI",AM234&gt;0),-PMT(AI234/1200,MAX(1,'Loan Prepayment'!$B$7*12-AG235+1),AH235),AJ234)),IF(AND('Loan Prepayment'!$E$15="Reduce EMI",AM234&gt;0),-PMT(AI235/1200,MAX(1,'Loan Prepayment'!$B$7*12-AG235+1),AH235),AJ234)),AH235+AK235))</f>
        <v>0</v>
      </c>
      <c r="AK235">
        <f t="shared" si="76"/>
        <v>0</v>
      </c>
      <c r="AL235">
        <f t="shared" si="77"/>
        <v>0</v>
      </c>
      <c r="AM235">
        <f>IF(AH235&lt;=0,0,MIN(MAX(0,AH235-AL235),SUMIFS('Loan Prepayment'!$B$12:$B$31,'Loan Prepayment'!$A$12:$A$31,AG235)+IF(AND(AG235&gt;='Loan Prepayment'!$B$9,AG235&lt;='Loan Prepayment'!$E$16),'Loan Prepayment'!$B$8,0)))</f>
        <v>0</v>
      </c>
      <c r="AN235">
        <f t="shared" si="78"/>
        <v>0</v>
      </c>
    </row>
    <row r="236" spans="1:40" x14ac:dyDescent="0.35">
      <c r="A236">
        <v>235</v>
      </c>
      <c r="B236">
        <f t="shared" si="79"/>
        <v>472956.28145930299</v>
      </c>
      <c r="C236" s="64">
        <f>'Loan Prepayment'!$B$6</f>
        <v>7.5</v>
      </c>
      <c r="D236">
        <f>IF(B236&lt;=0,0,MIN(-PMT('Loan Prepayment'!$B$6/1200,'Loan Prepayment'!$B$7*12,'Loan Prepayment'!$B$5),B236+E236))</f>
        <v>80559.31935518072</v>
      </c>
      <c r="E236">
        <f t="shared" si="63"/>
        <v>2955.9767591206437</v>
      </c>
      <c r="F236">
        <f t="shared" si="64"/>
        <v>77603.342596060073</v>
      </c>
      <c r="G236">
        <v>0</v>
      </c>
      <c r="H236">
        <f t="shared" si="65"/>
        <v>395352.93886324292</v>
      </c>
      <c r="I236">
        <v>235</v>
      </c>
      <c r="J236">
        <f t="shared" si="80"/>
        <v>396053.25219519594</v>
      </c>
      <c r="K236" s="64">
        <f>'Loan Prepayment'!$B$6</f>
        <v>7.5</v>
      </c>
      <c r="L236">
        <f>IF(J236&lt;=0,0,MIN(IF(AND('Loan Prepayment'!$E$15="Reduce EMI",O235&gt;0),-PMT(K236/1200,MAX(1,'Loan Prepayment'!$B$7*12-I236+1),J236),L235),J236+M236))</f>
        <v>67460.316473241648</v>
      </c>
      <c r="M236">
        <f t="shared" si="66"/>
        <v>2475.3328262199743</v>
      </c>
      <c r="N236">
        <f t="shared" si="67"/>
        <v>64984.983647021676</v>
      </c>
      <c r="O236">
        <f>IF(J236&lt;=0,0,MIN(MAX(0,J236-N236),SUMIFS('Loan Prepayment'!$B$12:$B$31,'Loan Prepayment'!$A$12:$A$31,I236)+0))</f>
        <v>0</v>
      </c>
      <c r="P236">
        <f t="shared" si="68"/>
        <v>331068.26854817424</v>
      </c>
      <c r="Q236">
        <v>235</v>
      </c>
      <c r="R236">
        <f t="shared" si="81"/>
        <v>472956.28145930299</v>
      </c>
      <c r="S236" s="64">
        <f>'Loan Prepayment'!$B$6</f>
        <v>7.5</v>
      </c>
      <c r="T236">
        <f>IF(R236&lt;=0,0,MIN(IF(AND('Loan Prepayment'!$E$15="Reduce EMI",W235&gt;0),-PMT(S236/1200,MAX(1,'Loan Prepayment'!$B$7*12-Q236+1),R236),T235),R236+U236))</f>
        <v>80559.31935518072</v>
      </c>
      <c r="U236">
        <f t="shared" si="69"/>
        <v>2955.9767591206437</v>
      </c>
      <c r="V236">
        <f t="shared" si="70"/>
        <v>77603.342596060073</v>
      </c>
      <c r="W236">
        <f>IF(R236&lt;=0,0,MIN(MAX(0,R236-V236),0+IF(AND(Q236&gt;='Loan Prepayment'!$B$9,Q236&lt;='Loan Prepayment'!$E$16),'Loan Prepayment'!$B$8,0)))</f>
        <v>0</v>
      </c>
      <c r="X236">
        <f t="shared" si="71"/>
        <v>395352.93886324292</v>
      </c>
      <c r="Y236">
        <v>235</v>
      </c>
      <c r="Z236">
        <f t="shared" si="82"/>
        <v>0</v>
      </c>
      <c r="AA236">
        <f>IF(Y236&gt;='Loan Prepayment'!$E$11,'Loan Prepayment'!$E$12,'Loan Prepayment'!$B$6)</f>
        <v>6.5</v>
      </c>
      <c r="AB236">
        <f>IF(Z236&lt;=0,0,MIN(IF(Y236='Loan Prepayment'!$E$11,IF('Loan Prepayment'!$E$13="Keep tenure, recalculate EMI",-PMT(AA236/1200,MAX(1,'Loan Prepayment'!$B$7*12-Y236+1),Z236),AB235),AB235),Z236+AC236))</f>
        <v>0</v>
      </c>
      <c r="AC236">
        <f t="shared" si="72"/>
        <v>0</v>
      </c>
      <c r="AD236">
        <f t="shared" si="73"/>
        <v>0</v>
      </c>
      <c r="AE236">
        <f t="shared" si="74"/>
        <v>0</v>
      </c>
      <c r="AF236">
        <f t="shared" si="75"/>
        <v>0</v>
      </c>
      <c r="AG236">
        <v>235</v>
      </c>
      <c r="AH236">
        <f t="shared" si="83"/>
        <v>0</v>
      </c>
      <c r="AI236">
        <f>IF(AG236&gt;='Loan Prepayment'!$E$11,'Loan Prepayment'!$E$12,'Loan Prepayment'!$B$6)</f>
        <v>6.5</v>
      </c>
      <c r="AJ236">
        <f>IF(AH236&lt;=0,0,MIN(IF(AG236='Loan Prepayment'!$E$11,IF('Loan Prepayment'!$E$13="Keep tenure, recalculate EMI",-PMT(AI236/1200,MAX(1,'Loan Prepayment'!$B$7*12-AG236+1),AH236),IF(AND('Loan Prepayment'!$E$15="Reduce EMI",AM235&gt;0),-PMT(AI235/1200,MAX(1,'Loan Prepayment'!$B$7*12-AG236+1),AH236),AJ235)),IF(AND('Loan Prepayment'!$E$15="Reduce EMI",AM235&gt;0),-PMT(AI236/1200,MAX(1,'Loan Prepayment'!$B$7*12-AG236+1),AH236),AJ235)),AH236+AK236))</f>
        <v>0</v>
      </c>
      <c r="AK236">
        <f t="shared" si="76"/>
        <v>0</v>
      </c>
      <c r="AL236">
        <f t="shared" si="77"/>
        <v>0</v>
      </c>
      <c r="AM236">
        <f>IF(AH236&lt;=0,0,MIN(MAX(0,AH236-AL236),SUMIFS('Loan Prepayment'!$B$12:$B$31,'Loan Prepayment'!$A$12:$A$31,AG236)+IF(AND(AG236&gt;='Loan Prepayment'!$B$9,AG236&lt;='Loan Prepayment'!$E$16),'Loan Prepayment'!$B$8,0)))</f>
        <v>0</v>
      </c>
      <c r="AN236">
        <f t="shared" si="78"/>
        <v>0</v>
      </c>
    </row>
    <row r="237" spans="1:40" x14ac:dyDescent="0.35">
      <c r="A237">
        <v>236</v>
      </c>
      <c r="B237">
        <f t="shared" si="79"/>
        <v>395352.93886324292</v>
      </c>
      <c r="C237" s="64">
        <f>'Loan Prepayment'!$B$6</f>
        <v>7.5</v>
      </c>
      <c r="D237">
        <f>IF(B237&lt;=0,0,MIN(-PMT('Loan Prepayment'!$B$6/1200,'Loan Prepayment'!$B$7*12,'Loan Prepayment'!$B$5),B237+E237))</f>
        <v>80559.31935518072</v>
      </c>
      <c r="E237">
        <f t="shared" si="63"/>
        <v>2470.9558678952681</v>
      </c>
      <c r="F237">
        <f t="shared" si="64"/>
        <v>78088.363487285445</v>
      </c>
      <c r="G237">
        <v>0</v>
      </c>
      <c r="H237">
        <f t="shared" si="65"/>
        <v>317264.57537595747</v>
      </c>
      <c r="I237">
        <v>236</v>
      </c>
      <c r="J237">
        <f t="shared" si="80"/>
        <v>331068.26854817424</v>
      </c>
      <c r="K237" s="64">
        <f>'Loan Prepayment'!$B$6</f>
        <v>7.5</v>
      </c>
      <c r="L237">
        <f>IF(J237&lt;=0,0,MIN(IF(AND('Loan Prepayment'!$E$15="Reduce EMI",O236&gt;0),-PMT(K237/1200,MAX(1,'Loan Prepayment'!$B$7*12-I237+1),J237),L236),J237+M237))</f>
        <v>67460.316473241648</v>
      </c>
      <c r="M237">
        <f t="shared" si="66"/>
        <v>2069.176678426089</v>
      </c>
      <c r="N237">
        <f t="shared" si="67"/>
        <v>65391.139794815557</v>
      </c>
      <c r="O237">
        <f>IF(J237&lt;=0,0,MIN(MAX(0,J237-N237),SUMIFS('Loan Prepayment'!$B$12:$B$31,'Loan Prepayment'!$A$12:$A$31,I237)+0))</f>
        <v>0</v>
      </c>
      <c r="P237">
        <f t="shared" si="68"/>
        <v>265677.12875335867</v>
      </c>
      <c r="Q237">
        <v>236</v>
      </c>
      <c r="R237">
        <f t="shared" si="81"/>
        <v>395352.93886324292</v>
      </c>
      <c r="S237" s="64">
        <f>'Loan Prepayment'!$B$6</f>
        <v>7.5</v>
      </c>
      <c r="T237">
        <f>IF(R237&lt;=0,0,MIN(IF(AND('Loan Prepayment'!$E$15="Reduce EMI",W236&gt;0),-PMT(S237/1200,MAX(1,'Loan Prepayment'!$B$7*12-Q237+1),R237),T236),R237+U237))</f>
        <v>80559.31935518072</v>
      </c>
      <c r="U237">
        <f t="shared" si="69"/>
        <v>2470.9558678952681</v>
      </c>
      <c r="V237">
        <f t="shared" si="70"/>
        <v>78088.363487285445</v>
      </c>
      <c r="W237">
        <f>IF(R237&lt;=0,0,MIN(MAX(0,R237-V237),0+IF(AND(Q237&gt;='Loan Prepayment'!$B$9,Q237&lt;='Loan Prepayment'!$E$16),'Loan Prepayment'!$B$8,0)))</f>
        <v>0</v>
      </c>
      <c r="X237">
        <f t="shared" si="71"/>
        <v>317264.57537595747</v>
      </c>
      <c r="Y237">
        <v>236</v>
      </c>
      <c r="Z237">
        <f t="shared" si="82"/>
        <v>0</v>
      </c>
      <c r="AA237">
        <f>IF(Y237&gt;='Loan Prepayment'!$E$11,'Loan Prepayment'!$E$12,'Loan Prepayment'!$B$6)</f>
        <v>6.5</v>
      </c>
      <c r="AB237">
        <f>IF(Z237&lt;=0,0,MIN(IF(Y237='Loan Prepayment'!$E$11,IF('Loan Prepayment'!$E$13="Keep tenure, recalculate EMI",-PMT(AA237/1200,MAX(1,'Loan Prepayment'!$B$7*12-Y237+1),Z237),AB236),AB236),Z237+AC237))</f>
        <v>0</v>
      </c>
      <c r="AC237">
        <f t="shared" si="72"/>
        <v>0</v>
      </c>
      <c r="AD237">
        <f t="shared" si="73"/>
        <v>0</v>
      </c>
      <c r="AE237">
        <f t="shared" si="74"/>
        <v>0</v>
      </c>
      <c r="AF237">
        <f t="shared" si="75"/>
        <v>0</v>
      </c>
      <c r="AG237">
        <v>236</v>
      </c>
      <c r="AH237">
        <f t="shared" si="83"/>
        <v>0</v>
      </c>
      <c r="AI237">
        <f>IF(AG237&gt;='Loan Prepayment'!$E$11,'Loan Prepayment'!$E$12,'Loan Prepayment'!$B$6)</f>
        <v>6.5</v>
      </c>
      <c r="AJ237">
        <f>IF(AH237&lt;=0,0,MIN(IF(AG237='Loan Prepayment'!$E$11,IF('Loan Prepayment'!$E$13="Keep tenure, recalculate EMI",-PMT(AI237/1200,MAX(1,'Loan Prepayment'!$B$7*12-AG237+1),AH237),IF(AND('Loan Prepayment'!$E$15="Reduce EMI",AM236&gt;0),-PMT(AI236/1200,MAX(1,'Loan Prepayment'!$B$7*12-AG237+1),AH237),AJ236)),IF(AND('Loan Prepayment'!$E$15="Reduce EMI",AM236&gt;0),-PMT(AI237/1200,MAX(1,'Loan Prepayment'!$B$7*12-AG237+1),AH237),AJ236)),AH237+AK237))</f>
        <v>0</v>
      </c>
      <c r="AK237">
        <f t="shared" si="76"/>
        <v>0</v>
      </c>
      <c r="AL237">
        <f t="shared" si="77"/>
        <v>0</v>
      </c>
      <c r="AM237">
        <f>IF(AH237&lt;=0,0,MIN(MAX(0,AH237-AL237),SUMIFS('Loan Prepayment'!$B$12:$B$31,'Loan Prepayment'!$A$12:$A$31,AG237)+IF(AND(AG237&gt;='Loan Prepayment'!$B$9,AG237&lt;='Loan Prepayment'!$E$16),'Loan Prepayment'!$B$8,0)))</f>
        <v>0</v>
      </c>
      <c r="AN237">
        <f t="shared" si="78"/>
        <v>0</v>
      </c>
    </row>
    <row r="238" spans="1:40" x14ac:dyDescent="0.35">
      <c r="A238">
        <v>237</v>
      </c>
      <c r="B238">
        <f t="shared" si="79"/>
        <v>317264.57537595747</v>
      </c>
      <c r="C238" s="64">
        <f>'Loan Prepayment'!$B$6</f>
        <v>7.5</v>
      </c>
      <c r="D238">
        <f>IF(B238&lt;=0,0,MIN(-PMT('Loan Prepayment'!$B$6/1200,'Loan Prepayment'!$B$7*12,'Loan Prepayment'!$B$5),B238+E238))</f>
        <v>80559.31935518072</v>
      </c>
      <c r="E238">
        <f t="shared" si="63"/>
        <v>1982.9035960997342</v>
      </c>
      <c r="F238">
        <f t="shared" si="64"/>
        <v>78576.415759080992</v>
      </c>
      <c r="G238">
        <v>0</v>
      </c>
      <c r="H238">
        <f t="shared" si="65"/>
        <v>238688.15961687648</v>
      </c>
      <c r="I238">
        <v>237</v>
      </c>
      <c r="J238">
        <f t="shared" si="80"/>
        <v>265677.12875335867</v>
      </c>
      <c r="K238" s="64">
        <f>'Loan Prepayment'!$B$6</f>
        <v>7.5</v>
      </c>
      <c r="L238">
        <f>IF(J238&lt;=0,0,MIN(IF(AND('Loan Prepayment'!$E$15="Reduce EMI",O237&gt;0),-PMT(K238/1200,MAX(1,'Loan Prepayment'!$B$7*12-I238+1),J238),L237),J238+M238))</f>
        <v>67460.316473241648</v>
      </c>
      <c r="M238">
        <f t="shared" si="66"/>
        <v>1660.4820547084919</v>
      </c>
      <c r="N238">
        <f t="shared" si="67"/>
        <v>65799.834418533152</v>
      </c>
      <c r="O238">
        <f>IF(J238&lt;=0,0,MIN(MAX(0,J238-N238),SUMIFS('Loan Prepayment'!$B$12:$B$31,'Loan Prepayment'!$A$12:$A$31,I238)+0))</f>
        <v>0</v>
      </c>
      <c r="P238">
        <f t="shared" si="68"/>
        <v>199877.29433482554</v>
      </c>
      <c r="Q238">
        <v>237</v>
      </c>
      <c r="R238">
        <f t="shared" si="81"/>
        <v>317264.57537595747</v>
      </c>
      <c r="S238" s="64">
        <f>'Loan Prepayment'!$B$6</f>
        <v>7.5</v>
      </c>
      <c r="T238">
        <f>IF(R238&lt;=0,0,MIN(IF(AND('Loan Prepayment'!$E$15="Reduce EMI",W237&gt;0),-PMT(S238/1200,MAX(1,'Loan Prepayment'!$B$7*12-Q238+1),R238),T237),R238+U238))</f>
        <v>80559.31935518072</v>
      </c>
      <c r="U238">
        <f t="shared" si="69"/>
        <v>1982.9035960997342</v>
      </c>
      <c r="V238">
        <f t="shared" si="70"/>
        <v>78576.415759080992</v>
      </c>
      <c r="W238">
        <f>IF(R238&lt;=0,0,MIN(MAX(0,R238-V238),0+IF(AND(Q238&gt;='Loan Prepayment'!$B$9,Q238&lt;='Loan Prepayment'!$E$16),'Loan Prepayment'!$B$8,0)))</f>
        <v>0</v>
      </c>
      <c r="X238">
        <f t="shared" si="71"/>
        <v>238688.15961687648</v>
      </c>
      <c r="Y238">
        <v>237</v>
      </c>
      <c r="Z238">
        <f t="shared" si="82"/>
        <v>0</v>
      </c>
      <c r="AA238">
        <f>IF(Y238&gt;='Loan Prepayment'!$E$11,'Loan Prepayment'!$E$12,'Loan Prepayment'!$B$6)</f>
        <v>6.5</v>
      </c>
      <c r="AB238">
        <f>IF(Z238&lt;=0,0,MIN(IF(Y238='Loan Prepayment'!$E$11,IF('Loan Prepayment'!$E$13="Keep tenure, recalculate EMI",-PMT(AA238/1200,MAX(1,'Loan Prepayment'!$B$7*12-Y238+1),Z238),AB237),AB237),Z238+AC238))</f>
        <v>0</v>
      </c>
      <c r="AC238">
        <f t="shared" si="72"/>
        <v>0</v>
      </c>
      <c r="AD238">
        <f t="shared" si="73"/>
        <v>0</v>
      </c>
      <c r="AE238">
        <f t="shared" si="74"/>
        <v>0</v>
      </c>
      <c r="AF238">
        <f t="shared" si="75"/>
        <v>0</v>
      </c>
      <c r="AG238">
        <v>237</v>
      </c>
      <c r="AH238">
        <f t="shared" si="83"/>
        <v>0</v>
      </c>
      <c r="AI238">
        <f>IF(AG238&gt;='Loan Prepayment'!$E$11,'Loan Prepayment'!$E$12,'Loan Prepayment'!$B$6)</f>
        <v>6.5</v>
      </c>
      <c r="AJ238">
        <f>IF(AH238&lt;=0,0,MIN(IF(AG238='Loan Prepayment'!$E$11,IF('Loan Prepayment'!$E$13="Keep tenure, recalculate EMI",-PMT(AI238/1200,MAX(1,'Loan Prepayment'!$B$7*12-AG238+1),AH238),IF(AND('Loan Prepayment'!$E$15="Reduce EMI",AM237&gt;0),-PMT(AI237/1200,MAX(1,'Loan Prepayment'!$B$7*12-AG238+1),AH238),AJ237)),IF(AND('Loan Prepayment'!$E$15="Reduce EMI",AM237&gt;0),-PMT(AI238/1200,MAX(1,'Loan Prepayment'!$B$7*12-AG238+1),AH238),AJ237)),AH238+AK238))</f>
        <v>0</v>
      </c>
      <c r="AK238">
        <f t="shared" si="76"/>
        <v>0</v>
      </c>
      <c r="AL238">
        <f t="shared" si="77"/>
        <v>0</v>
      </c>
      <c r="AM238">
        <f>IF(AH238&lt;=0,0,MIN(MAX(0,AH238-AL238),SUMIFS('Loan Prepayment'!$B$12:$B$31,'Loan Prepayment'!$A$12:$A$31,AG238)+IF(AND(AG238&gt;='Loan Prepayment'!$B$9,AG238&lt;='Loan Prepayment'!$E$16),'Loan Prepayment'!$B$8,0)))</f>
        <v>0</v>
      </c>
      <c r="AN238">
        <f t="shared" si="78"/>
        <v>0</v>
      </c>
    </row>
    <row r="239" spans="1:40" x14ac:dyDescent="0.35">
      <c r="A239">
        <v>238</v>
      </c>
      <c r="B239">
        <f t="shared" si="79"/>
        <v>238688.15961687648</v>
      </c>
      <c r="C239" s="64">
        <f>'Loan Prepayment'!$B$6</f>
        <v>7.5</v>
      </c>
      <c r="D239">
        <f>IF(B239&lt;=0,0,MIN(-PMT('Loan Prepayment'!$B$6/1200,'Loan Prepayment'!$B$7*12,'Loan Prepayment'!$B$5),B239+E239))</f>
        <v>80559.31935518072</v>
      </c>
      <c r="E239">
        <f t="shared" si="63"/>
        <v>1491.800997605478</v>
      </c>
      <c r="F239">
        <f t="shared" si="64"/>
        <v>79067.518357575245</v>
      </c>
      <c r="G239">
        <v>0</v>
      </c>
      <c r="H239">
        <f t="shared" si="65"/>
        <v>159620.64125930122</v>
      </c>
      <c r="I239">
        <v>238</v>
      </c>
      <c r="J239">
        <f t="shared" si="80"/>
        <v>199877.29433482554</v>
      </c>
      <c r="K239" s="64">
        <f>'Loan Prepayment'!$B$6</f>
        <v>7.5</v>
      </c>
      <c r="L239">
        <f>IF(J239&lt;=0,0,MIN(IF(AND('Loan Prepayment'!$E$15="Reduce EMI",O238&gt;0),-PMT(K239/1200,MAX(1,'Loan Prepayment'!$B$7*12-I239+1),J239),L238),J239+M239))</f>
        <v>67460.316473241648</v>
      </c>
      <c r="M239">
        <f t="shared" si="66"/>
        <v>1249.2330895926596</v>
      </c>
      <c r="N239">
        <f t="shared" si="67"/>
        <v>66211.083383648991</v>
      </c>
      <c r="O239">
        <f>IF(J239&lt;=0,0,MIN(MAX(0,J239-N239),SUMIFS('Loan Prepayment'!$B$12:$B$31,'Loan Prepayment'!$A$12:$A$31,I239)+0))</f>
        <v>0</v>
      </c>
      <c r="P239">
        <f t="shared" si="68"/>
        <v>133666.21095117653</v>
      </c>
      <c r="Q239">
        <v>238</v>
      </c>
      <c r="R239">
        <f t="shared" si="81"/>
        <v>238688.15961687648</v>
      </c>
      <c r="S239" s="64">
        <f>'Loan Prepayment'!$B$6</f>
        <v>7.5</v>
      </c>
      <c r="T239">
        <f>IF(R239&lt;=0,0,MIN(IF(AND('Loan Prepayment'!$E$15="Reduce EMI",W238&gt;0),-PMT(S239/1200,MAX(1,'Loan Prepayment'!$B$7*12-Q239+1),R239),T238),R239+U239))</f>
        <v>80559.31935518072</v>
      </c>
      <c r="U239">
        <f t="shared" si="69"/>
        <v>1491.800997605478</v>
      </c>
      <c r="V239">
        <f t="shared" si="70"/>
        <v>79067.518357575245</v>
      </c>
      <c r="W239">
        <f>IF(R239&lt;=0,0,MIN(MAX(0,R239-V239),0+IF(AND(Q239&gt;='Loan Prepayment'!$B$9,Q239&lt;='Loan Prepayment'!$E$16),'Loan Prepayment'!$B$8,0)))</f>
        <v>0</v>
      </c>
      <c r="X239">
        <f t="shared" si="71"/>
        <v>159620.64125930122</v>
      </c>
      <c r="Y239">
        <v>238</v>
      </c>
      <c r="Z239">
        <f t="shared" si="82"/>
        <v>0</v>
      </c>
      <c r="AA239">
        <f>IF(Y239&gt;='Loan Prepayment'!$E$11,'Loan Prepayment'!$E$12,'Loan Prepayment'!$B$6)</f>
        <v>6.5</v>
      </c>
      <c r="AB239">
        <f>IF(Z239&lt;=0,0,MIN(IF(Y239='Loan Prepayment'!$E$11,IF('Loan Prepayment'!$E$13="Keep tenure, recalculate EMI",-PMT(AA239/1200,MAX(1,'Loan Prepayment'!$B$7*12-Y239+1),Z239),AB238),AB238),Z239+AC239))</f>
        <v>0</v>
      </c>
      <c r="AC239">
        <f t="shared" si="72"/>
        <v>0</v>
      </c>
      <c r="AD239">
        <f t="shared" si="73"/>
        <v>0</v>
      </c>
      <c r="AE239">
        <f t="shared" si="74"/>
        <v>0</v>
      </c>
      <c r="AF239">
        <f t="shared" si="75"/>
        <v>0</v>
      </c>
      <c r="AG239">
        <v>238</v>
      </c>
      <c r="AH239">
        <f t="shared" si="83"/>
        <v>0</v>
      </c>
      <c r="AI239">
        <f>IF(AG239&gt;='Loan Prepayment'!$E$11,'Loan Prepayment'!$E$12,'Loan Prepayment'!$B$6)</f>
        <v>6.5</v>
      </c>
      <c r="AJ239">
        <f>IF(AH239&lt;=0,0,MIN(IF(AG239='Loan Prepayment'!$E$11,IF('Loan Prepayment'!$E$13="Keep tenure, recalculate EMI",-PMT(AI239/1200,MAX(1,'Loan Prepayment'!$B$7*12-AG239+1),AH239),IF(AND('Loan Prepayment'!$E$15="Reduce EMI",AM238&gt;0),-PMT(AI238/1200,MAX(1,'Loan Prepayment'!$B$7*12-AG239+1),AH239),AJ238)),IF(AND('Loan Prepayment'!$E$15="Reduce EMI",AM238&gt;0),-PMT(AI239/1200,MAX(1,'Loan Prepayment'!$B$7*12-AG239+1),AH239),AJ238)),AH239+AK239))</f>
        <v>0</v>
      </c>
      <c r="AK239">
        <f t="shared" si="76"/>
        <v>0</v>
      </c>
      <c r="AL239">
        <f t="shared" si="77"/>
        <v>0</v>
      </c>
      <c r="AM239">
        <f>IF(AH239&lt;=0,0,MIN(MAX(0,AH239-AL239),SUMIFS('Loan Prepayment'!$B$12:$B$31,'Loan Prepayment'!$A$12:$A$31,AG239)+IF(AND(AG239&gt;='Loan Prepayment'!$B$9,AG239&lt;='Loan Prepayment'!$E$16),'Loan Prepayment'!$B$8,0)))</f>
        <v>0</v>
      </c>
      <c r="AN239">
        <f t="shared" si="78"/>
        <v>0</v>
      </c>
    </row>
    <row r="240" spans="1:40" x14ac:dyDescent="0.35">
      <c r="A240">
        <v>239</v>
      </c>
      <c r="B240">
        <f t="shared" si="79"/>
        <v>159620.64125930122</v>
      </c>
      <c r="C240" s="64">
        <f>'Loan Prepayment'!$B$6</f>
        <v>7.5</v>
      </c>
      <c r="D240">
        <f>IF(B240&lt;=0,0,MIN(-PMT('Loan Prepayment'!$B$6/1200,'Loan Prepayment'!$B$7*12,'Loan Prepayment'!$B$5),B240+E240))</f>
        <v>80559.31935518072</v>
      </c>
      <c r="E240">
        <f t="shared" si="63"/>
        <v>997.62900787063256</v>
      </c>
      <c r="F240">
        <f t="shared" si="64"/>
        <v>79561.690347310083</v>
      </c>
      <c r="G240">
        <v>0</v>
      </c>
      <c r="H240">
        <f t="shared" si="65"/>
        <v>80058.950911991138</v>
      </c>
      <c r="I240">
        <v>239</v>
      </c>
      <c r="J240">
        <f t="shared" si="80"/>
        <v>133666.21095117653</v>
      </c>
      <c r="K240" s="64">
        <f>'Loan Prepayment'!$B$6</f>
        <v>7.5</v>
      </c>
      <c r="L240">
        <f>IF(J240&lt;=0,0,MIN(IF(AND('Loan Prepayment'!$E$15="Reduce EMI",O239&gt;0),-PMT(K240/1200,MAX(1,'Loan Prepayment'!$B$7*12-I240+1),J240),L239),J240+M240))</f>
        <v>67460.316473241648</v>
      </c>
      <c r="M240">
        <f t="shared" si="66"/>
        <v>835.41381844485329</v>
      </c>
      <c r="N240">
        <f t="shared" si="67"/>
        <v>66624.902654796795</v>
      </c>
      <c r="O240">
        <f>IF(J240&lt;=0,0,MIN(MAX(0,J240-N240),SUMIFS('Loan Prepayment'!$B$12:$B$31,'Loan Prepayment'!$A$12:$A$31,I240)+0))</f>
        <v>0</v>
      </c>
      <c r="P240">
        <f t="shared" si="68"/>
        <v>67041.308296379735</v>
      </c>
      <c r="Q240">
        <v>239</v>
      </c>
      <c r="R240">
        <f t="shared" si="81"/>
        <v>159620.64125930122</v>
      </c>
      <c r="S240" s="64">
        <f>'Loan Prepayment'!$B$6</f>
        <v>7.5</v>
      </c>
      <c r="T240">
        <f>IF(R240&lt;=0,0,MIN(IF(AND('Loan Prepayment'!$E$15="Reduce EMI",W239&gt;0),-PMT(S240/1200,MAX(1,'Loan Prepayment'!$B$7*12-Q240+1),R240),T239),R240+U240))</f>
        <v>80559.31935518072</v>
      </c>
      <c r="U240">
        <f t="shared" si="69"/>
        <v>997.62900787063256</v>
      </c>
      <c r="V240">
        <f t="shared" si="70"/>
        <v>79561.690347310083</v>
      </c>
      <c r="W240">
        <f>IF(R240&lt;=0,0,MIN(MAX(0,R240-V240),0+IF(AND(Q240&gt;='Loan Prepayment'!$B$9,Q240&lt;='Loan Prepayment'!$E$16),'Loan Prepayment'!$B$8,0)))</f>
        <v>0</v>
      </c>
      <c r="X240">
        <f t="shared" si="71"/>
        <v>80058.950911991138</v>
      </c>
      <c r="Y240">
        <v>239</v>
      </c>
      <c r="Z240">
        <f t="shared" si="82"/>
        <v>0</v>
      </c>
      <c r="AA240">
        <f>IF(Y240&gt;='Loan Prepayment'!$E$11,'Loan Prepayment'!$E$12,'Loan Prepayment'!$B$6)</f>
        <v>6.5</v>
      </c>
      <c r="AB240">
        <f>IF(Z240&lt;=0,0,MIN(IF(Y240='Loan Prepayment'!$E$11,IF('Loan Prepayment'!$E$13="Keep tenure, recalculate EMI",-PMT(AA240/1200,MAX(1,'Loan Prepayment'!$B$7*12-Y240+1),Z240),AB239),AB239),Z240+AC240))</f>
        <v>0</v>
      </c>
      <c r="AC240">
        <f t="shared" si="72"/>
        <v>0</v>
      </c>
      <c r="AD240">
        <f t="shared" si="73"/>
        <v>0</v>
      </c>
      <c r="AE240">
        <f t="shared" si="74"/>
        <v>0</v>
      </c>
      <c r="AF240">
        <f t="shared" si="75"/>
        <v>0</v>
      </c>
      <c r="AG240">
        <v>239</v>
      </c>
      <c r="AH240">
        <f t="shared" si="83"/>
        <v>0</v>
      </c>
      <c r="AI240">
        <f>IF(AG240&gt;='Loan Prepayment'!$E$11,'Loan Prepayment'!$E$12,'Loan Prepayment'!$B$6)</f>
        <v>6.5</v>
      </c>
      <c r="AJ240">
        <f>IF(AH240&lt;=0,0,MIN(IF(AG240='Loan Prepayment'!$E$11,IF('Loan Prepayment'!$E$13="Keep tenure, recalculate EMI",-PMT(AI240/1200,MAX(1,'Loan Prepayment'!$B$7*12-AG240+1),AH240),IF(AND('Loan Prepayment'!$E$15="Reduce EMI",AM239&gt;0),-PMT(AI239/1200,MAX(1,'Loan Prepayment'!$B$7*12-AG240+1),AH240),AJ239)),IF(AND('Loan Prepayment'!$E$15="Reduce EMI",AM239&gt;0),-PMT(AI240/1200,MAX(1,'Loan Prepayment'!$B$7*12-AG240+1),AH240),AJ239)),AH240+AK240))</f>
        <v>0</v>
      </c>
      <c r="AK240">
        <f t="shared" si="76"/>
        <v>0</v>
      </c>
      <c r="AL240">
        <f t="shared" si="77"/>
        <v>0</v>
      </c>
      <c r="AM240">
        <f>IF(AH240&lt;=0,0,MIN(MAX(0,AH240-AL240),SUMIFS('Loan Prepayment'!$B$12:$B$31,'Loan Prepayment'!$A$12:$A$31,AG240)+IF(AND(AG240&gt;='Loan Prepayment'!$B$9,AG240&lt;='Loan Prepayment'!$E$16),'Loan Prepayment'!$B$8,0)))</f>
        <v>0</v>
      </c>
      <c r="AN240">
        <f t="shared" si="78"/>
        <v>0</v>
      </c>
    </row>
    <row r="241" spans="1:40" x14ac:dyDescent="0.35">
      <c r="A241">
        <v>240</v>
      </c>
      <c r="B241">
        <f t="shared" si="79"/>
        <v>80058.950911991138</v>
      </c>
      <c r="C241" s="64">
        <f>'Loan Prepayment'!$B$6</f>
        <v>7.5</v>
      </c>
      <c r="D241">
        <f>IF(B241&lt;=0,0,MIN(-PMT('Loan Prepayment'!$B$6/1200,'Loan Prepayment'!$B$7*12,'Loan Prepayment'!$B$5),B241+E241))</f>
        <v>80559.31935518072</v>
      </c>
      <c r="E241">
        <f t="shared" si="63"/>
        <v>500.36844319994464</v>
      </c>
      <c r="F241">
        <f t="shared" si="64"/>
        <v>80058.950911980777</v>
      </c>
      <c r="G241">
        <v>0</v>
      </c>
      <c r="H241">
        <f t="shared" si="65"/>
        <v>1.0360963642597198E-8</v>
      </c>
      <c r="I241">
        <v>240</v>
      </c>
      <c r="J241">
        <f t="shared" si="80"/>
        <v>67041.308296379735</v>
      </c>
      <c r="K241" s="64">
        <f>'Loan Prepayment'!$B$6</f>
        <v>7.5</v>
      </c>
      <c r="L241">
        <f>IF(J241&lt;=0,0,MIN(IF(AND('Loan Prepayment'!$E$15="Reduce EMI",O240&gt;0),-PMT(K241/1200,MAX(1,'Loan Prepayment'!$B$7*12-I241+1),J241),L240),J241+M241))</f>
        <v>67460.316473232102</v>
      </c>
      <c r="M241">
        <f t="shared" si="66"/>
        <v>419.00817685237331</v>
      </c>
      <c r="N241">
        <f t="shared" si="67"/>
        <v>67041.308296379735</v>
      </c>
      <c r="O241">
        <f>IF(J241&lt;=0,0,MIN(MAX(0,J241-N241),SUMIFS('Loan Prepayment'!$B$12:$B$31,'Loan Prepayment'!$A$12:$A$31,I241)+0))</f>
        <v>0</v>
      </c>
      <c r="P241">
        <f t="shared" si="68"/>
        <v>0</v>
      </c>
      <c r="Q241">
        <v>240</v>
      </c>
      <c r="R241">
        <f t="shared" si="81"/>
        <v>80058.950911991138</v>
      </c>
      <c r="S241" s="64">
        <f>'Loan Prepayment'!$B$6</f>
        <v>7.5</v>
      </c>
      <c r="T241">
        <f>IF(R241&lt;=0,0,MIN(IF(AND('Loan Prepayment'!$E$15="Reduce EMI",W240&gt;0),-PMT(S241/1200,MAX(1,'Loan Prepayment'!$B$7*12-Q241+1),R241),T240),R241+U241))</f>
        <v>80559.31935518072</v>
      </c>
      <c r="U241">
        <f t="shared" si="69"/>
        <v>500.36844319994464</v>
      </c>
      <c r="V241">
        <f t="shared" si="70"/>
        <v>80058.950911980777</v>
      </c>
      <c r="W241">
        <f>IF(R241&lt;=0,0,MIN(MAX(0,R241-V241),0+IF(AND(Q241&gt;='Loan Prepayment'!$B$9,Q241&lt;='Loan Prepayment'!$E$16),'Loan Prepayment'!$B$8,0)))</f>
        <v>0</v>
      </c>
      <c r="X241">
        <f t="shared" si="71"/>
        <v>1.0360963642597198E-8</v>
      </c>
      <c r="Y241">
        <v>240</v>
      </c>
      <c r="Z241">
        <f t="shared" si="82"/>
        <v>0</v>
      </c>
      <c r="AA241">
        <f>IF(Y241&gt;='Loan Prepayment'!$E$11,'Loan Prepayment'!$E$12,'Loan Prepayment'!$B$6)</f>
        <v>6.5</v>
      </c>
      <c r="AB241">
        <f>IF(Z241&lt;=0,0,MIN(IF(Y241='Loan Prepayment'!$E$11,IF('Loan Prepayment'!$E$13="Keep tenure, recalculate EMI",-PMT(AA241/1200,MAX(1,'Loan Prepayment'!$B$7*12-Y241+1),Z241),AB240),AB240),Z241+AC241))</f>
        <v>0</v>
      </c>
      <c r="AC241">
        <f t="shared" si="72"/>
        <v>0</v>
      </c>
      <c r="AD241">
        <f t="shared" si="73"/>
        <v>0</v>
      </c>
      <c r="AE241">
        <f t="shared" si="74"/>
        <v>0</v>
      </c>
      <c r="AF241">
        <f t="shared" si="75"/>
        <v>0</v>
      </c>
      <c r="AG241">
        <v>240</v>
      </c>
      <c r="AH241">
        <f t="shared" si="83"/>
        <v>0</v>
      </c>
      <c r="AI241">
        <f>IF(AG241&gt;='Loan Prepayment'!$E$11,'Loan Prepayment'!$E$12,'Loan Prepayment'!$B$6)</f>
        <v>6.5</v>
      </c>
      <c r="AJ241">
        <f>IF(AH241&lt;=0,0,MIN(IF(AG241='Loan Prepayment'!$E$11,IF('Loan Prepayment'!$E$13="Keep tenure, recalculate EMI",-PMT(AI241/1200,MAX(1,'Loan Prepayment'!$B$7*12-AG241+1),AH241),IF(AND('Loan Prepayment'!$E$15="Reduce EMI",AM240&gt;0),-PMT(AI240/1200,MAX(1,'Loan Prepayment'!$B$7*12-AG241+1),AH241),AJ240)),IF(AND('Loan Prepayment'!$E$15="Reduce EMI",AM240&gt;0),-PMT(AI241/1200,MAX(1,'Loan Prepayment'!$B$7*12-AG241+1),AH241),AJ240)),AH241+AK241))</f>
        <v>0</v>
      </c>
      <c r="AK241">
        <f t="shared" si="76"/>
        <v>0</v>
      </c>
      <c r="AL241">
        <f t="shared" si="77"/>
        <v>0</v>
      </c>
      <c r="AM241">
        <f>IF(AH241&lt;=0,0,MIN(MAX(0,AH241-AL241),SUMIFS('Loan Prepayment'!$B$12:$B$31,'Loan Prepayment'!$A$12:$A$31,AG241)+IF(AND(AG241&gt;='Loan Prepayment'!$B$9,AG241&lt;='Loan Prepayment'!$E$16),'Loan Prepayment'!$B$8,0)))</f>
        <v>0</v>
      </c>
      <c r="AN241">
        <f t="shared" si="78"/>
        <v>0</v>
      </c>
    </row>
    <row r="242" spans="1:40" x14ac:dyDescent="0.35">
      <c r="A242">
        <v>241</v>
      </c>
      <c r="B242">
        <f t="shared" si="79"/>
        <v>1.0360963642597198E-8</v>
      </c>
      <c r="C242" s="64">
        <f>'Loan Prepayment'!$B$6</f>
        <v>7.5</v>
      </c>
      <c r="D242">
        <f>IF(B242&lt;=0,0,MIN(-PMT('Loan Prepayment'!$B$6/1200,'Loan Prepayment'!$B$7*12,'Loan Prepayment'!$B$5),B242+E242))</f>
        <v>1.0425719665363432E-8</v>
      </c>
      <c r="E242">
        <f t="shared" si="63"/>
        <v>6.4756022766232493E-11</v>
      </c>
      <c r="F242">
        <f t="shared" si="64"/>
        <v>1.0360963642597198E-8</v>
      </c>
      <c r="G242">
        <v>0</v>
      </c>
      <c r="H242">
        <f t="shared" si="65"/>
        <v>0</v>
      </c>
      <c r="I242">
        <v>241</v>
      </c>
      <c r="J242">
        <f t="shared" si="80"/>
        <v>0</v>
      </c>
      <c r="K242" s="64">
        <f>'Loan Prepayment'!$B$6</f>
        <v>7.5</v>
      </c>
      <c r="L242">
        <f>IF(J242&lt;=0,0,MIN(IF(AND('Loan Prepayment'!$E$15="Reduce EMI",O241&gt;0),-PMT(K242/1200,MAX(1,'Loan Prepayment'!$B$7*12-I242+1),J242),L241),J242+M242))</f>
        <v>0</v>
      </c>
      <c r="M242">
        <f t="shared" si="66"/>
        <v>0</v>
      </c>
      <c r="N242">
        <f t="shared" si="67"/>
        <v>0</v>
      </c>
      <c r="O242">
        <f>IF(J242&lt;=0,0,MIN(MAX(0,J242-N242),SUMIFS('Loan Prepayment'!$B$12:$B$31,'Loan Prepayment'!$A$12:$A$31,I242)+0))</f>
        <v>0</v>
      </c>
      <c r="P242">
        <f t="shared" si="68"/>
        <v>0</v>
      </c>
      <c r="Q242">
        <v>241</v>
      </c>
      <c r="R242">
        <f t="shared" si="81"/>
        <v>1.0360963642597198E-8</v>
      </c>
      <c r="S242" s="64">
        <f>'Loan Prepayment'!$B$6</f>
        <v>7.5</v>
      </c>
      <c r="T242">
        <f>IF(R242&lt;=0,0,MIN(IF(AND('Loan Prepayment'!$E$15="Reduce EMI",W241&gt;0),-PMT(S242/1200,MAX(1,'Loan Prepayment'!$B$7*12-Q242+1),R242),T241),R242+U242))</f>
        <v>1.0425719665363432E-8</v>
      </c>
      <c r="U242">
        <f t="shared" si="69"/>
        <v>6.4756022766232493E-11</v>
      </c>
      <c r="V242">
        <f t="shared" si="70"/>
        <v>1.0360963642597198E-8</v>
      </c>
      <c r="W242">
        <f>IF(R242&lt;=0,0,MIN(MAX(0,R242-V242),0+IF(AND(Q242&gt;='Loan Prepayment'!$B$9,Q242&lt;='Loan Prepayment'!$E$16),'Loan Prepayment'!$B$8,0)))</f>
        <v>0</v>
      </c>
      <c r="X242">
        <f t="shared" si="71"/>
        <v>0</v>
      </c>
      <c r="Y242">
        <v>241</v>
      </c>
      <c r="Z242">
        <f t="shared" si="82"/>
        <v>0</v>
      </c>
      <c r="AA242">
        <f>IF(Y242&gt;='Loan Prepayment'!$E$11,'Loan Prepayment'!$E$12,'Loan Prepayment'!$B$6)</f>
        <v>6.5</v>
      </c>
      <c r="AB242">
        <f>IF(Z242&lt;=0,0,MIN(IF(Y242='Loan Prepayment'!$E$11,IF('Loan Prepayment'!$E$13="Keep tenure, recalculate EMI",-PMT(AA242/1200,MAX(1,'Loan Prepayment'!$B$7*12-Y242+1),Z242),AB241),AB241),Z242+AC242))</f>
        <v>0</v>
      </c>
      <c r="AC242">
        <f t="shared" si="72"/>
        <v>0</v>
      </c>
      <c r="AD242">
        <f t="shared" si="73"/>
        <v>0</v>
      </c>
      <c r="AE242">
        <f t="shared" si="74"/>
        <v>0</v>
      </c>
      <c r="AF242">
        <f t="shared" si="75"/>
        <v>0</v>
      </c>
      <c r="AG242">
        <v>241</v>
      </c>
      <c r="AH242">
        <f t="shared" si="83"/>
        <v>0</v>
      </c>
      <c r="AI242">
        <f>IF(AG242&gt;='Loan Prepayment'!$E$11,'Loan Prepayment'!$E$12,'Loan Prepayment'!$B$6)</f>
        <v>6.5</v>
      </c>
      <c r="AJ242">
        <f>IF(AH242&lt;=0,0,MIN(IF(AG242='Loan Prepayment'!$E$11,IF('Loan Prepayment'!$E$13="Keep tenure, recalculate EMI",-PMT(AI242/1200,MAX(1,'Loan Prepayment'!$B$7*12-AG242+1),AH242),IF(AND('Loan Prepayment'!$E$15="Reduce EMI",AM241&gt;0),-PMT(AI241/1200,MAX(1,'Loan Prepayment'!$B$7*12-AG242+1),AH242),AJ241)),IF(AND('Loan Prepayment'!$E$15="Reduce EMI",AM241&gt;0),-PMT(AI242/1200,MAX(1,'Loan Prepayment'!$B$7*12-AG242+1),AH242),AJ241)),AH242+AK242))</f>
        <v>0</v>
      </c>
      <c r="AK242">
        <f t="shared" si="76"/>
        <v>0</v>
      </c>
      <c r="AL242">
        <f t="shared" si="77"/>
        <v>0</v>
      </c>
      <c r="AM242">
        <f>IF(AH242&lt;=0,0,MIN(MAX(0,AH242-AL242),SUMIFS('Loan Prepayment'!$B$12:$B$31,'Loan Prepayment'!$A$12:$A$31,AG242)+IF(AND(AG242&gt;='Loan Prepayment'!$B$9,AG242&lt;='Loan Prepayment'!$E$16),'Loan Prepayment'!$B$8,0)))</f>
        <v>0</v>
      </c>
      <c r="AN242">
        <f t="shared" si="78"/>
        <v>0</v>
      </c>
    </row>
    <row r="243" spans="1:40" x14ac:dyDescent="0.35">
      <c r="A243">
        <v>242</v>
      </c>
      <c r="B243">
        <f t="shared" si="79"/>
        <v>0</v>
      </c>
      <c r="C243" s="64">
        <f>'Loan Prepayment'!$B$6</f>
        <v>7.5</v>
      </c>
      <c r="D243">
        <f>IF(B243&lt;=0,0,MIN(-PMT('Loan Prepayment'!$B$6/1200,'Loan Prepayment'!$B$7*12,'Loan Prepayment'!$B$5),B243+E243))</f>
        <v>0</v>
      </c>
      <c r="E243">
        <f t="shared" si="63"/>
        <v>0</v>
      </c>
      <c r="F243">
        <f t="shared" si="64"/>
        <v>0</v>
      </c>
      <c r="G243">
        <v>0</v>
      </c>
      <c r="H243">
        <f t="shared" si="65"/>
        <v>0</v>
      </c>
      <c r="I243">
        <v>242</v>
      </c>
      <c r="J243">
        <f t="shared" si="80"/>
        <v>0</v>
      </c>
      <c r="K243" s="64">
        <f>'Loan Prepayment'!$B$6</f>
        <v>7.5</v>
      </c>
      <c r="L243">
        <f>IF(J243&lt;=0,0,MIN(IF(AND('Loan Prepayment'!$E$15="Reduce EMI",O242&gt;0),-PMT(K243/1200,MAX(1,'Loan Prepayment'!$B$7*12-I243+1),J243),L242),J243+M243))</f>
        <v>0</v>
      </c>
      <c r="M243">
        <f t="shared" si="66"/>
        <v>0</v>
      </c>
      <c r="N243">
        <f t="shared" si="67"/>
        <v>0</v>
      </c>
      <c r="O243">
        <f>IF(J243&lt;=0,0,MIN(MAX(0,J243-N243),SUMIFS('Loan Prepayment'!$B$12:$B$31,'Loan Prepayment'!$A$12:$A$31,I243)+0))</f>
        <v>0</v>
      </c>
      <c r="P243">
        <f t="shared" si="68"/>
        <v>0</v>
      </c>
      <c r="Q243">
        <v>242</v>
      </c>
      <c r="R243">
        <f t="shared" si="81"/>
        <v>0</v>
      </c>
      <c r="S243" s="64">
        <f>'Loan Prepayment'!$B$6</f>
        <v>7.5</v>
      </c>
      <c r="T243">
        <f>IF(R243&lt;=0,0,MIN(IF(AND('Loan Prepayment'!$E$15="Reduce EMI",W242&gt;0),-PMT(S243/1200,MAX(1,'Loan Prepayment'!$B$7*12-Q243+1),R243),T242),R243+U243))</f>
        <v>0</v>
      </c>
      <c r="U243">
        <f t="shared" si="69"/>
        <v>0</v>
      </c>
      <c r="V243">
        <f t="shared" si="70"/>
        <v>0</v>
      </c>
      <c r="W243">
        <f>IF(R243&lt;=0,0,MIN(MAX(0,R243-V243),0+IF(AND(Q243&gt;='Loan Prepayment'!$B$9,Q243&lt;='Loan Prepayment'!$E$16),'Loan Prepayment'!$B$8,0)))</f>
        <v>0</v>
      </c>
      <c r="X243">
        <f t="shared" si="71"/>
        <v>0</v>
      </c>
      <c r="Y243">
        <v>242</v>
      </c>
      <c r="Z243">
        <f t="shared" si="82"/>
        <v>0</v>
      </c>
      <c r="AA243">
        <f>IF(Y243&gt;='Loan Prepayment'!$E$11,'Loan Prepayment'!$E$12,'Loan Prepayment'!$B$6)</f>
        <v>6.5</v>
      </c>
      <c r="AB243">
        <f>IF(Z243&lt;=0,0,MIN(IF(Y243='Loan Prepayment'!$E$11,IF('Loan Prepayment'!$E$13="Keep tenure, recalculate EMI",-PMT(AA243/1200,MAX(1,'Loan Prepayment'!$B$7*12-Y243+1),Z243),AB242),AB242),Z243+AC243))</f>
        <v>0</v>
      </c>
      <c r="AC243">
        <f t="shared" si="72"/>
        <v>0</v>
      </c>
      <c r="AD243">
        <f t="shared" si="73"/>
        <v>0</v>
      </c>
      <c r="AE243">
        <f t="shared" si="74"/>
        <v>0</v>
      </c>
      <c r="AF243">
        <f t="shared" si="75"/>
        <v>0</v>
      </c>
      <c r="AG243">
        <v>242</v>
      </c>
      <c r="AH243">
        <f t="shared" si="83"/>
        <v>0</v>
      </c>
      <c r="AI243">
        <f>IF(AG243&gt;='Loan Prepayment'!$E$11,'Loan Prepayment'!$E$12,'Loan Prepayment'!$B$6)</f>
        <v>6.5</v>
      </c>
      <c r="AJ243">
        <f>IF(AH243&lt;=0,0,MIN(IF(AG243='Loan Prepayment'!$E$11,IF('Loan Prepayment'!$E$13="Keep tenure, recalculate EMI",-PMT(AI243/1200,MAX(1,'Loan Prepayment'!$B$7*12-AG243+1),AH243),IF(AND('Loan Prepayment'!$E$15="Reduce EMI",AM242&gt;0),-PMT(AI242/1200,MAX(1,'Loan Prepayment'!$B$7*12-AG243+1),AH243),AJ242)),IF(AND('Loan Prepayment'!$E$15="Reduce EMI",AM242&gt;0),-PMT(AI243/1200,MAX(1,'Loan Prepayment'!$B$7*12-AG243+1),AH243),AJ242)),AH243+AK243))</f>
        <v>0</v>
      </c>
      <c r="AK243">
        <f t="shared" si="76"/>
        <v>0</v>
      </c>
      <c r="AL243">
        <f t="shared" si="77"/>
        <v>0</v>
      </c>
      <c r="AM243">
        <f>IF(AH243&lt;=0,0,MIN(MAX(0,AH243-AL243),SUMIFS('Loan Prepayment'!$B$12:$B$31,'Loan Prepayment'!$A$12:$A$31,AG243)+IF(AND(AG243&gt;='Loan Prepayment'!$B$9,AG243&lt;='Loan Prepayment'!$E$16),'Loan Prepayment'!$B$8,0)))</f>
        <v>0</v>
      </c>
      <c r="AN243">
        <f t="shared" si="78"/>
        <v>0</v>
      </c>
    </row>
    <row r="244" spans="1:40" x14ac:dyDescent="0.35">
      <c r="A244">
        <v>243</v>
      </c>
      <c r="B244">
        <f t="shared" si="79"/>
        <v>0</v>
      </c>
      <c r="C244" s="64">
        <f>'Loan Prepayment'!$B$6</f>
        <v>7.5</v>
      </c>
      <c r="D244">
        <f>IF(B244&lt;=0,0,MIN(-PMT('Loan Prepayment'!$B$6/1200,'Loan Prepayment'!$B$7*12,'Loan Prepayment'!$B$5),B244+E244))</f>
        <v>0</v>
      </c>
      <c r="E244">
        <f t="shared" si="63"/>
        <v>0</v>
      </c>
      <c r="F244">
        <f t="shared" si="64"/>
        <v>0</v>
      </c>
      <c r="G244">
        <v>0</v>
      </c>
      <c r="H244">
        <f t="shared" si="65"/>
        <v>0</v>
      </c>
      <c r="I244">
        <v>243</v>
      </c>
      <c r="J244">
        <f t="shared" si="80"/>
        <v>0</v>
      </c>
      <c r="K244" s="64">
        <f>'Loan Prepayment'!$B$6</f>
        <v>7.5</v>
      </c>
      <c r="L244">
        <f>IF(J244&lt;=0,0,MIN(IF(AND('Loan Prepayment'!$E$15="Reduce EMI",O243&gt;0),-PMT(K244/1200,MAX(1,'Loan Prepayment'!$B$7*12-I244+1),J244),L243),J244+M244))</f>
        <v>0</v>
      </c>
      <c r="M244">
        <f t="shared" si="66"/>
        <v>0</v>
      </c>
      <c r="N244">
        <f t="shared" si="67"/>
        <v>0</v>
      </c>
      <c r="O244">
        <f>IF(J244&lt;=0,0,MIN(MAX(0,J244-N244),SUMIFS('Loan Prepayment'!$B$12:$B$31,'Loan Prepayment'!$A$12:$A$31,I244)+0))</f>
        <v>0</v>
      </c>
      <c r="P244">
        <f t="shared" si="68"/>
        <v>0</v>
      </c>
      <c r="Q244">
        <v>243</v>
      </c>
      <c r="R244">
        <f t="shared" si="81"/>
        <v>0</v>
      </c>
      <c r="S244" s="64">
        <f>'Loan Prepayment'!$B$6</f>
        <v>7.5</v>
      </c>
      <c r="T244">
        <f>IF(R244&lt;=0,0,MIN(IF(AND('Loan Prepayment'!$E$15="Reduce EMI",W243&gt;0),-PMT(S244/1200,MAX(1,'Loan Prepayment'!$B$7*12-Q244+1),R244),T243),R244+U244))</f>
        <v>0</v>
      </c>
      <c r="U244">
        <f t="shared" si="69"/>
        <v>0</v>
      </c>
      <c r="V244">
        <f t="shared" si="70"/>
        <v>0</v>
      </c>
      <c r="W244">
        <f>IF(R244&lt;=0,0,MIN(MAX(0,R244-V244),0+IF(AND(Q244&gt;='Loan Prepayment'!$B$9,Q244&lt;='Loan Prepayment'!$E$16),'Loan Prepayment'!$B$8,0)))</f>
        <v>0</v>
      </c>
      <c r="X244">
        <f t="shared" si="71"/>
        <v>0</v>
      </c>
      <c r="Y244">
        <v>243</v>
      </c>
      <c r="Z244">
        <f t="shared" si="82"/>
        <v>0</v>
      </c>
      <c r="AA244">
        <f>IF(Y244&gt;='Loan Prepayment'!$E$11,'Loan Prepayment'!$E$12,'Loan Prepayment'!$B$6)</f>
        <v>6.5</v>
      </c>
      <c r="AB244">
        <f>IF(Z244&lt;=0,0,MIN(IF(Y244='Loan Prepayment'!$E$11,IF('Loan Prepayment'!$E$13="Keep tenure, recalculate EMI",-PMT(AA244/1200,MAX(1,'Loan Prepayment'!$B$7*12-Y244+1),Z244),AB243),AB243),Z244+AC244))</f>
        <v>0</v>
      </c>
      <c r="AC244">
        <f t="shared" si="72"/>
        <v>0</v>
      </c>
      <c r="AD244">
        <f t="shared" si="73"/>
        <v>0</v>
      </c>
      <c r="AE244">
        <f t="shared" si="74"/>
        <v>0</v>
      </c>
      <c r="AF244">
        <f t="shared" si="75"/>
        <v>0</v>
      </c>
      <c r="AG244">
        <v>243</v>
      </c>
      <c r="AH244">
        <f t="shared" si="83"/>
        <v>0</v>
      </c>
      <c r="AI244">
        <f>IF(AG244&gt;='Loan Prepayment'!$E$11,'Loan Prepayment'!$E$12,'Loan Prepayment'!$B$6)</f>
        <v>6.5</v>
      </c>
      <c r="AJ244">
        <f>IF(AH244&lt;=0,0,MIN(IF(AG244='Loan Prepayment'!$E$11,IF('Loan Prepayment'!$E$13="Keep tenure, recalculate EMI",-PMT(AI244/1200,MAX(1,'Loan Prepayment'!$B$7*12-AG244+1),AH244),IF(AND('Loan Prepayment'!$E$15="Reduce EMI",AM243&gt;0),-PMT(AI243/1200,MAX(1,'Loan Prepayment'!$B$7*12-AG244+1),AH244),AJ243)),IF(AND('Loan Prepayment'!$E$15="Reduce EMI",AM243&gt;0),-PMT(AI244/1200,MAX(1,'Loan Prepayment'!$B$7*12-AG244+1),AH244),AJ243)),AH244+AK244))</f>
        <v>0</v>
      </c>
      <c r="AK244">
        <f t="shared" si="76"/>
        <v>0</v>
      </c>
      <c r="AL244">
        <f t="shared" si="77"/>
        <v>0</v>
      </c>
      <c r="AM244">
        <f>IF(AH244&lt;=0,0,MIN(MAX(0,AH244-AL244),SUMIFS('Loan Prepayment'!$B$12:$B$31,'Loan Prepayment'!$A$12:$A$31,AG244)+IF(AND(AG244&gt;='Loan Prepayment'!$B$9,AG244&lt;='Loan Prepayment'!$E$16),'Loan Prepayment'!$B$8,0)))</f>
        <v>0</v>
      </c>
      <c r="AN244">
        <f t="shared" si="78"/>
        <v>0</v>
      </c>
    </row>
    <row r="245" spans="1:40" x14ac:dyDescent="0.35">
      <c r="A245">
        <v>244</v>
      </c>
      <c r="B245">
        <f t="shared" si="79"/>
        <v>0</v>
      </c>
      <c r="C245" s="64">
        <f>'Loan Prepayment'!$B$6</f>
        <v>7.5</v>
      </c>
      <c r="D245">
        <f>IF(B245&lt;=0,0,MIN(-PMT('Loan Prepayment'!$B$6/1200,'Loan Prepayment'!$B$7*12,'Loan Prepayment'!$B$5),B245+E245))</f>
        <v>0</v>
      </c>
      <c r="E245">
        <f t="shared" si="63"/>
        <v>0</v>
      </c>
      <c r="F245">
        <f t="shared" si="64"/>
        <v>0</v>
      </c>
      <c r="G245">
        <v>0</v>
      </c>
      <c r="H245">
        <f t="shared" si="65"/>
        <v>0</v>
      </c>
      <c r="I245">
        <v>244</v>
      </c>
      <c r="J245">
        <f t="shared" si="80"/>
        <v>0</v>
      </c>
      <c r="K245" s="64">
        <f>'Loan Prepayment'!$B$6</f>
        <v>7.5</v>
      </c>
      <c r="L245">
        <f>IF(J245&lt;=0,0,MIN(IF(AND('Loan Prepayment'!$E$15="Reduce EMI",O244&gt;0),-PMT(K245/1200,MAX(1,'Loan Prepayment'!$B$7*12-I245+1),J245),L244),J245+M245))</f>
        <v>0</v>
      </c>
      <c r="M245">
        <f t="shared" si="66"/>
        <v>0</v>
      </c>
      <c r="N245">
        <f t="shared" si="67"/>
        <v>0</v>
      </c>
      <c r="O245">
        <f>IF(J245&lt;=0,0,MIN(MAX(0,J245-N245),SUMIFS('Loan Prepayment'!$B$12:$B$31,'Loan Prepayment'!$A$12:$A$31,I245)+0))</f>
        <v>0</v>
      </c>
      <c r="P245">
        <f t="shared" si="68"/>
        <v>0</v>
      </c>
      <c r="Q245">
        <v>244</v>
      </c>
      <c r="R245">
        <f t="shared" si="81"/>
        <v>0</v>
      </c>
      <c r="S245" s="64">
        <f>'Loan Prepayment'!$B$6</f>
        <v>7.5</v>
      </c>
      <c r="T245">
        <f>IF(R245&lt;=0,0,MIN(IF(AND('Loan Prepayment'!$E$15="Reduce EMI",W244&gt;0),-PMT(S245/1200,MAX(1,'Loan Prepayment'!$B$7*12-Q245+1),R245),T244),R245+U245))</f>
        <v>0</v>
      </c>
      <c r="U245">
        <f t="shared" si="69"/>
        <v>0</v>
      </c>
      <c r="V245">
        <f t="shared" si="70"/>
        <v>0</v>
      </c>
      <c r="W245">
        <f>IF(R245&lt;=0,0,MIN(MAX(0,R245-V245),0+IF(AND(Q245&gt;='Loan Prepayment'!$B$9,Q245&lt;='Loan Prepayment'!$E$16),'Loan Prepayment'!$B$8,0)))</f>
        <v>0</v>
      </c>
      <c r="X245">
        <f t="shared" si="71"/>
        <v>0</v>
      </c>
      <c r="Y245">
        <v>244</v>
      </c>
      <c r="Z245">
        <f t="shared" si="82"/>
        <v>0</v>
      </c>
      <c r="AA245">
        <f>IF(Y245&gt;='Loan Prepayment'!$E$11,'Loan Prepayment'!$E$12,'Loan Prepayment'!$B$6)</f>
        <v>6.5</v>
      </c>
      <c r="AB245">
        <f>IF(Z245&lt;=0,0,MIN(IF(Y245='Loan Prepayment'!$E$11,IF('Loan Prepayment'!$E$13="Keep tenure, recalculate EMI",-PMT(AA245/1200,MAX(1,'Loan Prepayment'!$B$7*12-Y245+1),Z245),AB244),AB244),Z245+AC245))</f>
        <v>0</v>
      </c>
      <c r="AC245">
        <f t="shared" si="72"/>
        <v>0</v>
      </c>
      <c r="AD245">
        <f t="shared" si="73"/>
        <v>0</v>
      </c>
      <c r="AE245">
        <f t="shared" si="74"/>
        <v>0</v>
      </c>
      <c r="AF245">
        <f t="shared" si="75"/>
        <v>0</v>
      </c>
      <c r="AG245">
        <v>244</v>
      </c>
      <c r="AH245">
        <f t="shared" si="83"/>
        <v>0</v>
      </c>
      <c r="AI245">
        <f>IF(AG245&gt;='Loan Prepayment'!$E$11,'Loan Prepayment'!$E$12,'Loan Prepayment'!$B$6)</f>
        <v>6.5</v>
      </c>
      <c r="AJ245">
        <f>IF(AH245&lt;=0,0,MIN(IF(AG245='Loan Prepayment'!$E$11,IF('Loan Prepayment'!$E$13="Keep tenure, recalculate EMI",-PMT(AI245/1200,MAX(1,'Loan Prepayment'!$B$7*12-AG245+1),AH245),IF(AND('Loan Prepayment'!$E$15="Reduce EMI",AM244&gt;0),-PMT(AI244/1200,MAX(1,'Loan Prepayment'!$B$7*12-AG245+1),AH245),AJ244)),IF(AND('Loan Prepayment'!$E$15="Reduce EMI",AM244&gt;0),-PMT(AI245/1200,MAX(1,'Loan Prepayment'!$B$7*12-AG245+1),AH245),AJ244)),AH245+AK245))</f>
        <v>0</v>
      </c>
      <c r="AK245">
        <f t="shared" si="76"/>
        <v>0</v>
      </c>
      <c r="AL245">
        <f t="shared" si="77"/>
        <v>0</v>
      </c>
      <c r="AM245">
        <f>IF(AH245&lt;=0,0,MIN(MAX(0,AH245-AL245),SUMIFS('Loan Prepayment'!$B$12:$B$31,'Loan Prepayment'!$A$12:$A$31,AG245)+IF(AND(AG245&gt;='Loan Prepayment'!$B$9,AG245&lt;='Loan Prepayment'!$E$16),'Loan Prepayment'!$B$8,0)))</f>
        <v>0</v>
      </c>
      <c r="AN245">
        <f t="shared" si="78"/>
        <v>0</v>
      </c>
    </row>
    <row r="246" spans="1:40" x14ac:dyDescent="0.35">
      <c r="A246">
        <v>245</v>
      </c>
      <c r="B246">
        <f t="shared" si="79"/>
        <v>0</v>
      </c>
      <c r="C246" s="64">
        <f>'Loan Prepayment'!$B$6</f>
        <v>7.5</v>
      </c>
      <c r="D246">
        <f>IF(B246&lt;=0,0,MIN(-PMT('Loan Prepayment'!$B$6/1200,'Loan Prepayment'!$B$7*12,'Loan Prepayment'!$B$5),B246+E246))</f>
        <v>0</v>
      </c>
      <c r="E246">
        <f t="shared" si="63"/>
        <v>0</v>
      </c>
      <c r="F246">
        <f t="shared" si="64"/>
        <v>0</v>
      </c>
      <c r="G246">
        <v>0</v>
      </c>
      <c r="H246">
        <f t="shared" si="65"/>
        <v>0</v>
      </c>
      <c r="I246">
        <v>245</v>
      </c>
      <c r="J246">
        <f t="shared" si="80"/>
        <v>0</v>
      </c>
      <c r="K246" s="64">
        <f>'Loan Prepayment'!$B$6</f>
        <v>7.5</v>
      </c>
      <c r="L246">
        <f>IF(J246&lt;=0,0,MIN(IF(AND('Loan Prepayment'!$E$15="Reduce EMI",O245&gt;0),-PMT(K246/1200,MAX(1,'Loan Prepayment'!$B$7*12-I246+1),J246),L245),J246+M246))</f>
        <v>0</v>
      </c>
      <c r="M246">
        <f t="shared" si="66"/>
        <v>0</v>
      </c>
      <c r="N246">
        <f t="shared" si="67"/>
        <v>0</v>
      </c>
      <c r="O246">
        <f>IF(J246&lt;=0,0,MIN(MAX(0,J246-N246),SUMIFS('Loan Prepayment'!$B$12:$B$31,'Loan Prepayment'!$A$12:$A$31,I246)+0))</f>
        <v>0</v>
      </c>
      <c r="P246">
        <f t="shared" si="68"/>
        <v>0</v>
      </c>
      <c r="Q246">
        <v>245</v>
      </c>
      <c r="R246">
        <f t="shared" si="81"/>
        <v>0</v>
      </c>
      <c r="S246" s="64">
        <f>'Loan Prepayment'!$B$6</f>
        <v>7.5</v>
      </c>
      <c r="T246">
        <f>IF(R246&lt;=0,0,MIN(IF(AND('Loan Prepayment'!$E$15="Reduce EMI",W245&gt;0),-PMT(S246/1200,MAX(1,'Loan Prepayment'!$B$7*12-Q246+1),R246),T245),R246+U246))</f>
        <v>0</v>
      </c>
      <c r="U246">
        <f t="shared" si="69"/>
        <v>0</v>
      </c>
      <c r="V246">
        <f t="shared" si="70"/>
        <v>0</v>
      </c>
      <c r="W246">
        <f>IF(R246&lt;=0,0,MIN(MAX(0,R246-V246),0+IF(AND(Q246&gt;='Loan Prepayment'!$B$9,Q246&lt;='Loan Prepayment'!$E$16),'Loan Prepayment'!$B$8,0)))</f>
        <v>0</v>
      </c>
      <c r="X246">
        <f t="shared" si="71"/>
        <v>0</v>
      </c>
      <c r="Y246">
        <v>245</v>
      </c>
      <c r="Z246">
        <f t="shared" si="82"/>
        <v>0</v>
      </c>
      <c r="AA246">
        <f>IF(Y246&gt;='Loan Prepayment'!$E$11,'Loan Prepayment'!$E$12,'Loan Prepayment'!$B$6)</f>
        <v>6.5</v>
      </c>
      <c r="AB246">
        <f>IF(Z246&lt;=0,0,MIN(IF(Y246='Loan Prepayment'!$E$11,IF('Loan Prepayment'!$E$13="Keep tenure, recalculate EMI",-PMT(AA246/1200,MAX(1,'Loan Prepayment'!$B$7*12-Y246+1),Z246),AB245),AB245),Z246+AC246))</f>
        <v>0</v>
      </c>
      <c r="AC246">
        <f t="shared" si="72"/>
        <v>0</v>
      </c>
      <c r="AD246">
        <f t="shared" si="73"/>
        <v>0</v>
      </c>
      <c r="AE246">
        <f t="shared" si="74"/>
        <v>0</v>
      </c>
      <c r="AF246">
        <f t="shared" si="75"/>
        <v>0</v>
      </c>
      <c r="AG246">
        <v>245</v>
      </c>
      <c r="AH246">
        <f t="shared" si="83"/>
        <v>0</v>
      </c>
      <c r="AI246">
        <f>IF(AG246&gt;='Loan Prepayment'!$E$11,'Loan Prepayment'!$E$12,'Loan Prepayment'!$B$6)</f>
        <v>6.5</v>
      </c>
      <c r="AJ246">
        <f>IF(AH246&lt;=0,0,MIN(IF(AG246='Loan Prepayment'!$E$11,IF('Loan Prepayment'!$E$13="Keep tenure, recalculate EMI",-PMT(AI246/1200,MAX(1,'Loan Prepayment'!$B$7*12-AG246+1),AH246),IF(AND('Loan Prepayment'!$E$15="Reduce EMI",AM245&gt;0),-PMT(AI245/1200,MAX(1,'Loan Prepayment'!$B$7*12-AG246+1),AH246),AJ245)),IF(AND('Loan Prepayment'!$E$15="Reduce EMI",AM245&gt;0),-PMT(AI246/1200,MAX(1,'Loan Prepayment'!$B$7*12-AG246+1),AH246),AJ245)),AH246+AK246))</f>
        <v>0</v>
      </c>
      <c r="AK246">
        <f t="shared" si="76"/>
        <v>0</v>
      </c>
      <c r="AL246">
        <f t="shared" si="77"/>
        <v>0</v>
      </c>
      <c r="AM246">
        <f>IF(AH246&lt;=0,0,MIN(MAX(0,AH246-AL246),SUMIFS('Loan Prepayment'!$B$12:$B$31,'Loan Prepayment'!$A$12:$A$31,AG246)+IF(AND(AG246&gt;='Loan Prepayment'!$B$9,AG246&lt;='Loan Prepayment'!$E$16),'Loan Prepayment'!$B$8,0)))</f>
        <v>0</v>
      </c>
      <c r="AN246">
        <f t="shared" si="78"/>
        <v>0</v>
      </c>
    </row>
    <row r="247" spans="1:40" x14ac:dyDescent="0.35">
      <c r="A247">
        <v>246</v>
      </c>
      <c r="B247">
        <f t="shared" si="79"/>
        <v>0</v>
      </c>
      <c r="C247" s="64">
        <f>'Loan Prepayment'!$B$6</f>
        <v>7.5</v>
      </c>
      <c r="D247">
        <f>IF(B247&lt;=0,0,MIN(-PMT('Loan Prepayment'!$B$6/1200,'Loan Prepayment'!$B$7*12,'Loan Prepayment'!$B$5),B247+E247))</f>
        <v>0</v>
      </c>
      <c r="E247">
        <f t="shared" si="63"/>
        <v>0</v>
      </c>
      <c r="F247">
        <f t="shared" si="64"/>
        <v>0</v>
      </c>
      <c r="G247">
        <v>0</v>
      </c>
      <c r="H247">
        <f t="shared" si="65"/>
        <v>0</v>
      </c>
      <c r="I247">
        <v>246</v>
      </c>
      <c r="J247">
        <f t="shared" si="80"/>
        <v>0</v>
      </c>
      <c r="K247" s="64">
        <f>'Loan Prepayment'!$B$6</f>
        <v>7.5</v>
      </c>
      <c r="L247">
        <f>IF(J247&lt;=0,0,MIN(IF(AND('Loan Prepayment'!$E$15="Reduce EMI",O246&gt;0),-PMT(K247/1200,MAX(1,'Loan Prepayment'!$B$7*12-I247+1),J247),L246),J247+M247))</f>
        <v>0</v>
      </c>
      <c r="M247">
        <f t="shared" si="66"/>
        <v>0</v>
      </c>
      <c r="N247">
        <f t="shared" si="67"/>
        <v>0</v>
      </c>
      <c r="O247">
        <f>IF(J247&lt;=0,0,MIN(MAX(0,J247-N247),SUMIFS('Loan Prepayment'!$B$12:$B$31,'Loan Prepayment'!$A$12:$A$31,I247)+0))</f>
        <v>0</v>
      </c>
      <c r="P247">
        <f t="shared" si="68"/>
        <v>0</v>
      </c>
      <c r="Q247">
        <v>246</v>
      </c>
      <c r="R247">
        <f t="shared" si="81"/>
        <v>0</v>
      </c>
      <c r="S247" s="64">
        <f>'Loan Prepayment'!$B$6</f>
        <v>7.5</v>
      </c>
      <c r="T247">
        <f>IF(R247&lt;=0,0,MIN(IF(AND('Loan Prepayment'!$E$15="Reduce EMI",W246&gt;0),-PMT(S247/1200,MAX(1,'Loan Prepayment'!$B$7*12-Q247+1),R247),T246),R247+U247))</f>
        <v>0</v>
      </c>
      <c r="U247">
        <f t="shared" si="69"/>
        <v>0</v>
      </c>
      <c r="V247">
        <f t="shared" si="70"/>
        <v>0</v>
      </c>
      <c r="W247">
        <f>IF(R247&lt;=0,0,MIN(MAX(0,R247-V247),0+IF(AND(Q247&gt;='Loan Prepayment'!$B$9,Q247&lt;='Loan Prepayment'!$E$16),'Loan Prepayment'!$B$8,0)))</f>
        <v>0</v>
      </c>
      <c r="X247">
        <f t="shared" si="71"/>
        <v>0</v>
      </c>
      <c r="Y247">
        <v>246</v>
      </c>
      <c r="Z247">
        <f t="shared" si="82"/>
        <v>0</v>
      </c>
      <c r="AA247">
        <f>IF(Y247&gt;='Loan Prepayment'!$E$11,'Loan Prepayment'!$E$12,'Loan Prepayment'!$B$6)</f>
        <v>6.5</v>
      </c>
      <c r="AB247">
        <f>IF(Z247&lt;=0,0,MIN(IF(Y247='Loan Prepayment'!$E$11,IF('Loan Prepayment'!$E$13="Keep tenure, recalculate EMI",-PMT(AA247/1200,MAX(1,'Loan Prepayment'!$B$7*12-Y247+1),Z247),AB246),AB246),Z247+AC247))</f>
        <v>0</v>
      </c>
      <c r="AC247">
        <f t="shared" si="72"/>
        <v>0</v>
      </c>
      <c r="AD247">
        <f t="shared" si="73"/>
        <v>0</v>
      </c>
      <c r="AE247">
        <f t="shared" si="74"/>
        <v>0</v>
      </c>
      <c r="AF247">
        <f t="shared" si="75"/>
        <v>0</v>
      </c>
      <c r="AG247">
        <v>246</v>
      </c>
      <c r="AH247">
        <f t="shared" si="83"/>
        <v>0</v>
      </c>
      <c r="AI247">
        <f>IF(AG247&gt;='Loan Prepayment'!$E$11,'Loan Prepayment'!$E$12,'Loan Prepayment'!$B$6)</f>
        <v>6.5</v>
      </c>
      <c r="AJ247">
        <f>IF(AH247&lt;=0,0,MIN(IF(AG247='Loan Prepayment'!$E$11,IF('Loan Prepayment'!$E$13="Keep tenure, recalculate EMI",-PMT(AI247/1200,MAX(1,'Loan Prepayment'!$B$7*12-AG247+1),AH247),IF(AND('Loan Prepayment'!$E$15="Reduce EMI",AM246&gt;0),-PMT(AI246/1200,MAX(1,'Loan Prepayment'!$B$7*12-AG247+1),AH247),AJ246)),IF(AND('Loan Prepayment'!$E$15="Reduce EMI",AM246&gt;0),-PMT(AI247/1200,MAX(1,'Loan Prepayment'!$B$7*12-AG247+1),AH247),AJ246)),AH247+AK247))</f>
        <v>0</v>
      </c>
      <c r="AK247">
        <f t="shared" si="76"/>
        <v>0</v>
      </c>
      <c r="AL247">
        <f t="shared" si="77"/>
        <v>0</v>
      </c>
      <c r="AM247">
        <f>IF(AH247&lt;=0,0,MIN(MAX(0,AH247-AL247),SUMIFS('Loan Prepayment'!$B$12:$B$31,'Loan Prepayment'!$A$12:$A$31,AG247)+IF(AND(AG247&gt;='Loan Prepayment'!$B$9,AG247&lt;='Loan Prepayment'!$E$16),'Loan Prepayment'!$B$8,0)))</f>
        <v>0</v>
      </c>
      <c r="AN247">
        <f t="shared" si="78"/>
        <v>0</v>
      </c>
    </row>
    <row r="248" spans="1:40" x14ac:dyDescent="0.35">
      <c r="A248">
        <v>247</v>
      </c>
      <c r="B248">
        <f t="shared" si="79"/>
        <v>0</v>
      </c>
      <c r="C248" s="64">
        <f>'Loan Prepayment'!$B$6</f>
        <v>7.5</v>
      </c>
      <c r="D248">
        <f>IF(B248&lt;=0,0,MIN(-PMT('Loan Prepayment'!$B$6/1200,'Loan Prepayment'!$B$7*12,'Loan Prepayment'!$B$5),B248+E248))</f>
        <v>0</v>
      </c>
      <c r="E248">
        <f t="shared" si="63"/>
        <v>0</v>
      </c>
      <c r="F248">
        <f t="shared" si="64"/>
        <v>0</v>
      </c>
      <c r="G248">
        <v>0</v>
      </c>
      <c r="H248">
        <f t="shared" si="65"/>
        <v>0</v>
      </c>
      <c r="I248">
        <v>247</v>
      </c>
      <c r="J248">
        <f t="shared" si="80"/>
        <v>0</v>
      </c>
      <c r="K248" s="64">
        <f>'Loan Prepayment'!$B$6</f>
        <v>7.5</v>
      </c>
      <c r="L248">
        <f>IF(J248&lt;=0,0,MIN(IF(AND('Loan Prepayment'!$E$15="Reduce EMI",O247&gt;0),-PMT(K248/1200,MAX(1,'Loan Prepayment'!$B$7*12-I248+1),J248),L247),J248+M248))</f>
        <v>0</v>
      </c>
      <c r="M248">
        <f t="shared" si="66"/>
        <v>0</v>
      </c>
      <c r="N248">
        <f t="shared" si="67"/>
        <v>0</v>
      </c>
      <c r="O248">
        <f>IF(J248&lt;=0,0,MIN(MAX(0,J248-N248),SUMIFS('Loan Prepayment'!$B$12:$B$31,'Loan Prepayment'!$A$12:$A$31,I248)+0))</f>
        <v>0</v>
      </c>
      <c r="P248">
        <f t="shared" si="68"/>
        <v>0</v>
      </c>
      <c r="Q248">
        <v>247</v>
      </c>
      <c r="R248">
        <f t="shared" si="81"/>
        <v>0</v>
      </c>
      <c r="S248" s="64">
        <f>'Loan Prepayment'!$B$6</f>
        <v>7.5</v>
      </c>
      <c r="T248">
        <f>IF(R248&lt;=0,0,MIN(IF(AND('Loan Prepayment'!$E$15="Reduce EMI",W247&gt;0),-PMT(S248/1200,MAX(1,'Loan Prepayment'!$B$7*12-Q248+1),R248),T247),R248+U248))</f>
        <v>0</v>
      </c>
      <c r="U248">
        <f t="shared" si="69"/>
        <v>0</v>
      </c>
      <c r="V248">
        <f t="shared" si="70"/>
        <v>0</v>
      </c>
      <c r="W248">
        <f>IF(R248&lt;=0,0,MIN(MAX(0,R248-V248),0+IF(AND(Q248&gt;='Loan Prepayment'!$B$9,Q248&lt;='Loan Prepayment'!$E$16),'Loan Prepayment'!$B$8,0)))</f>
        <v>0</v>
      </c>
      <c r="X248">
        <f t="shared" si="71"/>
        <v>0</v>
      </c>
      <c r="Y248">
        <v>247</v>
      </c>
      <c r="Z248">
        <f t="shared" si="82"/>
        <v>0</v>
      </c>
      <c r="AA248">
        <f>IF(Y248&gt;='Loan Prepayment'!$E$11,'Loan Prepayment'!$E$12,'Loan Prepayment'!$B$6)</f>
        <v>6.5</v>
      </c>
      <c r="AB248">
        <f>IF(Z248&lt;=0,0,MIN(IF(Y248='Loan Prepayment'!$E$11,IF('Loan Prepayment'!$E$13="Keep tenure, recalculate EMI",-PMT(AA248/1200,MAX(1,'Loan Prepayment'!$B$7*12-Y248+1),Z248),AB247),AB247),Z248+AC248))</f>
        <v>0</v>
      </c>
      <c r="AC248">
        <f t="shared" si="72"/>
        <v>0</v>
      </c>
      <c r="AD248">
        <f t="shared" si="73"/>
        <v>0</v>
      </c>
      <c r="AE248">
        <f t="shared" si="74"/>
        <v>0</v>
      </c>
      <c r="AF248">
        <f t="shared" si="75"/>
        <v>0</v>
      </c>
      <c r="AG248">
        <v>247</v>
      </c>
      <c r="AH248">
        <f t="shared" si="83"/>
        <v>0</v>
      </c>
      <c r="AI248">
        <f>IF(AG248&gt;='Loan Prepayment'!$E$11,'Loan Prepayment'!$E$12,'Loan Prepayment'!$B$6)</f>
        <v>6.5</v>
      </c>
      <c r="AJ248">
        <f>IF(AH248&lt;=0,0,MIN(IF(AG248='Loan Prepayment'!$E$11,IF('Loan Prepayment'!$E$13="Keep tenure, recalculate EMI",-PMT(AI248/1200,MAX(1,'Loan Prepayment'!$B$7*12-AG248+1),AH248),IF(AND('Loan Prepayment'!$E$15="Reduce EMI",AM247&gt;0),-PMT(AI247/1200,MAX(1,'Loan Prepayment'!$B$7*12-AG248+1),AH248),AJ247)),IF(AND('Loan Prepayment'!$E$15="Reduce EMI",AM247&gt;0),-PMT(AI248/1200,MAX(1,'Loan Prepayment'!$B$7*12-AG248+1),AH248),AJ247)),AH248+AK248))</f>
        <v>0</v>
      </c>
      <c r="AK248">
        <f t="shared" si="76"/>
        <v>0</v>
      </c>
      <c r="AL248">
        <f t="shared" si="77"/>
        <v>0</v>
      </c>
      <c r="AM248">
        <f>IF(AH248&lt;=0,0,MIN(MAX(0,AH248-AL248),SUMIFS('Loan Prepayment'!$B$12:$B$31,'Loan Prepayment'!$A$12:$A$31,AG248)+IF(AND(AG248&gt;='Loan Prepayment'!$B$9,AG248&lt;='Loan Prepayment'!$E$16),'Loan Prepayment'!$B$8,0)))</f>
        <v>0</v>
      </c>
      <c r="AN248">
        <f t="shared" si="78"/>
        <v>0</v>
      </c>
    </row>
    <row r="249" spans="1:40" x14ac:dyDescent="0.35">
      <c r="A249">
        <v>248</v>
      </c>
      <c r="B249">
        <f t="shared" si="79"/>
        <v>0</v>
      </c>
      <c r="C249" s="64">
        <f>'Loan Prepayment'!$B$6</f>
        <v>7.5</v>
      </c>
      <c r="D249">
        <f>IF(B249&lt;=0,0,MIN(-PMT('Loan Prepayment'!$B$6/1200,'Loan Prepayment'!$B$7*12,'Loan Prepayment'!$B$5),B249+E249))</f>
        <v>0</v>
      </c>
      <c r="E249">
        <f t="shared" si="63"/>
        <v>0</v>
      </c>
      <c r="F249">
        <f t="shared" si="64"/>
        <v>0</v>
      </c>
      <c r="G249">
        <v>0</v>
      </c>
      <c r="H249">
        <f t="shared" si="65"/>
        <v>0</v>
      </c>
      <c r="I249">
        <v>248</v>
      </c>
      <c r="J249">
        <f t="shared" si="80"/>
        <v>0</v>
      </c>
      <c r="K249" s="64">
        <f>'Loan Prepayment'!$B$6</f>
        <v>7.5</v>
      </c>
      <c r="L249">
        <f>IF(J249&lt;=0,0,MIN(IF(AND('Loan Prepayment'!$E$15="Reduce EMI",O248&gt;0),-PMT(K249/1200,MAX(1,'Loan Prepayment'!$B$7*12-I249+1),J249),L248),J249+M249))</f>
        <v>0</v>
      </c>
      <c r="M249">
        <f t="shared" si="66"/>
        <v>0</v>
      </c>
      <c r="N249">
        <f t="shared" si="67"/>
        <v>0</v>
      </c>
      <c r="O249">
        <f>IF(J249&lt;=0,0,MIN(MAX(0,J249-N249),SUMIFS('Loan Prepayment'!$B$12:$B$31,'Loan Prepayment'!$A$12:$A$31,I249)+0))</f>
        <v>0</v>
      </c>
      <c r="P249">
        <f t="shared" si="68"/>
        <v>0</v>
      </c>
      <c r="Q249">
        <v>248</v>
      </c>
      <c r="R249">
        <f t="shared" si="81"/>
        <v>0</v>
      </c>
      <c r="S249" s="64">
        <f>'Loan Prepayment'!$B$6</f>
        <v>7.5</v>
      </c>
      <c r="T249">
        <f>IF(R249&lt;=0,0,MIN(IF(AND('Loan Prepayment'!$E$15="Reduce EMI",W248&gt;0),-PMT(S249/1200,MAX(1,'Loan Prepayment'!$B$7*12-Q249+1),R249),T248),R249+U249))</f>
        <v>0</v>
      </c>
      <c r="U249">
        <f t="shared" si="69"/>
        <v>0</v>
      </c>
      <c r="V249">
        <f t="shared" si="70"/>
        <v>0</v>
      </c>
      <c r="W249">
        <f>IF(R249&lt;=0,0,MIN(MAX(0,R249-V249),0+IF(AND(Q249&gt;='Loan Prepayment'!$B$9,Q249&lt;='Loan Prepayment'!$E$16),'Loan Prepayment'!$B$8,0)))</f>
        <v>0</v>
      </c>
      <c r="X249">
        <f t="shared" si="71"/>
        <v>0</v>
      </c>
      <c r="Y249">
        <v>248</v>
      </c>
      <c r="Z249">
        <f t="shared" si="82"/>
        <v>0</v>
      </c>
      <c r="AA249">
        <f>IF(Y249&gt;='Loan Prepayment'!$E$11,'Loan Prepayment'!$E$12,'Loan Prepayment'!$B$6)</f>
        <v>6.5</v>
      </c>
      <c r="AB249">
        <f>IF(Z249&lt;=0,0,MIN(IF(Y249='Loan Prepayment'!$E$11,IF('Loan Prepayment'!$E$13="Keep tenure, recalculate EMI",-PMT(AA249/1200,MAX(1,'Loan Prepayment'!$B$7*12-Y249+1),Z249),AB248),AB248),Z249+AC249))</f>
        <v>0</v>
      </c>
      <c r="AC249">
        <f t="shared" si="72"/>
        <v>0</v>
      </c>
      <c r="AD249">
        <f t="shared" si="73"/>
        <v>0</v>
      </c>
      <c r="AE249">
        <f t="shared" si="74"/>
        <v>0</v>
      </c>
      <c r="AF249">
        <f t="shared" si="75"/>
        <v>0</v>
      </c>
      <c r="AG249">
        <v>248</v>
      </c>
      <c r="AH249">
        <f t="shared" si="83"/>
        <v>0</v>
      </c>
      <c r="AI249">
        <f>IF(AG249&gt;='Loan Prepayment'!$E$11,'Loan Prepayment'!$E$12,'Loan Prepayment'!$B$6)</f>
        <v>6.5</v>
      </c>
      <c r="AJ249">
        <f>IF(AH249&lt;=0,0,MIN(IF(AG249='Loan Prepayment'!$E$11,IF('Loan Prepayment'!$E$13="Keep tenure, recalculate EMI",-PMT(AI249/1200,MAX(1,'Loan Prepayment'!$B$7*12-AG249+1),AH249),IF(AND('Loan Prepayment'!$E$15="Reduce EMI",AM248&gt;0),-PMT(AI248/1200,MAX(1,'Loan Prepayment'!$B$7*12-AG249+1),AH249),AJ248)),IF(AND('Loan Prepayment'!$E$15="Reduce EMI",AM248&gt;0),-PMT(AI249/1200,MAX(1,'Loan Prepayment'!$B$7*12-AG249+1),AH249),AJ248)),AH249+AK249))</f>
        <v>0</v>
      </c>
      <c r="AK249">
        <f t="shared" si="76"/>
        <v>0</v>
      </c>
      <c r="AL249">
        <f t="shared" si="77"/>
        <v>0</v>
      </c>
      <c r="AM249">
        <f>IF(AH249&lt;=0,0,MIN(MAX(0,AH249-AL249),SUMIFS('Loan Prepayment'!$B$12:$B$31,'Loan Prepayment'!$A$12:$A$31,AG249)+IF(AND(AG249&gt;='Loan Prepayment'!$B$9,AG249&lt;='Loan Prepayment'!$E$16),'Loan Prepayment'!$B$8,0)))</f>
        <v>0</v>
      </c>
      <c r="AN249">
        <f t="shared" si="78"/>
        <v>0</v>
      </c>
    </row>
    <row r="250" spans="1:40" x14ac:dyDescent="0.35">
      <c r="A250">
        <v>249</v>
      </c>
      <c r="B250">
        <f t="shared" si="79"/>
        <v>0</v>
      </c>
      <c r="C250" s="64">
        <f>'Loan Prepayment'!$B$6</f>
        <v>7.5</v>
      </c>
      <c r="D250">
        <f>IF(B250&lt;=0,0,MIN(-PMT('Loan Prepayment'!$B$6/1200,'Loan Prepayment'!$B$7*12,'Loan Prepayment'!$B$5),B250+E250))</f>
        <v>0</v>
      </c>
      <c r="E250">
        <f t="shared" si="63"/>
        <v>0</v>
      </c>
      <c r="F250">
        <f t="shared" si="64"/>
        <v>0</v>
      </c>
      <c r="G250">
        <v>0</v>
      </c>
      <c r="H250">
        <f t="shared" si="65"/>
        <v>0</v>
      </c>
      <c r="I250">
        <v>249</v>
      </c>
      <c r="J250">
        <f t="shared" si="80"/>
        <v>0</v>
      </c>
      <c r="K250" s="64">
        <f>'Loan Prepayment'!$B$6</f>
        <v>7.5</v>
      </c>
      <c r="L250">
        <f>IF(J250&lt;=0,0,MIN(IF(AND('Loan Prepayment'!$E$15="Reduce EMI",O249&gt;0),-PMT(K250/1200,MAX(1,'Loan Prepayment'!$B$7*12-I250+1),J250),L249),J250+M250))</f>
        <v>0</v>
      </c>
      <c r="M250">
        <f t="shared" si="66"/>
        <v>0</v>
      </c>
      <c r="N250">
        <f t="shared" si="67"/>
        <v>0</v>
      </c>
      <c r="O250">
        <f>IF(J250&lt;=0,0,MIN(MAX(0,J250-N250),SUMIFS('Loan Prepayment'!$B$12:$B$31,'Loan Prepayment'!$A$12:$A$31,I250)+0))</f>
        <v>0</v>
      </c>
      <c r="P250">
        <f t="shared" si="68"/>
        <v>0</v>
      </c>
      <c r="Q250">
        <v>249</v>
      </c>
      <c r="R250">
        <f t="shared" si="81"/>
        <v>0</v>
      </c>
      <c r="S250" s="64">
        <f>'Loan Prepayment'!$B$6</f>
        <v>7.5</v>
      </c>
      <c r="T250">
        <f>IF(R250&lt;=0,0,MIN(IF(AND('Loan Prepayment'!$E$15="Reduce EMI",W249&gt;0),-PMT(S250/1200,MAX(1,'Loan Prepayment'!$B$7*12-Q250+1),R250),T249),R250+U250))</f>
        <v>0</v>
      </c>
      <c r="U250">
        <f t="shared" si="69"/>
        <v>0</v>
      </c>
      <c r="V250">
        <f t="shared" si="70"/>
        <v>0</v>
      </c>
      <c r="W250">
        <f>IF(R250&lt;=0,0,MIN(MAX(0,R250-V250),0+IF(AND(Q250&gt;='Loan Prepayment'!$B$9,Q250&lt;='Loan Prepayment'!$E$16),'Loan Prepayment'!$B$8,0)))</f>
        <v>0</v>
      </c>
      <c r="X250">
        <f t="shared" si="71"/>
        <v>0</v>
      </c>
      <c r="Y250">
        <v>249</v>
      </c>
      <c r="Z250">
        <f t="shared" si="82"/>
        <v>0</v>
      </c>
      <c r="AA250">
        <f>IF(Y250&gt;='Loan Prepayment'!$E$11,'Loan Prepayment'!$E$12,'Loan Prepayment'!$B$6)</f>
        <v>6.5</v>
      </c>
      <c r="AB250">
        <f>IF(Z250&lt;=0,0,MIN(IF(Y250='Loan Prepayment'!$E$11,IF('Loan Prepayment'!$E$13="Keep tenure, recalculate EMI",-PMT(AA250/1200,MAX(1,'Loan Prepayment'!$B$7*12-Y250+1),Z250),AB249),AB249),Z250+AC250))</f>
        <v>0</v>
      </c>
      <c r="AC250">
        <f t="shared" si="72"/>
        <v>0</v>
      </c>
      <c r="AD250">
        <f t="shared" si="73"/>
        <v>0</v>
      </c>
      <c r="AE250">
        <f t="shared" si="74"/>
        <v>0</v>
      </c>
      <c r="AF250">
        <f t="shared" si="75"/>
        <v>0</v>
      </c>
      <c r="AG250">
        <v>249</v>
      </c>
      <c r="AH250">
        <f t="shared" si="83"/>
        <v>0</v>
      </c>
      <c r="AI250">
        <f>IF(AG250&gt;='Loan Prepayment'!$E$11,'Loan Prepayment'!$E$12,'Loan Prepayment'!$B$6)</f>
        <v>6.5</v>
      </c>
      <c r="AJ250">
        <f>IF(AH250&lt;=0,0,MIN(IF(AG250='Loan Prepayment'!$E$11,IF('Loan Prepayment'!$E$13="Keep tenure, recalculate EMI",-PMT(AI250/1200,MAX(1,'Loan Prepayment'!$B$7*12-AG250+1),AH250),IF(AND('Loan Prepayment'!$E$15="Reduce EMI",AM249&gt;0),-PMT(AI249/1200,MAX(1,'Loan Prepayment'!$B$7*12-AG250+1),AH250),AJ249)),IF(AND('Loan Prepayment'!$E$15="Reduce EMI",AM249&gt;0),-PMT(AI250/1200,MAX(1,'Loan Prepayment'!$B$7*12-AG250+1),AH250),AJ249)),AH250+AK250))</f>
        <v>0</v>
      </c>
      <c r="AK250">
        <f t="shared" si="76"/>
        <v>0</v>
      </c>
      <c r="AL250">
        <f t="shared" si="77"/>
        <v>0</v>
      </c>
      <c r="AM250">
        <f>IF(AH250&lt;=0,0,MIN(MAX(0,AH250-AL250),SUMIFS('Loan Prepayment'!$B$12:$B$31,'Loan Prepayment'!$A$12:$A$31,AG250)+IF(AND(AG250&gt;='Loan Prepayment'!$B$9,AG250&lt;='Loan Prepayment'!$E$16),'Loan Prepayment'!$B$8,0)))</f>
        <v>0</v>
      </c>
      <c r="AN250">
        <f t="shared" si="78"/>
        <v>0</v>
      </c>
    </row>
    <row r="251" spans="1:40" x14ac:dyDescent="0.35">
      <c r="A251">
        <v>250</v>
      </c>
      <c r="B251">
        <f t="shared" si="79"/>
        <v>0</v>
      </c>
      <c r="C251" s="64">
        <f>'Loan Prepayment'!$B$6</f>
        <v>7.5</v>
      </c>
      <c r="D251">
        <f>IF(B251&lt;=0,0,MIN(-PMT('Loan Prepayment'!$B$6/1200,'Loan Prepayment'!$B$7*12,'Loan Prepayment'!$B$5),B251+E251))</f>
        <v>0</v>
      </c>
      <c r="E251">
        <f t="shared" si="63"/>
        <v>0</v>
      </c>
      <c r="F251">
        <f t="shared" si="64"/>
        <v>0</v>
      </c>
      <c r="G251">
        <v>0</v>
      </c>
      <c r="H251">
        <f t="shared" si="65"/>
        <v>0</v>
      </c>
      <c r="I251">
        <v>250</v>
      </c>
      <c r="J251">
        <f t="shared" si="80"/>
        <v>0</v>
      </c>
      <c r="K251" s="64">
        <f>'Loan Prepayment'!$B$6</f>
        <v>7.5</v>
      </c>
      <c r="L251">
        <f>IF(J251&lt;=0,0,MIN(IF(AND('Loan Prepayment'!$E$15="Reduce EMI",O250&gt;0),-PMT(K251/1200,MAX(1,'Loan Prepayment'!$B$7*12-I251+1),J251),L250),J251+M251))</f>
        <v>0</v>
      </c>
      <c r="M251">
        <f t="shared" si="66"/>
        <v>0</v>
      </c>
      <c r="N251">
        <f t="shared" si="67"/>
        <v>0</v>
      </c>
      <c r="O251">
        <f>IF(J251&lt;=0,0,MIN(MAX(0,J251-N251),SUMIFS('Loan Prepayment'!$B$12:$B$31,'Loan Prepayment'!$A$12:$A$31,I251)+0))</f>
        <v>0</v>
      </c>
      <c r="P251">
        <f t="shared" si="68"/>
        <v>0</v>
      </c>
      <c r="Q251">
        <v>250</v>
      </c>
      <c r="R251">
        <f t="shared" si="81"/>
        <v>0</v>
      </c>
      <c r="S251" s="64">
        <f>'Loan Prepayment'!$B$6</f>
        <v>7.5</v>
      </c>
      <c r="T251">
        <f>IF(R251&lt;=0,0,MIN(IF(AND('Loan Prepayment'!$E$15="Reduce EMI",W250&gt;0),-PMT(S251/1200,MAX(1,'Loan Prepayment'!$B$7*12-Q251+1),R251),T250),R251+U251))</f>
        <v>0</v>
      </c>
      <c r="U251">
        <f t="shared" si="69"/>
        <v>0</v>
      </c>
      <c r="V251">
        <f t="shared" si="70"/>
        <v>0</v>
      </c>
      <c r="W251">
        <f>IF(R251&lt;=0,0,MIN(MAX(0,R251-V251),0+IF(AND(Q251&gt;='Loan Prepayment'!$B$9,Q251&lt;='Loan Prepayment'!$E$16),'Loan Prepayment'!$B$8,0)))</f>
        <v>0</v>
      </c>
      <c r="X251">
        <f t="shared" si="71"/>
        <v>0</v>
      </c>
      <c r="Y251">
        <v>250</v>
      </c>
      <c r="Z251">
        <f t="shared" si="82"/>
        <v>0</v>
      </c>
      <c r="AA251">
        <f>IF(Y251&gt;='Loan Prepayment'!$E$11,'Loan Prepayment'!$E$12,'Loan Prepayment'!$B$6)</f>
        <v>6.5</v>
      </c>
      <c r="AB251">
        <f>IF(Z251&lt;=0,0,MIN(IF(Y251='Loan Prepayment'!$E$11,IF('Loan Prepayment'!$E$13="Keep tenure, recalculate EMI",-PMT(AA251/1200,MAX(1,'Loan Prepayment'!$B$7*12-Y251+1),Z251),AB250),AB250),Z251+AC251))</f>
        <v>0</v>
      </c>
      <c r="AC251">
        <f t="shared" si="72"/>
        <v>0</v>
      </c>
      <c r="AD251">
        <f t="shared" si="73"/>
        <v>0</v>
      </c>
      <c r="AE251">
        <f t="shared" si="74"/>
        <v>0</v>
      </c>
      <c r="AF251">
        <f t="shared" si="75"/>
        <v>0</v>
      </c>
      <c r="AG251">
        <v>250</v>
      </c>
      <c r="AH251">
        <f t="shared" si="83"/>
        <v>0</v>
      </c>
      <c r="AI251">
        <f>IF(AG251&gt;='Loan Prepayment'!$E$11,'Loan Prepayment'!$E$12,'Loan Prepayment'!$B$6)</f>
        <v>6.5</v>
      </c>
      <c r="AJ251">
        <f>IF(AH251&lt;=0,0,MIN(IF(AG251='Loan Prepayment'!$E$11,IF('Loan Prepayment'!$E$13="Keep tenure, recalculate EMI",-PMT(AI251/1200,MAX(1,'Loan Prepayment'!$B$7*12-AG251+1),AH251),IF(AND('Loan Prepayment'!$E$15="Reduce EMI",AM250&gt;0),-PMT(AI250/1200,MAX(1,'Loan Prepayment'!$B$7*12-AG251+1),AH251),AJ250)),IF(AND('Loan Prepayment'!$E$15="Reduce EMI",AM250&gt;0),-PMT(AI251/1200,MAX(1,'Loan Prepayment'!$B$7*12-AG251+1),AH251),AJ250)),AH251+AK251))</f>
        <v>0</v>
      </c>
      <c r="AK251">
        <f t="shared" si="76"/>
        <v>0</v>
      </c>
      <c r="AL251">
        <f t="shared" si="77"/>
        <v>0</v>
      </c>
      <c r="AM251">
        <f>IF(AH251&lt;=0,0,MIN(MAX(0,AH251-AL251),SUMIFS('Loan Prepayment'!$B$12:$B$31,'Loan Prepayment'!$A$12:$A$31,AG251)+IF(AND(AG251&gt;='Loan Prepayment'!$B$9,AG251&lt;='Loan Prepayment'!$E$16),'Loan Prepayment'!$B$8,0)))</f>
        <v>0</v>
      </c>
      <c r="AN251">
        <f t="shared" si="78"/>
        <v>0</v>
      </c>
    </row>
    <row r="252" spans="1:40" x14ac:dyDescent="0.35">
      <c r="A252">
        <v>251</v>
      </c>
      <c r="B252">
        <f t="shared" si="79"/>
        <v>0</v>
      </c>
      <c r="C252" s="64">
        <f>'Loan Prepayment'!$B$6</f>
        <v>7.5</v>
      </c>
      <c r="D252">
        <f>IF(B252&lt;=0,0,MIN(-PMT('Loan Prepayment'!$B$6/1200,'Loan Prepayment'!$B$7*12,'Loan Prepayment'!$B$5),B252+E252))</f>
        <v>0</v>
      </c>
      <c r="E252">
        <f t="shared" si="63"/>
        <v>0</v>
      </c>
      <c r="F252">
        <f t="shared" si="64"/>
        <v>0</v>
      </c>
      <c r="G252">
        <v>0</v>
      </c>
      <c r="H252">
        <f t="shared" si="65"/>
        <v>0</v>
      </c>
      <c r="I252">
        <v>251</v>
      </c>
      <c r="J252">
        <f t="shared" si="80"/>
        <v>0</v>
      </c>
      <c r="K252" s="64">
        <f>'Loan Prepayment'!$B$6</f>
        <v>7.5</v>
      </c>
      <c r="L252">
        <f>IF(J252&lt;=0,0,MIN(IF(AND('Loan Prepayment'!$E$15="Reduce EMI",O251&gt;0),-PMT(K252/1200,MAX(1,'Loan Prepayment'!$B$7*12-I252+1),J252),L251),J252+M252))</f>
        <v>0</v>
      </c>
      <c r="M252">
        <f t="shared" si="66"/>
        <v>0</v>
      </c>
      <c r="N252">
        <f t="shared" si="67"/>
        <v>0</v>
      </c>
      <c r="O252">
        <f>IF(J252&lt;=0,0,MIN(MAX(0,J252-N252),SUMIFS('Loan Prepayment'!$B$12:$B$31,'Loan Prepayment'!$A$12:$A$31,I252)+0))</f>
        <v>0</v>
      </c>
      <c r="P252">
        <f t="shared" si="68"/>
        <v>0</v>
      </c>
      <c r="Q252">
        <v>251</v>
      </c>
      <c r="R252">
        <f t="shared" si="81"/>
        <v>0</v>
      </c>
      <c r="S252" s="64">
        <f>'Loan Prepayment'!$B$6</f>
        <v>7.5</v>
      </c>
      <c r="T252">
        <f>IF(R252&lt;=0,0,MIN(IF(AND('Loan Prepayment'!$E$15="Reduce EMI",W251&gt;0),-PMT(S252/1200,MAX(1,'Loan Prepayment'!$B$7*12-Q252+1),R252),T251),R252+U252))</f>
        <v>0</v>
      </c>
      <c r="U252">
        <f t="shared" si="69"/>
        <v>0</v>
      </c>
      <c r="V252">
        <f t="shared" si="70"/>
        <v>0</v>
      </c>
      <c r="W252">
        <f>IF(R252&lt;=0,0,MIN(MAX(0,R252-V252),0+IF(AND(Q252&gt;='Loan Prepayment'!$B$9,Q252&lt;='Loan Prepayment'!$E$16),'Loan Prepayment'!$B$8,0)))</f>
        <v>0</v>
      </c>
      <c r="X252">
        <f t="shared" si="71"/>
        <v>0</v>
      </c>
      <c r="Y252">
        <v>251</v>
      </c>
      <c r="Z252">
        <f t="shared" si="82"/>
        <v>0</v>
      </c>
      <c r="AA252">
        <f>IF(Y252&gt;='Loan Prepayment'!$E$11,'Loan Prepayment'!$E$12,'Loan Prepayment'!$B$6)</f>
        <v>6.5</v>
      </c>
      <c r="AB252">
        <f>IF(Z252&lt;=0,0,MIN(IF(Y252='Loan Prepayment'!$E$11,IF('Loan Prepayment'!$E$13="Keep tenure, recalculate EMI",-PMT(AA252/1200,MAX(1,'Loan Prepayment'!$B$7*12-Y252+1),Z252),AB251),AB251),Z252+AC252))</f>
        <v>0</v>
      </c>
      <c r="AC252">
        <f t="shared" si="72"/>
        <v>0</v>
      </c>
      <c r="AD252">
        <f t="shared" si="73"/>
        <v>0</v>
      </c>
      <c r="AE252">
        <f t="shared" si="74"/>
        <v>0</v>
      </c>
      <c r="AF252">
        <f t="shared" si="75"/>
        <v>0</v>
      </c>
      <c r="AG252">
        <v>251</v>
      </c>
      <c r="AH252">
        <f t="shared" si="83"/>
        <v>0</v>
      </c>
      <c r="AI252">
        <f>IF(AG252&gt;='Loan Prepayment'!$E$11,'Loan Prepayment'!$E$12,'Loan Prepayment'!$B$6)</f>
        <v>6.5</v>
      </c>
      <c r="AJ252">
        <f>IF(AH252&lt;=0,0,MIN(IF(AG252='Loan Prepayment'!$E$11,IF('Loan Prepayment'!$E$13="Keep tenure, recalculate EMI",-PMT(AI252/1200,MAX(1,'Loan Prepayment'!$B$7*12-AG252+1),AH252),IF(AND('Loan Prepayment'!$E$15="Reduce EMI",AM251&gt;0),-PMT(AI251/1200,MAX(1,'Loan Prepayment'!$B$7*12-AG252+1),AH252),AJ251)),IF(AND('Loan Prepayment'!$E$15="Reduce EMI",AM251&gt;0),-PMT(AI252/1200,MAX(1,'Loan Prepayment'!$B$7*12-AG252+1),AH252),AJ251)),AH252+AK252))</f>
        <v>0</v>
      </c>
      <c r="AK252">
        <f t="shared" si="76"/>
        <v>0</v>
      </c>
      <c r="AL252">
        <f t="shared" si="77"/>
        <v>0</v>
      </c>
      <c r="AM252">
        <f>IF(AH252&lt;=0,0,MIN(MAX(0,AH252-AL252),SUMIFS('Loan Prepayment'!$B$12:$B$31,'Loan Prepayment'!$A$12:$A$31,AG252)+IF(AND(AG252&gt;='Loan Prepayment'!$B$9,AG252&lt;='Loan Prepayment'!$E$16),'Loan Prepayment'!$B$8,0)))</f>
        <v>0</v>
      </c>
      <c r="AN252">
        <f t="shared" si="78"/>
        <v>0</v>
      </c>
    </row>
    <row r="253" spans="1:40" x14ac:dyDescent="0.35">
      <c r="A253">
        <v>252</v>
      </c>
      <c r="B253">
        <f t="shared" si="79"/>
        <v>0</v>
      </c>
      <c r="C253" s="64">
        <f>'Loan Prepayment'!$B$6</f>
        <v>7.5</v>
      </c>
      <c r="D253">
        <f>IF(B253&lt;=0,0,MIN(-PMT('Loan Prepayment'!$B$6/1200,'Loan Prepayment'!$B$7*12,'Loan Prepayment'!$B$5),B253+E253))</f>
        <v>0</v>
      </c>
      <c r="E253">
        <f t="shared" si="63"/>
        <v>0</v>
      </c>
      <c r="F253">
        <f t="shared" si="64"/>
        <v>0</v>
      </c>
      <c r="G253">
        <v>0</v>
      </c>
      <c r="H253">
        <f t="shared" si="65"/>
        <v>0</v>
      </c>
      <c r="I253">
        <v>252</v>
      </c>
      <c r="J253">
        <f t="shared" si="80"/>
        <v>0</v>
      </c>
      <c r="K253" s="64">
        <f>'Loan Prepayment'!$B$6</f>
        <v>7.5</v>
      </c>
      <c r="L253">
        <f>IF(J253&lt;=0,0,MIN(IF(AND('Loan Prepayment'!$E$15="Reduce EMI",O252&gt;0),-PMT(K253/1200,MAX(1,'Loan Prepayment'!$B$7*12-I253+1),J253),L252),J253+M253))</f>
        <v>0</v>
      </c>
      <c r="M253">
        <f t="shared" si="66"/>
        <v>0</v>
      </c>
      <c r="N253">
        <f t="shared" si="67"/>
        <v>0</v>
      </c>
      <c r="O253">
        <f>IF(J253&lt;=0,0,MIN(MAX(0,J253-N253),SUMIFS('Loan Prepayment'!$B$12:$B$31,'Loan Prepayment'!$A$12:$A$31,I253)+0))</f>
        <v>0</v>
      </c>
      <c r="P253">
        <f t="shared" si="68"/>
        <v>0</v>
      </c>
      <c r="Q253">
        <v>252</v>
      </c>
      <c r="R253">
        <f t="shared" si="81"/>
        <v>0</v>
      </c>
      <c r="S253" s="64">
        <f>'Loan Prepayment'!$B$6</f>
        <v>7.5</v>
      </c>
      <c r="T253">
        <f>IF(R253&lt;=0,0,MIN(IF(AND('Loan Prepayment'!$E$15="Reduce EMI",W252&gt;0),-PMT(S253/1200,MAX(1,'Loan Prepayment'!$B$7*12-Q253+1),R253),T252),R253+U253))</f>
        <v>0</v>
      </c>
      <c r="U253">
        <f t="shared" si="69"/>
        <v>0</v>
      </c>
      <c r="V253">
        <f t="shared" si="70"/>
        <v>0</v>
      </c>
      <c r="W253">
        <f>IF(R253&lt;=0,0,MIN(MAX(0,R253-V253),0+IF(AND(Q253&gt;='Loan Prepayment'!$B$9,Q253&lt;='Loan Prepayment'!$E$16),'Loan Prepayment'!$B$8,0)))</f>
        <v>0</v>
      </c>
      <c r="X253">
        <f t="shared" si="71"/>
        <v>0</v>
      </c>
      <c r="Y253">
        <v>252</v>
      </c>
      <c r="Z253">
        <f t="shared" si="82"/>
        <v>0</v>
      </c>
      <c r="AA253">
        <f>IF(Y253&gt;='Loan Prepayment'!$E$11,'Loan Prepayment'!$E$12,'Loan Prepayment'!$B$6)</f>
        <v>6.5</v>
      </c>
      <c r="AB253">
        <f>IF(Z253&lt;=0,0,MIN(IF(Y253='Loan Prepayment'!$E$11,IF('Loan Prepayment'!$E$13="Keep tenure, recalculate EMI",-PMT(AA253/1200,MAX(1,'Loan Prepayment'!$B$7*12-Y253+1),Z253),AB252),AB252),Z253+AC253))</f>
        <v>0</v>
      </c>
      <c r="AC253">
        <f t="shared" si="72"/>
        <v>0</v>
      </c>
      <c r="AD253">
        <f t="shared" si="73"/>
        <v>0</v>
      </c>
      <c r="AE253">
        <f t="shared" si="74"/>
        <v>0</v>
      </c>
      <c r="AF253">
        <f t="shared" si="75"/>
        <v>0</v>
      </c>
      <c r="AG253">
        <v>252</v>
      </c>
      <c r="AH253">
        <f t="shared" si="83"/>
        <v>0</v>
      </c>
      <c r="AI253">
        <f>IF(AG253&gt;='Loan Prepayment'!$E$11,'Loan Prepayment'!$E$12,'Loan Prepayment'!$B$6)</f>
        <v>6.5</v>
      </c>
      <c r="AJ253">
        <f>IF(AH253&lt;=0,0,MIN(IF(AG253='Loan Prepayment'!$E$11,IF('Loan Prepayment'!$E$13="Keep tenure, recalculate EMI",-PMT(AI253/1200,MAX(1,'Loan Prepayment'!$B$7*12-AG253+1),AH253),IF(AND('Loan Prepayment'!$E$15="Reduce EMI",AM252&gt;0),-PMT(AI252/1200,MAX(1,'Loan Prepayment'!$B$7*12-AG253+1),AH253),AJ252)),IF(AND('Loan Prepayment'!$E$15="Reduce EMI",AM252&gt;0),-PMT(AI253/1200,MAX(1,'Loan Prepayment'!$B$7*12-AG253+1),AH253),AJ252)),AH253+AK253))</f>
        <v>0</v>
      </c>
      <c r="AK253">
        <f t="shared" si="76"/>
        <v>0</v>
      </c>
      <c r="AL253">
        <f t="shared" si="77"/>
        <v>0</v>
      </c>
      <c r="AM253">
        <f>IF(AH253&lt;=0,0,MIN(MAX(0,AH253-AL253),SUMIFS('Loan Prepayment'!$B$12:$B$31,'Loan Prepayment'!$A$12:$A$31,AG253)+IF(AND(AG253&gt;='Loan Prepayment'!$B$9,AG253&lt;='Loan Prepayment'!$E$16),'Loan Prepayment'!$B$8,0)))</f>
        <v>0</v>
      </c>
      <c r="AN253">
        <f t="shared" si="78"/>
        <v>0</v>
      </c>
    </row>
    <row r="254" spans="1:40" x14ac:dyDescent="0.35">
      <c r="A254">
        <v>253</v>
      </c>
      <c r="B254">
        <f t="shared" si="79"/>
        <v>0</v>
      </c>
      <c r="C254" s="64">
        <f>'Loan Prepayment'!$B$6</f>
        <v>7.5</v>
      </c>
      <c r="D254">
        <f>IF(B254&lt;=0,0,MIN(-PMT('Loan Prepayment'!$B$6/1200,'Loan Prepayment'!$B$7*12,'Loan Prepayment'!$B$5),B254+E254))</f>
        <v>0</v>
      </c>
      <c r="E254">
        <f t="shared" si="63"/>
        <v>0</v>
      </c>
      <c r="F254">
        <f t="shared" si="64"/>
        <v>0</v>
      </c>
      <c r="G254">
        <v>0</v>
      </c>
      <c r="H254">
        <f t="shared" si="65"/>
        <v>0</v>
      </c>
      <c r="I254">
        <v>253</v>
      </c>
      <c r="J254">
        <f t="shared" si="80"/>
        <v>0</v>
      </c>
      <c r="K254" s="64">
        <f>'Loan Prepayment'!$B$6</f>
        <v>7.5</v>
      </c>
      <c r="L254">
        <f>IF(J254&lt;=0,0,MIN(IF(AND('Loan Prepayment'!$E$15="Reduce EMI",O253&gt;0),-PMT(K254/1200,MAX(1,'Loan Prepayment'!$B$7*12-I254+1),J254),L253),J254+M254))</f>
        <v>0</v>
      </c>
      <c r="M254">
        <f t="shared" si="66"/>
        <v>0</v>
      </c>
      <c r="N254">
        <f t="shared" si="67"/>
        <v>0</v>
      </c>
      <c r="O254">
        <f>IF(J254&lt;=0,0,MIN(MAX(0,J254-N254),SUMIFS('Loan Prepayment'!$B$12:$B$31,'Loan Prepayment'!$A$12:$A$31,I254)+0))</f>
        <v>0</v>
      </c>
      <c r="P254">
        <f t="shared" si="68"/>
        <v>0</v>
      </c>
      <c r="Q254">
        <v>253</v>
      </c>
      <c r="R254">
        <f t="shared" si="81"/>
        <v>0</v>
      </c>
      <c r="S254" s="64">
        <f>'Loan Prepayment'!$B$6</f>
        <v>7.5</v>
      </c>
      <c r="T254">
        <f>IF(R254&lt;=0,0,MIN(IF(AND('Loan Prepayment'!$E$15="Reduce EMI",W253&gt;0),-PMT(S254/1200,MAX(1,'Loan Prepayment'!$B$7*12-Q254+1),R254),T253),R254+U254))</f>
        <v>0</v>
      </c>
      <c r="U254">
        <f t="shared" si="69"/>
        <v>0</v>
      </c>
      <c r="V254">
        <f t="shared" si="70"/>
        <v>0</v>
      </c>
      <c r="W254">
        <f>IF(R254&lt;=0,0,MIN(MAX(0,R254-V254),0+IF(AND(Q254&gt;='Loan Prepayment'!$B$9,Q254&lt;='Loan Prepayment'!$E$16),'Loan Prepayment'!$B$8,0)))</f>
        <v>0</v>
      </c>
      <c r="X254">
        <f t="shared" si="71"/>
        <v>0</v>
      </c>
      <c r="Y254">
        <v>253</v>
      </c>
      <c r="Z254">
        <f t="shared" si="82"/>
        <v>0</v>
      </c>
      <c r="AA254">
        <f>IF(Y254&gt;='Loan Prepayment'!$E$11,'Loan Prepayment'!$E$12,'Loan Prepayment'!$B$6)</f>
        <v>6.5</v>
      </c>
      <c r="AB254">
        <f>IF(Z254&lt;=0,0,MIN(IF(Y254='Loan Prepayment'!$E$11,IF('Loan Prepayment'!$E$13="Keep tenure, recalculate EMI",-PMT(AA254/1200,MAX(1,'Loan Prepayment'!$B$7*12-Y254+1),Z254),AB253),AB253),Z254+AC254))</f>
        <v>0</v>
      </c>
      <c r="AC254">
        <f t="shared" si="72"/>
        <v>0</v>
      </c>
      <c r="AD254">
        <f t="shared" si="73"/>
        <v>0</v>
      </c>
      <c r="AE254">
        <f t="shared" si="74"/>
        <v>0</v>
      </c>
      <c r="AF254">
        <f t="shared" si="75"/>
        <v>0</v>
      </c>
      <c r="AG254">
        <v>253</v>
      </c>
      <c r="AH254">
        <f t="shared" si="83"/>
        <v>0</v>
      </c>
      <c r="AI254">
        <f>IF(AG254&gt;='Loan Prepayment'!$E$11,'Loan Prepayment'!$E$12,'Loan Prepayment'!$B$6)</f>
        <v>6.5</v>
      </c>
      <c r="AJ254">
        <f>IF(AH254&lt;=0,0,MIN(IF(AG254='Loan Prepayment'!$E$11,IF('Loan Prepayment'!$E$13="Keep tenure, recalculate EMI",-PMT(AI254/1200,MAX(1,'Loan Prepayment'!$B$7*12-AG254+1),AH254),IF(AND('Loan Prepayment'!$E$15="Reduce EMI",AM253&gt;0),-PMT(AI253/1200,MAX(1,'Loan Prepayment'!$B$7*12-AG254+1),AH254),AJ253)),IF(AND('Loan Prepayment'!$E$15="Reduce EMI",AM253&gt;0),-PMT(AI254/1200,MAX(1,'Loan Prepayment'!$B$7*12-AG254+1),AH254),AJ253)),AH254+AK254))</f>
        <v>0</v>
      </c>
      <c r="AK254">
        <f t="shared" si="76"/>
        <v>0</v>
      </c>
      <c r="AL254">
        <f t="shared" si="77"/>
        <v>0</v>
      </c>
      <c r="AM254">
        <f>IF(AH254&lt;=0,0,MIN(MAX(0,AH254-AL254),SUMIFS('Loan Prepayment'!$B$12:$B$31,'Loan Prepayment'!$A$12:$A$31,AG254)+IF(AND(AG254&gt;='Loan Prepayment'!$B$9,AG254&lt;='Loan Prepayment'!$E$16),'Loan Prepayment'!$B$8,0)))</f>
        <v>0</v>
      </c>
      <c r="AN254">
        <f t="shared" si="78"/>
        <v>0</v>
      </c>
    </row>
    <row r="255" spans="1:40" x14ac:dyDescent="0.35">
      <c r="A255">
        <v>254</v>
      </c>
      <c r="B255">
        <f t="shared" si="79"/>
        <v>0</v>
      </c>
      <c r="C255" s="64">
        <f>'Loan Prepayment'!$B$6</f>
        <v>7.5</v>
      </c>
      <c r="D255">
        <f>IF(B255&lt;=0,0,MIN(-PMT('Loan Prepayment'!$B$6/1200,'Loan Prepayment'!$B$7*12,'Loan Prepayment'!$B$5),B255+E255))</f>
        <v>0</v>
      </c>
      <c r="E255">
        <f t="shared" si="63"/>
        <v>0</v>
      </c>
      <c r="F255">
        <f t="shared" si="64"/>
        <v>0</v>
      </c>
      <c r="G255">
        <v>0</v>
      </c>
      <c r="H255">
        <f t="shared" si="65"/>
        <v>0</v>
      </c>
      <c r="I255">
        <v>254</v>
      </c>
      <c r="J255">
        <f t="shared" si="80"/>
        <v>0</v>
      </c>
      <c r="K255" s="64">
        <f>'Loan Prepayment'!$B$6</f>
        <v>7.5</v>
      </c>
      <c r="L255">
        <f>IF(J255&lt;=0,0,MIN(IF(AND('Loan Prepayment'!$E$15="Reduce EMI",O254&gt;0),-PMT(K255/1200,MAX(1,'Loan Prepayment'!$B$7*12-I255+1),J255),L254),J255+M255))</f>
        <v>0</v>
      </c>
      <c r="M255">
        <f t="shared" si="66"/>
        <v>0</v>
      </c>
      <c r="N255">
        <f t="shared" si="67"/>
        <v>0</v>
      </c>
      <c r="O255">
        <f>IF(J255&lt;=0,0,MIN(MAX(0,J255-N255),SUMIFS('Loan Prepayment'!$B$12:$B$31,'Loan Prepayment'!$A$12:$A$31,I255)+0))</f>
        <v>0</v>
      </c>
      <c r="P255">
        <f t="shared" si="68"/>
        <v>0</v>
      </c>
      <c r="Q255">
        <v>254</v>
      </c>
      <c r="R255">
        <f t="shared" si="81"/>
        <v>0</v>
      </c>
      <c r="S255" s="64">
        <f>'Loan Prepayment'!$B$6</f>
        <v>7.5</v>
      </c>
      <c r="T255">
        <f>IF(R255&lt;=0,0,MIN(IF(AND('Loan Prepayment'!$E$15="Reduce EMI",W254&gt;0),-PMT(S255/1200,MAX(1,'Loan Prepayment'!$B$7*12-Q255+1),R255),T254),R255+U255))</f>
        <v>0</v>
      </c>
      <c r="U255">
        <f t="shared" si="69"/>
        <v>0</v>
      </c>
      <c r="V255">
        <f t="shared" si="70"/>
        <v>0</v>
      </c>
      <c r="W255">
        <f>IF(R255&lt;=0,0,MIN(MAX(0,R255-V255),0+IF(AND(Q255&gt;='Loan Prepayment'!$B$9,Q255&lt;='Loan Prepayment'!$E$16),'Loan Prepayment'!$B$8,0)))</f>
        <v>0</v>
      </c>
      <c r="X255">
        <f t="shared" si="71"/>
        <v>0</v>
      </c>
      <c r="Y255">
        <v>254</v>
      </c>
      <c r="Z255">
        <f t="shared" si="82"/>
        <v>0</v>
      </c>
      <c r="AA255">
        <f>IF(Y255&gt;='Loan Prepayment'!$E$11,'Loan Prepayment'!$E$12,'Loan Prepayment'!$B$6)</f>
        <v>6.5</v>
      </c>
      <c r="AB255">
        <f>IF(Z255&lt;=0,0,MIN(IF(Y255='Loan Prepayment'!$E$11,IF('Loan Prepayment'!$E$13="Keep tenure, recalculate EMI",-PMT(AA255/1200,MAX(1,'Loan Prepayment'!$B$7*12-Y255+1),Z255),AB254),AB254),Z255+AC255))</f>
        <v>0</v>
      </c>
      <c r="AC255">
        <f t="shared" si="72"/>
        <v>0</v>
      </c>
      <c r="AD255">
        <f t="shared" si="73"/>
        <v>0</v>
      </c>
      <c r="AE255">
        <f t="shared" si="74"/>
        <v>0</v>
      </c>
      <c r="AF255">
        <f t="shared" si="75"/>
        <v>0</v>
      </c>
      <c r="AG255">
        <v>254</v>
      </c>
      <c r="AH255">
        <f t="shared" si="83"/>
        <v>0</v>
      </c>
      <c r="AI255">
        <f>IF(AG255&gt;='Loan Prepayment'!$E$11,'Loan Prepayment'!$E$12,'Loan Prepayment'!$B$6)</f>
        <v>6.5</v>
      </c>
      <c r="AJ255">
        <f>IF(AH255&lt;=0,0,MIN(IF(AG255='Loan Prepayment'!$E$11,IF('Loan Prepayment'!$E$13="Keep tenure, recalculate EMI",-PMT(AI255/1200,MAX(1,'Loan Prepayment'!$B$7*12-AG255+1),AH255),IF(AND('Loan Prepayment'!$E$15="Reduce EMI",AM254&gt;0),-PMT(AI254/1200,MAX(1,'Loan Prepayment'!$B$7*12-AG255+1),AH255),AJ254)),IF(AND('Loan Prepayment'!$E$15="Reduce EMI",AM254&gt;0),-PMT(AI255/1200,MAX(1,'Loan Prepayment'!$B$7*12-AG255+1),AH255),AJ254)),AH255+AK255))</f>
        <v>0</v>
      </c>
      <c r="AK255">
        <f t="shared" si="76"/>
        <v>0</v>
      </c>
      <c r="AL255">
        <f t="shared" si="77"/>
        <v>0</v>
      </c>
      <c r="AM255">
        <f>IF(AH255&lt;=0,0,MIN(MAX(0,AH255-AL255),SUMIFS('Loan Prepayment'!$B$12:$B$31,'Loan Prepayment'!$A$12:$A$31,AG255)+IF(AND(AG255&gt;='Loan Prepayment'!$B$9,AG255&lt;='Loan Prepayment'!$E$16),'Loan Prepayment'!$B$8,0)))</f>
        <v>0</v>
      </c>
      <c r="AN255">
        <f t="shared" si="78"/>
        <v>0</v>
      </c>
    </row>
    <row r="256" spans="1:40" x14ac:dyDescent="0.35">
      <c r="A256">
        <v>255</v>
      </c>
      <c r="B256">
        <f t="shared" si="79"/>
        <v>0</v>
      </c>
      <c r="C256" s="64">
        <f>'Loan Prepayment'!$B$6</f>
        <v>7.5</v>
      </c>
      <c r="D256">
        <f>IF(B256&lt;=0,0,MIN(-PMT('Loan Prepayment'!$B$6/1200,'Loan Prepayment'!$B$7*12,'Loan Prepayment'!$B$5),B256+E256))</f>
        <v>0</v>
      </c>
      <c r="E256">
        <f t="shared" si="63"/>
        <v>0</v>
      </c>
      <c r="F256">
        <f t="shared" si="64"/>
        <v>0</v>
      </c>
      <c r="G256">
        <v>0</v>
      </c>
      <c r="H256">
        <f t="shared" si="65"/>
        <v>0</v>
      </c>
      <c r="I256">
        <v>255</v>
      </c>
      <c r="J256">
        <f t="shared" si="80"/>
        <v>0</v>
      </c>
      <c r="K256" s="64">
        <f>'Loan Prepayment'!$B$6</f>
        <v>7.5</v>
      </c>
      <c r="L256">
        <f>IF(J256&lt;=0,0,MIN(IF(AND('Loan Prepayment'!$E$15="Reduce EMI",O255&gt;0),-PMT(K256/1200,MAX(1,'Loan Prepayment'!$B$7*12-I256+1),J256),L255),J256+M256))</f>
        <v>0</v>
      </c>
      <c r="M256">
        <f t="shared" si="66"/>
        <v>0</v>
      </c>
      <c r="N256">
        <f t="shared" si="67"/>
        <v>0</v>
      </c>
      <c r="O256">
        <f>IF(J256&lt;=0,0,MIN(MAX(0,J256-N256),SUMIFS('Loan Prepayment'!$B$12:$B$31,'Loan Prepayment'!$A$12:$A$31,I256)+0))</f>
        <v>0</v>
      </c>
      <c r="P256">
        <f t="shared" si="68"/>
        <v>0</v>
      </c>
      <c r="Q256">
        <v>255</v>
      </c>
      <c r="R256">
        <f t="shared" si="81"/>
        <v>0</v>
      </c>
      <c r="S256" s="64">
        <f>'Loan Prepayment'!$B$6</f>
        <v>7.5</v>
      </c>
      <c r="T256">
        <f>IF(R256&lt;=0,0,MIN(IF(AND('Loan Prepayment'!$E$15="Reduce EMI",W255&gt;0),-PMT(S256/1200,MAX(1,'Loan Prepayment'!$B$7*12-Q256+1),R256),T255),R256+U256))</f>
        <v>0</v>
      </c>
      <c r="U256">
        <f t="shared" si="69"/>
        <v>0</v>
      </c>
      <c r="V256">
        <f t="shared" si="70"/>
        <v>0</v>
      </c>
      <c r="W256">
        <f>IF(R256&lt;=0,0,MIN(MAX(0,R256-V256),0+IF(AND(Q256&gt;='Loan Prepayment'!$B$9,Q256&lt;='Loan Prepayment'!$E$16),'Loan Prepayment'!$B$8,0)))</f>
        <v>0</v>
      </c>
      <c r="X256">
        <f t="shared" si="71"/>
        <v>0</v>
      </c>
      <c r="Y256">
        <v>255</v>
      </c>
      <c r="Z256">
        <f t="shared" si="82"/>
        <v>0</v>
      </c>
      <c r="AA256">
        <f>IF(Y256&gt;='Loan Prepayment'!$E$11,'Loan Prepayment'!$E$12,'Loan Prepayment'!$B$6)</f>
        <v>6.5</v>
      </c>
      <c r="AB256">
        <f>IF(Z256&lt;=0,0,MIN(IF(Y256='Loan Prepayment'!$E$11,IF('Loan Prepayment'!$E$13="Keep tenure, recalculate EMI",-PMT(AA256/1200,MAX(1,'Loan Prepayment'!$B$7*12-Y256+1),Z256),AB255),AB255),Z256+AC256))</f>
        <v>0</v>
      </c>
      <c r="AC256">
        <f t="shared" si="72"/>
        <v>0</v>
      </c>
      <c r="AD256">
        <f t="shared" si="73"/>
        <v>0</v>
      </c>
      <c r="AE256">
        <f t="shared" si="74"/>
        <v>0</v>
      </c>
      <c r="AF256">
        <f t="shared" si="75"/>
        <v>0</v>
      </c>
      <c r="AG256">
        <v>255</v>
      </c>
      <c r="AH256">
        <f t="shared" si="83"/>
        <v>0</v>
      </c>
      <c r="AI256">
        <f>IF(AG256&gt;='Loan Prepayment'!$E$11,'Loan Prepayment'!$E$12,'Loan Prepayment'!$B$6)</f>
        <v>6.5</v>
      </c>
      <c r="AJ256">
        <f>IF(AH256&lt;=0,0,MIN(IF(AG256='Loan Prepayment'!$E$11,IF('Loan Prepayment'!$E$13="Keep tenure, recalculate EMI",-PMT(AI256/1200,MAX(1,'Loan Prepayment'!$B$7*12-AG256+1),AH256),IF(AND('Loan Prepayment'!$E$15="Reduce EMI",AM255&gt;0),-PMT(AI255/1200,MAX(1,'Loan Prepayment'!$B$7*12-AG256+1),AH256),AJ255)),IF(AND('Loan Prepayment'!$E$15="Reduce EMI",AM255&gt;0),-PMT(AI256/1200,MAX(1,'Loan Prepayment'!$B$7*12-AG256+1),AH256),AJ255)),AH256+AK256))</f>
        <v>0</v>
      </c>
      <c r="AK256">
        <f t="shared" si="76"/>
        <v>0</v>
      </c>
      <c r="AL256">
        <f t="shared" si="77"/>
        <v>0</v>
      </c>
      <c r="AM256">
        <f>IF(AH256&lt;=0,0,MIN(MAX(0,AH256-AL256),SUMIFS('Loan Prepayment'!$B$12:$B$31,'Loan Prepayment'!$A$12:$A$31,AG256)+IF(AND(AG256&gt;='Loan Prepayment'!$B$9,AG256&lt;='Loan Prepayment'!$E$16),'Loan Prepayment'!$B$8,0)))</f>
        <v>0</v>
      </c>
      <c r="AN256">
        <f t="shared" si="78"/>
        <v>0</v>
      </c>
    </row>
    <row r="257" spans="1:40" x14ac:dyDescent="0.35">
      <c r="A257">
        <v>256</v>
      </c>
      <c r="B257">
        <f t="shared" si="79"/>
        <v>0</v>
      </c>
      <c r="C257" s="64">
        <f>'Loan Prepayment'!$B$6</f>
        <v>7.5</v>
      </c>
      <c r="D257">
        <f>IF(B257&lt;=0,0,MIN(-PMT('Loan Prepayment'!$B$6/1200,'Loan Prepayment'!$B$7*12,'Loan Prepayment'!$B$5),B257+E257))</f>
        <v>0</v>
      </c>
      <c r="E257">
        <f t="shared" si="63"/>
        <v>0</v>
      </c>
      <c r="F257">
        <f t="shared" si="64"/>
        <v>0</v>
      </c>
      <c r="G257">
        <v>0</v>
      </c>
      <c r="H257">
        <f t="shared" si="65"/>
        <v>0</v>
      </c>
      <c r="I257">
        <v>256</v>
      </c>
      <c r="J257">
        <f t="shared" si="80"/>
        <v>0</v>
      </c>
      <c r="K257" s="64">
        <f>'Loan Prepayment'!$B$6</f>
        <v>7.5</v>
      </c>
      <c r="L257">
        <f>IF(J257&lt;=0,0,MIN(IF(AND('Loan Prepayment'!$E$15="Reduce EMI",O256&gt;0),-PMT(K257/1200,MAX(1,'Loan Prepayment'!$B$7*12-I257+1),J257),L256),J257+M257))</f>
        <v>0</v>
      </c>
      <c r="M257">
        <f t="shared" si="66"/>
        <v>0</v>
      </c>
      <c r="N257">
        <f t="shared" si="67"/>
        <v>0</v>
      </c>
      <c r="O257">
        <f>IF(J257&lt;=0,0,MIN(MAX(0,J257-N257),SUMIFS('Loan Prepayment'!$B$12:$B$31,'Loan Prepayment'!$A$12:$A$31,I257)+0))</f>
        <v>0</v>
      </c>
      <c r="P257">
        <f t="shared" si="68"/>
        <v>0</v>
      </c>
      <c r="Q257">
        <v>256</v>
      </c>
      <c r="R257">
        <f t="shared" si="81"/>
        <v>0</v>
      </c>
      <c r="S257" s="64">
        <f>'Loan Prepayment'!$B$6</f>
        <v>7.5</v>
      </c>
      <c r="T257">
        <f>IF(R257&lt;=0,0,MIN(IF(AND('Loan Prepayment'!$E$15="Reduce EMI",W256&gt;0),-PMT(S257/1200,MAX(1,'Loan Prepayment'!$B$7*12-Q257+1),R257),T256),R257+U257))</f>
        <v>0</v>
      </c>
      <c r="U257">
        <f t="shared" si="69"/>
        <v>0</v>
      </c>
      <c r="V257">
        <f t="shared" si="70"/>
        <v>0</v>
      </c>
      <c r="W257">
        <f>IF(R257&lt;=0,0,MIN(MAX(0,R257-V257),0+IF(AND(Q257&gt;='Loan Prepayment'!$B$9,Q257&lt;='Loan Prepayment'!$E$16),'Loan Prepayment'!$B$8,0)))</f>
        <v>0</v>
      </c>
      <c r="X257">
        <f t="shared" si="71"/>
        <v>0</v>
      </c>
      <c r="Y257">
        <v>256</v>
      </c>
      <c r="Z257">
        <f t="shared" si="82"/>
        <v>0</v>
      </c>
      <c r="AA257">
        <f>IF(Y257&gt;='Loan Prepayment'!$E$11,'Loan Prepayment'!$E$12,'Loan Prepayment'!$B$6)</f>
        <v>6.5</v>
      </c>
      <c r="AB257">
        <f>IF(Z257&lt;=0,0,MIN(IF(Y257='Loan Prepayment'!$E$11,IF('Loan Prepayment'!$E$13="Keep tenure, recalculate EMI",-PMT(AA257/1200,MAX(1,'Loan Prepayment'!$B$7*12-Y257+1),Z257),AB256),AB256),Z257+AC257))</f>
        <v>0</v>
      </c>
      <c r="AC257">
        <f t="shared" si="72"/>
        <v>0</v>
      </c>
      <c r="AD257">
        <f t="shared" si="73"/>
        <v>0</v>
      </c>
      <c r="AE257">
        <f t="shared" si="74"/>
        <v>0</v>
      </c>
      <c r="AF257">
        <f t="shared" si="75"/>
        <v>0</v>
      </c>
      <c r="AG257">
        <v>256</v>
      </c>
      <c r="AH257">
        <f t="shared" si="83"/>
        <v>0</v>
      </c>
      <c r="AI257">
        <f>IF(AG257&gt;='Loan Prepayment'!$E$11,'Loan Prepayment'!$E$12,'Loan Prepayment'!$B$6)</f>
        <v>6.5</v>
      </c>
      <c r="AJ257">
        <f>IF(AH257&lt;=0,0,MIN(IF(AG257='Loan Prepayment'!$E$11,IF('Loan Prepayment'!$E$13="Keep tenure, recalculate EMI",-PMT(AI257/1200,MAX(1,'Loan Prepayment'!$B$7*12-AG257+1),AH257),IF(AND('Loan Prepayment'!$E$15="Reduce EMI",AM256&gt;0),-PMT(AI256/1200,MAX(1,'Loan Prepayment'!$B$7*12-AG257+1),AH257),AJ256)),IF(AND('Loan Prepayment'!$E$15="Reduce EMI",AM256&gt;0),-PMT(AI257/1200,MAX(1,'Loan Prepayment'!$B$7*12-AG257+1),AH257),AJ256)),AH257+AK257))</f>
        <v>0</v>
      </c>
      <c r="AK257">
        <f t="shared" si="76"/>
        <v>0</v>
      </c>
      <c r="AL257">
        <f t="shared" si="77"/>
        <v>0</v>
      </c>
      <c r="AM257">
        <f>IF(AH257&lt;=0,0,MIN(MAX(0,AH257-AL257),SUMIFS('Loan Prepayment'!$B$12:$B$31,'Loan Prepayment'!$A$12:$A$31,AG257)+IF(AND(AG257&gt;='Loan Prepayment'!$B$9,AG257&lt;='Loan Prepayment'!$E$16),'Loan Prepayment'!$B$8,0)))</f>
        <v>0</v>
      </c>
      <c r="AN257">
        <f t="shared" si="78"/>
        <v>0</v>
      </c>
    </row>
    <row r="258" spans="1:40" x14ac:dyDescent="0.35">
      <c r="A258">
        <v>257</v>
      </c>
      <c r="B258">
        <f t="shared" si="79"/>
        <v>0</v>
      </c>
      <c r="C258" s="64">
        <f>'Loan Prepayment'!$B$6</f>
        <v>7.5</v>
      </c>
      <c r="D258">
        <f>IF(B258&lt;=0,0,MIN(-PMT('Loan Prepayment'!$B$6/1200,'Loan Prepayment'!$B$7*12,'Loan Prepayment'!$B$5),B258+E258))</f>
        <v>0</v>
      </c>
      <c r="E258">
        <f t="shared" ref="E258:E321" si="84">IF(B258&lt;=0,0,B258*C258/1200)</f>
        <v>0</v>
      </c>
      <c r="F258">
        <f t="shared" ref="F258:F321" si="85">MAX(0,D258-E258)</f>
        <v>0</v>
      </c>
      <c r="G258">
        <v>0</v>
      </c>
      <c r="H258">
        <f t="shared" ref="H258:H321" si="86">MAX(0,B258-F258-G258)</f>
        <v>0</v>
      </c>
      <c r="I258">
        <v>257</v>
      </c>
      <c r="J258">
        <f t="shared" si="80"/>
        <v>0</v>
      </c>
      <c r="K258" s="64">
        <f>'Loan Prepayment'!$B$6</f>
        <v>7.5</v>
      </c>
      <c r="L258">
        <f>IF(J258&lt;=0,0,MIN(IF(AND('Loan Prepayment'!$E$15="Reduce EMI",O257&gt;0),-PMT(K258/1200,MAX(1,'Loan Prepayment'!$B$7*12-I258+1),J258),L257),J258+M258))</f>
        <v>0</v>
      </c>
      <c r="M258">
        <f t="shared" ref="M258:M321" si="87">IF(J258&lt;=0,0,J258*K258/1200)</f>
        <v>0</v>
      </c>
      <c r="N258">
        <f t="shared" ref="N258:N321" si="88">MAX(0,L258-M258)</f>
        <v>0</v>
      </c>
      <c r="O258">
        <f>IF(J258&lt;=0,0,MIN(MAX(0,J258-N258),SUMIFS('Loan Prepayment'!$B$12:$B$31,'Loan Prepayment'!$A$12:$A$31,I258)+0))</f>
        <v>0</v>
      </c>
      <c r="P258">
        <f t="shared" ref="P258:P321" si="89">MAX(0,J258-N258-O258)</f>
        <v>0</v>
      </c>
      <c r="Q258">
        <v>257</v>
      </c>
      <c r="R258">
        <f t="shared" si="81"/>
        <v>0</v>
      </c>
      <c r="S258" s="64">
        <f>'Loan Prepayment'!$B$6</f>
        <v>7.5</v>
      </c>
      <c r="T258">
        <f>IF(R258&lt;=0,0,MIN(IF(AND('Loan Prepayment'!$E$15="Reduce EMI",W257&gt;0),-PMT(S258/1200,MAX(1,'Loan Prepayment'!$B$7*12-Q258+1),R258),T257),R258+U258))</f>
        <v>0</v>
      </c>
      <c r="U258">
        <f t="shared" ref="U258:U321" si="90">IF(R258&lt;=0,0,R258*S258/1200)</f>
        <v>0</v>
      </c>
      <c r="V258">
        <f t="shared" ref="V258:V321" si="91">MAX(0,T258-U258)</f>
        <v>0</v>
      </c>
      <c r="W258">
        <f>IF(R258&lt;=0,0,MIN(MAX(0,R258-V258),0+IF(AND(Q258&gt;='Loan Prepayment'!$B$9,Q258&lt;='Loan Prepayment'!$E$16),'Loan Prepayment'!$B$8,0)))</f>
        <v>0</v>
      </c>
      <c r="X258">
        <f t="shared" ref="X258:X321" si="92">MAX(0,R258-V258-W258)</f>
        <v>0</v>
      </c>
      <c r="Y258">
        <v>257</v>
      </c>
      <c r="Z258">
        <f t="shared" si="82"/>
        <v>0</v>
      </c>
      <c r="AA258">
        <f>IF(Y258&gt;='Loan Prepayment'!$E$11,'Loan Prepayment'!$E$12,'Loan Prepayment'!$B$6)</f>
        <v>6.5</v>
      </c>
      <c r="AB258">
        <f>IF(Z258&lt;=0,0,MIN(IF(Y258='Loan Prepayment'!$E$11,IF('Loan Prepayment'!$E$13="Keep tenure, recalculate EMI",-PMT(AA258/1200,MAX(1,'Loan Prepayment'!$B$7*12-Y258+1),Z258),AB257),AB257),Z258+AC258))</f>
        <v>0</v>
      </c>
      <c r="AC258">
        <f t="shared" ref="AC258:AC321" si="93">IF(Z258&lt;=0,0,Z258*AA258/1200)</f>
        <v>0</v>
      </c>
      <c r="AD258">
        <f t="shared" ref="AD258:AD321" si="94">MAX(0,AB258-AC258)</f>
        <v>0</v>
      </c>
      <c r="AE258">
        <f t="shared" ref="AE258:AE321" si="95">IF(Z258&lt;=0,0,MIN(MAX(0,Z258-AD258),0))</f>
        <v>0</v>
      </c>
      <c r="AF258">
        <f t="shared" ref="AF258:AF321" si="96">MAX(0,Z258-AD258-AE258)</f>
        <v>0</v>
      </c>
      <c r="AG258">
        <v>257</v>
      </c>
      <c r="AH258">
        <f t="shared" si="83"/>
        <v>0</v>
      </c>
      <c r="AI258">
        <f>IF(AG258&gt;='Loan Prepayment'!$E$11,'Loan Prepayment'!$E$12,'Loan Prepayment'!$B$6)</f>
        <v>6.5</v>
      </c>
      <c r="AJ258">
        <f>IF(AH258&lt;=0,0,MIN(IF(AG258='Loan Prepayment'!$E$11,IF('Loan Prepayment'!$E$13="Keep tenure, recalculate EMI",-PMT(AI258/1200,MAX(1,'Loan Prepayment'!$B$7*12-AG258+1),AH258),IF(AND('Loan Prepayment'!$E$15="Reduce EMI",AM257&gt;0),-PMT(AI257/1200,MAX(1,'Loan Prepayment'!$B$7*12-AG258+1),AH258),AJ257)),IF(AND('Loan Prepayment'!$E$15="Reduce EMI",AM257&gt;0),-PMT(AI258/1200,MAX(1,'Loan Prepayment'!$B$7*12-AG258+1),AH258),AJ257)),AH258+AK258))</f>
        <v>0</v>
      </c>
      <c r="AK258">
        <f t="shared" ref="AK258:AK321" si="97">IF(AH258&lt;=0,0,AH258*AI258/1200)</f>
        <v>0</v>
      </c>
      <c r="AL258">
        <f t="shared" ref="AL258:AL321" si="98">MAX(0,AJ258-AK258)</f>
        <v>0</v>
      </c>
      <c r="AM258">
        <f>IF(AH258&lt;=0,0,MIN(MAX(0,AH258-AL258),SUMIFS('Loan Prepayment'!$B$12:$B$31,'Loan Prepayment'!$A$12:$A$31,AG258)+IF(AND(AG258&gt;='Loan Prepayment'!$B$9,AG258&lt;='Loan Prepayment'!$E$16),'Loan Prepayment'!$B$8,0)))</f>
        <v>0</v>
      </c>
      <c r="AN258">
        <f t="shared" ref="AN258:AN321" si="99">MAX(0,AH258-AL258-AM258)</f>
        <v>0</v>
      </c>
    </row>
    <row r="259" spans="1:40" x14ac:dyDescent="0.35">
      <c r="A259">
        <v>258</v>
      </c>
      <c r="B259">
        <f t="shared" ref="B259:B322" si="100">H258</f>
        <v>0</v>
      </c>
      <c r="C259" s="64">
        <f>'Loan Prepayment'!$B$6</f>
        <v>7.5</v>
      </c>
      <c r="D259">
        <f>IF(B259&lt;=0,0,MIN(-PMT('Loan Prepayment'!$B$6/1200,'Loan Prepayment'!$B$7*12,'Loan Prepayment'!$B$5),B259+E259))</f>
        <v>0</v>
      </c>
      <c r="E259">
        <f t="shared" si="84"/>
        <v>0</v>
      </c>
      <c r="F259">
        <f t="shared" si="85"/>
        <v>0</v>
      </c>
      <c r="G259">
        <v>0</v>
      </c>
      <c r="H259">
        <f t="shared" si="86"/>
        <v>0</v>
      </c>
      <c r="I259">
        <v>258</v>
      </c>
      <c r="J259">
        <f t="shared" ref="J259:J322" si="101">P258</f>
        <v>0</v>
      </c>
      <c r="K259" s="64">
        <f>'Loan Prepayment'!$B$6</f>
        <v>7.5</v>
      </c>
      <c r="L259">
        <f>IF(J259&lt;=0,0,MIN(IF(AND('Loan Prepayment'!$E$15="Reduce EMI",O258&gt;0),-PMT(K259/1200,MAX(1,'Loan Prepayment'!$B$7*12-I259+1),J259),L258),J259+M259))</f>
        <v>0</v>
      </c>
      <c r="M259">
        <f t="shared" si="87"/>
        <v>0</v>
      </c>
      <c r="N259">
        <f t="shared" si="88"/>
        <v>0</v>
      </c>
      <c r="O259">
        <f>IF(J259&lt;=0,0,MIN(MAX(0,J259-N259),SUMIFS('Loan Prepayment'!$B$12:$B$31,'Loan Prepayment'!$A$12:$A$31,I259)+0))</f>
        <v>0</v>
      </c>
      <c r="P259">
        <f t="shared" si="89"/>
        <v>0</v>
      </c>
      <c r="Q259">
        <v>258</v>
      </c>
      <c r="R259">
        <f t="shared" ref="R259:R322" si="102">X258</f>
        <v>0</v>
      </c>
      <c r="S259" s="64">
        <f>'Loan Prepayment'!$B$6</f>
        <v>7.5</v>
      </c>
      <c r="T259">
        <f>IF(R259&lt;=0,0,MIN(IF(AND('Loan Prepayment'!$E$15="Reduce EMI",W258&gt;0),-PMT(S259/1200,MAX(1,'Loan Prepayment'!$B$7*12-Q259+1),R259),T258),R259+U259))</f>
        <v>0</v>
      </c>
      <c r="U259">
        <f t="shared" si="90"/>
        <v>0</v>
      </c>
      <c r="V259">
        <f t="shared" si="91"/>
        <v>0</v>
      </c>
      <c r="W259">
        <f>IF(R259&lt;=0,0,MIN(MAX(0,R259-V259),0+IF(AND(Q259&gt;='Loan Prepayment'!$B$9,Q259&lt;='Loan Prepayment'!$E$16),'Loan Prepayment'!$B$8,0)))</f>
        <v>0</v>
      </c>
      <c r="X259">
        <f t="shared" si="92"/>
        <v>0</v>
      </c>
      <c r="Y259">
        <v>258</v>
      </c>
      <c r="Z259">
        <f t="shared" ref="Z259:Z322" si="103">AF258</f>
        <v>0</v>
      </c>
      <c r="AA259">
        <f>IF(Y259&gt;='Loan Prepayment'!$E$11,'Loan Prepayment'!$E$12,'Loan Prepayment'!$B$6)</f>
        <v>6.5</v>
      </c>
      <c r="AB259">
        <f>IF(Z259&lt;=0,0,MIN(IF(Y259='Loan Prepayment'!$E$11,IF('Loan Prepayment'!$E$13="Keep tenure, recalculate EMI",-PMT(AA259/1200,MAX(1,'Loan Prepayment'!$B$7*12-Y259+1),Z259),AB258),AB258),Z259+AC259))</f>
        <v>0</v>
      </c>
      <c r="AC259">
        <f t="shared" si="93"/>
        <v>0</v>
      </c>
      <c r="AD259">
        <f t="shared" si="94"/>
        <v>0</v>
      </c>
      <c r="AE259">
        <f t="shared" si="95"/>
        <v>0</v>
      </c>
      <c r="AF259">
        <f t="shared" si="96"/>
        <v>0</v>
      </c>
      <c r="AG259">
        <v>258</v>
      </c>
      <c r="AH259">
        <f t="shared" ref="AH259:AH322" si="104">AN258</f>
        <v>0</v>
      </c>
      <c r="AI259">
        <f>IF(AG259&gt;='Loan Prepayment'!$E$11,'Loan Prepayment'!$E$12,'Loan Prepayment'!$B$6)</f>
        <v>6.5</v>
      </c>
      <c r="AJ259">
        <f>IF(AH259&lt;=0,0,MIN(IF(AG259='Loan Prepayment'!$E$11,IF('Loan Prepayment'!$E$13="Keep tenure, recalculate EMI",-PMT(AI259/1200,MAX(1,'Loan Prepayment'!$B$7*12-AG259+1),AH259),IF(AND('Loan Prepayment'!$E$15="Reduce EMI",AM258&gt;0),-PMT(AI258/1200,MAX(1,'Loan Prepayment'!$B$7*12-AG259+1),AH259),AJ258)),IF(AND('Loan Prepayment'!$E$15="Reduce EMI",AM258&gt;0),-PMT(AI259/1200,MAX(1,'Loan Prepayment'!$B$7*12-AG259+1),AH259),AJ258)),AH259+AK259))</f>
        <v>0</v>
      </c>
      <c r="AK259">
        <f t="shared" si="97"/>
        <v>0</v>
      </c>
      <c r="AL259">
        <f t="shared" si="98"/>
        <v>0</v>
      </c>
      <c r="AM259">
        <f>IF(AH259&lt;=0,0,MIN(MAX(0,AH259-AL259),SUMIFS('Loan Prepayment'!$B$12:$B$31,'Loan Prepayment'!$A$12:$A$31,AG259)+IF(AND(AG259&gt;='Loan Prepayment'!$B$9,AG259&lt;='Loan Prepayment'!$E$16),'Loan Prepayment'!$B$8,0)))</f>
        <v>0</v>
      </c>
      <c r="AN259">
        <f t="shared" si="99"/>
        <v>0</v>
      </c>
    </row>
    <row r="260" spans="1:40" x14ac:dyDescent="0.35">
      <c r="A260">
        <v>259</v>
      </c>
      <c r="B260">
        <f t="shared" si="100"/>
        <v>0</v>
      </c>
      <c r="C260" s="64">
        <f>'Loan Prepayment'!$B$6</f>
        <v>7.5</v>
      </c>
      <c r="D260">
        <f>IF(B260&lt;=0,0,MIN(-PMT('Loan Prepayment'!$B$6/1200,'Loan Prepayment'!$B$7*12,'Loan Prepayment'!$B$5),B260+E260))</f>
        <v>0</v>
      </c>
      <c r="E260">
        <f t="shared" si="84"/>
        <v>0</v>
      </c>
      <c r="F260">
        <f t="shared" si="85"/>
        <v>0</v>
      </c>
      <c r="G260">
        <v>0</v>
      </c>
      <c r="H260">
        <f t="shared" si="86"/>
        <v>0</v>
      </c>
      <c r="I260">
        <v>259</v>
      </c>
      <c r="J260">
        <f t="shared" si="101"/>
        <v>0</v>
      </c>
      <c r="K260" s="64">
        <f>'Loan Prepayment'!$B$6</f>
        <v>7.5</v>
      </c>
      <c r="L260">
        <f>IF(J260&lt;=0,0,MIN(IF(AND('Loan Prepayment'!$E$15="Reduce EMI",O259&gt;0),-PMT(K260/1200,MAX(1,'Loan Prepayment'!$B$7*12-I260+1),J260),L259),J260+M260))</f>
        <v>0</v>
      </c>
      <c r="M260">
        <f t="shared" si="87"/>
        <v>0</v>
      </c>
      <c r="N260">
        <f t="shared" si="88"/>
        <v>0</v>
      </c>
      <c r="O260">
        <f>IF(J260&lt;=0,0,MIN(MAX(0,J260-N260),SUMIFS('Loan Prepayment'!$B$12:$B$31,'Loan Prepayment'!$A$12:$A$31,I260)+0))</f>
        <v>0</v>
      </c>
      <c r="P260">
        <f t="shared" si="89"/>
        <v>0</v>
      </c>
      <c r="Q260">
        <v>259</v>
      </c>
      <c r="R260">
        <f t="shared" si="102"/>
        <v>0</v>
      </c>
      <c r="S260" s="64">
        <f>'Loan Prepayment'!$B$6</f>
        <v>7.5</v>
      </c>
      <c r="T260">
        <f>IF(R260&lt;=0,0,MIN(IF(AND('Loan Prepayment'!$E$15="Reduce EMI",W259&gt;0),-PMT(S260/1200,MAX(1,'Loan Prepayment'!$B$7*12-Q260+1),R260),T259),R260+U260))</f>
        <v>0</v>
      </c>
      <c r="U260">
        <f t="shared" si="90"/>
        <v>0</v>
      </c>
      <c r="V260">
        <f t="shared" si="91"/>
        <v>0</v>
      </c>
      <c r="W260">
        <f>IF(R260&lt;=0,0,MIN(MAX(0,R260-V260),0+IF(AND(Q260&gt;='Loan Prepayment'!$B$9,Q260&lt;='Loan Prepayment'!$E$16),'Loan Prepayment'!$B$8,0)))</f>
        <v>0</v>
      </c>
      <c r="X260">
        <f t="shared" si="92"/>
        <v>0</v>
      </c>
      <c r="Y260">
        <v>259</v>
      </c>
      <c r="Z260">
        <f t="shared" si="103"/>
        <v>0</v>
      </c>
      <c r="AA260">
        <f>IF(Y260&gt;='Loan Prepayment'!$E$11,'Loan Prepayment'!$E$12,'Loan Prepayment'!$B$6)</f>
        <v>6.5</v>
      </c>
      <c r="AB260">
        <f>IF(Z260&lt;=0,0,MIN(IF(Y260='Loan Prepayment'!$E$11,IF('Loan Prepayment'!$E$13="Keep tenure, recalculate EMI",-PMT(AA260/1200,MAX(1,'Loan Prepayment'!$B$7*12-Y260+1),Z260),AB259),AB259),Z260+AC260))</f>
        <v>0</v>
      </c>
      <c r="AC260">
        <f t="shared" si="93"/>
        <v>0</v>
      </c>
      <c r="AD260">
        <f t="shared" si="94"/>
        <v>0</v>
      </c>
      <c r="AE260">
        <f t="shared" si="95"/>
        <v>0</v>
      </c>
      <c r="AF260">
        <f t="shared" si="96"/>
        <v>0</v>
      </c>
      <c r="AG260">
        <v>259</v>
      </c>
      <c r="AH260">
        <f t="shared" si="104"/>
        <v>0</v>
      </c>
      <c r="AI260">
        <f>IF(AG260&gt;='Loan Prepayment'!$E$11,'Loan Prepayment'!$E$12,'Loan Prepayment'!$B$6)</f>
        <v>6.5</v>
      </c>
      <c r="AJ260">
        <f>IF(AH260&lt;=0,0,MIN(IF(AG260='Loan Prepayment'!$E$11,IF('Loan Prepayment'!$E$13="Keep tenure, recalculate EMI",-PMT(AI260/1200,MAX(1,'Loan Prepayment'!$B$7*12-AG260+1),AH260),IF(AND('Loan Prepayment'!$E$15="Reduce EMI",AM259&gt;0),-PMT(AI259/1200,MAX(1,'Loan Prepayment'!$B$7*12-AG260+1),AH260),AJ259)),IF(AND('Loan Prepayment'!$E$15="Reduce EMI",AM259&gt;0),-PMT(AI260/1200,MAX(1,'Loan Prepayment'!$B$7*12-AG260+1),AH260),AJ259)),AH260+AK260))</f>
        <v>0</v>
      </c>
      <c r="AK260">
        <f t="shared" si="97"/>
        <v>0</v>
      </c>
      <c r="AL260">
        <f t="shared" si="98"/>
        <v>0</v>
      </c>
      <c r="AM260">
        <f>IF(AH260&lt;=0,0,MIN(MAX(0,AH260-AL260),SUMIFS('Loan Prepayment'!$B$12:$B$31,'Loan Prepayment'!$A$12:$A$31,AG260)+IF(AND(AG260&gt;='Loan Prepayment'!$B$9,AG260&lt;='Loan Prepayment'!$E$16),'Loan Prepayment'!$B$8,0)))</f>
        <v>0</v>
      </c>
      <c r="AN260">
        <f t="shared" si="99"/>
        <v>0</v>
      </c>
    </row>
    <row r="261" spans="1:40" x14ac:dyDescent="0.35">
      <c r="A261">
        <v>260</v>
      </c>
      <c r="B261">
        <f t="shared" si="100"/>
        <v>0</v>
      </c>
      <c r="C261" s="64">
        <f>'Loan Prepayment'!$B$6</f>
        <v>7.5</v>
      </c>
      <c r="D261">
        <f>IF(B261&lt;=0,0,MIN(-PMT('Loan Prepayment'!$B$6/1200,'Loan Prepayment'!$B$7*12,'Loan Prepayment'!$B$5),B261+E261))</f>
        <v>0</v>
      </c>
      <c r="E261">
        <f t="shared" si="84"/>
        <v>0</v>
      </c>
      <c r="F261">
        <f t="shared" si="85"/>
        <v>0</v>
      </c>
      <c r="G261">
        <v>0</v>
      </c>
      <c r="H261">
        <f t="shared" si="86"/>
        <v>0</v>
      </c>
      <c r="I261">
        <v>260</v>
      </c>
      <c r="J261">
        <f t="shared" si="101"/>
        <v>0</v>
      </c>
      <c r="K261" s="64">
        <f>'Loan Prepayment'!$B$6</f>
        <v>7.5</v>
      </c>
      <c r="L261">
        <f>IF(J261&lt;=0,0,MIN(IF(AND('Loan Prepayment'!$E$15="Reduce EMI",O260&gt;0),-PMT(K261/1200,MAX(1,'Loan Prepayment'!$B$7*12-I261+1),J261),L260),J261+M261))</f>
        <v>0</v>
      </c>
      <c r="M261">
        <f t="shared" si="87"/>
        <v>0</v>
      </c>
      <c r="N261">
        <f t="shared" si="88"/>
        <v>0</v>
      </c>
      <c r="O261">
        <f>IF(J261&lt;=0,0,MIN(MAX(0,J261-N261),SUMIFS('Loan Prepayment'!$B$12:$B$31,'Loan Prepayment'!$A$12:$A$31,I261)+0))</f>
        <v>0</v>
      </c>
      <c r="P261">
        <f t="shared" si="89"/>
        <v>0</v>
      </c>
      <c r="Q261">
        <v>260</v>
      </c>
      <c r="R261">
        <f t="shared" si="102"/>
        <v>0</v>
      </c>
      <c r="S261" s="64">
        <f>'Loan Prepayment'!$B$6</f>
        <v>7.5</v>
      </c>
      <c r="T261">
        <f>IF(R261&lt;=0,0,MIN(IF(AND('Loan Prepayment'!$E$15="Reduce EMI",W260&gt;0),-PMT(S261/1200,MAX(1,'Loan Prepayment'!$B$7*12-Q261+1),R261),T260),R261+U261))</f>
        <v>0</v>
      </c>
      <c r="U261">
        <f t="shared" si="90"/>
        <v>0</v>
      </c>
      <c r="V261">
        <f t="shared" si="91"/>
        <v>0</v>
      </c>
      <c r="W261">
        <f>IF(R261&lt;=0,0,MIN(MAX(0,R261-V261),0+IF(AND(Q261&gt;='Loan Prepayment'!$B$9,Q261&lt;='Loan Prepayment'!$E$16),'Loan Prepayment'!$B$8,0)))</f>
        <v>0</v>
      </c>
      <c r="X261">
        <f t="shared" si="92"/>
        <v>0</v>
      </c>
      <c r="Y261">
        <v>260</v>
      </c>
      <c r="Z261">
        <f t="shared" si="103"/>
        <v>0</v>
      </c>
      <c r="AA261">
        <f>IF(Y261&gt;='Loan Prepayment'!$E$11,'Loan Prepayment'!$E$12,'Loan Prepayment'!$B$6)</f>
        <v>6.5</v>
      </c>
      <c r="AB261">
        <f>IF(Z261&lt;=0,0,MIN(IF(Y261='Loan Prepayment'!$E$11,IF('Loan Prepayment'!$E$13="Keep tenure, recalculate EMI",-PMT(AA261/1200,MAX(1,'Loan Prepayment'!$B$7*12-Y261+1),Z261),AB260),AB260),Z261+AC261))</f>
        <v>0</v>
      </c>
      <c r="AC261">
        <f t="shared" si="93"/>
        <v>0</v>
      </c>
      <c r="AD261">
        <f t="shared" si="94"/>
        <v>0</v>
      </c>
      <c r="AE261">
        <f t="shared" si="95"/>
        <v>0</v>
      </c>
      <c r="AF261">
        <f t="shared" si="96"/>
        <v>0</v>
      </c>
      <c r="AG261">
        <v>260</v>
      </c>
      <c r="AH261">
        <f t="shared" si="104"/>
        <v>0</v>
      </c>
      <c r="AI261">
        <f>IF(AG261&gt;='Loan Prepayment'!$E$11,'Loan Prepayment'!$E$12,'Loan Prepayment'!$B$6)</f>
        <v>6.5</v>
      </c>
      <c r="AJ261">
        <f>IF(AH261&lt;=0,0,MIN(IF(AG261='Loan Prepayment'!$E$11,IF('Loan Prepayment'!$E$13="Keep tenure, recalculate EMI",-PMT(AI261/1200,MAX(1,'Loan Prepayment'!$B$7*12-AG261+1),AH261),IF(AND('Loan Prepayment'!$E$15="Reduce EMI",AM260&gt;0),-PMT(AI260/1200,MAX(1,'Loan Prepayment'!$B$7*12-AG261+1),AH261),AJ260)),IF(AND('Loan Prepayment'!$E$15="Reduce EMI",AM260&gt;0),-PMT(AI261/1200,MAX(1,'Loan Prepayment'!$B$7*12-AG261+1),AH261),AJ260)),AH261+AK261))</f>
        <v>0</v>
      </c>
      <c r="AK261">
        <f t="shared" si="97"/>
        <v>0</v>
      </c>
      <c r="AL261">
        <f t="shared" si="98"/>
        <v>0</v>
      </c>
      <c r="AM261">
        <f>IF(AH261&lt;=0,0,MIN(MAX(0,AH261-AL261),SUMIFS('Loan Prepayment'!$B$12:$B$31,'Loan Prepayment'!$A$12:$A$31,AG261)+IF(AND(AG261&gt;='Loan Prepayment'!$B$9,AG261&lt;='Loan Prepayment'!$E$16),'Loan Prepayment'!$B$8,0)))</f>
        <v>0</v>
      </c>
      <c r="AN261">
        <f t="shared" si="99"/>
        <v>0</v>
      </c>
    </row>
    <row r="262" spans="1:40" x14ac:dyDescent="0.35">
      <c r="A262">
        <v>261</v>
      </c>
      <c r="B262">
        <f t="shared" si="100"/>
        <v>0</v>
      </c>
      <c r="C262" s="64">
        <f>'Loan Prepayment'!$B$6</f>
        <v>7.5</v>
      </c>
      <c r="D262">
        <f>IF(B262&lt;=0,0,MIN(-PMT('Loan Prepayment'!$B$6/1200,'Loan Prepayment'!$B$7*12,'Loan Prepayment'!$B$5),B262+E262))</f>
        <v>0</v>
      </c>
      <c r="E262">
        <f t="shared" si="84"/>
        <v>0</v>
      </c>
      <c r="F262">
        <f t="shared" si="85"/>
        <v>0</v>
      </c>
      <c r="G262">
        <v>0</v>
      </c>
      <c r="H262">
        <f t="shared" si="86"/>
        <v>0</v>
      </c>
      <c r="I262">
        <v>261</v>
      </c>
      <c r="J262">
        <f t="shared" si="101"/>
        <v>0</v>
      </c>
      <c r="K262" s="64">
        <f>'Loan Prepayment'!$B$6</f>
        <v>7.5</v>
      </c>
      <c r="L262">
        <f>IF(J262&lt;=0,0,MIN(IF(AND('Loan Prepayment'!$E$15="Reduce EMI",O261&gt;0),-PMT(K262/1200,MAX(1,'Loan Prepayment'!$B$7*12-I262+1),J262),L261),J262+M262))</f>
        <v>0</v>
      </c>
      <c r="M262">
        <f t="shared" si="87"/>
        <v>0</v>
      </c>
      <c r="N262">
        <f t="shared" si="88"/>
        <v>0</v>
      </c>
      <c r="O262">
        <f>IF(J262&lt;=0,0,MIN(MAX(0,J262-N262),SUMIFS('Loan Prepayment'!$B$12:$B$31,'Loan Prepayment'!$A$12:$A$31,I262)+0))</f>
        <v>0</v>
      </c>
      <c r="P262">
        <f t="shared" si="89"/>
        <v>0</v>
      </c>
      <c r="Q262">
        <v>261</v>
      </c>
      <c r="R262">
        <f t="shared" si="102"/>
        <v>0</v>
      </c>
      <c r="S262" s="64">
        <f>'Loan Prepayment'!$B$6</f>
        <v>7.5</v>
      </c>
      <c r="T262">
        <f>IF(R262&lt;=0,0,MIN(IF(AND('Loan Prepayment'!$E$15="Reduce EMI",W261&gt;0),-PMT(S262/1200,MAX(1,'Loan Prepayment'!$B$7*12-Q262+1),R262),T261),R262+U262))</f>
        <v>0</v>
      </c>
      <c r="U262">
        <f t="shared" si="90"/>
        <v>0</v>
      </c>
      <c r="V262">
        <f t="shared" si="91"/>
        <v>0</v>
      </c>
      <c r="W262">
        <f>IF(R262&lt;=0,0,MIN(MAX(0,R262-V262),0+IF(AND(Q262&gt;='Loan Prepayment'!$B$9,Q262&lt;='Loan Prepayment'!$E$16),'Loan Prepayment'!$B$8,0)))</f>
        <v>0</v>
      </c>
      <c r="X262">
        <f t="shared" si="92"/>
        <v>0</v>
      </c>
      <c r="Y262">
        <v>261</v>
      </c>
      <c r="Z262">
        <f t="shared" si="103"/>
        <v>0</v>
      </c>
      <c r="AA262">
        <f>IF(Y262&gt;='Loan Prepayment'!$E$11,'Loan Prepayment'!$E$12,'Loan Prepayment'!$B$6)</f>
        <v>6.5</v>
      </c>
      <c r="AB262">
        <f>IF(Z262&lt;=0,0,MIN(IF(Y262='Loan Prepayment'!$E$11,IF('Loan Prepayment'!$E$13="Keep tenure, recalculate EMI",-PMT(AA262/1200,MAX(1,'Loan Prepayment'!$B$7*12-Y262+1),Z262),AB261),AB261),Z262+AC262))</f>
        <v>0</v>
      </c>
      <c r="AC262">
        <f t="shared" si="93"/>
        <v>0</v>
      </c>
      <c r="AD262">
        <f t="shared" si="94"/>
        <v>0</v>
      </c>
      <c r="AE262">
        <f t="shared" si="95"/>
        <v>0</v>
      </c>
      <c r="AF262">
        <f t="shared" si="96"/>
        <v>0</v>
      </c>
      <c r="AG262">
        <v>261</v>
      </c>
      <c r="AH262">
        <f t="shared" si="104"/>
        <v>0</v>
      </c>
      <c r="AI262">
        <f>IF(AG262&gt;='Loan Prepayment'!$E$11,'Loan Prepayment'!$E$12,'Loan Prepayment'!$B$6)</f>
        <v>6.5</v>
      </c>
      <c r="AJ262">
        <f>IF(AH262&lt;=0,0,MIN(IF(AG262='Loan Prepayment'!$E$11,IF('Loan Prepayment'!$E$13="Keep tenure, recalculate EMI",-PMT(AI262/1200,MAX(1,'Loan Prepayment'!$B$7*12-AG262+1),AH262),IF(AND('Loan Prepayment'!$E$15="Reduce EMI",AM261&gt;0),-PMT(AI261/1200,MAX(1,'Loan Prepayment'!$B$7*12-AG262+1),AH262),AJ261)),IF(AND('Loan Prepayment'!$E$15="Reduce EMI",AM261&gt;0),-PMT(AI262/1200,MAX(1,'Loan Prepayment'!$B$7*12-AG262+1),AH262),AJ261)),AH262+AK262))</f>
        <v>0</v>
      </c>
      <c r="AK262">
        <f t="shared" si="97"/>
        <v>0</v>
      </c>
      <c r="AL262">
        <f t="shared" si="98"/>
        <v>0</v>
      </c>
      <c r="AM262">
        <f>IF(AH262&lt;=0,0,MIN(MAX(0,AH262-AL262),SUMIFS('Loan Prepayment'!$B$12:$B$31,'Loan Prepayment'!$A$12:$A$31,AG262)+IF(AND(AG262&gt;='Loan Prepayment'!$B$9,AG262&lt;='Loan Prepayment'!$E$16),'Loan Prepayment'!$B$8,0)))</f>
        <v>0</v>
      </c>
      <c r="AN262">
        <f t="shared" si="99"/>
        <v>0</v>
      </c>
    </row>
    <row r="263" spans="1:40" x14ac:dyDescent="0.35">
      <c r="A263">
        <v>262</v>
      </c>
      <c r="B263">
        <f t="shared" si="100"/>
        <v>0</v>
      </c>
      <c r="C263" s="64">
        <f>'Loan Prepayment'!$B$6</f>
        <v>7.5</v>
      </c>
      <c r="D263">
        <f>IF(B263&lt;=0,0,MIN(-PMT('Loan Prepayment'!$B$6/1200,'Loan Prepayment'!$B$7*12,'Loan Prepayment'!$B$5),B263+E263))</f>
        <v>0</v>
      </c>
      <c r="E263">
        <f t="shared" si="84"/>
        <v>0</v>
      </c>
      <c r="F263">
        <f t="shared" si="85"/>
        <v>0</v>
      </c>
      <c r="G263">
        <v>0</v>
      </c>
      <c r="H263">
        <f t="shared" si="86"/>
        <v>0</v>
      </c>
      <c r="I263">
        <v>262</v>
      </c>
      <c r="J263">
        <f t="shared" si="101"/>
        <v>0</v>
      </c>
      <c r="K263" s="64">
        <f>'Loan Prepayment'!$B$6</f>
        <v>7.5</v>
      </c>
      <c r="L263">
        <f>IF(J263&lt;=0,0,MIN(IF(AND('Loan Prepayment'!$E$15="Reduce EMI",O262&gt;0),-PMT(K263/1200,MAX(1,'Loan Prepayment'!$B$7*12-I263+1),J263),L262),J263+M263))</f>
        <v>0</v>
      </c>
      <c r="M263">
        <f t="shared" si="87"/>
        <v>0</v>
      </c>
      <c r="N263">
        <f t="shared" si="88"/>
        <v>0</v>
      </c>
      <c r="O263">
        <f>IF(J263&lt;=0,0,MIN(MAX(0,J263-N263),SUMIFS('Loan Prepayment'!$B$12:$B$31,'Loan Prepayment'!$A$12:$A$31,I263)+0))</f>
        <v>0</v>
      </c>
      <c r="P263">
        <f t="shared" si="89"/>
        <v>0</v>
      </c>
      <c r="Q263">
        <v>262</v>
      </c>
      <c r="R263">
        <f t="shared" si="102"/>
        <v>0</v>
      </c>
      <c r="S263" s="64">
        <f>'Loan Prepayment'!$B$6</f>
        <v>7.5</v>
      </c>
      <c r="T263">
        <f>IF(R263&lt;=0,0,MIN(IF(AND('Loan Prepayment'!$E$15="Reduce EMI",W262&gt;0),-PMT(S263/1200,MAX(1,'Loan Prepayment'!$B$7*12-Q263+1),R263),T262),R263+U263))</f>
        <v>0</v>
      </c>
      <c r="U263">
        <f t="shared" si="90"/>
        <v>0</v>
      </c>
      <c r="V263">
        <f t="shared" si="91"/>
        <v>0</v>
      </c>
      <c r="W263">
        <f>IF(R263&lt;=0,0,MIN(MAX(0,R263-V263),0+IF(AND(Q263&gt;='Loan Prepayment'!$B$9,Q263&lt;='Loan Prepayment'!$E$16),'Loan Prepayment'!$B$8,0)))</f>
        <v>0</v>
      </c>
      <c r="X263">
        <f t="shared" si="92"/>
        <v>0</v>
      </c>
      <c r="Y263">
        <v>262</v>
      </c>
      <c r="Z263">
        <f t="shared" si="103"/>
        <v>0</v>
      </c>
      <c r="AA263">
        <f>IF(Y263&gt;='Loan Prepayment'!$E$11,'Loan Prepayment'!$E$12,'Loan Prepayment'!$B$6)</f>
        <v>6.5</v>
      </c>
      <c r="AB263">
        <f>IF(Z263&lt;=0,0,MIN(IF(Y263='Loan Prepayment'!$E$11,IF('Loan Prepayment'!$E$13="Keep tenure, recalculate EMI",-PMT(AA263/1200,MAX(1,'Loan Prepayment'!$B$7*12-Y263+1),Z263),AB262),AB262),Z263+AC263))</f>
        <v>0</v>
      </c>
      <c r="AC263">
        <f t="shared" si="93"/>
        <v>0</v>
      </c>
      <c r="AD263">
        <f t="shared" si="94"/>
        <v>0</v>
      </c>
      <c r="AE263">
        <f t="shared" si="95"/>
        <v>0</v>
      </c>
      <c r="AF263">
        <f t="shared" si="96"/>
        <v>0</v>
      </c>
      <c r="AG263">
        <v>262</v>
      </c>
      <c r="AH263">
        <f t="shared" si="104"/>
        <v>0</v>
      </c>
      <c r="AI263">
        <f>IF(AG263&gt;='Loan Prepayment'!$E$11,'Loan Prepayment'!$E$12,'Loan Prepayment'!$B$6)</f>
        <v>6.5</v>
      </c>
      <c r="AJ263">
        <f>IF(AH263&lt;=0,0,MIN(IF(AG263='Loan Prepayment'!$E$11,IF('Loan Prepayment'!$E$13="Keep tenure, recalculate EMI",-PMT(AI263/1200,MAX(1,'Loan Prepayment'!$B$7*12-AG263+1),AH263),IF(AND('Loan Prepayment'!$E$15="Reduce EMI",AM262&gt;0),-PMT(AI262/1200,MAX(1,'Loan Prepayment'!$B$7*12-AG263+1),AH263),AJ262)),IF(AND('Loan Prepayment'!$E$15="Reduce EMI",AM262&gt;0),-PMT(AI263/1200,MAX(1,'Loan Prepayment'!$B$7*12-AG263+1),AH263),AJ262)),AH263+AK263))</f>
        <v>0</v>
      </c>
      <c r="AK263">
        <f t="shared" si="97"/>
        <v>0</v>
      </c>
      <c r="AL263">
        <f t="shared" si="98"/>
        <v>0</v>
      </c>
      <c r="AM263">
        <f>IF(AH263&lt;=0,0,MIN(MAX(0,AH263-AL263),SUMIFS('Loan Prepayment'!$B$12:$B$31,'Loan Prepayment'!$A$12:$A$31,AG263)+IF(AND(AG263&gt;='Loan Prepayment'!$B$9,AG263&lt;='Loan Prepayment'!$E$16),'Loan Prepayment'!$B$8,0)))</f>
        <v>0</v>
      </c>
      <c r="AN263">
        <f t="shared" si="99"/>
        <v>0</v>
      </c>
    </row>
    <row r="264" spans="1:40" x14ac:dyDescent="0.35">
      <c r="A264">
        <v>263</v>
      </c>
      <c r="B264">
        <f t="shared" si="100"/>
        <v>0</v>
      </c>
      <c r="C264" s="64">
        <f>'Loan Prepayment'!$B$6</f>
        <v>7.5</v>
      </c>
      <c r="D264">
        <f>IF(B264&lt;=0,0,MIN(-PMT('Loan Prepayment'!$B$6/1200,'Loan Prepayment'!$B$7*12,'Loan Prepayment'!$B$5),B264+E264))</f>
        <v>0</v>
      </c>
      <c r="E264">
        <f t="shared" si="84"/>
        <v>0</v>
      </c>
      <c r="F264">
        <f t="shared" si="85"/>
        <v>0</v>
      </c>
      <c r="G264">
        <v>0</v>
      </c>
      <c r="H264">
        <f t="shared" si="86"/>
        <v>0</v>
      </c>
      <c r="I264">
        <v>263</v>
      </c>
      <c r="J264">
        <f t="shared" si="101"/>
        <v>0</v>
      </c>
      <c r="K264" s="64">
        <f>'Loan Prepayment'!$B$6</f>
        <v>7.5</v>
      </c>
      <c r="L264">
        <f>IF(J264&lt;=0,0,MIN(IF(AND('Loan Prepayment'!$E$15="Reduce EMI",O263&gt;0),-PMT(K264/1200,MAX(1,'Loan Prepayment'!$B$7*12-I264+1),J264),L263),J264+M264))</f>
        <v>0</v>
      </c>
      <c r="M264">
        <f t="shared" si="87"/>
        <v>0</v>
      </c>
      <c r="N264">
        <f t="shared" si="88"/>
        <v>0</v>
      </c>
      <c r="O264">
        <f>IF(J264&lt;=0,0,MIN(MAX(0,J264-N264),SUMIFS('Loan Prepayment'!$B$12:$B$31,'Loan Prepayment'!$A$12:$A$31,I264)+0))</f>
        <v>0</v>
      </c>
      <c r="P264">
        <f t="shared" si="89"/>
        <v>0</v>
      </c>
      <c r="Q264">
        <v>263</v>
      </c>
      <c r="R264">
        <f t="shared" si="102"/>
        <v>0</v>
      </c>
      <c r="S264" s="64">
        <f>'Loan Prepayment'!$B$6</f>
        <v>7.5</v>
      </c>
      <c r="T264">
        <f>IF(R264&lt;=0,0,MIN(IF(AND('Loan Prepayment'!$E$15="Reduce EMI",W263&gt;0),-PMT(S264/1200,MAX(1,'Loan Prepayment'!$B$7*12-Q264+1),R264),T263),R264+U264))</f>
        <v>0</v>
      </c>
      <c r="U264">
        <f t="shared" si="90"/>
        <v>0</v>
      </c>
      <c r="V264">
        <f t="shared" si="91"/>
        <v>0</v>
      </c>
      <c r="W264">
        <f>IF(R264&lt;=0,0,MIN(MAX(0,R264-V264),0+IF(AND(Q264&gt;='Loan Prepayment'!$B$9,Q264&lt;='Loan Prepayment'!$E$16),'Loan Prepayment'!$B$8,0)))</f>
        <v>0</v>
      </c>
      <c r="X264">
        <f t="shared" si="92"/>
        <v>0</v>
      </c>
      <c r="Y264">
        <v>263</v>
      </c>
      <c r="Z264">
        <f t="shared" si="103"/>
        <v>0</v>
      </c>
      <c r="AA264">
        <f>IF(Y264&gt;='Loan Prepayment'!$E$11,'Loan Prepayment'!$E$12,'Loan Prepayment'!$B$6)</f>
        <v>6.5</v>
      </c>
      <c r="AB264">
        <f>IF(Z264&lt;=0,0,MIN(IF(Y264='Loan Prepayment'!$E$11,IF('Loan Prepayment'!$E$13="Keep tenure, recalculate EMI",-PMT(AA264/1200,MAX(1,'Loan Prepayment'!$B$7*12-Y264+1),Z264),AB263),AB263),Z264+AC264))</f>
        <v>0</v>
      </c>
      <c r="AC264">
        <f t="shared" si="93"/>
        <v>0</v>
      </c>
      <c r="AD264">
        <f t="shared" si="94"/>
        <v>0</v>
      </c>
      <c r="AE264">
        <f t="shared" si="95"/>
        <v>0</v>
      </c>
      <c r="AF264">
        <f t="shared" si="96"/>
        <v>0</v>
      </c>
      <c r="AG264">
        <v>263</v>
      </c>
      <c r="AH264">
        <f t="shared" si="104"/>
        <v>0</v>
      </c>
      <c r="AI264">
        <f>IF(AG264&gt;='Loan Prepayment'!$E$11,'Loan Prepayment'!$E$12,'Loan Prepayment'!$B$6)</f>
        <v>6.5</v>
      </c>
      <c r="AJ264">
        <f>IF(AH264&lt;=0,0,MIN(IF(AG264='Loan Prepayment'!$E$11,IF('Loan Prepayment'!$E$13="Keep tenure, recalculate EMI",-PMT(AI264/1200,MAX(1,'Loan Prepayment'!$B$7*12-AG264+1),AH264),IF(AND('Loan Prepayment'!$E$15="Reduce EMI",AM263&gt;0),-PMT(AI263/1200,MAX(1,'Loan Prepayment'!$B$7*12-AG264+1),AH264),AJ263)),IF(AND('Loan Prepayment'!$E$15="Reduce EMI",AM263&gt;0),-PMT(AI264/1200,MAX(1,'Loan Prepayment'!$B$7*12-AG264+1),AH264),AJ263)),AH264+AK264))</f>
        <v>0</v>
      </c>
      <c r="AK264">
        <f t="shared" si="97"/>
        <v>0</v>
      </c>
      <c r="AL264">
        <f t="shared" si="98"/>
        <v>0</v>
      </c>
      <c r="AM264">
        <f>IF(AH264&lt;=0,0,MIN(MAX(0,AH264-AL264),SUMIFS('Loan Prepayment'!$B$12:$B$31,'Loan Prepayment'!$A$12:$A$31,AG264)+IF(AND(AG264&gt;='Loan Prepayment'!$B$9,AG264&lt;='Loan Prepayment'!$E$16),'Loan Prepayment'!$B$8,0)))</f>
        <v>0</v>
      </c>
      <c r="AN264">
        <f t="shared" si="99"/>
        <v>0</v>
      </c>
    </row>
    <row r="265" spans="1:40" x14ac:dyDescent="0.35">
      <c r="A265">
        <v>264</v>
      </c>
      <c r="B265">
        <f t="shared" si="100"/>
        <v>0</v>
      </c>
      <c r="C265" s="64">
        <f>'Loan Prepayment'!$B$6</f>
        <v>7.5</v>
      </c>
      <c r="D265">
        <f>IF(B265&lt;=0,0,MIN(-PMT('Loan Prepayment'!$B$6/1200,'Loan Prepayment'!$B$7*12,'Loan Prepayment'!$B$5),B265+E265))</f>
        <v>0</v>
      </c>
      <c r="E265">
        <f t="shared" si="84"/>
        <v>0</v>
      </c>
      <c r="F265">
        <f t="shared" si="85"/>
        <v>0</v>
      </c>
      <c r="G265">
        <v>0</v>
      </c>
      <c r="H265">
        <f t="shared" si="86"/>
        <v>0</v>
      </c>
      <c r="I265">
        <v>264</v>
      </c>
      <c r="J265">
        <f t="shared" si="101"/>
        <v>0</v>
      </c>
      <c r="K265" s="64">
        <f>'Loan Prepayment'!$B$6</f>
        <v>7.5</v>
      </c>
      <c r="L265">
        <f>IF(J265&lt;=0,0,MIN(IF(AND('Loan Prepayment'!$E$15="Reduce EMI",O264&gt;0),-PMT(K265/1200,MAX(1,'Loan Prepayment'!$B$7*12-I265+1),J265),L264),J265+M265))</f>
        <v>0</v>
      </c>
      <c r="M265">
        <f t="shared" si="87"/>
        <v>0</v>
      </c>
      <c r="N265">
        <f t="shared" si="88"/>
        <v>0</v>
      </c>
      <c r="O265">
        <f>IF(J265&lt;=0,0,MIN(MAX(0,J265-N265),SUMIFS('Loan Prepayment'!$B$12:$B$31,'Loan Prepayment'!$A$12:$A$31,I265)+0))</f>
        <v>0</v>
      </c>
      <c r="P265">
        <f t="shared" si="89"/>
        <v>0</v>
      </c>
      <c r="Q265">
        <v>264</v>
      </c>
      <c r="R265">
        <f t="shared" si="102"/>
        <v>0</v>
      </c>
      <c r="S265" s="64">
        <f>'Loan Prepayment'!$B$6</f>
        <v>7.5</v>
      </c>
      <c r="T265">
        <f>IF(R265&lt;=0,0,MIN(IF(AND('Loan Prepayment'!$E$15="Reduce EMI",W264&gt;0),-PMT(S265/1200,MAX(1,'Loan Prepayment'!$B$7*12-Q265+1),R265),T264),R265+U265))</f>
        <v>0</v>
      </c>
      <c r="U265">
        <f t="shared" si="90"/>
        <v>0</v>
      </c>
      <c r="V265">
        <f t="shared" si="91"/>
        <v>0</v>
      </c>
      <c r="W265">
        <f>IF(R265&lt;=0,0,MIN(MAX(0,R265-V265),0+IF(AND(Q265&gt;='Loan Prepayment'!$B$9,Q265&lt;='Loan Prepayment'!$E$16),'Loan Prepayment'!$B$8,0)))</f>
        <v>0</v>
      </c>
      <c r="X265">
        <f t="shared" si="92"/>
        <v>0</v>
      </c>
      <c r="Y265">
        <v>264</v>
      </c>
      <c r="Z265">
        <f t="shared" si="103"/>
        <v>0</v>
      </c>
      <c r="AA265">
        <f>IF(Y265&gt;='Loan Prepayment'!$E$11,'Loan Prepayment'!$E$12,'Loan Prepayment'!$B$6)</f>
        <v>6.5</v>
      </c>
      <c r="AB265">
        <f>IF(Z265&lt;=0,0,MIN(IF(Y265='Loan Prepayment'!$E$11,IF('Loan Prepayment'!$E$13="Keep tenure, recalculate EMI",-PMT(AA265/1200,MAX(1,'Loan Prepayment'!$B$7*12-Y265+1),Z265),AB264),AB264),Z265+AC265))</f>
        <v>0</v>
      </c>
      <c r="AC265">
        <f t="shared" si="93"/>
        <v>0</v>
      </c>
      <c r="AD265">
        <f t="shared" si="94"/>
        <v>0</v>
      </c>
      <c r="AE265">
        <f t="shared" si="95"/>
        <v>0</v>
      </c>
      <c r="AF265">
        <f t="shared" si="96"/>
        <v>0</v>
      </c>
      <c r="AG265">
        <v>264</v>
      </c>
      <c r="AH265">
        <f t="shared" si="104"/>
        <v>0</v>
      </c>
      <c r="AI265">
        <f>IF(AG265&gt;='Loan Prepayment'!$E$11,'Loan Prepayment'!$E$12,'Loan Prepayment'!$B$6)</f>
        <v>6.5</v>
      </c>
      <c r="AJ265">
        <f>IF(AH265&lt;=0,0,MIN(IF(AG265='Loan Prepayment'!$E$11,IF('Loan Prepayment'!$E$13="Keep tenure, recalculate EMI",-PMT(AI265/1200,MAX(1,'Loan Prepayment'!$B$7*12-AG265+1),AH265),IF(AND('Loan Prepayment'!$E$15="Reduce EMI",AM264&gt;0),-PMT(AI264/1200,MAX(1,'Loan Prepayment'!$B$7*12-AG265+1),AH265),AJ264)),IF(AND('Loan Prepayment'!$E$15="Reduce EMI",AM264&gt;0),-PMT(AI265/1200,MAX(1,'Loan Prepayment'!$B$7*12-AG265+1),AH265),AJ264)),AH265+AK265))</f>
        <v>0</v>
      </c>
      <c r="AK265">
        <f t="shared" si="97"/>
        <v>0</v>
      </c>
      <c r="AL265">
        <f t="shared" si="98"/>
        <v>0</v>
      </c>
      <c r="AM265">
        <f>IF(AH265&lt;=0,0,MIN(MAX(0,AH265-AL265),SUMIFS('Loan Prepayment'!$B$12:$B$31,'Loan Prepayment'!$A$12:$A$31,AG265)+IF(AND(AG265&gt;='Loan Prepayment'!$B$9,AG265&lt;='Loan Prepayment'!$E$16),'Loan Prepayment'!$B$8,0)))</f>
        <v>0</v>
      </c>
      <c r="AN265">
        <f t="shared" si="99"/>
        <v>0</v>
      </c>
    </row>
    <row r="266" spans="1:40" x14ac:dyDescent="0.35">
      <c r="A266">
        <v>265</v>
      </c>
      <c r="B266">
        <f t="shared" si="100"/>
        <v>0</v>
      </c>
      <c r="C266" s="64">
        <f>'Loan Prepayment'!$B$6</f>
        <v>7.5</v>
      </c>
      <c r="D266">
        <f>IF(B266&lt;=0,0,MIN(-PMT('Loan Prepayment'!$B$6/1200,'Loan Prepayment'!$B$7*12,'Loan Prepayment'!$B$5),B266+E266))</f>
        <v>0</v>
      </c>
      <c r="E266">
        <f t="shared" si="84"/>
        <v>0</v>
      </c>
      <c r="F266">
        <f t="shared" si="85"/>
        <v>0</v>
      </c>
      <c r="G266">
        <v>0</v>
      </c>
      <c r="H266">
        <f t="shared" si="86"/>
        <v>0</v>
      </c>
      <c r="I266">
        <v>265</v>
      </c>
      <c r="J266">
        <f t="shared" si="101"/>
        <v>0</v>
      </c>
      <c r="K266" s="64">
        <f>'Loan Prepayment'!$B$6</f>
        <v>7.5</v>
      </c>
      <c r="L266">
        <f>IF(J266&lt;=0,0,MIN(IF(AND('Loan Prepayment'!$E$15="Reduce EMI",O265&gt;0),-PMT(K266/1200,MAX(1,'Loan Prepayment'!$B$7*12-I266+1),J266),L265),J266+M266))</f>
        <v>0</v>
      </c>
      <c r="M266">
        <f t="shared" si="87"/>
        <v>0</v>
      </c>
      <c r="N266">
        <f t="shared" si="88"/>
        <v>0</v>
      </c>
      <c r="O266">
        <f>IF(J266&lt;=0,0,MIN(MAX(0,J266-N266),SUMIFS('Loan Prepayment'!$B$12:$B$31,'Loan Prepayment'!$A$12:$A$31,I266)+0))</f>
        <v>0</v>
      </c>
      <c r="P266">
        <f t="shared" si="89"/>
        <v>0</v>
      </c>
      <c r="Q266">
        <v>265</v>
      </c>
      <c r="R266">
        <f t="shared" si="102"/>
        <v>0</v>
      </c>
      <c r="S266" s="64">
        <f>'Loan Prepayment'!$B$6</f>
        <v>7.5</v>
      </c>
      <c r="T266">
        <f>IF(R266&lt;=0,0,MIN(IF(AND('Loan Prepayment'!$E$15="Reduce EMI",W265&gt;0),-PMT(S266/1200,MAX(1,'Loan Prepayment'!$B$7*12-Q266+1),R266),T265),R266+U266))</f>
        <v>0</v>
      </c>
      <c r="U266">
        <f t="shared" si="90"/>
        <v>0</v>
      </c>
      <c r="V266">
        <f t="shared" si="91"/>
        <v>0</v>
      </c>
      <c r="W266">
        <f>IF(R266&lt;=0,0,MIN(MAX(0,R266-V266),0+IF(AND(Q266&gt;='Loan Prepayment'!$B$9,Q266&lt;='Loan Prepayment'!$E$16),'Loan Prepayment'!$B$8,0)))</f>
        <v>0</v>
      </c>
      <c r="X266">
        <f t="shared" si="92"/>
        <v>0</v>
      </c>
      <c r="Y266">
        <v>265</v>
      </c>
      <c r="Z266">
        <f t="shared" si="103"/>
        <v>0</v>
      </c>
      <c r="AA266">
        <f>IF(Y266&gt;='Loan Prepayment'!$E$11,'Loan Prepayment'!$E$12,'Loan Prepayment'!$B$6)</f>
        <v>6.5</v>
      </c>
      <c r="AB266">
        <f>IF(Z266&lt;=0,0,MIN(IF(Y266='Loan Prepayment'!$E$11,IF('Loan Prepayment'!$E$13="Keep tenure, recalculate EMI",-PMT(AA266/1200,MAX(1,'Loan Prepayment'!$B$7*12-Y266+1),Z266),AB265),AB265),Z266+AC266))</f>
        <v>0</v>
      </c>
      <c r="AC266">
        <f t="shared" si="93"/>
        <v>0</v>
      </c>
      <c r="AD266">
        <f t="shared" si="94"/>
        <v>0</v>
      </c>
      <c r="AE266">
        <f t="shared" si="95"/>
        <v>0</v>
      </c>
      <c r="AF266">
        <f t="shared" si="96"/>
        <v>0</v>
      </c>
      <c r="AG266">
        <v>265</v>
      </c>
      <c r="AH266">
        <f t="shared" si="104"/>
        <v>0</v>
      </c>
      <c r="AI266">
        <f>IF(AG266&gt;='Loan Prepayment'!$E$11,'Loan Prepayment'!$E$12,'Loan Prepayment'!$B$6)</f>
        <v>6.5</v>
      </c>
      <c r="AJ266">
        <f>IF(AH266&lt;=0,0,MIN(IF(AG266='Loan Prepayment'!$E$11,IF('Loan Prepayment'!$E$13="Keep tenure, recalculate EMI",-PMT(AI266/1200,MAX(1,'Loan Prepayment'!$B$7*12-AG266+1),AH266),IF(AND('Loan Prepayment'!$E$15="Reduce EMI",AM265&gt;0),-PMT(AI265/1200,MAX(1,'Loan Prepayment'!$B$7*12-AG266+1),AH266),AJ265)),IF(AND('Loan Prepayment'!$E$15="Reduce EMI",AM265&gt;0),-PMT(AI266/1200,MAX(1,'Loan Prepayment'!$B$7*12-AG266+1),AH266),AJ265)),AH266+AK266))</f>
        <v>0</v>
      </c>
      <c r="AK266">
        <f t="shared" si="97"/>
        <v>0</v>
      </c>
      <c r="AL266">
        <f t="shared" si="98"/>
        <v>0</v>
      </c>
      <c r="AM266">
        <f>IF(AH266&lt;=0,0,MIN(MAX(0,AH266-AL266),SUMIFS('Loan Prepayment'!$B$12:$B$31,'Loan Prepayment'!$A$12:$A$31,AG266)+IF(AND(AG266&gt;='Loan Prepayment'!$B$9,AG266&lt;='Loan Prepayment'!$E$16),'Loan Prepayment'!$B$8,0)))</f>
        <v>0</v>
      </c>
      <c r="AN266">
        <f t="shared" si="99"/>
        <v>0</v>
      </c>
    </row>
    <row r="267" spans="1:40" x14ac:dyDescent="0.35">
      <c r="A267">
        <v>266</v>
      </c>
      <c r="B267">
        <f t="shared" si="100"/>
        <v>0</v>
      </c>
      <c r="C267" s="64">
        <f>'Loan Prepayment'!$B$6</f>
        <v>7.5</v>
      </c>
      <c r="D267">
        <f>IF(B267&lt;=0,0,MIN(-PMT('Loan Prepayment'!$B$6/1200,'Loan Prepayment'!$B$7*12,'Loan Prepayment'!$B$5),B267+E267))</f>
        <v>0</v>
      </c>
      <c r="E267">
        <f t="shared" si="84"/>
        <v>0</v>
      </c>
      <c r="F267">
        <f t="shared" si="85"/>
        <v>0</v>
      </c>
      <c r="G267">
        <v>0</v>
      </c>
      <c r="H267">
        <f t="shared" si="86"/>
        <v>0</v>
      </c>
      <c r="I267">
        <v>266</v>
      </c>
      <c r="J267">
        <f t="shared" si="101"/>
        <v>0</v>
      </c>
      <c r="K267" s="64">
        <f>'Loan Prepayment'!$B$6</f>
        <v>7.5</v>
      </c>
      <c r="L267">
        <f>IF(J267&lt;=0,0,MIN(IF(AND('Loan Prepayment'!$E$15="Reduce EMI",O266&gt;0),-PMT(K267/1200,MAX(1,'Loan Prepayment'!$B$7*12-I267+1),J267),L266),J267+M267))</f>
        <v>0</v>
      </c>
      <c r="M267">
        <f t="shared" si="87"/>
        <v>0</v>
      </c>
      <c r="N267">
        <f t="shared" si="88"/>
        <v>0</v>
      </c>
      <c r="O267">
        <f>IF(J267&lt;=0,0,MIN(MAX(0,J267-N267),SUMIFS('Loan Prepayment'!$B$12:$B$31,'Loan Prepayment'!$A$12:$A$31,I267)+0))</f>
        <v>0</v>
      </c>
      <c r="P267">
        <f t="shared" si="89"/>
        <v>0</v>
      </c>
      <c r="Q267">
        <v>266</v>
      </c>
      <c r="R267">
        <f t="shared" si="102"/>
        <v>0</v>
      </c>
      <c r="S267" s="64">
        <f>'Loan Prepayment'!$B$6</f>
        <v>7.5</v>
      </c>
      <c r="T267">
        <f>IF(R267&lt;=0,0,MIN(IF(AND('Loan Prepayment'!$E$15="Reduce EMI",W266&gt;0),-PMT(S267/1200,MAX(1,'Loan Prepayment'!$B$7*12-Q267+1),R267),T266),R267+U267))</f>
        <v>0</v>
      </c>
      <c r="U267">
        <f t="shared" si="90"/>
        <v>0</v>
      </c>
      <c r="V267">
        <f t="shared" si="91"/>
        <v>0</v>
      </c>
      <c r="W267">
        <f>IF(R267&lt;=0,0,MIN(MAX(0,R267-V267),0+IF(AND(Q267&gt;='Loan Prepayment'!$B$9,Q267&lt;='Loan Prepayment'!$E$16),'Loan Prepayment'!$B$8,0)))</f>
        <v>0</v>
      </c>
      <c r="X267">
        <f t="shared" si="92"/>
        <v>0</v>
      </c>
      <c r="Y267">
        <v>266</v>
      </c>
      <c r="Z267">
        <f t="shared" si="103"/>
        <v>0</v>
      </c>
      <c r="AA267">
        <f>IF(Y267&gt;='Loan Prepayment'!$E$11,'Loan Prepayment'!$E$12,'Loan Prepayment'!$B$6)</f>
        <v>6.5</v>
      </c>
      <c r="AB267">
        <f>IF(Z267&lt;=0,0,MIN(IF(Y267='Loan Prepayment'!$E$11,IF('Loan Prepayment'!$E$13="Keep tenure, recalculate EMI",-PMT(AA267/1200,MAX(1,'Loan Prepayment'!$B$7*12-Y267+1),Z267),AB266),AB266),Z267+AC267))</f>
        <v>0</v>
      </c>
      <c r="AC267">
        <f t="shared" si="93"/>
        <v>0</v>
      </c>
      <c r="AD267">
        <f t="shared" si="94"/>
        <v>0</v>
      </c>
      <c r="AE267">
        <f t="shared" si="95"/>
        <v>0</v>
      </c>
      <c r="AF267">
        <f t="shared" si="96"/>
        <v>0</v>
      </c>
      <c r="AG267">
        <v>266</v>
      </c>
      <c r="AH267">
        <f t="shared" si="104"/>
        <v>0</v>
      </c>
      <c r="AI267">
        <f>IF(AG267&gt;='Loan Prepayment'!$E$11,'Loan Prepayment'!$E$12,'Loan Prepayment'!$B$6)</f>
        <v>6.5</v>
      </c>
      <c r="AJ267">
        <f>IF(AH267&lt;=0,0,MIN(IF(AG267='Loan Prepayment'!$E$11,IF('Loan Prepayment'!$E$13="Keep tenure, recalculate EMI",-PMT(AI267/1200,MAX(1,'Loan Prepayment'!$B$7*12-AG267+1),AH267),IF(AND('Loan Prepayment'!$E$15="Reduce EMI",AM266&gt;0),-PMT(AI266/1200,MAX(1,'Loan Prepayment'!$B$7*12-AG267+1),AH267),AJ266)),IF(AND('Loan Prepayment'!$E$15="Reduce EMI",AM266&gt;0),-PMT(AI267/1200,MAX(1,'Loan Prepayment'!$B$7*12-AG267+1),AH267),AJ266)),AH267+AK267))</f>
        <v>0</v>
      </c>
      <c r="AK267">
        <f t="shared" si="97"/>
        <v>0</v>
      </c>
      <c r="AL267">
        <f t="shared" si="98"/>
        <v>0</v>
      </c>
      <c r="AM267">
        <f>IF(AH267&lt;=0,0,MIN(MAX(0,AH267-AL267),SUMIFS('Loan Prepayment'!$B$12:$B$31,'Loan Prepayment'!$A$12:$A$31,AG267)+IF(AND(AG267&gt;='Loan Prepayment'!$B$9,AG267&lt;='Loan Prepayment'!$E$16),'Loan Prepayment'!$B$8,0)))</f>
        <v>0</v>
      </c>
      <c r="AN267">
        <f t="shared" si="99"/>
        <v>0</v>
      </c>
    </row>
    <row r="268" spans="1:40" x14ac:dyDescent="0.35">
      <c r="A268">
        <v>267</v>
      </c>
      <c r="B268">
        <f t="shared" si="100"/>
        <v>0</v>
      </c>
      <c r="C268" s="64">
        <f>'Loan Prepayment'!$B$6</f>
        <v>7.5</v>
      </c>
      <c r="D268">
        <f>IF(B268&lt;=0,0,MIN(-PMT('Loan Prepayment'!$B$6/1200,'Loan Prepayment'!$B$7*12,'Loan Prepayment'!$B$5),B268+E268))</f>
        <v>0</v>
      </c>
      <c r="E268">
        <f t="shared" si="84"/>
        <v>0</v>
      </c>
      <c r="F268">
        <f t="shared" si="85"/>
        <v>0</v>
      </c>
      <c r="G268">
        <v>0</v>
      </c>
      <c r="H268">
        <f t="shared" si="86"/>
        <v>0</v>
      </c>
      <c r="I268">
        <v>267</v>
      </c>
      <c r="J268">
        <f t="shared" si="101"/>
        <v>0</v>
      </c>
      <c r="K268" s="64">
        <f>'Loan Prepayment'!$B$6</f>
        <v>7.5</v>
      </c>
      <c r="L268">
        <f>IF(J268&lt;=0,0,MIN(IF(AND('Loan Prepayment'!$E$15="Reduce EMI",O267&gt;0),-PMT(K268/1200,MAX(1,'Loan Prepayment'!$B$7*12-I268+1),J268),L267),J268+M268))</f>
        <v>0</v>
      </c>
      <c r="M268">
        <f t="shared" si="87"/>
        <v>0</v>
      </c>
      <c r="N268">
        <f t="shared" si="88"/>
        <v>0</v>
      </c>
      <c r="O268">
        <f>IF(J268&lt;=0,0,MIN(MAX(0,J268-N268),SUMIFS('Loan Prepayment'!$B$12:$B$31,'Loan Prepayment'!$A$12:$A$31,I268)+0))</f>
        <v>0</v>
      </c>
      <c r="P268">
        <f t="shared" si="89"/>
        <v>0</v>
      </c>
      <c r="Q268">
        <v>267</v>
      </c>
      <c r="R268">
        <f t="shared" si="102"/>
        <v>0</v>
      </c>
      <c r="S268" s="64">
        <f>'Loan Prepayment'!$B$6</f>
        <v>7.5</v>
      </c>
      <c r="T268">
        <f>IF(R268&lt;=0,0,MIN(IF(AND('Loan Prepayment'!$E$15="Reduce EMI",W267&gt;0),-PMT(S268/1200,MAX(1,'Loan Prepayment'!$B$7*12-Q268+1),R268),T267),R268+U268))</f>
        <v>0</v>
      </c>
      <c r="U268">
        <f t="shared" si="90"/>
        <v>0</v>
      </c>
      <c r="V268">
        <f t="shared" si="91"/>
        <v>0</v>
      </c>
      <c r="W268">
        <f>IF(R268&lt;=0,0,MIN(MAX(0,R268-V268),0+IF(AND(Q268&gt;='Loan Prepayment'!$B$9,Q268&lt;='Loan Prepayment'!$E$16),'Loan Prepayment'!$B$8,0)))</f>
        <v>0</v>
      </c>
      <c r="X268">
        <f t="shared" si="92"/>
        <v>0</v>
      </c>
      <c r="Y268">
        <v>267</v>
      </c>
      <c r="Z268">
        <f t="shared" si="103"/>
        <v>0</v>
      </c>
      <c r="AA268">
        <f>IF(Y268&gt;='Loan Prepayment'!$E$11,'Loan Prepayment'!$E$12,'Loan Prepayment'!$B$6)</f>
        <v>6.5</v>
      </c>
      <c r="AB268">
        <f>IF(Z268&lt;=0,0,MIN(IF(Y268='Loan Prepayment'!$E$11,IF('Loan Prepayment'!$E$13="Keep tenure, recalculate EMI",-PMT(AA268/1200,MAX(1,'Loan Prepayment'!$B$7*12-Y268+1),Z268),AB267),AB267),Z268+AC268))</f>
        <v>0</v>
      </c>
      <c r="AC268">
        <f t="shared" si="93"/>
        <v>0</v>
      </c>
      <c r="AD268">
        <f t="shared" si="94"/>
        <v>0</v>
      </c>
      <c r="AE268">
        <f t="shared" si="95"/>
        <v>0</v>
      </c>
      <c r="AF268">
        <f t="shared" si="96"/>
        <v>0</v>
      </c>
      <c r="AG268">
        <v>267</v>
      </c>
      <c r="AH268">
        <f t="shared" si="104"/>
        <v>0</v>
      </c>
      <c r="AI268">
        <f>IF(AG268&gt;='Loan Prepayment'!$E$11,'Loan Prepayment'!$E$12,'Loan Prepayment'!$B$6)</f>
        <v>6.5</v>
      </c>
      <c r="AJ268">
        <f>IF(AH268&lt;=0,0,MIN(IF(AG268='Loan Prepayment'!$E$11,IF('Loan Prepayment'!$E$13="Keep tenure, recalculate EMI",-PMT(AI268/1200,MAX(1,'Loan Prepayment'!$B$7*12-AG268+1),AH268),IF(AND('Loan Prepayment'!$E$15="Reduce EMI",AM267&gt;0),-PMT(AI267/1200,MAX(1,'Loan Prepayment'!$B$7*12-AG268+1),AH268),AJ267)),IF(AND('Loan Prepayment'!$E$15="Reduce EMI",AM267&gt;0),-PMT(AI268/1200,MAX(1,'Loan Prepayment'!$B$7*12-AG268+1),AH268),AJ267)),AH268+AK268))</f>
        <v>0</v>
      </c>
      <c r="AK268">
        <f t="shared" si="97"/>
        <v>0</v>
      </c>
      <c r="AL268">
        <f t="shared" si="98"/>
        <v>0</v>
      </c>
      <c r="AM268">
        <f>IF(AH268&lt;=0,0,MIN(MAX(0,AH268-AL268),SUMIFS('Loan Prepayment'!$B$12:$B$31,'Loan Prepayment'!$A$12:$A$31,AG268)+IF(AND(AG268&gt;='Loan Prepayment'!$B$9,AG268&lt;='Loan Prepayment'!$E$16),'Loan Prepayment'!$B$8,0)))</f>
        <v>0</v>
      </c>
      <c r="AN268">
        <f t="shared" si="99"/>
        <v>0</v>
      </c>
    </row>
    <row r="269" spans="1:40" x14ac:dyDescent="0.35">
      <c r="A269">
        <v>268</v>
      </c>
      <c r="B269">
        <f t="shared" si="100"/>
        <v>0</v>
      </c>
      <c r="C269" s="64">
        <f>'Loan Prepayment'!$B$6</f>
        <v>7.5</v>
      </c>
      <c r="D269">
        <f>IF(B269&lt;=0,0,MIN(-PMT('Loan Prepayment'!$B$6/1200,'Loan Prepayment'!$B$7*12,'Loan Prepayment'!$B$5),B269+E269))</f>
        <v>0</v>
      </c>
      <c r="E269">
        <f t="shared" si="84"/>
        <v>0</v>
      </c>
      <c r="F269">
        <f t="shared" si="85"/>
        <v>0</v>
      </c>
      <c r="G269">
        <v>0</v>
      </c>
      <c r="H269">
        <f t="shared" si="86"/>
        <v>0</v>
      </c>
      <c r="I269">
        <v>268</v>
      </c>
      <c r="J269">
        <f t="shared" si="101"/>
        <v>0</v>
      </c>
      <c r="K269" s="64">
        <f>'Loan Prepayment'!$B$6</f>
        <v>7.5</v>
      </c>
      <c r="L269">
        <f>IF(J269&lt;=0,0,MIN(IF(AND('Loan Prepayment'!$E$15="Reduce EMI",O268&gt;0),-PMT(K269/1200,MAX(1,'Loan Prepayment'!$B$7*12-I269+1),J269),L268),J269+M269))</f>
        <v>0</v>
      </c>
      <c r="M269">
        <f t="shared" si="87"/>
        <v>0</v>
      </c>
      <c r="N269">
        <f t="shared" si="88"/>
        <v>0</v>
      </c>
      <c r="O269">
        <f>IF(J269&lt;=0,0,MIN(MAX(0,J269-N269),SUMIFS('Loan Prepayment'!$B$12:$B$31,'Loan Prepayment'!$A$12:$A$31,I269)+0))</f>
        <v>0</v>
      </c>
      <c r="P269">
        <f t="shared" si="89"/>
        <v>0</v>
      </c>
      <c r="Q269">
        <v>268</v>
      </c>
      <c r="R269">
        <f t="shared" si="102"/>
        <v>0</v>
      </c>
      <c r="S269" s="64">
        <f>'Loan Prepayment'!$B$6</f>
        <v>7.5</v>
      </c>
      <c r="T269">
        <f>IF(R269&lt;=0,0,MIN(IF(AND('Loan Prepayment'!$E$15="Reduce EMI",W268&gt;0),-PMT(S269/1200,MAX(1,'Loan Prepayment'!$B$7*12-Q269+1),R269),T268),R269+U269))</f>
        <v>0</v>
      </c>
      <c r="U269">
        <f t="shared" si="90"/>
        <v>0</v>
      </c>
      <c r="V269">
        <f t="shared" si="91"/>
        <v>0</v>
      </c>
      <c r="W269">
        <f>IF(R269&lt;=0,0,MIN(MAX(0,R269-V269),0+IF(AND(Q269&gt;='Loan Prepayment'!$B$9,Q269&lt;='Loan Prepayment'!$E$16),'Loan Prepayment'!$B$8,0)))</f>
        <v>0</v>
      </c>
      <c r="X269">
        <f t="shared" si="92"/>
        <v>0</v>
      </c>
      <c r="Y269">
        <v>268</v>
      </c>
      <c r="Z269">
        <f t="shared" si="103"/>
        <v>0</v>
      </c>
      <c r="AA269">
        <f>IF(Y269&gt;='Loan Prepayment'!$E$11,'Loan Prepayment'!$E$12,'Loan Prepayment'!$B$6)</f>
        <v>6.5</v>
      </c>
      <c r="AB269">
        <f>IF(Z269&lt;=0,0,MIN(IF(Y269='Loan Prepayment'!$E$11,IF('Loan Prepayment'!$E$13="Keep tenure, recalculate EMI",-PMT(AA269/1200,MAX(1,'Loan Prepayment'!$B$7*12-Y269+1),Z269),AB268),AB268),Z269+AC269))</f>
        <v>0</v>
      </c>
      <c r="AC269">
        <f t="shared" si="93"/>
        <v>0</v>
      </c>
      <c r="AD269">
        <f t="shared" si="94"/>
        <v>0</v>
      </c>
      <c r="AE269">
        <f t="shared" si="95"/>
        <v>0</v>
      </c>
      <c r="AF269">
        <f t="shared" si="96"/>
        <v>0</v>
      </c>
      <c r="AG269">
        <v>268</v>
      </c>
      <c r="AH269">
        <f t="shared" si="104"/>
        <v>0</v>
      </c>
      <c r="AI269">
        <f>IF(AG269&gt;='Loan Prepayment'!$E$11,'Loan Prepayment'!$E$12,'Loan Prepayment'!$B$6)</f>
        <v>6.5</v>
      </c>
      <c r="AJ269">
        <f>IF(AH269&lt;=0,0,MIN(IF(AG269='Loan Prepayment'!$E$11,IF('Loan Prepayment'!$E$13="Keep tenure, recalculate EMI",-PMT(AI269/1200,MAX(1,'Loan Prepayment'!$B$7*12-AG269+1),AH269),IF(AND('Loan Prepayment'!$E$15="Reduce EMI",AM268&gt;0),-PMT(AI268/1200,MAX(1,'Loan Prepayment'!$B$7*12-AG269+1),AH269),AJ268)),IF(AND('Loan Prepayment'!$E$15="Reduce EMI",AM268&gt;0),-PMT(AI269/1200,MAX(1,'Loan Prepayment'!$B$7*12-AG269+1),AH269),AJ268)),AH269+AK269))</f>
        <v>0</v>
      </c>
      <c r="AK269">
        <f t="shared" si="97"/>
        <v>0</v>
      </c>
      <c r="AL269">
        <f t="shared" si="98"/>
        <v>0</v>
      </c>
      <c r="AM269">
        <f>IF(AH269&lt;=0,0,MIN(MAX(0,AH269-AL269),SUMIFS('Loan Prepayment'!$B$12:$B$31,'Loan Prepayment'!$A$12:$A$31,AG269)+IF(AND(AG269&gt;='Loan Prepayment'!$B$9,AG269&lt;='Loan Prepayment'!$E$16),'Loan Prepayment'!$B$8,0)))</f>
        <v>0</v>
      </c>
      <c r="AN269">
        <f t="shared" si="99"/>
        <v>0</v>
      </c>
    </row>
    <row r="270" spans="1:40" x14ac:dyDescent="0.35">
      <c r="A270">
        <v>269</v>
      </c>
      <c r="B270">
        <f t="shared" si="100"/>
        <v>0</v>
      </c>
      <c r="C270" s="64">
        <f>'Loan Prepayment'!$B$6</f>
        <v>7.5</v>
      </c>
      <c r="D270">
        <f>IF(B270&lt;=0,0,MIN(-PMT('Loan Prepayment'!$B$6/1200,'Loan Prepayment'!$B$7*12,'Loan Prepayment'!$B$5),B270+E270))</f>
        <v>0</v>
      </c>
      <c r="E270">
        <f t="shared" si="84"/>
        <v>0</v>
      </c>
      <c r="F270">
        <f t="shared" si="85"/>
        <v>0</v>
      </c>
      <c r="G270">
        <v>0</v>
      </c>
      <c r="H270">
        <f t="shared" si="86"/>
        <v>0</v>
      </c>
      <c r="I270">
        <v>269</v>
      </c>
      <c r="J270">
        <f t="shared" si="101"/>
        <v>0</v>
      </c>
      <c r="K270" s="64">
        <f>'Loan Prepayment'!$B$6</f>
        <v>7.5</v>
      </c>
      <c r="L270">
        <f>IF(J270&lt;=0,0,MIN(IF(AND('Loan Prepayment'!$E$15="Reduce EMI",O269&gt;0),-PMT(K270/1200,MAX(1,'Loan Prepayment'!$B$7*12-I270+1),J270),L269),J270+M270))</f>
        <v>0</v>
      </c>
      <c r="M270">
        <f t="shared" si="87"/>
        <v>0</v>
      </c>
      <c r="N270">
        <f t="shared" si="88"/>
        <v>0</v>
      </c>
      <c r="O270">
        <f>IF(J270&lt;=0,0,MIN(MAX(0,J270-N270),SUMIFS('Loan Prepayment'!$B$12:$B$31,'Loan Prepayment'!$A$12:$A$31,I270)+0))</f>
        <v>0</v>
      </c>
      <c r="P270">
        <f t="shared" si="89"/>
        <v>0</v>
      </c>
      <c r="Q270">
        <v>269</v>
      </c>
      <c r="R270">
        <f t="shared" si="102"/>
        <v>0</v>
      </c>
      <c r="S270" s="64">
        <f>'Loan Prepayment'!$B$6</f>
        <v>7.5</v>
      </c>
      <c r="T270">
        <f>IF(R270&lt;=0,0,MIN(IF(AND('Loan Prepayment'!$E$15="Reduce EMI",W269&gt;0),-PMT(S270/1200,MAX(1,'Loan Prepayment'!$B$7*12-Q270+1),R270),T269),R270+U270))</f>
        <v>0</v>
      </c>
      <c r="U270">
        <f t="shared" si="90"/>
        <v>0</v>
      </c>
      <c r="V270">
        <f t="shared" si="91"/>
        <v>0</v>
      </c>
      <c r="W270">
        <f>IF(R270&lt;=0,0,MIN(MAX(0,R270-V270),0+IF(AND(Q270&gt;='Loan Prepayment'!$B$9,Q270&lt;='Loan Prepayment'!$E$16),'Loan Prepayment'!$B$8,0)))</f>
        <v>0</v>
      </c>
      <c r="X270">
        <f t="shared" si="92"/>
        <v>0</v>
      </c>
      <c r="Y270">
        <v>269</v>
      </c>
      <c r="Z270">
        <f t="shared" si="103"/>
        <v>0</v>
      </c>
      <c r="AA270">
        <f>IF(Y270&gt;='Loan Prepayment'!$E$11,'Loan Prepayment'!$E$12,'Loan Prepayment'!$B$6)</f>
        <v>6.5</v>
      </c>
      <c r="AB270">
        <f>IF(Z270&lt;=0,0,MIN(IF(Y270='Loan Prepayment'!$E$11,IF('Loan Prepayment'!$E$13="Keep tenure, recalculate EMI",-PMT(AA270/1200,MAX(1,'Loan Prepayment'!$B$7*12-Y270+1),Z270),AB269),AB269),Z270+AC270))</f>
        <v>0</v>
      </c>
      <c r="AC270">
        <f t="shared" si="93"/>
        <v>0</v>
      </c>
      <c r="AD270">
        <f t="shared" si="94"/>
        <v>0</v>
      </c>
      <c r="AE270">
        <f t="shared" si="95"/>
        <v>0</v>
      </c>
      <c r="AF270">
        <f t="shared" si="96"/>
        <v>0</v>
      </c>
      <c r="AG270">
        <v>269</v>
      </c>
      <c r="AH270">
        <f t="shared" si="104"/>
        <v>0</v>
      </c>
      <c r="AI270">
        <f>IF(AG270&gt;='Loan Prepayment'!$E$11,'Loan Prepayment'!$E$12,'Loan Prepayment'!$B$6)</f>
        <v>6.5</v>
      </c>
      <c r="AJ270">
        <f>IF(AH270&lt;=0,0,MIN(IF(AG270='Loan Prepayment'!$E$11,IF('Loan Prepayment'!$E$13="Keep tenure, recalculate EMI",-PMT(AI270/1200,MAX(1,'Loan Prepayment'!$B$7*12-AG270+1),AH270),IF(AND('Loan Prepayment'!$E$15="Reduce EMI",AM269&gt;0),-PMT(AI269/1200,MAX(1,'Loan Prepayment'!$B$7*12-AG270+1),AH270),AJ269)),IF(AND('Loan Prepayment'!$E$15="Reduce EMI",AM269&gt;0),-PMT(AI270/1200,MAX(1,'Loan Prepayment'!$B$7*12-AG270+1),AH270),AJ269)),AH270+AK270))</f>
        <v>0</v>
      </c>
      <c r="AK270">
        <f t="shared" si="97"/>
        <v>0</v>
      </c>
      <c r="AL270">
        <f t="shared" si="98"/>
        <v>0</v>
      </c>
      <c r="AM270">
        <f>IF(AH270&lt;=0,0,MIN(MAX(0,AH270-AL270),SUMIFS('Loan Prepayment'!$B$12:$B$31,'Loan Prepayment'!$A$12:$A$31,AG270)+IF(AND(AG270&gt;='Loan Prepayment'!$B$9,AG270&lt;='Loan Prepayment'!$E$16),'Loan Prepayment'!$B$8,0)))</f>
        <v>0</v>
      </c>
      <c r="AN270">
        <f t="shared" si="99"/>
        <v>0</v>
      </c>
    </row>
    <row r="271" spans="1:40" x14ac:dyDescent="0.35">
      <c r="A271">
        <v>270</v>
      </c>
      <c r="B271">
        <f t="shared" si="100"/>
        <v>0</v>
      </c>
      <c r="C271" s="64">
        <f>'Loan Prepayment'!$B$6</f>
        <v>7.5</v>
      </c>
      <c r="D271">
        <f>IF(B271&lt;=0,0,MIN(-PMT('Loan Prepayment'!$B$6/1200,'Loan Prepayment'!$B$7*12,'Loan Prepayment'!$B$5),B271+E271))</f>
        <v>0</v>
      </c>
      <c r="E271">
        <f t="shared" si="84"/>
        <v>0</v>
      </c>
      <c r="F271">
        <f t="shared" si="85"/>
        <v>0</v>
      </c>
      <c r="G271">
        <v>0</v>
      </c>
      <c r="H271">
        <f t="shared" si="86"/>
        <v>0</v>
      </c>
      <c r="I271">
        <v>270</v>
      </c>
      <c r="J271">
        <f t="shared" si="101"/>
        <v>0</v>
      </c>
      <c r="K271" s="64">
        <f>'Loan Prepayment'!$B$6</f>
        <v>7.5</v>
      </c>
      <c r="L271">
        <f>IF(J271&lt;=0,0,MIN(IF(AND('Loan Prepayment'!$E$15="Reduce EMI",O270&gt;0),-PMT(K271/1200,MAX(1,'Loan Prepayment'!$B$7*12-I271+1),J271),L270),J271+M271))</f>
        <v>0</v>
      </c>
      <c r="M271">
        <f t="shared" si="87"/>
        <v>0</v>
      </c>
      <c r="N271">
        <f t="shared" si="88"/>
        <v>0</v>
      </c>
      <c r="O271">
        <f>IF(J271&lt;=0,0,MIN(MAX(0,J271-N271),SUMIFS('Loan Prepayment'!$B$12:$B$31,'Loan Prepayment'!$A$12:$A$31,I271)+0))</f>
        <v>0</v>
      </c>
      <c r="P271">
        <f t="shared" si="89"/>
        <v>0</v>
      </c>
      <c r="Q271">
        <v>270</v>
      </c>
      <c r="R271">
        <f t="shared" si="102"/>
        <v>0</v>
      </c>
      <c r="S271" s="64">
        <f>'Loan Prepayment'!$B$6</f>
        <v>7.5</v>
      </c>
      <c r="T271">
        <f>IF(R271&lt;=0,0,MIN(IF(AND('Loan Prepayment'!$E$15="Reduce EMI",W270&gt;0),-PMT(S271/1200,MAX(1,'Loan Prepayment'!$B$7*12-Q271+1),R271),T270),R271+U271))</f>
        <v>0</v>
      </c>
      <c r="U271">
        <f t="shared" si="90"/>
        <v>0</v>
      </c>
      <c r="V271">
        <f t="shared" si="91"/>
        <v>0</v>
      </c>
      <c r="W271">
        <f>IF(R271&lt;=0,0,MIN(MAX(0,R271-V271),0+IF(AND(Q271&gt;='Loan Prepayment'!$B$9,Q271&lt;='Loan Prepayment'!$E$16),'Loan Prepayment'!$B$8,0)))</f>
        <v>0</v>
      </c>
      <c r="X271">
        <f t="shared" si="92"/>
        <v>0</v>
      </c>
      <c r="Y271">
        <v>270</v>
      </c>
      <c r="Z271">
        <f t="shared" si="103"/>
        <v>0</v>
      </c>
      <c r="AA271">
        <f>IF(Y271&gt;='Loan Prepayment'!$E$11,'Loan Prepayment'!$E$12,'Loan Prepayment'!$B$6)</f>
        <v>6.5</v>
      </c>
      <c r="AB271">
        <f>IF(Z271&lt;=0,0,MIN(IF(Y271='Loan Prepayment'!$E$11,IF('Loan Prepayment'!$E$13="Keep tenure, recalculate EMI",-PMT(AA271/1200,MAX(1,'Loan Prepayment'!$B$7*12-Y271+1),Z271),AB270),AB270),Z271+AC271))</f>
        <v>0</v>
      </c>
      <c r="AC271">
        <f t="shared" si="93"/>
        <v>0</v>
      </c>
      <c r="AD271">
        <f t="shared" si="94"/>
        <v>0</v>
      </c>
      <c r="AE271">
        <f t="shared" si="95"/>
        <v>0</v>
      </c>
      <c r="AF271">
        <f t="shared" si="96"/>
        <v>0</v>
      </c>
      <c r="AG271">
        <v>270</v>
      </c>
      <c r="AH271">
        <f t="shared" si="104"/>
        <v>0</v>
      </c>
      <c r="AI271">
        <f>IF(AG271&gt;='Loan Prepayment'!$E$11,'Loan Prepayment'!$E$12,'Loan Prepayment'!$B$6)</f>
        <v>6.5</v>
      </c>
      <c r="AJ271">
        <f>IF(AH271&lt;=0,0,MIN(IF(AG271='Loan Prepayment'!$E$11,IF('Loan Prepayment'!$E$13="Keep tenure, recalculate EMI",-PMT(AI271/1200,MAX(1,'Loan Prepayment'!$B$7*12-AG271+1),AH271),IF(AND('Loan Prepayment'!$E$15="Reduce EMI",AM270&gt;0),-PMT(AI270/1200,MAX(1,'Loan Prepayment'!$B$7*12-AG271+1),AH271),AJ270)),IF(AND('Loan Prepayment'!$E$15="Reduce EMI",AM270&gt;0),-PMT(AI271/1200,MAX(1,'Loan Prepayment'!$B$7*12-AG271+1),AH271),AJ270)),AH271+AK271))</f>
        <v>0</v>
      </c>
      <c r="AK271">
        <f t="shared" si="97"/>
        <v>0</v>
      </c>
      <c r="AL271">
        <f t="shared" si="98"/>
        <v>0</v>
      </c>
      <c r="AM271">
        <f>IF(AH271&lt;=0,0,MIN(MAX(0,AH271-AL271),SUMIFS('Loan Prepayment'!$B$12:$B$31,'Loan Prepayment'!$A$12:$A$31,AG271)+IF(AND(AG271&gt;='Loan Prepayment'!$B$9,AG271&lt;='Loan Prepayment'!$E$16),'Loan Prepayment'!$B$8,0)))</f>
        <v>0</v>
      </c>
      <c r="AN271">
        <f t="shared" si="99"/>
        <v>0</v>
      </c>
    </row>
    <row r="272" spans="1:40" x14ac:dyDescent="0.35">
      <c r="A272">
        <v>271</v>
      </c>
      <c r="B272">
        <f t="shared" si="100"/>
        <v>0</v>
      </c>
      <c r="C272" s="64">
        <f>'Loan Prepayment'!$B$6</f>
        <v>7.5</v>
      </c>
      <c r="D272">
        <f>IF(B272&lt;=0,0,MIN(-PMT('Loan Prepayment'!$B$6/1200,'Loan Prepayment'!$B$7*12,'Loan Prepayment'!$B$5),B272+E272))</f>
        <v>0</v>
      </c>
      <c r="E272">
        <f t="shared" si="84"/>
        <v>0</v>
      </c>
      <c r="F272">
        <f t="shared" si="85"/>
        <v>0</v>
      </c>
      <c r="G272">
        <v>0</v>
      </c>
      <c r="H272">
        <f t="shared" si="86"/>
        <v>0</v>
      </c>
      <c r="I272">
        <v>271</v>
      </c>
      <c r="J272">
        <f t="shared" si="101"/>
        <v>0</v>
      </c>
      <c r="K272" s="64">
        <f>'Loan Prepayment'!$B$6</f>
        <v>7.5</v>
      </c>
      <c r="L272">
        <f>IF(J272&lt;=0,0,MIN(IF(AND('Loan Prepayment'!$E$15="Reduce EMI",O271&gt;0),-PMT(K272/1200,MAX(1,'Loan Prepayment'!$B$7*12-I272+1),J272),L271),J272+M272))</f>
        <v>0</v>
      </c>
      <c r="M272">
        <f t="shared" si="87"/>
        <v>0</v>
      </c>
      <c r="N272">
        <f t="shared" si="88"/>
        <v>0</v>
      </c>
      <c r="O272">
        <f>IF(J272&lt;=0,0,MIN(MAX(0,J272-N272),SUMIFS('Loan Prepayment'!$B$12:$B$31,'Loan Prepayment'!$A$12:$A$31,I272)+0))</f>
        <v>0</v>
      </c>
      <c r="P272">
        <f t="shared" si="89"/>
        <v>0</v>
      </c>
      <c r="Q272">
        <v>271</v>
      </c>
      <c r="R272">
        <f t="shared" si="102"/>
        <v>0</v>
      </c>
      <c r="S272" s="64">
        <f>'Loan Prepayment'!$B$6</f>
        <v>7.5</v>
      </c>
      <c r="T272">
        <f>IF(R272&lt;=0,0,MIN(IF(AND('Loan Prepayment'!$E$15="Reduce EMI",W271&gt;0),-PMT(S272/1200,MAX(1,'Loan Prepayment'!$B$7*12-Q272+1),R272),T271),R272+U272))</f>
        <v>0</v>
      </c>
      <c r="U272">
        <f t="shared" si="90"/>
        <v>0</v>
      </c>
      <c r="V272">
        <f t="shared" si="91"/>
        <v>0</v>
      </c>
      <c r="W272">
        <f>IF(R272&lt;=0,0,MIN(MAX(0,R272-V272),0+IF(AND(Q272&gt;='Loan Prepayment'!$B$9,Q272&lt;='Loan Prepayment'!$E$16),'Loan Prepayment'!$B$8,0)))</f>
        <v>0</v>
      </c>
      <c r="X272">
        <f t="shared" si="92"/>
        <v>0</v>
      </c>
      <c r="Y272">
        <v>271</v>
      </c>
      <c r="Z272">
        <f t="shared" si="103"/>
        <v>0</v>
      </c>
      <c r="AA272">
        <f>IF(Y272&gt;='Loan Prepayment'!$E$11,'Loan Prepayment'!$E$12,'Loan Prepayment'!$B$6)</f>
        <v>6.5</v>
      </c>
      <c r="AB272">
        <f>IF(Z272&lt;=0,0,MIN(IF(Y272='Loan Prepayment'!$E$11,IF('Loan Prepayment'!$E$13="Keep tenure, recalculate EMI",-PMT(AA272/1200,MAX(1,'Loan Prepayment'!$B$7*12-Y272+1),Z272),AB271),AB271),Z272+AC272))</f>
        <v>0</v>
      </c>
      <c r="AC272">
        <f t="shared" si="93"/>
        <v>0</v>
      </c>
      <c r="AD272">
        <f t="shared" si="94"/>
        <v>0</v>
      </c>
      <c r="AE272">
        <f t="shared" si="95"/>
        <v>0</v>
      </c>
      <c r="AF272">
        <f t="shared" si="96"/>
        <v>0</v>
      </c>
      <c r="AG272">
        <v>271</v>
      </c>
      <c r="AH272">
        <f t="shared" si="104"/>
        <v>0</v>
      </c>
      <c r="AI272">
        <f>IF(AG272&gt;='Loan Prepayment'!$E$11,'Loan Prepayment'!$E$12,'Loan Prepayment'!$B$6)</f>
        <v>6.5</v>
      </c>
      <c r="AJ272">
        <f>IF(AH272&lt;=0,0,MIN(IF(AG272='Loan Prepayment'!$E$11,IF('Loan Prepayment'!$E$13="Keep tenure, recalculate EMI",-PMT(AI272/1200,MAX(1,'Loan Prepayment'!$B$7*12-AG272+1),AH272),IF(AND('Loan Prepayment'!$E$15="Reduce EMI",AM271&gt;0),-PMT(AI271/1200,MAX(1,'Loan Prepayment'!$B$7*12-AG272+1),AH272),AJ271)),IF(AND('Loan Prepayment'!$E$15="Reduce EMI",AM271&gt;0),-PMT(AI272/1200,MAX(1,'Loan Prepayment'!$B$7*12-AG272+1),AH272),AJ271)),AH272+AK272))</f>
        <v>0</v>
      </c>
      <c r="AK272">
        <f t="shared" si="97"/>
        <v>0</v>
      </c>
      <c r="AL272">
        <f t="shared" si="98"/>
        <v>0</v>
      </c>
      <c r="AM272">
        <f>IF(AH272&lt;=0,0,MIN(MAX(0,AH272-AL272),SUMIFS('Loan Prepayment'!$B$12:$B$31,'Loan Prepayment'!$A$12:$A$31,AG272)+IF(AND(AG272&gt;='Loan Prepayment'!$B$9,AG272&lt;='Loan Prepayment'!$E$16),'Loan Prepayment'!$B$8,0)))</f>
        <v>0</v>
      </c>
      <c r="AN272">
        <f t="shared" si="99"/>
        <v>0</v>
      </c>
    </row>
    <row r="273" spans="1:40" x14ac:dyDescent="0.35">
      <c r="A273">
        <v>272</v>
      </c>
      <c r="B273">
        <f t="shared" si="100"/>
        <v>0</v>
      </c>
      <c r="C273" s="64">
        <f>'Loan Prepayment'!$B$6</f>
        <v>7.5</v>
      </c>
      <c r="D273">
        <f>IF(B273&lt;=0,0,MIN(-PMT('Loan Prepayment'!$B$6/1200,'Loan Prepayment'!$B$7*12,'Loan Prepayment'!$B$5),B273+E273))</f>
        <v>0</v>
      </c>
      <c r="E273">
        <f t="shared" si="84"/>
        <v>0</v>
      </c>
      <c r="F273">
        <f t="shared" si="85"/>
        <v>0</v>
      </c>
      <c r="G273">
        <v>0</v>
      </c>
      <c r="H273">
        <f t="shared" si="86"/>
        <v>0</v>
      </c>
      <c r="I273">
        <v>272</v>
      </c>
      <c r="J273">
        <f t="shared" si="101"/>
        <v>0</v>
      </c>
      <c r="K273" s="64">
        <f>'Loan Prepayment'!$B$6</f>
        <v>7.5</v>
      </c>
      <c r="L273">
        <f>IF(J273&lt;=0,0,MIN(IF(AND('Loan Prepayment'!$E$15="Reduce EMI",O272&gt;0),-PMT(K273/1200,MAX(1,'Loan Prepayment'!$B$7*12-I273+1),J273),L272),J273+M273))</f>
        <v>0</v>
      </c>
      <c r="M273">
        <f t="shared" si="87"/>
        <v>0</v>
      </c>
      <c r="N273">
        <f t="shared" si="88"/>
        <v>0</v>
      </c>
      <c r="O273">
        <f>IF(J273&lt;=0,0,MIN(MAX(0,J273-N273),SUMIFS('Loan Prepayment'!$B$12:$B$31,'Loan Prepayment'!$A$12:$A$31,I273)+0))</f>
        <v>0</v>
      </c>
      <c r="P273">
        <f t="shared" si="89"/>
        <v>0</v>
      </c>
      <c r="Q273">
        <v>272</v>
      </c>
      <c r="R273">
        <f t="shared" si="102"/>
        <v>0</v>
      </c>
      <c r="S273" s="64">
        <f>'Loan Prepayment'!$B$6</f>
        <v>7.5</v>
      </c>
      <c r="T273">
        <f>IF(R273&lt;=0,0,MIN(IF(AND('Loan Prepayment'!$E$15="Reduce EMI",W272&gt;0),-PMT(S273/1200,MAX(1,'Loan Prepayment'!$B$7*12-Q273+1),R273),T272),R273+U273))</f>
        <v>0</v>
      </c>
      <c r="U273">
        <f t="shared" si="90"/>
        <v>0</v>
      </c>
      <c r="V273">
        <f t="shared" si="91"/>
        <v>0</v>
      </c>
      <c r="W273">
        <f>IF(R273&lt;=0,0,MIN(MAX(0,R273-V273),0+IF(AND(Q273&gt;='Loan Prepayment'!$B$9,Q273&lt;='Loan Prepayment'!$E$16),'Loan Prepayment'!$B$8,0)))</f>
        <v>0</v>
      </c>
      <c r="X273">
        <f t="shared" si="92"/>
        <v>0</v>
      </c>
      <c r="Y273">
        <v>272</v>
      </c>
      <c r="Z273">
        <f t="shared" si="103"/>
        <v>0</v>
      </c>
      <c r="AA273">
        <f>IF(Y273&gt;='Loan Prepayment'!$E$11,'Loan Prepayment'!$E$12,'Loan Prepayment'!$B$6)</f>
        <v>6.5</v>
      </c>
      <c r="AB273">
        <f>IF(Z273&lt;=0,0,MIN(IF(Y273='Loan Prepayment'!$E$11,IF('Loan Prepayment'!$E$13="Keep tenure, recalculate EMI",-PMT(AA273/1200,MAX(1,'Loan Prepayment'!$B$7*12-Y273+1),Z273),AB272),AB272),Z273+AC273))</f>
        <v>0</v>
      </c>
      <c r="AC273">
        <f t="shared" si="93"/>
        <v>0</v>
      </c>
      <c r="AD273">
        <f t="shared" si="94"/>
        <v>0</v>
      </c>
      <c r="AE273">
        <f t="shared" si="95"/>
        <v>0</v>
      </c>
      <c r="AF273">
        <f t="shared" si="96"/>
        <v>0</v>
      </c>
      <c r="AG273">
        <v>272</v>
      </c>
      <c r="AH273">
        <f t="shared" si="104"/>
        <v>0</v>
      </c>
      <c r="AI273">
        <f>IF(AG273&gt;='Loan Prepayment'!$E$11,'Loan Prepayment'!$E$12,'Loan Prepayment'!$B$6)</f>
        <v>6.5</v>
      </c>
      <c r="AJ273">
        <f>IF(AH273&lt;=0,0,MIN(IF(AG273='Loan Prepayment'!$E$11,IF('Loan Prepayment'!$E$13="Keep tenure, recalculate EMI",-PMT(AI273/1200,MAX(1,'Loan Prepayment'!$B$7*12-AG273+1),AH273),IF(AND('Loan Prepayment'!$E$15="Reduce EMI",AM272&gt;0),-PMT(AI272/1200,MAX(1,'Loan Prepayment'!$B$7*12-AG273+1),AH273),AJ272)),IF(AND('Loan Prepayment'!$E$15="Reduce EMI",AM272&gt;0),-PMT(AI273/1200,MAX(1,'Loan Prepayment'!$B$7*12-AG273+1),AH273),AJ272)),AH273+AK273))</f>
        <v>0</v>
      </c>
      <c r="AK273">
        <f t="shared" si="97"/>
        <v>0</v>
      </c>
      <c r="AL273">
        <f t="shared" si="98"/>
        <v>0</v>
      </c>
      <c r="AM273">
        <f>IF(AH273&lt;=0,0,MIN(MAX(0,AH273-AL273),SUMIFS('Loan Prepayment'!$B$12:$B$31,'Loan Prepayment'!$A$12:$A$31,AG273)+IF(AND(AG273&gt;='Loan Prepayment'!$B$9,AG273&lt;='Loan Prepayment'!$E$16),'Loan Prepayment'!$B$8,0)))</f>
        <v>0</v>
      </c>
      <c r="AN273">
        <f t="shared" si="99"/>
        <v>0</v>
      </c>
    </row>
    <row r="274" spans="1:40" x14ac:dyDescent="0.35">
      <c r="A274">
        <v>273</v>
      </c>
      <c r="B274">
        <f t="shared" si="100"/>
        <v>0</v>
      </c>
      <c r="C274" s="64">
        <f>'Loan Prepayment'!$B$6</f>
        <v>7.5</v>
      </c>
      <c r="D274">
        <f>IF(B274&lt;=0,0,MIN(-PMT('Loan Prepayment'!$B$6/1200,'Loan Prepayment'!$B$7*12,'Loan Prepayment'!$B$5),B274+E274))</f>
        <v>0</v>
      </c>
      <c r="E274">
        <f t="shared" si="84"/>
        <v>0</v>
      </c>
      <c r="F274">
        <f t="shared" si="85"/>
        <v>0</v>
      </c>
      <c r="G274">
        <v>0</v>
      </c>
      <c r="H274">
        <f t="shared" si="86"/>
        <v>0</v>
      </c>
      <c r="I274">
        <v>273</v>
      </c>
      <c r="J274">
        <f t="shared" si="101"/>
        <v>0</v>
      </c>
      <c r="K274" s="64">
        <f>'Loan Prepayment'!$B$6</f>
        <v>7.5</v>
      </c>
      <c r="L274">
        <f>IF(J274&lt;=0,0,MIN(IF(AND('Loan Prepayment'!$E$15="Reduce EMI",O273&gt;0),-PMT(K274/1200,MAX(1,'Loan Prepayment'!$B$7*12-I274+1),J274),L273),J274+M274))</f>
        <v>0</v>
      </c>
      <c r="M274">
        <f t="shared" si="87"/>
        <v>0</v>
      </c>
      <c r="N274">
        <f t="shared" si="88"/>
        <v>0</v>
      </c>
      <c r="O274">
        <f>IF(J274&lt;=0,0,MIN(MAX(0,J274-N274),SUMIFS('Loan Prepayment'!$B$12:$B$31,'Loan Prepayment'!$A$12:$A$31,I274)+0))</f>
        <v>0</v>
      </c>
      <c r="P274">
        <f t="shared" si="89"/>
        <v>0</v>
      </c>
      <c r="Q274">
        <v>273</v>
      </c>
      <c r="R274">
        <f t="shared" si="102"/>
        <v>0</v>
      </c>
      <c r="S274" s="64">
        <f>'Loan Prepayment'!$B$6</f>
        <v>7.5</v>
      </c>
      <c r="T274">
        <f>IF(R274&lt;=0,0,MIN(IF(AND('Loan Prepayment'!$E$15="Reduce EMI",W273&gt;0),-PMT(S274/1200,MAX(1,'Loan Prepayment'!$B$7*12-Q274+1),R274),T273),R274+U274))</f>
        <v>0</v>
      </c>
      <c r="U274">
        <f t="shared" si="90"/>
        <v>0</v>
      </c>
      <c r="V274">
        <f t="shared" si="91"/>
        <v>0</v>
      </c>
      <c r="W274">
        <f>IF(R274&lt;=0,0,MIN(MAX(0,R274-V274),0+IF(AND(Q274&gt;='Loan Prepayment'!$B$9,Q274&lt;='Loan Prepayment'!$E$16),'Loan Prepayment'!$B$8,0)))</f>
        <v>0</v>
      </c>
      <c r="X274">
        <f t="shared" si="92"/>
        <v>0</v>
      </c>
      <c r="Y274">
        <v>273</v>
      </c>
      <c r="Z274">
        <f t="shared" si="103"/>
        <v>0</v>
      </c>
      <c r="AA274">
        <f>IF(Y274&gt;='Loan Prepayment'!$E$11,'Loan Prepayment'!$E$12,'Loan Prepayment'!$B$6)</f>
        <v>6.5</v>
      </c>
      <c r="AB274">
        <f>IF(Z274&lt;=0,0,MIN(IF(Y274='Loan Prepayment'!$E$11,IF('Loan Prepayment'!$E$13="Keep tenure, recalculate EMI",-PMT(AA274/1200,MAX(1,'Loan Prepayment'!$B$7*12-Y274+1),Z274),AB273),AB273),Z274+AC274))</f>
        <v>0</v>
      </c>
      <c r="AC274">
        <f t="shared" si="93"/>
        <v>0</v>
      </c>
      <c r="AD274">
        <f t="shared" si="94"/>
        <v>0</v>
      </c>
      <c r="AE274">
        <f t="shared" si="95"/>
        <v>0</v>
      </c>
      <c r="AF274">
        <f t="shared" si="96"/>
        <v>0</v>
      </c>
      <c r="AG274">
        <v>273</v>
      </c>
      <c r="AH274">
        <f t="shared" si="104"/>
        <v>0</v>
      </c>
      <c r="AI274">
        <f>IF(AG274&gt;='Loan Prepayment'!$E$11,'Loan Prepayment'!$E$12,'Loan Prepayment'!$B$6)</f>
        <v>6.5</v>
      </c>
      <c r="AJ274">
        <f>IF(AH274&lt;=0,0,MIN(IF(AG274='Loan Prepayment'!$E$11,IF('Loan Prepayment'!$E$13="Keep tenure, recalculate EMI",-PMT(AI274/1200,MAX(1,'Loan Prepayment'!$B$7*12-AG274+1),AH274),IF(AND('Loan Prepayment'!$E$15="Reduce EMI",AM273&gt;0),-PMT(AI273/1200,MAX(1,'Loan Prepayment'!$B$7*12-AG274+1),AH274),AJ273)),IF(AND('Loan Prepayment'!$E$15="Reduce EMI",AM273&gt;0),-PMT(AI274/1200,MAX(1,'Loan Prepayment'!$B$7*12-AG274+1),AH274),AJ273)),AH274+AK274))</f>
        <v>0</v>
      </c>
      <c r="AK274">
        <f t="shared" si="97"/>
        <v>0</v>
      </c>
      <c r="AL274">
        <f t="shared" si="98"/>
        <v>0</v>
      </c>
      <c r="AM274">
        <f>IF(AH274&lt;=0,0,MIN(MAX(0,AH274-AL274),SUMIFS('Loan Prepayment'!$B$12:$B$31,'Loan Prepayment'!$A$12:$A$31,AG274)+IF(AND(AG274&gt;='Loan Prepayment'!$B$9,AG274&lt;='Loan Prepayment'!$E$16),'Loan Prepayment'!$B$8,0)))</f>
        <v>0</v>
      </c>
      <c r="AN274">
        <f t="shared" si="99"/>
        <v>0</v>
      </c>
    </row>
    <row r="275" spans="1:40" x14ac:dyDescent="0.35">
      <c r="A275">
        <v>274</v>
      </c>
      <c r="B275">
        <f t="shared" si="100"/>
        <v>0</v>
      </c>
      <c r="C275" s="64">
        <f>'Loan Prepayment'!$B$6</f>
        <v>7.5</v>
      </c>
      <c r="D275">
        <f>IF(B275&lt;=0,0,MIN(-PMT('Loan Prepayment'!$B$6/1200,'Loan Prepayment'!$B$7*12,'Loan Prepayment'!$B$5),B275+E275))</f>
        <v>0</v>
      </c>
      <c r="E275">
        <f t="shared" si="84"/>
        <v>0</v>
      </c>
      <c r="F275">
        <f t="shared" si="85"/>
        <v>0</v>
      </c>
      <c r="G275">
        <v>0</v>
      </c>
      <c r="H275">
        <f t="shared" si="86"/>
        <v>0</v>
      </c>
      <c r="I275">
        <v>274</v>
      </c>
      <c r="J275">
        <f t="shared" si="101"/>
        <v>0</v>
      </c>
      <c r="K275" s="64">
        <f>'Loan Prepayment'!$B$6</f>
        <v>7.5</v>
      </c>
      <c r="L275">
        <f>IF(J275&lt;=0,0,MIN(IF(AND('Loan Prepayment'!$E$15="Reduce EMI",O274&gt;0),-PMT(K275/1200,MAX(1,'Loan Prepayment'!$B$7*12-I275+1),J275),L274),J275+M275))</f>
        <v>0</v>
      </c>
      <c r="M275">
        <f t="shared" si="87"/>
        <v>0</v>
      </c>
      <c r="N275">
        <f t="shared" si="88"/>
        <v>0</v>
      </c>
      <c r="O275">
        <f>IF(J275&lt;=0,0,MIN(MAX(0,J275-N275),SUMIFS('Loan Prepayment'!$B$12:$B$31,'Loan Prepayment'!$A$12:$A$31,I275)+0))</f>
        <v>0</v>
      </c>
      <c r="P275">
        <f t="shared" si="89"/>
        <v>0</v>
      </c>
      <c r="Q275">
        <v>274</v>
      </c>
      <c r="R275">
        <f t="shared" si="102"/>
        <v>0</v>
      </c>
      <c r="S275" s="64">
        <f>'Loan Prepayment'!$B$6</f>
        <v>7.5</v>
      </c>
      <c r="T275">
        <f>IF(R275&lt;=0,0,MIN(IF(AND('Loan Prepayment'!$E$15="Reduce EMI",W274&gt;0),-PMT(S275/1200,MAX(1,'Loan Prepayment'!$B$7*12-Q275+1),R275),T274),R275+U275))</f>
        <v>0</v>
      </c>
      <c r="U275">
        <f t="shared" si="90"/>
        <v>0</v>
      </c>
      <c r="V275">
        <f t="shared" si="91"/>
        <v>0</v>
      </c>
      <c r="W275">
        <f>IF(R275&lt;=0,0,MIN(MAX(0,R275-V275),0+IF(AND(Q275&gt;='Loan Prepayment'!$B$9,Q275&lt;='Loan Prepayment'!$E$16),'Loan Prepayment'!$B$8,0)))</f>
        <v>0</v>
      </c>
      <c r="X275">
        <f t="shared" si="92"/>
        <v>0</v>
      </c>
      <c r="Y275">
        <v>274</v>
      </c>
      <c r="Z275">
        <f t="shared" si="103"/>
        <v>0</v>
      </c>
      <c r="AA275">
        <f>IF(Y275&gt;='Loan Prepayment'!$E$11,'Loan Prepayment'!$E$12,'Loan Prepayment'!$B$6)</f>
        <v>6.5</v>
      </c>
      <c r="AB275">
        <f>IF(Z275&lt;=0,0,MIN(IF(Y275='Loan Prepayment'!$E$11,IF('Loan Prepayment'!$E$13="Keep tenure, recalculate EMI",-PMT(AA275/1200,MAX(1,'Loan Prepayment'!$B$7*12-Y275+1),Z275),AB274),AB274),Z275+AC275))</f>
        <v>0</v>
      </c>
      <c r="AC275">
        <f t="shared" si="93"/>
        <v>0</v>
      </c>
      <c r="AD275">
        <f t="shared" si="94"/>
        <v>0</v>
      </c>
      <c r="AE275">
        <f t="shared" si="95"/>
        <v>0</v>
      </c>
      <c r="AF275">
        <f t="shared" si="96"/>
        <v>0</v>
      </c>
      <c r="AG275">
        <v>274</v>
      </c>
      <c r="AH275">
        <f t="shared" si="104"/>
        <v>0</v>
      </c>
      <c r="AI275">
        <f>IF(AG275&gt;='Loan Prepayment'!$E$11,'Loan Prepayment'!$E$12,'Loan Prepayment'!$B$6)</f>
        <v>6.5</v>
      </c>
      <c r="AJ275">
        <f>IF(AH275&lt;=0,0,MIN(IF(AG275='Loan Prepayment'!$E$11,IF('Loan Prepayment'!$E$13="Keep tenure, recalculate EMI",-PMT(AI275/1200,MAX(1,'Loan Prepayment'!$B$7*12-AG275+1),AH275),IF(AND('Loan Prepayment'!$E$15="Reduce EMI",AM274&gt;0),-PMT(AI274/1200,MAX(1,'Loan Prepayment'!$B$7*12-AG275+1),AH275),AJ274)),IF(AND('Loan Prepayment'!$E$15="Reduce EMI",AM274&gt;0),-PMT(AI275/1200,MAX(1,'Loan Prepayment'!$B$7*12-AG275+1),AH275),AJ274)),AH275+AK275))</f>
        <v>0</v>
      </c>
      <c r="AK275">
        <f t="shared" si="97"/>
        <v>0</v>
      </c>
      <c r="AL275">
        <f t="shared" si="98"/>
        <v>0</v>
      </c>
      <c r="AM275">
        <f>IF(AH275&lt;=0,0,MIN(MAX(0,AH275-AL275),SUMIFS('Loan Prepayment'!$B$12:$B$31,'Loan Prepayment'!$A$12:$A$31,AG275)+IF(AND(AG275&gt;='Loan Prepayment'!$B$9,AG275&lt;='Loan Prepayment'!$E$16),'Loan Prepayment'!$B$8,0)))</f>
        <v>0</v>
      </c>
      <c r="AN275">
        <f t="shared" si="99"/>
        <v>0</v>
      </c>
    </row>
    <row r="276" spans="1:40" x14ac:dyDescent="0.35">
      <c r="A276">
        <v>275</v>
      </c>
      <c r="B276">
        <f t="shared" si="100"/>
        <v>0</v>
      </c>
      <c r="C276" s="64">
        <f>'Loan Prepayment'!$B$6</f>
        <v>7.5</v>
      </c>
      <c r="D276">
        <f>IF(B276&lt;=0,0,MIN(-PMT('Loan Prepayment'!$B$6/1200,'Loan Prepayment'!$B$7*12,'Loan Prepayment'!$B$5),B276+E276))</f>
        <v>0</v>
      </c>
      <c r="E276">
        <f t="shared" si="84"/>
        <v>0</v>
      </c>
      <c r="F276">
        <f t="shared" si="85"/>
        <v>0</v>
      </c>
      <c r="G276">
        <v>0</v>
      </c>
      <c r="H276">
        <f t="shared" si="86"/>
        <v>0</v>
      </c>
      <c r="I276">
        <v>275</v>
      </c>
      <c r="J276">
        <f t="shared" si="101"/>
        <v>0</v>
      </c>
      <c r="K276" s="64">
        <f>'Loan Prepayment'!$B$6</f>
        <v>7.5</v>
      </c>
      <c r="L276">
        <f>IF(J276&lt;=0,0,MIN(IF(AND('Loan Prepayment'!$E$15="Reduce EMI",O275&gt;0),-PMT(K276/1200,MAX(1,'Loan Prepayment'!$B$7*12-I276+1),J276),L275),J276+M276))</f>
        <v>0</v>
      </c>
      <c r="M276">
        <f t="shared" si="87"/>
        <v>0</v>
      </c>
      <c r="N276">
        <f t="shared" si="88"/>
        <v>0</v>
      </c>
      <c r="O276">
        <f>IF(J276&lt;=0,0,MIN(MAX(0,J276-N276),SUMIFS('Loan Prepayment'!$B$12:$B$31,'Loan Prepayment'!$A$12:$A$31,I276)+0))</f>
        <v>0</v>
      </c>
      <c r="P276">
        <f t="shared" si="89"/>
        <v>0</v>
      </c>
      <c r="Q276">
        <v>275</v>
      </c>
      <c r="R276">
        <f t="shared" si="102"/>
        <v>0</v>
      </c>
      <c r="S276" s="64">
        <f>'Loan Prepayment'!$B$6</f>
        <v>7.5</v>
      </c>
      <c r="T276">
        <f>IF(R276&lt;=0,0,MIN(IF(AND('Loan Prepayment'!$E$15="Reduce EMI",W275&gt;0),-PMT(S276/1200,MAX(1,'Loan Prepayment'!$B$7*12-Q276+1),R276),T275),R276+U276))</f>
        <v>0</v>
      </c>
      <c r="U276">
        <f t="shared" si="90"/>
        <v>0</v>
      </c>
      <c r="V276">
        <f t="shared" si="91"/>
        <v>0</v>
      </c>
      <c r="W276">
        <f>IF(R276&lt;=0,0,MIN(MAX(0,R276-V276),0+IF(AND(Q276&gt;='Loan Prepayment'!$B$9,Q276&lt;='Loan Prepayment'!$E$16),'Loan Prepayment'!$B$8,0)))</f>
        <v>0</v>
      </c>
      <c r="X276">
        <f t="shared" si="92"/>
        <v>0</v>
      </c>
      <c r="Y276">
        <v>275</v>
      </c>
      <c r="Z276">
        <f t="shared" si="103"/>
        <v>0</v>
      </c>
      <c r="AA276">
        <f>IF(Y276&gt;='Loan Prepayment'!$E$11,'Loan Prepayment'!$E$12,'Loan Prepayment'!$B$6)</f>
        <v>6.5</v>
      </c>
      <c r="AB276">
        <f>IF(Z276&lt;=0,0,MIN(IF(Y276='Loan Prepayment'!$E$11,IF('Loan Prepayment'!$E$13="Keep tenure, recalculate EMI",-PMT(AA276/1200,MAX(1,'Loan Prepayment'!$B$7*12-Y276+1),Z276),AB275),AB275),Z276+AC276))</f>
        <v>0</v>
      </c>
      <c r="AC276">
        <f t="shared" si="93"/>
        <v>0</v>
      </c>
      <c r="AD276">
        <f t="shared" si="94"/>
        <v>0</v>
      </c>
      <c r="AE276">
        <f t="shared" si="95"/>
        <v>0</v>
      </c>
      <c r="AF276">
        <f t="shared" si="96"/>
        <v>0</v>
      </c>
      <c r="AG276">
        <v>275</v>
      </c>
      <c r="AH276">
        <f t="shared" si="104"/>
        <v>0</v>
      </c>
      <c r="AI276">
        <f>IF(AG276&gt;='Loan Prepayment'!$E$11,'Loan Prepayment'!$E$12,'Loan Prepayment'!$B$6)</f>
        <v>6.5</v>
      </c>
      <c r="AJ276">
        <f>IF(AH276&lt;=0,0,MIN(IF(AG276='Loan Prepayment'!$E$11,IF('Loan Prepayment'!$E$13="Keep tenure, recalculate EMI",-PMT(AI276/1200,MAX(1,'Loan Prepayment'!$B$7*12-AG276+1),AH276),IF(AND('Loan Prepayment'!$E$15="Reduce EMI",AM275&gt;0),-PMT(AI275/1200,MAX(1,'Loan Prepayment'!$B$7*12-AG276+1),AH276),AJ275)),IF(AND('Loan Prepayment'!$E$15="Reduce EMI",AM275&gt;0),-PMT(AI276/1200,MAX(1,'Loan Prepayment'!$B$7*12-AG276+1),AH276),AJ275)),AH276+AK276))</f>
        <v>0</v>
      </c>
      <c r="AK276">
        <f t="shared" si="97"/>
        <v>0</v>
      </c>
      <c r="AL276">
        <f t="shared" si="98"/>
        <v>0</v>
      </c>
      <c r="AM276">
        <f>IF(AH276&lt;=0,0,MIN(MAX(0,AH276-AL276),SUMIFS('Loan Prepayment'!$B$12:$B$31,'Loan Prepayment'!$A$12:$A$31,AG276)+IF(AND(AG276&gt;='Loan Prepayment'!$B$9,AG276&lt;='Loan Prepayment'!$E$16),'Loan Prepayment'!$B$8,0)))</f>
        <v>0</v>
      </c>
      <c r="AN276">
        <f t="shared" si="99"/>
        <v>0</v>
      </c>
    </row>
    <row r="277" spans="1:40" x14ac:dyDescent="0.35">
      <c r="A277">
        <v>276</v>
      </c>
      <c r="B277">
        <f t="shared" si="100"/>
        <v>0</v>
      </c>
      <c r="C277" s="64">
        <f>'Loan Prepayment'!$B$6</f>
        <v>7.5</v>
      </c>
      <c r="D277">
        <f>IF(B277&lt;=0,0,MIN(-PMT('Loan Prepayment'!$B$6/1200,'Loan Prepayment'!$B$7*12,'Loan Prepayment'!$B$5),B277+E277))</f>
        <v>0</v>
      </c>
      <c r="E277">
        <f t="shared" si="84"/>
        <v>0</v>
      </c>
      <c r="F277">
        <f t="shared" si="85"/>
        <v>0</v>
      </c>
      <c r="G277">
        <v>0</v>
      </c>
      <c r="H277">
        <f t="shared" si="86"/>
        <v>0</v>
      </c>
      <c r="I277">
        <v>276</v>
      </c>
      <c r="J277">
        <f t="shared" si="101"/>
        <v>0</v>
      </c>
      <c r="K277" s="64">
        <f>'Loan Prepayment'!$B$6</f>
        <v>7.5</v>
      </c>
      <c r="L277">
        <f>IF(J277&lt;=0,0,MIN(IF(AND('Loan Prepayment'!$E$15="Reduce EMI",O276&gt;0),-PMT(K277/1200,MAX(1,'Loan Prepayment'!$B$7*12-I277+1),J277),L276),J277+M277))</f>
        <v>0</v>
      </c>
      <c r="M277">
        <f t="shared" si="87"/>
        <v>0</v>
      </c>
      <c r="N277">
        <f t="shared" si="88"/>
        <v>0</v>
      </c>
      <c r="O277">
        <f>IF(J277&lt;=0,0,MIN(MAX(0,J277-N277),SUMIFS('Loan Prepayment'!$B$12:$B$31,'Loan Prepayment'!$A$12:$A$31,I277)+0))</f>
        <v>0</v>
      </c>
      <c r="P277">
        <f t="shared" si="89"/>
        <v>0</v>
      </c>
      <c r="Q277">
        <v>276</v>
      </c>
      <c r="R277">
        <f t="shared" si="102"/>
        <v>0</v>
      </c>
      <c r="S277" s="64">
        <f>'Loan Prepayment'!$B$6</f>
        <v>7.5</v>
      </c>
      <c r="T277">
        <f>IF(R277&lt;=0,0,MIN(IF(AND('Loan Prepayment'!$E$15="Reduce EMI",W276&gt;0),-PMT(S277/1200,MAX(1,'Loan Prepayment'!$B$7*12-Q277+1),R277),T276),R277+U277))</f>
        <v>0</v>
      </c>
      <c r="U277">
        <f t="shared" si="90"/>
        <v>0</v>
      </c>
      <c r="V277">
        <f t="shared" si="91"/>
        <v>0</v>
      </c>
      <c r="W277">
        <f>IF(R277&lt;=0,0,MIN(MAX(0,R277-V277),0+IF(AND(Q277&gt;='Loan Prepayment'!$B$9,Q277&lt;='Loan Prepayment'!$E$16),'Loan Prepayment'!$B$8,0)))</f>
        <v>0</v>
      </c>
      <c r="X277">
        <f t="shared" si="92"/>
        <v>0</v>
      </c>
      <c r="Y277">
        <v>276</v>
      </c>
      <c r="Z277">
        <f t="shared" si="103"/>
        <v>0</v>
      </c>
      <c r="AA277">
        <f>IF(Y277&gt;='Loan Prepayment'!$E$11,'Loan Prepayment'!$E$12,'Loan Prepayment'!$B$6)</f>
        <v>6.5</v>
      </c>
      <c r="AB277">
        <f>IF(Z277&lt;=0,0,MIN(IF(Y277='Loan Prepayment'!$E$11,IF('Loan Prepayment'!$E$13="Keep tenure, recalculate EMI",-PMT(AA277/1200,MAX(1,'Loan Prepayment'!$B$7*12-Y277+1),Z277),AB276),AB276),Z277+AC277))</f>
        <v>0</v>
      </c>
      <c r="AC277">
        <f t="shared" si="93"/>
        <v>0</v>
      </c>
      <c r="AD277">
        <f t="shared" si="94"/>
        <v>0</v>
      </c>
      <c r="AE277">
        <f t="shared" si="95"/>
        <v>0</v>
      </c>
      <c r="AF277">
        <f t="shared" si="96"/>
        <v>0</v>
      </c>
      <c r="AG277">
        <v>276</v>
      </c>
      <c r="AH277">
        <f t="shared" si="104"/>
        <v>0</v>
      </c>
      <c r="AI277">
        <f>IF(AG277&gt;='Loan Prepayment'!$E$11,'Loan Prepayment'!$E$12,'Loan Prepayment'!$B$6)</f>
        <v>6.5</v>
      </c>
      <c r="AJ277">
        <f>IF(AH277&lt;=0,0,MIN(IF(AG277='Loan Prepayment'!$E$11,IF('Loan Prepayment'!$E$13="Keep tenure, recalculate EMI",-PMT(AI277/1200,MAX(1,'Loan Prepayment'!$B$7*12-AG277+1),AH277),IF(AND('Loan Prepayment'!$E$15="Reduce EMI",AM276&gt;0),-PMT(AI276/1200,MAX(1,'Loan Prepayment'!$B$7*12-AG277+1),AH277),AJ276)),IF(AND('Loan Prepayment'!$E$15="Reduce EMI",AM276&gt;0),-PMT(AI277/1200,MAX(1,'Loan Prepayment'!$B$7*12-AG277+1),AH277),AJ276)),AH277+AK277))</f>
        <v>0</v>
      </c>
      <c r="AK277">
        <f t="shared" si="97"/>
        <v>0</v>
      </c>
      <c r="AL277">
        <f t="shared" si="98"/>
        <v>0</v>
      </c>
      <c r="AM277">
        <f>IF(AH277&lt;=0,0,MIN(MAX(0,AH277-AL277),SUMIFS('Loan Prepayment'!$B$12:$B$31,'Loan Prepayment'!$A$12:$A$31,AG277)+IF(AND(AG277&gt;='Loan Prepayment'!$B$9,AG277&lt;='Loan Prepayment'!$E$16),'Loan Prepayment'!$B$8,0)))</f>
        <v>0</v>
      </c>
      <c r="AN277">
        <f t="shared" si="99"/>
        <v>0</v>
      </c>
    </row>
    <row r="278" spans="1:40" x14ac:dyDescent="0.35">
      <c r="A278">
        <v>277</v>
      </c>
      <c r="B278">
        <f t="shared" si="100"/>
        <v>0</v>
      </c>
      <c r="C278" s="64">
        <f>'Loan Prepayment'!$B$6</f>
        <v>7.5</v>
      </c>
      <c r="D278">
        <f>IF(B278&lt;=0,0,MIN(-PMT('Loan Prepayment'!$B$6/1200,'Loan Prepayment'!$B$7*12,'Loan Prepayment'!$B$5),B278+E278))</f>
        <v>0</v>
      </c>
      <c r="E278">
        <f t="shared" si="84"/>
        <v>0</v>
      </c>
      <c r="F278">
        <f t="shared" si="85"/>
        <v>0</v>
      </c>
      <c r="G278">
        <v>0</v>
      </c>
      <c r="H278">
        <f t="shared" si="86"/>
        <v>0</v>
      </c>
      <c r="I278">
        <v>277</v>
      </c>
      <c r="J278">
        <f t="shared" si="101"/>
        <v>0</v>
      </c>
      <c r="K278" s="64">
        <f>'Loan Prepayment'!$B$6</f>
        <v>7.5</v>
      </c>
      <c r="L278">
        <f>IF(J278&lt;=0,0,MIN(IF(AND('Loan Prepayment'!$E$15="Reduce EMI",O277&gt;0),-PMT(K278/1200,MAX(1,'Loan Prepayment'!$B$7*12-I278+1),J278),L277),J278+M278))</f>
        <v>0</v>
      </c>
      <c r="M278">
        <f t="shared" si="87"/>
        <v>0</v>
      </c>
      <c r="N278">
        <f t="shared" si="88"/>
        <v>0</v>
      </c>
      <c r="O278">
        <f>IF(J278&lt;=0,0,MIN(MAX(0,J278-N278),SUMIFS('Loan Prepayment'!$B$12:$B$31,'Loan Prepayment'!$A$12:$A$31,I278)+0))</f>
        <v>0</v>
      </c>
      <c r="P278">
        <f t="shared" si="89"/>
        <v>0</v>
      </c>
      <c r="Q278">
        <v>277</v>
      </c>
      <c r="R278">
        <f t="shared" si="102"/>
        <v>0</v>
      </c>
      <c r="S278" s="64">
        <f>'Loan Prepayment'!$B$6</f>
        <v>7.5</v>
      </c>
      <c r="T278">
        <f>IF(R278&lt;=0,0,MIN(IF(AND('Loan Prepayment'!$E$15="Reduce EMI",W277&gt;0),-PMT(S278/1200,MAX(1,'Loan Prepayment'!$B$7*12-Q278+1),R278),T277),R278+U278))</f>
        <v>0</v>
      </c>
      <c r="U278">
        <f t="shared" si="90"/>
        <v>0</v>
      </c>
      <c r="V278">
        <f t="shared" si="91"/>
        <v>0</v>
      </c>
      <c r="W278">
        <f>IF(R278&lt;=0,0,MIN(MAX(0,R278-V278),0+IF(AND(Q278&gt;='Loan Prepayment'!$B$9,Q278&lt;='Loan Prepayment'!$E$16),'Loan Prepayment'!$B$8,0)))</f>
        <v>0</v>
      </c>
      <c r="X278">
        <f t="shared" si="92"/>
        <v>0</v>
      </c>
      <c r="Y278">
        <v>277</v>
      </c>
      <c r="Z278">
        <f t="shared" si="103"/>
        <v>0</v>
      </c>
      <c r="AA278">
        <f>IF(Y278&gt;='Loan Prepayment'!$E$11,'Loan Prepayment'!$E$12,'Loan Prepayment'!$B$6)</f>
        <v>6.5</v>
      </c>
      <c r="AB278">
        <f>IF(Z278&lt;=0,0,MIN(IF(Y278='Loan Prepayment'!$E$11,IF('Loan Prepayment'!$E$13="Keep tenure, recalculate EMI",-PMT(AA278/1200,MAX(1,'Loan Prepayment'!$B$7*12-Y278+1),Z278),AB277),AB277),Z278+AC278))</f>
        <v>0</v>
      </c>
      <c r="AC278">
        <f t="shared" si="93"/>
        <v>0</v>
      </c>
      <c r="AD278">
        <f t="shared" si="94"/>
        <v>0</v>
      </c>
      <c r="AE278">
        <f t="shared" si="95"/>
        <v>0</v>
      </c>
      <c r="AF278">
        <f t="shared" si="96"/>
        <v>0</v>
      </c>
      <c r="AG278">
        <v>277</v>
      </c>
      <c r="AH278">
        <f t="shared" si="104"/>
        <v>0</v>
      </c>
      <c r="AI278">
        <f>IF(AG278&gt;='Loan Prepayment'!$E$11,'Loan Prepayment'!$E$12,'Loan Prepayment'!$B$6)</f>
        <v>6.5</v>
      </c>
      <c r="AJ278">
        <f>IF(AH278&lt;=0,0,MIN(IF(AG278='Loan Prepayment'!$E$11,IF('Loan Prepayment'!$E$13="Keep tenure, recalculate EMI",-PMT(AI278/1200,MAX(1,'Loan Prepayment'!$B$7*12-AG278+1),AH278),IF(AND('Loan Prepayment'!$E$15="Reduce EMI",AM277&gt;0),-PMT(AI277/1200,MAX(1,'Loan Prepayment'!$B$7*12-AG278+1),AH278),AJ277)),IF(AND('Loan Prepayment'!$E$15="Reduce EMI",AM277&gt;0),-PMT(AI278/1200,MAX(1,'Loan Prepayment'!$B$7*12-AG278+1),AH278),AJ277)),AH278+AK278))</f>
        <v>0</v>
      </c>
      <c r="AK278">
        <f t="shared" si="97"/>
        <v>0</v>
      </c>
      <c r="AL278">
        <f t="shared" si="98"/>
        <v>0</v>
      </c>
      <c r="AM278">
        <f>IF(AH278&lt;=0,0,MIN(MAX(0,AH278-AL278),SUMIFS('Loan Prepayment'!$B$12:$B$31,'Loan Prepayment'!$A$12:$A$31,AG278)+IF(AND(AG278&gt;='Loan Prepayment'!$B$9,AG278&lt;='Loan Prepayment'!$E$16),'Loan Prepayment'!$B$8,0)))</f>
        <v>0</v>
      </c>
      <c r="AN278">
        <f t="shared" si="99"/>
        <v>0</v>
      </c>
    </row>
    <row r="279" spans="1:40" x14ac:dyDescent="0.35">
      <c r="A279">
        <v>278</v>
      </c>
      <c r="B279">
        <f t="shared" si="100"/>
        <v>0</v>
      </c>
      <c r="C279" s="64">
        <f>'Loan Prepayment'!$B$6</f>
        <v>7.5</v>
      </c>
      <c r="D279">
        <f>IF(B279&lt;=0,0,MIN(-PMT('Loan Prepayment'!$B$6/1200,'Loan Prepayment'!$B$7*12,'Loan Prepayment'!$B$5),B279+E279))</f>
        <v>0</v>
      </c>
      <c r="E279">
        <f t="shared" si="84"/>
        <v>0</v>
      </c>
      <c r="F279">
        <f t="shared" si="85"/>
        <v>0</v>
      </c>
      <c r="G279">
        <v>0</v>
      </c>
      <c r="H279">
        <f t="shared" si="86"/>
        <v>0</v>
      </c>
      <c r="I279">
        <v>278</v>
      </c>
      <c r="J279">
        <f t="shared" si="101"/>
        <v>0</v>
      </c>
      <c r="K279" s="64">
        <f>'Loan Prepayment'!$B$6</f>
        <v>7.5</v>
      </c>
      <c r="L279">
        <f>IF(J279&lt;=0,0,MIN(IF(AND('Loan Prepayment'!$E$15="Reduce EMI",O278&gt;0),-PMT(K279/1200,MAX(1,'Loan Prepayment'!$B$7*12-I279+1),J279),L278),J279+M279))</f>
        <v>0</v>
      </c>
      <c r="M279">
        <f t="shared" si="87"/>
        <v>0</v>
      </c>
      <c r="N279">
        <f t="shared" si="88"/>
        <v>0</v>
      </c>
      <c r="O279">
        <f>IF(J279&lt;=0,0,MIN(MAX(0,J279-N279),SUMIFS('Loan Prepayment'!$B$12:$B$31,'Loan Prepayment'!$A$12:$A$31,I279)+0))</f>
        <v>0</v>
      </c>
      <c r="P279">
        <f t="shared" si="89"/>
        <v>0</v>
      </c>
      <c r="Q279">
        <v>278</v>
      </c>
      <c r="R279">
        <f t="shared" si="102"/>
        <v>0</v>
      </c>
      <c r="S279" s="64">
        <f>'Loan Prepayment'!$B$6</f>
        <v>7.5</v>
      </c>
      <c r="T279">
        <f>IF(R279&lt;=0,0,MIN(IF(AND('Loan Prepayment'!$E$15="Reduce EMI",W278&gt;0),-PMT(S279/1200,MAX(1,'Loan Prepayment'!$B$7*12-Q279+1),R279),T278),R279+U279))</f>
        <v>0</v>
      </c>
      <c r="U279">
        <f t="shared" si="90"/>
        <v>0</v>
      </c>
      <c r="V279">
        <f t="shared" si="91"/>
        <v>0</v>
      </c>
      <c r="W279">
        <f>IF(R279&lt;=0,0,MIN(MAX(0,R279-V279),0+IF(AND(Q279&gt;='Loan Prepayment'!$B$9,Q279&lt;='Loan Prepayment'!$E$16),'Loan Prepayment'!$B$8,0)))</f>
        <v>0</v>
      </c>
      <c r="X279">
        <f t="shared" si="92"/>
        <v>0</v>
      </c>
      <c r="Y279">
        <v>278</v>
      </c>
      <c r="Z279">
        <f t="shared" si="103"/>
        <v>0</v>
      </c>
      <c r="AA279">
        <f>IF(Y279&gt;='Loan Prepayment'!$E$11,'Loan Prepayment'!$E$12,'Loan Prepayment'!$B$6)</f>
        <v>6.5</v>
      </c>
      <c r="AB279">
        <f>IF(Z279&lt;=0,0,MIN(IF(Y279='Loan Prepayment'!$E$11,IF('Loan Prepayment'!$E$13="Keep tenure, recalculate EMI",-PMT(AA279/1200,MAX(1,'Loan Prepayment'!$B$7*12-Y279+1),Z279),AB278),AB278),Z279+AC279))</f>
        <v>0</v>
      </c>
      <c r="AC279">
        <f t="shared" si="93"/>
        <v>0</v>
      </c>
      <c r="AD279">
        <f t="shared" si="94"/>
        <v>0</v>
      </c>
      <c r="AE279">
        <f t="shared" si="95"/>
        <v>0</v>
      </c>
      <c r="AF279">
        <f t="shared" si="96"/>
        <v>0</v>
      </c>
      <c r="AG279">
        <v>278</v>
      </c>
      <c r="AH279">
        <f t="shared" si="104"/>
        <v>0</v>
      </c>
      <c r="AI279">
        <f>IF(AG279&gt;='Loan Prepayment'!$E$11,'Loan Prepayment'!$E$12,'Loan Prepayment'!$B$6)</f>
        <v>6.5</v>
      </c>
      <c r="AJ279">
        <f>IF(AH279&lt;=0,0,MIN(IF(AG279='Loan Prepayment'!$E$11,IF('Loan Prepayment'!$E$13="Keep tenure, recalculate EMI",-PMT(AI279/1200,MAX(1,'Loan Prepayment'!$B$7*12-AG279+1),AH279),IF(AND('Loan Prepayment'!$E$15="Reduce EMI",AM278&gt;0),-PMT(AI278/1200,MAX(1,'Loan Prepayment'!$B$7*12-AG279+1),AH279),AJ278)),IF(AND('Loan Prepayment'!$E$15="Reduce EMI",AM278&gt;0),-PMT(AI279/1200,MAX(1,'Loan Prepayment'!$B$7*12-AG279+1),AH279),AJ278)),AH279+AK279))</f>
        <v>0</v>
      </c>
      <c r="AK279">
        <f t="shared" si="97"/>
        <v>0</v>
      </c>
      <c r="AL279">
        <f t="shared" si="98"/>
        <v>0</v>
      </c>
      <c r="AM279">
        <f>IF(AH279&lt;=0,0,MIN(MAX(0,AH279-AL279),SUMIFS('Loan Prepayment'!$B$12:$B$31,'Loan Prepayment'!$A$12:$A$31,AG279)+IF(AND(AG279&gt;='Loan Prepayment'!$B$9,AG279&lt;='Loan Prepayment'!$E$16),'Loan Prepayment'!$B$8,0)))</f>
        <v>0</v>
      </c>
      <c r="AN279">
        <f t="shared" si="99"/>
        <v>0</v>
      </c>
    </row>
    <row r="280" spans="1:40" x14ac:dyDescent="0.35">
      <c r="A280">
        <v>279</v>
      </c>
      <c r="B280">
        <f t="shared" si="100"/>
        <v>0</v>
      </c>
      <c r="C280" s="64">
        <f>'Loan Prepayment'!$B$6</f>
        <v>7.5</v>
      </c>
      <c r="D280">
        <f>IF(B280&lt;=0,0,MIN(-PMT('Loan Prepayment'!$B$6/1200,'Loan Prepayment'!$B$7*12,'Loan Prepayment'!$B$5),B280+E280))</f>
        <v>0</v>
      </c>
      <c r="E280">
        <f t="shared" si="84"/>
        <v>0</v>
      </c>
      <c r="F280">
        <f t="shared" si="85"/>
        <v>0</v>
      </c>
      <c r="G280">
        <v>0</v>
      </c>
      <c r="H280">
        <f t="shared" si="86"/>
        <v>0</v>
      </c>
      <c r="I280">
        <v>279</v>
      </c>
      <c r="J280">
        <f t="shared" si="101"/>
        <v>0</v>
      </c>
      <c r="K280" s="64">
        <f>'Loan Prepayment'!$B$6</f>
        <v>7.5</v>
      </c>
      <c r="L280">
        <f>IF(J280&lt;=0,0,MIN(IF(AND('Loan Prepayment'!$E$15="Reduce EMI",O279&gt;0),-PMT(K280/1200,MAX(1,'Loan Prepayment'!$B$7*12-I280+1),J280),L279),J280+M280))</f>
        <v>0</v>
      </c>
      <c r="M280">
        <f t="shared" si="87"/>
        <v>0</v>
      </c>
      <c r="N280">
        <f t="shared" si="88"/>
        <v>0</v>
      </c>
      <c r="O280">
        <f>IF(J280&lt;=0,0,MIN(MAX(0,J280-N280),SUMIFS('Loan Prepayment'!$B$12:$B$31,'Loan Prepayment'!$A$12:$A$31,I280)+0))</f>
        <v>0</v>
      </c>
      <c r="P280">
        <f t="shared" si="89"/>
        <v>0</v>
      </c>
      <c r="Q280">
        <v>279</v>
      </c>
      <c r="R280">
        <f t="shared" si="102"/>
        <v>0</v>
      </c>
      <c r="S280" s="64">
        <f>'Loan Prepayment'!$B$6</f>
        <v>7.5</v>
      </c>
      <c r="T280">
        <f>IF(R280&lt;=0,0,MIN(IF(AND('Loan Prepayment'!$E$15="Reduce EMI",W279&gt;0),-PMT(S280/1200,MAX(1,'Loan Prepayment'!$B$7*12-Q280+1),R280),T279),R280+U280))</f>
        <v>0</v>
      </c>
      <c r="U280">
        <f t="shared" si="90"/>
        <v>0</v>
      </c>
      <c r="V280">
        <f t="shared" si="91"/>
        <v>0</v>
      </c>
      <c r="W280">
        <f>IF(R280&lt;=0,0,MIN(MAX(0,R280-V280),0+IF(AND(Q280&gt;='Loan Prepayment'!$B$9,Q280&lt;='Loan Prepayment'!$E$16),'Loan Prepayment'!$B$8,0)))</f>
        <v>0</v>
      </c>
      <c r="X280">
        <f t="shared" si="92"/>
        <v>0</v>
      </c>
      <c r="Y280">
        <v>279</v>
      </c>
      <c r="Z280">
        <f t="shared" si="103"/>
        <v>0</v>
      </c>
      <c r="AA280">
        <f>IF(Y280&gt;='Loan Prepayment'!$E$11,'Loan Prepayment'!$E$12,'Loan Prepayment'!$B$6)</f>
        <v>6.5</v>
      </c>
      <c r="AB280">
        <f>IF(Z280&lt;=0,0,MIN(IF(Y280='Loan Prepayment'!$E$11,IF('Loan Prepayment'!$E$13="Keep tenure, recalculate EMI",-PMT(AA280/1200,MAX(1,'Loan Prepayment'!$B$7*12-Y280+1),Z280),AB279),AB279),Z280+AC280))</f>
        <v>0</v>
      </c>
      <c r="AC280">
        <f t="shared" si="93"/>
        <v>0</v>
      </c>
      <c r="AD280">
        <f t="shared" si="94"/>
        <v>0</v>
      </c>
      <c r="AE280">
        <f t="shared" si="95"/>
        <v>0</v>
      </c>
      <c r="AF280">
        <f t="shared" si="96"/>
        <v>0</v>
      </c>
      <c r="AG280">
        <v>279</v>
      </c>
      <c r="AH280">
        <f t="shared" si="104"/>
        <v>0</v>
      </c>
      <c r="AI280">
        <f>IF(AG280&gt;='Loan Prepayment'!$E$11,'Loan Prepayment'!$E$12,'Loan Prepayment'!$B$6)</f>
        <v>6.5</v>
      </c>
      <c r="AJ280">
        <f>IF(AH280&lt;=0,0,MIN(IF(AG280='Loan Prepayment'!$E$11,IF('Loan Prepayment'!$E$13="Keep tenure, recalculate EMI",-PMT(AI280/1200,MAX(1,'Loan Prepayment'!$B$7*12-AG280+1),AH280),IF(AND('Loan Prepayment'!$E$15="Reduce EMI",AM279&gt;0),-PMT(AI279/1200,MAX(1,'Loan Prepayment'!$B$7*12-AG280+1),AH280),AJ279)),IF(AND('Loan Prepayment'!$E$15="Reduce EMI",AM279&gt;0),-PMT(AI280/1200,MAX(1,'Loan Prepayment'!$B$7*12-AG280+1),AH280),AJ279)),AH280+AK280))</f>
        <v>0</v>
      </c>
      <c r="AK280">
        <f t="shared" si="97"/>
        <v>0</v>
      </c>
      <c r="AL280">
        <f t="shared" si="98"/>
        <v>0</v>
      </c>
      <c r="AM280">
        <f>IF(AH280&lt;=0,0,MIN(MAX(0,AH280-AL280),SUMIFS('Loan Prepayment'!$B$12:$B$31,'Loan Prepayment'!$A$12:$A$31,AG280)+IF(AND(AG280&gt;='Loan Prepayment'!$B$9,AG280&lt;='Loan Prepayment'!$E$16),'Loan Prepayment'!$B$8,0)))</f>
        <v>0</v>
      </c>
      <c r="AN280">
        <f t="shared" si="99"/>
        <v>0</v>
      </c>
    </row>
    <row r="281" spans="1:40" x14ac:dyDescent="0.35">
      <c r="A281">
        <v>280</v>
      </c>
      <c r="B281">
        <f t="shared" si="100"/>
        <v>0</v>
      </c>
      <c r="C281" s="64">
        <f>'Loan Prepayment'!$B$6</f>
        <v>7.5</v>
      </c>
      <c r="D281">
        <f>IF(B281&lt;=0,0,MIN(-PMT('Loan Prepayment'!$B$6/1200,'Loan Prepayment'!$B$7*12,'Loan Prepayment'!$B$5),B281+E281))</f>
        <v>0</v>
      </c>
      <c r="E281">
        <f t="shared" si="84"/>
        <v>0</v>
      </c>
      <c r="F281">
        <f t="shared" si="85"/>
        <v>0</v>
      </c>
      <c r="G281">
        <v>0</v>
      </c>
      <c r="H281">
        <f t="shared" si="86"/>
        <v>0</v>
      </c>
      <c r="I281">
        <v>280</v>
      </c>
      <c r="J281">
        <f t="shared" si="101"/>
        <v>0</v>
      </c>
      <c r="K281" s="64">
        <f>'Loan Prepayment'!$B$6</f>
        <v>7.5</v>
      </c>
      <c r="L281">
        <f>IF(J281&lt;=0,0,MIN(IF(AND('Loan Prepayment'!$E$15="Reduce EMI",O280&gt;0),-PMT(K281/1200,MAX(1,'Loan Prepayment'!$B$7*12-I281+1),J281),L280),J281+M281))</f>
        <v>0</v>
      </c>
      <c r="M281">
        <f t="shared" si="87"/>
        <v>0</v>
      </c>
      <c r="N281">
        <f t="shared" si="88"/>
        <v>0</v>
      </c>
      <c r="O281">
        <f>IF(J281&lt;=0,0,MIN(MAX(0,J281-N281),SUMIFS('Loan Prepayment'!$B$12:$B$31,'Loan Prepayment'!$A$12:$A$31,I281)+0))</f>
        <v>0</v>
      </c>
      <c r="P281">
        <f t="shared" si="89"/>
        <v>0</v>
      </c>
      <c r="Q281">
        <v>280</v>
      </c>
      <c r="R281">
        <f t="shared" si="102"/>
        <v>0</v>
      </c>
      <c r="S281" s="64">
        <f>'Loan Prepayment'!$B$6</f>
        <v>7.5</v>
      </c>
      <c r="T281">
        <f>IF(R281&lt;=0,0,MIN(IF(AND('Loan Prepayment'!$E$15="Reduce EMI",W280&gt;0),-PMT(S281/1200,MAX(1,'Loan Prepayment'!$B$7*12-Q281+1),R281),T280),R281+U281))</f>
        <v>0</v>
      </c>
      <c r="U281">
        <f t="shared" si="90"/>
        <v>0</v>
      </c>
      <c r="V281">
        <f t="shared" si="91"/>
        <v>0</v>
      </c>
      <c r="W281">
        <f>IF(R281&lt;=0,0,MIN(MAX(0,R281-V281),0+IF(AND(Q281&gt;='Loan Prepayment'!$B$9,Q281&lt;='Loan Prepayment'!$E$16),'Loan Prepayment'!$B$8,0)))</f>
        <v>0</v>
      </c>
      <c r="X281">
        <f t="shared" si="92"/>
        <v>0</v>
      </c>
      <c r="Y281">
        <v>280</v>
      </c>
      <c r="Z281">
        <f t="shared" si="103"/>
        <v>0</v>
      </c>
      <c r="AA281">
        <f>IF(Y281&gt;='Loan Prepayment'!$E$11,'Loan Prepayment'!$E$12,'Loan Prepayment'!$B$6)</f>
        <v>6.5</v>
      </c>
      <c r="AB281">
        <f>IF(Z281&lt;=0,0,MIN(IF(Y281='Loan Prepayment'!$E$11,IF('Loan Prepayment'!$E$13="Keep tenure, recalculate EMI",-PMT(AA281/1200,MAX(1,'Loan Prepayment'!$B$7*12-Y281+1),Z281),AB280),AB280),Z281+AC281))</f>
        <v>0</v>
      </c>
      <c r="AC281">
        <f t="shared" si="93"/>
        <v>0</v>
      </c>
      <c r="AD281">
        <f t="shared" si="94"/>
        <v>0</v>
      </c>
      <c r="AE281">
        <f t="shared" si="95"/>
        <v>0</v>
      </c>
      <c r="AF281">
        <f t="shared" si="96"/>
        <v>0</v>
      </c>
      <c r="AG281">
        <v>280</v>
      </c>
      <c r="AH281">
        <f t="shared" si="104"/>
        <v>0</v>
      </c>
      <c r="AI281">
        <f>IF(AG281&gt;='Loan Prepayment'!$E$11,'Loan Prepayment'!$E$12,'Loan Prepayment'!$B$6)</f>
        <v>6.5</v>
      </c>
      <c r="AJ281">
        <f>IF(AH281&lt;=0,0,MIN(IF(AG281='Loan Prepayment'!$E$11,IF('Loan Prepayment'!$E$13="Keep tenure, recalculate EMI",-PMT(AI281/1200,MAX(1,'Loan Prepayment'!$B$7*12-AG281+1),AH281),IF(AND('Loan Prepayment'!$E$15="Reduce EMI",AM280&gt;0),-PMT(AI280/1200,MAX(1,'Loan Prepayment'!$B$7*12-AG281+1),AH281),AJ280)),IF(AND('Loan Prepayment'!$E$15="Reduce EMI",AM280&gt;0),-PMT(AI281/1200,MAX(1,'Loan Prepayment'!$B$7*12-AG281+1),AH281),AJ280)),AH281+AK281))</f>
        <v>0</v>
      </c>
      <c r="AK281">
        <f t="shared" si="97"/>
        <v>0</v>
      </c>
      <c r="AL281">
        <f t="shared" si="98"/>
        <v>0</v>
      </c>
      <c r="AM281">
        <f>IF(AH281&lt;=0,0,MIN(MAX(0,AH281-AL281),SUMIFS('Loan Prepayment'!$B$12:$B$31,'Loan Prepayment'!$A$12:$A$31,AG281)+IF(AND(AG281&gt;='Loan Prepayment'!$B$9,AG281&lt;='Loan Prepayment'!$E$16),'Loan Prepayment'!$B$8,0)))</f>
        <v>0</v>
      </c>
      <c r="AN281">
        <f t="shared" si="99"/>
        <v>0</v>
      </c>
    </row>
    <row r="282" spans="1:40" x14ac:dyDescent="0.35">
      <c r="A282">
        <v>281</v>
      </c>
      <c r="B282">
        <f t="shared" si="100"/>
        <v>0</v>
      </c>
      <c r="C282" s="64">
        <f>'Loan Prepayment'!$B$6</f>
        <v>7.5</v>
      </c>
      <c r="D282">
        <f>IF(B282&lt;=0,0,MIN(-PMT('Loan Prepayment'!$B$6/1200,'Loan Prepayment'!$B$7*12,'Loan Prepayment'!$B$5),B282+E282))</f>
        <v>0</v>
      </c>
      <c r="E282">
        <f t="shared" si="84"/>
        <v>0</v>
      </c>
      <c r="F282">
        <f t="shared" si="85"/>
        <v>0</v>
      </c>
      <c r="G282">
        <v>0</v>
      </c>
      <c r="H282">
        <f t="shared" si="86"/>
        <v>0</v>
      </c>
      <c r="I282">
        <v>281</v>
      </c>
      <c r="J282">
        <f t="shared" si="101"/>
        <v>0</v>
      </c>
      <c r="K282" s="64">
        <f>'Loan Prepayment'!$B$6</f>
        <v>7.5</v>
      </c>
      <c r="L282">
        <f>IF(J282&lt;=0,0,MIN(IF(AND('Loan Prepayment'!$E$15="Reduce EMI",O281&gt;0),-PMT(K282/1200,MAX(1,'Loan Prepayment'!$B$7*12-I282+1),J282),L281),J282+M282))</f>
        <v>0</v>
      </c>
      <c r="M282">
        <f t="shared" si="87"/>
        <v>0</v>
      </c>
      <c r="N282">
        <f t="shared" si="88"/>
        <v>0</v>
      </c>
      <c r="O282">
        <f>IF(J282&lt;=0,0,MIN(MAX(0,J282-N282),SUMIFS('Loan Prepayment'!$B$12:$B$31,'Loan Prepayment'!$A$12:$A$31,I282)+0))</f>
        <v>0</v>
      </c>
      <c r="P282">
        <f t="shared" si="89"/>
        <v>0</v>
      </c>
      <c r="Q282">
        <v>281</v>
      </c>
      <c r="R282">
        <f t="shared" si="102"/>
        <v>0</v>
      </c>
      <c r="S282" s="64">
        <f>'Loan Prepayment'!$B$6</f>
        <v>7.5</v>
      </c>
      <c r="T282">
        <f>IF(R282&lt;=0,0,MIN(IF(AND('Loan Prepayment'!$E$15="Reduce EMI",W281&gt;0),-PMT(S282/1200,MAX(1,'Loan Prepayment'!$B$7*12-Q282+1),R282),T281),R282+U282))</f>
        <v>0</v>
      </c>
      <c r="U282">
        <f t="shared" si="90"/>
        <v>0</v>
      </c>
      <c r="V282">
        <f t="shared" si="91"/>
        <v>0</v>
      </c>
      <c r="W282">
        <f>IF(R282&lt;=0,0,MIN(MAX(0,R282-V282),0+IF(AND(Q282&gt;='Loan Prepayment'!$B$9,Q282&lt;='Loan Prepayment'!$E$16),'Loan Prepayment'!$B$8,0)))</f>
        <v>0</v>
      </c>
      <c r="X282">
        <f t="shared" si="92"/>
        <v>0</v>
      </c>
      <c r="Y282">
        <v>281</v>
      </c>
      <c r="Z282">
        <f t="shared" si="103"/>
        <v>0</v>
      </c>
      <c r="AA282">
        <f>IF(Y282&gt;='Loan Prepayment'!$E$11,'Loan Prepayment'!$E$12,'Loan Prepayment'!$B$6)</f>
        <v>6.5</v>
      </c>
      <c r="AB282">
        <f>IF(Z282&lt;=0,0,MIN(IF(Y282='Loan Prepayment'!$E$11,IF('Loan Prepayment'!$E$13="Keep tenure, recalculate EMI",-PMT(AA282/1200,MAX(1,'Loan Prepayment'!$B$7*12-Y282+1),Z282),AB281),AB281),Z282+AC282))</f>
        <v>0</v>
      </c>
      <c r="AC282">
        <f t="shared" si="93"/>
        <v>0</v>
      </c>
      <c r="AD282">
        <f t="shared" si="94"/>
        <v>0</v>
      </c>
      <c r="AE282">
        <f t="shared" si="95"/>
        <v>0</v>
      </c>
      <c r="AF282">
        <f t="shared" si="96"/>
        <v>0</v>
      </c>
      <c r="AG282">
        <v>281</v>
      </c>
      <c r="AH282">
        <f t="shared" si="104"/>
        <v>0</v>
      </c>
      <c r="AI282">
        <f>IF(AG282&gt;='Loan Prepayment'!$E$11,'Loan Prepayment'!$E$12,'Loan Prepayment'!$B$6)</f>
        <v>6.5</v>
      </c>
      <c r="AJ282">
        <f>IF(AH282&lt;=0,0,MIN(IF(AG282='Loan Prepayment'!$E$11,IF('Loan Prepayment'!$E$13="Keep tenure, recalculate EMI",-PMT(AI282/1200,MAX(1,'Loan Prepayment'!$B$7*12-AG282+1),AH282),IF(AND('Loan Prepayment'!$E$15="Reduce EMI",AM281&gt;0),-PMT(AI281/1200,MAX(1,'Loan Prepayment'!$B$7*12-AG282+1),AH282),AJ281)),IF(AND('Loan Prepayment'!$E$15="Reduce EMI",AM281&gt;0),-PMT(AI282/1200,MAX(1,'Loan Prepayment'!$B$7*12-AG282+1),AH282),AJ281)),AH282+AK282))</f>
        <v>0</v>
      </c>
      <c r="AK282">
        <f t="shared" si="97"/>
        <v>0</v>
      </c>
      <c r="AL282">
        <f t="shared" si="98"/>
        <v>0</v>
      </c>
      <c r="AM282">
        <f>IF(AH282&lt;=0,0,MIN(MAX(0,AH282-AL282),SUMIFS('Loan Prepayment'!$B$12:$B$31,'Loan Prepayment'!$A$12:$A$31,AG282)+IF(AND(AG282&gt;='Loan Prepayment'!$B$9,AG282&lt;='Loan Prepayment'!$E$16),'Loan Prepayment'!$B$8,0)))</f>
        <v>0</v>
      </c>
      <c r="AN282">
        <f t="shared" si="99"/>
        <v>0</v>
      </c>
    </row>
    <row r="283" spans="1:40" x14ac:dyDescent="0.35">
      <c r="A283">
        <v>282</v>
      </c>
      <c r="B283">
        <f t="shared" si="100"/>
        <v>0</v>
      </c>
      <c r="C283" s="64">
        <f>'Loan Prepayment'!$B$6</f>
        <v>7.5</v>
      </c>
      <c r="D283">
        <f>IF(B283&lt;=0,0,MIN(-PMT('Loan Prepayment'!$B$6/1200,'Loan Prepayment'!$B$7*12,'Loan Prepayment'!$B$5),B283+E283))</f>
        <v>0</v>
      </c>
      <c r="E283">
        <f t="shared" si="84"/>
        <v>0</v>
      </c>
      <c r="F283">
        <f t="shared" si="85"/>
        <v>0</v>
      </c>
      <c r="G283">
        <v>0</v>
      </c>
      <c r="H283">
        <f t="shared" si="86"/>
        <v>0</v>
      </c>
      <c r="I283">
        <v>282</v>
      </c>
      <c r="J283">
        <f t="shared" si="101"/>
        <v>0</v>
      </c>
      <c r="K283" s="64">
        <f>'Loan Prepayment'!$B$6</f>
        <v>7.5</v>
      </c>
      <c r="L283">
        <f>IF(J283&lt;=0,0,MIN(IF(AND('Loan Prepayment'!$E$15="Reduce EMI",O282&gt;0),-PMT(K283/1200,MAX(1,'Loan Prepayment'!$B$7*12-I283+1),J283),L282),J283+M283))</f>
        <v>0</v>
      </c>
      <c r="M283">
        <f t="shared" si="87"/>
        <v>0</v>
      </c>
      <c r="N283">
        <f t="shared" si="88"/>
        <v>0</v>
      </c>
      <c r="O283">
        <f>IF(J283&lt;=0,0,MIN(MAX(0,J283-N283),SUMIFS('Loan Prepayment'!$B$12:$B$31,'Loan Prepayment'!$A$12:$A$31,I283)+0))</f>
        <v>0</v>
      </c>
      <c r="P283">
        <f t="shared" si="89"/>
        <v>0</v>
      </c>
      <c r="Q283">
        <v>282</v>
      </c>
      <c r="R283">
        <f t="shared" si="102"/>
        <v>0</v>
      </c>
      <c r="S283" s="64">
        <f>'Loan Prepayment'!$B$6</f>
        <v>7.5</v>
      </c>
      <c r="T283">
        <f>IF(R283&lt;=0,0,MIN(IF(AND('Loan Prepayment'!$E$15="Reduce EMI",W282&gt;0),-PMT(S283/1200,MAX(1,'Loan Prepayment'!$B$7*12-Q283+1),R283),T282),R283+U283))</f>
        <v>0</v>
      </c>
      <c r="U283">
        <f t="shared" si="90"/>
        <v>0</v>
      </c>
      <c r="V283">
        <f t="shared" si="91"/>
        <v>0</v>
      </c>
      <c r="W283">
        <f>IF(R283&lt;=0,0,MIN(MAX(0,R283-V283),0+IF(AND(Q283&gt;='Loan Prepayment'!$B$9,Q283&lt;='Loan Prepayment'!$E$16),'Loan Prepayment'!$B$8,0)))</f>
        <v>0</v>
      </c>
      <c r="X283">
        <f t="shared" si="92"/>
        <v>0</v>
      </c>
      <c r="Y283">
        <v>282</v>
      </c>
      <c r="Z283">
        <f t="shared" si="103"/>
        <v>0</v>
      </c>
      <c r="AA283">
        <f>IF(Y283&gt;='Loan Prepayment'!$E$11,'Loan Prepayment'!$E$12,'Loan Prepayment'!$B$6)</f>
        <v>6.5</v>
      </c>
      <c r="AB283">
        <f>IF(Z283&lt;=0,0,MIN(IF(Y283='Loan Prepayment'!$E$11,IF('Loan Prepayment'!$E$13="Keep tenure, recalculate EMI",-PMT(AA283/1200,MAX(1,'Loan Prepayment'!$B$7*12-Y283+1),Z283),AB282),AB282),Z283+AC283))</f>
        <v>0</v>
      </c>
      <c r="AC283">
        <f t="shared" si="93"/>
        <v>0</v>
      </c>
      <c r="AD283">
        <f t="shared" si="94"/>
        <v>0</v>
      </c>
      <c r="AE283">
        <f t="shared" si="95"/>
        <v>0</v>
      </c>
      <c r="AF283">
        <f t="shared" si="96"/>
        <v>0</v>
      </c>
      <c r="AG283">
        <v>282</v>
      </c>
      <c r="AH283">
        <f t="shared" si="104"/>
        <v>0</v>
      </c>
      <c r="AI283">
        <f>IF(AG283&gt;='Loan Prepayment'!$E$11,'Loan Prepayment'!$E$12,'Loan Prepayment'!$B$6)</f>
        <v>6.5</v>
      </c>
      <c r="AJ283">
        <f>IF(AH283&lt;=0,0,MIN(IF(AG283='Loan Prepayment'!$E$11,IF('Loan Prepayment'!$E$13="Keep tenure, recalculate EMI",-PMT(AI283/1200,MAX(1,'Loan Prepayment'!$B$7*12-AG283+1),AH283),IF(AND('Loan Prepayment'!$E$15="Reduce EMI",AM282&gt;0),-PMT(AI282/1200,MAX(1,'Loan Prepayment'!$B$7*12-AG283+1),AH283),AJ282)),IF(AND('Loan Prepayment'!$E$15="Reduce EMI",AM282&gt;0),-PMT(AI283/1200,MAX(1,'Loan Prepayment'!$B$7*12-AG283+1),AH283),AJ282)),AH283+AK283))</f>
        <v>0</v>
      </c>
      <c r="AK283">
        <f t="shared" si="97"/>
        <v>0</v>
      </c>
      <c r="AL283">
        <f t="shared" si="98"/>
        <v>0</v>
      </c>
      <c r="AM283">
        <f>IF(AH283&lt;=0,0,MIN(MAX(0,AH283-AL283),SUMIFS('Loan Prepayment'!$B$12:$B$31,'Loan Prepayment'!$A$12:$A$31,AG283)+IF(AND(AG283&gt;='Loan Prepayment'!$B$9,AG283&lt;='Loan Prepayment'!$E$16),'Loan Prepayment'!$B$8,0)))</f>
        <v>0</v>
      </c>
      <c r="AN283">
        <f t="shared" si="99"/>
        <v>0</v>
      </c>
    </row>
    <row r="284" spans="1:40" x14ac:dyDescent="0.35">
      <c r="A284">
        <v>283</v>
      </c>
      <c r="B284">
        <f t="shared" si="100"/>
        <v>0</v>
      </c>
      <c r="C284" s="64">
        <f>'Loan Prepayment'!$B$6</f>
        <v>7.5</v>
      </c>
      <c r="D284">
        <f>IF(B284&lt;=0,0,MIN(-PMT('Loan Prepayment'!$B$6/1200,'Loan Prepayment'!$B$7*12,'Loan Prepayment'!$B$5),B284+E284))</f>
        <v>0</v>
      </c>
      <c r="E284">
        <f t="shared" si="84"/>
        <v>0</v>
      </c>
      <c r="F284">
        <f t="shared" si="85"/>
        <v>0</v>
      </c>
      <c r="G284">
        <v>0</v>
      </c>
      <c r="H284">
        <f t="shared" si="86"/>
        <v>0</v>
      </c>
      <c r="I284">
        <v>283</v>
      </c>
      <c r="J284">
        <f t="shared" si="101"/>
        <v>0</v>
      </c>
      <c r="K284" s="64">
        <f>'Loan Prepayment'!$B$6</f>
        <v>7.5</v>
      </c>
      <c r="L284">
        <f>IF(J284&lt;=0,0,MIN(IF(AND('Loan Prepayment'!$E$15="Reduce EMI",O283&gt;0),-PMT(K284/1200,MAX(1,'Loan Prepayment'!$B$7*12-I284+1),J284),L283),J284+M284))</f>
        <v>0</v>
      </c>
      <c r="M284">
        <f t="shared" si="87"/>
        <v>0</v>
      </c>
      <c r="N284">
        <f t="shared" si="88"/>
        <v>0</v>
      </c>
      <c r="O284">
        <f>IF(J284&lt;=0,0,MIN(MAX(0,J284-N284),SUMIFS('Loan Prepayment'!$B$12:$B$31,'Loan Prepayment'!$A$12:$A$31,I284)+0))</f>
        <v>0</v>
      </c>
      <c r="P284">
        <f t="shared" si="89"/>
        <v>0</v>
      </c>
      <c r="Q284">
        <v>283</v>
      </c>
      <c r="R284">
        <f t="shared" si="102"/>
        <v>0</v>
      </c>
      <c r="S284" s="64">
        <f>'Loan Prepayment'!$B$6</f>
        <v>7.5</v>
      </c>
      <c r="T284">
        <f>IF(R284&lt;=0,0,MIN(IF(AND('Loan Prepayment'!$E$15="Reduce EMI",W283&gt;0),-PMT(S284/1200,MAX(1,'Loan Prepayment'!$B$7*12-Q284+1),R284),T283),R284+U284))</f>
        <v>0</v>
      </c>
      <c r="U284">
        <f t="shared" si="90"/>
        <v>0</v>
      </c>
      <c r="V284">
        <f t="shared" si="91"/>
        <v>0</v>
      </c>
      <c r="W284">
        <f>IF(R284&lt;=0,0,MIN(MAX(0,R284-V284),0+IF(AND(Q284&gt;='Loan Prepayment'!$B$9,Q284&lt;='Loan Prepayment'!$E$16),'Loan Prepayment'!$B$8,0)))</f>
        <v>0</v>
      </c>
      <c r="X284">
        <f t="shared" si="92"/>
        <v>0</v>
      </c>
      <c r="Y284">
        <v>283</v>
      </c>
      <c r="Z284">
        <f t="shared" si="103"/>
        <v>0</v>
      </c>
      <c r="AA284">
        <f>IF(Y284&gt;='Loan Prepayment'!$E$11,'Loan Prepayment'!$E$12,'Loan Prepayment'!$B$6)</f>
        <v>6.5</v>
      </c>
      <c r="AB284">
        <f>IF(Z284&lt;=0,0,MIN(IF(Y284='Loan Prepayment'!$E$11,IF('Loan Prepayment'!$E$13="Keep tenure, recalculate EMI",-PMT(AA284/1200,MAX(1,'Loan Prepayment'!$B$7*12-Y284+1),Z284),AB283),AB283),Z284+AC284))</f>
        <v>0</v>
      </c>
      <c r="AC284">
        <f t="shared" si="93"/>
        <v>0</v>
      </c>
      <c r="AD284">
        <f t="shared" si="94"/>
        <v>0</v>
      </c>
      <c r="AE284">
        <f t="shared" si="95"/>
        <v>0</v>
      </c>
      <c r="AF284">
        <f t="shared" si="96"/>
        <v>0</v>
      </c>
      <c r="AG284">
        <v>283</v>
      </c>
      <c r="AH284">
        <f t="shared" si="104"/>
        <v>0</v>
      </c>
      <c r="AI284">
        <f>IF(AG284&gt;='Loan Prepayment'!$E$11,'Loan Prepayment'!$E$12,'Loan Prepayment'!$B$6)</f>
        <v>6.5</v>
      </c>
      <c r="AJ284">
        <f>IF(AH284&lt;=0,0,MIN(IF(AG284='Loan Prepayment'!$E$11,IF('Loan Prepayment'!$E$13="Keep tenure, recalculate EMI",-PMT(AI284/1200,MAX(1,'Loan Prepayment'!$B$7*12-AG284+1),AH284),IF(AND('Loan Prepayment'!$E$15="Reduce EMI",AM283&gt;0),-PMT(AI283/1200,MAX(1,'Loan Prepayment'!$B$7*12-AG284+1),AH284),AJ283)),IF(AND('Loan Prepayment'!$E$15="Reduce EMI",AM283&gt;0),-PMT(AI284/1200,MAX(1,'Loan Prepayment'!$B$7*12-AG284+1),AH284),AJ283)),AH284+AK284))</f>
        <v>0</v>
      </c>
      <c r="AK284">
        <f t="shared" si="97"/>
        <v>0</v>
      </c>
      <c r="AL284">
        <f t="shared" si="98"/>
        <v>0</v>
      </c>
      <c r="AM284">
        <f>IF(AH284&lt;=0,0,MIN(MAX(0,AH284-AL284),SUMIFS('Loan Prepayment'!$B$12:$B$31,'Loan Prepayment'!$A$12:$A$31,AG284)+IF(AND(AG284&gt;='Loan Prepayment'!$B$9,AG284&lt;='Loan Prepayment'!$E$16),'Loan Prepayment'!$B$8,0)))</f>
        <v>0</v>
      </c>
      <c r="AN284">
        <f t="shared" si="99"/>
        <v>0</v>
      </c>
    </row>
    <row r="285" spans="1:40" x14ac:dyDescent="0.35">
      <c r="A285">
        <v>284</v>
      </c>
      <c r="B285">
        <f t="shared" si="100"/>
        <v>0</v>
      </c>
      <c r="C285" s="64">
        <f>'Loan Prepayment'!$B$6</f>
        <v>7.5</v>
      </c>
      <c r="D285">
        <f>IF(B285&lt;=0,0,MIN(-PMT('Loan Prepayment'!$B$6/1200,'Loan Prepayment'!$B$7*12,'Loan Prepayment'!$B$5),B285+E285))</f>
        <v>0</v>
      </c>
      <c r="E285">
        <f t="shared" si="84"/>
        <v>0</v>
      </c>
      <c r="F285">
        <f t="shared" si="85"/>
        <v>0</v>
      </c>
      <c r="G285">
        <v>0</v>
      </c>
      <c r="H285">
        <f t="shared" si="86"/>
        <v>0</v>
      </c>
      <c r="I285">
        <v>284</v>
      </c>
      <c r="J285">
        <f t="shared" si="101"/>
        <v>0</v>
      </c>
      <c r="K285" s="64">
        <f>'Loan Prepayment'!$B$6</f>
        <v>7.5</v>
      </c>
      <c r="L285">
        <f>IF(J285&lt;=0,0,MIN(IF(AND('Loan Prepayment'!$E$15="Reduce EMI",O284&gt;0),-PMT(K285/1200,MAX(1,'Loan Prepayment'!$B$7*12-I285+1),J285),L284),J285+M285))</f>
        <v>0</v>
      </c>
      <c r="M285">
        <f t="shared" si="87"/>
        <v>0</v>
      </c>
      <c r="N285">
        <f t="shared" si="88"/>
        <v>0</v>
      </c>
      <c r="O285">
        <f>IF(J285&lt;=0,0,MIN(MAX(0,J285-N285),SUMIFS('Loan Prepayment'!$B$12:$B$31,'Loan Prepayment'!$A$12:$A$31,I285)+0))</f>
        <v>0</v>
      </c>
      <c r="P285">
        <f t="shared" si="89"/>
        <v>0</v>
      </c>
      <c r="Q285">
        <v>284</v>
      </c>
      <c r="R285">
        <f t="shared" si="102"/>
        <v>0</v>
      </c>
      <c r="S285" s="64">
        <f>'Loan Prepayment'!$B$6</f>
        <v>7.5</v>
      </c>
      <c r="T285">
        <f>IF(R285&lt;=0,0,MIN(IF(AND('Loan Prepayment'!$E$15="Reduce EMI",W284&gt;0),-PMT(S285/1200,MAX(1,'Loan Prepayment'!$B$7*12-Q285+1),R285),T284),R285+U285))</f>
        <v>0</v>
      </c>
      <c r="U285">
        <f t="shared" si="90"/>
        <v>0</v>
      </c>
      <c r="V285">
        <f t="shared" si="91"/>
        <v>0</v>
      </c>
      <c r="W285">
        <f>IF(R285&lt;=0,0,MIN(MAX(0,R285-V285),0+IF(AND(Q285&gt;='Loan Prepayment'!$B$9,Q285&lt;='Loan Prepayment'!$E$16),'Loan Prepayment'!$B$8,0)))</f>
        <v>0</v>
      </c>
      <c r="X285">
        <f t="shared" si="92"/>
        <v>0</v>
      </c>
      <c r="Y285">
        <v>284</v>
      </c>
      <c r="Z285">
        <f t="shared" si="103"/>
        <v>0</v>
      </c>
      <c r="AA285">
        <f>IF(Y285&gt;='Loan Prepayment'!$E$11,'Loan Prepayment'!$E$12,'Loan Prepayment'!$B$6)</f>
        <v>6.5</v>
      </c>
      <c r="AB285">
        <f>IF(Z285&lt;=0,0,MIN(IF(Y285='Loan Prepayment'!$E$11,IF('Loan Prepayment'!$E$13="Keep tenure, recalculate EMI",-PMT(AA285/1200,MAX(1,'Loan Prepayment'!$B$7*12-Y285+1),Z285),AB284),AB284),Z285+AC285))</f>
        <v>0</v>
      </c>
      <c r="AC285">
        <f t="shared" si="93"/>
        <v>0</v>
      </c>
      <c r="AD285">
        <f t="shared" si="94"/>
        <v>0</v>
      </c>
      <c r="AE285">
        <f t="shared" si="95"/>
        <v>0</v>
      </c>
      <c r="AF285">
        <f t="shared" si="96"/>
        <v>0</v>
      </c>
      <c r="AG285">
        <v>284</v>
      </c>
      <c r="AH285">
        <f t="shared" si="104"/>
        <v>0</v>
      </c>
      <c r="AI285">
        <f>IF(AG285&gt;='Loan Prepayment'!$E$11,'Loan Prepayment'!$E$12,'Loan Prepayment'!$B$6)</f>
        <v>6.5</v>
      </c>
      <c r="AJ285">
        <f>IF(AH285&lt;=0,0,MIN(IF(AG285='Loan Prepayment'!$E$11,IF('Loan Prepayment'!$E$13="Keep tenure, recalculate EMI",-PMT(AI285/1200,MAX(1,'Loan Prepayment'!$B$7*12-AG285+1),AH285),IF(AND('Loan Prepayment'!$E$15="Reduce EMI",AM284&gt;0),-PMT(AI284/1200,MAX(1,'Loan Prepayment'!$B$7*12-AG285+1),AH285),AJ284)),IF(AND('Loan Prepayment'!$E$15="Reduce EMI",AM284&gt;0),-PMT(AI285/1200,MAX(1,'Loan Prepayment'!$B$7*12-AG285+1),AH285),AJ284)),AH285+AK285))</f>
        <v>0</v>
      </c>
      <c r="AK285">
        <f t="shared" si="97"/>
        <v>0</v>
      </c>
      <c r="AL285">
        <f t="shared" si="98"/>
        <v>0</v>
      </c>
      <c r="AM285">
        <f>IF(AH285&lt;=0,0,MIN(MAX(0,AH285-AL285),SUMIFS('Loan Prepayment'!$B$12:$B$31,'Loan Prepayment'!$A$12:$A$31,AG285)+IF(AND(AG285&gt;='Loan Prepayment'!$B$9,AG285&lt;='Loan Prepayment'!$E$16),'Loan Prepayment'!$B$8,0)))</f>
        <v>0</v>
      </c>
      <c r="AN285">
        <f t="shared" si="99"/>
        <v>0</v>
      </c>
    </row>
    <row r="286" spans="1:40" x14ac:dyDescent="0.35">
      <c r="A286">
        <v>285</v>
      </c>
      <c r="B286">
        <f t="shared" si="100"/>
        <v>0</v>
      </c>
      <c r="C286" s="64">
        <f>'Loan Prepayment'!$B$6</f>
        <v>7.5</v>
      </c>
      <c r="D286">
        <f>IF(B286&lt;=0,0,MIN(-PMT('Loan Prepayment'!$B$6/1200,'Loan Prepayment'!$B$7*12,'Loan Prepayment'!$B$5),B286+E286))</f>
        <v>0</v>
      </c>
      <c r="E286">
        <f t="shared" si="84"/>
        <v>0</v>
      </c>
      <c r="F286">
        <f t="shared" si="85"/>
        <v>0</v>
      </c>
      <c r="G286">
        <v>0</v>
      </c>
      <c r="H286">
        <f t="shared" si="86"/>
        <v>0</v>
      </c>
      <c r="I286">
        <v>285</v>
      </c>
      <c r="J286">
        <f t="shared" si="101"/>
        <v>0</v>
      </c>
      <c r="K286" s="64">
        <f>'Loan Prepayment'!$B$6</f>
        <v>7.5</v>
      </c>
      <c r="L286">
        <f>IF(J286&lt;=0,0,MIN(IF(AND('Loan Prepayment'!$E$15="Reduce EMI",O285&gt;0),-PMT(K286/1200,MAX(1,'Loan Prepayment'!$B$7*12-I286+1),J286),L285),J286+M286))</f>
        <v>0</v>
      </c>
      <c r="M286">
        <f t="shared" si="87"/>
        <v>0</v>
      </c>
      <c r="N286">
        <f t="shared" si="88"/>
        <v>0</v>
      </c>
      <c r="O286">
        <f>IF(J286&lt;=0,0,MIN(MAX(0,J286-N286),SUMIFS('Loan Prepayment'!$B$12:$B$31,'Loan Prepayment'!$A$12:$A$31,I286)+0))</f>
        <v>0</v>
      </c>
      <c r="P286">
        <f t="shared" si="89"/>
        <v>0</v>
      </c>
      <c r="Q286">
        <v>285</v>
      </c>
      <c r="R286">
        <f t="shared" si="102"/>
        <v>0</v>
      </c>
      <c r="S286" s="64">
        <f>'Loan Prepayment'!$B$6</f>
        <v>7.5</v>
      </c>
      <c r="T286">
        <f>IF(R286&lt;=0,0,MIN(IF(AND('Loan Prepayment'!$E$15="Reduce EMI",W285&gt;0),-PMT(S286/1200,MAX(1,'Loan Prepayment'!$B$7*12-Q286+1),R286),T285),R286+U286))</f>
        <v>0</v>
      </c>
      <c r="U286">
        <f t="shared" si="90"/>
        <v>0</v>
      </c>
      <c r="V286">
        <f t="shared" si="91"/>
        <v>0</v>
      </c>
      <c r="W286">
        <f>IF(R286&lt;=0,0,MIN(MAX(0,R286-V286),0+IF(AND(Q286&gt;='Loan Prepayment'!$B$9,Q286&lt;='Loan Prepayment'!$E$16),'Loan Prepayment'!$B$8,0)))</f>
        <v>0</v>
      </c>
      <c r="X286">
        <f t="shared" si="92"/>
        <v>0</v>
      </c>
      <c r="Y286">
        <v>285</v>
      </c>
      <c r="Z286">
        <f t="shared" si="103"/>
        <v>0</v>
      </c>
      <c r="AA286">
        <f>IF(Y286&gt;='Loan Prepayment'!$E$11,'Loan Prepayment'!$E$12,'Loan Prepayment'!$B$6)</f>
        <v>6.5</v>
      </c>
      <c r="AB286">
        <f>IF(Z286&lt;=0,0,MIN(IF(Y286='Loan Prepayment'!$E$11,IF('Loan Prepayment'!$E$13="Keep tenure, recalculate EMI",-PMT(AA286/1200,MAX(1,'Loan Prepayment'!$B$7*12-Y286+1),Z286),AB285),AB285),Z286+AC286))</f>
        <v>0</v>
      </c>
      <c r="AC286">
        <f t="shared" si="93"/>
        <v>0</v>
      </c>
      <c r="AD286">
        <f t="shared" si="94"/>
        <v>0</v>
      </c>
      <c r="AE286">
        <f t="shared" si="95"/>
        <v>0</v>
      </c>
      <c r="AF286">
        <f t="shared" si="96"/>
        <v>0</v>
      </c>
      <c r="AG286">
        <v>285</v>
      </c>
      <c r="AH286">
        <f t="shared" si="104"/>
        <v>0</v>
      </c>
      <c r="AI286">
        <f>IF(AG286&gt;='Loan Prepayment'!$E$11,'Loan Prepayment'!$E$12,'Loan Prepayment'!$B$6)</f>
        <v>6.5</v>
      </c>
      <c r="AJ286">
        <f>IF(AH286&lt;=0,0,MIN(IF(AG286='Loan Prepayment'!$E$11,IF('Loan Prepayment'!$E$13="Keep tenure, recalculate EMI",-PMT(AI286/1200,MAX(1,'Loan Prepayment'!$B$7*12-AG286+1),AH286),IF(AND('Loan Prepayment'!$E$15="Reduce EMI",AM285&gt;0),-PMT(AI285/1200,MAX(1,'Loan Prepayment'!$B$7*12-AG286+1),AH286),AJ285)),IF(AND('Loan Prepayment'!$E$15="Reduce EMI",AM285&gt;0),-PMT(AI286/1200,MAX(1,'Loan Prepayment'!$B$7*12-AG286+1),AH286),AJ285)),AH286+AK286))</f>
        <v>0</v>
      </c>
      <c r="AK286">
        <f t="shared" si="97"/>
        <v>0</v>
      </c>
      <c r="AL286">
        <f t="shared" si="98"/>
        <v>0</v>
      </c>
      <c r="AM286">
        <f>IF(AH286&lt;=0,0,MIN(MAX(0,AH286-AL286),SUMIFS('Loan Prepayment'!$B$12:$B$31,'Loan Prepayment'!$A$12:$A$31,AG286)+IF(AND(AG286&gt;='Loan Prepayment'!$B$9,AG286&lt;='Loan Prepayment'!$E$16),'Loan Prepayment'!$B$8,0)))</f>
        <v>0</v>
      </c>
      <c r="AN286">
        <f t="shared" si="99"/>
        <v>0</v>
      </c>
    </row>
    <row r="287" spans="1:40" x14ac:dyDescent="0.35">
      <c r="A287">
        <v>286</v>
      </c>
      <c r="B287">
        <f t="shared" si="100"/>
        <v>0</v>
      </c>
      <c r="C287" s="64">
        <f>'Loan Prepayment'!$B$6</f>
        <v>7.5</v>
      </c>
      <c r="D287">
        <f>IF(B287&lt;=0,0,MIN(-PMT('Loan Prepayment'!$B$6/1200,'Loan Prepayment'!$B$7*12,'Loan Prepayment'!$B$5),B287+E287))</f>
        <v>0</v>
      </c>
      <c r="E287">
        <f t="shared" si="84"/>
        <v>0</v>
      </c>
      <c r="F287">
        <f t="shared" si="85"/>
        <v>0</v>
      </c>
      <c r="G287">
        <v>0</v>
      </c>
      <c r="H287">
        <f t="shared" si="86"/>
        <v>0</v>
      </c>
      <c r="I287">
        <v>286</v>
      </c>
      <c r="J287">
        <f t="shared" si="101"/>
        <v>0</v>
      </c>
      <c r="K287" s="64">
        <f>'Loan Prepayment'!$B$6</f>
        <v>7.5</v>
      </c>
      <c r="L287">
        <f>IF(J287&lt;=0,0,MIN(IF(AND('Loan Prepayment'!$E$15="Reduce EMI",O286&gt;0),-PMT(K287/1200,MAX(1,'Loan Prepayment'!$B$7*12-I287+1),J287),L286),J287+M287))</f>
        <v>0</v>
      </c>
      <c r="M287">
        <f t="shared" si="87"/>
        <v>0</v>
      </c>
      <c r="N287">
        <f t="shared" si="88"/>
        <v>0</v>
      </c>
      <c r="O287">
        <f>IF(J287&lt;=0,0,MIN(MAX(0,J287-N287),SUMIFS('Loan Prepayment'!$B$12:$B$31,'Loan Prepayment'!$A$12:$A$31,I287)+0))</f>
        <v>0</v>
      </c>
      <c r="P287">
        <f t="shared" si="89"/>
        <v>0</v>
      </c>
      <c r="Q287">
        <v>286</v>
      </c>
      <c r="R287">
        <f t="shared" si="102"/>
        <v>0</v>
      </c>
      <c r="S287" s="64">
        <f>'Loan Prepayment'!$B$6</f>
        <v>7.5</v>
      </c>
      <c r="T287">
        <f>IF(R287&lt;=0,0,MIN(IF(AND('Loan Prepayment'!$E$15="Reduce EMI",W286&gt;0),-PMT(S287/1200,MAX(1,'Loan Prepayment'!$B$7*12-Q287+1),R287),T286),R287+U287))</f>
        <v>0</v>
      </c>
      <c r="U287">
        <f t="shared" si="90"/>
        <v>0</v>
      </c>
      <c r="V287">
        <f t="shared" si="91"/>
        <v>0</v>
      </c>
      <c r="W287">
        <f>IF(R287&lt;=0,0,MIN(MAX(0,R287-V287),0+IF(AND(Q287&gt;='Loan Prepayment'!$B$9,Q287&lt;='Loan Prepayment'!$E$16),'Loan Prepayment'!$B$8,0)))</f>
        <v>0</v>
      </c>
      <c r="X287">
        <f t="shared" si="92"/>
        <v>0</v>
      </c>
      <c r="Y287">
        <v>286</v>
      </c>
      <c r="Z287">
        <f t="shared" si="103"/>
        <v>0</v>
      </c>
      <c r="AA287">
        <f>IF(Y287&gt;='Loan Prepayment'!$E$11,'Loan Prepayment'!$E$12,'Loan Prepayment'!$B$6)</f>
        <v>6.5</v>
      </c>
      <c r="AB287">
        <f>IF(Z287&lt;=0,0,MIN(IF(Y287='Loan Prepayment'!$E$11,IF('Loan Prepayment'!$E$13="Keep tenure, recalculate EMI",-PMT(AA287/1200,MAX(1,'Loan Prepayment'!$B$7*12-Y287+1),Z287),AB286),AB286),Z287+AC287))</f>
        <v>0</v>
      </c>
      <c r="AC287">
        <f t="shared" si="93"/>
        <v>0</v>
      </c>
      <c r="AD287">
        <f t="shared" si="94"/>
        <v>0</v>
      </c>
      <c r="AE287">
        <f t="shared" si="95"/>
        <v>0</v>
      </c>
      <c r="AF287">
        <f t="shared" si="96"/>
        <v>0</v>
      </c>
      <c r="AG287">
        <v>286</v>
      </c>
      <c r="AH287">
        <f t="shared" si="104"/>
        <v>0</v>
      </c>
      <c r="AI287">
        <f>IF(AG287&gt;='Loan Prepayment'!$E$11,'Loan Prepayment'!$E$12,'Loan Prepayment'!$B$6)</f>
        <v>6.5</v>
      </c>
      <c r="AJ287">
        <f>IF(AH287&lt;=0,0,MIN(IF(AG287='Loan Prepayment'!$E$11,IF('Loan Prepayment'!$E$13="Keep tenure, recalculate EMI",-PMT(AI287/1200,MAX(1,'Loan Prepayment'!$B$7*12-AG287+1),AH287),IF(AND('Loan Prepayment'!$E$15="Reduce EMI",AM286&gt;0),-PMT(AI286/1200,MAX(1,'Loan Prepayment'!$B$7*12-AG287+1),AH287),AJ286)),IF(AND('Loan Prepayment'!$E$15="Reduce EMI",AM286&gt;0),-PMT(AI287/1200,MAX(1,'Loan Prepayment'!$B$7*12-AG287+1),AH287),AJ286)),AH287+AK287))</f>
        <v>0</v>
      </c>
      <c r="AK287">
        <f t="shared" si="97"/>
        <v>0</v>
      </c>
      <c r="AL287">
        <f t="shared" si="98"/>
        <v>0</v>
      </c>
      <c r="AM287">
        <f>IF(AH287&lt;=0,0,MIN(MAX(0,AH287-AL287),SUMIFS('Loan Prepayment'!$B$12:$B$31,'Loan Prepayment'!$A$12:$A$31,AG287)+IF(AND(AG287&gt;='Loan Prepayment'!$B$9,AG287&lt;='Loan Prepayment'!$E$16),'Loan Prepayment'!$B$8,0)))</f>
        <v>0</v>
      </c>
      <c r="AN287">
        <f t="shared" si="99"/>
        <v>0</v>
      </c>
    </row>
    <row r="288" spans="1:40" x14ac:dyDescent="0.35">
      <c r="A288">
        <v>287</v>
      </c>
      <c r="B288">
        <f t="shared" si="100"/>
        <v>0</v>
      </c>
      <c r="C288" s="64">
        <f>'Loan Prepayment'!$B$6</f>
        <v>7.5</v>
      </c>
      <c r="D288">
        <f>IF(B288&lt;=0,0,MIN(-PMT('Loan Prepayment'!$B$6/1200,'Loan Prepayment'!$B$7*12,'Loan Prepayment'!$B$5),B288+E288))</f>
        <v>0</v>
      </c>
      <c r="E288">
        <f t="shared" si="84"/>
        <v>0</v>
      </c>
      <c r="F288">
        <f t="shared" si="85"/>
        <v>0</v>
      </c>
      <c r="G288">
        <v>0</v>
      </c>
      <c r="H288">
        <f t="shared" si="86"/>
        <v>0</v>
      </c>
      <c r="I288">
        <v>287</v>
      </c>
      <c r="J288">
        <f t="shared" si="101"/>
        <v>0</v>
      </c>
      <c r="K288" s="64">
        <f>'Loan Prepayment'!$B$6</f>
        <v>7.5</v>
      </c>
      <c r="L288">
        <f>IF(J288&lt;=0,0,MIN(IF(AND('Loan Prepayment'!$E$15="Reduce EMI",O287&gt;0),-PMT(K288/1200,MAX(1,'Loan Prepayment'!$B$7*12-I288+1),J288),L287),J288+M288))</f>
        <v>0</v>
      </c>
      <c r="M288">
        <f t="shared" si="87"/>
        <v>0</v>
      </c>
      <c r="N288">
        <f t="shared" si="88"/>
        <v>0</v>
      </c>
      <c r="O288">
        <f>IF(J288&lt;=0,0,MIN(MAX(0,J288-N288),SUMIFS('Loan Prepayment'!$B$12:$B$31,'Loan Prepayment'!$A$12:$A$31,I288)+0))</f>
        <v>0</v>
      </c>
      <c r="P288">
        <f t="shared" si="89"/>
        <v>0</v>
      </c>
      <c r="Q288">
        <v>287</v>
      </c>
      <c r="R288">
        <f t="shared" si="102"/>
        <v>0</v>
      </c>
      <c r="S288" s="64">
        <f>'Loan Prepayment'!$B$6</f>
        <v>7.5</v>
      </c>
      <c r="T288">
        <f>IF(R288&lt;=0,0,MIN(IF(AND('Loan Prepayment'!$E$15="Reduce EMI",W287&gt;0),-PMT(S288/1200,MAX(1,'Loan Prepayment'!$B$7*12-Q288+1),R288),T287),R288+U288))</f>
        <v>0</v>
      </c>
      <c r="U288">
        <f t="shared" si="90"/>
        <v>0</v>
      </c>
      <c r="V288">
        <f t="shared" si="91"/>
        <v>0</v>
      </c>
      <c r="W288">
        <f>IF(R288&lt;=0,0,MIN(MAX(0,R288-V288),0+IF(AND(Q288&gt;='Loan Prepayment'!$B$9,Q288&lt;='Loan Prepayment'!$E$16),'Loan Prepayment'!$B$8,0)))</f>
        <v>0</v>
      </c>
      <c r="X288">
        <f t="shared" si="92"/>
        <v>0</v>
      </c>
      <c r="Y288">
        <v>287</v>
      </c>
      <c r="Z288">
        <f t="shared" si="103"/>
        <v>0</v>
      </c>
      <c r="AA288">
        <f>IF(Y288&gt;='Loan Prepayment'!$E$11,'Loan Prepayment'!$E$12,'Loan Prepayment'!$B$6)</f>
        <v>6.5</v>
      </c>
      <c r="AB288">
        <f>IF(Z288&lt;=0,0,MIN(IF(Y288='Loan Prepayment'!$E$11,IF('Loan Prepayment'!$E$13="Keep tenure, recalculate EMI",-PMT(AA288/1200,MAX(1,'Loan Prepayment'!$B$7*12-Y288+1),Z288),AB287),AB287),Z288+AC288))</f>
        <v>0</v>
      </c>
      <c r="AC288">
        <f t="shared" si="93"/>
        <v>0</v>
      </c>
      <c r="AD288">
        <f t="shared" si="94"/>
        <v>0</v>
      </c>
      <c r="AE288">
        <f t="shared" si="95"/>
        <v>0</v>
      </c>
      <c r="AF288">
        <f t="shared" si="96"/>
        <v>0</v>
      </c>
      <c r="AG288">
        <v>287</v>
      </c>
      <c r="AH288">
        <f t="shared" si="104"/>
        <v>0</v>
      </c>
      <c r="AI288">
        <f>IF(AG288&gt;='Loan Prepayment'!$E$11,'Loan Prepayment'!$E$12,'Loan Prepayment'!$B$6)</f>
        <v>6.5</v>
      </c>
      <c r="AJ288">
        <f>IF(AH288&lt;=0,0,MIN(IF(AG288='Loan Prepayment'!$E$11,IF('Loan Prepayment'!$E$13="Keep tenure, recalculate EMI",-PMT(AI288/1200,MAX(1,'Loan Prepayment'!$B$7*12-AG288+1),AH288),IF(AND('Loan Prepayment'!$E$15="Reduce EMI",AM287&gt;0),-PMT(AI287/1200,MAX(1,'Loan Prepayment'!$B$7*12-AG288+1),AH288),AJ287)),IF(AND('Loan Prepayment'!$E$15="Reduce EMI",AM287&gt;0),-PMT(AI288/1200,MAX(1,'Loan Prepayment'!$B$7*12-AG288+1),AH288),AJ287)),AH288+AK288))</f>
        <v>0</v>
      </c>
      <c r="AK288">
        <f t="shared" si="97"/>
        <v>0</v>
      </c>
      <c r="AL288">
        <f t="shared" si="98"/>
        <v>0</v>
      </c>
      <c r="AM288">
        <f>IF(AH288&lt;=0,0,MIN(MAX(0,AH288-AL288),SUMIFS('Loan Prepayment'!$B$12:$B$31,'Loan Prepayment'!$A$12:$A$31,AG288)+IF(AND(AG288&gt;='Loan Prepayment'!$B$9,AG288&lt;='Loan Prepayment'!$E$16),'Loan Prepayment'!$B$8,0)))</f>
        <v>0</v>
      </c>
      <c r="AN288">
        <f t="shared" si="99"/>
        <v>0</v>
      </c>
    </row>
    <row r="289" spans="1:40" x14ac:dyDescent="0.35">
      <c r="A289">
        <v>288</v>
      </c>
      <c r="B289">
        <f t="shared" si="100"/>
        <v>0</v>
      </c>
      <c r="C289" s="64">
        <f>'Loan Prepayment'!$B$6</f>
        <v>7.5</v>
      </c>
      <c r="D289">
        <f>IF(B289&lt;=0,0,MIN(-PMT('Loan Prepayment'!$B$6/1200,'Loan Prepayment'!$B$7*12,'Loan Prepayment'!$B$5),B289+E289))</f>
        <v>0</v>
      </c>
      <c r="E289">
        <f t="shared" si="84"/>
        <v>0</v>
      </c>
      <c r="F289">
        <f t="shared" si="85"/>
        <v>0</v>
      </c>
      <c r="G289">
        <v>0</v>
      </c>
      <c r="H289">
        <f t="shared" si="86"/>
        <v>0</v>
      </c>
      <c r="I289">
        <v>288</v>
      </c>
      <c r="J289">
        <f t="shared" si="101"/>
        <v>0</v>
      </c>
      <c r="K289" s="64">
        <f>'Loan Prepayment'!$B$6</f>
        <v>7.5</v>
      </c>
      <c r="L289">
        <f>IF(J289&lt;=0,0,MIN(IF(AND('Loan Prepayment'!$E$15="Reduce EMI",O288&gt;0),-PMT(K289/1200,MAX(1,'Loan Prepayment'!$B$7*12-I289+1),J289),L288),J289+M289))</f>
        <v>0</v>
      </c>
      <c r="M289">
        <f t="shared" si="87"/>
        <v>0</v>
      </c>
      <c r="N289">
        <f t="shared" si="88"/>
        <v>0</v>
      </c>
      <c r="O289">
        <f>IF(J289&lt;=0,0,MIN(MAX(0,J289-N289),SUMIFS('Loan Prepayment'!$B$12:$B$31,'Loan Prepayment'!$A$12:$A$31,I289)+0))</f>
        <v>0</v>
      </c>
      <c r="P289">
        <f t="shared" si="89"/>
        <v>0</v>
      </c>
      <c r="Q289">
        <v>288</v>
      </c>
      <c r="R289">
        <f t="shared" si="102"/>
        <v>0</v>
      </c>
      <c r="S289" s="64">
        <f>'Loan Prepayment'!$B$6</f>
        <v>7.5</v>
      </c>
      <c r="T289">
        <f>IF(R289&lt;=0,0,MIN(IF(AND('Loan Prepayment'!$E$15="Reduce EMI",W288&gt;0),-PMT(S289/1200,MAX(1,'Loan Prepayment'!$B$7*12-Q289+1),R289),T288),R289+U289))</f>
        <v>0</v>
      </c>
      <c r="U289">
        <f t="shared" si="90"/>
        <v>0</v>
      </c>
      <c r="V289">
        <f t="shared" si="91"/>
        <v>0</v>
      </c>
      <c r="W289">
        <f>IF(R289&lt;=0,0,MIN(MAX(0,R289-V289),0+IF(AND(Q289&gt;='Loan Prepayment'!$B$9,Q289&lt;='Loan Prepayment'!$E$16),'Loan Prepayment'!$B$8,0)))</f>
        <v>0</v>
      </c>
      <c r="X289">
        <f t="shared" si="92"/>
        <v>0</v>
      </c>
      <c r="Y289">
        <v>288</v>
      </c>
      <c r="Z289">
        <f t="shared" si="103"/>
        <v>0</v>
      </c>
      <c r="AA289">
        <f>IF(Y289&gt;='Loan Prepayment'!$E$11,'Loan Prepayment'!$E$12,'Loan Prepayment'!$B$6)</f>
        <v>6.5</v>
      </c>
      <c r="AB289">
        <f>IF(Z289&lt;=0,0,MIN(IF(Y289='Loan Prepayment'!$E$11,IF('Loan Prepayment'!$E$13="Keep tenure, recalculate EMI",-PMT(AA289/1200,MAX(1,'Loan Prepayment'!$B$7*12-Y289+1),Z289),AB288),AB288),Z289+AC289))</f>
        <v>0</v>
      </c>
      <c r="AC289">
        <f t="shared" si="93"/>
        <v>0</v>
      </c>
      <c r="AD289">
        <f t="shared" si="94"/>
        <v>0</v>
      </c>
      <c r="AE289">
        <f t="shared" si="95"/>
        <v>0</v>
      </c>
      <c r="AF289">
        <f t="shared" si="96"/>
        <v>0</v>
      </c>
      <c r="AG289">
        <v>288</v>
      </c>
      <c r="AH289">
        <f t="shared" si="104"/>
        <v>0</v>
      </c>
      <c r="AI289">
        <f>IF(AG289&gt;='Loan Prepayment'!$E$11,'Loan Prepayment'!$E$12,'Loan Prepayment'!$B$6)</f>
        <v>6.5</v>
      </c>
      <c r="AJ289">
        <f>IF(AH289&lt;=0,0,MIN(IF(AG289='Loan Prepayment'!$E$11,IF('Loan Prepayment'!$E$13="Keep tenure, recalculate EMI",-PMT(AI289/1200,MAX(1,'Loan Prepayment'!$B$7*12-AG289+1),AH289),IF(AND('Loan Prepayment'!$E$15="Reduce EMI",AM288&gt;0),-PMT(AI288/1200,MAX(1,'Loan Prepayment'!$B$7*12-AG289+1),AH289),AJ288)),IF(AND('Loan Prepayment'!$E$15="Reduce EMI",AM288&gt;0),-PMT(AI289/1200,MAX(1,'Loan Prepayment'!$B$7*12-AG289+1),AH289),AJ288)),AH289+AK289))</f>
        <v>0</v>
      </c>
      <c r="AK289">
        <f t="shared" si="97"/>
        <v>0</v>
      </c>
      <c r="AL289">
        <f t="shared" si="98"/>
        <v>0</v>
      </c>
      <c r="AM289">
        <f>IF(AH289&lt;=0,0,MIN(MAX(0,AH289-AL289),SUMIFS('Loan Prepayment'!$B$12:$B$31,'Loan Prepayment'!$A$12:$A$31,AG289)+IF(AND(AG289&gt;='Loan Prepayment'!$B$9,AG289&lt;='Loan Prepayment'!$E$16),'Loan Prepayment'!$B$8,0)))</f>
        <v>0</v>
      </c>
      <c r="AN289">
        <f t="shared" si="99"/>
        <v>0</v>
      </c>
    </row>
    <row r="290" spans="1:40" x14ac:dyDescent="0.35">
      <c r="A290">
        <v>289</v>
      </c>
      <c r="B290">
        <f t="shared" si="100"/>
        <v>0</v>
      </c>
      <c r="C290" s="64">
        <f>'Loan Prepayment'!$B$6</f>
        <v>7.5</v>
      </c>
      <c r="D290">
        <f>IF(B290&lt;=0,0,MIN(-PMT('Loan Prepayment'!$B$6/1200,'Loan Prepayment'!$B$7*12,'Loan Prepayment'!$B$5),B290+E290))</f>
        <v>0</v>
      </c>
      <c r="E290">
        <f t="shared" si="84"/>
        <v>0</v>
      </c>
      <c r="F290">
        <f t="shared" si="85"/>
        <v>0</v>
      </c>
      <c r="G290">
        <v>0</v>
      </c>
      <c r="H290">
        <f t="shared" si="86"/>
        <v>0</v>
      </c>
      <c r="I290">
        <v>289</v>
      </c>
      <c r="J290">
        <f t="shared" si="101"/>
        <v>0</v>
      </c>
      <c r="K290" s="64">
        <f>'Loan Prepayment'!$B$6</f>
        <v>7.5</v>
      </c>
      <c r="L290">
        <f>IF(J290&lt;=0,0,MIN(IF(AND('Loan Prepayment'!$E$15="Reduce EMI",O289&gt;0),-PMT(K290/1200,MAX(1,'Loan Prepayment'!$B$7*12-I290+1),J290),L289),J290+M290))</f>
        <v>0</v>
      </c>
      <c r="M290">
        <f t="shared" si="87"/>
        <v>0</v>
      </c>
      <c r="N290">
        <f t="shared" si="88"/>
        <v>0</v>
      </c>
      <c r="O290">
        <f>IF(J290&lt;=0,0,MIN(MAX(0,J290-N290),SUMIFS('Loan Prepayment'!$B$12:$B$31,'Loan Prepayment'!$A$12:$A$31,I290)+0))</f>
        <v>0</v>
      </c>
      <c r="P290">
        <f t="shared" si="89"/>
        <v>0</v>
      </c>
      <c r="Q290">
        <v>289</v>
      </c>
      <c r="R290">
        <f t="shared" si="102"/>
        <v>0</v>
      </c>
      <c r="S290" s="64">
        <f>'Loan Prepayment'!$B$6</f>
        <v>7.5</v>
      </c>
      <c r="T290">
        <f>IF(R290&lt;=0,0,MIN(IF(AND('Loan Prepayment'!$E$15="Reduce EMI",W289&gt;0),-PMT(S290/1200,MAX(1,'Loan Prepayment'!$B$7*12-Q290+1),R290),T289),R290+U290))</f>
        <v>0</v>
      </c>
      <c r="U290">
        <f t="shared" si="90"/>
        <v>0</v>
      </c>
      <c r="V290">
        <f t="shared" si="91"/>
        <v>0</v>
      </c>
      <c r="W290">
        <f>IF(R290&lt;=0,0,MIN(MAX(0,R290-V290),0+IF(AND(Q290&gt;='Loan Prepayment'!$B$9,Q290&lt;='Loan Prepayment'!$E$16),'Loan Prepayment'!$B$8,0)))</f>
        <v>0</v>
      </c>
      <c r="X290">
        <f t="shared" si="92"/>
        <v>0</v>
      </c>
      <c r="Y290">
        <v>289</v>
      </c>
      <c r="Z290">
        <f t="shared" si="103"/>
        <v>0</v>
      </c>
      <c r="AA290">
        <f>IF(Y290&gt;='Loan Prepayment'!$E$11,'Loan Prepayment'!$E$12,'Loan Prepayment'!$B$6)</f>
        <v>6.5</v>
      </c>
      <c r="AB290">
        <f>IF(Z290&lt;=0,0,MIN(IF(Y290='Loan Prepayment'!$E$11,IF('Loan Prepayment'!$E$13="Keep tenure, recalculate EMI",-PMT(AA290/1200,MAX(1,'Loan Prepayment'!$B$7*12-Y290+1),Z290),AB289),AB289),Z290+AC290))</f>
        <v>0</v>
      </c>
      <c r="AC290">
        <f t="shared" si="93"/>
        <v>0</v>
      </c>
      <c r="AD290">
        <f t="shared" si="94"/>
        <v>0</v>
      </c>
      <c r="AE290">
        <f t="shared" si="95"/>
        <v>0</v>
      </c>
      <c r="AF290">
        <f t="shared" si="96"/>
        <v>0</v>
      </c>
      <c r="AG290">
        <v>289</v>
      </c>
      <c r="AH290">
        <f t="shared" si="104"/>
        <v>0</v>
      </c>
      <c r="AI290">
        <f>IF(AG290&gt;='Loan Prepayment'!$E$11,'Loan Prepayment'!$E$12,'Loan Prepayment'!$B$6)</f>
        <v>6.5</v>
      </c>
      <c r="AJ290">
        <f>IF(AH290&lt;=0,0,MIN(IF(AG290='Loan Prepayment'!$E$11,IF('Loan Prepayment'!$E$13="Keep tenure, recalculate EMI",-PMT(AI290/1200,MAX(1,'Loan Prepayment'!$B$7*12-AG290+1),AH290),IF(AND('Loan Prepayment'!$E$15="Reduce EMI",AM289&gt;0),-PMT(AI289/1200,MAX(1,'Loan Prepayment'!$B$7*12-AG290+1),AH290),AJ289)),IF(AND('Loan Prepayment'!$E$15="Reduce EMI",AM289&gt;0),-PMT(AI290/1200,MAX(1,'Loan Prepayment'!$B$7*12-AG290+1),AH290),AJ289)),AH290+AK290))</f>
        <v>0</v>
      </c>
      <c r="AK290">
        <f t="shared" si="97"/>
        <v>0</v>
      </c>
      <c r="AL290">
        <f t="shared" si="98"/>
        <v>0</v>
      </c>
      <c r="AM290">
        <f>IF(AH290&lt;=0,0,MIN(MAX(0,AH290-AL290),SUMIFS('Loan Prepayment'!$B$12:$B$31,'Loan Prepayment'!$A$12:$A$31,AG290)+IF(AND(AG290&gt;='Loan Prepayment'!$B$9,AG290&lt;='Loan Prepayment'!$E$16),'Loan Prepayment'!$B$8,0)))</f>
        <v>0</v>
      </c>
      <c r="AN290">
        <f t="shared" si="99"/>
        <v>0</v>
      </c>
    </row>
    <row r="291" spans="1:40" x14ac:dyDescent="0.35">
      <c r="A291">
        <v>290</v>
      </c>
      <c r="B291">
        <f t="shared" si="100"/>
        <v>0</v>
      </c>
      <c r="C291" s="64">
        <f>'Loan Prepayment'!$B$6</f>
        <v>7.5</v>
      </c>
      <c r="D291">
        <f>IF(B291&lt;=0,0,MIN(-PMT('Loan Prepayment'!$B$6/1200,'Loan Prepayment'!$B$7*12,'Loan Prepayment'!$B$5),B291+E291))</f>
        <v>0</v>
      </c>
      <c r="E291">
        <f t="shared" si="84"/>
        <v>0</v>
      </c>
      <c r="F291">
        <f t="shared" si="85"/>
        <v>0</v>
      </c>
      <c r="G291">
        <v>0</v>
      </c>
      <c r="H291">
        <f t="shared" si="86"/>
        <v>0</v>
      </c>
      <c r="I291">
        <v>290</v>
      </c>
      <c r="J291">
        <f t="shared" si="101"/>
        <v>0</v>
      </c>
      <c r="K291" s="64">
        <f>'Loan Prepayment'!$B$6</f>
        <v>7.5</v>
      </c>
      <c r="L291">
        <f>IF(J291&lt;=0,0,MIN(IF(AND('Loan Prepayment'!$E$15="Reduce EMI",O290&gt;0),-PMT(K291/1200,MAX(1,'Loan Prepayment'!$B$7*12-I291+1),J291),L290),J291+M291))</f>
        <v>0</v>
      </c>
      <c r="M291">
        <f t="shared" si="87"/>
        <v>0</v>
      </c>
      <c r="N291">
        <f t="shared" si="88"/>
        <v>0</v>
      </c>
      <c r="O291">
        <f>IF(J291&lt;=0,0,MIN(MAX(0,J291-N291),SUMIFS('Loan Prepayment'!$B$12:$B$31,'Loan Prepayment'!$A$12:$A$31,I291)+0))</f>
        <v>0</v>
      </c>
      <c r="P291">
        <f t="shared" si="89"/>
        <v>0</v>
      </c>
      <c r="Q291">
        <v>290</v>
      </c>
      <c r="R291">
        <f t="shared" si="102"/>
        <v>0</v>
      </c>
      <c r="S291" s="64">
        <f>'Loan Prepayment'!$B$6</f>
        <v>7.5</v>
      </c>
      <c r="T291">
        <f>IF(R291&lt;=0,0,MIN(IF(AND('Loan Prepayment'!$E$15="Reduce EMI",W290&gt;0),-PMT(S291/1200,MAX(1,'Loan Prepayment'!$B$7*12-Q291+1),R291),T290),R291+U291))</f>
        <v>0</v>
      </c>
      <c r="U291">
        <f t="shared" si="90"/>
        <v>0</v>
      </c>
      <c r="V291">
        <f t="shared" si="91"/>
        <v>0</v>
      </c>
      <c r="W291">
        <f>IF(R291&lt;=0,0,MIN(MAX(0,R291-V291),0+IF(AND(Q291&gt;='Loan Prepayment'!$B$9,Q291&lt;='Loan Prepayment'!$E$16),'Loan Prepayment'!$B$8,0)))</f>
        <v>0</v>
      </c>
      <c r="X291">
        <f t="shared" si="92"/>
        <v>0</v>
      </c>
      <c r="Y291">
        <v>290</v>
      </c>
      <c r="Z291">
        <f t="shared" si="103"/>
        <v>0</v>
      </c>
      <c r="AA291">
        <f>IF(Y291&gt;='Loan Prepayment'!$E$11,'Loan Prepayment'!$E$12,'Loan Prepayment'!$B$6)</f>
        <v>6.5</v>
      </c>
      <c r="AB291">
        <f>IF(Z291&lt;=0,0,MIN(IF(Y291='Loan Prepayment'!$E$11,IF('Loan Prepayment'!$E$13="Keep tenure, recalculate EMI",-PMT(AA291/1200,MAX(1,'Loan Prepayment'!$B$7*12-Y291+1),Z291),AB290),AB290),Z291+AC291))</f>
        <v>0</v>
      </c>
      <c r="AC291">
        <f t="shared" si="93"/>
        <v>0</v>
      </c>
      <c r="AD291">
        <f t="shared" si="94"/>
        <v>0</v>
      </c>
      <c r="AE291">
        <f t="shared" si="95"/>
        <v>0</v>
      </c>
      <c r="AF291">
        <f t="shared" si="96"/>
        <v>0</v>
      </c>
      <c r="AG291">
        <v>290</v>
      </c>
      <c r="AH291">
        <f t="shared" si="104"/>
        <v>0</v>
      </c>
      <c r="AI291">
        <f>IF(AG291&gt;='Loan Prepayment'!$E$11,'Loan Prepayment'!$E$12,'Loan Prepayment'!$B$6)</f>
        <v>6.5</v>
      </c>
      <c r="AJ291">
        <f>IF(AH291&lt;=0,0,MIN(IF(AG291='Loan Prepayment'!$E$11,IF('Loan Prepayment'!$E$13="Keep tenure, recalculate EMI",-PMT(AI291/1200,MAX(1,'Loan Prepayment'!$B$7*12-AG291+1),AH291),IF(AND('Loan Prepayment'!$E$15="Reduce EMI",AM290&gt;0),-PMT(AI290/1200,MAX(1,'Loan Prepayment'!$B$7*12-AG291+1),AH291),AJ290)),IF(AND('Loan Prepayment'!$E$15="Reduce EMI",AM290&gt;0),-PMT(AI291/1200,MAX(1,'Loan Prepayment'!$B$7*12-AG291+1),AH291),AJ290)),AH291+AK291))</f>
        <v>0</v>
      </c>
      <c r="AK291">
        <f t="shared" si="97"/>
        <v>0</v>
      </c>
      <c r="AL291">
        <f t="shared" si="98"/>
        <v>0</v>
      </c>
      <c r="AM291">
        <f>IF(AH291&lt;=0,0,MIN(MAX(0,AH291-AL291),SUMIFS('Loan Prepayment'!$B$12:$B$31,'Loan Prepayment'!$A$12:$A$31,AG291)+IF(AND(AG291&gt;='Loan Prepayment'!$B$9,AG291&lt;='Loan Prepayment'!$E$16),'Loan Prepayment'!$B$8,0)))</f>
        <v>0</v>
      </c>
      <c r="AN291">
        <f t="shared" si="99"/>
        <v>0</v>
      </c>
    </row>
    <row r="292" spans="1:40" x14ac:dyDescent="0.35">
      <c r="A292">
        <v>291</v>
      </c>
      <c r="B292">
        <f t="shared" si="100"/>
        <v>0</v>
      </c>
      <c r="C292" s="64">
        <f>'Loan Prepayment'!$B$6</f>
        <v>7.5</v>
      </c>
      <c r="D292">
        <f>IF(B292&lt;=0,0,MIN(-PMT('Loan Prepayment'!$B$6/1200,'Loan Prepayment'!$B$7*12,'Loan Prepayment'!$B$5),B292+E292))</f>
        <v>0</v>
      </c>
      <c r="E292">
        <f t="shared" si="84"/>
        <v>0</v>
      </c>
      <c r="F292">
        <f t="shared" si="85"/>
        <v>0</v>
      </c>
      <c r="G292">
        <v>0</v>
      </c>
      <c r="H292">
        <f t="shared" si="86"/>
        <v>0</v>
      </c>
      <c r="I292">
        <v>291</v>
      </c>
      <c r="J292">
        <f t="shared" si="101"/>
        <v>0</v>
      </c>
      <c r="K292" s="64">
        <f>'Loan Prepayment'!$B$6</f>
        <v>7.5</v>
      </c>
      <c r="L292">
        <f>IF(J292&lt;=0,0,MIN(IF(AND('Loan Prepayment'!$E$15="Reduce EMI",O291&gt;0),-PMT(K292/1200,MAX(1,'Loan Prepayment'!$B$7*12-I292+1),J292),L291),J292+M292))</f>
        <v>0</v>
      </c>
      <c r="M292">
        <f t="shared" si="87"/>
        <v>0</v>
      </c>
      <c r="N292">
        <f t="shared" si="88"/>
        <v>0</v>
      </c>
      <c r="O292">
        <f>IF(J292&lt;=0,0,MIN(MAX(0,J292-N292),SUMIFS('Loan Prepayment'!$B$12:$B$31,'Loan Prepayment'!$A$12:$A$31,I292)+0))</f>
        <v>0</v>
      </c>
      <c r="P292">
        <f t="shared" si="89"/>
        <v>0</v>
      </c>
      <c r="Q292">
        <v>291</v>
      </c>
      <c r="R292">
        <f t="shared" si="102"/>
        <v>0</v>
      </c>
      <c r="S292" s="64">
        <f>'Loan Prepayment'!$B$6</f>
        <v>7.5</v>
      </c>
      <c r="T292">
        <f>IF(R292&lt;=0,0,MIN(IF(AND('Loan Prepayment'!$E$15="Reduce EMI",W291&gt;0),-PMT(S292/1200,MAX(1,'Loan Prepayment'!$B$7*12-Q292+1),R292),T291),R292+U292))</f>
        <v>0</v>
      </c>
      <c r="U292">
        <f t="shared" si="90"/>
        <v>0</v>
      </c>
      <c r="V292">
        <f t="shared" si="91"/>
        <v>0</v>
      </c>
      <c r="W292">
        <f>IF(R292&lt;=0,0,MIN(MAX(0,R292-V292),0+IF(AND(Q292&gt;='Loan Prepayment'!$B$9,Q292&lt;='Loan Prepayment'!$E$16),'Loan Prepayment'!$B$8,0)))</f>
        <v>0</v>
      </c>
      <c r="X292">
        <f t="shared" si="92"/>
        <v>0</v>
      </c>
      <c r="Y292">
        <v>291</v>
      </c>
      <c r="Z292">
        <f t="shared" si="103"/>
        <v>0</v>
      </c>
      <c r="AA292">
        <f>IF(Y292&gt;='Loan Prepayment'!$E$11,'Loan Prepayment'!$E$12,'Loan Prepayment'!$B$6)</f>
        <v>6.5</v>
      </c>
      <c r="AB292">
        <f>IF(Z292&lt;=0,0,MIN(IF(Y292='Loan Prepayment'!$E$11,IF('Loan Prepayment'!$E$13="Keep tenure, recalculate EMI",-PMT(AA292/1200,MAX(1,'Loan Prepayment'!$B$7*12-Y292+1),Z292),AB291),AB291),Z292+AC292))</f>
        <v>0</v>
      </c>
      <c r="AC292">
        <f t="shared" si="93"/>
        <v>0</v>
      </c>
      <c r="AD292">
        <f t="shared" si="94"/>
        <v>0</v>
      </c>
      <c r="AE292">
        <f t="shared" si="95"/>
        <v>0</v>
      </c>
      <c r="AF292">
        <f t="shared" si="96"/>
        <v>0</v>
      </c>
      <c r="AG292">
        <v>291</v>
      </c>
      <c r="AH292">
        <f t="shared" si="104"/>
        <v>0</v>
      </c>
      <c r="AI292">
        <f>IF(AG292&gt;='Loan Prepayment'!$E$11,'Loan Prepayment'!$E$12,'Loan Prepayment'!$B$6)</f>
        <v>6.5</v>
      </c>
      <c r="AJ292">
        <f>IF(AH292&lt;=0,0,MIN(IF(AG292='Loan Prepayment'!$E$11,IF('Loan Prepayment'!$E$13="Keep tenure, recalculate EMI",-PMT(AI292/1200,MAX(1,'Loan Prepayment'!$B$7*12-AG292+1),AH292),IF(AND('Loan Prepayment'!$E$15="Reduce EMI",AM291&gt;0),-PMT(AI291/1200,MAX(1,'Loan Prepayment'!$B$7*12-AG292+1),AH292),AJ291)),IF(AND('Loan Prepayment'!$E$15="Reduce EMI",AM291&gt;0),-PMT(AI292/1200,MAX(1,'Loan Prepayment'!$B$7*12-AG292+1),AH292),AJ291)),AH292+AK292))</f>
        <v>0</v>
      </c>
      <c r="AK292">
        <f t="shared" si="97"/>
        <v>0</v>
      </c>
      <c r="AL292">
        <f t="shared" si="98"/>
        <v>0</v>
      </c>
      <c r="AM292">
        <f>IF(AH292&lt;=0,0,MIN(MAX(0,AH292-AL292),SUMIFS('Loan Prepayment'!$B$12:$B$31,'Loan Prepayment'!$A$12:$A$31,AG292)+IF(AND(AG292&gt;='Loan Prepayment'!$B$9,AG292&lt;='Loan Prepayment'!$E$16),'Loan Prepayment'!$B$8,0)))</f>
        <v>0</v>
      </c>
      <c r="AN292">
        <f t="shared" si="99"/>
        <v>0</v>
      </c>
    </row>
    <row r="293" spans="1:40" x14ac:dyDescent="0.35">
      <c r="A293">
        <v>292</v>
      </c>
      <c r="B293">
        <f t="shared" si="100"/>
        <v>0</v>
      </c>
      <c r="C293" s="64">
        <f>'Loan Prepayment'!$B$6</f>
        <v>7.5</v>
      </c>
      <c r="D293">
        <f>IF(B293&lt;=0,0,MIN(-PMT('Loan Prepayment'!$B$6/1200,'Loan Prepayment'!$B$7*12,'Loan Prepayment'!$B$5),B293+E293))</f>
        <v>0</v>
      </c>
      <c r="E293">
        <f t="shared" si="84"/>
        <v>0</v>
      </c>
      <c r="F293">
        <f t="shared" si="85"/>
        <v>0</v>
      </c>
      <c r="G293">
        <v>0</v>
      </c>
      <c r="H293">
        <f t="shared" si="86"/>
        <v>0</v>
      </c>
      <c r="I293">
        <v>292</v>
      </c>
      <c r="J293">
        <f t="shared" si="101"/>
        <v>0</v>
      </c>
      <c r="K293" s="64">
        <f>'Loan Prepayment'!$B$6</f>
        <v>7.5</v>
      </c>
      <c r="L293">
        <f>IF(J293&lt;=0,0,MIN(IF(AND('Loan Prepayment'!$E$15="Reduce EMI",O292&gt;0),-PMT(K293/1200,MAX(1,'Loan Prepayment'!$B$7*12-I293+1),J293),L292),J293+M293))</f>
        <v>0</v>
      </c>
      <c r="M293">
        <f t="shared" si="87"/>
        <v>0</v>
      </c>
      <c r="N293">
        <f t="shared" si="88"/>
        <v>0</v>
      </c>
      <c r="O293">
        <f>IF(J293&lt;=0,0,MIN(MAX(0,J293-N293),SUMIFS('Loan Prepayment'!$B$12:$B$31,'Loan Prepayment'!$A$12:$A$31,I293)+0))</f>
        <v>0</v>
      </c>
      <c r="P293">
        <f t="shared" si="89"/>
        <v>0</v>
      </c>
      <c r="Q293">
        <v>292</v>
      </c>
      <c r="R293">
        <f t="shared" si="102"/>
        <v>0</v>
      </c>
      <c r="S293" s="64">
        <f>'Loan Prepayment'!$B$6</f>
        <v>7.5</v>
      </c>
      <c r="T293">
        <f>IF(R293&lt;=0,0,MIN(IF(AND('Loan Prepayment'!$E$15="Reduce EMI",W292&gt;0),-PMT(S293/1200,MAX(1,'Loan Prepayment'!$B$7*12-Q293+1),R293),T292),R293+U293))</f>
        <v>0</v>
      </c>
      <c r="U293">
        <f t="shared" si="90"/>
        <v>0</v>
      </c>
      <c r="V293">
        <f t="shared" si="91"/>
        <v>0</v>
      </c>
      <c r="W293">
        <f>IF(R293&lt;=0,0,MIN(MAX(0,R293-V293),0+IF(AND(Q293&gt;='Loan Prepayment'!$B$9,Q293&lt;='Loan Prepayment'!$E$16),'Loan Prepayment'!$B$8,0)))</f>
        <v>0</v>
      </c>
      <c r="X293">
        <f t="shared" si="92"/>
        <v>0</v>
      </c>
      <c r="Y293">
        <v>292</v>
      </c>
      <c r="Z293">
        <f t="shared" si="103"/>
        <v>0</v>
      </c>
      <c r="AA293">
        <f>IF(Y293&gt;='Loan Prepayment'!$E$11,'Loan Prepayment'!$E$12,'Loan Prepayment'!$B$6)</f>
        <v>6.5</v>
      </c>
      <c r="AB293">
        <f>IF(Z293&lt;=0,0,MIN(IF(Y293='Loan Prepayment'!$E$11,IF('Loan Prepayment'!$E$13="Keep tenure, recalculate EMI",-PMT(AA293/1200,MAX(1,'Loan Prepayment'!$B$7*12-Y293+1),Z293),AB292),AB292),Z293+AC293))</f>
        <v>0</v>
      </c>
      <c r="AC293">
        <f t="shared" si="93"/>
        <v>0</v>
      </c>
      <c r="AD293">
        <f t="shared" si="94"/>
        <v>0</v>
      </c>
      <c r="AE293">
        <f t="shared" si="95"/>
        <v>0</v>
      </c>
      <c r="AF293">
        <f t="shared" si="96"/>
        <v>0</v>
      </c>
      <c r="AG293">
        <v>292</v>
      </c>
      <c r="AH293">
        <f t="shared" si="104"/>
        <v>0</v>
      </c>
      <c r="AI293">
        <f>IF(AG293&gt;='Loan Prepayment'!$E$11,'Loan Prepayment'!$E$12,'Loan Prepayment'!$B$6)</f>
        <v>6.5</v>
      </c>
      <c r="AJ293">
        <f>IF(AH293&lt;=0,0,MIN(IF(AG293='Loan Prepayment'!$E$11,IF('Loan Prepayment'!$E$13="Keep tenure, recalculate EMI",-PMT(AI293/1200,MAX(1,'Loan Prepayment'!$B$7*12-AG293+1),AH293),IF(AND('Loan Prepayment'!$E$15="Reduce EMI",AM292&gt;0),-PMT(AI292/1200,MAX(1,'Loan Prepayment'!$B$7*12-AG293+1),AH293),AJ292)),IF(AND('Loan Prepayment'!$E$15="Reduce EMI",AM292&gt;0),-PMT(AI293/1200,MAX(1,'Loan Prepayment'!$B$7*12-AG293+1),AH293),AJ292)),AH293+AK293))</f>
        <v>0</v>
      </c>
      <c r="AK293">
        <f t="shared" si="97"/>
        <v>0</v>
      </c>
      <c r="AL293">
        <f t="shared" si="98"/>
        <v>0</v>
      </c>
      <c r="AM293">
        <f>IF(AH293&lt;=0,0,MIN(MAX(0,AH293-AL293),SUMIFS('Loan Prepayment'!$B$12:$B$31,'Loan Prepayment'!$A$12:$A$31,AG293)+IF(AND(AG293&gt;='Loan Prepayment'!$B$9,AG293&lt;='Loan Prepayment'!$E$16),'Loan Prepayment'!$B$8,0)))</f>
        <v>0</v>
      </c>
      <c r="AN293">
        <f t="shared" si="99"/>
        <v>0</v>
      </c>
    </row>
    <row r="294" spans="1:40" x14ac:dyDescent="0.35">
      <c r="A294">
        <v>293</v>
      </c>
      <c r="B294">
        <f t="shared" si="100"/>
        <v>0</v>
      </c>
      <c r="C294" s="64">
        <f>'Loan Prepayment'!$B$6</f>
        <v>7.5</v>
      </c>
      <c r="D294">
        <f>IF(B294&lt;=0,0,MIN(-PMT('Loan Prepayment'!$B$6/1200,'Loan Prepayment'!$B$7*12,'Loan Prepayment'!$B$5),B294+E294))</f>
        <v>0</v>
      </c>
      <c r="E294">
        <f t="shared" si="84"/>
        <v>0</v>
      </c>
      <c r="F294">
        <f t="shared" si="85"/>
        <v>0</v>
      </c>
      <c r="G294">
        <v>0</v>
      </c>
      <c r="H294">
        <f t="shared" si="86"/>
        <v>0</v>
      </c>
      <c r="I294">
        <v>293</v>
      </c>
      <c r="J294">
        <f t="shared" si="101"/>
        <v>0</v>
      </c>
      <c r="K294" s="64">
        <f>'Loan Prepayment'!$B$6</f>
        <v>7.5</v>
      </c>
      <c r="L294">
        <f>IF(J294&lt;=0,0,MIN(IF(AND('Loan Prepayment'!$E$15="Reduce EMI",O293&gt;0),-PMT(K294/1200,MAX(1,'Loan Prepayment'!$B$7*12-I294+1),J294),L293),J294+M294))</f>
        <v>0</v>
      </c>
      <c r="M294">
        <f t="shared" si="87"/>
        <v>0</v>
      </c>
      <c r="N294">
        <f t="shared" si="88"/>
        <v>0</v>
      </c>
      <c r="O294">
        <f>IF(J294&lt;=0,0,MIN(MAX(0,J294-N294),SUMIFS('Loan Prepayment'!$B$12:$B$31,'Loan Prepayment'!$A$12:$A$31,I294)+0))</f>
        <v>0</v>
      </c>
      <c r="P294">
        <f t="shared" si="89"/>
        <v>0</v>
      </c>
      <c r="Q294">
        <v>293</v>
      </c>
      <c r="R294">
        <f t="shared" si="102"/>
        <v>0</v>
      </c>
      <c r="S294" s="64">
        <f>'Loan Prepayment'!$B$6</f>
        <v>7.5</v>
      </c>
      <c r="T294">
        <f>IF(R294&lt;=0,0,MIN(IF(AND('Loan Prepayment'!$E$15="Reduce EMI",W293&gt;0),-PMT(S294/1200,MAX(1,'Loan Prepayment'!$B$7*12-Q294+1),R294),T293),R294+U294))</f>
        <v>0</v>
      </c>
      <c r="U294">
        <f t="shared" si="90"/>
        <v>0</v>
      </c>
      <c r="V294">
        <f t="shared" si="91"/>
        <v>0</v>
      </c>
      <c r="W294">
        <f>IF(R294&lt;=0,0,MIN(MAX(0,R294-V294),0+IF(AND(Q294&gt;='Loan Prepayment'!$B$9,Q294&lt;='Loan Prepayment'!$E$16),'Loan Prepayment'!$B$8,0)))</f>
        <v>0</v>
      </c>
      <c r="X294">
        <f t="shared" si="92"/>
        <v>0</v>
      </c>
      <c r="Y294">
        <v>293</v>
      </c>
      <c r="Z294">
        <f t="shared" si="103"/>
        <v>0</v>
      </c>
      <c r="AA294">
        <f>IF(Y294&gt;='Loan Prepayment'!$E$11,'Loan Prepayment'!$E$12,'Loan Prepayment'!$B$6)</f>
        <v>6.5</v>
      </c>
      <c r="AB294">
        <f>IF(Z294&lt;=0,0,MIN(IF(Y294='Loan Prepayment'!$E$11,IF('Loan Prepayment'!$E$13="Keep tenure, recalculate EMI",-PMT(AA294/1200,MAX(1,'Loan Prepayment'!$B$7*12-Y294+1),Z294),AB293),AB293),Z294+AC294))</f>
        <v>0</v>
      </c>
      <c r="AC294">
        <f t="shared" si="93"/>
        <v>0</v>
      </c>
      <c r="AD294">
        <f t="shared" si="94"/>
        <v>0</v>
      </c>
      <c r="AE294">
        <f t="shared" si="95"/>
        <v>0</v>
      </c>
      <c r="AF294">
        <f t="shared" si="96"/>
        <v>0</v>
      </c>
      <c r="AG294">
        <v>293</v>
      </c>
      <c r="AH294">
        <f t="shared" si="104"/>
        <v>0</v>
      </c>
      <c r="AI294">
        <f>IF(AG294&gt;='Loan Prepayment'!$E$11,'Loan Prepayment'!$E$12,'Loan Prepayment'!$B$6)</f>
        <v>6.5</v>
      </c>
      <c r="AJ294">
        <f>IF(AH294&lt;=0,0,MIN(IF(AG294='Loan Prepayment'!$E$11,IF('Loan Prepayment'!$E$13="Keep tenure, recalculate EMI",-PMT(AI294/1200,MAX(1,'Loan Prepayment'!$B$7*12-AG294+1),AH294),IF(AND('Loan Prepayment'!$E$15="Reduce EMI",AM293&gt;0),-PMT(AI293/1200,MAX(1,'Loan Prepayment'!$B$7*12-AG294+1),AH294),AJ293)),IF(AND('Loan Prepayment'!$E$15="Reduce EMI",AM293&gt;0),-PMT(AI294/1200,MAX(1,'Loan Prepayment'!$B$7*12-AG294+1),AH294),AJ293)),AH294+AK294))</f>
        <v>0</v>
      </c>
      <c r="AK294">
        <f t="shared" si="97"/>
        <v>0</v>
      </c>
      <c r="AL294">
        <f t="shared" si="98"/>
        <v>0</v>
      </c>
      <c r="AM294">
        <f>IF(AH294&lt;=0,0,MIN(MAX(0,AH294-AL294),SUMIFS('Loan Prepayment'!$B$12:$B$31,'Loan Prepayment'!$A$12:$A$31,AG294)+IF(AND(AG294&gt;='Loan Prepayment'!$B$9,AG294&lt;='Loan Prepayment'!$E$16),'Loan Prepayment'!$B$8,0)))</f>
        <v>0</v>
      </c>
      <c r="AN294">
        <f t="shared" si="99"/>
        <v>0</v>
      </c>
    </row>
    <row r="295" spans="1:40" x14ac:dyDescent="0.35">
      <c r="A295">
        <v>294</v>
      </c>
      <c r="B295">
        <f t="shared" si="100"/>
        <v>0</v>
      </c>
      <c r="C295" s="64">
        <f>'Loan Prepayment'!$B$6</f>
        <v>7.5</v>
      </c>
      <c r="D295">
        <f>IF(B295&lt;=0,0,MIN(-PMT('Loan Prepayment'!$B$6/1200,'Loan Prepayment'!$B$7*12,'Loan Prepayment'!$B$5),B295+E295))</f>
        <v>0</v>
      </c>
      <c r="E295">
        <f t="shared" si="84"/>
        <v>0</v>
      </c>
      <c r="F295">
        <f t="shared" si="85"/>
        <v>0</v>
      </c>
      <c r="G295">
        <v>0</v>
      </c>
      <c r="H295">
        <f t="shared" si="86"/>
        <v>0</v>
      </c>
      <c r="I295">
        <v>294</v>
      </c>
      <c r="J295">
        <f t="shared" si="101"/>
        <v>0</v>
      </c>
      <c r="K295" s="64">
        <f>'Loan Prepayment'!$B$6</f>
        <v>7.5</v>
      </c>
      <c r="L295">
        <f>IF(J295&lt;=0,0,MIN(IF(AND('Loan Prepayment'!$E$15="Reduce EMI",O294&gt;0),-PMT(K295/1200,MAX(1,'Loan Prepayment'!$B$7*12-I295+1),J295),L294),J295+M295))</f>
        <v>0</v>
      </c>
      <c r="M295">
        <f t="shared" si="87"/>
        <v>0</v>
      </c>
      <c r="N295">
        <f t="shared" si="88"/>
        <v>0</v>
      </c>
      <c r="O295">
        <f>IF(J295&lt;=0,0,MIN(MAX(0,J295-N295),SUMIFS('Loan Prepayment'!$B$12:$B$31,'Loan Prepayment'!$A$12:$A$31,I295)+0))</f>
        <v>0</v>
      </c>
      <c r="P295">
        <f t="shared" si="89"/>
        <v>0</v>
      </c>
      <c r="Q295">
        <v>294</v>
      </c>
      <c r="R295">
        <f t="shared" si="102"/>
        <v>0</v>
      </c>
      <c r="S295" s="64">
        <f>'Loan Prepayment'!$B$6</f>
        <v>7.5</v>
      </c>
      <c r="T295">
        <f>IF(R295&lt;=0,0,MIN(IF(AND('Loan Prepayment'!$E$15="Reduce EMI",W294&gt;0),-PMT(S295/1200,MAX(1,'Loan Prepayment'!$B$7*12-Q295+1),R295),T294),R295+U295))</f>
        <v>0</v>
      </c>
      <c r="U295">
        <f t="shared" si="90"/>
        <v>0</v>
      </c>
      <c r="V295">
        <f t="shared" si="91"/>
        <v>0</v>
      </c>
      <c r="W295">
        <f>IF(R295&lt;=0,0,MIN(MAX(0,R295-V295),0+IF(AND(Q295&gt;='Loan Prepayment'!$B$9,Q295&lt;='Loan Prepayment'!$E$16),'Loan Prepayment'!$B$8,0)))</f>
        <v>0</v>
      </c>
      <c r="X295">
        <f t="shared" si="92"/>
        <v>0</v>
      </c>
      <c r="Y295">
        <v>294</v>
      </c>
      <c r="Z295">
        <f t="shared" si="103"/>
        <v>0</v>
      </c>
      <c r="AA295">
        <f>IF(Y295&gt;='Loan Prepayment'!$E$11,'Loan Prepayment'!$E$12,'Loan Prepayment'!$B$6)</f>
        <v>6.5</v>
      </c>
      <c r="AB295">
        <f>IF(Z295&lt;=0,0,MIN(IF(Y295='Loan Prepayment'!$E$11,IF('Loan Prepayment'!$E$13="Keep tenure, recalculate EMI",-PMT(AA295/1200,MAX(1,'Loan Prepayment'!$B$7*12-Y295+1),Z295),AB294),AB294),Z295+AC295))</f>
        <v>0</v>
      </c>
      <c r="AC295">
        <f t="shared" si="93"/>
        <v>0</v>
      </c>
      <c r="AD295">
        <f t="shared" si="94"/>
        <v>0</v>
      </c>
      <c r="AE295">
        <f t="shared" si="95"/>
        <v>0</v>
      </c>
      <c r="AF295">
        <f t="shared" si="96"/>
        <v>0</v>
      </c>
      <c r="AG295">
        <v>294</v>
      </c>
      <c r="AH295">
        <f t="shared" si="104"/>
        <v>0</v>
      </c>
      <c r="AI295">
        <f>IF(AG295&gt;='Loan Prepayment'!$E$11,'Loan Prepayment'!$E$12,'Loan Prepayment'!$B$6)</f>
        <v>6.5</v>
      </c>
      <c r="AJ295">
        <f>IF(AH295&lt;=0,0,MIN(IF(AG295='Loan Prepayment'!$E$11,IF('Loan Prepayment'!$E$13="Keep tenure, recalculate EMI",-PMT(AI295/1200,MAX(1,'Loan Prepayment'!$B$7*12-AG295+1),AH295),IF(AND('Loan Prepayment'!$E$15="Reduce EMI",AM294&gt;0),-PMT(AI294/1200,MAX(1,'Loan Prepayment'!$B$7*12-AG295+1),AH295),AJ294)),IF(AND('Loan Prepayment'!$E$15="Reduce EMI",AM294&gt;0),-PMT(AI295/1200,MAX(1,'Loan Prepayment'!$B$7*12-AG295+1),AH295),AJ294)),AH295+AK295))</f>
        <v>0</v>
      </c>
      <c r="AK295">
        <f t="shared" si="97"/>
        <v>0</v>
      </c>
      <c r="AL295">
        <f t="shared" si="98"/>
        <v>0</v>
      </c>
      <c r="AM295">
        <f>IF(AH295&lt;=0,0,MIN(MAX(0,AH295-AL295),SUMIFS('Loan Prepayment'!$B$12:$B$31,'Loan Prepayment'!$A$12:$A$31,AG295)+IF(AND(AG295&gt;='Loan Prepayment'!$B$9,AG295&lt;='Loan Prepayment'!$E$16),'Loan Prepayment'!$B$8,0)))</f>
        <v>0</v>
      </c>
      <c r="AN295">
        <f t="shared" si="99"/>
        <v>0</v>
      </c>
    </row>
    <row r="296" spans="1:40" x14ac:dyDescent="0.35">
      <c r="A296">
        <v>295</v>
      </c>
      <c r="B296">
        <f t="shared" si="100"/>
        <v>0</v>
      </c>
      <c r="C296" s="64">
        <f>'Loan Prepayment'!$B$6</f>
        <v>7.5</v>
      </c>
      <c r="D296">
        <f>IF(B296&lt;=0,0,MIN(-PMT('Loan Prepayment'!$B$6/1200,'Loan Prepayment'!$B$7*12,'Loan Prepayment'!$B$5),B296+E296))</f>
        <v>0</v>
      </c>
      <c r="E296">
        <f t="shared" si="84"/>
        <v>0</v>
      </c>
      <c r="F296">
        <f t="shared" si="85"/>
        <v>0</v>
      </c>
      <c r="G296">
        <v>0</v>
      </c>
      <c r="H296">
        <f t="shared" si="86"/>
        <v>0</v>
      </c>
      <c r="I296">
        <v>295</v>
      </c>
      <c r="J296">
        <f t="shared" si="101"/>
        <v>0</v>
      </c>
      <c r="K296" s="64">
        <f>'Loan Prepayment'!$B$6</f>
        <v>7.5</v>
      </c>
      <c r="L296">
        <f>IF(J296&lt;=0,0,MIN(IF(AND('Loan Prepayment'!$E$15="Reduce EMI",O295&gt;0),-PMT(K296/1200,MAX(1,'Loan Prepayment'!$B$7*12-I296+1),J296),L295),J296+M296))</f>
        <v>0</v>
      </c>
      <c r="M296">
        <f t="shared" si="87"/>
        <v>0</v>
      </c>
      <c r="N296">
        <f t="shared" si="88"/>
        <v>0</v>
      </c>
      <c r="O296">
        <f>IF(J296&lt;=0,0,MIN(MAX(0,J296-N296),SUMIFS('Loan Prepayment'!$B$12:$B$31,'Loan Prepayment'!$A$12:$A$31,I296)+0))</f>
        <v>0</v>
      </c>
      <c r="P296">
        <f t="shared" si="89"/>
        <v>0</v>
      </c>
      <c r="Q296">
        <v>295</v>
      </c>
      <c r="R296">
        <f t="shared" si="102"/>
        <v>0</v>
      </c>
      <c r="S296" s="64">
        <f>'Loan Prepayment'!$B$6</f>
        <v>7.5</v>
      </c>
      <c r="T296">
        <f>IF(R296&lt;=0,0,MIN(IF(AND('Loan Prepayment'!$E$15="Reduce EMI",W295&gt;0),-PMT(S296/1200,MAX(1,'Loan Prepayment'!$B$7*12-Q296+1),R296),T295),R296+U296))</f>
        <v>0</v>
      </c>
      <c r="U296">
        <f t="shared" si="90"/>
        <v>0</v>
      </c>
      <c r="V296">
        <f t="shared" si="91"/>
        <v>0</v>
      </c>
      <c r="W296">
        <f>IF(R296&lt;=0,0,MIN(MAX(0,R296-V296),0+IF(AND(Q296&gt;='Loan Prepayment'!$B$9,Q296&lt;='Loan Prepayment'!$E$16),'Loan Prepayment'!$B$8,0)))</f>
        <v>0</v>
      </c>
      <c r="X296">
        <f t="shared" si="92"/>
        <v>0</v>
      </c>
      <c r="Y296">
        <v>295</v>
      </c>
      <c r="Z296">
        <f t="shared" si="103"/>
        <v>0</v>
      </c>
      <c r="AA296">
        <f>IF(Y296&gt;='Loan Prepayment'!$E$11,'Loan Prepayment'!$E$12,'Loan Prepayment'!$B$6)</f>
        <v>6.5</v>
      </c>
      <c r="AB296">
        <f>IF(Z296&lt;=0,0,MIN(IF(Y296='Loan Prepayment'!$E$11,IF('Loan Prepayment'!$E$13="Keep tenure, recalculate EMI",-PMT(AA296/1200,MAX(1,'Loan Prepayment'!$B$7*12-Y296+1),Z296),AB295),AB295),Z296+AC296))</f>
        <v>0</v>
      </c>
      <c r="AC296">
        <f t="shared" si="93"/>
        <v>0</v>
      </c>
      <c r="AD296">
        <f t="shared" si="94"/>
        <v>0</v>
      </c>
      <c r="AE296">
        <f t="shared" si="95"/>
        <v>0</v>
      </c>
      <c r="AF296">
        <f t="shared" si="96"/>
        <v>0</v>
      </c>
      <c r="AG296">
        <v>295</v>
      </c>
      <c r="AH296">
        <f t="shared" si="104"/>
        <v>0</v>
      </c>
      <c r="AI296">
        <f>IF(AG296&gt;='Loan Prepayment'!$E$11,'Loan Prepayment'!$E$12,'Loan Prepayment'!$B$6)</f>
        <v>6.5</v>
      </c>
      <c r="AJ296">
        <f>IF(AH296&lt;=0,0,MIN(IF(AG296='Loan Prepayment'!$E$11,IF('Loan Prepayment'!$E$13="Keep tenure, recalculate EMI",-PMT(AI296/1200,MAX(1,'Loan Prepayment'!$B$7*12-AG296+1),AH296),IF(AND('Loan Prepayment'!$E$15="Reduce EMI",AM295&gt;0),-PMT(AI295/1200,MAX(1,'Loan Prepayment'!$B$7*12-AG296+1),AH296),AJ295)),IF(AND('Loan Prepayment'!$E$15="Reduce EMI",AM295&gt;0),-PMT(AI296/1200,MAX(1,'Loan Prepayment'!$B$7*12-AG296+1),AH296),AJ295)),AH296+AK296))</f>
        <v>0</v>
      </c>
      <c r="AK296">
        <f t="shared" si="97"/>
        <v>0</v>
      </c>
      <c r="AL296">
        <f t="shared" si="98"/>
        <v>0</v>
      </c>
      <c r="AM296">
        <f>IF(AH296&lt;=0,0,MIN(MAX(0,AH296-AL296),SUMIFS('Loan Prepayment'!$B$12:$B$31,'Loan Prepayment'!$A$12:$A$31,AG296)+IF(AND(AG296&gt;='Loan Prepayment'!$B$9,AG296&lt;='Loan Prepayment'!$E$16),'Loan Prepayment'!$B$8,0)))</f>
        <v>0</v>
      </c>
      <c r="AN296">
        <f t="shared" si="99"/>
        <v>0</v>
      </c>
    </row>
    <row r="297" spans="1:40" x14ac:dyDescent="0.35">
      <c r="A297">
        <v>296</v>
      </c>
      <c r="B297">
        <f t="shared" si="100"/>
        <v>0</v>
      </c>
      <c r="C297" s="64">
        <f>'Loan Prepayment'!$B$6</f>
        <v>7.5</v>
      </c>
      <c r="D297">
        <f>IF(B297&lt;=0,0,MIN(-PMT('Loan Prepayment'!$B$6/1200,'Loan Prepayment'!$B$7*12,'Loan Prepayment'!$B$5),B297+E297))</f>
        <v>0</v>
      </c>
      <c r="E297">
        <f t="shared" si="84"/>
        <v>0</v>
      </c>
      <c r="F297">
        <f t="shared" si="85"/>
        <v>0</v>
      </c>
      <c r="G297">
        <v>0</v>
      </c>
      <c r="H297">
        <f t="shared" si="86"/>
        <v>0</v>
      </c>
      <c r="I297">
        <v>296</v>
      </c>
      <c r="J297">
        <f t="shared" si="101"/>
        <v>0</v>
      </c>
      <c r="K297" s="64">
        <f>'Loan Prepayment'!$B$6</f>
        <v>7.5</v>
      </c>
      <c r="L297">
        <f>IF(J297&lt;=0,0,MIN(IF(AND('Loan Prepayment'!$E$15="Reduce EMI",O296&gt;0),-PMT(K297/1200,MAX(1,'Loan Prepayment'!$B$7*12-I297+1),J297),L296),J297+M297))</f>
        <v>0</v>
      </c>
      <c r="M297">
        <f t="shared" si="87"/>
        <v>0</v>
      </c>
      <c r="N297">
        <f t="shared" si="88"/>
        <v>0</v>
      </c>
      <c r="O297">
        <f>IF(J297&lt;=0,0,MIN(MAX(0,J297-N297),SUMIFS('Loan Prepayment'!$B$12:$B$31,'Loan Prepayment'!$A$12:$A$31,I297)+0))</f>
        <v>0</v>
      </c>
      <c r="P297">
        <f t="shared" si="89"/>
        <v>0</v>
      </c>
      <c r="Q297">
        <v>296</v>
      </c>
      <c r="R297">
        <f t="shared" si="102"/>
        <v>0</v>
      </c>
      <c r="S297" s="64">
        <f>'Loan Prepayment'!$B$6</f>
        <v>7.5</v>
      </c>
      <c r="T297">
        <f>IF(R297&lt;=0,0,MIN(IF(AND('Loan Prepayment'!$E$15="Reduce EMI",W296&gt;0),-PMT(S297/1200,MAX(1,'Loan Prepayment'!$B$7*12-Q297+1),R297),T296),R297+U297))</f>
        <v>0</v>
      </c>
      <c r="U297">
        <f t="shared" si="90"/>
        <v>0</v>
      </c>
      <c r="V297">
        <f t="shared" si="91"/>
        <v>0</v>
      </c>
      <c r="W297">
        <f>IF(R297&lt;=0,0,MIN(MAX(0,R297-V297),0+IF(AND(Q297&gt;='Loan Prepayment'!$B$9,Q297&lt;='Loan Prepayment'!$E$16),'Loan Prepayment'!$B$8,0)))</f>
        <v>0</v>
      </c>
      <c r="X297">
        <f t="shared" si="92"/>
        <v>0</v>
      </c>
      <c r="Y297">
        <v>296</v>
      </c>
      <c r="Z297">
        <f t="shared" si="103"/>
        <v>0</v>
      </c>
      <c r="AA297">
        <f>IF(Y297&gt;='Loan Prepayment'!$E$11,'Loan Prepayment'!$E$12,'Loan Prepayment'!$B$6)</f>
        <v>6.5</v>
      </c>
      <c r="AB297">
        <f>IF(Z297&lt;=0,0,MIN(IF(Y297='Loan Prepayment'!$E$11,IF('Loan Prepayment'!$E$13="Keep tenure, recalculate EMI",-PMT(AA297/1200,MAX(1,'Loan Prepayment'!$B$7*12-Y297+1),Z297),AB296),AB296),Z297+AC297))</f>
        <v>0</v>
      </c>
      <c r="AC297">
        <f t="shared" si="93"/>
        <v>0</v>
      </c>
      <c r="AD297">
        <f t="shared" si="94"/>
        <v>0</v>
      </c>
      <c r="AE297">
        <f t="shared" si="95"/>
        <v>0</v>
      </c>
      <c r="AF297">
        <f t="shared" si="96"/>
        <v>0</v>
      </c>
      <c r="AG297">
        <v>296</v>
      </c>
      <c r="AH297">
        <f t="shared" si="104"/>
        <v>0</v>
      </c>
      <c r="AI297">
        <f>IF(AG297&gt;='Loan Prepayment'!$E$11,'Loan Prepayment'!$E$12,'Loan Prepayment'!$B$6)</f>
        <v>6.5</v>
      </c>
      <c r="AJ297">
        <f>IF(AH297&lt;=0,0,MIN(IF(AG297='Loan Prepayment'!$E$11,IF('Loan Prepayment'!$E$13="Keep tenure, recalculate EMI",-PMT(AI297/1200,MAX(1,'Loan Prepayment'!$B$7*12-AG297+1),AH297),IF(AND('Loan Prepayment'!$E$15="Reduce EMI",AM296&gt;0),-PMT(AI296/1200,MAX(1,'Loan Prepayment'!$B$7*12-AG297+1),AH297),AJ296)),IF(AND('Loan Prepayment'!$E$15="Reduce EMI",AM296&gt;0),-PMT(AI297/1200,MAX(1,'Loan Prepayment'!$B$7*12-AG297+1),AH297),AJ296)),AH297+AK297))</f>
        <v>0</v>
      </c>
      <c r="AK297">
        <f t="shared" si="97"/>
        <v>0</v>
      </c>
      <c r="AL297">
        <f t="shared" si="98"/>
        <v>0</v>
      </c>
      <c r="AM297">
        <f>IF(AH297&lt;=0,0,MIN(MAX(0,AH297-AL297),SUMIFS('Loan Prepayment'!$B$12:$B$31,'Loan Prepayment'!$A$12:$A$31,AG297)+IF(AND(AG297&gt;='Loan Prepayment'!$B$9,AG297&lt;='Loan Prepayment'!$E$16),'Loan Prepayment'!$B$8,0)))</f>
        <v>0</v>
      </c>
      <c r="AN297">
        <f t="shared" si="99"/>
        <v>0</v>
      </c>
    </row>
    <row r="298" spans="1:40" x14ac:dyDescent="0.35">
      <c r="A298">
        <v>297</v>
      </c>
      <c r="B298">
        <f t="shared" si="100"/>
        <v>0</v>
      </c>
      <c r="C298" s="64">
        <f>'Loan Prepayment'!$B$6</f>
        <v>7.5</v>
      </c>
      <c r="D298">
        <f>IF(B298&lt;=0,0,MIN(-PMT('Loan Prepayment'!$B$6/1200,'Loan Prepayment'!$B$7*12,'Loan Prepayment'!$B$5),B298+E298))</f>
        <v>0</v>
      </c>
      <c r="E298">
        <f t="shared" si="84"/>
        <v>0</v>
      </c>
      <c r="F298">
        <f t="shared" si="85"/>
        <v>0</v>
      </c>
      <c r="G298">
        <v>0</v>
      </c>
      <c r="H298">
        <f t="shared" si="86"/>
        <v>0</v>
      </c>
      <c r="I298">
        <v>297</v>
      </c>
      <c r="J298">
        <f t="shared" si="101"/>
        <v>0</v>
      </c>
      <c r="K298" s="64">
        <f>'Loan Prepayment'!$B$6</f>
        <v>7.5</v>
      </c>
      <c r="L298">
        <f>IF(J298&lt;=0,0,MIN(IF(AND('Loan Prepayment'!$E$15="Reduce EMI",O297&gt;0),-PMT(K298/1200,MAX(1,'Loan Prepayment'!$B$7*12-I298+1),J298),L297),J298+M298))</f>
        <v>0</v>
      </c>
      <c r="M298">
        <f t="shared" si="87"/>
        <v>0</v>
      </c>
      <c r="N298">
        <f t="shared" si="88"/>
        <v>0</v>
      </c>
      <c r="O298">
        <f>IF(J298&lt;=0,0,MIN(MAX(0,J298-N298),SUMIFS('Loan Prepayment'!$B$12:$B$31,'Loan Prepayment'!$A$12:$A$31,I298)+0))</f>
        <v>0</v>
      </c>
      <c r="P298">
        <f t="shared" si="89"/>
        <v>0</v>
      </c>
      <c r="Q298">
        <v>297</v>
      </c>
      <c r="R298">
        <f t="shared" si="102"/>
        <v>0</v>
      </c>
      <c r="S298" s="64">
        <f>'Loan Prepayment'!$B$6</f>
        <v>7.5</v>
      </c>
      <c r="T298">
        <f>IF(R298&lt;=0,0,MIN(IF(AND('Loan Prepayment'!$E$15="Reduce EMI",W297&gt;0),-PMT(S298/1200,MAX(1,'Loan Prepayment'!$B$7*12-Q298+1),R298),T297),R298+U298))</f>
        <v>0</v>
      </c>
      <c r="U298">
        <f t="shared" si="90"/>
        <v>0</v>
      </c>
      <c r="V298">
        <f t="shared" si="91"/>
        <v>0</v>
      </c>
      <c r="W298">
        <f>IF(R298&lt;=0,0,MIN(MAX(0,R298-V298),0+IF(AND(Q298&gt;='Loan Prepayment'!$B$9,Q298&lt;='Loan Prepayment'!$E$16),'Loan Prepayment'!$B$8,0)))</f>
        <v>0</v>
      </c>
      <c r="X298">
        <f t="shared" si="92"/>
        <v>0</v>
      </c>
      <c r="Y298">
        <v>297</v>
      </c>
      <c r="Z298">
        <f t="shared" si="103"/>
        <v>0</v>
      </c>
      <c r="AA298">
        <f>IF(Y298&gt;='Loan Prepayment'!$E$11,'Loan Prepayment'!$E$12,'Loan Prepayment'!$B$6)</f>
        <v>6.5</v>
      </c>
      <c r="AB298">
        <f>IF(Z298&lt;=0,0,MIN(IF(Y298='Loan Prepayment'!$E$11,IF('Loan Prepayment'!$E$13="Keep tenure, recalculate EMI",-PMT(AA298/1200,MAX(1,'Loan Prepayment'!$B$7*12-Y298+1),Z298),AB297),AB297),Z298+AC298))</f>
        <v>0</v>
      </c>
      <c r="AC298">
        <f t="shared" si="93"/>
        <v>0</v>
      </c>
      <c r="AD298">
        <f t="shared" si="94"/>
        <v>0</v>
      </c>
      <c r="AE298">
        <f t="shared" si="95"/>
        <v>0</v>
      </c>
      <c r="AF298">
        <f t="shared" si="96"/>
        <v>0</v>
      </c>
      <c r="AG298">
        <v>297</v>
      </c>
      <c r="AH298">
        <f t="shared" si="104"/>
        <v>0</v>
      </c>
      <c r="AI298">
        <f>IF(AG298&gt;='Loan Prepayment'!$E$11,'Loan Prepayment'!$E$12,'Loan Prepayment'!$B$6)</f>
        <v>6.5</v>
      </c>
      <c r="AJ298">
        <f>IF(AH298&lt;=0,0,MIN(IF(AG298='Loan Prepayment'!$E$11,IF('Loan Prepayment'!$E$13="Keep tenure, recalculate EMI",-PMT(AI298/1200,MAX(1,'Loan Prepayment'!$B$7*12-AG298+1),AH298),IF(AND('Loan Prepayment'!$E$15="Reduce EMI",AM297&gt;0),-PMT(AI297/1200,MAX(1,'Loan Prepayment'!$B$7*12-AG298+1),AH298),AJ297)),IF(AND('Loan Prepayment'!$E$15="Reduce EMI",AM297&gt;0),-PMT(AI298/1200,MAX(1,'Loan Prepayment'!$B$7*12-AG298+1),AH298),AJ297)),AH298+AK298))</f>
        <v>0</v>
      </c>
      <c r="AK298">
        <f t="shared" si="97"/>
        <v>0</v>
      </c>
      <c r="AL298">
        <f t="shared" si="98"/>
        <v>0</v>
      </c>
      <c r="AM298">
        <f>IF(AH298&lt;=0,0,MIN(MAX(0,AH298-AL298),SUMIFS('Loan Prepayment'!$B$12:$B$31,'Loan Prepayment'!$A$12:$A$31,AG298)+IF(AND(AG298&gt;='Loan Prepayment'!$B$9,AG298&lt;='Loan Prepayment'!$E$16),'Loan Prepayment'!$B$8,0)))</f>
        <v>0</v>
      </c>
      <c r="AN298">
        <f t="shared" si="99"/>
        <v>0</v>
      </c>
    </row>
    <row r="299" spans="1:40" x14ac:dyDescent="0.35">
      <c r="A299">
        <v>298</v>
      </c>
      <c r="B299">
        <f t="shared" si="100"/>
        <v>0</v>
      </c>
      <c r="C299" s="64">
        <f>'Loan Prepayment'!$B$6</f>
        <v>7.5</v>
      </c>
      <c r="D299">
        <f>IF(B299&lt;=0,0,MIN(-PMT('Loan Prepayment'!$B$6/1200,'Loan Prepayment'!$B$7*12,'Loan Prepayment'!$B$5),B299+E299))</f>
        <v>0</v>
      </c>
      <c r="E299">
        <f t="shared" si="84"/>
        <v>0</v>
      </c>
      <c r="F299">
        <f t="shared" si="85"/>
        <v>0</v>
      </c>
      <c r="G299">
        <v>0</v>
      </c>
      <c r="H299">
        <f t="shared" si="86"/>
        <v>0</v>
      </c>
      <c r="I299">
        <v>298</v>
      </c>
      <c r="J299">
        <f t="shared" si="101"/>
        <v>0</v>
      </c>
      <c r="K299" s="64">
        <f>'Loan Prepayment'!$B$6</f>
        <v>7.5</v>
      </c>
      <c r="L299">
        <f>IF(J299&lt;=0,0,MIN(IF(AND('Loan Prepayment'!$E$15="Reduce EMI",O298&gt;0),-PMT(K299/1200,MAX(1,'Loan Prepayment'!$B$7*12-I299+1),J299),L298),J299+M299))</f>
        <v>0</v>
      </c>
      <c r="M299">
        <f t="shared" si="87"/>
        <v>0</v>
      </c>
      <c r="N299">
        <f t="shared" si="88"/>
        <v>0</v>
      </c>
      <c r="O299">
        <f>IF(J299&lt;=0,0,MIN(MAX(0,J299-N299),SUMIFS('Loan Prepayment'!$B$12:$B$31,'Loan Prepayment'!$A$12:$A$31,I299)+0))</f>
        <v>0</v>
      </c>
      <c r="P299">
        <f t="shared" si="89"/>
        <v>0</v>
      </c>
      <c r="Q299">
        <v>298</v>
      </c>
      <c r="R299">
        <f t="shared" si="102"/>
        <v>0</v>
      </c>
      <c r="S299" s="64">
        <f>'Loan Prepayment'!$B$6</f>
        <v>7.5</v>
      </c>
      <c r="T299">
        <f>IF(R299&lt;=0,0,MIN(IF(AND('Loan Prepayment'!$E$15="Reduce EMI",W298&gt;0),-PMT(S299/1200,MAX(1,'Loan Prepayment'!$B$7*12-Q299+1),R299),T298),R299+U299))</f>
        <v>0</v>
      </c>
      <c r="U299">
        <f t="shared" si="90"/>
        <v>0</v>
      </c>
      <c r="V299">
        <f t="shared" si="91"/>
        <v>0</v>
      </c>
      <c r="W299">
        <f>IF(R299&lt;=0,0,MIN(MAX(0,R299-V299),0+IF(AND(Q299&gt;='Loan Prepayment'!$B$9,Q299&lt;='Loan Prepayment'!$E$16),'Loan Prepayment'!$B$8,0)))</f>
        <v>0</v>
      </c>
      <c r="X299">
        <f t="shared" si="92"/>
        <v>0</v>
      </c>
      <c r="Y299">
        <v>298</v>
      </c>
      <c r="Z299">
        <f t="shared" si="103"/>
        <v>0</v>
      </c>
      <c r="AA299">
        <f>IF(Y299&gt;='Loan Prepayment'!$E$11,'Loan Prepayment'!$E$12,'Loan Prepayment'!$B$6)</f>
        <v>6.5</v>
      </c>
      <c r="AB299">
        <f>IF(Z299&lt;=0,0,MIN(IF(Y299='Loan Prepayment'!$E$11,IF('Loan Prepayment'!$E$13="Keep tenure, recalculate EMI",-PMT(AA299/1200,MAX(1,'Loan Prepayment'!$B$7*12-Y299+1),Z299),AB298),AB298),Z299+AC299))</f>
        <v>0</v>
      </c>
      <c r="AC299">
        <f t="shared" si="93"/>
        <v>0</v>
      </c>
      <c r="AD299">
        <f t="shared" si="94"/>
        <v>0</v>
      </c>
      <c r="AE299">
        <f t="shared" si="95"/>
        <v>0</v>
      </c>
      <c r="AF299">
        <f t="shared" si="96"/>
        <v>0</v>
      </c>
      <c r="AG299">
        <v>298</v>
      </c>
      <c r="AH299">
        <f t="shared" si="104"/>
        <v>0</v>
      </c>
      <c r="AI299">
        <f>IF(AG299&gt;='Loan Prepayment'!$E$11,'Loan Prepayment'!$E$12,'Loan Prepayment'!$B$6)</f>
        <v>6.5</v>
      </c>
      <c r="AJ299">
        <f>IF(AH299&lt;=0,0,MIN(IF(AG299='Loan Prepayment'!$E$11,IF('Loan Prepayment'!$E$13="Keep tenure, recalculate EMI",-PMT(AI299/1200,MAX(1,'Loan Prepayment'!$B$7*12-AG299+1),AH299),IF(AND('Loan Prepayment'!$E$15="Reduce EMI",AM298&gt;0),-PMT(AI298/1200,MAX(1,'Loan Prepayment'!$B$7*12-AG299+1),AH299),AJ298)),IF(AND('Loan Prepayment'!$E$15="Reduce EMI",AM298&gt;0),-PMT(AI299/1200,MAX(1,'Loan Prepayment'!$B$7*12-AG299+1),AH299),AJ298)),AH299+AK299))</f>
        <v>0</v>
      </c>
      <c r="AK299">
        <f t="shared" si="97"/>
        <v>0</v>
      </c>
      <c r="AL299">
        <f t="shared" si="98"/>
        <v>0</v>
      </c>
      <c r="AM299">
        <f>IF(AH299&lt;=0,0,MIN(MAX(0,AH299-AL299),SUMIFS('Loan Prepayment'!$B$12:$B$31,'Loan Prepayment'!$A$12:$A$31,AG299)+IF(AND(AG299&gt;='Loan Prepayment'!$B$9,AG299&lt;='Loan Prepayment'!$E$16),'Loan Prepayment'!$B$8,0)))</f>
        <v>0</v>
      </c>
      <c r="AN299">
        <f t="shared" si="99"/>
        <v>0</v>
      </c>
    </row>
    <row r="300" spans="1:40" x14ac:dyDescent="0.35">
      <c r="A300">
        <v>299</v>
      </c>
      <c r="B300">
        <f t="shared" si="100"/>
        <v>0</v>
      </c>
      <c r="C300" s="64">
        <f>'Loan Prepayment'!$B$6</f>
        <v>7.5</v>
      </c>
      <c r="D300">
        <f>IF(B300&lt;=0,0,MIN(-PMT('Loan Prepayment'!$B$6/1200,'Loan Prepayment'!$B$7*12,'Loan Prepayment'!$B$5),B300+E300))</f>
        <v>0</v>
      </c>
      <c r="E300">
        <f t="shared" si="84"/>
        <v>0</v>
      </c>
      <c r="F300">
        <f t="shared" si="85"/>
        <v>0</v>
      </c>
      <c r="G300">
        <v>0</v>
      </c>
      <c r="H300">
        <f t="shared" si="86"/>
        <v>0</v>
      </c>
      <c r="I300">
        <v>299</v>
      </c>
      <c r="J300">
        <f t="shared" si="101"/>
        <v>0</v>
      </c>
      <c r="K300" s="64">
        <f>'Loan Prepayment'!$B$6</f>
        <v>7.5</v>
      </c>
      <c r="L300">
        <f>IF(J300&lt;=0,0,MIN(IF(AND('Loan Prepayment'!$E$15="Reduce EMI",O299&gt;0),-PMT(K300/1200,MAX(1,'Loan Prepayment'!$B$7*12-I300+1),J300),L299),J300+M300))</f>
        <v>0</v>
      </c>
      <c r="M300">
        <f t="shared" si="87"/>
        <v>0</v>
      </c>
      <c r="N300">
        <f t="shared" si="88"/>
        <v>0</v>
      </c>
      <c r="O300">
        <f>IF(J300&lt;=0,0,MIN(MAX(0,J300-N300),SUMIFS('Loan Prepayment'!$B$12:$B$31,'Loan Prepayment'!$A$12:$A$31,I300)+0))</f>
        <v>0</v>
      </c>
      <c r="P300">
        <f t="shared" si="89"/>
        <v>0</v>
      </c>
      <c r="Q300">
        <v>299</v>
      </c>
      <c r="R300">
        <f t="shared" si="102"/>
        <v>0</v>
      </c>
      <c r="S300" s="64">
        <f>'Loan Prepayment'!$B$6</f>
        <v>7.5</v>
      </c>
      <c r="T300">
        <f>IF(R300&lt;=0,0,MIN(IF(AND('Loan Prepayment'!$E$15="Reduce EMI",W299&gt;0),-PMT(S300/1200,MAX(1,'Loan Prepayment'!$B$7*12-Q300+1),R300),T299),R300+U300))</f>
        <v>0</v>
      </c>
      <c r="U300">
        <f t="shared" si="90"/>
        <v>0</v>
      </c>
      <c r="V300">
        <f t="shared" si="91"/>
        <v>0</v>
      </c>
      <c r="W300">
        <f>IF(R300&lt;=0,0,MIN(MAX(0,R300-V300),0+IF(AND(Q300&gt;='Loan Prepayment'!$B$9,Q300&lt;='Loan Prepayment'!$E$16),'Loan Prepayment'!$B$8,0)))</f>
        <v>0</v>
      </c>
      <c r="X300">
        <f t="shared" si="92"/>
        <v>0</v>
      </c>
      <c r="Y300">
        <v>299</v>
      </c>
      <c r="Z300">
        <f t="shared" si="103"/>
        <v>0</v>
      </c>
      <c r="AA300">
        <f>IF(Y300&gt;='Loan Prepayment'!$E$11,'Loan Prepayment'!$E$12,'Loan Prepayment'!$B$6)</f>
        <v>6.5</v>
      </c>
      <c r="AB300">
        <f>IF(Z300&lt;=0,0,MIN(IF(Y300='Loan Prepayment'!$E$11,IF('Loan Prepayment'!$E$13="Keep tenure, recalculate EMI",-PMT(AA300/1200,MAX(1,'Loan Prepayment'!$B$7*12-Y300+1),Z300),AB299),AB299),Z300+AC300))</f>
        <v>0</v>
      </c>
      <c r="AC300">
        <f t="shared" si="93"/>
        <v>0</v>
      </c>
      <c r="AD300">
        <f t="shared" si="94"/>
        <v>0</v>
      </c>
      <c r="AE300">
        <f t="shared" si="95"/>
        <v>0</v>
      </c>
      <c r="AF300">
        <f t="shared" si="96"/>
        <v>0</v>
      </c>
      <c r="AG300">
        <v>299</v>
      </c>
      <c r="AH300">
        <f t="shared" si="104"/>
        <v>0</v>
      </c>
      <c r="AI300">
        <f>IF(AG300&gt;='Loan Prepayment'!$E$11,'Loan Prepayment'!$E$12,'Loan Prepayment'!$B$6)</f>
        <v>6.5</v>
      </c>
      <c r="AJ300">
        <f>IF(AH300&lt;=0,0,MIN(IF(AG300='Loan Prepayment'!$E$11,IF('Loan Prepayment'!$E$13="Keep tenure, recalculate EMI",-PMT(AI300/1200,MAX(1,'Loan Prepayment'!$B$7*12-AG300+1),AH300),IF(AND('Loan Prepayment'!$E$15="Reduce EMI",AM299&gt;0),-PMT(AI299/1200,MAX(1,'Loan Prepayment'!$B$7*12-AG300+1),AH300),AJ299)),IF(AND('Loan Prepayment'!$E$15="Reduce EMI",AM299&gt;0),-PMT(AI300/1200,MAX(1,'Loan Prepayment'!$B$7*12-AG300+1),AH300),AJ299)),AH300+AK300))</f>
        <v>0</v>
      </c>
      <c r="AK300">
        <f t="shared" si="97"/>
        <v>0</v>
      </c>
      <c r="AL300">
        <f t="shared" si="98"/>
        <v>0</v>
      </c>
      <c r="AM300">
        <f>IF(AH300&lt;=0,0,MIN(MAX(0,AH300-AL300),SUMIFS('Loan Prepayment'!$B$12:$B$31,'Loan Prepayment'!$A$12:$A$31,AG300)+IF(AND(AG300&gt;='Loan Prepayment'!$B$9,AG300&lt;='Loan Prepayment'!$E$16),'Loan Prepayment'!$B$8,0)))</f>
        <v>0</v>
      </c>
      <c r="AN300">
        <f t="shared" si="99"/>
        <v>0</v>
      </c>
    </row>
    <row r="301" spans="1:40" x14ac:dyDescent="0.35">
      <c r="A301">
        <v>300</v>
      </c>
      <c r="B301">
        <f t="shared" si="100"/>
        <v>0</v>
      </c>
      <c r="C301" s="64">
        <f>'Loan Prepayment'!$B$6</f>
        <v>7.5</v>
      </c>
      <c r="D301">
        <f>IF(B301&lt;=0,0,MIN(-PMT('Loan Prepayment'!$B$6/1200,'Loan Prepayment'!$B$7*12,'Loan Prepayment'!$B$5),B301+E301))</f>
        <v>0</v>
      </c>
      <c r="E301">
        <f t="shared" si="84"/>
        <v>0</v>
      </c>
      <c r="F301">
        <f t="shared" si="85"/>
        <v>0</v>
      </c>
      <c r="G301">
        <v>0</v>
      </c>
      <c r="H301">
        <f t="shared" si="86"/>
        <v>0</v>
      </c>
      <c r="I301">
        <v>300</v>
      </c>
      <c r="J301">
        <f t="shared" si="101"/>
        <v>0</v>
      </c>
      <c r="K301" s="64">
        <f>'Loan Prepayment'!$B$6</f>
        <v>7.5</v>
      </c>
      <c r="L301">
        <f>IF(J301&lt;=0,0,MIN(IF(AND('Loan Prepayment'!$E$15="Reduce EMI",O300&gt;0),-PMT(K301/1200,MAX(1,'Loan Prepayment'!$B$7*12-I301+1),J301),L300),J301+M301))</f>
        <v>0</v>
      </c>
      <c r="M301">
        <f t="shared" si="87"/>
        <v>0</v>
      </c>
      <c r="N301">
        <f t="shared" si="88"/>
        <v>0</v>
      </c>
      <c r="O301">
        <f>IF(J301&lt;=0,0,MIN(MAX(0,J301-N301),SUMIFS('Loan Prepayment'!$B$12:$B$31,'Loan Prepayment'!$A$12:$A$31,I301)+0))</f>
        <v>0</v>
      </c>
      <c r="P301">
        <f t="shared" si="89"/>
        <v>0</v>
      </c>
      <c r="Q301">
        <v>300</v>
      </c>
      <c r="R301">
        <f t="shared" si="102"/>
        <v>0</v>
      </c>
      <c r="S301" s="64">
        <f>'Loan Prepayment'!$B$6</f>
        <v>7.5</v>
      </c>
      <c r="T301">
        <f>IF(R301&lt;=0,0,MIN(IF(AND('Loan Prepayment'!$E$15="Reduce EMI",W300&gt;0),-PMT(S301/1200,MAX(1,'Loan Prepayment'!$B$7*12-Q301+1),R301),T300),R301+U301))</f>
        <v>0</v>
      </c>
      <c r="U301">
        <f t="shared" si="90"/>
        <v>0</v>
      </c>
      <c r="V301">
        <f t="shared" si="91"/>
        <v>0</v>
      </c>
      <c r="W301">
        <f>IF(R301&lt;=0,0,MIN(MAX(0,R301-V301),0+IF(AND(Q301&gt;='Loan Prepayment'!$B$9,Q301&lt;='Loan Prepayment'!$E$16),'Loan Prepayment'!$B$8,0)))</f>
        <v>0</v>
      </c>
      <c r="X301">
        <f t="shared" si="92"/>
        <v>0</v>
      </c>
      <c r="Y301">
        <v>300</v>
      </c>
      <c r="Z301">
        <f t="shared" si="103"/>
        <v>0</v>
      </c>
      <c r="AA301">
        <f>IF(Y301&gt;='Loan Prepayment'!$E$11,'Loan Prepayment'!$E$12,'Loan Prepayment'!$B$6)</f>
        <v>6.5</v>
      </c>
      <c r="AB301">
        <f>IF(Z301&lt;=0,0,MIN(IF(Y301='Loan Prepayment'!$E$11,IF('Loan Prepayment'!$E$13="Keep tenure, recalculate EMI",-PMT(AA301/1200,MAX(1,'Loan Prepayment'!$B$7*12-Y301+1),Z301),AB300),AB300),Z301+AC301))</f>
        <v>0</v>
      </c>
      <c r="AC301">
        <f t="shared" si="93"/>
        <v>0</v>
      </c>
      <c r="AD301">
        <f t="shared" si="94"/>
        <v>0</v>
      </c>
      <c r="AE301">
        <f t="shared" si="95"/>
        <v>0</v>
      </c>
      <c r="AF301">
        <f t="shared" si="96"/>
        <v>0</v>
      </c>
      <c r="AG301">
        <v>300</v>
      </c>
      <c r="AH301">
        <f t="shared" si="104"/>
        <v>0</v>
      </c>
      <c r="AI301">
        <f>IF(AG301&gt;='Loan Prepayment'!$E$11,'Loan Prepayment'!$E$12,'Loan Prepayment'!$B$6)</f>
        <v>6.5</v>
      </c>
      <c r="AJ301">
        <f>IF(AH301&lt;=0,0,MIN(IF(AG301='Loan Prepayment'!$E$11,IF('Loan Prepayment'!$E$13="Keep tenure, recalculate EMI",-PMT(AI301/1200,MAX(1,'Loan Prepayment'!$B$7*12-AG301+1),AH301),IF(AND('Loan Prepayment'!$E$15="Reduce EMI",AM300&gt;0),-PMT(AI300/1200,MAX(1,'Loan Prepayment'!$B$7*12-AG301+1),AH301),AJ300)),IF(AND('Loan Prepayment'!$E$15="Reduce EMI",AM300&gt;0),-PMT(AI301/1200,MAX(1,'Loan Prepayment'!$B$7*12-AG301+1),AH301),AJ300)),AH301+AK301))</f>
        <v>0</v>
      </c>
      <c r="AK301">
        <f t="shared" si="97"/>
        <v>0</v>
      </c>
      <c r="AL301">
        <f t="shared" si="98"/>
        <v>0</v>
      </c>
      <c r="AM301">
        <f>IF(AH301&lt;=0,0,MIN(MAX(0,AH301-AL301),SUMIFS('Loan Prepayment'!$B$12:$B$31,'Loan Prepayment'!$A$12:$A$31,AG301)+IF(AND(AG301&gt;='Loan Prepayment'!$B$9,AG301&lt;='Loan Prepayment'!$E$16),'Loan Prepayment'!$B$8,0)))</f>
        <v>0</v>
      </c>
      <c r="AN301">
        <f t="shared" si="99"/>
        <v>0</v>
      </c>
    </row>
    <row r="302" spans="1:40" x14ac:dyDescent="0.35">
      <c r="A302">
        <v>301</v>
      </c>
      <c r="B302">
        <f t="shared" si="100"/>
        <v>0</v>
      </c>
      <c r="C302" s="64">
        <f>'Loan Prepayment'!$B$6</f>
        <v>7.5</v>
      </c>
      <c r="D302">
        <f>IF(B302&lt;=0,0,MIN(-PMT('Loan Prepayment'!$B$6/1200,'Loan Prepayment'!$B$7*12,'Loan Prepayment'!$B$5),B302+E302))</f>
        <v>0</v>
      </c>
      <c r="E302">
        <f t="shared" si="84"/>
        <v>0</v>
      </c>
      <c r="F302">
        <f t="shared" si="85"/>
        <v>0</v>
      </c>
      <c r="G302">
        <v>0</v>
      </c>
      <c r="H302">
        <f t="shared" si="86"/>
        <v>0</v>
      </c>
      <c r="I302">
        <v>301</v>
      </c>
      <c r="J302">
        <f t="shared" si="101"/>
        <v>0</v>
      </c>
      <c r="K302" s="64">
        <f>'Loan Prepayment'!$B$6</f>
        <v>7.5</v>
      </c>
      <c r="L302">
        <f>IF(J302&lt;=0,0,MIN(IF(AND('Loan Prepayment'!$E$15="Reduce EMI",O301&gt;0),-PMT(K302/1200,MAX(1,'Loan Prepayment'!$B$7*12-I302+1),J302),L301),J302+M302))</f>
        <v>0</v>
      </c>
      <c r="M302">
        <f t="shared" si="87"/>
        <v>0</v>
      </c>
      <c r="N302">
        <f t="shared" si="88"/>
        <v>0</v>
      </c>
      <c r="O302">
        <f>IF(J302&lt;=0,0,MIN(MAX(0,J302-N302),SUMIFS('Loan Prepayment'!$B$12:$B$31,'Loan Prepayment'!$A$12:$A$31,I302)+0))</f>
        <v>0</v>
      </c>
      <c r="P302">
        <f t="shared" si="89"/>
        <v>0</v>
      </c>
      <c r="Q302">
        <v>301</v>
      </c>
      <c r="R302">
        <f t="shared" si="102"/>
        <v>0</v>
      </c>
      <c r="S302" s="64">
        <f>'Loan Prepayment'!$B$6</f>
        <v>7.5</v>
      </c>
      <c r="T302">
        <f>IF(R302&lt;=0,0,MIN(IF(AND('Loan Prepayment'!$E$15="Reduce EMI",W301&gt;0),-PMT(S302/1200,MAX(1,'Loan Prepayment'!$B$7*12-Q302+1),R302),T301),R302+U302))</f>
        <v>0</v>
      </c>
      <c r="U302">
        <f t="shared" si="90"/>
        <v>0</v>
      </c>
      <c r="V302">
        <f t="shared" si="91"/>
        <v>0</v>
      </c>
      <c r="W302">
        <f>IF(R302&lt;=0,0,MIN(MAX(0,R302-V302),0+IF(AND(Q302&gt;='Loan Prepayment'!$B$9,Q302&lt;='Loan Prepayment'!$E$16),'Loan Prepayment'!$B$8,0)))</f>
        <v>0</v>
      </c>
      <c r="X302">
        <f t="shared" si="92"/>
        <v>0</v>
      </c>
      <c r="Y302">
        <v>301</v>
      </c>
      <c r="Z302">
        <f t="shared" si="103"/>
        <v>0</v>
      </c>
      <c r="AA302">
        <f>IF(Y302&gt;='Loan Prepayment'!$E$11,'Loan Prepayment'!$E$12,'Loan Prepayment'!$B$6)</f>
        <v>6.5</v>
      </c>
      <c r="AB302">
        <f>IF(Z302&lt;=0,0,MIN(IF(Y302='Loan Prepayment'!$E$11,IF('Loan Prepayment'!$E$13="Keep tenure, recalculate EMI",-PMT(AA302/1200,MAX(1,'Loan Prepayment'!$B$7*12-Y302+1),Z302),AB301),AB301),Z302+AC302))</f>
        <v>0</v>
      </c>
      <c r="AC302">
        <f t="shared" si="93"/>
        <v>0</v>
      </c>
      <c r="AD302">
        <f t="shared" si="94"/>
        <v>0</v>
      </c>
      <c r="AE302">
        <f t="shared" si="95"/>
        <v>0</v>
      </c>
      <c r="AF302">
        <f t="shared" si="96"/>
        <v>0</v>
      </c>
      <c r="AG302">
        <v>301</v>
      </c>
      <c r="AH302">
        <f t="shared" si="104"/>
        <v>0</v>
      </c>
      <c r="AI302">
        <f>IF(AG302&gt;='Loan Prepayment'!$E$11,'Loan Prepayment'!$E$12,'Loan Prepayment'!$B$6)</f>
        <v>6.5</v>
      </c>
      <c r="AJ302">
        <f>IF(AH302&lt;=0,0,MIN(IF(AG302='Loan Prepayment'!$E$11,IF('Loan Prepayment'!$E$13="Keep tenure, recalculate EMI",-PMT(AI302/1200,MAX(1,'Loan Prepayment'!$B$7*12-AG302+1),AH302),IF(AND('Loan Prepayment'!$E$15="Reduce EMI",AM301&gt;0),-PMT(AI301/1200,MAX(1,'Loan Prepayment'!$B$7*12-AG302+1),AH302),AJ301)),IF(AND('Loan Prepayment'!$E$15="Reduce EMI",AM301&gt;0),-PMT(AI302/1200,MAX(1,'Loan Prepayment'!$B$7*12-AG302+1),AH302),AJ301)),AH302+AK302))</f>
        <v>0</v>
      </c>
      <c r="AK302">
        <f t="shared" si="97"/>
        <v>0</v>
      </c>
      <c r="AL302">
        <f t="shared" si="98"/>
        <v>0</v>
      </c>
      <c r="AM302">
        <f>IF(AH302&lt;=0,0,MIN(MAX(0,AH302-AL302),SUMIFS('Loan Prepayment'!$B$12:$B$31,'Loan Prepayment'!$A$12:$A$31,AG302)+IF(AND(AG302&gt;='Loan Prepayment'!$B$9,AG302&lt;='Loan Prepayment'!$E$16),'Loan Prepayment'!$B$8,0)))</f>
        <v>0</v>
      </c>
      <c r="AN302">
        <f t="shared" si="99"/>
        <v>0</v>
      </c>
    </row>
    <row r="303" spans="1:40" x14ac:dyDescent="0.35">
      <c r="A303">
        <v>302</v>
      </c>
      <c r="B303">
        <f t="shared" si="100"/>
        <v>0</v>
      </c>
      <c r="C303" s="64">
        <f>'Loan Prepayment'!$B$6</f>
        <v>7.5</v>
      </c>
      <c r="D303">
        <f>IF(B303&lt;=0,0,MIN(-PMT('Loan Prepayment'!$B$6/1200,'Loan Prepayment'!$B$7*12,'Loan Prepayment'!$B$5),B303+E303))</f>
        <v>0</v>
      </c>
      <c r="E303">
        <f t="shared" si="84"/>
        <v>0</v>
      </c>
      <c r="F303">
        <f t="shared" si="85"/>
        <v>0</v>
      </c>
      <c r="G303">
        <v>0</v>
      </c>
      <c r="H303">
        <f t="shared" si="86"/>
        <v>0</v>
      </c>
      <c r="I303">
        <v>302</v>
      </c>
      <c r="J303">
        <f t="shared" si="101"/>
        <v>0</v>
      </c>
      <c r="K303" s="64">
        <f>'Loan Prepayment'!$B$6</f>
        <v>7.5</v>
      </c>
      <c r="L303">
        <f>IF(J303&lt;=0,0,MIN(IF(AND('Loan Prepayment'!$E$15="Reduce EMI",O302&gt;0),-PMT(K303/1200,MAX(1,'Loan Prepayment'!$B$7*12-I303+1),J303),L302),J303+M303))</f>
        <v>0</v>
      </c>
      <c r="M303">
        <f t="shared" si="87"/>
        <v>0</v>
      </c>
      <c r="N303">
        <f t="shared" si="88"/>
        <v>0</v>
      </c>
      <c r="O303">
        <f>IF(J303&lt;=0,0,MIN(MAX(0,J303-N303),SUMIFS('Loan Prepayment'!$B$12:$B$31,'Loan Prepayment'!$A$12:$A$31,I303)+0))</f>
        <v>0</v>
      </c>
      <c r="P303">
        <f t="shared" si="89"/>
        <v>0</v>
      </c>
      <c r="Q303">
        <v>302</v>
      </c>
      <c r="R303">
        <f t="shared" si="102"/>
        <v>0</v>
      </c>
      <c r="S303" s="64">
        <f>'Loan Prepayment'!$B$6</f>
        <v>7.5</v>
      </c>
      <c r="T303">
        <f>IF(R303&lt;=0,0,MIN(IF(AND('Loan Prepayment'!$E$15="Reduce EMI",W302&gt;0),-PMT(S303/1200,MAX(1,'Loan Prepayment'!$B$7*12-Q303+1),R303),T302),R303+U303))</f>
        <v>0</v>
      </c>
      <c r="U303">
        <f t="shared" si="90"/>
        <v>0</v>
      </c>
      <c r="V303">
        <f t="shared" si="91"/>
        <v>0</v>
      </c>
      <c r="W303">
        <f>IF(R303&lt;=0,0,MIN(MAX(0,R303-V303),0+IF(AND(Q303&gt;='Loan Prepayment'!$B$9,Q303&lt;='Loan Prepayment'!$E$16),'Loan Prepayment'!$B$8,0)))</f>
        <v>0</v>
      </c>
      <c r="X303">
        <f t="shared" si="92"/>
        <v>0</v>
      </c>
      <c r="Y303">
        <v>302</v>
      </c>
      <c r="Z303">
        <f t="shared" si="103"/>
        <v>0</v>
      </c>
      <c r="AA303">
        <f>IF(Y303&gt;='Loan Prepayment'!$E$11,'Loan Prepayment'!$E$12,'Loan Prepayment'!$B$6)</f>
        <v>6.5</v>
      </c>
      <c r="AB303">
        <f>IF(Z303&lt;=0,0,MIN(IF(Y303='Loan Prepayment'!$E$11,IF('Loan Prepayment'!$E$13="Keep tenure, recalculate EMI",-PMT(AA303/1200,MAX(1,'Loan Prepayment'!$B$7*12-Y303+1),Z303),AB302),AB302),Z303+AC303))</f>
        <v>0</v>
      </c>
      <c r="AC303">
        <f t="shared" si="93"/>
        <v>0</v>
      </c>
      <c r="AD303">
        <f t="shared" si="94"/>
        <v>0</v>
      </c>
      <c r="AE303">
        <f t="shared" si="95"/>
        <v>0</v>
      </c>
      <c r="AF303">
        <f t="shared" si="96"/>
        <v>0</v>
      </c>
      <c r="AG303">
        <v>302</v>
      </c>
      <c r="AH303">
        <f t="shared" si="104"/>
        <v>0</v>
      </c>
      <c r="AI303">
        <f>IF(AG303&gt;='Loan Prepayment'!$E$11,'Loan Prepayment'!$E$12,'Loan Prepayment'!$B$6)</f>
        <v>6.5</v>
      </c>
      <c r="AJ303">
        <f>IF(AH303&lt;=0,0,MIN(IF(AG303='Loan Prepayment'!$E$11,IF('Loan Prepayment'!$E$13="Keep tenure, recalculate EMI",-PMT(AI303/1200,MAX(1,'Loan Prepayment'!$B$7*12-AG303+1),AH303),IF(AND('Loan Prepayment'!$E$15="Reduce EMI",AM302&gt;0),-PMT(AI302/1200,MAX(1,'Loan Prepayment'!$B$7*12-AG303+1),AH303),AJ302)),IF(AND('Loan Prepayment'!$E$15="Reduce EMI",AM302&gt;0),-PMT(AI303/1200,MAX(1,'Loan Prepayment'!$B$7*12-AG303+1),AH303),AJ302)),AH303+AK303))</f>
        <v>0</v>
      </c>
      <c r="AK303">
        <f t="shared" si="97"/>
        <v>0</v>
      </c>
      <c r="AL303">
        <f t="shared" si="98"/>
        <v>0</v>
      </c>
      <c r="AM303">
        <f>IF(AH303&lt;=0,0,MIN(MAX(0,AH303-AL303),SUMIFS('Loan Prepayment'!$B$12:$B$31,'Loan Prepayment'!$A$12:$A$31,AG303)+IF(AND(AG303&gt;='Loan Prepayment'!$B$9,AG303&lt;='Loan Prepayment'!$E$16),'Loan Prepayment'!$B$8,0)))</f>
        <v>0</v>
      </c>
      <c r="AN303">
        <f t="shared" si="99"/>
        <v>0</v>
      </c>
    </row>
    <row r="304" spans="1:40" x14ac:dyDescent="0.35">
      <c r="A304">
        <v>303</v>
      </c>
      <c r="B304">
        <f t="shared" si="100"/>
        <v>0</v>
      </c>
      <c r="C304" s="64">
        <f>'Loan Prepayment'!$B$6</f>
        <v>7.5</v>
      </c>
      <c r="D304">
        <f>IF(B304&lt;=0,0,MIN(-PMT('Loan Prepayment'!$B$6/1200,'Loan Prepayment'!$B$7*12,'Loan Prepayment'!$B$5),B304+E304))</f>
        <v>0</v>
      </c>
      <c r="E304">
        <f t="shared" si="84"/>
        <v>0</v>
      </c>
      <c r="F304">
        <f t="shared" si="85"/>
        <v>0</v>
      </c>
      <c r="G304">
        <v>0</v>
      </c>
      <c r="H304">
        <f t="shared" si="86"/>
        <v>0</v>
      </c>
      <c r="I304">
        <v>303</v>
      </c>
      <c r="J304">
        <f t="shared" si="101"/>
        <v>0</v>
      </c>
      <c r="K304" s="64">
        <f>'Loan Prepayment'!$B$6</f>
        <v>7.5</v>
      </c>
      <c r="L304">
        <f>IF(J304&lt;=0,0,MIN(IF(AND('Loan Prepayment'!$E$15="Reduce EMI",O303&gt;0),-PMT(K304/1200,MAX(1,'Loan Prepayment'!$B$7*12-I304+1),J304),L303),J304+M304))</f>
        <v>0</v>
      </c>
      <c r="M304">
        <f t="shared" si="87"/>
        <v>0</v>
      </c>
      <c r="N304">
        <f t="shared" si="88"/>
        <v>0</v>
      </c>
      <c r="O304">
        <f>IF(J304&lt;=0,0,MIN(MAX(0,J304-N304),SUMIFS('Loan Prepayment'!$B$12:$B$31,'Loan Prepayment'!$A$12:$A$31,I304)+0))</f>
        <v>0</v>
      </c>
      <c r="P304">
        <f t="shared" si="89"/>
        <v>0</v>
      </c>
      <c r="Q304">
        <v>303</v>
      </c>
      <c r="R304">
        <f t="shared" si="102"/>
        <v>0</v>
      </c>
      <c r="S304" s="64">
        <f>'Loan Prepayment'!$B$6</f>
        <v>7.5</v>
      </c>
      <c r="T304">
        <f>IF(R304&lt;=0,0,MIN(IF(AND('Loan Prepayment'!$E$15="Reduce EMI",W303&gt;0),-PMT(S304/1200,MAX(1,'Loan Prepayment'!$B$7*12-Q304+1),R304),T303),R304+U304))</f>
        <v>0</v>
      </c>
      <c r="U304">
        <f t="shared" si="90"/>
        <v>0</v>
      </c>
      <c r="V304">
        <f t="shared" si="91"/>
        <v>0</v>
      </c>
      <c r="W304">
        <f>IF(R304&lt;=0,0,MIN(MAX(0,R304-V304),0+IF(AND(Q304&gt;='Loan Prepayment'!$B$9,Q304&lt;='Loan Prepayment'!$E$16),'Loan Prepayment'!$B$8,0)))</f>
        <v>0</v>
      </c>
      <c r="X304">
        <f t="shared" si="92"/>
        <v>0</v>
      </c>
      <c r="Y304">
        <v>303</v>
      </c>
      <c r="Z304">
        <f t="shared" si="103"/>
        <v>0</v>
      </c>
      <c r="AA304">
        <f>IF(Y304&gt;='Loan Prepayment'!$E$11,'Loan Prepayment'!$E$12,'Loan Prepayment'!$B$6)</f>
        <v>6.5</v>
      </c>
      <c r="AB304">
        <f>IF(Z304&lt;=0,0,MIN(IF(Y304='Loan Prepayment'!$E$11,IF('Loan Prepayment'!$E$13="Keep tenure, recalculate EMI",-PMT(AA304/1200,MAX(1,'Loan Prepayment'!$B$7*12-Y304+1),Z304),AB303),AB303),Z304+AC304))</f>
        <v>0</v>
      </c>
      <c r="AC304">
        <f t="shared" si="93"/>
        <v>0</v>
      </c>
      <c r="AD304">
        <f t="shared" si="94"/>
        <v>0</v>
      </c>
      <c r="AE304">
        <f t="shared" si="95"/>
        <v>0</v>
      </c>
      <c r="AF304">
        <f t="shared" si="96"/>
        <v>0</v>
      </c>
      <c r="AG304">
        <v>303</v>
      </c>
      <c r="AH304">
        <f t="shared" si="104"/>
        <v>0</v>
      </c>
      <c r="AI304">
        <f>IF(AG304&gt;='Loan Prepayment'!$E$11,'Loan Prepayment'!$E$12,'Loan Prepayment'!$B$6)</f>
        <v>6.5</v>
      </c>
      <c r="AJ304">
        <f>IF(AH304&lt;=0,0,MIN(IF(AG304='Loan Prepayment'!$E$11,IF('Loan Prepayment'!$E$13="Keep tenure, recalculate EMI",-PMT(AI304/1200,MAX(1,'Loan Prepayment'!$B$7*12-AG304+1),AH304),IF(AND('Loan Prepayment'!$E$15="Reduce EMI",AM303&gt;0),-PMT(AI303/1200,MAX(1,'Loan Prepayment'!$B$7*12-AG304+1),AH304),AJ303)),IF(AND('Loan Prepayment'!$E$15="Reduce EMI",AM303&gt;0),-PMT(AI304/1200,MAX(1,'Loan Prepayment'!$B$7*12-AG304+1),AH304),AJ303)),AH304+AK304))</f>
        <v>0</v>
      </c>
      <c r="AK304">
        <f t="shared" si="97"/>
        <v>0</v>
      </c>
      <c r="AL304">
        <f t="shared" si="98"/>
        <v>0</v>
      </c>
      <c r="AM304">
        <f>IF(AH304&lt;=0,0,MIN(MAX(0,AH304-AL304),SUMIFS('Loan Prepayment'!$B$12:$B$31,'Loan Prepayment'!$A$12:$A$31,AG304)+IF(AND(AG304&gt;='Loan Prepayment'!$B$9,AG304&lt;='Loan Prepayment'!$E$16),'Loan Prepayment'!$B$8,0)))</f>
        <v>0</v>
      </c>
      <c r="AN304">
        <f t="shared" si="99"/>
        <v>0</v>
      </c>
    </row>
    <row r="305" spans="1:40" x14ac:dyDescent="0.35">
      <c r="A305">
        <v>304</v>
      </c>
      <c r="B305">
        <f t="shared" si="100"/>
        <v>0</v>
      </c>
      <c r="C305" s="64">
        <f>'Loan Prepayment'!$B$6</f>
        <v>7.5</v>
      </c>
      <c r="D305">
        <f>IF(B305&lt;=0,0,MIN(-PMT('Loan Prepayment'!$B$6/1200,'Loan Prepayment'!$B$7*12,'Loan Prepayment'!$B$5),B305+E305))</f>
        <v>0</v>
      </c>
      <c r="E305">
        <f t="shared" si="84"/>
        <v>0</v>
      </c>
      <c r="F305">
        <f t="shared" si="85"/>
        <v>0</v>
      </c>
      <c r="G305">
        <v>0</v>
      </c>
      <c r="H305">
        <f t="shared" si="86"/>
        <v>0</v>
      </c>
      <c r="I305">
        <v>304</v>
      </c>
      <c r="J305">
        <f t="shared" si="101"/>
        <v>0</v>
      </c>
      <c r="K305" s="64">
        <f>'Loan Prepayment'!$B$6</f>
        <v>7.5</v>
      </c>
      <c r="L305">
        <f>IF(J305&lt;=0,0,MIN(IF(AND('Loan Prepayment'!$E$15="Reduce EMI",O304&gt;0),-PMT(K305/1200,MAX(1,'Loan Prepayment'!$B$7*12-I305+1),J305),L304),J305+M305))</f>
        <v>0</v>
      </c>
      <c r="M305">
        <f t="shared" si="87"/>
        <v>0</v>
      </c>
      <c r="N305">
        <f t="shared" si="88"/>
        <v>0</v>
      </c>
      <c r="O305">
        <f>IF(J305&lt;=0,0,MIN(MAX(0,J305-N305),SUMIFS('Loan Prepayment'!$B$12:$B$31,'Loan Prepayment'!$A$12:$A$31,I305)+0))</f>
        <v>0</v>
      </c>
      <c r="P305">
        <f t="shared" si="89"/>
        <v>0</v>
      </c>
      <c r="Q305">
        <v>304</v>
      </c>
      <c r="R305">
        <f t="shared" si="102"/>
        <v>0</v>
      </c>
      <c r="S305" s="64">
        <f>'Loan Prepayment'!$B$6</f>
        <v>7.5</v>
      </c>
      <c r="T305">
        <f>IF(R305&lt;=0,0,MIN(IF(AND('Loan Prepayment'!$E$15="Reduce EMI",W304&gt;0),-PMT(S305/1200,MAX(1,'Loan Prepayment'!$B$7*12-Q305+1),R305),T304),R305+U305))</f>
        <v>0</v>
      </c>
      <c r="U305">
        <f t="shared" si="90"/>
        <v>0</v>
      </c>
      <c r="V305">
        <f t="shared" si="91"/>
        <v>0</v>
      </c>
      <c r="W305">
        <f>IF(R305&lt;=0,0,MIN(MAX(0,R305-V305),0+IF(AND(Q305&gt;='Loan Prepayment'!$B$9,Q305&lt;='Loan Prepayment'!$E$16),'Loan Prepayment'!$B$8,0)))</f>
        <v>0</v>
      </c>
      <c r="X305">
        <f t="shared" si="92"/>
        <v>0</v>
      </c>
      <c r="Y305">
        <v>304</v>
      </c>
      <c r="Z305">
        <f t="shared" si="103"/>
        <v>0</v>
      </c>
      <c r="AA305">
        <f>IF(Y305&gt;='Loan Prepayment'!$E$11,'Loan Prepayment'!$E$12,'Loan Prepayment'!$B$6)</f>
        <v>6.5</v>
      </c>
      <c r="AB305">
        <f>IF(Z305&lt;=0,0,MIN(IF(Y305='Loan Prepayment'!$E$11,IF('Loan Prepayment'!$E$13="Keep tenure, recalculate EMI",-PMT(AA305/1200,MAX(1,'Loan Prepayment'!$B$7*12-Y305+1),Z305),AB304),AB304),Z305+AC305))</f>
        <v>0</v>
      </c>
      <c r="AC305">
        <f t="shared" si="93"/>
        <v>0</v>
      </c>
      <c r="AD305">
        <f t="shared" si="94"/>
        <v>0</v>
      </c>
      <c r="AE305">
        <f t="shared" si="95"/>
        <v>0</v>
      </c>
      <c r="AF305">
        <f t="shared" si="96"/>
        <v>0</v>
      </c>
      <c r="AG305">
        <v>304</v>
      </c>
      <c r="AH305">
        <f t="shared" si="104"/>
        <v>0</v>
      </c>
      <c r="AI305">
        <f>IF(AG305&gt;='Loan Prepayment'!$E$11,'Loan Prepayment'!$E$12,'Loan Prepayment'!$B$6)</f>
        <v>6.5</v>
      </c>
      <c r="AJ305">
        <f>IF(AH305&lt;=0,0,MIN(IF(AG305='Loan Prepayment'!$E$11,IF('Loan Prepayment'!$E$13="Keep tenure, recalculate EMI",-PMT(AI305/1200,MAX(1,'Loan Prepayment'!$B$7*12-AG305+1),AH305),IF(AND('Loan Prepayment'!$E$15="Reduce EMI",AM304&gt;0),-PMT(AI304/1200,MAX(1,'Loan Prepayment'!$B$7*12-AG305+1),AH305),AJ304)),IF(AND('Loan Prepayment'!$E$15="Reduce EMI",AM304&gt;0),-PMT(AI305/1200,MAX(1,'Loan Prepayment'!$B$7*12-AG305+1),AH305),AJ304)),AH305+AK305))</f>
        <v>0</v>
      </c>
      <c r="AK305">
        <f t="shared" si="97"/>
        <v>0</v>
      </c>
      <c r="AL305">
        <f t="shared" si="98"/>
        <v>0</v>
      </c>
      <c r="AM305">
        <f>IF(AH305&lt;=0,0,MIN(MAX(0,AH305-AL305),SUMIFS('Loan Prepayment'!$B$12:$B$31,'Loan Prepayment'!$A$12:$A$31,AG305)+IF(AND(AG305&gt;='Loan Prepayment'!$B$9,AG305&lt;='Loan Prepayment'!$E$16),'Loan Prepayment'!$B$8,0)))</f>
        <v>0</v>
      </c>
      <c r="AN305">
        <f t="shared" si="99"/>
        <v>0</v>
      </c>
    </row>
    <row r="306" spans="1:40" x14ac:dyDescent="0.35">
      <c r="A306">
        <v>305</v>
      </c>
      <c r="B306">
        <f t="shared" si="100"/>
        <v>0</v>
      </c>
      <c r="C306" s="64">
        <f>'Loan Prepayment'!$B$6</f>
        <v>7.5</v>
      </c>
      <c r="D306">
        <f>IF(B306&lt;=0,0,MIN(-PMT('Loan Prepayment'!$B$6/1200,'Loan Prepayment'!$B$7*12,'Loan Prepayment'!$B$5),B306+E306))</f>
        <v>0</v>
      </c>
      <c r="E306">
        <f t="shared" si="84"/>
        <v>0</v>
      </c>
      <c r="F306">
        <f t="shared" si="85"/>
        <v>0</v>
      </c>
      <c r="G306">
        <v>0</v>
      </c>
      <c r="H306">
        <f t="shared" si="86"/>
        <v>0</v>
      </c>
      <c r="I306">
        <v>305</v>
      </c>
      <c r="J306">
        <f t="shared" si="101"/>
        <v>0</v>
      </c>
      <c r="K306" s="64">
        <f>'Loan Prepayment'!$B$6</f>
        <v>7.5</v>
      </c>
      <c r="L306">
        <f>IF(J306&lt;=0,0,MIN(IF(AND('Loan Prepayment'!$E$15="Reduce EMI",O305&gt;0),-PMT(K306/1200,MAX(1,'Loan Prepayment'!$B$7*12-I306+1),J306),L305),J306+M306))</f>
        <v>0</v>
      </c>
      <c r="M306">
        <f t="shared" si="87"/>
        <v>0</v>
      </c>
      <c r="N306">
        <f t="shared" si="88"/>
        <v>0</v>
      </c>
      <c r="O306">
        <f>IF(J306&lt;=0,0,MIN(MAX(0,J306-N306),SUMIFS('Loan Prepayment'!$B$12:$B$31,'Loan Prepayment'!$A$12:$A$31,I306)+0))</f>
        <v>0</v>
      </c>
      <c r="P306">
        <f t="shared" si="89"/>
        <v>0</v>
      </c>
      <c r="Q306">
        <v>305</v>
      </c>
      <c r="R306">
        <f t="shared" si="102"/>
        <v>0</v>
      </c>
      <c r="S306" s="64">
        <f>'Loan Prepayment'!$B$6</f>
        <v>7.5</v>
      </c>
      <c r="T306">
        <f>IF(R306&lt;=0,0,MIN(IF(AND('Loan Prepayment'!$E$15="Reduce EMI",W305&gt;0),-PMT(S306/1200,MAX(1,'Loan Prepayment'!$B$7*12-Q306+1),R306),T305),R306+U306))</f>
        <v>0</v>
      </c>
      <c r="U306">
        <f t="shared" si="90"/>
        <v>0</v>
      </c>
      <c r="V306">
        <f t="shared" si="91"/>
        <v>0</v>
      </c>
      <c r="W306">
        <f>IF(R306&lt;=0,0,MIN(MAX(0,R306-V306),0+IF(AND(Q306&gt;='Loan Prepayment'!$B$9,Q306&lt;='Loan Prepayment'!$E$16),'Loan Prepayment'!$B$8,0)))</f>
        <v>0</v>
      </c>
      <c r="X306">
        <f t="shared" si="92"/>
        <v>0</v>
      </c>
      <c r="Y306">
        <v>305</v>
      </c>
      <c r="Z306">
        <f t="shared" si="103"/>
        <v>0</v>
      </c>
      <c r="AA306">
        <f>IF(Y306&gt;='Loan Prepayment'!$E$11,'Loan Prepayment'!$E$12,'Loan Prepayment'!$B$6)</f>
        <v>6.5</v>
      </c>
      <c r="AB306">
        <f>IF(Z306&lt;=0,0,MIN(IF(Y306='Loan Prepayment'!$E$11,IF('Loan Prepayment'!$E$13="Keep tenure, recalculate EMI",-PMT(AA306/1200,MAX(1,'Loan Prepayment'!$B$7*12-Y306+1),Z306),AB305),AB305),Z306+AC306))</f>
        <v>0</v>
      </c>
      <c r="AC306">
        <f t="shared" si="93"/>
        <v>0</v>
      </c>
      <c r="AD306">
        <f t="shared" si="94"/>
        <v>0</v>
      </c>
      <c r="AE306">
        <f t="shared" si="95"/>
        <v>0</v>
      </c>
      <c r="AF306">
        <f t="shared" si="96"/>
        <v>0</v>
      </c>
      <c r="AG306">
        <v>305</v>
      </c>
      <c r="AH306">
        <f t="shared" si="104"/>
        <v>0</v>
      </c>
      <c r="AI306">
        <f>IF(AG306&gt;='Loan Prepayment'!$E$11,'Loan Prepayment'!$E$12,'Loan Prepayment'!$B$6)</f>
        <v>6.5</v>
      </c>
      <c r="AJ306">
        <f>IF(AH306&lt;=0,0,MIN(IF(AG306='Loan Prepayment'!$E$11,IF('Loan Prepayment'!$E$13="Keep tenure, recalculate EMI",-PMT(AI306/1200,MAX(1,'Loan Prepayment'!$B$7*12-AG306+1),AH306),IF(AND('Loan Prepayment'!$E$15="Reduce EMI",AM305&gt;0),-PMT(AI305/1200,MAX(1,'Loan Prepayment'!$B$7*12-AG306+1),AH306),AJ305)),IF(AND('Loan Prepayment'!$E$15="Reduce EMI",AM305&gt;0),-PMT(AI306/1200,MAX(1,'Loan Prepayment'!$B$7*12-AG306+1),AH306),AJ305)),AH306+AK306))</f>
        <v>0</v>
      </c>
      <c r="AK306">
        <f t="shared" si="97"/>
        <v>0</v>
      </c>
      <c r="AL306">
        <f t="shared" si="98"/>
        <v>0</v>
      </c>
      <c r="AM306">
        <f>IF(AH306&lt;=0,0,MIN(MAX(0,AH306-AL306),SUMIFS('Loan Prepayment'!$B$12:$B$31,'Loan Prepayment'!$A$12:$A$31,AG306)+IF(AND(AG306&gt;='Loan Prepayment'!$B$9,AG306&lt;='Loan Prepayment'!$E$16),'Loan Prepayment'!$B$8,0)))</f>
        <v>0</v>
      </c>
      <c r="AN306">
        <f t="shared" si="99"/>
        <v>0</v>
      </c>
    </row>
    <row r="307" spans="1:40" x14ac:dyDescent="0.35">
      <c r="A307">
        <v>306</v>
      </c>
      <c r="B307">
        <f t="shared" si="100"/>
        <v>0</v>
      </c>
      <c r="C307" s="64">
        <f>'Loan Prepayment'!$B$6</f>
        <v>7.5</v>
      </c>
      <c r="D307">
        <f>IF(B307&lt;=0,0,MIN(-PMT('Loan Prepayment'!$B$6/1200,'Loan Prepayment'!$B$7*12,'Loan Prepayment'!$B$5),B307+E307))</f>
        <v>0</v>
      </c>
      <c r="E307">
        <f t="shared" si="84"/>
        <v>0</v>
      </c>
      <c r="F307">
        <f t="shared" si="85"/>
        <v>0</v>
      </c>
      <c r="G307">
        <v>0</v>
      </c>
      <c r="H307">
        <f t="shared" si="86"/>
        <v>0</v>
      </c>
      <c r="I307">
        <v>306</v>
      </c>
      <c r="J307">
        <f t="shared" si="101"/>
        <v>0</v>
      </c>
      <c r="K307" s="64">
        <f>'Loan Prepayment'!$B$6</f>
        <v>7.5</v>
      </c>
      <c r="L307">
        <f>IF(J307&lt;=0,0,MIN(IF(AND('Loan Prepayment'!$E$15="Reduce EMI",O306&gt;0),-PMT(K307/1200,MAX(1,'Loan Prepayment'!$B$7*12-I307+1),J307),L306),J307+M307))</f>
        <v>0</v>
      </c>
      <c r="M307">
        <f t="shared" si="87"/>
        <v>0</v>
      </c>
      <c r="N307">
        <f t="shared" si="88"/>
        <v>0</v>
      </c>
      <c r="O307">
        <f>IF(J307&lt;=0,0,MIN(MAX(0,J307-N307),SUMIFS('Loan Prepayment'!$B$12:$B$31,'Loan Prepayment'!$A$12:$A$31,I307)+0))</f>
        <v>0</v>
      </c>
      <c r="P307">
        <f t="shared" si="89"/>
        <v>0</v>
      </c>
      <c r="Q307">
        <v>306</v>
      </c>
      <c r="R307">
        <f t="shared" si="102"/>
        <v>0</v>
      </c>
      <c r="S307" s="64">
        <f>'Loan Prepayment'!$B$6</f>
        <v>7.5</v>
      </c>
      <c r="T307">
        <f>IF(R307&lt;=0,0,MIN(IF(AND('Loan Prepayment'!$E$15="Reduce EMI",W306&gt;0),-PMT(S307/1200,MAX(1,'Loan Prepayment'!$B$7*12-Q307+1),R307),T306),R307+U307))</f>
        <v>0</v>
      </c>
      <c r="U307">
        <f t="shared" si="90"/>
        <v>0</v>
      </c>
      <c r="V307">
        <f t="shared" si="91"/>
        <v>0</v>
      </c>
      <c r="W307">
        <f>IF(R307&lt;=0,0,MIN(MAX(0,R307-V307),0+IF(AND(Q307&gt;='Loan Prepayment'!$B$9,Q307&lt;='Loan Prepayment'!$E$16),'Loan Prepayment'!$B$8,0)))</f>
        <v>0</v>
      </c>
      <c r="X307">
        <f t="shared" si="92"/>
        <v>0</v>
      </c>
      <c r="Y307">
        <v>306</v>
      </c>
      <c r="Z307">
        <f t="shared" si="103"/>
        <v>0</v>
      </c>
      <c r="AA307">
        <f>IF(Y307&gt;='Loan Prepayment'!$E$11,'Loan Prepayment'!$E$12,'Loan Prepayment'!$B$6)</f>
        <v>6.5</v>
      </c>
      <c r="AB307">
        <f>IF(Z307&lt;=0,0,MIN(IF(Y307='Loan Prepayment'!$E$11,IF('Loan Prepayment'!$E$13="Keep tenure, recalculate EMI",-PMT(AA307/1200,MAX(1,'Loan Prepayment'!$B$7*12-Y307+1),Z307),AB306),AB306),Z307+AC307))</f>
        <v>0</v>
      </c>
      <c r="AC307">
        <f t="shared" si="93"/>
        <v>0</v>
      </c>
      <c r="AD307">
        <f t="shared" si="94"/>
        <v>0</v>
      </c>
      <c r="AE307">
        <f t="shared" si="95"/>
        <v>0</v>
      </c>
      <c r="AF307">
        <f t="shared" si="96"/>
        <v>0</v>
      </c>
      <c r="AG307">
        <v>306</v>
      </c>
      <c r="AH307">
        <f t="shared" si="104"/>
        <v>0</v>
      </c>
      <c r="AI307">
        <f>IF(AG307&gt;='Loan Prepayment'!$E$11,'Loan Prepayment'!$E$12,'Loan Prepayment'!$B$6)</f>
        <v>6.5</v>
      </c>
      <c r="AJ307">
        <f>IF(AH307&lt;=0,0,MIN(IF(AG307='Loan Prepayment'!$E$11,IF('Loan Prepayment'!$E$13="Keep tenure, recalculate EMI",-PMT(AI307/1200,MAX(1,'Loan Prepayment'!$B$7*12-AG307+1),AH307),IF(AND('Loan Prepayment'!$E$15="Reduce EMI",AM306&gt;0),-PMT(AI306/1200,MAX(1,'Loan Prepayment'!$B$7*12-AG307+1),AH307),AJ306)),IF(AND('Loan Prepayment'!$E$15="Reduce EMI",AM306&gt;0),-PMT(AI307/1200,MAX(1,'Loan Prepayment'!$B$7*12-AG307+1),AH307),AJ306)),AH307+AK307))</f>
        <v>0</v>
      </c>
      <c r="AK307">
        <f t="shared" si="97"/>
        <v>0</v>
      </c>
      <c r="AL307">
        <f t="shared" si="98"/>
        <v>0</v>
      </c>
      <c r="AM307">
        <f>IF(AH307&lt;=0,0,MIN(MAX(0,AH307-AL307),SUMIFS('Loan Prepayment'!$B$12:$B$31,'Loan Prepayment'!$A$12:$A$31,AG307)+IF(AND(AG307&gt;='Loan Prepayment'!$B$9,AG307&lt;='Loan Prepayment'!$E$16),'Loan Prepayment'!$B$8,0)))</f>
        <v>0</v>
      </c>
      <c r="AN307">
        <f t="shared" si="99"/>
        <v>0</v>
      </c>
    </row>
    <row r="308" spans="1:40" x14ac:dyDescent="0.35">
      <c r="A308">
        <v>307</v>
      </c>
      <c r="B308">
        <f t="shared" si="100"/>
        <v>0</v>
      </c>
      <c r="C308" s="64">
        <f>'Loan Prepayment'!$B$6</f>
        <v>7.5</v>
      </c>
      <c r="D308">
        <f>IF(B308&lt;=0,0,MIN(-PMT('Loan Prepayment'!$B$6/1200,'Loan Prepayment'!$B$7*12,'Loan Prepayment'!$B$5),B308+E308))</f>
        <v>0</v>
      </c>
      <c r="E308">
        <f t="shared" si="84"/>
        <v>0</v>
      </c>
      <c r="F308">
        <f t="shared" si="85"/>
        <v>0</v>
      </c>
      <c r="G308">
        <v>0</v>
      </c>
      <c r="H308">
        <f t="shared" si="86"/>
        <v>0</v>
      </c>
      <c r="I308">
        <v>307</v>
      </c>
      <c r="J308">
        <f t="shared" si="101"/>
        <v>0</v>
      </c>
      <c r="K308" s="64">
        <f>'Loan Prepayment'!$B$6</f>
        <v>7.5</v>
      </c>
      <c r="L308">
        <f>IF(J308&lt;=0,0,MIN(IF(AND('Loan Prepayment'!$E$15="Reduce EMI",O307&gt;0),-PMT(K308/1200,MAX(1,'Loan Prepayment'!$B$7*12-I308+1),J308),L307),J308+M308))</f>
        <v>0</v>
      </c>
      <c r="M308">
        <f t="shared" si="87"/>
        <v>0</v>
      </c>
      <c r="N308">
        <f t="shared" si="88"/>
        <v>0</v>
      </c>
      <c r="O308">
        <f>IF(J308&lt;=0,0,MIN(MAX(0,J308-N308),SUMIFS('Loan Prepayment'!$B$12:$B$31,'Loan Prepayment'!$A$12:$A$31,I308)+0))</f>
        <v>0</v>
      </c>
      <c r="P308">
        <f t="shared" si="89"/>
        <v>0</v>
      </c>
      <c r="Q308">
        <v>307</v>
      </c>
      <c r="R308">
        <f t="shared" si="102"/>
        <v>0</v>
      </c>
      <c r="S308" s="64">
        <f>'Loan Prepayment'!$B$6</f>
        <v>7.5</v>
      </c>
      <c r="T308">
        <f>IF(R308&lt;=0,0,MIN(IF(AND('Loan Prepayment'!$E$15="Reduce EMI",W307&gt;0),-PMT(S308/1200,MAX(1,'Loan Prepayment'!$B$7*12-Q308+1),R308),T307),R308+U308))</f>
        <v>0</v>
      </c>
      <c r="U308">
        <f t="shared" si="90"/>
        <v>0</v>
      </c>
      <c r="V308">
        <f t="shared" si="91"/>
        <v>0</v>
      </c>
      <c r="W308">
        <f>IF(R308&lt;=0,0,MIN(MAX(0,R308-V308),0+IF(AND(Q308&gt;='Loan Prepayment'!$B$9,Q308&lt;='Loan Prepayment'!$E$16),'Loan Prepayment'!$B$8,0)))</f>
        <v>0</v>
      </c>
      <c r="X308">
        <f t="shared" si="92"/>
        <v>0</v>
      </c>
      <c r="Y308">
        <v>307</v>
      </c>
      <c r="Z308">
        <f t="shared" si="103"/>
        <v>0</v>
      </c>
      <c r="AA308">
        <f>IF(Y308&gt;='Loan Prepayment'!$E$11,'Loan Prepayment'!$E$12,'Loan Prepayment'!$B$6)</f>
        <v>6.5</v>
      </c>
      <c r="AB308">
        <f>IF(Z308&lt;=0,0,MIN(IF(Y308='Loan Prepayment'!$E$11,IF('Loan Prepayment'!$E$13="Keep tenure, recalculate EMI",-PMT(AA308/1200,MAX(1,'Loan Prepayment'!$B$7*12-Y308+1),Z308),AB307),AB307),Z308+AC308))</f>
        <v>0</v>
      </c>
      <c r="AC308">
        <f t="shared" si="93"/>
        <v>0</v>
      </c>
      <c r="AD308">
        <f t="shared" si="94"/>
        <v>0</v>
      </c>
      <c r="AE308">
        <f t="shared" si="95"/>
        <v>0</v>
      </c>
      <c r="AF308">
        <f t="shared" si="96"/>
        <v>0</v>
      </c>
      <c r="AG308">
        <v>307</v>
      </c>
      <c r="AH308">
        <f t="shared" si="104"/>
        <v>0</v>
      </c>
      <c r="AI308">
        <f>IF(AG308&gt;='Loan Prepayment'!$E$11,'Loan Prepayment'!$E$12,'Loan Prepayment'!$B$6)</f>
        <v>6.5</v>
      </c>
      <c r="AJ308">
        <f>IF(AH308&lt;=0,0,MIN(IF(AG308='Loan Prepayment'!$E$11,IF('Loan Prepayment'!$E$13="Keep tenure, recalculate EMI",-PMT(AI308/1200,MAX(1,'Loan Prepayment'!$B$7*12-AG308+1),AH308),IF(AND('Loan Prepayment'!$E$15="Reduce EMI",AM307&gt;0),-PMT(AI307/1200,MAX(1,'Loan Prepayment'!$B$7*12-AG308+1),AH308),AJ307)),IF(AND('Loan Prepayment'!$E$15="Reduce EMI",AM307&gt;0),-PMT(AI308/1200,MAX(1,'Loan Prepayment'!$B$7*12-AG308+1),AH308),AJ307)),AH308+AK308))</f>
        <v>0</v>
      </c>
      <c r="AK308">
        <f t="shared" si="97"/>
        <v>0</v>
      </c>
      <c r="AL308">
        <f t="shared" si="98"/>
        <v>0</v>
      </c>
      <c r="AM308">
        <f>IF(AH308&lt;=0,0,MIN(MAX(0,AH308-AL308),SUMIFS('Loan Prepayment'!$B$12:$B$31,'Loan Prepayment'!$A$12:$A$31,AG308)+IF(AND(AG308&gt;='Loan Prepayment'!$B$9,AG308&lt;='Loan Prepayment'!$E$16),'Loan Prepayment'!$B$8,0)))</f>
        <v>0</v>
      </c>
      <c r="AN308">
        <f t="shared" si="99"/>
        <v>0</v>
      </c>
    </row>
    <row r="309" spans="1:40" x14ac:dyDescent="0.35">
      <c r="A309">
        <v>308</v>
      </c>
      <c r="B309">
        <f t="shared" si="100"/>
        <v>0</v>
      </c>
      <c r="C309" s="64">
        <f>'Loan Prepayment'!$B$6</f>
        <v>7.5</v>
      </c>
      <c r="D309">
        <f>IF(B309&lt;=0,0,MIN(-PMT('Loan Prepayment'!$B$6/1200,'Loan Prepayment'!$B$7*12,'Loan Prepayment'!$B$5),B309+E309))</f>
        <v>0</v>
      </c>
      <c r="E309">
        <f t="shared" si="84"/>
        <v>0</v>
      </c>
      <c r="F309">
        <f t="shared" si="85"/>
        <v>0</v>
      </c>
      <c r="G309">
        <v>0</v>
      </c>
      <c r="H309">
        <f t="shared" si="86"/>
        <v>0</v>
      </c>
      <c r="I309">
        <v>308</v>
      </c>
      <c r="J309">
        <f t="shared" si="101"/>
        <v>0</v>
      </c>
      <c r="K309" s="64">
        <f>'Loan Prepayment'!$B$6</f>
        <v>7.5</v>
      </c>
      <c r="L309">
        <f>IF(J309&lt;=0,0,MIN(IF(AND('Loan Prepayment'!$E$15="Reduce EMI",O308&gt;0),-PMT(K309/1200,MAX(1,'Loan Prepayment'!$B$7*12-I309+1),J309),L308),J309+M309))</f>
        <v>0</v>
      </c>
      <c r="M309">
        <f t="shared" si="87"/>
        <v>0</v>
      </c>
      <c r="N309">
        <f t="shared" si="88"/>
        <v>0</v>
      </c>
      <c r="O309">
        <f>IF(J309&lt;=0,0,MIN(MAX(0,J309-N309),SUMIFS('Loan Prepayment'!$B$12:$B$31,'Loan Prepayment'!$A$12:$A$31,I309)+0))</f>
        <v>0</v>
      </c>
      <c r="P309">
        <f t="shared" si="89"/>
        <v>0</v>
      </c>
      <c r="Q309">
        <v>308</v>
      </c>
      <c r="R309">
        <f t="shared" si="102"/>
        <v>0</v>
      </c>
      <c r="S309" s="64">
        <f>'Loan Prepayment'!$B$6</f>
        <v>7.5</v>
      </c>
      <c r="T309">
        <f>IF(R309&lt;=0,0,MIN(IF(AND('Loan Prepayment'!$E$15="Reduce EMI",W308&gt;0),-PMT(S309/1200,MAX(1,'Loan Prepayment'!$B$7*12-Q309+1),R309),T308),R309+U309))</f>
        <v>0</v>
      </c>
      <c r="U309">
        <f t="shared" si="90"/>
        <v>0</v>
      </c>
      <c r="V309">
        <f t="shared" si="91"/>
        <v>0</v>
      </c>
      <c r="W309">
        <f>IF(R309&lt;=0,0,MIN(MAX(0,R309-V309),0+IF(AND(Q309&gt;='Loan Prepayment'!$B$9,Q309&lt;='Loan Prepayment'!$E$16),'Loan Prepayment'!$B$8,0)))</f>
        <v>0</v>
      </c>
      <c r="X309">
        <f t="shared" si="92"/>
        <v>0</v>
      </c>
      <c r="Y309">
        <v>308</v>
      </c>
      <c r="Z309">
        <f t="shared" si="103"/>
        <v>0</v>
      </c>
      <c r="AA309">
        <f>IF(Y309&gt;='Loan Prepayment'!$E$11,'Loan Prepayment'!$E$12,'Loan Prepayment'!$B$6)</f>
        <v>6.5</v>
      </c>
      <c r="AB309">
        <f>IF(Z309&lt;=0,0,MIN(IF(Y309='Loan Prepayment'!$E$11,IF('Loan Prepayment'!$E$13="Keep tenure, recalculate EMI",-PMT(AA309/1200,MAX(1,'Loan Prepayment'!$B$7*12-Y309+1),Z309),AB308),AB308),Z309+AC309))</f>
        <v>0</v>
      </c>
      <c r="AC309">
        <f t="shared" si="93"/>
        <v>0</v>
      </c>
      <c r="AD309">
        <f t="shared" si="94"/>
        <v>0</v>
      </c>
      <c r="AE309">
        <f t="shared" si="95"/>
        <v>0</v>
      </c>
      <c r="AF309">
        <f t="shared" si="96"/>
        <v>0</v>
      </c>
      <c r="AG309">
        <v>308</v>
      </c>
      <c r="AH309">
        <f t="shared" si="104"/>
        <v>0</v>
      </c>
      <c r="AI309">
        <f>IF(AG309&gt;='Loan Prepayment'!$E$11,'Loan Prepayment'!$E$12,'Loan Prepayment'!$B$6)</f>
        <v>6.5</v>
      </c>
      <c r="AJ309">
        <f>IF(AH309&lt;=0,0,MIN(IF(AG309='Loan Prepayment'!$E$11,IF('Loan Prepayment'!$E$13="Keep tenure, recalculate EMI",-PMT(AI309/1200,MAX(1,'Loan Prepayment'!$B$7*12-AG309+1),AH309),IF(AND('Loan Prepayment'!$E$15="Reduce EMI",AM308&gt;0),-PMT(AI308/1200,MAX(1,'Loan Prepayment'!$B$7*12-AG309+1),AH309),AJ308)),IF(AND('Loan Prepayment'!$E$15="Reduce EMI",AM308&gt;0),-PMT(AI309/1200,MAX(1,'Loan Prepayment'!$B$7*12-AG309+1),AH309),AJ308)),AH309+AK309))</f>
        <v>0</v>
      </c>
      <c r="AK309">
        <f t="shared" si="97"/>
        <v>0</v>
      </c>
      <c r="AL309">
        <f t="shared" si="98"/>
        <v>0</v>
      </c>
      <c r="AM309">
        <f>IF(AH309&lt;=0,0,MIN(MAX(0,AH309-AL309),SUMIFS('Loan Prepayment'!$B$12:$B$31,'Loan Prepayment'!$A$12:$A$31,AG309)+IF(AND(AG309&gt;='Loan Prepayment'!$B$9,AG309&lt;='Loan Prepayment'!$E$16),'Loan Prepayment'!$B$8,0)))</f>
        <v>0</v>
      </c>
      <c r="AN309">
        <f t="shared" si="99"/>
        <v>0</v>
      </c>
    </row>
    <row r="310" spans="1:40" x14ac:dyDescent="0.35">
      <c r="A310">
        <v>309</v>
      </c>
      <c r="B310">
        <f t="shared" si="100"/>
        <v>0</v>
      </c>
      <c r="C310" s="64">
        <f>'Loan Prepayment'!$B$6</f>
        <v>7.5</v>
      </c>
      <c r="D310">
        <f>IF(B310&lt;=0,0,MIN(-PMT('Loan Prepayment'!$B$6/1200,'Loan Prepayment'!$B$7*12,'Loan Prepayment'!$B$5),B310+E310))</f>
        <v>0</v>
      </c>
      <c r="E310">
        <f t="shared" si="84"/>
        <v>0</v>
      </c>
      <c r="F310">
        <f t="shared" si="85"/>
        <v>0</v>
      </c>
      <c r="G310">
        <v>0</v>
      </c>
      <c r="H310">
        <f t="shared" si="86"/>
        <v>0</v>
      </c>
      <c r="I310">
        <v>309</v>
      </c>
      <c r="J310">
        <f t="shared" si="101"/>
        <v>0</v>
      </c>
      <c r="K310" s="64">
        <f>'Loan Prepayment'!$B$6</f>
        <v>7.5</v>
      </c>
      <c r="L310">
        <f>IF(J310&lt;=0,0,MIN(IF(AND('Loan Prepayment'!$E$15="Reduce EMI",O309&gt;0),-PMT(K310/1200,MAX(1,'Loan Prepayment'!$B$7*12-I310+1),J310),L309),J310+M310))</f>
        <v>0</v>
      </c>
      <c r="M310">
        <f t="shared" si="87"/>
        <v>0</v>
      </c>
      <c r="N310">
        <f t="shared" si="88"/>
        <v>0</v>
      </c>
      <c r="O310">
        <f>IF(J310&lt;=0,0,MIN(MAX(0,J310-N310),SUMIFS('Loan Prepayment'!$B$12:$B$31,'Loan Prepayment'!$A$12:$A$31,I310)+0))</f>
        <v>0</v>
      </c>
      <c r="P310">
        <f t="shared" si="89"/>
        <v>0</v>
      </c>
      <c r="Q310">
        <v>309</v>
      </c>
      <c r="R310">
        <f t="shared" si="102"/>
        <v>0</v>
      </c>
      <c r="S310" s="64">
        <f>'Loan Prepayment'!$B$6</f>
        <v>7.5</v>
      </c>
      <c r="T310">
        <f>IF(R310&lt;=0,0,MIN(IF(AND('Loan Prepayment'!$E$15="Reduce EMI",W309&gt;0),-PMT(S310/1200,MAX(1,'Loan Prepayment'!$B$7*12-Q310+1),R310),T309),R310+U310))</f>
        <v>0</v>
      </c>
      <c r="U310">
        <f t="shared" si="90"/>
        <v>0</v>
      </c>
      <c r="V310">
        <f t="shared" si="91"/>
        <v>0</v>
      </c>
      <c r="W310">
        <f>IF(R310&lt;=0,0,MIN(MAX(0,R310-V310),0+IF(AND(Q310&gt;='Loan Prepayment'!$B$9,Q310&lt;='Loan Prepayment'!$E$16),'Loan Prepayment'!$B$8,0)))</f>
        <v>0</v>
      </c>
      <c r="X310">
        <f t="shared" si="92"/>
        <v>0</v>
      </c>
      <c r="Y310">
        <v>309</v>
      </c>
      <c r="Z310">
        <f t="shared" si="103"/>
        <v>0</v>
      </c>
      <c r="AA310">
        <f>IF(Y310&gt;='Loan Prepayment'!$E$11,'Loan Prepayment'!$E$12,'Loan Prepayment'!$B$6)</f>
        <v>6.5</v>
      </c>
      <c r="AB310">
        <f>IF(Z310&lt;=0,0,MIN(IF(Y310='Loan Prepayment'!$E$11,IF('Loan Prepayment'!$E$13="Keep tenure, recalculate EMI",-PMT(AA310/1200,MAX(1,'Loan Prepayment'!$B$7*12-Y310+1),Z310),AB309),AB309),Z310+AC310))</f>
        <v>0</v>
      </c>
      <c r="AC310">
        <f t="shared" si="93"/>
        <v>0</v>
      </c>
      <c r="AD310">
        <f t="shared" si="94"/>
        <v>0</v>
      </c>
      <c r="AE310">
        <f t="shared" si="95"/>
        <v>0</v>
      </c>
      <c r="AF310">
        <f t="shared" si="96"/>
        <v>0</v>
      </c>
      <c r="AG310">
        <v>309</v>
      </c>
      <c r="AH310">
        <f t="shared" si="104"/>
        <v>0</v>
      </c>
      <c r="AI310">
        <f>IF(AG310&gt;='Loan Prepayment'!$E$11,'Loan Prepayment'!$E$12,'Loan Prepayment'!$B$6)</f>
        <v>6.5</v>
      </c>
      <c r="AJ310">
        <f>IF(AH310&lt;=0,0,MIN(IF(AG310='Loan Prepayment'!$E$11,IF('Loan Prepayment'!$E$13="Keep tenure, recalculate EMI",-PMT(AI310/1200,MAX(1,'Loan Prepayment'!$B$7*12-AG310+1),AH310),IF(AND('Loan Prepayment'!$E$15="Reduce EMI",AM309&gt;0),-PMT(AI309/1200,MAX(1,'Loan Prepayment'!$B$7*12-AG310+1),AH310),AJ309)),IF(AND('Loan Prepayment'!$E$15="Reduce EMI",AM309&gt;0),-PMT(AI310/1200,MAX(1,'Loan Prepayment'!$B$7*12-AG310+1),AH310),AJ309)),AH310+AK310))</f>
        <v>0</v>
      </c>
      <c r="AK310">
        <f t="shared" si="97"/>
        <v>0</v>
      </c>
      <c r="AL310">
        <f t="shared" si="98"/>
        <v>0</v>
      </c>
      <c r="AM310">
        <f>IF(AH310&lt;=0,0,MIN(MAX(0,AH310-AL310),SUMIFS('Loan Prepayment'!$B$12:$B$31,'Loan Prepayment'!$A$12:$A$31,AG310)+IF(AND(AG310&gt;='Loan Prepayment'!$B$9,AG310&lt;='Loan Prepayment'!$E$16),'Loan Prepayment'!$B$8,0)))</f>
        <v>0</v>
      </c>
      <c r="AN310">
        <f t="shared" si="99"/>
        <v>0</v>
      </c>
    </row>
    <row r="311" spans="1:40" x14ac:dyDescent="0.35">
      <c r="A311">
        <v>310</v>
      </c>
      <c r="B311">
        <f t="shared" si="100"/>
        <v>0</v>
      </c>
      <c r="C311" s="64">
        <f>'Loan Prepayment'!$B$6</f>
        <v>7.5</v>
      </c>
      <c r="D311">
        <f>IF(B311&lt;=0,0,MIN(-PMT('Loan Prepayment'!$B$6/1200,'Loan Prepayment'!$B$7*12,'Loan Prepayment'!$B$5),B311+E311))</f>
        <v>0</v>
      </c>
      <c r="E311">
        <f t="shared" si="84"/>
        <v>0</v>
      </c>
      <c r="F311">
        <f t="shared" si="85"/>
        <v>0</v>
      </c>
      <c r="G311">
        <v>0</v>
      </c>
      <c r="H311">
        <f t="shared" si="86"/>
        <v>0</v>
      </c>
      <c r="I311">
        <v>310</v>
      </c>
      <c r="J311">
        <f t="shared" si="101"/>
        <v>0</v>
      </c>
      <c r="K311" s="64">
        <f>'Loan Prepayment'!$B$6</f>
        <v>7.5</v>
      </c>
      <c r="L311">
        <f>IF(J311&lt;=0,0,MIN(IF(AND('Loan Prepayment'!$E$15="Reduce EMI",O310&gt;0),-PMT(K311/1200,MAX(1,'Loan Prepayment'!$B$7*12-I311+1),J311),L310),J311+M311))</f>
        <v>0</v>
      </c>
      <c r="M311">
        <f t="shared" si="87"/>
        <v>0</v>
      </c>
      <c r="N311">
        <f t="shared" si="88"/>
        <v>0</v>
      </c>
      <c r="O311">
        <f>IF(J311&lt;=0,0,MIN(MAX(0,J311-N311),SUMIFS('Loan Prepayment'!$B$12:$B$31,'Loan Prepayment'!$A$12:$A$31,I311)+0))</f>
        <v>0</v>
      </c>
      <c r="P311">
        <f t="shared" si="89"/>
        <v>0</v>
      </c>
      <c r="Q311">
        <v>310</v>
      </c>
      <c r="R311">
        <f t="shared" si="102"/>
        <v>0</v>
      </c>
      <c r="S311" s="64">
        <f>'Loan Prepayment'!$B$6</f>
        <v>7.5</v>
      </c>
      <c r="T311">
        <f>IF(R311&lt;=0,0,MIN(IF(AND('Loan Prepayment'!$E$15="Reduce EMI",W310&gt;0),-PMT(S311/1200,MAX(1,'Loan Prepayment'!$B$7*12-Q311+1),R311),T310),R311+U311))</f>
        <v>0</v>
      </c>
      <c r="U311">
        <f t="shared" si="90"/>
        <v>0</v>
      </c>
      <c r="V311">
        <f t="shared" si="91"/>
        <v>0</v>
      </c>
      <c r="W311">
        <f>IF(R311&lt;=0,0,MIN(MAX(0,R311-V311),0+IF(AND(Q311&gt;='Loan Prepayment'!$B$9,Q311&lt;='Loan Prepayment'!$E$16),'Loan Prepayment'!$B$8,0)))</f>
        <v>0</v>
      </c>
      <c r="X311">
        <f t="shared" si="92"/>
        <v>0</v>
      </c>
      <c r="Y311">
        <v>310</v>
      </c>
      <c r="Z311">
        <f t="shared" si="103"/>
        <v>0</v>
      </c>
      <c r="AA311">
        <f>IF(Y311&gt;='Loan Prepayment'!$E$11,'Loan Prepayment'!$E$12,'Loan Prepayment'!$B$6)</f>
        <v>6.5</v>
      </c>
      <c r="AB311">
        <f>IF(Z311&lt;=0,0,MIN(IF(Y311='Loan Prepayment'!$E$11,IF('Loan Prepayment'!$E$13="Keep tenure, recalculate EMI",-PMT(AA311/1200,MAX(1,'Loan Prepayment'!$B$7*12-Y311+1),Z311),AB310),AB310),Z311+AC311))</f>
        <v>0</v>
      </c>
      <c r="AC311">
        <f t="shared" si="93"/>
        <v>0</v>
      </c>
      <c r="AD311">
        <f t="shared" si="94"/>
        <v>0</v>
      </c>
      <c r="AE311">
        <f t="shared" si="95"/>
        <v>0</v>
      </c>
      <c r="AF311">
        <f t="shared" si="96"/>
        <v>0</v>
      </c>
      <c r="AG311">
        <v>310</v>
      </c>
      <c r="AH311">
        <f t="shared" si="104"/>
        <v>0</v>
      </c>
      <c r="AI311">
        <f>IF(AG311&gt;='Loan Prepayment'!$E$11,'Loan Prepayment'!$E$12,'Loan Prepayment'!$B$6)</f>
        <v>6.5</v>
      </c>
      <c r="AJ311">
        <f>IF(AH311&lt;=0,0,MIN(IF(AG311='Loan Prepayment'!$E$11,IF('Loan Prepayment'!$E$13="Keep tenure, recalculate EMI",-PMT(AI311/1200,MAX(1,'Loan Prepayment'!$B$7*12-AG311+1),AH311),IF(AND('Loan Prepayment'!$E$15="Reduce EMI",AM310&gt;0),-PMT(AI310/1200,MAX(1,'Loan Prepayment'!$B$7*12-AG311+1),AH311),AJ310)),IF(AND('Loan Prepayment'!$E$15="Reduce EMI",AM310&gt;0),-PMT(AI311/1200,MAX(1,'Loan Prepayment'!$B$7*12-AG311+1),AH311),AJ310)),AH311+AK311))</f>
        <v>0</v>
      </c>
      <c r="AK311">
        <f t="shared" si="97"/>
        <v>0</v>
      </c>
      <c r="AL311">
        <f t="shared" si="98"/>
        <v>0</v>
      </c>
      <c r="AM311">
        <f>IF(AH311&lt;=0,0,MIN(MAX(0,AH311-AL311),SUMIFS('Loan Prepayment'!$B$12:$B$31,'Loan Prepayment'!$A$12:$A$31,AG311)+IF(AND(AG311&gt;='Loan Prepayment'!$B$9,AG311&lt;='Loan Prepayment'!$E$16),'Loan Prepayment'!$B$8,0)))</f>
        <v>0</v>
      </c>
      <c r="AN311">
        <f t="shared" si="99"/>
        <v>0</v>
      </c>
    </row>
    <row r="312" spans="1:40" x14ac:dyDescent="0.35">
      <c r="A312">
        <v>311</v>
      </c>
      <c r="B312">
        <f t="shared" si="100"/>
        <v>0</v>
      </c>
      <c r="C312" s="64">
        <f>'Loan Prepayment'!$B$6</f>
        <v>7.5</v>
      </c>
      <c r="D312">
        <f>IF(B312&lt;=0,0,MIN(-PMT('Loan Prepayment'!$B$6/1200,'Loan Prepayment'!$B$7*12,'Loan Prepayment'!$B$5),B312+E312))</f>
        <v>0</v>
      </c>
      <c r="E312">
        <f t="shared" si="84"/>
        <v>0</v>
      </c>
      <c r="F312">
        <f t="shared" si="85"/>
        <v>0</v>
      </c>
      <c r="G312">
        <v>0</v>
      </c>
      <c r="H312">
        <f t="shared" si="86"/>
        <v>0</v>
      </c>
      <c r="I312">
        <v>311</v>
      </c>
      <c r="J312">
        <f t="shared" si="101"/>
        <v>0</v>
      </c>
      <c r="K312" s="64">
        <f>'Loan Prepayment'!$B$6</f>
        <v>7.5</v>
      </c>
      <c r="L312">
        <f>IF(J312&lt;=0,0,MIN(IF(AND('Loan Prepayment'!$E$15="Reduce EMI",O311&gt;0),-PMT(K312/1200,MAX(1,'Loan Prepayment'!$B$7*12-I312+1),J312),L311),J312+M312))</f>
        <v>0</v>
      </c>
      <c r="M312">
        <f t="shared" si="87"/>
        <v>0</v>
      </c>
      <c r="N312">
        <f t="shared" si="88"/>
        <v>0</v>
      </c>
      <c r="O312">
        <f>IF(J312&lt;=0,0,MIN(MAX(0,J312-N312),SUMIFS('Loan Prepayment'!$B$12:$B$31,'Loan Prepayment'!$A$12:$A$31,I312)+0))</f>
        <v>0</v>
      </c>
      <c r="P312">
        <f t="shared" si="89"/>
        <v>0</v>
      </c>
      <c r="Q312">
        <v>311</v>
      </c>
      <c r="R312">
        <f t="shared" si="102"/>
        <v>0</v>
      </c>
      <c r="S312" s="64">
        <f>'Loan Prepayment'!$B$6</f>
        <v>7.5</v>
      </c>
      <c r="T312">
        <f>IF(R312&lt;=0,0,MIN(IF(AND('Loan Prepayment'!$E$15="Reduce EMI",W311&gt;0),-PMT(S312/1200,MAX(1,'Loan Prepayment'!$B$7*12-Q312+1),R312),T311),R312+U312))</f>
        <v>0</v>
      </c>
      <c r="U312">
        <f t="shared" si="90"/>
        <v>0</v>
      </c>
      <c r="V312">
        <f t="shared" si="91"/>
        <v>0</v>
      </c>
      <c r="W312">
        <f>IF(R312&lt;=0,0,MIN(MAX(0,R312-V312),0+IF(AND(Q312&gt;='Loan Prepayment'!$B$9,Q312&lt;='Loan Prepayment'!$E$16),'Loan Prepayment'!$B$8,0)))</f>
        <v>0</v>
      </c>
      <c r="X312">
        <f t="shared" si="92"/>
        <v>0</v>
      </c>
      <c r="Y312">
        <v>311</v>
      </c>
      <c r="Z312">
        <f t="shared" si="103"/>
        <v>0</v>
      </c>
      <c r="AA312">
        <f>IF(Y312&gt;='Loan Prepayment'!$E$11,'Loan Prepayment'!$E$12,'Loan Prepayment'!$B$6)</f>
        <v>6.5</v>
      </c>
      <c r="AB312">
        <f>IF(Z312&lt;=0,0,MIN(IF(Y312='Loan Prepayment'!$E$11,IF('Loan Prepayment'!$E$13="Keep tenure, recalculate EMI",-PMT(AA312/1200,MAX(1,'Loan Prepayment'!$B$7*12-Y312+1),Z312),AB311),AB311),Z312+AC312))</f>
        <v>0</v>
      </c>
      <c r="AC312">
        <f t="shared" si="93"/>
        <v>0</v>
      </c>
      <c r="AD312">
        <f t="shared" si="94"/>
        <v>0</v>
      </c>
      <c r="AE312">
        <f t="shared" si="95"/>
        <v>0</v>
      </c>
      <c r="AF312">
        <f t="shared" si="96"/>
        <v>0</v>
      </c>
      <c r="AG312">
        <v>311</v>
      </c>
      <c r="AH312">
        <f t="shared" si="104"/>
        <v>0</v>
      </c>
      <c r="AI312">
        <f>IF(AG312&gt;='Loan Prepayment'!$E$11,'Loan Prepayment'!$E$12,'Loan Prepayment'!$B$6)</f>
        <v>6.5</v>
      </c>
      <c r="AJ312">
        <f>IF(AH312&lt;=0,0,MIN(IF(AG312='Loan Prepayment'!$E$11,IF('Loan Prepayment'!$E$13="Keep tenure, recalculate EMI",-PMT(AI312/1200,MAX(1,'Loan Prepayment'!$B$7*12-AG312+1),AH312),IF(AND('Loan Prepayment'!$E$15="Reduce EMI",AM311&gt;0),-PMT(AI311/1200,MAX(1,'Loan Prepayment'!$B$7*12-AG312+1),AH312),AJ311)),IF(AND('Loan Prepayment'!$E$15="Reduce EMI",AM311&gt;0),-PMT(AI312/1200,MAX(1,'Loan Prepayment'!$B$7*12-AG312+1),AH312),AJ311)),AH312+AK312))</f>
        <v>0</v>
      </c>
      <c r="AK312">
        <f t="shared" si="97"/>
        <v>0</v>
      </c>
      <c r="AL312">
        <f t="shared" si="98"/>
        <v>0</v>
      </c>
      <c r="AM312">
        <f>IF(AH312&lt;=0,0,MIN(MAX(0,AH312-AL312),SUMIFS('Loan Prepayment'!$B$12:$B$31,'Loan Prepayment'!$A$12:$A$31,AG312)+IF(AND(AG312&gt;='Loan Prepayment'!$B$9,AG312&lt;='Loan Prepayment'!$E$16),'Loan Prepayment'!$B$8,0)))</f>
        <v>0</v>
      </c>
      <c r="AN312">
        <f t="shared" si="99"/>
        <v>0</v>
      </c>
    </row>
    <row r="313" spans="1:40" x14ac:dyDescent="0.35">
      <c r="A313">
        <v>312</v>
      </c>
      <c r="B313">
        <f t="shared" si="100"/>
        <v>0</v>
      </c>
      <c r="C313" s="64">
        <f>'Loan Prepayment'!$B$6</f>
        <v>7.5</v>
      </c>
      <c r="D313">
        <f>IF(B313&lt;=0,0,MIN(-PMT('Loan Prepayment'!$B$6/1200,'Loan Prepayment'!$B$7*12,'Loan Prepayment'!$B$5),B313+E313))</f>
        <v>0</v>
      </c>
      <c r="E313">
        <f t="shared" si="84"/>
        <v>0</v>
      </c>
      <c r="F313">
        <f t="shared" si="85"/>
        <v>0</v>
      </c>
      <c r="G313">
        <v>0</v>
      </c>
      <c r="H313">
        <f t="shared" si="86"/>
        <v>0</v>
      </c>
      <c r="I313">
        <v>312</v>
      </c>
      <c r="J313">
        <f t="shared" si="101"/>
        <v>0</v>
      </c>
      <c r="K313" s="64">
        <f>'Loan Prepayment'!$B$6</f>
        <v>7.5</v>
      </c>
      <c r="L313">
        <f>IF(J313&lt;=0,0,MIN(IF(AND('Loan Prepayment'!$E$15="Reduce EMI",O312&gt;0),-PMT(K313/1200,MAX(1,'Loan Prepayment'!$B$7*12-I313+1),J313),L312),J313+M313))</f>
        <v>0</v>
      </c>
      <c r="M313">
        <f t="shared" si="87"/>
        <v>0</v>
      </c>
      <c r="N313">
        <f t="shared" si="88"/>
        <v>0</v>
      </c>
      <c r="O313">
        <f>IF(J313&lt;=0,0,MIN(MAX(0,J313-N313),SUMIFS('Loan Prepayment'!$B$12:$B$31,'Loan Prepayment'!$A$12:$A$31,I313)+0))</f>
        <v>0</v>
      </c>
      <c r="P313">
        <f t="shared" si="89"/>
        <v>0</v>
      </c>
      <c r="Q313">
        <v>312</v>
      </c>
      <c r="R313">
        <f t="shared" si="102"/>
        <v>0</v>
      </c>
      <c r="S313" s="64">
        <f>'Loan Prepayment'!$B$6</f>
        <v>7.5</v>
      </c>
      <c r="T313">
        <f>IF(R313&lt;=0,0,MIN(IF(AND('Loan Prepayment'!$E$15="Reduce EMI",W312&gt;0),-PMT(S313/1200,MAX(1,'Loan Prepayment'!$B$7*12-Q313+1),R313),T312),R313+U313))</f>
        <v>0</v>
      </c>
      <c r="U313">
        <f t="shared" si="90"/>
        <v>0</v>
      </c>
      <c r="V313">
        <f t="shared" si="91"/>
        <v>0</v>
      </c>
      <c r="W313">
        <f>IF(R313&lt;=0,0,MIN(MAX(0,R313-V313),0+IF(AND(Q313&gt;='Loan Prepayment'!$B$9,Q313&lt;='Loan Prepayment'!$E$16),'Loan Prepayment'!$B$8,0)))</f>
        <v>0</v>
      </c>
      <c r="X313">
        <f t="shared" si="92"/>
        <v>0</v>
      </c>
      <c r="Y313">
        <v>312</v>
      </c>
      <c r="Z313">
        <f t="shared" si="103"/>
        <v>0</v>
      </c>
      <c r="AA313">
        <f>IF(Y313&gt;='Loan Prepayment'!$E$11,'Loan Prepayment'!$E$12,'Loan Prepayment'!$B$6)</f>
        <v>6.5</v>
      </c>
      <c r="AB313">
        <f>IF(Z313&lt;=0,0,MIN(IF(Y313='Loan Prepayment'!$E$11,IF('Loan Prepayment'!$E$13="Keep tenure, recalculate EMI",-PMT(AA313/1200,MAX(1,'Loan Prepayment'!$B$7*12-Y313+1),Z313),AB312),AB312),Z313+AC313))</f>
        <v>0</v>
      </c>
      <c r="AC313">
        <f t="shared" si="93"/>
        <v>0</v>
      </c>
      <c r="AD313">
        <f t="shared" si="94"/>
        <v>0</v>
      </c>
      <c r="AE313">
        <f t="shared" si="95"/>
        <v>0</v>
      </c>
      <c r="AF313">
        <f t="shared" si="96"/>
        <v>0</v>
      </c>
      <c r="AG313">
        <v>312</v>
      </c>
      <c r="AH313">
        <f t="shared" si="104"/>
        <v>0</v>
      </c>
      <c r="AI313">
        <f>IF(AG313&gt;='Loan Prepayment'!$E$11,'Loan Prepayment'!$E$12,'Loan Prepayment'!$B$6)</f>
        <v>6.5</v>
      </c>
      <c r="AJ313">
        <f>IF(AH313&lt;=0,0,MIN(IF(AG313='Loan Prepayment'!$E$11,IF('Loan Prepayment'!$E$13="Keep tenure, recalculate EMI",-PMT(AI313/1200,MAX(1,'Loan Prepayment'!$B$7*12-AG313+1),AH313),IF(AND('Loan Prepayment'!$E$15="Reduce EMI",AM312&gt;0),-PMT(AI312/1200,MAX(1,'Loan Prepayment'!$B$7*12-AG313+1),AH313),AJ312)),IF(AND('Loan Prepayment'!$E$15="Reduce EMI",AM312&gt;0),-PMT(AI313/1200,MAX(1,'Loan Prepayment'!$B$7*12-AG313+1),AH313),AJ312)),AH313+AK313))</f>
        <v>0</v>
      </c>
      <c r="AK313">
        <f t="shared" si="97"/>
        <v>0</v>
      </c>
      <c r="AL313">
        <f t="shared" si="98"/>
        <v>0</v>
      </c>
      <c r="AM313">
        <f>IF(AH313&lt;=0,0,MIN(MAX(0,AH313-AL313),SUMIFS('Loan Prepayment'!$B$12:$B$31,'Loan Prepayment'!$A$12:$A$31,AG313)+IF(AND(AG313&gt;='Loan Prepayment'!$B$9,AG313&lt;='Loan Prepayment'!$E$16),'Loan Prepayment'!$B$8,0)))</f>
        <v>0</v>
      </c>
      <c r="AN313">
        <f t="shared" si="99"/>
        <v>0</v>
      </c>
    </row>
    <row r="314" spans="1:40" x14ac:dyDescent="0.35">
      <c r="A314">
        <v>313</v>
      </c>
      <c r="B314">
        <f t="shared" si="100"/>
        <v>0</v>
      </c>
      <c r="C314" s="64">
        <f>'Loan Prepayment'!$B$6</f>
        <v>7.5</v>
      </c>
      <c r="D314">
        <f>IF(B314&lt;=0,0,MIN(-PMT('Loan Prepayment'!$B$6/1200,'Loan Prepayment'!$B$7*12,'Loan Prepayment'!$B$5),B314+E314))</f>
        <v>0</v>
      </c>
      <c r="E314">
        <f t="shared" si="84"/>
        <v>0</v>
      </c>
      <c r="F314">
        <f t="shared" si="85"/>
        <v>0</v>
      </c>
      <c r="G314">
        <v>0</v>
      </c>
      <c r="H314">
        <f t="shared" si="86"/>
        <v>0</v>
      </c>
      <c r="I314">
        <v>313</v>
      </c>
      <c r="J314">
        <f t="shared" si="101"/>
        <v>0</v>
      </c>
      <c r="K314" s="64">
        <f>'Loan Prepayment'!$B$6</f>
        <v>7.5</v>
      </c>
      <c r="L314">
        <f>IF(J314&lt;=0,0,MIN(IF(AND('Loan Prepayment'!$E$15="Reduce EMI",O313&gt;0),-PMT(K314/1200,MAX(1,'Loan Prepayment'!$B$7*12-I314+1),J314),L313),J314+M314))</f>
        <v>0</v>
      </c>
      <c r="M314">
        <f t="shared" si="87"/>
        <v>0</v>
      </c>
      <c r="N314">
        <f t="shared" si="88"/>
        <v>0</v>
      </c>
      <c r="O314">
        <f>IF(J314&lt;=0,0,MIN(MAX(0,J314-N314),SUMIFS('Loan Prepayment'!$B$12:$B$31,'Loan Prepayment'!$A$12:$A$31,I314)+0))</f>
        <v>0</v>
      </c>
      <c r="P314">
        <f t="shared" si="89"/>
        <v>0</v>
      </c>
      <c r="Q314">
        <v>313</v>
      </c>
      <c r="R314">
        <f t="shared" si="102"/>
        <v>0</v>
      </c>
      <c r="S314" s="64">
        <f>'Loan Prepayment'!$B$6</f>
        <v>7.5</v>
      </c>
      <c r="T314">
        <f>IF(R314&lt;=0,0,MIN(IF(AND('Loan Prepayment'!$E$15="Reduce EMI",W313&gt;0),-PMT(S314/1200,MAX(1,'Loan Prepayment'!$B$7*12-Q314+1),R314),T313),R314+U314))</f>
        <v>0</v>
      </c>
      <c r="U314">
        <f t="shared" si="90"/>
        <v>0</v>
      </c>
      <c r="V314">
        <f t="shared" si="91"/>
        <v>0</v>
      </c>
      <c r="W314">
        <f>IF(R314&lt;=0,0,MIN(MAX(0,R314-V314),0+IF(AND(Q314&gt;='Loan Prepayment'!$B$9,Q314&lt;='Loan Prepayment'!$E$16),'Loan Prepayment'!$B$8,0)))</f>
        <v>0</v>
      </c>
      <c r="X314">
        <f t="shared" si="92"/>
        <v>0</v>
      </c>
      <c r="Y314">
        <v>313</v>
      </c>
      <c r="Z314">
        <f t="shared" si="103"/>
        <v>0</v>
      </c>
      <c r="AA314">
        <f>IF(Y314&gt;='Loan Prepayment'!$E$11,'Loan Prepayment'!$E$12,'Loan Prepayment'!$B$6)</f>
        <v>6.5</v>
      </c>
      <c r="AB314">
        <f>IF(Z314&lt;=0,0,MIN(IF(Y314='Loan Prepayment'!$E$11,IF('Loan Prepayment'!$E$13="Keep tenure, recalculate EMI",-PMT(AA314/1200,MAX(1,'Loan Prepayment'!$B$7*12-Y314+1),Z314),AB313),AB313),Z314+AC314))</f>
        <v>0</v>
      </c>
      <c r="AC314">
        <f t="shared" si="93"/>
        <v>0</v>
      </c>
      <c r="AD314">
        <f t="shared" si="94"/>
        <v>0</v>
      </c>
      <c r="AE314">
        <f t="shared" si="95"/>
        <v>0</v>
      </c>
      <c r="AF314">
        <f t="shared" si="96"/>
        <v>0</v>
      </c>
      <c r="AG314">
        <v>313</v>
      </c>
      <c r="AH314">
        <f t="shared" si="104"/>
        <v>0</v>
      </c>
      <c r="AI314">
        <f>IF(AG314&gt;='Loan Prepayment'!$E$11,'Loan Prepayment'!$E$12,'Loan Prepayment'!$B$6)</f>
        <v>6.5</v>
      </c>
      <c r="AJ314">
        <f>IF(AH314&lt;=0,0,MIN(IF(AG314='Loan Prepayment'!$E$11,IF('Loan Prepayment'!$E$13="Keep tenure, recalculate EMI",-PMT(AI314/1200,MAX(1,'Loan Prepayment'!$B$7*12-AG314+1),AH314),IF(AND('Loan Prepayment'!$E$15="Reduce EMI",AM313&gt;0),-PMT(AI313/1200,MAX(1,'Loan Prepayment'!$B$7*12-AG314+1),AH314),AJ313)),IF(AND('Loan Prepayment'!$E$15="Reduce EMI",AM313&gt;0),-PMT(AI314/1200,MAX(1,'Loan Prepayment'!$B$7*12-AG314+1),AH314),AJ313)),AH314+AK314))</f>
        <v>0</v>
      </c>
      <c r="AK314">
        <f t="shared" si="97"/>
        <v>0</v>
      </c>
      <c r="AL314">
        <f t="shared" si="98"/>
        <v>0</v>
      </c>
      <c r="AM314">
        <f>IF(AH314&lt;=0,0,MIN(MAX(0,AH314-AL314),SUMIFS('Loan Prepayment'!$B$12:$B$31,'Loan Prepayment'!$A$12:$A$31,AG314)+IF(AND(AG314&gt;='Loan Prepayment'!$B$9,AG314&lt;='Loan Prepayment'!$E$16),'Loan Prepayment'!$B$8,0)))</f>
        <v>0</v>
      </c>
      <c r="AN314">
        <f t="shared" si="99"/>
        <v>0</v>
      </c>
    </row>
    <row r="315" spans="1:40" x14ac:dyDescent="0.35">
      <c r="A315">
        <v>314</v>
      </c>
      <c r="B315">
        <f t="shared" si="100"/>
        <v>0</v>
      </c>
      <c r="C315" s="64">
        <f>'Loan Prepayment'!$B$6</f>
        <v>7.5</v>
      </c>
      <c r="D315">
        <f>IF(B315&lt;=0,0,MIN(-PMT('Loan Prepayment'!$B$6/1200,'Loan Prepayment'!$B$7*12,'Loan Prepayment'!$B$5),B315+E315))</f>
        <v>0</v>
      </c>
      <c r="E315">
        <f t="shared" si="84"/>
        <v>0</v>
      </c>
      <c r="F315">
        <f t="shared" si="85"/>
        <v>0</v>
      </c>
      <c r="G315">
        <v>0</v>
      </c>
      <c r="H315">
        <f t="shared" si="86"/>
        <v>0</v>
      </c>
      <c r="I315">
        <v>314</v>
      </c>
      <c r="J315">
        <f t="shared" si="101"/>
        <v>0</v>
      </c>
      <c r="K315" s="64">
        <f>'Loan Prepayment'!$B$6</f>
        <v>7.5</v>
      </c>
      <c r="L315">
        <f>IF(J315&lt;=0,0,MIN(IF(AND('Loan Prepayment'!$E$15="Reduce EMI",O314&gt;0),-PMT(K315/1200,MAX(1,'Loan Prepayment'!$B$7*12-I315+1),J315),L314),J315+M315))</f>
        <v>0</v>
      </c>
      <c r="M315">
        <f t="shared" si="87"/>
        <v>0</v>
      </c>
      <c r="N315">
        <f t="shared" si="88"/>
        <v>0</v>
      </c>
      <c r="O315">
        <f>IF(J315&lt;=0,0,MIN(MAX(0,J315-N315),SUMIFS('Loan Prepayment'!$B$12:$B$31,'Loan Prepayment'!$A$12:$A$31,I315)+0))</f>
        <v>0</v>
      </c>
      <c r="P315">
        <f t="shared" si="89"/>
        <v>0</v>
      </c>
      <c r="Q315">
        <v>314</v>
      </c>
      <c r="R315">
        <f t="shared" si="102"/>
        <v>0</v>
      </c>
      <c r="S315" s="64">
        <f>'Loan Prepayment'!$B$6</f>
        <v>7.5</v>
      </c>
      <c r="T315">
        <f>IF(R315&lt;=0,0,MIN(IF(AND('Loan Prepayment'!$E$15="Reduce EMI",W314&gt;0),-PMT(S315/1200,MAX(1,'Loan Prepayment'!$B$7*12-Q315+1),R315),T314),R315+U315))</f>
        <v>0</v>
      </c>
      <c r="U315">
        <f t="shared" si="90"/>
        <v>0</v>
      </c>
      <c r="V315">
        <f t="shared" si="91"/>
        <v>0</v>
      </c>
      <c r="W315">
        <f>IF(R315&lt;=0,0,MIN(MAX(0,R315-V315),0+IF(AND(Q315&gt;='Loan Prepayment'!$B$9,Q315&lt;='Loan Prepayment'!$E$16),'Loan Prepayment'!$B$8,0)))</f>
        <v>0</v>
      </c>
      <c r="X315">
        <f t="shared" si="92"/>
        <v>0</v>
      </c>
      <c r="Y315">
        <v>314</v>
      </c>
      <c r="Z315">
        <f t="shared" si="103"/>
        <v>0</v>
      </c>
      <c r="AA315">
        <f>IF(Y315&gt;='Loan Prepayment'!$E$11,'Loan Prepayment'!$E$12,'Loan Prepayment'!$B$6)</f>
        <v>6.5</v>
      </c>
      <c r="AB315">
        <f>IF(Z315&lt;=0,0,MIN(IF(Y315='Loan Prepayment'!$E$11,IF('Loan Prepayment'!$E$13="Keep tenure, recalculate EMI",-PMT(AA315/1200,MAX(1,'Loan Prepayment'!$B$7*12-Y315+1),Z315),AB314),AB314),Z315+AC315))</f>
        <v>0</v>
      </c>
      <c r="AC315">
        <f t="shared" si="93"/>
        <v>0</v>
      </c>
      <c r="AD315">
        <f t="shared" si="94"/>
        <v>0</v>
      </c>
      <c r="AE315">
        <f t="shared" si="95"/>
        <v>0</v>
      </c>
      <c r="AF315">
        <f t="shared" si="96"/>
        <v>0</v>
      </c>
      <c r="AG315">
        <v>314</v>
      </c>
      <c r="AH315">
        <f t="shared" si="104"/>
        <v>0</v>
      </c>
      <c r="AI315">
        <f>IF(AG315&gt;='Loan Prepayment'!$E$11,'Loan Prepayment'!$E$12,'Loan Prepayment'!$B$6)</f>
        <v>6.5</v>
      </c>
      <c r="AJ315">
        <f>IF(AH315&lt;=0,0,MIN(IF(AG315='Loan Prepayment'!$E$11,IF('Loan Prepayment'!$E$13="Keep tenure, recalculate EMI",-PMT(AI315/1200,MAX(1,'Loan Prepayment'!$B$7*12-AG315+1),AH315),IF(AND('Loan Prepayment'!$E$15="Reduce EMI",AM314&gt;0),-PMT(AI314/1200,MAX(1,'Loan Prepayment'!$B$7*12-AG315+1),AH315),AJ314)),IF(AND('Loan Prepayment'!$E$15="Reduce EMI",AM314&gt;0),-PMT(AI315/1200,MAX(1,'Loan Prepayment'!$B$7*12-AG315+1),AH315),AJ314)),AH315+AK315))</f>
        <v>0</v>
      </c>
      <c r="AK315">
        <f t="shared" si="97"/>
        <v>0</v>
      </c>
      <c r="AL315">
        <f t="shared" si="98"/>
        <v>0</v>
      </c>
      <c r="AM315">
        <f>IF(AH315&lt;=0,0,MIN(MAX(0,AH315-AL315),SUMIFS('Loan Prepayment'!$B$12:$B$31,'Loan Prepayment'!$A$12:$A$31,AG315)+IF(AND(AG315&gt;='Loan Prepayment'!$B$9,AG315&lt;='Loan Prepayment'!$E$16),'Loan Prepayment'!$B$8,0)))</f>
        <v>0</v>
      </c>
      <c r="AN315">
        <f t="shared" si="99"/>
        <v>0</v>
      </c>
    </row>
    <row r="316" spans="1:40" x14ac:dyDescent="0.35">
      <c r="A316">
        <v>315</v>
      </c>
      <c r="B316">
        <f t="shared" si="100"/>
        <v>0</v>
      </c>
      <c r="C316" s="64">
        <f>'Loan Prepayment'!$B$6</f>
        <v>7.5</v>
      </c>
      <c r="D316">
        <f>IF(B316&lt;=0,0,MIN(-PMT('Loan Prepayment'!$B$6/1200,'Loan Prepayment'!$B$7*12,'Loan Prepayment'!$B$5),B316+E316))</f>
        <v>0</v>
      </c>
      <c r="E316">
        <f t="shared" si="84"/>
        <v>0</v>
      </c>
      <c r="F316">
        <f t="shared" si="85"/>
        <v>0</v>
      </c>
      <c r="G316">
        <v>0</v>
      </c>
      <c r="H316">
        <f t="shared" si="86"/>
        <v>0</v>
      </c>
      <c r="I316">
        <v>315</v>
      </c>
      <c r="J316">
        <f t="shared" si="101"/>
        <v>0</v>
      </c>
      <c r="K316" s="64">
        <f>'Loan Prepayment'!$B$6</f>
        <v>7.5</v>
      </c>
      <c r="L316">
        <f>IF(J316&lt;=0,0,MIN(IF(AND('Loan Prepayment'!$E$15="Reduce EMI",O315&gt;0),-PMT(K316/1200,MAX(1,'Loan Prepayment'!$B$7*12-I316+1),J316),L315),J316+M316))</f>
        <v>0</v>
      </c>
      <c r="M316">
        <f t="shared" si="87"/>
        <v>0</v>
      </c>
      <c r="N316">
        <f t="shared" si="88"/>
        <v>0</v>
      </c>
      <c r="O316">
        <f>IF(J316&lt;=0,0,MIN(MAX(0,J316-N316),SUMIFS('Loan Prepayment'!$B$12:$B$31,'Loan Prepayment'!$A$12:$A$31,I316)+0))</f>
        <v>0</v>
      </c>
      <c r="P316">
        <f t="shared" si="89"/>
        <v>0</v>
      </c>
      <c r="Q316">
        <v>315</v>
      </c>
      <c r="R316">
        <f t="shared" si="102"/>
        <v>0</v>
      </c>
      <c r="S316" s="64">
        <f>'Loan Prepayment'!$B$6</f>
        <v>7.5</v>
      </c>
      <c r="T316">
        <f>IF(R316&lt;=0,0,MIN(IF(AND('Loan Prepayment'!$E$15="Reduce EMI",W315&gt;0),-PMT(S316/1200,MAX(1,'Loan Prepayment'!$B$7*12-Q316+1),R316),T315),R316+U316))</f>
        <v>0</v>
      </c>
      <c r="U316">
        <f t="shared" si="90"/>
        <v>0</v>
      </c>
      <c r="V316">
        <f t="shared" si="91"/>
        <v>0</v>
      </c>
      <c r="W316">
        <f>IF(R316&lt;=0,0,MIN(MAX(0,R316-V316),0+IF(AND(Q316&gt;='Loan Prepayment'!$B$9,Q316&lt;='Loan Prepayment'!$E$16),'Loan Prepayment'!$B$8,0)))</f>
        <v>0</v>
      </c>
      <c r="X316">
        <f t="shared" si="92"/>
        <v>0</v>
      </c>
      <c r="Y316">
        <v>315</v>
      </c>
      <c r="Z316">
        <f t="shared" si="103"/>
        <v>0</v>
      </c>
      <c r="AA316">
        <f>IF(Y316&gt;='Loan Prepayment'!$E$11,'Loan Prepayment'!$E$12,'Loan Prepayment'!$B$6)</f>
        <v>6.5</v>
      </c>
      <c r="AB316">
        <f>IF(Z316&lt;=0,0,MIN(IF(Y316='Loan Prepayment'!$E$11,IF('Loan Prepayment'!$E$13="Keep tenure, recalculate EMI",-PMT(AA316/1200,MAX(1,'Loan Prepayment'!$B$7*12-Y316+1),Z316),AB315),AB315),Z316+AC316))</f>
        <v>0</v>
      </c>
      <c r="AC316">
        <f t="shared" si="93"/>
        <v>0</v>
      </c>
      <c r="AD316">
        <f t="shared" si="94"/>
        <v>0</v>
      </c>
      <c r="AE316">
        <f t="shared" si="95"/>
        <v>0</v>
      </c>
      <c r="AF316">
        <f t="shared" si="96"/>
        <v>0</v>
      </c>
      <c r="AG316">
        <v>315</v>
      </c>
      <c r="AH316">
        <f t="shared" si="104"/>
        <v>0</v>
      </c>
      <c r="AI316">
        <f>IF(AG316&gt;='Loan Prepayment'!$E$11,'Loan Prepayment'!$E$12,'Loan Prepayment'!$B$6)</f>
        <v>6.5</v>
      </c>
      <c r="AJ316">
        <f>IF(AH316&lt;=0,0,MIN(IF(AG316='Loan Prepayment'!$E$11,IF('Loan Prepayment'!$E$13="Keep tenure, recalculate EMI",-PMT(AI316/1200,MAX(1,'Loan Prepayment'!$B$7*12-AG316+1),AH316),IF(AND('Loan Prepayment'!$E$15="Reduce EMI",AM315&gt;0),-PMT(AI315/1200,MAX(1,'Loan Prepayment'!$B$7*12-AG316+1),AH316),AJ315)),IF(AND('Loan Prepayment'!$E$15="Reduce EMI",AM315&gt;0),-PMT(AI316/1200,MAX(1,'Loan Prepayment'!$B$7*12-AG316+1),AH316),AJ315)),AH316+AK316))</f>
        <v>0</v>
      </c>
      <c r="AK316">
        <f t="shared" si="97"/>
        <v>0</v>
      </c>
      <c r="AL316">
        <f t="shared" si="98"/>
        <v>0</v>
      </c>
      <c r="AM316">
        <f>IF(AH316&lt;=0,0,MIN(MAX(0,AH316-AL316),SUMIFS('Loan Prepayment'!$B$12:$B$31,'Loan Prepayment'!$A$12:$A$31,AG316)+IF(AND(AG316&gt;='Loan Prepayment'!$B$9,AG316&lt;='Loan Prepayment'!$E$16),'Loan Prepayment'!$B$8,0)))</f>
        <v>0</v>
      </c>
      <c r="AN316">
        <f t="shared" si="99"/>
        <v>0</v>
      </c>
    </row>
    <row r="317" spans="1:40" x14ac:dyDescent="0.35">
      <c r="A317">
        <v>316</v>
      </c>
      <c r="B317">
        <f t="shared" si="100"/>
        <v>0</v>
      </c>
      <c r="C317" s="64">
        <f>'Loan Prepayment'!$B$6</f>
        <v>7.5</v>
      </c>
      <c r="D317">
        <f>IF(B317&lt;=0,0,MIN(-PMT('Loan Prepayment'!$B$6/1200,'Loan Prepayment'!$B$7*12,'Loan Prepayment'!$B$5),B317+E317))</f>
        <v>0</v>
      </c>
      <c r="E317">
        <f t="shared" si="84"/>
        <v>0</v>
      </c>
      <c r="F317">
        <f t="shared" si="85"/>
        <v>0</v>
      </c>
      <c r="G317">
        <v>0</v>
      </c>
      <c r="H317">
        <f t="shared" si="86"/>
        <v>0</v>
      </c>
      <c r="I317">
        <v>316</v>
      </c>
      <c r="J317">
        <f t="shared" si="101"/>
        <v>0</v>
      </c>
      <c r="K317" s="64">
        <f>'Loan Prepayment'!$B$6</f>
        <v>7.5</v>
      </c>
      <c r="L317">
        <f>IF(J317&lt;=0,0,MIN(IF(AND('Loan Prepayment'!$E$15="Reduce EMI",O316&gt;0),-PMT(K317/1200,MAX(1,'Loan Prepayment'!$B$7*12-I317+1),J317),L316),J317+M317))</f>
        <v>0</v>
      </c>
      <c r="M317">
        <f t="shared" si="87"/>
        <v>0</v>
      </c>
      <c r="N317">
        <f t="shared" si="88"/>
        <v>0</v>
      </c>
      <c r="O317">
        <f>IF(J317&lt;=0,0,MIN(MAX(0,J317-N317),SUMIFS('Loan Prepayment'!$B$12:$B$31,'Loan Prepayment'!$A$12:$A$31,I317)+0))</f>
        <v>0</v>
      </c>
      <c r="P317">
        <f t="shared" si="89"/>
        <v>0</v>
      </c>
      <c r="Q317">
        <v>316</v>
      </c>
      <c r="R317">
        <f t="shared" si="102"/>
        <v>0</v>
      </c>
      <c r="S317" s="64">
        <f>'Loan Prepayment'!$B$6</f>
        <v>7.5</v>
      </c>
      <c r="T317">
        <f>IF(R317&lt;=0,0,MIN(IF(AND('Loan Prepayment'!$E$15="Reduce EMI",W316&gt;0),-PMT(S317/1200,MAX(1,'Loan Prepayment'!$B$7*12-Q317+1),R317),T316),R317+U317))</f>
        <v>0</v>
      </c>
      <c r="U317">
        <f t="shared" si="90"/>
        <v>0</v>
      </c>
      <c r="V317">
        <f t="shared" si="91"/>
        <v>0</v>
      </c>
      <c r="W317">
        <f>IF(R317&lt;=0,0,MIN(MAX(0,R317-V317),0+IF(AND(Q317&gt;='Loan Prepayment'!$B$9,Q317&lt;='Loan Prepayment'!$E$16),'Loan Prepayment'!$B$8,0)))</f>
        <v>0</v>
      </c>
      <c r="X317">
        <f t="shared" si="92"/>
        <v>0</v>
      </c>
      <c r="Y317">
        <v>316</v>
      </c>
      <c r="Z317">
        <f t="shared" si="103"/>
        <v>0</v>
      </c>
      <c r="AA317">
        <f>IF(Y317&gt;='Loan Prepayment'!$E$11,'Loan Prepayment'!$E$12,'Loan Prepayment'!$B$6)</f>
        <v>6.5</v>
      </c>
      <c r="AB317">
        <f>IF(Z317&lt;=0,0,MIN(IF(Y317='Loan Prepayment'!$E$11,IF('Loan Prepayment'!$E$13="Keep tenure, recalculate EMI",-PMT(AA317/1200,MAX(1,'Loan Prepayment'!$B$7*12-Y317+1),Z317),AB316),AB316),Z317+AC317))</f>
        <v>0</v>
      </c>
      <c r="AC317">
        <f t="shared" si="93"/>
        <v>0</v>
      </c>
      <c r="AD317">
        <f t="shared" si="94"/>
        <v>0</v>
      </c>
      <c r="AE317">
        <f t="shared" si="95"/>
        <v>0</v>
      </c>
      <c r="AF317">
        <f t="shared" si="96"/>
        <v>0</v>
      </c>
      <c r="AG317">
        <v>316</v>
      </c>
      <c r="AH317">
        <f t="shared" si="104"/>
        <v>0</v>
      </c>
      <c r="AI317">
        <f>IF(AG317&gt;='Loan Prepayment'!$E$11,'Loan Prepayment'!$E$12,'Loan Prepayment'!$B$6)</f>
        <v>6.5</v>
      </c>
      <c r="AJ317">
        <f>IF(AH317&lt;=0,0,MIN(IF(AG317='Loan Prepayment'!$E$11,IF('Loan Prepayment'!$E$13="Keep tenure, recalculate EMI",-PMT(AI317/1200,MAX(1,'Loan Prepayment'!$B$7*12-AG317+1),AH317),IF(AND('Loan Prepayment'!$E$15="Reduce EMI",AM316&gt;0),-PMT(AI316/1200,MAX(1,'Loan Prepayment'!$B$7*12-AG317+1),AH317),AJ316)),IF(AND('Loan Prepayment'!$E$15="Reduce EMI",AM316&gt;0),-PMT(AI317/1200,MAX(1,'Loan Prepayment'!$B$7*12-AG317+1),AH317),AJ316)),AH317+AK317))</f>
        <v>0</v>
      </c>
      <c r="AK317">
        <f t="shared" si="97"/>
        <v>0</v>
      </c>
      <c r="AL317">
        <f t="shared" si="98"/>
        <v>0</v>
      </c>
      <c r="AM317">
        <f>IF(AH317&lt;=0,0,MIN(MAX(0,AH317-AL317),SUMIFS('Loan Prepayment'!$B$12:$B$31,'Loan Prepayment'!$A$12:$A$31,AG317)+IF(AND(AG317&gt;='Loan Prepayment'!$B$9,AG317&lt;='Loan Prepayment'!$E$16),'Loan Prepayment'!$B$8,0)))</f>
        <v>0</v>
      </c>
      <c r="AN317">
        <f t="shared" si="99"/>
        <v>0</v>
      </c>
    </row>
    <row r="318" spans="1:40" x14ac:dyDescent="0.35">
      <c r="A318">
        <v>317</v>
      </c>
      <c r="B318">
        <f t="shared" si="100"/>
        <v>0</v>
      </c>
      <c r="C318" s="64">
        <f>'Loan Prepayment'!$B$6</f>
        <v>7.5</v>
      </c>
      <c r="D318">
        <f>IF(B318&lt;=0,0,MIN(-PMT('Loan Prepayment'!$B$6/1200,'Loan Prepayment'!$B$7*12,'Loan Prepayment'!$B$5),B318+E318))</f>
        <v>0</v>
      </c>
      <c r="E318">
        <f t="shared" si="84"/>
        <v>0</v>
      </c>
      <c r="F318">
        <f t="shared" si="85"/>
        <v>0</v>
      </c>
      <c r="G318">
        <v>0</v>
      </c>
      <c r="H318">
        <f t="shared" si="86"/>
        <v>0</v>
      </c>
      <c r="I318">
        <v>317</v>
      </c>
      <c r="J318">
        <f t="shared" si="101"/>
        <v>0</v>
      </c>
      <c r="K318" s="64">
        <f>'Loan Prepayment'!$B$6</f>
        <v>7.5</v>
      </c>
      <c r="L318">
        <f>IF(J318&lt;=0,0,MIN(IF(AND('Loan Prepayment'!$E$15="Reduce EMI",O317&gt;0),-PMT(K318/1200,MAX(1,'Loan Prepayment'!$B$7*12-I318+1),J318),L317),J318+M318))</f>
        <v>0</v>
      </c>
      <c r="M318">
        <f t="shared" si="87"/>
        <v>0</v>
      </c>
      <c r="N318">
        <f t="shared" si="88"/>
        <v>0</v>
      </c>
      <c r="O318">
        <f>IF(J318&lt;=0,0,MIN(MAX(0,J318-N318),SUMIFS('Loan Prepayment'!$B$12:$B$31,'Loan Prepayment'!$A$12:$A$31,I318)+0))</f>
        <v>0</v>
      </c>
      <c r="P318">
        <f t="shared" si="89"/>
        <v>0</v>
      </c>
      <c r="Q318">
        <v>317</v>
      </c>
      <c r="R318">
        <f t="shared" si="102"/>
        <v>0</v>
      </c>
      <c r="S318" s="64">
        <f>'Loan Prepayment'!$B$6</f>
        <v>7.5</v>
      </c>
      <c r="T318">
        <f>IF(R318&lt;=0,0,MIN(IF(AND('Loan Prepayment'!$E$15="Reduce EMI",W317&gt;0),-PMT(S318/1200,MAX(1,'Loan Prepayment'!$B$7*12-Q318+1),R318),T317),R318+U318))</f>
        <v>0</v>
      </c>
      <c r="U318">
        <f t="shared" si="90"/>
        <v>0</v>
      </c>
      <c r="V318">
        <f t="shared" si="91"/>
        <v>0</v>
      </c>
      <c r="W318">
        <f>IF(R318&lt;=0,0,MIN(MAX(0,R318-V318),0+IF(AND(Q318&gt;='Loan Prepayment'!$B$9,Q318&lt;='Loan Prepayment'!$E$16),'Loan Prepayment'!$B$8,0)))</f>
        <v>0</v>
      </c>
      <c r="X318">
        <f t="shared" si="92"/>
        <v>0</v>
      </c>
      <c r="Y318">
        <v>317</v>
      </c>
      <c r="Z318">
        <f t="shared" si="103"/>
        <v>0</v>
      </c>
      <c r="AA318">
        <f>IF(Y318&gt;='Loan Prepayment'!$E$11,'Loan Prepayment'!$E$12,'Loan Prepayment'!$B$6)</f>
        <v>6.5</v>
      </c>
      <c r="AB318">
        <f>IF(Z318&lt;=0,0,MIN(IF(Y318='Loan Prepayment'!$E$11,IF('Loan Prepayment'!$E$13="Keep tenure, recalculate EMI",-PMT(AA318/1200,MAX(1,'Loan Prepayment'!$B$7*12-Y318+1),Z318),AB317),AB317),Z318+AC318))</f>
        <v>0</v>
      </c>
      <c r="AC318">
        <f t="shared" si="93"/>
        <v>0</v>
      </c>
      <c r="AD318">
        <f t="shared" si="94"/>
        <v>0</v>
      </c>
      <c r="AE318">
        <f t="shared" si="95"/>
        <v>0</v>
      </c>
      <c r="AF318">
        <f t="shared" si="96"/>
        <v>0</v>
      </c>
      <c r="AG318">
        <v>317</v>
      </c>
      <c r="AH318">
        <f t="shared" si="104"/>
        <v>0</v>
      </c>
      <c r="AI318">
        <f>IF(AG318&gt;='Loan Prepayment'!$E$11,'Loan Prepayment'!$E$12,'Loan Prepayment'!$B$6)</f>
        <v>6.5</v>
      </c>
      <c r="AJ318">
        <f>IF(AH318&lt;=0,0,MIN(IF(AG318='Loan Prepayment'!$E$11,IF('Loan Prepayment'!$E$13="Keep tenure, recalculate EMI",-PMT(AI318/1200,MAX(1,'Loan Prepayment'!$B$7*12-AG318+1),AH318),IF(AND('Loan Prepayment'!$E$15="Reduce EMI",AM317&gt;0),-PMT(AI317/1200,MAX(1,'Loan Prepayment'!$B$7*12-AG318+1),AH318),AJ317)),IF(AND('Loan Prepayment'!$E$15="Reduce EMI",AM317&gt;0),-PMT(AI318/1200,MAX(1,'Loan Prepayment'!$B$7*12-AG318+1),AH318),AJ317)),AH318+AK318))</f>
        <v>0</v>
      </c>
      <c r="AK318">
        <f t="shared" si="97"/>
        <v>0</v>
      </c>
      <c r="AL318">
        <f t="shared" si="98"/>
        <v>0</v>
      </c>
      <c r="AM318">
        <f>IF(AH318&lt;=0,0,MIN(MAX(0,AH318-AL318),SUMIFS('Loan Prepayment'!$B$12:$B$31,'Loan Prepayment'!$A$12:$A$31,AG318)+IF(AND(AG318&gt;='Loan Prepayment'!$B$9,AG318&lt;='Loan Prepayment'!$E$16),'Loan Prepayment'!$B$8,0)))</f>
        <v>0</v>
      </c>
      <c r="AN318">
        <f t="shared" si="99"/>
        <v>0</v>
      </c>
    </row>
    <row r="319" spans="1:40" x14ac:dyDescent="0.35">
      <c r="A319">
        <v>318</v>
      </c>
      <c r="B319">
        <f t="shared" si="100"/>
        <v>0</v>
      </c>
      <c r="C319" s="64">
        <f>'Loan Prepayment'!$B$6</f>
        <v>7.5</v>
      </c>
      <c r="D319">
        <f>IF(B319&lt;=0,0,MIN(-PMT('Loan Prepayment'!$B$6/1200,'Loan Prepayment'!$B$7*12,'Loan Prepayment'!$B$5),B319+E319))</f>
        <v>0</v>
      </c>
      <c r="E319">
        <f t="shared" si="84"/>
        <v>0</v>
      </c>
      <c r="F319">
        <f t="shared" si="85"/>
        <v>0</v>
      </c>
      <c r="G319">
        <v>0</v>
      </c>
      <c r="H319">
        <f t="shared" si="86"/>
        <v>0</v>
      </c>
      <c r="I319">
        <v>318</v>
      </c>
      <c r="J319">
        <f t="shared" si="101"/>
        <v>0</v>
      </c>
      <c r="K319" s="64">
        <f>'Loan Prepayment'!$B$6</f>
        <v>7.5</v>
      </c>
      <c r="L319">
        <f>IF(J319&lt;=0,0,MIN(IF(AND('Loan Prepayment'!$E$15="Reduce EMI",O318&gt;0),-PMT(K319/1200,MAX(1,'Loan Prepayment'!$B$7*12-I319+1),J319),L318),J319+M319))</f>
        <v>0</v>
      </c>
      <c r="M319">
        <f t="shared" si="87"/>
        <v>0</v>
      </c>
      <c r="N319">
        <f t="shared" si="88"/>
        <v>0</v>
      </c>
      <c r="O319">
        <f>IF(J319&lt;=0,0,MIN(MAX(0,J319-N319),SUMIFS('Loan Prepayment'!$B$12:$B$31,'Loan Prepayment'!$A$12:$A$31,I319)+0))</f>
        <v>0</v>
      </c>
      <c r="P319">
        <f t="shared" si="89"/>
        <v>0</v>
      </c>
      <c r="Q319">
        <v>318</v>
      </c>
      <c r="R319">
        <f t="shared" si="102"/>
        <v>0</v>
      </c>
      <c r="S319" s="64">
        <f>'Loan Prepayment'!$B$6</f>
        <v>7.5</v>
      </c>
      <c r="T319">
        <f>IF(R319&lt;=0,0,MIN(IF(AND('Loan Prepayment'!$E$15="Reduce EMI",W318&gt;0),-PMT(S319/1200,MAX(1,'Loan Prepayment'!$B$7*12-Q319+1),R319),T318),R319+U319))</f>
        <v>0</v>
      </c>
      <c r="U319">
        <f t="shared" si="90"/>
        <v>0</v>
      </c>
      <c r="V319">
        <f t="shared" si="91"/>
        <v>0</v>
      </c>
      <c r="W319">
        <f>IF(R319&lt;=0,0,MIN(MAX(0,R319-V319),0+IF(AND(Q319&gt;='Loan Prepayment'!$B$9,Q319&lt;='Loan Prepayment'!$E$16),'Loan Prepayment'!$B$8,0)))</f>
        <v>0</v>
      </c>
      <c r="X319">
        <f t="shared" si="92"/>
        <v>0</v>
      </c>
      <c r="Y319">
        <v>318</v>
      </c>
      <c r="Z319">
        <f t="shared" si="103"/>
        <v>0</v>
      </c>
      <c r="AA319">
        <f>IF(Y319&gt;='Loan Prepayment'!$E$11,'Loan Prepayment'!$E$12,'Loan Prepayment'!$B$6)</f>
        <v>6.5</v>
      </c>
      <c r="AB319">
        <f>IF(Z319&lt;=0,0,MIN(IF(Y319='Loan Prepayment'!$E$11,IF('Loan Prepayment'!$E$13="Keep tenure, recalculate EMI",-PMT(AA319/1200,MAX(1,'Loan Prepayment'!$B$7*12-Y319+1),Z319),AB318),AB318),Z319+AC319))</f>
        <v>0</v>
      </c>
      <c r="AC319">
        <f t="shared" si="93"/>
        <v>0</v>
      </c>
      <c r="AD319">
        <f t="shared" si="94"/>
        <v>0</v>
      </c>
      <c r="AE319">
        <f t="shared" si="95"/>
        <v>0</v>
      </c>
      <c r="AF319">
        <f t="shared" si="96"/>
        <v>0</v>
      </c>
      <c r="AG319">
        <v>318</v>
      </c>
      <c r="AH319">
        <f t="shared" si="104"/>
        <v>0</v>
      </c>
      <c r="AI319">
        <f>IF(AG319&gt;='Loan Prepayment'!$E$11,'Loan Prepayment'!$E$12,'Loan Prepayment'!$B$6)</f>
        <v>6.5</v>
      </c>
      <c r="AJ319">
        <f>IF(AH319&lt;=0,0,MIN(IF(AG319='Loan Prepayment'!$E$11,IF('Loan Prepayment'!$E$13="Keep tenure, recalculate EMI",-PMT(AI319/1200,MAX(1,'Loan Prepayment'!$B$7*12-AG319+1),AH319),IF(AND('Loan Prepayment'!$E$15="Reduce EMI",AM318&gt;0),-PMT(AI318/1200,MAX(1,'Loan Prepayment'!$B$7*12-AG319+1),AH319),AJ318)),IF(AND('Loan Prepayment'!$E$15="Reduce EMI",AM318&gt;0),-PMT(AI319/1200,MAX(1,'Loan Prepayment'!$B$7*12-AG319+1),AH319),AJ318)),AH319+AK319))</f>
        <v>0</v>
      </c>
      <c r="AK319">
        <f t="shared" si="97"/>
        <v>0</v>
      </c>
      <c r="AL319">
        <f t="shared" si="98"/>
        <v>0</v>
      </c>
      <c r="AM319">
        <f>IF(AH319&lt;=0,0,MIN(MAX(0,AH319-AL319),SUMIFS('Loan Prepayment'!$B$12:$B$31,'Loan Prepayment'!$A$12:$A$31,AG319)+IF(AND(AG319&gt;='Loan Prepayment'!$B$9,AG319&lt;='Loan Prepayment'!$E$16),'Loan Prepayment'!$B$8,0)))</f>
        <v>0</v>
      </c>
      <c r="AN319">
        <f t="shared" si="99"/>
        <v>0</v>
      </c>
    </row>
    <row r="320" spans="1:40" x14ac:dyDescent="0.35">
      <c r="A320">
        <v>319</v>
      </c>
      <c r="B320">
        <f t="shared" si="100"/>
        <v>0</v>
      </c>
      <c r="C320" s="64">
        <f>'Loan Prepayment'!$B$6</f>
        <v>7.5</v>
      </c>
      <c r="D320">
        <f>IF(B320&lt;=0,0,MIN(-PMT('Loan Prepayment'!$B$6/1200,'Loan Prepayment'!$B$7*12,'Loan Prepayment'!$B$5),B320+E320))</f>
        <v>0</v>
      </c>
      <c r="E320">
        <f t="shared" si="84"/>
        <v>0</v>
      </c>
      <c r="F320">
        <f t="shared" si="85"/>
        <v>0</v>
      </c>
      <c r="G320">
        <v>0</v>
      </c>
      <c r="H320">
        <f t="shared" si="86"/>
        <v>0</v>
      </c>
      <c r="I320">
        <v>319</v>
      </c>
      <c r="J320">
        <f t="shared" si="101"/>
        <v>0</v>
      </c>
      <c r="K320" s="64">
        <f>'Loan Prepayment'!$B$6</f>
        <v>7.5</v>
      </c>
      <c r="L320">
        <f>IF(J320&lt;=0,0,MIN(IF(AND('Loan Prepayment'!$E$15="Reduce EMI",O319&gt;0),-PMT(K320/1200,MAX(1,'Loan Prepayment'!$B$7*12-I320+1),J320),L319),J320+M320))</f>
        <v>0</v>
      </c>
      <c r="M320">
        <f t="shared" si="87"/>
        <v>0</v>
      </c>
      <c r="N320">
        <f t="shared" si="88"/>
        <v>0</v>
      </c>
      <c r="O320">
        <f>IF(J320&lt;=0,0,MIN(MAX(0,J320-N320),SUMIFS('Loan Prepayment'!$B$12:$B$31,'Loan Prepayment'!$A$12:$A$31,I320)+0))</f>
        <v>0</v>
      </c>
      <c r="P320">
        <f t="shared" si="89"/>
        <v>0</v>
      </c>
      <c r="Q320">
        <v>319</v>
      </c>
      <c r="R320">
        <f t="shared" si="102"/>
        <v>0</v>
      </c>
      <c r="S320" s="64">
        <f>'Loan Prepayment'!$B$6</f>
        <v>7.5</v>
      </c>
      <c r="T320">
        <f>IF(R320&lt;=0,0,MIN(IF(AND('Loan Prepayment'!$E$15="Reduce EMI",W319&gt;0),-PMT(S320/1200,MAX(1,'Loan Prepayment'!$B$7*12-Q320+1),R320),T319),R320+U320))</f>
        <v>0</v>
      </c>
      <c r="U320">
        <f t="shared" si="90"/>
        <v>0</v>
      </c>
      <c r="V320">
        <f t="shared" si="91"/>
        <v>0</v>
      </c>
      <c r="W320">
        <f>IF(R320&lt;=0,0,MIN(MAX(0,R320-V320),0+IF(AND(Q320&gt;='Loan Prepayment'!$B$9,Q320&lt;='Loan Prepayment'!$E$16),'Loan Prepayment'!$B$8,0)))</f>
        <v>0</v>
      </c>
      <c r="X320">
        <f t="shared" si="92"/>
        <v>0</v>
      </c>
      <c r="Y320">
        <v>319</v>
      </c>
      <c r="Z320">
        <f t="shared" si="103"/>
        <v>0</v>
      </c>
      <c r="AA320">
        <f>IF(Y320&gt;='Loan Prepayment'!$E$11,'Loan Prepayment'!$E$12,'Loan Prepayment'!$B$6)</f>
        <v>6.5</v>
      </c>
      <c r="AB320">
        <f>IF(Z320&lt;=0,0,MIN(IF(Y320='Loan Prepayment'!$E$11,IF('Loan Prepayment'!$E$13="Keep tenure, recalculate EMI",-PMT(AA320/1200,MAX(1,'Loan Prepayment'!$B$7*12-Y320+1),Z320),AB319),AB319),Z320+AC320))</f>
        <v>0</v>
      </c>
      <c r="AC320">
        <f t="shared" si="93"/>
        <v>0</v>
      </c>
      <c r="AD320">
        <f t="shared" si="94"/>
        <v>0</v>
      </c>
      <c r="AE320">
        <f t="shared" si="95"/>
        <v>0</v>
      </c>
      <c r="AF320">
        <f t="shared" si="96"/>
        <v>0</v>
      </c>
      <c r="AG320">
        <v>319</v>
      </c>
      <c r="AH320">
        <f t="shared" si="104"/>
        <v>0</v>
      </c>
      <c r="AI320">
        <f>IF(AG320&gt;='Loan Prepayment'!$E$11,'Loan Prepayment'!$E$12,'Loan Prepayment'!$B$6)</f>
        <v>6.5</v>
      </c>
      <c r="AJ320">
        <f>IF(AH320&lt;=0,0,MIN(IF(AG320='Loan Prepayment'!$E$11,IF('Loan Prepayment'!$E$13="Keep tenure, recalculate EMI",-PMT(AI320/1200,MAX(1,'Loan Prepayment'!$B$7*12-AG320+1),AH320),IF(AND('Loan Prepayment'!$E$15="Reduce EMI",AM319&gt;0),-PMT(AI319/1200,MAX(1,'Loan Prepayment'!$B$7*12-AG320+1),AH320),AJ319)),IF(AND('Loan Prepayment'!$E$15="Reduce EMI",AM319&gt;0),-PMT(AI320/1200,MAX(1,'Loan Prepayment'!$B$7*12-AG320+1),AH320),AJ319)),AH320+AK320))</f>
        <v>0</v>
      </c>
      <c r="AK320">
        <f t="shared" si="97"/>
        <v>0</v>
      </c>
      <c r="AL320">
        <f t="shared" si="98"/>
        <v>0</v>
      </c>
      <c r="AM320">
        <f>IF(AH320&lt;=0,0,MIN(MAX(0,AH320-AL320),SUMIFS('Loan Prepayment'!$B$12:$B$31,'Loan Prepayment'!$A$12:$A$31,AG320)+IF(AND(AG320&gt;='Loan Prepayment'!$B$9,AG320&lt;='Loan Prepayment'!$E$16),'Loan Prepayment'!$B$8,0)))</f>
        <v>0</v>
      </c>
      <c r="AN320">
        <f t="shared" si="99"/>
        <v>0</v>
      </c>
    </row>
    <row r="321" spans="1:40" x14ac:dyDescent="0.35">
      <c r="A321">
        <v>320</v>
      </c>
      <c r="B321">
        <f t="shared" si="100"/>
        <v>0</v>
      </c>
      <c r="C321" s="64">
        <f>'Loan Prepayment'!$B$6</f>
        <v>7.5</v>
      </c>
      <c r="D321">
        <f>IF(B321&lt;=0,0,MIN(-PMT('Loan Prepayment'!$B$6/1200,'Loan Prepayment'!$B$7*12,'Loan Prepayment'!$B$5),B321+E321))</f>
        <v>0</v>
      </c>
      <c r="E321">
        <f t="shared" si="84"/>
        <v>0</v>
      </c>
      <c r="F321">
        <f t="shared" si="85"/>
        <v>0</v>
      </c>
      <c r="G321">
        <v>0</v>
      </c>
      <c r="H321">
        <f t="shared" si="86"/>
        <v>0</v>
      </c>
      <c r="I321">
        <v>320</v>
      </c>
      <c r="J321">
        <f t="shared" si="101"/>
        <v>0</v>
      </c>
      <c r="K321" s="64">
        <f>'Loan Prepayment'!$B$6</f>
        <v>7.5</v>
      </c>
      <c r="L321">
        <f>IF(J321&lt;=0,0,MIN(IF(AND('Loan Prepayment'!$E$15="Reduce EMI",O320&gt;0),-PMT(K321/1200,MAX(1,'Loan Prepayment'!$B$7*12-I321+1),J321),L320),J321+M321))</f>
        <v>0</v>
      </c>
      <c r="M321">
        <f t="shared" si="87"/>
        <v>0</v>
      </c>
      <c r="N321">
        <f t="shared" si="88"/>
        <v>0</v>
      </c>
      <c r="O321">
        <f>IF(J321&lt;=0,0,MIN(MAX(0,J321-N321),SUMIFS('Loan Prepayment'!$B$12:$B$31,'Loan Prepayment'!$A$12:$A$31,I321)+0))</f>
        <v>0</v>
      </c>
      <c r="P321">
        <f t="shared" si="89"/>
        <v>0</v>
      </c>
      <c r="Q321">
        <v>320</v>
      </c>
      <c r="R321">
        <f t="shared" si="102"/>
        <v>0</v>
      </c>
      <c r="S321" s="64">
        <f>'Loan Prepayment'!$B$6</f>
        <v>7.5</v>
      </c>
      <c r="T321">
        <f>IF(R321&lt;=0,0,MIN(IF(AND('Loan Prepayment'!$E$15="Reduce EMI",W320&gt;0),-PMT(S321/1200,MAX(1,'Loan Prepayment'!$B$7*12-Q321+1),R321),T320),R321+U321))</f>
        <v>0</v>
      </c>
      <c r="U321">
        <f t="shared" si="90"/>
        <v>0</v>
      </c>
      <c r="V321">
        <f t="shared" si="91"/>
        <v>0</v>
      </c>
      <c r="W321">
        <f>IF(R321&lt;=0,0,MIN(MAX(0,R321-V321),0+IF(AND(Q321&gt;='Loan Prepayment'!$B$9,Q321&lt;='Loan Prepayment'!$E$16),'Loan Prepayment'!$B$8,0)))</f>
        <v>0</v>
      </c>
      <c r="X321">
        <f t="shared" si="92"/>
        <v>0</v>
      </c>
      <c r="Y321">
        <v>320</v>
      </c>
      <c r="Z321">
        <f t="shared" si="103"/>
        <v>0</v>
      </c>
      <c r="AA321">
        <f>IF(Y321&gt;='Loan Prepayment'!$E$11,'Loan Prepayment'!$E$12,'Loan Prepayment'!$B$6)</f>
        <v>6.5</v>
      </c>
      <c r="AB321">
        <f>IF(Z321&lt;=0,0,MIN(IF(Y321='Loan Prepayment'!$E$11,IF('Loan Prepayment'!$E$13="Keep tenure, recalculate EMI",-PMT(AA321/1200,MAX(1,'Loan Prepayment'!$B$7*12-Y321+1),Z321),AB320),AB320),Z321+AC321))</f>
        <v>0</v>
      </c>
      <c r="AC321">
        <f t="shared" si="93"/>
        <v>0</v>
      </c>
      <c r="AD321">
        <f t="shared" si="94"/>
        <v>0</v>
      </c>
      <c r="AE321">
        <f t="shared" si="95"/>
        <v>0</v>
      </c>
      <c r="AF321">
        <f t="shared" si="96"/>
        <v>0</v>
      </c>
      <c r="AG321">
        <v>320</v>
      </c>
      <c r="AH321">
        <f t="shared" si="104"/>
        <v>0</v>
      </c>
      <c r="AI321">
        <f>IF(AG321&gt;='Loan Prepayment'!$E$11,'Loan Prepayment'!$E$12,'Loan Prepayment'!$B$6)</f>
        <v>6.5</v>
      </c>
      <c r="AJ321">
        <f>IF(AH321&lt;=0,0,MIN(IF(AG321='Loan Prepayment'!$E$11,IF('Loan Prepayment'!$E$13="Keep tenure, recalculate EMI",-PMT(AI321/1200,MAX(1,'Loan Prepayment'!$B$7*12-AG321+1),AH321),IF(AND('Loan Prepayment'!$E$15="Reduce EMI",AM320&gt;0),-PMT(AI320/1200,MAX(1,'Loan Prepayment'!$B$7*12-AG321+1),AH321),AJ320)),IF(AND('Loan Prepayment'!$E$15="Reduce EMI",AM320&gt;0),-PMT(AI321/1200,MAX(1,'Loan Prepayment'!$B$7*12-AG321+1),AH321),AJ320)),AH321+AK321))</f>
        <v>0</v>
      </c>
      <c r="AK321">
        <f t="shared" si="97"/>
        <v>0</v>
      </c>
      <c r="AL321">
        <f t="shared" si="98"/>
        <v>0</v>
      </c>
      <c r="AM321">
        <f>IF(AH321&lt;=0,0,MIN(MAX(0,AH321-AL321),SUMIFS('Loan Prepayment'!$B$12:$B$31,'Loan Prepayment'!$A$12:$A$31,AG321)+IF(AND(AG321&gt;='Loan Prepayment'!$B$9,AG321&lt;='Loan Prepayment'!$E$16),'Loan Prepayment'!$B$8,0)))</f>
        <v>0</v>
      </c>
      <c r="AN321">
        <f t="shared" si="99"/>
        <v>0</v>
      </c>
    </row>
    <row r="322" spans="1:40" x14ac:dyDescent="0.35">
      <c r="A322">
        <v>321</v>
      </c>
      <c r="B322">
        <f t="shared" si="100"/>
        <v>0</v>
      </c>
      <c r="C322" s="64">
        <f>'Loan Prepayment'!$B$6</f>
        <v>7.5</v>
      </c>
      <c r="D322">
        <f>IF(B322&lt;=0,0,MIN(-PMT('Loan Prepayment'!$B$6/1200,'Loan Prepayment'!$B$7*12,'Loan Prepayment'!$B$5),B322+E322))</f>
        <v>0</v>
      </c>
      <c r="E322">
        <f t="shared" ref="E322:E361" si="105">IF(B322&lt;=0,0,B322*C322/1200)</f>
        <v>0</v>
      </c>
      <c r="F322">
        <f t="shared" ref="F322:F361" si="106">MAX(0,D322-E322)</f>
        <v>0</v>
      </c>
      <c r="G322">
        <v>0</v>
      </c>
      <c r="H322">
        <f t="shared" ref="H322:H361" si="107">MAX(0,B322-F322-G322)</f>
        <v>0</v>
      </c>
      <c r="I322">
        <v>321</v>
      </c>
      <c r="J322">
        <f t="shared" si="101"/>
        <v>0</v>
      </c>
      <c r="K322" s="64">
        <f>'Loan Prepayment'!$B$6</f>
        <v>7.5</v>
      </c>
      <c r="L322">
        <f>IF(J322&lt;=0,0,MIN(IF(AND('Loan Prepayment'!$E$15="Reduce EMI",O321&gt;0),-PMT(K322/1200,MAX(1,'Loan Prepayment'!$B$7*12-I322+1),J322),L321),J322+M322))</f>
        <v>0</v>
      </c>
      <c r="M322">
        <f t="shared" ref="M322:M361" si="108">IF(J322&lt;=0,0,J322*K322/1200)</f>
        <v>0</v>
      </c>
      <c r="N322">
        <f t="shared" ref="N322:N361" si="109">MAX(0,L322-M322)</f>
        <v>0</v>
      </c>
      <c r="O322">
        <f>IF(J322&lt;=0,0,MIN(MAX(0,J322-N322),SUMIFS('Loan Prepayment'!$B$12:$B$31,'Loan Prepayment'!$A$12:$A$31,I322)+0))</f>
        <v>0</v>
      </c>
      <c r="P322">
        <f t="shared" ref="P322:P361" si="110">MAX(0,J322-N322-O322)</f>
        <v>0</v>
      </c>
      <c r="Q322">
        <v>321</v>
      </c>
      <c r="R322">
        <f t="shared" si="102"/>
        <v>0</v>
      </c>
      <c r="S322" s="64">
        <f>'Loan Prepayment'!$B$6</f>
        <v>7.5</v>
      </c>
      <c r="T322">
        <f>IF(R322&lt;=0,0,MIN(IF(AND('Loan Prepayment'!$E$15="Reduce EMI",W321&gt;0),-PMT(S322/1200,MAX(1,'Loan Prepayment'!$B$7*12-Q322+1),R322),T321),R322+U322))</f>
        <v>0</v>
      </c>
      <c r="U322">
        <f t="shared" ref="U322:U361" si="111">IF(R322&lt;=0,0,R322*S322/1200)</f>
        <v>0</v>
      </c>
      <c r="V322">
        <f t="shared" ref="V322:V361" si="112">MAX(0,T322-U322)</f>
        <v>0</v>
      </c>
      <c r="W322">
        <f>IF(R322&lt;=0,0,MIN(MAX(0,R322-V322),0+IF(AND(Q322&gt;='Loan Prepayment'!$B$9,Q322&lt;='Loan Prepayment'!$E$16),'Loan Prepayment'!$B$8,0)))</f>
        <v>0</v>
      </c>
      <c r="X322">
        <f t="shared" ref="X322:X361" si="113">MAX(0,R322-V322-W322)</f>
        <v>0</v>
      </c>
      <c r="Y322">
        <v>321</v>
      </c>
      <c r="Z322">
        <f t="shared" si="103"/>
        <v>0</v>
      </c>
      <c r="AA322">
        <f>IF(Y322&gt;='Loan Prepayment'!$E$11,'Loan Prepayment'!$E$12,'Loan Prepayment'!$B$6)</f>
        <v>6.5</v>
      </c>
      <c r="AB322">
        <f>IF(Z322&lt;=0,0,MIN(IF(Y322='Loan Prepayment'!$E$11,IF('Loan Prepayment'!$E$13="Keep tenure, recalculate EMI",-PMT(AA322/1200,MAX(1,'Loan Prepayment'!$B$7*12-Y322+1),Z322),AB321),AB321),Z322+AC322))</f>
        <v>0</v>
      </c>
      <c r="AC322">
        <f t="shared" ref="AC322:AC361" si="114">IF(Z322&lt;=0,0,Z322*AA322/1200)</f>
        <v>0</v>
      </c>
      <c r="AD322">
        <f t="shared" ref="AD322:AD361" si="115">MAX(0,AB322-AC322)</f>
        <v>0</v>
      </c>
      <c r="AE322">
        <f t="shared" ref="AE322:AE361" si="116">IF(Z322&lt;=0,0,MIN(MAX(0,Z322-AD322),0))</f>
        <v>0</v>
      </c>
      <c r="AF322">
        <f t="shared" ref="AF322:AF361" si="117">MAX(0,Z322-AD322-AE322)</f>
        <v>0</v>
      </c>
      <c r="AG322">
        <v>321</v>
      </c>
      <c r="AH322">
        <f t="shared" si="104"/>
        <v>0</v>
      </c>
      <c r="AI322">
        <f>IF(AG322&gt;='Loan Prepayment'!$E$11,'Loan Prepayment'!$E$12,'Loan Prepayment'!$B$6)</f>
        <v>6.5</v>
      </c>
      <c r="AJ322">
        <f>IF(AH322&lt;=0,0,MIN(IF(AG322='Loan Prepayment'!$E$11,IF('Loan Prepayment'!$E$13="Keep tenure, recalculate EMI",-PMT(AI322/1200,MAX(1,'Loan Prepayment'!$B$7*12-AG322+1),AH322),IF(AND('Loan Prepayment'!$E$15="Reduce EMI",AM321&gt;0),-PMT(AI321/1200,MAX(1,'Loan Prepayment'!$B$7*12-AG322+1),AH322),AJ321)),IF(AND('Loan Prepayment'!$E$15="Reduce EMI",AM321&gt;0),-PMT(AI322/1200,MAX(1,'Loan Prepayment'!$B$7*12-AG322+1),AH322),AJ321)),AH322+AK322))</f>
        <v>0</v>
      </c>
      <c r="AK322">
        <f t="shared" ref="AK322:AK361" si="118">IF(AH322&lt;=0,0,AH322*AI322/1200)</f>
        <v>0</v>
      </c>
      <c r="AL322">
        <f t="shared" ref="AL322:AL361" si="119">MAX(0,AJ322-AK322)</f>
        <v>0</v>
      </c>
      <c r="AM322">
        <f>IF(AH322&lt;=0,0,MIN(MAX(0,AH322-AL322),SUMIFS('Loan Prepayment'!$B$12:$B$31,'Loan Prepayment'!$A$12:$A$31,AG322)+IF(AND(AG322&gt;='Loan Prepayment'!$B$9,AG322&lt;='Loan Prepayment'!$E$16),'Loan Prepayment'!$B$8,0)))</f>
        <v>0</v>
      </c>
      <c r="AN322">
        <f t="shared" ref="AN322:AN361" si="120">MAX(0,AH322-AL322-AM322)</f>
        <v>0</v>
      </c>
    </row>
    <row r="323" spans="1:40" x14ac:dyDescent="0.35">
      <c r="A323">
        <v>322</v>
      </c>
      <c r="B323">
        <f t="shared" ref="B323:B361" si="121">H322</f>
        <v>0</v>
      </c>
      <c r="C323" s="64">
        <f>'Loan Prepayment'!$B$6</f>
        <v>7.5</v>
      </c>
      <c r="D323">
        <f>IF(B323&lt;=0,0,MIN(-PMT('Loan Prepayment'!$B$6/1200,'Loan Prepayment'!$B$7*12,'Loan Prepayment'!$B$5),B323+E323))</f>
        <v>0</v>
      </c>
      <c r="E323">
        <f t="shared" si="105"/>
        <v>0</v>
      </c>
      <c r="F323">
        <f t="shared" si="106"/>
        <v>0</v>
      </c>
      <c r="G323">
        <v>0</v>
      </c>
      <c r="H323">
        <f t="shared" si="107"/>
        <v>0</v>
      </c>
      <c r="I323">
        <v>322</v>
      </c>
      <c r="J323">
        <f t="shared" ref="J323:J361" si="122">P322</f>
        <v>0</v>
      </c>
      <c r="K323" s="64">
        <f>'Loan Prepayment'!$B$6</f>
        <v>7.5</v>
      </c>
      <c r="L323">
        <f>IF(J323&lt;=0,0,MIN(IF(AND('Loan Prepayment'!$E$15="Reduce EMI",O322&gt;0),-PMT(K323/1200,MAX(1,'Loan Prepayment'!$B$7*12-I323+1),J323),L322),J323+M323))</f>
        <v>0</v>
      </c>
      <c r="M323">
        <f t="shared" si="108"/>
        <v>0</v>
      </c>
      <c r="N323">
        <f t="shared" si="109"/>
        <v>0</v>
      </c>
      <c r="O323">
        <f>IF(J323&lt;=0,0,MIN(MAX(0,J323-N323),SUMIFS('Loan Prepayment'!$B$12:$B$31,'Loan Prepayment'!$A$12:$A$31,I323)+0))</f>
        <v>0</v>
      </c>
      <c r="P323">
        <f t="shared" si="110"/>
        <v>0</v>
      </c>
      <c r="Q323">
        <v>322</v>
      </c>
      <c r="R323">
        <f t="shared" ref="R323:R361" si="123">X322</f>
        <v>0</v>
      </c>
      <c r="S323" s="64">
        <f>'Loan Prepayment'!$B$6</f>
        <v>7.5</v>
      </c>
      <c r="T323">
        <f>IF(R323&lt;=0,0,MIN(IF(AND('Loan Prepayment'!$E$15="Reduce EMI",W322&gt;0),-PMT(S323/1200,MAX(1,'Loan Prepayment'!$B$7*12-Q323+1),R323),T322),R323+U323))</f>
        <v>0</v>
      </c>
      <c r="U323">
        <f t="shared" si="111"/>
        <v>0</v>
      </c>
      <c r="V323">
        <f t="shared" si="112"/>
        <v>0</v>
      </c>
      <c r="W323">
        <f>IF(R323&lt;=0,0,MIN(MAX(0,R323-V323),0+IF(AND(Q323&gt;='Loan Prepayment'!$B$9,Q323&lt;='Loan Prepayment'!$E$16),'Loan Prepayment'!$B$8,0)))</f>
        <v>0</v>
      </c>
      <c r="X323">
        <f t="shared" si="113"/>
        <v>0</v>
      </c>
      <c r="Y323">
        <v>322</v>
      </c>
      <c r="Z323">
        <f t="shared" ref="Z323:Z361" si="124">AF322</f>
        <v>0</v>
      </c>
      <c r="AA323">
        <f>IF(Y323&gt;='Loan Prepayment'!$E$11,'Loan Prepayment'!$E$12,'Loan Prepayment'!$B$6)</f>
        <v>6.5</v>
      </c>
      <c r="AB323">
        <f>IF(Z323&lt;=0,0,MIN(IF(Y323='Loan Prepayment'!$E$11,IF('Loan Prepayment'!$E$13="Keep tenure, recalculate EMI",-PMT(AA323/1200,MAX(1,'Loan Prepayment'!$B$7*12-Y323+1),Z323),AB322),AB322),Z323+AC323))</f>
        <v>0</v>
      </c>
      <c r="AC323">
        <f t="shared" si="114"/>
        <v>0</v>
      </c>
      <c r="AD323">
        <f t="shared" si="115"/>
        <v>0</v>
      </c>
      <c r="AE323">
        <f t="shared" si="116"/>
        <v>0</v>
      </c>
      <c r="AF323">
        <f t="shared" si="117"/>
        <v>0</v>
      </c>
      <c r="AG323">
        <v>322</v>
      </c>
      <c r="AH323">
        <f t="shared" ref="AH323:AH361" si="125">AN322</f>
        <v>0</v>
      </c>
      <c r="AI323">
        <f>IF(AG323&gt;='Loan Prepayment'!$E$11,'Loan Prepayment'!$E$12,'Loan Prepayment'!$B$6)</f>
        <v>6.5</v>
      </c>
      <c r="AJ323">
        <f>IF(AH323&lt;=0,0,MIN(IF(AG323='Loan Prepayment'!$E$11,IF('Loan Prepayment'!$E$13="Keep tenure, recalculate EMI",-PMT(AI323/1200,MAX(1,'Loan Prepayment'!$B$7*12-AG323+1),AH323),IF(AND('Loan Prepayment'!$E$15="Reduce EMI",AM322&gt;0),-PMT(AI322/1200,MAX(1,'Loan Prepayment'!$B$7*12-AG323+1),AH323),AJ322)),IF(AND('Loan Prepayment'!$E$15="Reduce EMI",AM322&gt;0),-PMT(AI323/1200,MAX(1,'Loan Prepayment'!$B$7*12-AG323+1),AH323),AJ322)),AH323+AK323))</f>
        <v>0</v>
      </c>
      <c r="AK323">
        <f t="shared" si="118"/>
        <v>0</v>
      </c>
      <c r="AL323">
        <f t="shared" si="119"/>
        <v>0</v>
      </c>
      <c r="AM323">
        <f>IF(AH323&lt;=0,0,MIN(MAX(0,AH323-AL323),SUMIFS('Loan Prepayment'!$B$12:$B$31,'Loan Prepayment'!$A$12:$A$31,AG323)+IF(AND(AG323&gt;='Loan Prepayment'!$B$9,AG323&lt;='Loan Prepayment'!$E$16),'Loan Prepayment'!$B$8,0)))</f>
        <v>0</v>
      </c>
      <c r="AN323">
        <f t="shared" si="120"/>
        <v>0</v>
      </c>
    </row>
    <row r="324" spans="1:40" x14ac:dyDescent="0.35">
      <c r="A324">
        <v>323</v>
      </c>
      <c r="B324">
        <f t="shared" si="121"/>
        <v>0</v>
      </c>
      <c r="C324" s="64">
        <f>'Loan Prepayment'!$B$6</f>
        <v>7.5</v>
      </c>
      <c r="D324">
        <f>IF(B324&lt;=0,0,MIN(-PMT('Loan Prepayment'!$B$6/1200,'Loan Prepayment'!$B$7*12,'Loan Prepayment'!$B$5),B324+E324))</f>
        <v>0</v>
      </c>
      <c r="E324">
        <f t="shared" si="105"/>
        <v>0</v>
      </c>
      <c r="F324">
        <f t="shared" si="106"/>
        <v>0</v>
      </c>
      <c r="G324">
        <v>0</v>
      </c>
      <c r="H324">
        <f t="shared" si="107"/>
        <v>0</v>
      </c>
      <c r="I324">
        <v>323</v>
      </c>
      <c r="J324">
        <f t="shared" si="122"/>
        <v>0</v>
      </c>
      <c r="K324" s="64">
        <f>'Loan Prepayment'!$B$6</f>
        <v>7.5</v>
      </c>
      <c r="L324">
        <f>IF(J324&lt;=0,0,MIN(IF(AND('Loan Prepayment'!$E$15="Reduce EMI",O323&gt;0),-PMT(K324/1200,MAX(1,'Loan Prepayment'!$B$7*12-I324+1),J324),L323),J324+M324))</f>
        <v>0</v>
      </c>
      <c r="M324">
        <f t="shared" si="108"/>
        <v>0</v>
      </c>
      <c r="N324">
        <f t="shared" si="109"/>
        <v>0</v>
      </c>
      <c r="O324">
        <f>IF(J324&lt;=0,0,MIN(MAX(0,J324-N324),SUMIFS('Loan Prepayment'!$B$12:$B$31,'Loan Prepayment'!$A$12:$A$31,I324)+0))</f>
        <v>0</v>
      </c>
      <c r="P324">
        <f t="shared" si="110"/>
        <v>0</v>
      </c>
      <c r="Q324">
        <v>323</v>
      </c>
      <c r="R324">
        <f t="shared" si="123"/>
        <v>0</v>
      </c>
      <c r="S324" s="64">
        <f>'Loan Prepayment'!$B$6</f>
        <v>7.5</v>
      </c>
      <c r="T324">
        <f>IF(R324&lt;=0,0,MIN(IF(AND('Loan Prepayment'!$E$15="Reduce EMI",W323&gt;0),-PMT(S324/1200,MAX(1,'Loan Prepayment'!$B$7*12-Q324+1),R324),T323),R324+U324))</f>
        <v>0</v>
      </c>
      <c r="U324">
        <f t="shared" si="111"/>
        <v>0</v>
      </c>
      <c r="V324">
        <f t="shared" si="112"/>
        <v>0</v>
      </c>
      <c r="W324">
        <f>IF(R324&lt;=0,0,MIN(MAX(0,R324-V324),0+IF(AND(Q324&gt;='Loan Prepayment'!$B$9,Q324&lt;='Loan Prepayment'!$E$16),'Loan Prepayment'!$B$8,0)))</f>
        <v>0</v>
      </c>
      <c r="X324">
        <f t="shared" si="113"/>
        <v>0</v>
      </c>
      <c r="Y324">
        <v>323</v>
      </c>
      <c r="Z324">
        <f t="shared" si="124"/>
        <v>0</v>
      </c>
      <c r="AA324">
        <f>IF(Y324&gt;='Loan Prepayment'!$E$11,'Loan Prepayment'!$E$12,'Loan Prepayment'!$B$6)</f>
        <v>6.5</v>
      </c>
      <c r="AB324">
        <f>IF(Z324&lt;=0,0,MIN(IF(Y324='Loan Prepayment'!$E$11,IF('Loan Prepayment'!$E$13="Keep tenure, recalculate EMI",-PMT(AA324/1200,MAX(1,'Loan Prepayment'!$B$7*12-Y324+1),Z324),AB323),AB323),Z324+AC324))</f>
        <v>0</v>
      </c>
      <c r="AC324">
        <f t="shared" si="114"/>
        <v>0</v>
      </c>
      <c r="AD324">
        <f t="shared" si="115"/>
        <v>0</v>
      </c>
      <c r="AE324">
        <f t="shared" si="116"/>
        <v>0</v>
      </c>
      <c r="AF324">
        <f t="shared" si="117"/>
        <v>0</v>
      </c>
      <c r="AG324">
        <v>323</v>
      </c>
      <c r="AH324">
        <f t="shared" si="125"/>
        <v>0</v>
      </c>
      <c r="AI324">
        <f>IF(AG324&gt;='Loan Prepayment'!$E$11,'Loan Prepayment'!$E$12,'Loan Prepayment'!$B$6)</f>
        <v>6.5</v>
      </c>
      <c r="AJ324">
        <f>IF(AH324&lt;=0,0,MIN(IF(AG324='Loan Prepayment'!$E$11,IF('Loan Prepayment'!$E$13="Keep tenure, recalculate EMI",-PMT(AI324/1200,MAX(1,'Loan Prepayment'!$B$7*12-AG324+1),AH324),IF(AND('Loan Prepayment'!$E$15="Reduce EMI",AM323&gt;0),-PMT(AI323/1200,MAX(1,'Loan Prepayment'!$B$7*12-AG324+1),AH324),AJ323)),IF(AND('Loan Prepayment'!$E$15="Reduce EMI",AM323&gt;0),-PMT(AI324/1200,MAX(1,'Loan Prepayment'!$B$7*12-AG324+1),AH324),AJ323)),AH324+AK324))</f>
        <v>0</v>
      </c>
      <c r="AK324">
        <f t="shared" si="118"/>
        <v>0</v>
      </c>
      <c r="AL324">
        <f t="shared" si="119"/>
        <v>0</v>
      </c>
      <c r="AM324">
        <f>IF(AH324&lt;=0,0,MIN(MAX(0,AH324-AL324),SUMIFS('Loan Prepayment'!$B$12:$B$31,'Loan Prepayment'!$A$12:$A$31,AG324)+IF(AND(AG324&gt;='Loan Prepayment'!$B$9,AG324&lt;='Loan Prepayment'!$E$16),'Loan Prepayment'!$B$8,0)))</f>
        <v>0</v>
      </c>
      <c r="AN324">
        <f t="shared" si="120"/>
        <v>0</v>
      </c>
    </row>
    <row r="325" spans="1:40" x14ac:dyDescent="0.35">
      <c r="A325">
        <v>324</v>
      </c>
      <c r="B325">
        <f t="shared" si="121"/>
        <v>0</v>
      </c>
      <c r="C325" s="64">
        <f>'Loan Prepayment'!$B$6</f>
        <v>7.5</v>
      </c>
      <c r="D325">
        <f>IF(B325&lt;=0,0,MIN(-PMT('Loan Prepayment'!$B$6/1200,'Loan Prepayment'!$B$7*12,'Loan Prepayment'!$B$5),B325+E325))</f>
        <v>0</v>
      </c>
      <c r="E325">
        <f t="shared" si="105"/>
        <v>0</v>
      </c>
      <c r="F325">
        <f t="shared" si="106"/>
        <v>0</v>
      </c>
      <c r="G325">
        <v>0</v>
      </c>
      <c r="H325">
        <f t="shared" si="107"/>
        <v>0</v>
      </c>
      <c r="I325">
        <v>324</v>
      </c>
      <c r="J325">
        <f t="shared" si="122"/>
        <v>0</v>
      </c>
      <c r="K325" s="64">
        <f>'Loan Prepayment'!$B$6</f>
        <v>7.5</v>
      </c>
      <c r="L325">
        <f>IF(J325&lt;=0,0,MIN(IF(AND('Loan Prepayment'!$E$15="Reduce EMI",O324&gt;0),-PMT(K325/1200,MAX(1,'Loan Prepayment'!$B$7*12-I325+1),J325),L324),J325+M325))</f>
        <v>0</v>
      </c>
      <c r="M325">
        <f t="shared" si="108"/>
        <v>0</v>
      </c>
      <c r="N325">
        <f t="shared" si="109"/>
        <v>0</v>
      </c>
      <c r="O325">
        <f>IF(J325&lt;=0,0,MIN(MAX(0,J325-N325),SUMIFS('Loan Prepayment'!$B$12:$B$31,'Loan Prepayment'!$A$12:$A$31,I325)+0))</f>
        <v>0</v>
      </c>
      <c r="P325">
        <f t="shared" si="110"/>
        <v>0</v>
      </c>
      <c r="Q325">
        <v>324</v>
      </c>
      <c r="R325">
        <f t="shared" si="123"/>
        <v>0</v>
      </c>
      <c r="S325" s="64">
        <f>'Loan Prepayment'!$B$6</f>
        <v>7.5</v>
      </c>
      <c r="T325">
        <f>IF(R325&lt;=0,0,MIN(IF(AND('Loan Prepayment'!$E$15="Reduce EMI",W324&gt;0),-PMT(S325/1200,MAX(1,'Loan Prepayment'!$B$7*12-Q325+1),R325),T324),R325+U325))</f>
        <v>0</v>
      </c>
      <c r="U325">
        <f t="shared" si="111"/>
        <v>0</v>
      </c>
      <c r="V325">
        <f t="shared" si="112"/>
        <v>0</v>
      </c>
      <c r="W325">
        <f>IF(R325&lt;=0,0,MIN(MAX(0,R325-V325),0+IF(AND(Q325&gt;='Loan Prepayment'!$B$9,Q325&lt;='Loan Prepayment'!$E$16),'Loan Prepayment'!$B$8,0)))</f>
        <v>0</v>
      </c>
      <c r="X325">
        <f t="shared" si="113"/>
        <v>0</v>
      </c>
      <c r="Y325">
        <v>324</v>
      </c>
      <c r="Z325">
        <f t="shared" si="124"/>
        <v>0</v>
      </c>
      <c r="AA325">
        <f>IF(Y325&gt;='Loan Prepayment'!$E$11,'Loan Prepayment'!$E$12,'Loan Prepayment'!$B$6)</f>
        <v>6.5</v>
      </c>
      <c r="AB325">
        <f>IF(Z325&lt;=0,0,MIN(IF(Y325='Loan Prepayment'!$E$11,IF('Loan Prepayment'!$E$13="Keep tenure, recalculate EMI",-PMT(AA325/1200,MAX(1,'Loan Prepayment'!$B$7*12-Y325+1),Z325),AB324),AB324),Z325+AC325))</f>
        <v>0</v>
      </c>
      <c r="AC325">
        <f t="shared" si="114"/>
        <v>0</v>
      </c>
      <c r="AD325">
        <f t="shared" si="115"/>
        <v>0</v>
      </c>
      <c r="AE325">
        <f t="shared" si="116"/>
        <v>0</v>
      </c>
      <c r="AF325">
        <f t="shared" si="117"/>
        <v>0</v>
      </c>
      <c r="AG325">
        <v>324</v>
      </c>
      <c r="AH325">
        <f t="shared" si="125"/>
        <v>0</v>
      </c>
      <c r="AI325">
        <f>IF(AG325&gt;='Loan Prepayment'!$E$11,'Loan Prepayment'!$E$12,'Loan Prepayment'!$B$6)</f>
        <v>6.5</v>
      </c>
      <c r="AJ325">
        <f>IF(AH325&lt;=0,0,MIN(IF(AG325='Loan Prepayment'!$E$11,IF('Loan Prepayment'!$E$13="Keep tenure, recalculate EMI",-PMT(AI325/1200,MAX(1,'Loan Prepayment'!$B$7*12-AG325+1),AH325),IF(AND('Loan Prepayment'!$E$15="Reduce EMI",AM324&gt;0),-PMT(AI324/1200,MAX(1,'Loan Prepayment'!$B$7*12-AG325+1),AH325),AJ324)),IF(AND('Loan Prepayment'!$E$15="Reduce EMI",AM324&gt;0),-PMT(AI325/1200,MAX(1,'Loan Prepayment'!$B$7*12-AG325+1),AH325),AJ324)),AH325+AK325))</f>
        <v>0</v>
      </c>
      <c r="AK325">
        <f t="shared" si="118"/>
        <v>0</v>
      </c>
      <c r="AL325">
        <f t="shared" si="119"/>
        <v>0</v>
      </c>
      <c r="AM325">
        <f>IF(AH325&lt;=0,0,MIN(MAX(0,AH325-AL325),SUMIFS('Loan Prepayment'!$B$12:$B$31,'Loan Prepayment'!$A$12:$A$31,AG325)+IF(AND(AG325&gt;='Loan Prepayment'!$B$9,AG325&lt;='Loan Prepayment'!$E$16),'Loan Prepayment'!$B$8,0)))</f>
        <v>0</v>
      </c>
      <c r="AN325">
        <f t="shared" si="120"/>
        <v>0</v>
      </c>
    </row>
    <row r="326" spans="1:40" x14ac:dyDescent="0.35">
      <c r="A326">
        <v>325</v>
      </c>
      <c r="B326">
        <f t="shared" si="121"/>
        <v>0</v>
      </c>
      <c r="C326" s="64">
        <f>'Loan Prepayment'!$B$6</f>
        <v>7.5</v>
      </c>
      <c r="D326">
        <f>IF(B326&lt;=0,0,MIN(-PMT('Loan Prepayment'!$B$6/1200,'Loan Prepayment'!$B$7*12,'Loan Prepayment'!$B$5),B326+E326))</f>
        <v>0</v>
      </c>
      <c r="E326">
        <f t="shared" si="105"/>
        <v>0</v>
      </c>
      <c r="F326">
        <f t="shared" si="106"/>
        <v>0</v>
      </c>
      <c r="G326">
        <v>0</v>
      </c>
      <c r="H326">
        <f t="shared" si="107"/>
        <v>0</v>
      </c>
      <c r="I326">
        <v>325</v>
      </c>
      <c r="J326">
        <f t="shared" si="122"/>
        <v>0</v>
      </c>
      <c r="K326" s="64">
        <f>'Loan Prepayment'!$B$6</f>
        <v>7.5</v>
      </c>
      <c r="L326">
        <f>IF(J326&lt;=0,0,MIN(IF(AND('Loan Prepayment'!$E$15="Reduce EMI",O325&gt;0),-PMT(K326/1200,MAX(1,'Loan Prepayment'!$B$7*12-I326+1),J326),L325),J326+M326))</f>
        <v>0</v>
      </c>
      <c r="M326">
        <f t="shared" si="108"/>
        <v>0</v>
      </c>
      <c r="N326">
        <f t="shared" si="109"/>
        <v>0</v>
      </c>
      <c r="O326">
        <f>IF(J326&lt;=0,0,MIN(MAX(0,J326-N326),SUMIFS('Loan Prepayment'!$B$12:$B$31,'Loan Prepayment'!$A$12:$A$31,I326)+0))</f>
        <v>0</v>
      </c>
      <c r="P326">
        <f t="shared" si="110"/>
        <v>0</v>
      </c>
      <c r="Q326">
        <v>325</v>
      </c>
      <c r="R326">
        <f t="shared" si="123"/>
        <v>0</v>
      </c>
      <c r="S326" s="64">
        <f>'Loan Prepayment'!$B$6</f>
        <v>7.5</v>
      </c>
      <c r="T326">
        <f>IF(R326&lt;=0,0,MIN(IF(AND('Loan Prepayment'!$E$15="Reduce EMI",W325&gt;0),-PMT(S326/1200,MAX(1,'Loan Prepayment'!$B$7*12-Q326+1),R326),T325),R326+U326))</f>
        <v>0</v>
      </c>
      <c r="U326">
        <f t="shared" si="111"/>
        <v>0</v>
      </c>
      <c r="V326">
        <f t="shared" si="112"/>
        <v>0</v>
      </c>
      <c r="W326">
        <f>IF(R326&lt;=0,0,MIN(MAX(0,R326-V326),0+IF(AND(Q326&gt;='Loan Prepayment'!$B$9,Q326&lt;='Loan Prepayment'!$E$16),'Loan Prepayment'!$B$8,0)))</f>
        <v>0</v>
      </c>
      <c r="X326">
        <f t="shared" si="113"/>
        <v>0</v>
      </c>
      <c r="Y326">
        <v>325</v>
      </c>
      <c r="Z326">
        <f t="shared" si="124"/>
        <v>0</v>
      </c>
      <c r="AA326">
        <f>IF(Y326&gt;='Loan Prepayment'!$E$11,'Loan Prepayment'!$E$12,'Loan Prepayment'!$B$6)</f>
        <v>6.5</v>
      </c>
      <c r="AB326">
        <f>IF(Z326&lt;=0,0,MIN(IF(Y326='Loan Prepayment'!$E$11,IF('Loan Prepayment'!$E$13="Keep tenure, recalculate EMI",-PMT(AA326/1200,MAX(1,'Loan Prepayment'!$B$7*12-Y326+1),Z326),AB325),AB325),Z326+AC326))</f>
        <v>0</v>
      </c>
      <c r="AC326">
        <f t="shared" si="114"/>
        <v>0</v>
      </c>
      <c r="AD326">
        <f t="shared" si="115"/>
        <v>0</v>
      </c>
      <c r="AE326">
        <f t="shared" si="116"/>
        <v>0</v>
      </c>
      <c r="AF326">
        <f t="shared" si="117"/>
        <v>0</v>
      </c>
      <c r="AG326">
        <v>325</v>
      </c>
      <c r="AH326">
        <f t="shared" si="125"/>
        <v>0</v>
      </c>
      <c r="AI326">
        <f>IF(AG326&gt;='Loan Prepayment'!$E$11,'Loan Prepayment'!$E$12,'Loan Prepayment'!$B$6)</f>
        <v>6.5</v>
      </c>
      <c r="AJ326">
        <f>IF(AH326&lt;=0,0,MIN(IF(AG326='Loan Prepayment'!$E$11,IF('Loan Prepayment'!$E$13="Keep tenure, recalculate EMI",-PMT(AI326/1200,MAX(1,'Loan Prepayment'!$B$7*12-AG326+1),AH326),IF(AND('Loan Prepayment'!$E$15="Reduce EMI",AM325&gt;0),-PMT(AI325/1200,MAX(1,'Loan Prepayment'!$B$7*12-AG326+1),AH326),AJ325)),IF(AND('Loan Prepayment'!$E$15="Reduce EMI",AM325&gt;0),-PMT(AI326/1200,MAX(1,'Loan Prepayment'!$B$7*12-AG326+1),AH326),AJ325)),AH326+AK326))</f>
        <v>0</v>
      </c>
      <c r="AK326">
        <f t="shared" si="118"/>
        <v>0</v>
      </c>
      <c r="AL326">
        <f t="shared" si="119"/>
        <v>0</v>
      </c>
      <c r="AM326">
        <f>IF(AH326&lt;=0,0,MIN(MAX(0,AH326-AL326),SUMIFS('Loan Prepayment'!$B$12:$B$31,'Loan Prepayment'!$A$12:$A$31,AG326)+IF(AND(AG326&gt;='Loan Prepayment'!$B$9,AG326&lt;='Loan Prepayment'!$E$16),'Loan Prepayment'!$B$8,0)))</f>
        <v>0</v>
      </c>
      <c r="AN326">
        <f t="shared" si="120"/>
        <v>0</v>
      </c>
    </row>
    <row r="327" spans="1:40" x14ac:dyDescent="0.35">
      <c r="A327">
        <v>326</v>
      </c>
      <c r="B327">
        <f t="shared" si="121"/>
        <v>0</v>
      </c>
      <c r="C327" s="64">
        <f>'Loan Prepayment'!$B$6</f>
        <v>7.5</v>
      </c>
      <c r="D327">
        <f>IF(B327&lt;=0,0,MIN(-PMT('Loan Prepayment'!$B$6/1200,'Loan Prepayment'!$B$7*12,'Loan Prepayment'!$B$5),B327+E327))</f>
        <v>0</v>
      </c>
      <c r="E327">
        <f t="shared" si="105"/>
        <v>0</v>
      </c>
      <c r="F327">
        <f t="shared" si="106"/>
        <v>0</v>
      </c>
      <c r="G327">
        <v>0</v>
      </c>
      <c r="H327">
        <f t="shared" si="107"/>
        <v>0</v>
      </c>
      <c r="I327">
        <v>326</v>
      </c>
      <c r="J327">
        <f t="shared" si="122"/>
        <v>0</v>
      </c>
      <c r="K327" s="64">
        <f>'Loan Prepayment'!$B$6</f>
        <v>7.5</v>
      </c>
      <c r="L327">
        <f>IF(J327&lt;=0,0,MIN(IF(AND('Loan Prepayment'!$E$15="Reduce EMI",O326&gt;0),-PMT(K327/1200,MAX(1,'Loan Prepayment'!$B$7*12-I327+1),J327),L326),J327+M327))</f>
        <v>0</v>
      </c>
      <c r="M327">
        <f t="shared" si="108"/>
        <v>0</v>
      </c>
      <c r="N327">
        <f t="shared" si="109"/>
        <v>0</v>
      </c>
      <c r="O327">
        <f>IF(J327&lt;=0,0,MIN(MAX(0,J327-N327),SUMIFS('Loan Prepayment'!$B$12:$B$31,'Loan Prepayment'!$A$12:$A$31,I327)+0))</f>
        <v>0</v>
      </c>
      <c r="P327">
        <f t="shared" si="110"/>
        <v>0</v>
      </c>
      <c r="Q327">
        <v>326</v>
      </c>
      <c r="R327">
        <f t="shared" si="123"/>
        <v>0</v>
      </c>
      <c r="S327" s="64">
        <f>'Loan Prepayment'!$B$6</f>
        <v>7.5</v>
      </c>
      <c r="T327">
        <f>IF(R327&lt;=0,0,MIN(IF(AND('Loan Prepayment'!$E$15="Reduce EMI",W326&gt;0),-PMT(S327/1200,MAX(1,'Loan Prepayment'!$B$7*12-Q327+1),R327),T326),R327+U327))</f>
        <v>0</v>
      </c>
      <c r="U327">
        <f t="shared" si="111"/>
        <v>0</v>
      </c>
      <c r="V327">
        <f t="shared" si="112"/>
        <v>0</v>
      </c>
      <c r="W327">
        <f>IF(R327&lt;=0,0,MIN(MAX(0,R327-V327),0+IF(AND(Q327&gt;='Loan Prepayment'!$B$9,Q327&lt;='Loan Prepayment'!$E$16),'Loan Prepayment'!$B$8,0)))</f>
        <v>0</v>
      </c>
      <c r="X327">
        <f t="shared" si="113"/>
        <v>0</v>
      </c>
      <c r="Y327">
        <v>326</v>
      </c>
      <c r="Z327">
        <f t="shared" si="124"/>
        <v>0</v>
      </c>
      <c r="AA327">
        <f>IF(Y327&gt;='Loan Prepayment'!$E$11,'Loan Prepayment'!$E$12,'Loan Prepayment'!$B$6)</f>
        <v>6.5</v>
      </c>
      <c r="AB327">
        <f>IF(Z327&lt;=0,0,MIN(IF(Y327='Loan Prepayment'!$E$11,IF('Loan Prepayment'!$E$13="Keep tenure, recalculate EMI",-PMT(AA327/1200,MAX(1,'Loan Prepayment'!$B$7*12-Y327+1),Z327),AB326),AB326),Z327+AC327))</f>
        <v>0</v>
      </c>
      <c r="AC327">
        <f t="shared" si="114"/>
        <v>0</v>
      </c>
      <c r="AD327">
        <f t="shared" si="115"/>
        <v>0</v>
      </c>
      <c r="AE327">
        <f t="shared" si="116"/>
        <v>0</v>
      </c>
      <c r="AF327">
        <f t="shared" si="117"/>
        <v>0</v>
      </c>
      <c r="AG327">
        <v>326</v>
      </c>
      <c r="AH327">
        <f t="shared" si="125"/>
        <v>0</v>
      </c>
      <c r="AI327">
        <f>IF(AG327&gt;='Loan Prepayment'!$E$11,'Loan Prepayment'!$E$12,'Loan Prepayment'!$B$6)</f>
        <v>6.5</v>
      </c>
      <c r="AJ327">
        <f>IF(AH327&lt;=0,0,MIN(IF(AG327='Loan Prepayment'!$E$11,IF('Loan Prepayment'!$E$13="Keep tenure, recalculate EMI",-PMT(AI327/1200,MAX(1,'Loan Prepayment'!$B$7*12-AG327+1),AH327),IF(AND('Loan Prepayment'!$E$15="Reduce EMI",AM326&gt;0),-PMT(AI326/1200,MAX(1,'Loan Prepayment'!$B$7*12-AG327+1),AH327),AJ326)),IF(AND('Loan Prepayment'!$E$15="Reduce EMI",AM326&gt;0),-PMT(AI327/1200,MAX(1,'Loan Prepayment'!$B$7*12-AG327+1),AH327),AJ326)),AH327+AK327))</f>
        <v>0</v>
      </c>
      <c r="AK327">
        <f t="shared" si="118"/>
        <v>0</v>
      </c>
      <c r="AL327">
        <f t="shared" si="119"/>
        <v>0</v>
      </c>
      <c r="AM327">
        <f>IF(AH327&lt;=0,0,MIN(MAX(0,AH327-AL327),SUMIFS('Loan Prepayment'!$B$12:$B$31,'Loan Prepayment'!$A$12:$A$31,AG327)+IF(AND(AG327&gt;='Loan Prepayment'!$B$9,AG327&lt;='Loan Prepayment'!$E$16),'Loan Prepayment'!$B$8,0)))</f>
        <v>0</v>
      </c>
      <c r="AN327">
        <f t="shared" si="120"/>
        <v>0</v>
      </c>
    </row>
    <row r="328" spans="1:40" x14ac:dyDescent="0.35">
      <c r="A328">
        <v>327</v>
      </c>
      <c r="B328">
        <f t="shared" si="121"/>
        <v>0</v>
      </c>
      <c r="C328" s="64">
        <f>'Loan Prepayment'!$B$6</f>
        <v>7.5</v>
      </c>
      <c r="D328">
        <f>IF(B328&lt;=0,0,MIN(-PMT('Loan Prepayment'!$B$6/1200,'Loan Prepayment'!$B$7*12,'Loan Prepayment'!$B$5),B328+E328))</f>
        <v>0</v>
      </c>
      <c r="E328">
        <f t="shared" si="105"/>
        <v>0</v>
      </c>
      <c r="F328">
        <f t="shared" si="106"/>
        <v>0</v>
      </c>
      <c r="G328">
        <v>0</v>
      </c>
      <c r="H328">
        <f t="shared" si="107"/>
        <v>0</v>
      </c>
      <c r="I328">
        <v>327</v>
      </c>
      <c r="J328">
        <f t="shared" si="122"/>
        <v>0</v>
      </c>
      <c r="K328" s="64">
        <f>'Loan Prepayment'!$B$6</f>
        <v>7.5</v>
      </c>
      <c r="L328">
        <f>IF(J328&lt;=0,0,MIN(IF(AND('Loan Prepayment'!$E$15="Reduce EMI",O327&gt;0),-PMT(K328/1200,MAX(1,'Loan Prepayment'!$B$7*12-I328+1),J328),L327),J328+M328))</f>
        <v>0</v>
      </c>
      <c r="M328">
        <f t="shared" si="108"/>
        <v>0</v>
      </c>
      <c r="N328">
        <f t="shared" si="109"/>
        <v>0</v>
      </c>
      <c r="O328">
        <f>IF(J328&lt;=0,0,MIN(MAX(0,J328-N328),SUMIFS('Loan Prepayment'!$B$12:$B$31,'Loan Prepayment'!$A$12:$A$31,I328)+0))</f>
        <v>0</v>
      </c>
      <c r="P328">
        <f t="shared" si="110"/>
        <v>0</v>
      </c>
      <c r="Q328">
        <v>327</v>
      </c>
      <c r="R328">
        <f t="shared" si="123"/>
        <v>0</v>
      </c>
      <c r="S328" s="64">
        <f>'Loan Prepayment'!$B$6</f>
        <v>7.5</v>
      </c>
      <c r="T328">
        <f>IF(R328&lt;=0,0,MIN(IF(AND('Loan Prepayment'!$E$15="Reduce EMI",W327&gt;0),-PMT(S328/1200,MAX(1,'Loan Prepayment'!$B$7*12-Q328+1),R328),T327),R328+U328))</f>
        <v>0</v>
      </c>
      <c r="U328">
        <f t="shared" si="111"/>
        <v>0</v>
      </c>
      <c r="V328">
        <f t="shared" si="112"/>
        <v>0</v>
      </c>
      <c r="W328">
        <f>IF(R328&lt;=0,0,MIN(MAX(0,R328-V328),0+IF(AND(Q328&gt;='Loan Prepayment'!$B$9,Q328&lt;='Loan Prepayment'!$E$16),'Loan Prepayment'!$B$8,0)))</f>
        <v>0</v>
      </c>
      <c r="X328">
        <f t="shared" si="113"/>
        <v>0</v>
      </c>
      <c r="Y328">
        <v>327</v>
      </c>
      <c r="Z328">
        <f t="shared" si="124"/>
        <v>0</v>
      </c>
      <c r="AA328">
        <f>IF(Y328&gt;='Loan Prepayment'!$E$11,'Loan Prepayment'!$E$12,'Loan Prepayment'!$B$6)</f>
        <v>6.5</v>
      </c>
      <c r="AB328">
        <f>IF(Z328&lt;=0,0,MIN(IF(Y328='Loan Prepayment'!$E$11,IF('Loan Prepayment'!$E$13="Keep tenure, recalculate EMI",-PMT(AA328/1200,MAX(1,'Loan Prepayment'!$B$7*12-Y328+1),Z328),AB327),AB327),Z328+AC328))</f>
        <v>0</v>
      </c>
      <c r="AC328">
        <f t="shared" si="114"/>
        <v>0</v>
      </c>
      <c r="AD328">
        <f t="shared" si="115"/>
        <v>0</v>
      </c>
      <c r="AE328">
        <f t="shared" si="116"/>
        <v>0</v>
      </c>
      <c r="AF328">
        <f t="shared" si="117"/>
        <v>0</v>
      </c>
      <c r="AG328">
        <v>327</v>
      </c>
      <c r="AH328">
        <f t="shared" si="125"/>
        <v>0</v>
      </c>
      <c r="AI328">
        <f>IF(AG328&gt;='Loan Prepayment'!$E$11,'Loan Prepayment'!$E$12,'Loan Prepayment'!$B$6)</f>
        <v>6.5</v>
      </c>
      <c r="AJ328">
        <f>IF(AH328&lt;=0,0,MIN(IF(AG328='Loan Prepayment'!$E$11,IF('Loan Prepayment'!$E$13="Keep tenure, recalculate EMI",-PMT(AI328/1200,MAX(1,'Loan Prepayment'!$B$7*12-AG328+1),AH328),IF(AND('Loan Prepayment'!$E$15="Reduce EMI",AM327&gt;0),-PMT(AI327/1200,MAX(1,'Loan Prepayment'!$B$7*12-AG328+1),AH328),AJ327)),IF(AND('Loan Prepayment'!$E$15="Reduce EMI",AM327&gt;0),-PMT(AI328/1200,MAX(1,'Loan Prepayment'!$B$7*12-AG328+1),AH328),AJ327)),AH328+AK328))</f>
        <v>0</v>
      </c>
      <c r="AK328">
        <f t="shared" si="118"/>
        <v>0</v>
      </c>
      <c r="AL328">
        <f t="shared" si="119"/>
        <v>0</v>
      </c>
      <c r="AM328">
        <f>IF(AH328&lt;=0,0,MIN(MAX(0,AH328-AL328),SUMIFS('Loan Prepayment'!$B$12:$B$31,'Loan Prepayment'!$A$12:$A$31,AG328)+IF(AND(AG328&gt;='Loan Prepayment'!$B$9,AG328&lt;='Loan Prepayment'!$E$16),'Loan Prepayment'!$B$8,0)))</f>
        <v>0</v>
      </c>
      <c r="AN328">
        <f t="shared" si="120"/>
        <v>0</v>
      </c>
    </row>
    <row r="329" spans="1:40" x14ac:dyDescent="0.35">
      <c r="A329">
        <v>328</v>
      </c>
      <c r="B329">
        <f t="shared" si="121"/>
        <v>0</v>
      </c>
      <c r="C329" s="64">
        <f>'Loan Prepayment'!$B$6</f>
        <v>7.5</v>
      </c>
      <c r="D329">
        <f>IF(B329&lt;=0,0,MIN(-PMT('Loan Prepayment'!$B$6/1200,'Loan Prepayment'!$B$7*12,'Loan Prepayment'!$B$5),B329+E329))</f>
        <v>0</v>
      </c>
      <c r="E329">
        <f t="shared" si="105"/>
        <v>0</v>
      </c>
      <c r="F329">
        <f t="shared" si="106"/>
        <v>0</v>
      </c>
      <c r="G329">
        <v>0</v>
      </c>
      <c r="H329">
        <f t="shared" si="107"/>
        <v>0</v>
      </c>
      <c r="I329">
        <v>328</v>
      </c>
      <c r="J329">
        <f t="shared" si="122"/>
        <v>0</v>
      </c>
      <c r="K329" s="64">
        <f>'Loan Prepayment'!$B$6</f>
        <v>7.5</v>
      </c>
      <c r="L329">
        <f>IF(J329&lt;=0,0,MIN(IF(AND('Loan Prepayment'!$E$15="Reduce EMI",O328&gt;0),-PMT(K329/1200,MAX(1,'Loan Prepayment'!$B$7*12-I329+1),J329),L328),J329+M329))</f>
        <v>0</v>
      </c>
      <c r="M329">
        <f t="shared" si="108"/>
        <v>0</v>
      </c>
      <c r="N329">
        <f t="shared" si="109"/>
        <v>0</v>
      </c>
      <c r="O329">
        <f>IF(J329&lt;=0,0,MIN(MAX(0,J329-N329),SUMIFS('Loan Prepayment'!$B$12:$B$31,'Loan Prepayment'!$A$12:$A$31,I329)+0))</f>
        <v>0</v>
      </c>
      <c r="P329">
        <f t="shared" si="110"/>
        <v>0</v>
      </c>
      <c r="Q329">
        <v>328</v>
      </c>
      <c r="R329">
        <f t="shared" si="123"/>
        <v>0</v>
      </c>
      <c r="S329" s="64">
        <f>'Loan Prepayment'!$B$6</f>
        <v>7.5</v>
      </c>
      <c r="T329">
        <f>IF(R329&lt;=0,0,MIN(IF(AND('Loan Prepayment'!$E$15="Reduce EMI",W328&gt;0),-PMT(S329/1200,MAX(1,'Loan Prepayment'!$B$7*12-Q329+1),R329),T328),R329+U329))</f>
        <v>0</v>
      </c>
      <c r="U329">
        <f t="shared" si="111"/>
        <v>0</v>
      </c>
      <c r="V329">
        <f t="shared" si="112"/>
        <v>0</v>
      </c>
      <c r="W329">
        <f>IF(R329&lt;=0,0,MIN(MAX(0,R329-V329),0+IF(AND(Q329&gt;='Loan Prepayment'!$B$9,Q329&lt;='Loan Prepayment'!$E$16),'Loan Prepayment'!$B$8,0)))</f>
        <v>0</v>
      </c>
      <c r="X329">
        <f t="shared" si="113"/>
        <v>0</v>
      </c>
      <c r="Y329">
        <v>328</v>
      </c>
      <c r="Z329">
        <f t="shared" si="124"/>
        <v>0</v>
      </c>
      <c r="AA329">
        <f>IF(Y329&gt;='Loan Prepayment'!$E$11,'Loan Prepayment'!$E$12,'Loan Prepayment'!$B$6)</f>
        <v>6.5</v>
      </c>
      <c r="AB329">
        <f>IF(Z329&lt;=0,0,MIN(IF(Y329='Loan Prepayment'!$E$11,IF('Loan Prepayment'!$E$13="Keep tenure, recalculate EMI",-PMT(AA329/1200,MAX(1,'Loan Prepayment'!$B$7*12-Y329+1),Z329),AB328),AB328),Z329+AC329))</f>
        <v>0</v>
      </c>
      <c r="AC329">
        <f t="shared" si="114"/>
        <v>0</v>
      </c>
      <c r="AD329">
        <f t="shared" si="115"/>
        <v>0</v>
      </c>
      <c r="AE329">
        <f t="shared" si="116"/>
        <v>0</v>
      </c>
      <c r="AF329">
        <f t="shared" si="117"/>
        <v>0</v>
      </c>
      <c r="AG329">
        <v>328</v>
      </c>
      <c r="AH329">
        <f t="shared" si="125"/>
        <v>0</v>
      </c>
      <c r="AI329">
        <f>IF(AG329&gt;='Loan Prepayment'!$E$11,'Loan Prepayment'!$E$12,'Loan Prepayment'!$B$6)</f>
        <v>6.5</v>
      </c>
      <c r="AJ329">
        <f>IF(AH329&lt;=0,0,MIN(IF(AG329='Loan Prepayment'!$E$11,IF('Loan Prepayment'!$E$13="Keep tenure, recalculate EMI",-PMT(AI329/1200,MAX(1,'Loan Prepayment'!$B$7*12-AG329+1),AH329),IF(AND('Loan Prepayment'!$E$15="Reduce EMI",AM328&gt;0),-PMT(AI328/1200,MAX(1,'Loan Prepayment'!$B$7*12-AG329+1),AH329),AJ328)),IF(AND('Loan Prepayment'!$E$15="Reduce EMI",AM328&gt;0),-PMT(AI329/1200,MAX(1,'Loan Prepayment'!$B$7*12-AG329+1),AH329),AJ328)),AH329+AK329))</f>
        <v>0</v>
      </c>
      <c r="AK329">
        <f t="shared" si="118"/>
        <v>0</v>
      </c>
      <c r="AL329">
        <f t="shared" si="119"/>
        <v>0</v>
      </c>
      <c r="AM329">
        <f>IF(AH329&lt;=0,0,MIN(MAX(0,AH329-AL329),SUMIFS('Loan Prepayment'!$B$12:$B$31,'Loan Prepayment'!$A$12:$A$31,AG329)+IF(AND(AG329&gt;='Loan Prepayment'!$B$9,AG329&lt;='Loan Prepayment'!$E$16),'Loan Prepayment'!$B$8,0)))</f>
        <v>0</v>
      </c>
      <c r="AN329">
        <f t="shared" si="120"/>
        <v>0</v>
      </c>
    </row>
    <row r="330" spans="1:40" x14ac:dyDescent="0.35">
      <c r="A330">
        <v>329</v>
      </c>
      <c r="B330">
        <f t="shared" si="121"/>
        <v>0</v>
      </c>
      <c r="C330" s="64">
        <f>'Loan Prepayment'!$B$6</f>
        <v>7.5</v>
      </c>
      <c r="D330">
        <f>IF(B330&lt;=0,0,MIN(-PMT('Loan Prepayment'!$B$6/1200,'Loan Prepayment'!$B$7*12,'Loan Prepayment'!$B$5),B330+E330))</f>
        <v>0</v>
      </c>
      <c r="E330">
        <f t="shared" si="105"/>
        <v>0</v>
      </c>
      <c r="F330">
        <f t="shared" si="106"/>
        <v>0</v>
      </c>
      <c r="G330">
        <v>0</v>
      </c>
      <c r="H330">
        <f t="shared" si="107"/>
        <v>0</v>
      </c>
      <c r="I330">
        <v>329</v>
      </c>
      <c r="J330">
        <f t="shared" si="122"/>
        <v>0</v>
      </c>
      <c r="K330" s="64">
        <f>'Loan Prepayment'!$B$6</f>
        <v>7.5</v>
      </c>
      <c r="L330">
        <f>IF(J330&lt;=0,0,MIN(IF(AND('Loan Prepayment'!$E$15="Reduce EMI",O329&gt;0),-PMT(K330/1200,MAX(1,'Loan Prepayment'!$B$7*12-I330+1),J330),L329),J330+M330))</f>
        <v>0</v>
      </c>
      <c r="M330">
        <f t="shared" si="108"/>
        <v>0</v>
      </c>
      <c r="N330">
        <f t="shared" si="109"/>
        <v>0</v>
      </c>
      <c r="O330">
        <f>IF(J330&lt;=0,0,MIN(MAX(0,J330-N330),SUMIFS('Loan Prepayment'!$B$12:$B$31,'Loan Prepayment'!$A$12:$A$31,I330)+0))</f>
        <v>0</v>
      </c>
      <c r="P330">
        <f t="shared" si="110"/>
        <v>0</v>
      </c>
      <c r="Q330">
        <v>329</v>
      </c>
      <c r="R330">
        <f t="shared" si="123"/>
        <v>0</v>
      </c>
      <c r="S330" s="64">
        <f>'Loan Prepayment'!$B$6</f>
        <v>7.5</v>
      </c>
      <c r="T330">
        <f>IF(R330&lt;=0,0,MIN(IF(AND('Loan Prepayment'!$E$15="Reduce EMI",W329&gt;0),-PMT(S330/1200,MAX(1,'Loan Prepayment'!$B$7*12-Q330+1),R330),T329),R330+U330))</f>
        <v>0</v>
      </c>
      <c r="U330">
        <f t="shared" si="111"/>
        <v>0</v>
      </c>
      <c r="V330">
        <f t="shared" si="112"/>
        <v>0</v>
      </c>
      <c r="W330">
        <f>IF(R330&lt;=0,0,MIN(MAX(0,R330-V330),0+IF(AND(Q330&gt;='Loan Prepayment'!$B$9,Q330&lt;='Loan Prepayment'!$E$16),'Loan Prepayment'!$B$8,0)))</f>
        <v>0</v>
      </c>
      <c r="X330">
        <f t="shared" si="113"/>
        <v>0</v>
      </c>
      <c r="Y330">
        <v>329</v>
      </c>
      <c r="Z330">
        <f t="shared" si="124"/>
        <v>0</v>
      </c>
      <c r="AA330">
        <f>IF(Y330&gt;='Loan Prepayment'!$E$11,'Loan Prepayment'!$E$12,'Loan Prepayment'!$B$6)</f>
        <v>6.5</v>
      </c>
      <c r="AB330">
        <f>IF(Z330&lt;=0,0,MIN(IF(Y330='Loan Prepayment'!$E$11,IF('Loan Prepayment'!$E$13="Keep tenure, recalculate EMI",-PMT(AA330/1200,MAX(1,'Loan Prepayment'!$B$7*12-Y330+1),Z330),AB329),AB329),Z330+AC330))</f>
        <v>0</v>
      </c>
      <c r="AC330">
        <f t="shared" si="114"/>
        <v>0</v>
      </c>
      <c r="AD330">
        <f t="shared" si="115"/>
        <v>0</v>
      </c>
      <c r="AE330">
        <f t="shared" si="116"/>
        <v>0</v>
      </c>
      <c r="AF330">
        <f t="shared" si="117"/>
        <v>0</v>
      </c>
      <c r="AG330">
        <v>329</v>
      </c>
      <c r="AH330">
        <f t="shared" si="125"/>
        <v>0</v>
      </c>
      <c r="AI330">
        <f>IF(AG330&gt;='Loan Prepayment'!$E$11,'Loan Prepayment'!$E$12,'Loan Prepayment'!$B$6)</f>
        <v>6.5</v>
      </c>
      <c r="AJ330">
        <f>IF(AH330&lt;=0,0,MIN(IF(AG330='Loan Prepayment'!$E$11,IF('Loan Prepayment'!$E$13="Keep tenure, recalculate EMI",-PMT(AI330/1200,MAX(1,'Loan Prepayment'!$B$7*12-AG330+1),AH330),IF(AND('Loan Prepayment'!$E$15="Reduce EMI",AM329&gt;0),-PMT(AI329/1200,MAX(1,'Loan Prepayment'!$B$7*12-AG330+1),AH330),AJ329)),IF(AND('Loan Prepayment'!$E$15="Reduce EMI",AM329&gt;0),-PMT(AI330/1200,MAX(1,'Loan Prepayment'!$B$7*12-AG330+1),AH330),AJ329)),AH330+AK330))</f>
        <v>0</v>
      </c>
      <c r="AK330">
        <f t="shared" si="118"/>
        <v>0</v>
      </c>
      <c r="AL330">
        <f t="shared" si="119"/>
        <v>0</v>
      </c>
      <c r="AM330">
        <f>IF(AH330&lt;=0,0,MIN(MAX(0,AH330-AL330),SUMIFS('Loan Prepayment'!$B$12:$B$31,'Loan Prepayment'!$A$12:$A$31,AG330)+IF(AND(AG330&gt;='Loan Prepayment'!$B$9,AG330&lt;='Loan Prepayment'!$E$16),'Loan Prepayment'!$B$8,0)))</f>
        <v>0</v>
      </c>
      <c r="AN330">
        <f t="shared" si="120"/>
        <v>0</v>
      </c>
    </row>
    <row r="331" spans="1:40" x14ac:dyDescent="0.35">
      <c r="A331">
        <v>330</v>
      </c>
      <c r="B331">
        <f t="shared" si="121"/>
        <v>0</v>
      </c>
      <c r="C331" s="64">
        <f>'Loan Prepayment'!$B$6</f>
        <v>7.5</v>
      </c>
      <c r="D331">
        <f>IF(B331&lt;=0,0,MIN(-PMT('Loan Prepayment'!$B$6/1200,'Loan Prepayment'!$B$7*12,'Loan Prepayment'!$B$5),B331+E331))</f>
        <v>0</v>
      </c>
      <c r="E331">
        <f t="shared" si="105"/>
        <v>0</v>
      </c>
      <c r="F331">
        <f t="shared" si="106"/>
        <v>0</v>
      </c>
      <c r="G331">
        <v>0</v>
      </c>
      <c r="H331">
        <f t="shared" si="107"/>
        <v>0</v>
      </c>
      <c r="I331">
        <v>330</v>
      </c>
      <c r="J331">
        <f t="shared" si="122"/>
        <v>0</v>
      </c>
      <c r="K331" s="64">
        <f>'Loan Prepayment'!$B$6</f>
        <v>7.5</v>
      </c>
      <c r="L331">
        <f>IF(J331&lt;=0,0,MIN(IF(AND('Loan Prepayment'!$E$15="Reduce EMI",O330&gt;0),-PMT(K331/1200,MAX(1,'Loan Prepayment'!$B$7*12-I331+1),J331),L330),J331+M331))</f>
        <v>0</v>
      </c>
      <c r="M331">
        <f t="shared" si="108"/>
        <v>0</v>
      </c>
      <c r="N331">
        <f t="shared" si="109"/>
        <v>0</v>
      </c>
      <c r="O331">
        <f>IF(J331&lt;=0,0,MIN(MAX(0,J331-N331),SUMIFS('Loan Prepayment'!$B$12:$B$31,'Loan Prepayment'!$A$12:$A$31,I331)+0))</f>
        <v>0</v>
      </c>
      <c r="P331">
        <f t="shared" si="110"/>
        <v>0</v>
      </c>
      <c r="Q331">
        <v>330</v>
      </c>
      <c r="R331">
        <f t="shared" si="123"/>
        <v>0</v>
      </c>
      <c r="S331" s="64">
        <f>'Loan Prepayment'!$B$6</f>
        <v>7.5</v>
      </c>
      <c r="T331">
        <f>IF(R331&lt;=0,0,MIN(IF(AND('Loan Prepayment'!$E$15="Reduce EMI",W330&gt;0),-PMT(S331/1200,MAX(1,'Loan Prepayment'!$B$7*12-Q331+1),R331),T330),R331+U331))</f>
        <v>0</v>
      </c>
      <c r="U331">
        <f t="shared" si="111"/>
        <v>0</v>
      </c>
      <c r="V331">
        <f t="shared" si="112"/>
        <v>0</v>
      </c>
      <c r="W331">
        <f>IF(R331&lt;=0,0,MIN(MAX(0,R331-V331),0+IF(AND(Q331&gt;='Loan Prepayment'!$B$9,Q331&lt;='Loan Prepayment'!$E$16),'Loan Prepayment'!$B$8,0)))</f>
        <v>0</v>
      </c>
      <c r="X331">
        <f t="shared" si="113"/>
        <v>0</v>
      </c>
      <c r="Y331">
        <v>330</v>
      </c>
      <c r="Z331">
        <f t="shared" si="124"/>
        <v>0</v>
      </c>
      <c r="AA331">
        <f>IF(Y331&gt;='Loan Prepayment'!$E$11,'Loan Prepayment'!$E$12,'Loan Prepayment'!$B$6)</f>
        <v>6.5</v>
      </c>
      <c r="AB331">
        <f>IF(Z331&lt;=0,0,MIN(IF(Y331='Loan Prepayment'!$E$11,IF('Loan Prepayment'!$E$13="Keep tenure, recalculate EMI",-PMT(AA331/1200,MAX(1,'Loan Prepayment'!$B$7*12-Y331+1),Z331),AB330),AB330),Z331+AC331))</f>
        <v>0</v>
      </c>
      <c r="AC331">
        <f t="shared" si="114"/>
        <v>0</v>
      </c>
      <c r="AD331">
        <f t="shared" si="115"/>
        <v>0</v>
      </c>
      <c r="AE331">
        <f t="shared" si="116"/>
        <v>0</v>
      </c>
      <c r="AF331">
        <f t="shared" si="117"/>
        <v>0</v>
      </c>
      <c r="AG331">
        <v>330</v>
      </c>
      <c r="AH331">
        <f t="shared" si="125"/>
        <v>0</v>
      </c>
      <c r="AI331">
        <f>IF(AG331&gt;='Loan Prepayment'!$E$11,'Loan Prepayment'!$E$12,'Loan Prepayment'!$B$6)</f>
        <v>6.5</v>
      </c>
      <c r="AJ331">
        <f>IF(AH331&lt;=0,0,MIN(IF(AG331='Loan Prepayment'!$E$11,IF('Loan Prepayment'!$E$13="Keep tenure, recalculate EMI",-PMT(AI331/1200,MAX(1,'Loan Prepayment'!$B$7*12-AG331+1),AH331),IF(AND('Loan Prepayment'!$E$15="Reduce EMI",AM330&gt;0),-PMT(AI330/1200,MAX(1,'Loan Prepayment'!$B$7*12-AG331+1),AH331),AJ330)),IF(AND('Loan Prepayment'!$E$15="Reduce EMI",AM330&gt;0),-PMT(AI331/1200,MAX(1,'Loan Prepayment'!$B$7*12-AG331+1),AH331),AJ330)),AH331+AK331))</f>
        <v>0</v>
      </c>
      <c r="AK331">
        <f t="shared" si="118"/>
        <v>0</v>
      </c>
      <c r="AL331">
        <f t="shared" si="119"/>
        <v>0</v>
      </c>
      <c r="AM331">
        <f>IF(AH331&lt;=0,0,MIN(MAX(0,AH331-AL331),SUMIFS('Loan Prepayment'!$B$12:$B$31,'Loan Prepayment'!$A$12:$A$31,AG331)+IF(AND(AG331&gt;='Loan Prepayment'!$B$9,AG331&lt;='Loan Prepayment'!$E$16),'Loan Prepayment'!$B$8,0)))</f>
        <v>0</v>
      </c>
      <c r="AN331">
        <f t="shared" si="120"/>
        <v>0</v>
      </c>
    </row>
    <row r="332" spans="1:40" x14ac:dyDescent="0.35">
      <c r="A332">
        <v>331</v>
      </c>
      <c r="B332">
        <f t="shared" si="121"/>
        <v>0</v>
      </c>
      <c r="C332" s="64">
        <f>'Loan Prepayment'!$B$6</f>
        <v>7.5</v>
      </c>
      <c r="D332">
        <f>IF(B332&lt;=0,0,MIN(-PMT('Loan Prepayment'!$B$6/1200,'Loan Prepayment'!$B$7*12,'Loan Prepayment'!$B$5),B332+E332))</f>
        <v>0</v>
      </c>
      <c r="E332">
        <f t="shared" si="105"/>
        <v>0</v>
      </c>
      <c r="F332">
        <f t="shared" si="106"/>
        <v>0</v>
      </c>
      <c r="G332">
        <v>0</v>
      </c>
      <c r="H332">
        <f t="shared" si="107"/>
        <v>0</v>
      </c>
      <c r="I332">
        <v>331</v>
      </c>
      <c r="J332">
        <f t="shared" si="122"/>
        <v>0</v>
      </c>
      <c r="K332" s="64">
        <f>'Loan Prepayment'!$B$6</f>
        <v>7.5</v>
      </c>
      <c r="L332">
        <f>IF(J332&lt;=0,0,MIN(IF(AND('Loan Prepayment'!$E$15="Reduce EMI",O331&gt;0),-PMT(K332/1200,MAX(1,'Loan Prepayment'!$B$7*12-I332+1),J332),L331),J332+M332))</f>
        <v>0</v>
      </c>
      <c r="M332">
        <f t="shared" si="108"/>
        <v>0</v>
      </c>
      <c r="N332">
        <f t="shared" si="109"/>
        <v>0</v>
      </c>
      <c r="O332">
        <f>IF(J332&lt;=0,0,MIN(MAX(0,J332-N332),SUMIFS('Loan Prepayment'!$B$12:$B$31,'Loan Prepayment'!$A$12:$A$31,I332)+0))</f>
        <v>0</v>
      </c>
      <c r="P332">
        <f t="shared" si="110"/>
        <v>0</v>
      </c>
      <c r="Q332">
        <v>331</v>
      </c>
      <c r="R332">
        <f t="shared" si="123"/>
        <v>0</v>
      </c>
      <c r="S332" s="64">
        <f>'Loan Prepayment'!$B$6</f>
        <v>7.5</v>
      </c>
      <c r="T332">
        <f>IF(R332&lt;=0,0,MIN(IF(AND('Loan Prepayment'!$E$15="Reduce EMI",W331&gt;0),-PMT(S332/1200,MAX(1,'Loan Prepayment'!$B$7*12-Q332+1),R332),T331),R332+U332))</f>
        <v>0</v>
      </c>
      <c r="U332">
        <f t="shared" si="111"/>
        <v>0</v>
      </c>
      <c r="V332">
        <f t="shared" si="112"/>
        <v>0</v>
      </c>
      <c r="W332">
        <f>IF(R332&lt;=0,0,MIN(MAX(0,R332-V332),0+IF(AND(Q332&gt;='Loan Prepayment'!$B$9,Q332&lt;='Loan Prepayment'!$E$16),'Loan Prepayment'!$B$8,0)))</f>
        <v>0</v>
      </c>
      <c r="X332">
        <f t="shared" si="113"/>
        <v>0</v>
      </c>
      <c r="Y332">
        <v>331</v>
      </c>
      <c r="Z332">
        <f t="shared" si="124"/>
        <v>0</v>
      </c>
      <c r="AA332">
        <f>IF(Y332&gt;='Loan Prepayment'!$E$11,'Loan Prepayment'!$E$12,'Loan Prepayment'!$B$6)</f>
        <v>6.5</v>
      </c>
      <c r="AB332">
        <f>IF(Z332&lt;=0,0,MIN(IF(Y332='Loan Prepayment'!$E$11,IF('Loan Prepayment'!$E$13="Keep tenure, recalculate EMI",-PMT(AA332/1200,MAX(1,'Loan Prepayment'!$B$7*12-Y332+1),Z332),AB331),AB331),Z332+AC332))</f>
        <v>0</v>
      </c>
      <c r="AC332">
        <f t="shared" si="114"/>
        <v>0</v>
      </c>
      <c r="AD332">
        <f t="shared" si="115"/>
        <v>0</v>
      </c>
      <c r="AE332">
        <f t="shared" si="116"/>
        <v>0</v>
      </c>
      <c r="AF332">
        <f t="shared" si="117"/>
        <v>0</v>
      </c>
      <c r="AG332">
        <v>331</v>
      </c>
      <c r="AH332">
        <f t="shared" si="125"/>
        <v>0</v>
      </c>
      <c r="AI332">
        <f>IF(AG332&gt;='Loan Prepayment'!$E$11,'Loan Prepayment'!$E$12,'Loan Prepayment'!$B$6)</f>
        <v>6.5</v>
      </c>
      <c r="AJ332">
        <f>IF(AH332&lt;=0,0,MIN(IF(AG332='Loan Prepayment'!$E$11,IF('Loan Prepayment'!$E$13="Keep tenure, recalculate EMI",-PMT(AI332/1200,MAX(1,'Loan Prepayment'!$B$7*12-AG332+1),AH332),IF(AND('Loan Prepayment'!$E$15="Reduce EMI",AM331&gt;0),-PMT(AI331/1200,MAX(1,'Loan Prepayment'!$B$7*12-AG332+1),AH332),AJ331)),IF(AND('Loan Prepayment'!$E$15="Reduce EMI",AM331&gt;0),-PMT(AI332/1200,MAX(1,'Loan Prepayment'!$B$7*12-AG332+1),AH332),AJ331)),AH332+AK332))</f>
        <v>0</v>
      </c>
      <c r="AK332">
        <f t="shared" si="118"/>
        <v>0</v>
      </c>
      <c r="AL332">
        <f t="shared" si="119"/>
        <v>0</v>
      </c>
      <c r="AM332">
        <f>IF(AH332&lt;=0,0,MIN(MAX(0,AH332-AL332),SUMIFS('Loan Prepayment'!$B$12:$B$31,'Loan Prepayment'!$A$12:$A$31,AG332)+IF(AND(AG332&gt;='Loan Prepayment'!$B$9,AG332&lt;='Loan Prepayment'!$E$16),'Loan Prepayment'!$B$8,0)))</f>
        <v>0</v>
      </c>
      <c r="AN332">
        <f t="shared" si="120"/>
        <v>0</v>
      </c>
    </row>
    <row r="333" spans="1:40" x14ac:dyDescent="0.35">
      <c r="A333">
        <v>332</v>
      </c>
      <c r="B333">
        <f t="shared" si="121"/>
        <v>0</v>
      </c>
      <c r="C333" s="64">
        <f>'Loan Prepayment'!$B$6</f>
        <v>7.5</v>
      </c>
      <c r="D333">
        <f>IF(B333&lt;=0,0,MIN(-PMT('Loan Prepayment'!$B$6/1200,'Loan Prepayment'!$B$7*12,'Loan Prepayment'!$B$5),B333+E333))</f>
        <v>0</v>
      </c>
      <c r="E333">
        <f t="shared" si="105"/>
        <v>0</v>
      </c>
      <c r="F333">
        <f t="shared" si="106"/>
        <v>0</v>
      </c>
      <c r="G333">
        <v>0</v>
      </c>
      <c r="H333">
        <f t="shared" si="107"/>
        <v>0</v>
      </c>
      <c r="I333">
        <v>332</v>
      </c>
      <c r="J333">
        <f t="shared" si="122"/>
        <v>0</v>
      </c>
      <c r="K333" s="64">
        <f>'Loan Prepayment'!$B$6</f>
        <v>7.5</v>
      </c>
      <c r="L333">
        <f>IF(J333&lt;=0,0,MIN(IF(AND('Loan Prepayment'!$E$15="Reduce EMI",O332&gt;0),-PMT(K333/1200,MAX(1,'Loan Prepayment'!$B$7*12-I333+1),J333),L332),J333+M333))</f>
        <v>0</v>
      </c>
      <c r="M333">
        <f t="shared" si="108"/>
        <v>0</v>
      </c>
      <c r="N333">
        <f t="shared" si="109"/>
        <v>0</v>
      </c>
      <c r="O333">
        <f>IF(J333&lt;=0,0,MIN(MAX(0,J333-N333),SUMIFS('Loan Prepayment'!$B$12:$B$31,'Loan Prepayment'!$A$12:$A$31,I333)+0))</f>
        <v>0</v>
      </c>
      <c r="P333">
        <f t="shared" si="110"/>
        <v>0</v>
      </c>
      <c r="Q333">
        <v>332</v>
      </c>
      <c r="R333">
        <f t="shared" si="123"/>
        <v>0</v>
      </c>
      <c r="S333" s="64">
        <f>'Loan Prepayment'!$B$6</f>
        <v>7.5</v>
      </c>
      <c r="T333">
        <f>IF(R333&lt;=0,0,MIN(IF(AND('Loan Prepayment'!$E$15="Reduce EMI",W332&gt;0),-PMT(S333/1200,MAX(1,'Loan Prepayment'!$B$7*12-Q333+1),R333),T332),R333+U333))</f>
        <v>0</v>
      </c>
      <c r="U333">
        <f t="shared" si="111"/>
        <v>0</v>
      </c>
      <c r="V333">
        <f t="shared" si="112"/>
        <v>0</v>
      </c>
      <c r="W333">
        <f>IF(R333&lt;=0,0,MIN(MAX(0,R333-V333),0+IF(AND(Q333&gt;='Loan Prepayment'!$B$9,Q333&lt;='Loan Prepayment'!$E$16),'Loan Prepayment'!$B$8,0)))</f>
        <v>0</v>
      </c>
      <c r="X333">
        <f t="shared" si="113"/>
        <v>0</v>
      </c>
      <c r="Y333">
        <v>332</v>
      </c>
      <c r="Z333">
        <f t="shared" si="124"/>
        <v>0</v>
      </c>
      <c r="AA333">
        <f>IF(Y333&gt;='Loan Prepayment'!$E$11,'Loan Prepayment'!$E$12,'Loan Prepayment'!$B$6)</f>
        <v>6.5</v>
      </c>
      <c r="AB333">
        <f>IF(Z333&lt;=0,0,MIN(IF(Y333='Loan Prepayment'!$E$11,IF('Loan Prepayment'!$E$13="Keep tenure, recalculate EMI",-PMT(AA333/1200,MAX(1,'Loan Prepayment'!$B$7*12-Y333+1),Z333),AB332),AB332),Z333+AC333))</f>
        <v>0</v>
      </c>
      <c r="AC333">
        <f t="shared" si="114"/>
        <v>0</v>
      </c>
      <c r="AD333">
        <f t="shared" si="115"/>
        <v>0</v>
      </c>
      <c r="AE333">
        <f t="shared" si="116"/>
        <v>0</v>
      </c>
      <c r="AF333">
        <f t="shared" si="117"/>
        <v>0</v>
      </c>
      <c r="AG333">
        <v>332</v>
      </c>
      <c r="AH333">
        <f t="shared" si="125"/>
        <v>0</v>
      </c>
      <c r="AI333">
        <f>IF(AG333&gt;='Loan Prepayment'!$E$11,'Loan Prepayment'!$E$12,'Loan Prepayment'!$B$6)</f>
        <v>6.5</v>
      </c>
      <c r="AJ333">
        <f>IF(AH333&lt;=0,0,MIN(IF(AG333='Loan Prepayment'!$E$11,IF('Loan Prepayment'!$E$13="Keep tenure, recalculate EMI",-PMT(AI333/1200,MAX(1,'Loan Prepayment'!$B$7*12-AG333+1),AH333),IF(AND('Loan Prepayment'!$E$15="Reduce EMI",AM332&gt;0),-PMT(AI332/1200,MAX(1,'Loan Prepayment'!$B$7*12-AG333+1),AH333),AJ332)),IF(AND('Loan Prepayment'!$E$15="Reduce EMI",AM332&gt;0),-PMT(AI333/1200,MAX(1,'Loan Prepayment'!$B$7*12-AG333+1),AH333),AJ332)),AH333+AK333))</f>
        <v>0</v>
      </c>
      <c r="AK333">
        <f t="shared" si="118"/>
        <v>0</v>
      </c>
      <c r="AL333">
        <f t="shared" si="119"/>
        <v>0</v>
      </c>
      <c r="AM333">
        <f>IF(AH333&lt;=0,0,MIN(MAX(0,AH333-AL333),SUMIFS('Loan Prepayment'!$B$12:$B$31,'Loan Prepayment'!$A$12:$A$31,AG333)+IF(AND(AG333&gt;='Loan Prepayment'!$B$9,AG333&lt;='Loan Prepayment'!$E$16),'Loan Prepayment'!$B$8,0)))</f>
        <v>0</v>
      </c>
      <c r="AN333">
        <f t="shared" si="120"/>
        <v>0</v>
      </c>
    </row>
    <row r="334" spans="1:40" x14ac:dyDescent="0.35">
      <c r="A334">
        <v>333</v>
      </c>
      <c r="B334">
        <f t="shared" si="121"/>
        <v>0</v>
      </c>
      <c r="C334" s="64">
        <f>'Loan Prepayment'!$B$6</f>
        <v>7.5</v>
      </c>
      <c r="D334">
        <f>IF(B334&lt;=0,0,MIN(-PMT('Loan Prepayment'!$B$6/1200,'Loan Prepayment'!$B$7*12,'Loan Prepayment'!$B$5),B334+E334))</f>
        <v>0</v>
      </c>
      <c r="E334">
        <f t="shared" si="105"/>
        <v>0</v>
      </c>
      <c r="F334">
        <f t="shared" si="106"/>
        <v>0</v>
      </c>
      <c r="G334">
        <v>0</v>
      </c>
      <c r="H334">
        <f t="shared" si="107"/>
        <v>0</v>
      </c>
      <c r="I334">
        <v>333</v>
      </c>
      <c r="J334">
        <f t="shared" si="122"/>
        <v>0</v>
      </c>
      <c r="K334" s="64">
        <f>'Loan Prepayment'!$B$6</f>
        <v>7.5</v>
      </c>
      <c r="L334">
        <f>IF(J334&lt;=0,0,MIN(IF(AND('Loan Prepayment'!$E$15="Reduce EMI",O333&gt;0),-PMT(K334/1200,MAX(1,'Loan Prepayment'!$B$7*12-I334+1),J334),L333),J334+M334))</f>
        <v>0</v>
      </c>
      <c r="M334">
        <f t="shared" si="108"/>
        <v>0</v>
      </c>
      <c r="N334">
        <f t="shared" si="109"/>
        <v>0</v>
      </c>
      <c r="O334">
        <f>IF(J334&lt;=0,0,MIN(MAX(0,J334-N334),SUMIFS('Loan Prepayment'!$B$12:$B$31,'Loan Prepayment'!$A$12:$A$31,I334)+0))</f>
        <v>0</v>
      </c>
      <c r="P334">
        <f t="shared" si="110"/>
        <v>0</v>
      </c>
      <c r="Q334">
        <v>333</v>
      </c>
      <c r="R334">
        <f t="shared" si="123"/>
        <v>0</v>
      </c>
      <c r="S334" s="64">
        <f>'Loan Prepayment'!$B$6</f>
        <v>7.5</v>
      </c>
      <c r="T334">
        <f>IF(R334&lt;=0,0,MIN(IF(AND('Loan Prepayment'!$E$15="Reduce EMI",W333&gt;0),-PMT(S334/1200,MAX(1,'Loan Prepayment'!$B$7*12-Q334+1),R334),T333),R334+U334))</f>
        <v>0</v>
      </c>
      <c r="U334">
        <f t="shared" si="111"/>
        <v>0</v>
      </c>
      <c r="V334">
        <f t="shared" si="112"/>
        <v>0</v>
      </c>
      <c r="W334">
        <f>IF(R334&lt;=0,0,MIN(MAX(0,R334-V334),0+IF(AND(Q334&gt;='Loan Prepayment'!$B$9,Q334&lt;='Loan Prepayment'!$E$16),'Loan Prepayment'!$B$8,0)))</f>
        <v>0</v>
      </c>
      <c r="X334">
        <f t="shared" si="113"/>
        <v>0</v>
      </c>
      <c r="Y334">
        <v>333</v>
      </c>
      <c r="Z334">
        <f t="shared" si="124"/>
        <v>0</v>
      </c>
      <c r="AA334">
        <f>IF(Y334&gt;='Loan Prepayment'!$E$11,'Loan Prepayment'!$E$12,'Loan Prepayment'!$B$6)</f>
        <v>6.5</v>
      </c>
      <c r="AB334">
        <f>IF(Z334&lt;=0,0,MIN(IF(Y334='Loan Prepayment'!$E$11,IF('Loan Prepayment'!$E$13="Keep tenure, recalculate EMI",-PMT(AA334/1200,MAX(1,'Loan Prepayment'!$B$7*12-Y334+1),Z334),AB333),AB333),Z334+AC334))</f>
        <v>0</v>
      </c>
      <c r="AC334">
        <f t="shared" si="114"/>
        <v>0</v>
      </c>
      <c r="AD334">
        <f t="shared" si="115"/>
        <v>0</v>
      </c>
      <c r="AE334">
        <f t="shared" si="116"/>
        <v>0</v>
      </c>
      <c r="AF334">
        <f t="shared" si="117"/>
        <v>0</v>
      </c>
      <c r="AG334">
        <v>333</v>
      </c>
      <c r="AH334">
        <f t="shared" si="125"/>
        <v>0</v>
      </c>
      <c r="AI334">
        <f>IF(AG334&gt;='Loan Prepayment'!$E$11,'Loan Prepayment'!$E$12,'Loan Prepayment'!$B$6)</f>
        <v>6.5</v>
      </c>
      <c r="AJ334">
        <f>IF(AH334&lt;=0,0,MIN(IF(AG334='Loan Prepayment'!$E$11,IF('Loan Prepayment'!$E$13="Keep tenure, recalculate EMI",-PMT(AI334/1200,MAX(1,'Loan Prepayment'!$B$7*12-AG334+1),AH334),IF(AND('Loan Prepayment'!$E$15="Reduce EMI",AM333&gt;0),-PMT(AI333/1200,MAX(1,'Loan Prepayment'!$B$7*12-AG334+1),AH334),AJ333)),IF(AND('Loan Prepayment'!$E$15="Reduce EMI",AM333&gt;0),-PMT(AI334/1200,MAX(1,'Loan Prepayment'!$B$7*12-AG334+1),AH334),AJ333)),AH334+AK334))</f>
        <v>0</v>
      </c>
      <c r="AK334">
        <f t="shared" si="118"/>
        <v>0</v>
      </c>
      <c r="AL334">
        <f t="shared" si="119"/>
        <v>0</v>
      </c>
      <c r="AM334">
        <f>IF(AH334&lt;=0,0,MIN(MAX(0,AH334-AL334),SUMIFS('Loan Prepayment'!$B$12:$B$31,'Loan Prepayment'!$A$12:$A$31,AG334)+IF(AND(AG334&gt;='Loan Prepayment'!$B$9,AG334&lt;='Loan Prepayment'!$E$16),'Loan Prepayment'!$B$8,0)))</f>
        <v>0</v>
      </c>
      <c r="AN334">
        <f t="shared" si="120"/>
        <v>0</v>
      </c>
    </row>
    <row r="335" spans="1:40" x14ac:dyDescent="0.35">
      <c r="A335">
        <v>334</v>
      </c>
      <c r="B335">
        <f t="shared" si="121"/>
        <v>0</v>
      </c>
      <c r="C335" s="64">
        <f>'Loan Prepayment'!$B$6</f>
        <v>7.5</v>
      </c>
      <c r="D335">
        <f>IF(B335&lt;=0,0,MIN(-PMT('Loan Prepayment'!$B$6/1200,'Loan Prepayment'!$B$7*12,'Loan Prepayment'!$B$5),B335+E335))</f>
        <v>0</v>
      </c>
      <c r="E335">
        <f t="shared" si="105"/>
        <v>0</v>
      </c>
      <c r="F335">
        <f t="shared" si="106"/>
        <v>0</v>
      </c>
      <c r="G335">
        <v>0</v>
      </c>
      <c r="H335">
        <f t="shared" si="107"/>
        <v>0</v>
      </c>
      <c r="I335">
        <v>334</v>
      </c>
      <c r="J335">
        <f t="shared" si="122"/>
        <v>0</v>
      </c>
      <c r="K335" s="64">
        <f>'Loan Prepayment'!$B$6</f>
        <v>7.5</v>
      </c>
      <c r="L335">
        <f>IF(J335&lt;=0,0,MIN(IF(AND('Loan Prepayment'!$E$15="Reduce EMI",O334&gt;0),-PMT(K335/1200,MAX(1,'Loan Prepayment'!$B$7*12-I335+1),J335),L334),J335+M335))</f>
        <v>0</v>
      </c>
      <c r="M335">
        <f t="shared" si="108"/>
        <v>0</v>
      </c>
      <c r="N335">
        <f t="shared" si="109"/>
        <v>0</v>
      </c>
      <c r="O335">
        <f>IF(J335&lt;=0,0,MIN(MAX(0,J335-N335),SUMIFS('Loan Prepayment'!$B$12:$B$31,'Loan Prepayment'!$A$12:$A$31,I335)+0))</f>
        <v>0</v>
      </c>
      <c r="P335">
        <f t="shared" si="110"/>
        <v>0</v>
      </c>
      <c r="Q335">
        <v>334</v>
      </c>
      <c r="R335">
        <f t="shared" si="123"/>
        <v>0</v>
      </c>
      <c r="S335" s="64">
        <f>'Loan Prepayment'!$B$6</f>
        <v>7.5</v>
      </c>
      <c r="T335">
        <f>IF(R335&lt;=0,0,MIN(IF(AND('Loan Prepayment'!$E$15="Reduce EMI",W334&gt;0),-PMT(S335/1200,MAX(1,'Loan Prepayment'!$B$7*12-Q335+1),R335),T334),R335+U335))</f>
        <v>0</v>
      </c>
      <c r="U335">
        <f t="shared" si="111"/>
        <v>0</v>
      </c>
      <c r="V335">
        <f t="shared" si="112"/>
        <v>0</v>
      </c>
      <c r="W335">
        <f>IF(R335&lt;=0,0,MIN(MAX(0,R335-V335),0+IF(AND(Q335&gt;='Loan Prepayment'!$B$9,Q335&lt;='Loan Prepayment'!$E$16),'Loan Prepayment'!$B$8,0)))</f>
        <v>0</v>
      </c>
      <c r="X335">
        <f t="shared" si="113"/>
        <v>0</v>
      </c>
      <c r="Y335">
        <v>334</v>
      </c>
      <c r="Z335">
        <f t="shared" si="124"/>
        <v>0</v>
      </c>
      <c r="AA335">
        <f>IF(Y335&gt;='Loan Prepayment'!$E$11,'Loan Prepayment'!$E$12,'Loan Prepayment'!$B$6)</f>
        <v>6.5</v>
      </c>
      <c r="AB335">
        <f>IF(Z335&lt;=0,0,MIN(IF(Y335='Loan Prepayment'!$E$11,IF('Loan Prepayment'!$E$13="Keep tenure, recalculate EMI",-PMT(AA335/1200,MAX(1,'Loan Prepayment'!$B$7*12-Y335+1),Z335),AB334),AB334),Z335+AC335))</f>
        <v>0</v>
      </c>
      <c r="AC335">
        <f t="shared" si="114"/>
        <v>0</v>
      </c>
      <c r="AD335">
        <f t="shared" si="115"/>
        <v>0</v>
      </c>
      <c r="AE335">
        <f t="shared" si="116"/>
        <v>0</v>
      </c>
      <c r="AF335">
        <f t="shared" si="117"/>
        <v>0</v>
      </c>
      <c r="AG335">
        <v>334</v>
      </c>
      <c r="AH335">
        <f t="shared" si="125"/>
        <v>0</v>
      </c>
      <c r="AI335">
        <f>IF(AG335&gt;='Loan Prepayment'!$E$11,'Loan Prepayment'!$E$12,'Loan Prepayment'!$B$6)</f>
        <v>6.5</v>
      </c>
      <c r="AJ335">
        <f>IF(AH335&lt;=0,0,MIN(IF(AG335='Loan Prepayment'!$E$11,IF('Loan Prepayment'!$E$13="Keep tenure, recalculate EMI",-PMT(AI335/1200,MAX(1,'Loan Prepayment'!$B$7*12-AG335+1),AH335),IF(AND('Loan Prepayment'!$E$15="Reduce EMI",AM334&gt;0),-PMT(AI334/1200,MAX(1,'Loan Prepayment'!$B$7*12-AG335+1),AH335),AJ334)),IF(AND('Loan Prepayment'!$E$15="Reduce EMI",AM334&gt;0),-PMT(AI335/1200,MAX(1,'Loan Prepayment'!$B$7*12-AG335+1),AH335),AJ334)),AH335+AK335))</f>
        <v>0</v>
      </c>
      <c r="AK335">
        <f t="shared" si="118"/>
        <v>0</v>
      </c>
      <c r="AL335">
        <f t="shared" si="119"/>
        <v>0</v>
      </c>
      <c r="AM335">
        <f>IF(AH335&lt;=0,0,MIN(MAX(0,AH335-AL335),SUMIFS('Loan Prepayment'!$B$12:$B$31,'Loan Prepayment'!$A$12:$A$31,AG335)+IF(AND(AG335&gt;='Loan Prepayment'!$B$9,AG335&lt;='Loan Prepayment'!$E$16),'Loan Prepayment'!$B$8,0)))</f>
        <v>0</v>
      </c>
      <c r="AN335">
        <f t="shared" si="120"/>
        <v>0</v>
      </c>
    </row>
    <row r="336" spans="1:40" x14ac:dyDescent="0.35">
      <c r="A336">
        <v>335</v>
      </c>
      <c r="B336">
        <f t="shared" si="121"/>
        <v>0</v>
      </c>
      <c r="C336" s="64">
        <f>'Loan Prepayment'!$B$6</f>
        <v>7.5</v>
      </c>
      <c r="D336">
        <f>IF(B336&lt;=0,0,MIN(-PMT('Loan Prepayment'!$B$6/1200,'Loan Prepayment'!$B$7*12,'Loan Prepayment'!$B$5),B336+E336))</f>
        <v>0</v>
      </c>
      <c r="E336">
        <f t="shared" si="105"/>
        <v>0</v>
      </c>
      <c r="F336">
        <f t="shared" si="106"/>
        <v>0</v>
      </c>
      <c r="G336">
        <v>0</v>
      </c>
      <c r="H336">
        <f t="shared" si="107"/>
        <v>0</v>
      </c>
      <c r="I336">
        <v>335</v>
      </c>
      <c r="J336">
        <f t="shared" si="122"/>
        <v>0</v>
      </c>
      <c r="K336" s="64">
        <f>'Loan Prepayment'!$B$6</f>
        <v>7.5</v>
      </c>
      <c r="L336">
        <f>IF(J336&lt;=0,0,MIN(IF(AND('Loan Prepayment'!$E$15="Reduce EMI",O335&gt;0),-PMT(K336/1200,MAX(1,'Loan Prepayment'!$B$7*12-I336+1),J336),L335),J336+M336))</f>
        <v>0</v>
      </c>
      <c r="M336">
        <f t="shared" si="108"/>
        <v>0</v>
      </c>
      <c r="N336">
        <f t="shared" si="109"/>
        <v>0</v>
      </c>
      <c r="O336">
        <f>IF(J336&lt;=0,0,MIN(MAX(0,J336-N336),SUMIFS('Loan Prepayment'!$B$12:$B$31,'Loan Prepayment'!$A$12:$A$31,I336)+0))</f>
        <v>0</v>
      </c>
      <c r="P336">
        <f t="shared" si="110"/>
        <v>0</v>
      </c>
      <c r="Q336">
        <v>335</v>
      </c>
      <c r="R336">
        <f t="shared" si="123"/>
        <v>0</v>
      </c>
      <c r="S336" s="64">
        <f>'Loan Prepayment'!$B$6</f>
        <v>7.5</v>
      </c>
      <c r="T336">
        <f>IF(R336&lt;=0,0,MIN(IF(AND('Loan Prepayment'!$E$15="Reduce EMI",W335&gt;0),-PMT(S336/1200,MAX(1,'Loan Prepayment'!$B$7*12-Q336+1),R336),T335),R336+U336))</f>
        <v>0</v>
      </c>
      <c r="U336">
        <f t="shared" si="111"/>
        <v>0</v>
      </c>
      <c r="V336">
        <f t="shared" si="112"/>
        <v>0</v>
      </c>
      <c r="W336">
        <f>IF(R336&lt;=0,0,MIN(MAX(0,R336-V336),0+IF(AND(Q336&gt;='Loan Prepayment'!$B$9,Q336&lt;='Loan Prepayment'!$E$16),'Loan Prepayment'!$B$8,0)))</f>
        <v>0</v>
      </c>
      <c r="X336">
        <f t="shared" si="113"/>
        <v>0</v>
      </c>
      <c r="Y336">
        <v>335</v>
      </c>
      <c r="Z336">
        <f t="shared" si="124"/>
        <v>0</v>
      </c>
      <c r="AA336">
        <f>IF(Y336&gt;='Loan Prepayment'!$E$11,'Loan Prepayment'!$E$12,'Loan Prepayment'!$B$6)</f>
        <v>6.5</v>
      </c>
      <c r="AB336">
        <f>IF(Z336&lt;=0,0,MIN(IF(Y336='Loan Prepayment'!$E$11,IF('Loan Prepayment'!$E$13="Keep tenure, recalculate EMI",-PMT(AA336/1200,MAX(1,'Loan Prepayment'!$B$7*12-Y336+1),Z336),AB335),AB335),Z336+AC336))</f>
        <v>0</v>
      </c>
      <c r="AC336">
        <f t="shared" si="114"/>
        <v>0</v>
      </c>
      <c r="AD336">
        <f t="shared" si="115"/>
        <v>0</v>
      </c>
      <c r="AE336">
        <f t="shared" si="116"/>
        <v>0</v>
      </c>
      <c r="AF336">
        <f t="shared" si="117"/>
        <v>0</v>
      </c>
      <c r="AG336">
        <v>335</v>
      </c>
      <c r="AH336">
        <f t="shared" si="125"/>
        <v>0</v>
      </c>
      <c r="AI336">
        <f>IF(AG336&gt;='Loan Prepayment'!$E$11,'Loan Prepayment'!$E$12,'Loan Prepayment'!$B$6)</f>
        <v>6.5</v>
      </c>
      <c r="AJ336">
        <f>IF(AH336&lt;=0,0,MIN(IF(AG336='Loan Prepayment'!$E$11,IF('Loan Prepayment'!$E$13="Keep tenure, recalculate EMI",-PMT(AI336/1200,MAX(1,'Loan Prepayment'!$B$7*12-AG336+1),AH336),IF(AND('Loan Prepayment'!$E$15="Reduce EMI",AM335&gt;0),-PMT(AI335/1200,MAX(1,'Loan Prepayment'!$B$7*12-AG336+1),AH336),AJ335)),IF(AND('Loan Prepayment'!$E$15="Reduce EMI",AM335&gt;0),-PMT(AI336/1200,MAX(1,'Loan Prepayment'!$B$7*12-AG336+1),AH336),AJ335)),AH336+AK336))</f>
        <v>0</v>
      </c>
      <c r="AK336">
        <f t="shared" si="118"/>
        <v>0</v>
      </c>
      <c r="AL336">
        <f t="shared" si="119"/>
        <v>0</v>
      </c>
      <c r="AM336">
        <f>IF(AH336&lt;=0,0,MIN(MAX(0,AH336-AL336),SUMIFS('Loan Prepayment'!$B$12:$B$31,'Loan Prepayment'!$A$12:$A$31,AG336)+IF(AND(AG336&gt;='Loan Prepayment'!$B$9,AG336&lt;='Loan Prepayment'!$E$16),'Loan Prepayment'!$B$8,0)))</f>
        <v>0</v>
      </c>
      <c r="AN336">
        <f t="shared" si="120"/>
        <v>0</v>
      </c>
    </row>
    <row r="337" spans="1:40" x14ac:dyDescent="0.35">
      <c r="A337">
        <v>336</v>
      </c>
      <c r="B337">
        <f t="shared" si="121"/>
        <v>0</v>
      </c>
      <c r="C337" s="64">
        <f>'Loan Prepayment'!$B$6</f>
        <v>7.5</v>
      </c>
      <c r="D337">
        <f>IF(B337&lt;=0,0,MIN(-PMT('Loan Prepayment'!$B$6/1200,'Loan Prepayment'!$B$7*12,'Loan Prepayment'!$B$5),B337+E337))</f>
        <v>0</v>
      </c>
      <c r="E337">
        <f t="shared" si="105"/>
        <v>0</v>
      </c>
      <c r="F337">
        <f t="shared" si="106"/>
        <v>0</v>
      </c>
      <c r="G337">
        <v>0</v>
      </c>
      <c r="H337">
        <f t="shared" si="107"/>
        <v>0</v>
      </c>
      <c r="I337">
        <v>336</v>
      </c>
      <c r="J337">
        <f t="shared" si="122"/>
        <v>0</v>
      </c>
      <c r="K337" s="64">
        <f>'Loan Prepayment'!$B$6</f>
        <v>7.5</v>
      </c>
      <c r="L337">
        <f>IF(J337&lt;=0,0,MIN(IF(AND('Loan Prepayment'!$E$15="Reduce EMI",O336&gt;0),-PMT(K337/1200,MAX(1,'Loan Prepayment'!$B$7*12-I337+1),J337),L336),J337+M337))</f>
        <v>0</v>
      </c>
      <c r="M337">
        <f t="shared" si="108"/>
        <v>0</v>
      </c>
      <c r="N337">
        <f t="shared" si="109"/>
        <v>0</v>
      </c>
      <c r="O337">
        <f>IF(J337&lt;=0,0,MIN(MAX(0,J337-N337),SUMIFS('Loan Prepayment'!$B$12:$B$31,'Loan Prepayment'!$A$12:$A$31,I337)+0))</f>
        <v>0</v>
      </c>
      <c r="P337">
        <f t="shared" si="110"/>
        <v>0</v>
      </c>
      <c r="Q337">
        <v>336</v>
      </c>
      <c r="R337">
        <f t="shared" si="123"/>
        <v>0</v>
      </c>
      <c r="S337" s="64">
        <f>'Loan Prepayment'!$B$6</f>
        <v>7.5</v>
      </c>
      <c r="T337">
        <f>IF(R337&lt;=0,0,MIN(IF(AND('Loan Prepayment'!$E$15="Reduce EMI",W336&gt;0),-PMT(S337/1200,MAX(1,'Loan Prepayment'!$B$7*12-Q337+1),R337),T336),R337+U337))</f>
        <v>0</v>
      </c>
      <c r="U337">
        <f t="shared" si="111"/>
        <v>0</v>
      </c>
      <c r="V337">
        <f t="shared" si="112"/>
        <v>0</v>
      </c>
      <c r="W337">
        <f>IF(R337&lt;=0,0,MIN(MAX(0,R337-V337),0+IF(AND(Q337&gt;='Loan Prepayment'!$B$9,Q337&lt;='Loan Prepayment'!$E$16),'Loan Prepayment'!$B$8,0)))</f>
        <v>0</v>
      </c>
      <c r="X337">
        <f t="shared" si="113"/>
        <v>0</v>
      </c>
      <c r="Y337">
        <v>336</v>
      </c>
      <c r="Z337">
        <f t="shared" si="124"/>
        <v>0</v>
      </c>
      <c r="AA337">
        <f>IF(Y337&gt;='Loan Prepayment'!$E$11,'Loan Prepayment'!$E$12,'Loan Prepayment'!$B$6)</f>
        <v>6.5</v>
      </c>
      <c r="AB337">
        <f>IF(Z337&lt;=0,0,MIN(IF(Y337='Loan Prepayment'!$E$11,IF('Loan Prepayment'!$E$13="Keep tenure, recalculate EMI",-PMT(AA337/1200,MAX(1,'Loan Prepayment'!$B$7*12-Y337+1),Z337),AB336),AB336),Z337+AC337))</f>
        <v>0</v>
      </c>
      <c r="AC337">
        <f t="shared" si="114"/>
        <v>0</v>
      </c>
      <c r="AD337">
        <f t="shared" si="115"/>
        <v>0</v>
      </c>
      <c r="AE337">
        <f t="shared" si="116"/>
        <v>0</v>
      </c>
      <c r="AF337">
        <f t="shared" si="117"/>
        <v>0</v>
      </c>
      <c r="AG337">
        <v>336</v>
      </c>
      <c r="AH337">
        <f t="shared" si="125"/>
        <v>0</v>
      </c>
      <c r="AI337">
        <f>IF(AG337&gt;='Loan Prepayment'!$E$11,'Loan Prepayment'!$E$12,'Loan Prepayment'!$B$6)</f>
        <v>6.5</v>
      </c>
      <c r="AJ337">
        <f>IF(AH337&lt;=0,0,MIN(IF(AG337='Loan Prepayment'!$E$11,IF('Loan Prepayment'!$E$13="Keep tenure, recalculate EMI",-PMT(AI337/1200,MAX(1,'Loan Prepayment'!$B$7*12-AG337+1),AH337),IF(AND('Loan Prepayment'!$E$15="Reduce EMI",AM336&gt;0),-PMT(AI336/1200,MAX(1,'Loan Prepayment'!$B$7*12-AG337+1),AH337),AJ336)),IF(AND('Loan Prepayment'!$E$15="Reduce EMI",AM336&gt;0),-PMT(AI337/1200,MAX(1,'Loan Prepayment'!$B$7*12-AG337+1),AH337),AJ336)),AH337+AK337))</f>
        <v>0</v>
      </c>
      <c r="AK337">
        <f t="shared" si="118"/>
        <v>0</v>
      </c>
      <c r="AL337">
        <f t="shared" si="119"/>
        <v>0</v>
      </c>
      <c r="AM337">
        <f>IF(AH337&lt;=0,0,MIN(MAX(0,AH337-AL337),SUMIFS('Loan Prepayment'!$B$12:$B$31,'Loan Prepayment'!$A$12:$A$31,AG337)+IF(AND(AG337&gt;='Loan Prepayment'!$B$9,AG337&lt;='Loan Prepayment'!$E$16),'Loan Prepayment'!$B$8,0)))</f>
        <v>0</v>
      </c>
      <c r="AN337">
        <f t="shared" si="120"/>
        <v>0</v>
      </c>
    </row>
    <row r="338" spans="1:40" x14ac:dyDescent="0.35">
      <c r="A338">
        <v>337</v>
      </c>
      <c r="B338">
        <f t="shared" si="121"/>
        <v>0</v>
      </c>
      <c r="C338" s="64">
        <f>'Loan Prepayment'!$B$6</f>
        <v>7.5</v>
      </c>
      <c r="D338">
        <f>IF(B338&lt;=0,0,MIN(-PMT('Loan Prepayment'!$B$6/1200,'Loan Prepayment'!$B$7*12,'Loan Prepayment'!$B$5),B338+E338))</f>
        <v>0</v>
      </c>
      <c r="E338">
        <f t="shared" si="105"/>
        <v>0</v>
      </c>
      <c r="F338">
        <f t="shared" si="106"/>
        <v>0</v>
      </c>
      <c r="G338">
        <v>0</v>
      </c>
      <c r="H338">
        <f t="shared" si="107"/>
        <v>0</v>
      </c>
      <c r="I338">
        <v>337</v>
      </c>
      <c r="J338">
        <f t="shared" si="122"/>
        <v>0</v>
      </c>
      <c r="K338" s="64">
        <f>'Loan Prepayment'!$B$6</f>
        <v>7.5</v>
      </c>
      <c r="L338">
        <f>IF(J338&lt;=0,0,MIN(IF(AND('Loan Prepayment'!$E$15="Reduce EMI",O337&gt;0),-PMT(K338/1200,MAX(1,'Loan Prepayment'!$B$7*12-I338+1),J338),L337),J338+M338))</f>
        <v>0</v>
      </c>
      <c r="M338">
        <f t="shared" si="108"/>
        <v>0</v>
      </c>
      <c r="N338">
        <f t="shared" si="109"/>
        <v>0</v>
      </c>
      <c r="O338">
        <f>IF(J338&lt;=0,0,MIN(MAX(0,J338-N338),SUMIFS('Loan Prepayment'!$B$12:$B$31,'Loan Prepayment'!$A$12:$A$31,I338)+0))</f>
        <v>0</v>
      </c>
      <c r="P338">
        <f t="shared" si="110"/>
        <v>0</v>
      </c>
      <c r="Q338">
        <v>337</v>
      </c>
      <c r="R338">
        <f t="shared" si="123"/>
        <v>0</v>
      </c>
      <c r="S338" s="64">
        <f>'Loan Prepayment'!$B$6</f>
        <v>7.5</v>
      </c>
      <c r="T338">
        <f>IF(R338&lt;=0,0,MIN(IF(AND('Loan Prepayment'!$E$15="Reduce EMI",W337&gt;0),-PMT(S338/1200,MAX(1,'Loan Prepayment'!$B$7*12-Q338+1),R338),T337),R338+U338))</f>
        <v>0</v>
      </c>
      <c r="U338">
        <f t="shared" si="111"/>
        <v>0</v>
      </c>
      <c r="V338">
        <f t="shared" si="112"/>
        <v>0</v>
      </c>
      <c r="W338">
        <f>IF(R338&lt;=0,0,MIN(MAX(0,R338-V338),0+IF(AND(Q338&gt;='Loan Prepayment'!$B$9,Q338&lt;='Loan Prepayment'!$E$16),'Loan Prepayment'!$B$8,0)))</f>
        <v>0</v>
      </c>
      <c r="X338">
        <f t="shared" si="113"/>
        <v>0</v>
      </c>
      <c r="Y338">
        <v>337</v>
      </c>
      <c r="Z338">
        <f t="shared" si="124"/>
        <v>0</v>
      </c>
      <c r="AA338">
        <f>IF(Y338&gt;='Loan Prepayment'!$E$11,'Loan Prepayment'!$E$12,'Loan Prepayment'!$B$6)</f>
        <v>6.5</v>
      </c>
      <c r="AB338">
        <f>IF(Z338&lt;=0,0,MIN(IF(Y338='Loan Prepayment'!$E$11,IF('Loan Prepayment'!$E$13="Keep tenure, recalculate EMI",-PMT(AA338/1200,MAX(1,'Loan Prepayment'!$B$7*12-Y338+1),Z338),AB337),AB337),Z338+AC338))</f>
        <v>0</v>
      </c>
      <c r="AC338">
        <f t="shared" si="114"/>
        <v>0</v>
      </c>
      <c r="AD338">
        <f t="shared" si="115"/>
        <v>0</v>
      </c>
      <c r="AE338">
        <f t="shared" si="116"/>
        <v>0</v>
      </c>
      <c r="AF338">
        <f t="shared" si="117"/>
        <v>0</v>
      </c>
      <c r="AG338">
        <v>337</v>
      </c>
      <c r="AH338">
        <f t="shared" si="125"/>
        <v>0</v>
      </c>
      <c r="AI338">
        <f>IF(AG338&gt;='Loan Prepayment'!$E$11,'Loan Prepayment'!$E$12,'Loan Prepayment'!$B$6)</f>
        <v>6.5</v>
      </c>
      <c r="AJ338">
        <f>IF(AH338&lt;=0,0,MIN(IF(AG338='Loan Prepayment'!$E$11,IF('Loan Prepayment'!$E$13="Keep tenure, recalculate EMI",-PMT(AI338/1200,MAX(1,'Loan Prepayment'!$B$7*12-AG338+1),AH338),IF(AND('Loan Prepayment'!$E$15="Reduce EMI",AM337&gt;0),-PMT(AI337/1200,MAX(1,'Loan Prepayment'!$B$7*12-AG338+1),AH338),AJ337)),IF(AND('Loan Prepayment'!$E$15="Reduce EMI",AM337&gt;0),-PMT(AI338/1200,MAX(1,'Loan Prepayment'!$B$7*12-AG338+1),AH338),AJ337)),AH338+AK338))</f>
        <v>0</v>
      </c>
      <c r="AK338">
        <f t="shared" si="118"/>
        <v>0</v>
      </c>
      <c r="AL338">
        <f t="shared" si="119"/>
        <v>0</v>
      </c>
      <c r="AM338">
        <f>IF(AH338&lt;=0,0,MIN(MAX(0,AH338-AL338),SUMIFS('Loan Prepayment'!$B$12:$B$31,'Loan Prepayment'!$A$12:$A$31,AG338)+IF(AND(AG338&gt;='Loan Prepayment'!$B$9,AG338&lt;='Loan Prepayment'!$E$16),'Loan Prepayment'!$B$8,0)))</f>
        <v>0</v>
      </c>
      <c r="AN338">
        <f t="shared" si="120"/>
        <v>0</v>
      </c>
    </row>
    <row r="339" spans="1:40" x14ac:dyDescent="0.35">
      <c r="A339">
        <v>338</v>
      </c>
      <c r="B339">
        <f t="shared" si="121"/>
        <v>0</v>
      </c>
      <c r="C339" s="64">
        <f>'Loan Prepayment'!$B$6</f>
        <v>7.5</v>
      </c>
      <c r="D339">
        <f>IF(B339&lt;=0,0,MIN(-PMT('Loan Prepayment'!$B$6/1200,'Loan Prepayment'!$B$7*12,'Loan Prepayment'!$B$5),B339+E339))</f>
        <v>0</v>
      </c>
      <c r="E339">
        <f t="shared" si="105"/>
        <v>0</v>
      </c>
      <c r="F339">
        <f t="shared" si="106"/>
        <v>0</v>
      </c>
      <c r="G339">
        <v>0</v>
      </c>
      <c r="H339">
        <f t="shared" si="107"/>
        <v>0</v>
      </c>
      <c r="I339">
        <v>338</v>
      </c>
      <c r="J339">
        <f t="shared" si="122"/>
        <v>0</v>
      </c>
      <c r="K339" s="64">
        <f>'Loan Prepayment'!$B$6</f>
        <v>7.5</v>
      </c>
      <c r="L339">
        <f>IF(J339&lt;=0,0,MIN(IF(AND('Loan Prepayment'!$E$15="Reduce EMI",O338&gt;0),-PMT(K339/1200,MAX(1,'Loan Prepayment'!$B$7*12-I339+1),J339),L338),J339+M339))</f>
        <v>0</v>
      </c>
      <c r="M339">
        <f t="shared" si="108"/>
        <v>0</v>
      </c>
      <c r="N339">
        <f t="shared" si="109"/>
        <v>0</v>
      </c>
      <c r="O339">
        <f>IF(J339&lt;=0,0,MIN(MAX(0,J339-N339),SUMIFS('Loan Prepayment'!$B$12:$B$31,'Loan Prepayment'!$A$12:$A$31,I339)+0))</f>
        <v>0</v>
      </c>
      <c r="P339">
        <f t="shared" si="110"/>
        <v>0</v>
      </c>
      <c r="Q339">
        <v>338</v>
      </c>
      <c r="R339">
        <f t="shared" si="123"/>
        <v>0</v>
      </c>
      <c r="S339" s="64">
        <f>'Loan Prepayment'!$B$6</f>
        <v>7.5</v>
      </c>
      <c r="T339">
        <f>IF(R339&lt;=0,0,MIN(IF(AND('Loan Prepayment'!$E$15="Reduce EMI",W338&gt;0),-PMT(S339/1200,MAX(1,'Loan Prepayment'!$B$7*12-Q339+1),R339),T338),R339+U339))</f>
        <v>0</v>
      </c>
      <c r="U339">
        <f t="shared" si="111"/>
        <v>0</v>
      </c>
      <c r="V339">
        <f t="shared" si="112"/>
        <v>0</v>
      </c>
      <c r="W339">
        <f>IF(R339&lt;=0,0,MIN(MAX(0,R339-V339),0+IF(AND(Q339&gt;='Loan Prepayment'!$B$9,Q339&lt;='Loan Prepayment'!$E$16),'Loan Prepayment'!$B$8,0)))</f>
        <v>0</v>
      </c>
      <c r="X339">
        <f t="shared" si="113"/>
        <v>0</v>
      </c>
      <c r="Y339">
        <v>338</v>
      </c>
      <c r="Z339">
        <f t="shared" si="124"/>
        <v>0</v>
      </c>
      <c r="AA339">
        <f>IF(Y339&gt;='Loan Prepayment'!$E$11,'Loan Prepayment'!$E$12,'Loan Prepayment'!$B$6)</f>
        <v>6.5</v>
      </c>
      <c r="AB339">
        <f>IF(Z339&lt;=0,0,MIN(IF(Y339='Loan Prepayment'!$E$11,IF('Loan Prepayment'!$E$13="Keep tenure, recalculate EMI",-PMT(AA339/1200,MAX(1,'Loan Prepayment'!$B$7*12-Y339+1),Z339),AB338),AB338),Z339+AC339))</f>
        <v>0</v>
      </c>
      <c r="AC339">
        <f t="shared" si="114"/>
        <v>0</v>
      </c>
      <c r="AD339">
        <f t="shared" si="115"/>
        <v>0</v>
      </c>
      <c r="AE339">
        <f t="shared" si="116"/>
        <v>0</v>
      </c>
      <c r="AF339">
        <f t="shared" si="117"/>
        <v>0</v>
      </c>
      <c r="AG339">
        <v>338</v>
      </c>
      <c r="AH339">
        <f t="shared" si="125"/>
        <v>0</v>
      </c>
      <c r="AI339">
        <f>IF(AG339&gt;='Loan Prepayment'!$E$11,'Loan Prepayment'!$E$12,'Loan Prepayment'!$B$6)</f>
        <v>6.5</v>
      </c>
      <c r="AJ339">
        <f>IF(AH339&lt;=0,0,MIN(IF(AG339='Loan Prepayment'!$E$11,IF('Loan Prepayment'!$E$13="Keep tenure, recalculate EMI",-PMT(AI339/1200,MAX(1,'Loan Prepayment'!$B$7*12-AG339+1),AH339),IF(AND('Loan Prepayment'!$E$15="Reduce EMI",AM338&gt;0),-PMT(AI338/1200,MAX(1,'Loan Prepayment'!$B$7*12-AG339+1),AH339),AJ338)),IF(AND('Loan Prepayment'!$E$15="Reduce EMI",AM338&gt;0),-PMT(AI339/1200,MAX(1,'Loan Prepayment'!$B$7*12-AG339+1),AH339),AJ338)),AH339+AK339))</f>
        <v>0</v>
      </c>
      <c r="AK339">
        <f t="shared" si="118"/>
        <v>0</v>
      </c>
      <c r="AL339">
        <f t="shared" si="119"/>
        <v>0</v>
      </c>
      <c r="AM339">
        <f>IF(AH339&lt;=0,0,MIN(MAX(0,AH339-AL339),SUMIFS('Loan Prepayment'!$B$12:$B$31,'Loan Prepayment'!$A$12:$A$31,AG339)+IF(AND(AG339&gt;='Loan Prepayment'!$B$9,AG339&lt;='Loan Prepayment'!$E$16),'Loan Prepayment'!$B$8,0)))</f>
        <v>0</v>
      </c>
      <c r="AN339">
        <f t="shared" si="120"/>
        <v>0</v>
      </c>
    </row>
    <row r="340" spans="1:40" x14ac:dyDescent="0.35">
      <c r="A340">
        <v>339</v>
      </c>
      <c r="B340">
        <f t="shared" si="121"/>
        <v>0</v>
      </c>
      <c r="C340" s="64">
        <f>'Loan Prepayment'!$B$6</f>
        <v>7.5</v>
      </c>
      <c r="D340">
        <f>IF(B340&lt;=0,0,MIN(-PMT('Loan Prepayment'!$B$6/1200,'Loan Prepayment'!$B$7*12,'Loan Prepayment'!$B$5),B340+E340))</f>
        <v>0</v>
      </c>
      <c r="E340">
        <f t="shared" si="105"/>
        <v>0</v>
      </c>
      <c r="F340">
        <f t="shared" si="106"/>
        <v>0</v>
      </c>
      <c r="G340">
        <v>0</v>
      </c>
      <c r="H340">
        <f t="shared" si="107"/>
        <v>0</v>
      </c>
      <c r="I340">
        <v>339</v>
      </c>
      <c r="J340">
        <f t="shared" si="122"/>
        <v>0</v>
      </c>
      <c r="K340" s="64">
        <f>'Loan Prepayment'!$B$6</f>
        <v>7.5</v>
      </c>
      <c r="L340">
        <f>IF(J340&lt;=0,0,MIN(IF(AND('Loan Prepayment'!$E$15="Reduce EMI",O339&gt;0),-PMT(K340/1200,MAX(1,'Loan Prepayment'!$B$7*12-I340+1),J340),L339),J340+M340))</f>
        <v>0</v>
      </c>
      <c r="M340">
        <f t="shared" si="108"/>
        <v>0</v>
      </c>
      <c r="N340">
        <f t="shared" si="109"/>
        <v>0</v>
      </c>
      <c r="O340">
        <f>IF(J340&lt;=0,0,MIN(MAX(0,J340-N340),SUMIFS('Loan Prepayment'!$B$12:$B$31,'Loan Prepayment'!$A$12:$A$31,I340)+0))</f>
        <v>0</v>
      </c>
      <c r="P340">
        <f t="shared" si="110"/>
        <v>0</v>
      </c>
      <c r="Q340">
        <v>339</v>
      </c>
      <c r="R340">
        <f t="shared" si="123"/>
        <v>0</v>
      </c>
      <c r="S340" s="64">
        <f>'Loan Prepayment'!$B$6</f>
        <v>7.5</v>
      </c>
      <c r="T340">
        <f>IF(R340&lt;=0,0,MIN(IF(AND('Loan Prepayment'!$E$15="Reduce EMI",W339&gt;0),-PMT(S340/1200,MAX(1,'Loan Prepayment'!$B$7*12-Q340+1),R340),T339),R340+U340))</f>
        <v>0</v>
      </c>
      <c r="U340">
        <f t="shared" si="111"/>
        <v>0</v>
      </c>
      <c r="V340">
        <f t="shared" si="112"/>
        <v>0</v>
      </c>
      <c r="W340">
        <f>IF(R340&lt;=0,0,MIN(MAX(0,R340-V340),0+IF(AND(Q340&gt;='Loan Prepayment'!$B$9,Q340&lt;='Loan Prepayment'!$E$16),'Loan Prepayment'!$B$8,0)))</f>
        <v>0</v>
      </c>
      <c r="X340">
        <f t="shared" si="113"/>
        <v>0</v>
      </c>
      <c r="Y340">
        <v>339</v>
      </c>
      <c r="Z340">
        <f t="shared" si="124"/>
        <v>0</v>
      </c>
      <c r="AA340">
        <f>IF(Y340&gt;='Loan Prepayment'!$E$11,'Loan Prepayment'!$E$12,'Loan Prepayment'!$B$6)</f>
        <v>6.5</v>
      </c>
      <c r="AB340">
        <f>IF(Z340&lt;=0,0,MIN(IF(Y340='Loan Prepayment'!$E$11,IF('Loan Prepayment'!$E$13="Keep tenure, recalculate EMI",-PMT(AA340/1200,MAX(1,'Loan Prepayment'!$B$7*12-Y340+1),Z340),AB339),AB339),Z340+AC340))</f>
        <v>0</v>
      </c>
      <c r="AC340">
        <f t="shared" si="114"/>
        <v>0</v>
      </c>
      <c r="AD340">
        <f t="shared" si="115"/>
        <v>0</v>
      </c>
      <c r="AE340">
        <f t="shared" si="116"/>
        <v>0</v>
      </c>
      <c r="AF340">
        <f t="shared" si="117"/>
        <v>0</v>
      </c>
      <c r="AG340">
        <v>339</v>
      </c>
      <c r="AH340">
        <f t="shared" si="125"/>
        <v>0</v>
      </c>
      <c r="AI340">
        <f>IF(AG340&gt;='Loan Prepayment'!$E$11,'Loan Prepayment'!$E$12,'Loan Prepayment'!$B$6)</f>
        <v>6.5</v>
      </c>
      <c r="AJ340">
        <f>IF(AH340&lt;=0,0,MIN(IF(AG340='Loan Prepayment'!$E$11,IF('Loan Prepayment'!$E$13="Keep tenure, recalculate EMI",-PMT(AI340/1200,MAX(1,'Loan Prepayment'!$B$7*12-AG340+1),AH340),IF(AND('Loan Prepayment'!$E$15="Reduce EMI",AM339&gt;0),-PMT(AI339/1200,MAX(1,'Loan Prepayment'!$B$7*12-AG340+1),AH340),AJ339)),IF(AND('Loan Prepayment'!$E$15="Reduce EMI",AM339&gt;0),-PMT(AI340/1200,MAX(1,'Loan Prepayment'!$B$7*12-AG340+1),AH340),AJ339)),AH340+AK340))</f>
        <v>0</v>
      </c>
      <c r="AK340">
        <f t="shared" si="118"/>
        <v>0</v>
      </c>
      <c r="AL340">
        <f t="shared" si="119"/>
        <v>0</v>
      </c>
      <c r="AM340">
        <f>IF(AH340&lt;=0,0,MIN(MAX(0,AH340-AL340),SUMIFS('Loan Prepayment'!$B$12:$B$31,'Loan Prepayment'!$A$12:$A$31,AG340)+IF(AND(AG340&gt;='Loan Prepayment'!$B$9,AG340&lt;='Loan Prepayment'!$E$16),'Loan Prepayment'!$B$8,0)))</f>
        <v>0</v>
      </c>
      <c r="AN340">
        <f t="shared" si="120"/>
        <v>0</v>
      </c>
    </row>
    <row r="341" spans="1:40" x14ac:dyDescent="0.35">
      <c r="A341">
        <v>340</v>
      </c>
      <c r="B341">
        <f t="shared" si="121"/>
        <v>0</v>
      </c>
      <c r="C341" s="64">
        <f>'Loan Prepayment'!$B$6</f>
        <v>7.5</v>
      </c>
      <c r="D341">
        <f>IF(B341&lt;=0,0,MIN(-PMT('Loan Prepayment'!$B$6/1200,'Loan Prepayment'!$B$7*12,'Loan Prepayment'!$B$5),B341+E341))</f>
        <v>0</v>
      </c>
      <c r="E341">
        <f t="shared" si="105"/>
        <v>0</v>
      </c>
      <c r="F341">
        <f t="shared" si="106"/>
        <v>0</v>
      </c>
      <c r="G341">
        <v>0</v>
      </c>
      <c r="H341">
        <f t="shared" si="107"/>
        <v>0</v>
      </c>
      <c r="I341">
        <v>340</v>
      </c>
      <c r="J341">
        <f t="shared" si="122"/>
        <v>0</v>
      </c>
      <c r="K341" s="64">
        <f>'Loan Prepayment'!$B$6</f>
        <v>7.5</v>
      </c>
      <c r="L341">
        <f>IF(J341&lt;=0,0,MIN(IF(AND('Loan Prepayment'!$E$15="Reduce EMI",O340&gt;0),-PMT(K341/1200,MAX(1,'Loan Prepayment'!$B$7*12-I341+1),J341),L340),J341+M341))</f>
        <v>0</v>
      </c>
      <c r="M341">
        <f t="shared" si="108"/>
        <v>0</v>
      </c>
      <c r="N341">
        <f t="shared" si="109"/>
        <v>0</v>
      </c>
      <c r="O341">
        <f>IF(J341&lt;=0,0,MIN(MAX(0,J341-N341),SUMIFS('Loan Prepayment'!$B$12:$B$31,'Loan Prepayment'!$A$12:$A$31,I341)+0))</f>
        <v>0</v>
      </c>
      <c r="P341">
        <f t="shared" si="110"/>
        <v>0</v>
      </c>
      <c r="Q341">
        <v>340</v>
      </c>
      <c r="R341">
        <f t="shared" si="123"/>
        <v>0</v>
      </c>
      <c r="S341" s="64">
        <f>'Loan Prepayment'!$B$6</f>
        <v>7.5</v>
      </c>
      <c r="T341">
        <f>IF(R341&lt;=0,0,MIN(IF(AND('Loan Prepayment'!$E$15="Reduce EMI",W340&gt;0),-PMT(S341/1200,MAX(1,'Loan Prepayment'!$B$7*12-Q341+1),R341),T340),R341+U341))</f>
        <v>0</v>
      </c>
      <c r="U341">
        <f t="shared" si="111"/>
        <v>0</v>
      </c>
      <c r="V341">
        <f t="shared" si="112"/>
        <v>0</v>
      </c>
      <c r="W341">
        <f>IF(R341&lt;=0,0,MIN(MAX(0,R341-V341),0+IF(AND(Q341&gt;='Loan Prepayment'!$B$9,Q341&lt;='Loan Prepayment'!$E$16),'Loan Prepayment'!$B$8,0)))</f>
        <v>0</v>
      </c>
      <c r="X341">
        <f t="shared" si="113"/>
        <v>0</v>
      </c>
      <c r="Y341">
        <v>340</v>
      </c>
      <c r="Z341">
        <f t="shared" si="124"/>
        <v>0</v>
      </c>
      <c r="AA341">
        <f>IF(Y341&gt;='Loan Prepayment'!$E$11,'Loan Prepayment'!$E$12,'Loan Prepayment'!$B$6)</f>
        <v>6.5</v>
      </c>
      <c r="AB341">
        <f>IF(Z341&lt;=0,0,MIN(IF(Y341='Loan Prepayment'!$E$11,IF('Loan Prepayment'!$E$13="Keep tenure, recalculate EMI",-PMT(AA341/1200,MAX(1,'Loan Prepayment'!$B$7*12-Y341+1),Z341),AB340),AB340),Z341+AC341))</f>
        <v>0</v>
      </c>
      <c r="AC341">
        <f t="shared" si="114"/>
        <v>0</v>
      </c>
      <c r="AD341">
        <f t="shared" si="115"/>
        <v>0</v>
      </c>
      <c r="AE341">
        <f t="shared" si="116"/>
        <v>0</v>
      </c>
      <c r="AF341">
        <f t="shared" si="117"/>
        <v>0</v>
      </c>
      <c r="AG341">
        <v>340</v>
      </c>
      <c r="AH341">
        <f t="shared" si="125"/>
        <v>0</v>
      </c>
      <c r="AI341">
        <f>IF(AG341&gt;='Loan Prepayment'!$E$11,'Loan Prepayment'!$E$12,'Loan Prepayment'!$B$6)</f>
        <v>6.5</v>
      </c>
      <c r="AJ341">
        <f>IF(AH341&lt;=0,0,MIN(IF(AG341='Loan Prepayment'!$E$11,IF('Loan Prepayment'!$E$13="Keep tenure, recalculate EMI",-PMT(AI341/1200,MAX(1,'Loan Prepayment'!$B$7*12-AG341+1),AH341),IF(AND('Loan Prepayment'!$E$15="Reduce EMI",AM340&gt;0),-PMT(AI340/1200,MAX(1,'Loan Prepayment'!$B$7*12-AG341+1),AH341),AJ340)),IF(AND('Loan Prepayment'!$E$15="Reduce EMI",AM340&gt;0),-PMT(AI341/1200,MAX(1,'Loan Prepayment'!$B$7*12-AG341+1),AH341),AJ340)),AH341+AK341))</f>
        <v>0</v>
      </c>
      <c r="AK341">
        <f t="shared" si="118"/>
        <v>0</v>
      </c>
      <c r="AL341">
        <f t="shared" si="119"/>
        <v>0</v>
      </c>
      <c r="AM341">
        <f>IF(AH341&lt;=0,0,MIN(MAX(0,AH341-AL341),SUMIFS('Loan Prepayment'!$B$12:$B$31,'Loan Prepayment'!$A$12:$A$31,AG341)+IF(AND(AG341&gt;='Loan Prepayment'!$B$9,AG341&lt;='Loan Prepayment'!$E$16),'Loan Prepayment'!$B$8,0)))</f>
        <v>0</v>
      </c>
      <c r="AN341">
        <f t="shared" si="120"/>
        <v>0</v>
      </c>
    </row>
    <row r="342" spans="1:40" x14ac:dyDescent="0.35">
      <c r="A342">
        <v>341</v>
      </c>
      <c r="B342">
        <f t="shared" si="121"/>
        <v>0</v>
      </c>
      <c r="C342" s="64">
        <f>'Loan Prepayment'!$B$6</f>
        <v>7.5</v>
      </c>
      <c r="D342">
        <f>IF(B342&lt;=0,0,MIN(-PMT('Loan Prepayment'!$B$6/1200,'Loan Prepayment'!$B$7*12,'Loan Prepayment'!$B$5),B342+E342))</f>
        <v>0</v>
      </c>
      <c r="E342">
        <f t="shared" si="105"/>
        <v>0</v>
      </c>
      <c r="F342">
        <f t="shared" si="106"/>
        <v>0</v>
      </c>
      <c r="G342">
        <v>0</v>
      </c>
      <c r="H342">
        <f t="shared" si="107"/>
        <v>0</v>
      </c>
      <c r="I342">
        <v>341</v>
      </c>
      <c r="J342">
        <f t="shared" si="122"/>
        <v>0</v>
      </c>
      <c r="K342" s="64">
        <f>'Loan Prepayment'!$B$6</f>
        <v>7.5</v>
      </c>
      <c r="L342">
        <f>IF(J342&lt;=0,0,MIN(IF(AND('Loan Prepayment'!$E$15="Reduce EMI",O341&gt;0),-PMT(K342/1200,MAX(1,'Loan Prepayment'!$B$7*12-I342+1),J342),L341),J342+M342))</f>
        <v>0</v>
      </c>
      <c r="M342">
        <f t="shared" si="108"/>
        <v>0</v>
      </c>
      <c r="N342">
        <f t="shared" si="109"/>
        <v>0</v>
      </c>
      <c r="O342">
        <f>IF(J342&lt;=0,0,MIN(MAX(0,J342-N342),SUMIFS('Loan Prepayment'!$B$12:$B$31,'Loan Prepayment'!$A$12:$A$31,I342)+0))</f>
        <v>0</v>
      </c>
      <c r="P342">
        <f t="shared" si="110"/>
        <v>0</v>
      </c>
      <c r="Q342">
        <v>341</v>
      </c>
      <c r="R342">
        <f t="shared" si="123"/>
        <v>0</v>
      </c>
      <c r="S342" s="64">
        <f>'Loan Prepayment'!$B$6</f>
        <v>7.5</v>
      </c>
      <c r="T342">
        <f>IF(R342&lt;=0,0,MIN(IF(AND('Loan Prepayment'!$E$15="Reduce EMI",W341&gt;0),-PMT(S342/1200,MAX(1,'Loan Prepayment'!$B$7*12-Q342+1),R342),T341),R342+U342))</f>
        <v>0</v>
      </c>
      <c r="U342">
        <f t="shared" si="111"/>
        <v>0</v>
      </c>
      <c r="V342">
        <f t="shared" si="112"/>
        <v>0</v>
      </c>
      <c r="W342">
        <f>IF(R342&lt;=0,0,MIN(MAX(0,R342-V342),0+IF(AND(Q342&gt;='Loan Prepayment'!$B$9,Q342&lt;='Loan Prepayment'!$E$16),'Loan Prepayment'!$B$8,0)))</f>
        <v>0</v>
      </c>
      <c r="X342">
        <f t="shared" si="113"/>
        <v>0</v>
      </c>
      <c r="Y342">
        <v>341</v>
      </c>
      <c r="Z342">
        <f t="shared" si="124"/>
        <v>0</v>
      </c>
      <c r="AA342">
        <f>IF(Y342&gt;='Loan Prepayment'!$E$11,'Loan Prepayment'!$E$12,'Loan Prepayment'!$B$6)</f>
        <v>6.5</v>
      </c>
      <c r="AB342">
        <f>IF(Z342&lt;=0,0,MIN(IF(Y342='Loan Prepayment'!$E$11,IF('Loan Prepayment'!$E$13="Keep tenure, recalculate EMI",-PMT(AA342/1200,MAX(1,'Loan Prepayment'!$B$7*12-Y342+1),Z342),AB341),AB341),Z342+AC342))</f>
        <v>0</v>
      </c>
      <c r="AC342">
        <f t="shared" si="114"/>
        <v>0</v>
      </c>
      <c r="AD342">
        <f t="shared" si="115"/>
        <v>0</v>
      </c>
      <c r="AE342">
        <f t="shared" si="116"/>
        <v>0</v>
      </c>
      <c r="AF342">
        <f t="shared" si="117"/>
        <v>0</v>
      </c>
      <c r="AG342">
        <v>341</v>
      </c>
      <c r="AH342">
        <f t="shared" si="125"/>
        <v>0</v>
      </c>
      <c r="AI342">
        <f>IF(AG342&gt;='Loan Prepayment'!$E$11,'Loan Prepayment'!$E$12,'Loan Prepayment'!$B$6)</f>
        <v>6.5</v>
      </c>
      <c r="AJ342">
        <f>IF(AH342&lt;=0,0,MIN(IF(AG342='Loan Prepayment'!$E$11,IF('Loan Prepayment'!$E$13="Keep tenure, recalculate EMI",-PMT(AI342/1200,MAX(1,'Loan Prepayment'!$B$7*12-AG342+1),AH342),IF(AND('Loan Prepayment'!$E$15="Reduce EMI",AM341&gt;0),-PMT(AI341/1200,MAX(1,'Loan Prepayment'!$B$7*12-AG342+1),AH342),AJ341)),IF(AND('Loan Prepayment'!$E$15="Reduce EMI",AM341&gt;0),-PMT(AI342/1200,MAX(1,'Loan Prepayment'!$B$7*12-AG342+1),AH342),AJ341)),AH342+AK342))</f>
        <v>0</v>
      </c>
      <c r="AK342">
        <f t="shared" si="118"/>
        <v>0</v>
      </c>
      <c r="AL342">
        <f t="shared" si="119"/>
        <v>0</v>
      </c>
      <c r="AM342">
        <f>IF(AH342&lt;=0,0,MIN(MAX(0,AH342-AL342),SUMIFS('Loan Prepayment'!$B$12:$B$31,'Loan Prepayment'!$A$12:$A$31,AG342)+IF(AND(AG342&gt;='Loan Prepayment'!$B$9,AG342&lt;='Loan Prepayment'!$E$16),'Loan Prepayment'!$B$8,0)))</f>
        <v>0</v>
      </c>
      <c r="AN342">
        <f t="shared" si="120"/>
        <v>0</v>
      </c>
    </row>
    <row r="343" spans="1:40" x14ac:dyDescent="0.35">
      <c r="A343">
        <v>342</v>
      </c>
      <c r="B343">
        <f t="shared" si="121"/>
        <v>0</v>
      </c>
      <c r="C343" s="64">
        <f>'Loan Prepayment'!$B$6</f>
        <v>7.5</v>
      </c>
      <c r="D343">
        <f>IF(B343&lt;=0,0,MIN(-PMT('Loan Prepayment'!$B$6/1200,'Loan Prepayment'!$B$7*12,'Loan Prepayment'!$B$5),B343+E343))</f>
        <v>0</v>
      </c>
      <c r="E343">
        <f t="shared" si="105"/>
        <v>0</v>
      </c>
      <c r="F343">
        <f t="shared" si="106"/>
        <v>0</v>
      </c>
      <c r="G343">
        <v>0</v>
      </c>
      <c r="H343">
        <f t="shared" si="107"/>
        <v>0</v>
      </c>
      <c r="I343">
        <v>342</v>
      </c>
      <c r="J343">
        <f t="shared" si="122"/>
        <v>0</v>
      </c>
      <c r="K343" s="64">
        <f>'Loan Prepayment'!$B$6</f>
        <v>7.5</v>
      </c>
      <c r="L343">
        <f>IF(J343&lt;=0,0,MIN(IF(AND('Loan Prepayment'!$E$15="Reduce EMI",O342&gt;0),-PMT(K343/1200,MAX(1,'Loan Prepayment'!$B$7*12-I343+1),J343),L342),J343+M343))</f>
        <v>0</v>
      </c>
      <c r="M343">
        <f t="shared" si="108"/>
        <v>0</v>
      </c>
      <c r="N343">
        <f t="shared" si="109"/>
        <v>0</v>
      </c>
      <c r="O343">
        <f>IF(J343&lt;=0,0,MIN(MAX(0,J343-N343),SUMIFS('Loan Prepayment'!$B$12:$B$31,'Loan Prepayment'!$A$12:$A$31,I343)+0))</f>
        <v>0</v>
      </c>
      <c r="P343">
        <f t="shared" si="110"/>
        <v>0</v>
      </c>
      <c r="Q343">
        <v>342</v>
      </c>
      <c r="R343">
        <f t="shared" si="123"/>
        <v>0</v>
      </c>
      <c r="S343" s="64">
        <f>'Loan Prepayment'!$B$6</f>
        <v>7.5</v>
      </c>
      <c r="T343">
        <f>IF(R343&lt;=0,0,MIN(IF(AND('Loan Prepayment'!$E$15="Reduce EMI",W342&gt;0),-PMT(S343/1200,MAX(1,'Loan Prepayment'!$B$7*12-Q343+1),R343),T342),R343+U343))</f>
        <v>0</v>
      </c>
      <c r="U343">
        <f t="shared" si="111"/>
        <v>0</v>
      </c>
      <c r="V343">
        <f t="shared" si="112"/>
        <v>0</v>
      </c>
      <c r="W343">
        <f>IF(R343&lt;=0,0,MIN(MAX(0,R343-V343),0+IF(AND(Q343&gt;='Loan Prepayment'!$B$9,Q343&lt;='Loan Prepayment'!$E$16),'Loan Prepayment'!$B$8,0)))</f>
        <v>0</v>
      </c>
      <c r="X343">
        <f t="shared" si="113"/>
        <v>0</v>
      </c>
      <c r="Y343">
        <v>342</v>
      </c>
      <c r="Z343">
        <f t="shared" si="124"/>
        <v>0</v>
      </c>
      <c r="AA343">
        <f>IF(Y343&gt;='Loan Prepayment'!$E$11,'Loan Prepayment'!$E$12,'Loan Prepayment'!$B$6)</f>
        <v>6.5</v>
      </c>
      <c r="AB343">
        <f>IF(Z343&lt;=0,0,MIN(IF(Y343='Loan Prepayment'!$E$11,IF('Loan Prepayment'!$E$13="Keep tenure, recalculate EMI",-PMT(AA343/1200,MAX(1,'Loan Prepayment'!$B$7*12-Y343+1),Z343),AB342),AB342),Z343+AC343))</f>
        <v>0</v>
      </c>
      <c r="AC343">
        <f t="shared" si="114"/>
        <v>0</v>
      </c>
      <c r="AD343">
        <f t="shared" si="115"/>
        <v>0</v>
      </c>
      <c r="AE343">
        <f t="shared" si="116"/>
        <v>0</v>
      </c>
      <c r="AF343">
        <f t="shared" si="117"/>
        <v>0</v>
      </c>
      <c r="AG343">
        <v>342</v>
      </c>
      <c r="AH343">
        <f t="shared" si="125"/>
        <v>0</v>
      </c>
      <c r="AI343">
        <f>IF(AG343&gt;='Loan Prepayment'!$E$11,'Loan Prepayment'!$E$12,'Loan Prepayment'!$B$6)</f>
        <v>6.5</v>
      </c>
      <c r="AJ343">
        <f>IF(AH343&lt;=0,0,MIN(IF(AG343='Loan Prepayment'!$E$11,IF('Loan Prepayment'!$E$13="Keep tenure, recalculate EMI",-PMT(AI343/1200,MAX(1,'Loan Prepayment'!$B$7*12-AG343+1),AH343),IF(AND('Loan Prepayment'!$E$15="Reduce EMI",AM342&gt;0),-PMT(AI342/1200,MAX(1,'Loan Prepayment'!$B$7*12-AG343+1),AH343),AJ342)),IF(AND('Loan Prepayment'!$E$15="Reduce EMI",AM342&gt;0),-PMT(AI343/1200,MAX(1,'Loan Prepayment'!$B$7*12-AG343+1),AH343),AJ342)),AH343+AK343))</f>
        <v>0</v>
      </c>
      <c r="AK343">
        <f t="shared" si="118"/>
        <v>0</v>
      </c>
      <c r="AL343">
        <f t="shared" si="119"/>
        <v>0</v>
      </c>
      <c r="AM343">
        <f>IF(AH343&lt;=0,0,MIN(MAX(0,AH343-AL343),SUMIFS('Loan Prepayment'!$B$12:$B$31,'Loan Prepayment'!$A$12:$A$31,AG343)+IF(AND(AG343&gt;='Loan Prepayment'!$B$9,AG343&lt;='Loan Prepayment'!$E$16),'Loan Prepayment'!$B$8,0)))</f>
        <v>0</v>
      </c>
      <c r="AN343">
        <f t="shared" si="120"/>
        <v>0</v>
      </c>
    </row>
    <row r="344" spans="1:40" x14ac:dyDescent="0.35">
      <c r="A344">
        <v>343</v>
      </c>
      <c r="B344">
        <f t="shared" si="121"/>
        <v>0</v>
      </c>
      <c r="C344" s="64">
        <f>'Loan Prepayment'!$B$6</f>
        <v>7.5</v>
      </c>
      <c r="D344">
        <f>IF(B344&lt;=0,0,MIN(-PMT('Loan Prepayment'!$B$6/1200,'Loan Prepayment'!$B$7*12,'Loan Prepayment'!$B$5),B344+E344))</f>
        <v>0</v>
      </c>
      <c r="E344">
        <f t="shared" si="105"/>
        <v>0</v>
      </c>
      <c r="F344">
        <f t="shared" si="106"/>
        <v>0</v>
      </c>
      <c r="G344">
        <v>0</v>
      </c>
      <c r="H344">
        <f t="shared" si="107"/>
        <v>0</v>
      </c>
      <c r="I344">
        <v>343</v>
      </c>
      <c r="J344">
        <f t="shared" si="122"/>
        <v>0</v>
      </c>
      <c r="K344" s="64">
        <f>'Loan Prepayment'!$B$6</f>
        <v>7.5</v>
      </c>
      <c r="L344">
        <f>IF(J344&lt;=0,0,MIN(IF(AND('Loan Prepayment'!$E$15="Reduce EMI",O343&gt;0),-PMT(K344/1200,MAX(1,'Loan Prepayment'!$B$7*12-I344+1),J344),L343),J344+M344))</f>
        <v>0</v>
      </c>
      <c r="M344">
        <f t="shared" si="108"/>
        <v>0</v>
      </c>
      <c r="N344">
        <f t="shared" si="109"/>
        <v>0</v>
      </c>
      <c r="O344">
        <f>IF(J344&lt;=0,0,MIN(MAX(0,J344-N344),SUMIFS('Loan Prepayment'!$B$12:$B$31,'Loan Prepayment'!$A$12:$A$31,I344)+0))</f>
        <v>0</v>
      </c>
      <c r="P344">
        <f t="shared" si="110"/>
        <v>0</v>
      </c>
      <c r="Q344">
        <v>343</v>
      </c>
      <c r="R344">
        <f t="shared" si="123"/>
        <v>0</v>
      </c>
      <c r="S344" s="64">
        <f>'Loan Prepayment'!$B$6</f>
        <v>7.5</v>
      </c>
      <c r="T344">
        <f>IF(R344&lt;=0,0,MIN(IF(AND('Loan Prepayment'!$E$15="Reduce EMI",W343&gt;0),-PMT(S344/1200,MAX(1,'Loan Prepayment'!$B$7*12-Q344+1),R344),T343),R344+U344))</f>
        <v>0</v>
      </c>
      <c r="U344">
        <f t="shared" si="111"/>
        <v>0</v>
      </c>
      <c r="V344">
        <f t="shared" si="112"/>
        <v>0</v>
      </c>
      <c r="W344">
        <f>IF(R344&lt;=0,0,MIN(MAX(0,R344-V344),0+IF(AND(Q344&gt;='Loan Prepayment'!$B$9,Q344&lt;='Loan Prepayment'!$E$16),'Loan Prepayment'!$B$8,0)))</f>
        <v>0</v>
      </c>
      <c r="X344">
        <f t="shared" si="113"/>
        <v>0</v>
      </c>
      <c r="Y344">
        <v>343</v>
      </c>
      <c r="Z344">
        <f t="shared" si="124"/>
        <v>0</v>
      </c>
      <c r="AA344">
        <f>IF(Y344&gt;='Loan Prepayment'!$E$11,'Loan Prepayment'!$E$12,'Loan Prepayment'!$B$6)</f>
        <v>6.5</v>
      </c>
      <c r="AB344">
        <f>IF(Z344&lt;=0,0,MIN(IF(Y344='Loan Prepayment'!$E$11,IF('Loan Prepayment'!$E$13="Keep tenure, recalculate EMI",-PMT(AA344/1200,MAX(1,'Loan Prepayment'!$B$7*12-Y344+1),Z344),AB343),AB343),Z344+AC344))</f>
        <v>0</v>
      </c>
      <c r="AC344">
        <f t="shared" si="114"/>
        <v>0</v>
      </c>
      <c r="AD344">
        <f t="shared" si="115"/>
        <v>0</v>
      </c>
      <c r="AE344">
        <f t="shared" si="116"/>
        <v>0</v>
      </c>
      <c r="AF344">
        <f t="shared" si="117"/>
        <v>0</v>
      </c>
      <c r="AG344">
        <v>343</v>
      </c>
      <c r="AH344">
        <f t="shared" si="125"/>
        <v>0</v>
      </c>
      <c r="AI344">
        <f>IF(AG344&gt;='Loan Prepayment'!$E$11,'Loan Prepayment'!$E$12,'Loan Prepayment'!$B$6)</f>
        <v>6.5</v>
      </c>
      <c r="AJ344">
        <f>IF(AH344&lt;=0,0,MIN(IF(AG344='Loan Prepayment'!$E$11,IF('Loan Prepayment'!$E$13="Keep tenure, recalculate EMI",-PMT(AI344/1200,MAX(1,'Loan Prepayment'!$B$7*12-AG344+1),AH344),IF(AND('Loan Prepayment'!$E$15="Reduce EMI",AM343&gt;0),-PMT(AI343/1200,MAX(1,'Loan Prepayment'!$B$7*12-AG344+1),AH344),AJ343)),IF(AND('Loan Prepayment'!$E$15="Reduce EMI",AM343&gt;0),-PMT(AI344/1200,MAX(1,'Loan Prepayment'!$B$7*12-AG344+1),AH344),AJ343)),AH344+AK344))</f>
        <v>0</v>
      </c>
      <c r="AK344">
        <f t="shared" si="118"/>
        <v>0</v>
      </c>
      <c r="AL344">
        <f t="shared" si="119"/>
        <v>0</v>
      </c>
      <c r="AM344">
        <f>IF(AH344&lt;=0,0,MIN(MAX(0,AH344-AL344),SUMIFS('Loan Prepayment'!$B$12:$B$31,'Loan Prepayment'!$A$12:$A$31,AG344)+IF(AND(AG344&gt;='Loan Prepayment'!$B$9,AG344&lt;='Loan Prepayment'!$E$16),'Loan Prepayment'!$B$8,0)))</f>
        <v>0</v>
      </c>
      <c r="AN344">
        <f t="shared" si="120"/>
        <v>0</v>
      </c>
    </row>
    <row r="345" spans="1:40" x14ac:dyDescent="0.35">
      <c r="A345">
        <v>344</v>
      </c>
      <c r="B345">
        <f t="shared" si="121"/>
        <v>0</v>
      </c>
      <c r="C345" s="64">
        <f>'Loan Prepayment'!$B$6</f>
        <v>7.5</v>
      </c>
      <c r="D345">
        <f>IF(B345&lt;=0,0,MIN(-PMT('Loan Prepayment'!$B$6/1200,'Loan Prepayment'!$B$7*12,'Loan Prepayment'!$B$5),B345+E345))</f>
        <v>0</v>
      </c>
      <c r="E345">
        <f t="shared" si="105"/>
        <v>0</v>
      </c>
      <c r="F345">
        <f t="shared" si="106"/>
        <v>0</v>
      </c>
      <c r="G345">
        <v>0</v>
      </c>
      <c r="H345">
        <f t="shared" si="107"/>
        <v>0</v>
      </c>
      <c r="I345">
        <v>344</v>
      </c>
      <c r="J345">
        <f t="shared" si="122"/>
        <v>0</v>
      </c>
      <c r="K345" s="64">
        <f>'Loan Prepayment'!$B$6</f>
        <v>7.5</v>
      </c>
      <c r="L345">
        <f>IF(J345&lt;=0,0,MIN(IF(AND('Loan Prepayment'!$E$15="Reduce EMI",O344&gt;0),-PMT(K345/1200,MAX(1,'Loan Prepayment'!$B$7*12-I345+1),J345),L344),J345+M345))</f>
        <v>0</v>
      </c>
      <c r="M345">
        <f t="shared" si="108"/>
        <v>0</v>
      </c>
      <c r="N345">
        <f t="shared" si="109"/>
        <v>0</v>
      </c>
      <c r="O345">
        <f>IF(J345&lt;=0,0,MIN(MAX(0,J345-N345),SUMIFS('Loan Prepayment'!$B$12:$B$31,'Loan Prepayment'!$A$12:$A$31,I345)+0))</f>
        <v>0</v>
      </c>
      <c r="P345">
        <f t="shared" si="110"/>
        <v>0</v>
      </c>
      <c r="Q345">
        <v>344</v>
      </c>
      <c r="R345">
        <f t="shared" si="123"/>
        <v>0</v>
      </c>
      <c r="S345" s="64">
        <f>'Loan Prepayment'!$B$6</f>
        <v>7.5</v>
      </c>
      <c r="T345">
        <f>IF(R345&lt;=0,0,MIN(IF(AND('Loan Prepayment'!$E$15="Reduce EMI",W344&gt;0),-PMT(S345/1200,MAX(1,'Loan Prepayment'!$B$7*12-Q345+1),R345),T344),R345+U345))</f>
        <v>0</v>
      </c>
      <c r="U345">
        <f t="shared" si="111"/>
        <v>0</v>
      </c>
      <c r="V345">
        <f t="shared" si="112"/>
        <v>0</v>
      </c>
      <c r="W345">
        <f>IF(R345&lt;=0,0,MIN(MAX(0,R345-V345),0+IF(AND(Q345&gt;='Loan Prepayment'!$B$9,Q345&lt;='Loan Prepayment'!$E$16),'Loan Prepayment'!$B$8,0)))</f>
        <v>0</v>
      </c>
      <c r="X345">
        <f t="shared" si="113"/>
        <v>0</v>
      </c>
      <c r="Y345">
        <v>344</v>
      </c>
      <c r="Z345">
        <f t="shared" si="124"/>
        <v>0</v>
      </c>
      <c r="AA345">
        <f>IF(Y345&gt;='Loan Prepayment'!$E$11,'Loan Prepayment'!$E$12,'Loan Prepayment'!$B$6)</f>
        <v>6.5</v>
      </c>
      <c r="AB345">
        <f>IF(Z345&lt;=0,0,MIN(IF(Y345='Loan Prepayment'!$E$11,IF('Loan Prepayment'!$E$13="Keep tenure, recalculate EMI",-PMT(AA345/1200,MAX(1,'Loan Prepayment'!$B$7*12-Y345+1),Z345),AB344),AB344),Z345+AC345))</f>
        <v>0</v>
      </c>
      <c r="AC345">
        <f t="shared" si="114"/>
        <v>0</v>
      </c>
      <c r="AD345">
        <f t="shared" si="115"/>
        <v>0</v>
      </c>
      <c r="AE345">
        <f t="shared" si="116"/>
        <v>0</v>
      </c>
      <c r="AF345">
        <f t="shared" si="117"/>
        <v>0</v>
      </c>
      <c r="AG345">
        <v>344</v>
      </c>
      <c r="AH345">
        <f t="shared" si="125"/>
        <v>0</v>
      </c>
      <c r="AI345">
        <f>IF(AG345&gt;='Loan Prepayment'!$E$11,'Loan Prepayment'!$E$12,'Loan Prepayment'!$B$6)</f>
        <v>6.5</v>
      </c>
      <c r="AJ345">
        <f>IF(AH345&lt;=0,0,MIN(IF(AG345='Loan Prepayment'!$E$11,IF('Loan Prepayment'!$E$13="Keep tenure, recalculate EMI",-PMT(AI345/1200,MAX(1,'Loan Prepayment'!$B$7*12-AG345+1),AH345),IF(AND('Loan Prepayment'!$E$15="Reduce EMI",AM344&gt;0),-PMT(AI344/1200,MAX(1,'Loan Prepayment'!$B$7*12-AG345+1),AH345),AJ344)),IF(AND('Loan Prepayment'!$E$15="Reduce EMI",AM344&gt;0),-PMT(AI345/1200,MAX(1,'Loan Prepayment'!$B$7*12-AG345+1),AH345),AJ344)),AH345+AK345))</f>
        <v>0</v>
      </c>
      <c r="AK345">
        <f t="shared" si="118"/>
        <v>0</v>
      </c>
      <c r="AL345">
        <f t="shared" si="119"/>
        <v>0</v>
      </c>
      <c r="AM345">
        <f>IF(AH345&lt;=0,0,MIN(MAX(0,AH345-AL345),SUMIFS('Loan Prepayment'!$B$12:$B$31,'Loan Prepayment'!$A$12:$A$31,AG345)+IF(AND(AG345&gt;='Loan Prepayment'!$B$9,AG345&lt;='Loan Prepayment'!$E$16),'Loan Prepayment'!$B$8,0)))</f>
        <v>0</v>
      </c>
      <c r="AN345">
        <f t="shared" si="120"/>
        <v>0</v>
      </c>
    </row>
    <row r="346" spans="1:40" x14ac:dyDescent="0.35">
      <c r="A346">
        <v>345</v>
      </c>
      <c r="B346">
        <f t="shared" si="121"/>
        <v>0</v>
      </c>
      <c r="C346" s="64">
        <f>'Loan Prepayment'!$B$6</f>
        <v>7.5</v>
      </c>
      <c r="D346">
        <f>IF(B346&lt;=0,0,MIN(-PMT('Loan Prepayment'!$B$6/1200,'Loan Prepayment'!$B$7*12,'Loan Prepayment'!$B$5),B346+E346))</f>
        <v>0</v>
      </c>
      <c r="E346">
        <f t="shared" si="105"/>
        <v>0</v>
      </c>
      <c r="F346">
        <f t="shared" si="106"/>
        <v>0</v>
      </c>
      <c r="G346">
        <v>0</v>
      </c>
      <c r="H346">
        <f t="shared" si="107"/>
        <v>0</v>
      </c>
      <c r="I346">
        <v>345</v>
      </c>
      <c r="J346">
        <f t="shared" si="122"/>
        <v>0</v>
      </c>
      <c r="K346" s="64">
        <f>'Loan Prepayment'!$B$6</f>
        <v>7.5</v>
      </c>
      <c r="L346">
        <f>IF(J346&lt;=0,0,MIN(IF(AND('Loan Prepayment'!$E$15="Reduce EMI",O345&gt;0),-PMT(K346/1200,MAX(1,'Loan Prepayment'!$B$7*12-I346+1),J346),L345),J346+M346))</f>
        <v>0</v>
      </c>
      <c r="M346">
        <f t="shared" si="108"/>
        <v>0</v>
      </c>
      <c r="N346">
        <f t="shared" si="109"/>
        <v>0</v>
      </c>
      <c r="O346">
        <f>IF(J346&lt;=0,0,MIN(MAX(0,J346-N346),SUMIFS('Loan Prepayment'!$B$12:$B$31,'Loan Prepayment'!$A$12:$A$31,I346)+0))</f>
        <v>0</v>
      </c>
      <c r="P346">
        <f t="shared" si="110"/>
        <v>0</v>
      </c>
      <c r="Q346">
        <v>345</v>
      </c>
      <c r="R346">
        <f t="shared" si="123"/>
        <v>0</v>
      </c>
      <c r="S346" s="64">
        <f>'Loan Prepayment'!$B$6</f>
        <v>7.5</v>
      </c>
      <c r="T346">
        <f>IF(R346&lt;=0,0,MIN(IF(AND('Loan Prepayment'!$E$15="Reduce EMI",W345&gt;0),-PMT(S346/1200,MAX(1,'Loan Prepayment'!$B$7*12-Q346+1),R346),T345),R346+U346))</f>
        <v>0</v>
      </c>
      <c r="U346">
        <f t="shared" si="111"/>
        <v>0</v>
      </c>
      <c r="V346">
        <f t="shared" si="112"/>
        <v>0</v>
      </c>
      <c r="W346">
        <f>IF(R346&lt;=0,0,MIN(MAX(0,R346-V346),0+IF(AND(Q346&gt;='Loan Prepayment'!$B$9,Q346&lt;='Loan Prepayment'!$E$16),'Loan Prepayment'!$B$8,0)))</f>
        <v>0</v>
      </c>
      <c r="X346">
        <f t="shared" si="113"/>
        <v>0</v>
      </c>
      <c r="Y346">
        <v>345</v>
      </c>
      <c r="Z346">
        <f t="shared" si="124"/>
        <v>0</v>
      </c>
      <c r="AA346">
        <f>IF(Y346&gt;='Loan Prepayment'!$E$11,'Loan Prepayment'!$E$12,'Loan Prepayment'!$B$6)</f>
        <v>6.5</v>
      </c>
      <c r="AB346">
        <f>IF(Z346&lt;=0,0,MIN(IF(Y346='Loan Prepayment'!$E$11,IF('Loan Prepayment'!$E$13="Keep tenure, recalculate EMI",-PMT(AA346/1200,MAX(1,'Loan Prepayment'!$B$7*12-Y346+1),Z346),AB345),AB345),Z346+AC346))</f>
        <v>0</v>
      </c>
      <c r="AC346">
        <f t="shared" si="114"/>
        <v>0</v>
      </c>
      <c r="AD346">
        <f t="shared" si="115"/>
        <v>0</v>
      </c>
      <c r="AE346">
        <f t="shared" si="116"/>
        <v>0</v>
      </c>
      <c r="AF346">
        <f t="shared" si="117"/>
        <v>0</v>
      </c>
      <c r="AG346">
        <v>345</v>
      </c>
      <c r="AH346">
        <f t="shared" si="125"/>
        <v>0</v>
      </c>
      <c r="AI346">
        <f>IF(AG346&gt;='Loan Prepayment'!$E$11,'Loan Prepayment'!$E$12,'Loan Prepayment'!$B$6)</f>
        <v>6.5</v>
      </c>
      <c r="AJ346">
        <f>IF(AH346&lt;=0,0,MIN(IF(AG346='Loan Prepayment'!$E$11,IF('Loan Prepayment'!$E$13="Keep tenure, recalculate EMI",-PMT(AI346/1200,MAX(1,'Loan Prepayment'!$B$7*12-AG346+1),AH346),IF(AND('Loan Prepayment'!$E$15="Reduce EMI",AM345&gt;0),-PMT(AI345/1200,MAX(1,'Loan Prepayment'!$B$7*12-AG346+1),AH346),AJ345)),IF(AND('Loan Prepayment'!$E$15="Reduce EMI",AM345&gt;0),-PMT(AI346/1200,MAX(1,'Loan Prepayment'!$B$7*12-AG346+1),AH346),AJ345)),AH346+AK346))</f>
        <v>0</v>
      </c>
      <c r="AK346">
        <f t="shared" si="118"/>
        <v>0</v>
      </c>
      <c r="AL346">
        <f t="shared" si="119"/>
        <v>0</v>
      </c>
      <c r="AM346">
        <f>IF(AH346&lt;=0,0,MIN(MAX(0,AH346-AL346),SUMIFS('Loan Prepayment'!$B$12:$B$31,'Loan Prepayment'!$A$12:$A$31,AG346)+IF(AND(AG346&gt;='Loan Prepayment'!$B$9,AG346&lt;='Loan Prepayment'!$E$16),'Loan Prepayment'!$B$8,0)))</f>
        <v>0</v>
      </c>
      <c r="AN346">
        <f t="shared" si="120"/>
        <v>0</v>
      </c>
    </row>
    <row r="347" spans="1:40" x14ac:dyDescent="0.35">
      <c r="A347">
        <v>346</v>
      </c>
      <c r="B347">
        <f t="shared" si="121"/>
        <v>0</v>
      </c>
      <c r="C347" s="64">
        <f>'Loan Prepayment'!$B$6</f>
        <v>7.5</v>
      </c>
      <c r="D347">
        <f>IF(B347&lt;=0,0,MIN(-PMT('Loan Prepayment'!$B$6/1200,'Loan Prepayment'!$B$7*12,'Loan Prepayment'!$B$5),B347+E347))</f>
        <v>0</v>
      </c>
      <c r="E347">
        <f t="shared" si="105"/>
        <v>0</v>
      </c>
      <c r="F347">
        <f t="shared" si="106"/>
        <v>0</v>
      </c>
      <c r="G347">
        <v>0</v>
      </c>
      <c r="H347">
        <f t="shared" si="107"/>
        <v>0</v>
      </c>
      <c r="I347">
        <v>346</v>
      </c>
      <c r="J347">
        <f t="shared" si="122"/>
        <v>0</v>
      </c>
      <c r="K347" s="64">
        <f>'Loan Prepayment'!$B$6</f>
        <v>7.5</v>
      </c>
      <c r="L347">
        <f>IF(J347&lt;=0,0,MIN(IF(AND('Loan Prepayment'!$E$15="Reduce EMI",O346&gt;0),-PMT(K347/1200,MAX(1,'Loan Prepayment'!$B$7*12-I347+1),J347),L346),J347+M347))</f>
        <v>0</v>
      </c>
      <c r="M347">
        <f t="shared" si="108"/>
        <v>0</v>
      </c>
      <c r="N347">
        <f t="shared" si="109"/>
        <v>0</v>
      </c>
      <c r="O347">
        <f>IF(J347&lt;=0,0,MIN(MAX(0,J347-N347),SUMIFS('Loan Prepayment'!$B$12:$B$31,'Loan Prepayment'!$A$12:$A$31,I347)+0))</f>
        <v>0</v>
      </c>
      <c r="P347">
        <f t="shared" si="110"/>
        <v>0</v>
      </c>
      <c r="Q347">
        <v>346</v>
      </c>
      <c r="R347">
        <f t="shared" si="123"/>
        <v>0</v>
      </c>
      <c r="S347" s="64">
        <f>'Loan Prepayment'!$B$6</f>
        <v>7.5</v>
      </c>
      <c r="T347">
        <f>IF(R347&lt;=0,0,MIN(IF(AND('Loan Prepayment'!$E$15="Reduce EMI",W346&gt;0),-PMT(S347/1200,MAX(1,'Loan Prepayment'!$B$7*12-Q347+1),R347),T346),R347+U347))</f>
        <v>0</v>
      </c>
      <c r="U347">
        <f t="shared" si="111"/>
        <v>0</v>
      </c>
      <c r="V347">
        <f t="shared" si="112"/>
        <v>0</v>
      </c>
      <c r="W347">
        <f>IF(R347&lt;=0,0,MIN(MAX(0,R347-V347),0+IF(AND(Q347&gt;='Loan Prepayment'!$B$9,Q347&lt;='Loan Prepayment'!$E$16),'Loan Prepayment'!$B$8,0)))</f>
        <v>0</v>
      </c>
      <c r="X347">
        <f t="shared" si="113"/>
        <v>0</v>
      </c>
      <c r="Y347">
        <v>346</v>
      </c>
      <c r="Z347">
        <f t="shared" si="124"/>
        <v>0</v>
      </c>
      <c r="AA347">
        <f>IF(Y347&gt;='Loan Prepayment'!$E$11,'Loan Prepayment'!$E$12,'Loan Prepayment'!$B$6)</f>
        <v>6.5</v>
      </c>
      <c r="AB347">
        <f>IF(Z347&lt;=0,0,MIN(IF(Y347='Loan Prepayment'!$E$11,IF('Loan Prepayment'!$E$13="Keep tenure, recalculate EMI",-PMT(AA347/1200,MAX(1,'Loan Prepayment'!$B$7*12-Y347+1),Z347),AB346),AB346),Z347+AC347))</f>
        <v>0</v>
      </c>
      <c r="AC347">
        <f t="shared" si="114"/>
        <v>0</v>
      </c>
      <c r="AD347">
        <f t="shared" si="115"/>
        <v>0</v>
      </c>
      <c r="AE347">
        <f t="shared" si="116"/>
        <v>0</v>
      </c>
      <c r="AF347">
        <f t="shared" si="117"/>
        <v>0</v>
      </c>
      <c r="AG347">
        <v>346</v>
      </c>
      <c r="AH347">
        <f t="shared" si="125"/>
        <v>0</v>
      </c>
      <c r="AI347">
        <f>IF(AG347&gt;='Loan Prepayment'!$E$11,'Loan Prepayment'!$E$12,'Loan Prepayment'!$B$6)</f>
        <v>6.5</v>
      </c>
      <c r="AJ347">
        <f>IF(AH347&lt;=0,0,MIN(IF(AG347='Loan Prepayment'!$E$11,IF('Loan Prepayment'!$E$13="Keep tenure, recalculate EMI",-PMT(AI347/1200,MAX(1,'Loan Prepayment'!$B$7*12-AG347+1),AH347),IF(AND('Loan Prepayment'!$E$15="Reduce EMI",AM346&gt;0),-PMT(AI346/1200,MAX(1,'Loan Prepayment'!$B$7*12-AG347+1),AH347),AJ346)),IF(AND('Loan Prepayment'!$E$15="Reduce EMI",AM346&gt;0),-PMT(AI347/1200,MAX(1,'Loan Prepayment'!$B$7*12-AG347+1),AH347),AJ346)),AH347+AK347))</f>
        <v>0</v>
      </c>
      <c r="AK347">
        <f t="shared" si="118"/>
        <v>0</v>
      </c>
      <c r="AL347">
        <f t="shared" si="119"/>
        <v>0</v>
      </c>
      <c r="AM347">
        <f>IF(AH347&lt;=0,0,MIN(MAX(0,AH347-AL347),SUMIFS('Loan Prepayment'!$B$12:$B$31,'Loan Prepayment'!$A$12:$A$31,AG347)+IF(AND(AG347&gt;='Loan Prepayment'!$B$9,AG347&lt;='Loan Prepayment'!$E$16),'Loan Prepayment'!$B$8,0)))</f>
        <v>0</v>
      </c>
      <c r="AN347">
        <f t="shared" si="120"/>
        <v>0</v>
      </c>
    </row>
    <row r="348" spans="1:40" x14ac:dyDescent="0.35">
      <c r="A348">
        <v>347</v>
      </c>
      <c r="B348">
        <f t="shared" si="121"/>
        <v>0</v>
      </c>
      <c r="C348" s="64">
        <f>'Loan Prepayment'!$B$6</f>
        <v>7.5</v>
      </c>
      <c r="D348">
        <f>IF(B348&lt;=0,0,MIN(-PMT('Loan Prepayment'!$B$6/1200,'Loan Prepayment'!$B$7*12,'Loan Prepayment'!$B$5),B348+E348))</f>
        <v>0</v>
      </c>
      <c r="E348">
        <f t="shared" si="105"/>
        <v>0</v>
      </c>
      <c r="F348">
        <f t="shared" si="106"/>
        <v>0</v>
      </c>
      <c r="G348">
        <v>0</v>
      </c>
      <c r="H348">
        <f t="shared" si="107"/>
        <v>0</v>
      </c>
      <c r="I348">
        <v>347</v>
      </c>
      <c r="J348">
        <f t="shared" si="122"/>
        <v>0</v>
      </c>
      <c r="K348" s="64">
        <f>'Loan Prepayment'!$B$6</f>
        <v>7.5</v>
      </c>
      <c r="L348">
        <f>IF(J348&lt;=0,0,MIN(IF(AND('Loan Prepayment'!$E$15="Reduce EMI",O347&gt;0),-PMT(K348/1200,MAX(1,'Loan Prepayment'!$B$7*12-I348+1),J348),L347),J348+M348))</f>
        <v>0</v>
      </c>
      <c r="M348">
        <f t="shared" si="108"/>
        <v>0</v>
      </c>
      <c r="N348">
        <f t="shared" si="109"/>
        <v>0</v>
      </c>
      <c r="O348">
        <f>IF(J348&lt;=0,0,MIN(MAX(0,J348-N348),SUMIFS('Loan Prepayment'!$B$12:$B$31,'Loan Prepayment'!$A$12:$A$31,I348)+0))</f>
        <v>0</v>
      </c>
      <c r="P348">
        <f t="shared" si="110"/>
        <v>0</v>
      </c>
      <c r="Q348">
        <v>347</v>
      </c>
      <c r="R348">
        <f t="shared" si="123"/>
        <v>0</v>
      </c>
      <c r="S348" s="64">
        <f>'Loan Prepayment'!$B$6</f>
        <v>7.5</v>
      </c>
      <c r="T348">
        <f>IF(R348&lt;=0,0,MIN(IF(AND('Loan Prepayment'!$E$15="Reduce EMI",W347&gt;0),-PMT(S348/1200,MAX(1,'Loan Prepayment'!$B$7*12-Q348+1),R348),T347),R348+U348))</f>
        <v>0</v>
      </c>
      <c r="U348">
        <f t="shared" si="111"/>
        <v>0</v>
      </c>
      <c r="V348">
        <f t="shared" si="112"/>
        <v>0</v>
      </c>
      <c r="W348">
        <f>IF(R348&lt;=0,0,MIN(MAX(0,R348-V348),0+IF(AND(Q348&gt;='Loan Prepayment'!$B$9,Q348&lt;='Loan Prepayment'!$E$16),'Loan Prepayment'!$B$8,0)))</f>
        <v>0</v>
      </c>
      <c r="X348">
        <f t="shared" si="113"/>
        <v>0</v>
      </c>
      <c r="Y348">
        <v>347</v>
      </c>
      <c r="Z348">
        <f t="shared" si="124"/>
        <v>0</v>
      </c>
      <c r="AA348">
        <f>IF(Y348&gt;='Loan Prepayment'!$E$11,'Loan Prepayment'!$E$12,'Loan Prepayment'!$B$6)</f>
        <v>6.5</v>
      </c>
      <c r="AB348">
        <f>IF(Z348&lt;=0,0,MIN(IF(Y348='Loan Prepayment'!$E$11,IF('Loan Prepayment'!$E$13="Keep tenure, recalculate EMI",-PMT(AA348/1200,MAX(1,'Loan Prepayment'!$B$7*12-Y348+1),Z348),AB347),AB347),Z348+AC348))</f>
        <v>0</v>
      </c>
      <c r="AC348">
        <f t="shared" si="114"/>
        <v>0</v>
      </c>
      <c r="AD348">
        <f t="shared" si="115"/>
        <v>0</v>
      </c>
      <c r="AE348">
        <f t="shared" si="116"/>
        <v>0</v>
      </c>
      <c r="AF348">
        <f t="shared" si="117"/>
        <v>0</v>
      </c>
      <c r="AG348">
        <v>347</v>
      </c>
      <c r="AH348">
        <f t="shared" si="125"/>
        <v>0</v>
      </c>
      <c r="AI348">
        <f>IF(AG348&gt;='Loan Prepayment'!$E$11,'Loan Prepayment'!$E$12,'Loan Prepayment'!$B$6)</f>
        <v>6.5</v>
      </c>
      <c r="AJ348">
        <f>IF(AH348&lt;=0,0,MIN(IF(AG348='Loan Prepayment'!$E$11,IF('Loan Prepayment'!$E$13="Keep tenure, recalculate EMI",-PMT(AI348/1200,MAX(1,'Loan Prepayment'!$B$7*12-AG348+1),AH348),IF(AND('Loan Prepayment'!$E$15="Reduce EMI",AM347&gt;0),-PMT(AI347/1200,MAX(1,'Loan Prepayment'!$B$7*12-AG348+1),AH348),AJ347)),IF(AND('Loan Prepayment'!$E$15="Reduce EMI",AM347&gt;0),-PMT(AI348/1200,MAX(1,'Loan Prepayment'!$B$7*12-AG348+1),AH348),AJ347)),AH348+AK348))</f>
        <v>0</v>
      </c>
      <c r="AK348">
        <f t="shared" si="118"/>
        <v>0</v>
      </c>
      <c r="AL348">
        <f t="shared" si="119"/>
        <v>0</v>
      </c>
      <c r="AM348">
        <f>IF(AH348&lt;=0,0,MIN(MAX(0,AH348-AL348),SUMIFS('Loan Prepayment'!$B$12:$B$31,'Loan Prepayment'!$A$12:$A$31,AG348)+IF(AND(AG348&gt;='Loan Prepayment'!$B$9,AG348&lt;='Loan Prepayment'!$E$16),'Loan Prepayment'!$B$8,0)))</f>
        <v>0</v>
      </c>
      <c r="AN348">
        <f t="shared" si="120"/>
        <v>0</v>
      </c>
    </row>
    <row r="349" spans="1:40" x14ac:dyDescent="0.35">
      <c r="A349">
        <v>348</v>
      </c>
      <c r="B349">
        <f t="shared" si="121"/>
        <v>0</v>
      </c>
      <c r="C349" s="64">
        <f>'Loan Prepayment'!$B$6</f>
        <v>7.5</v>
      </c>
      <c r="D349">
        <f>IF(B349&lt;=0,0,MIN(-PMT('Loan Prepayment'!$B$6/1200,'Loan Prepayment'!$B$7*12,'Loan Prepayment'!$B$5),B349+E349))</f>
        <v>0</v>
      </c>
      <c r="E349">
        <f t="shared" si="105"/>
        <v>0</v>
      </c>
      <c r="F349">
        <f t="shared" si="106"/>
        <v>0</v>
      </c>
      <c r="G349">
        <v>0</v>
      </c>
      <c r="H349">
        <f t="shared" si="107"/>
        <v>0</v>
      </c>
      <c r="I349">
        <v>348</v>
      </c>
      <c r="J349">
        <f t="shared" si="122"/>
        <v>0</v>
      </c>
      <c r="K349" s="64">
        <f>'Loan Prepayment'!$B$6</f>
        <v>7.5</v>
      </c>
      <c r="L349">
        <f>IF(J349&lt;=0,0,MIN(IF(AND('Loan Prepayment'!$E$15="Reduce EMI",O348&gt;0),-PMT(K349/1200,MAX(1,'Loan Prepayment'!$B$7*12-I349+1),J349),L348),J349+M349))</f>
        <v>0</v>
      </c>
      <c r="M349">
        <f t="shared" si="108"/>
        <v>0</v>
      </c>
      <c r="N349">
        <f t="shared" si="109"/>
        <v>0</v>
      </c>
      <c r="O349">
        <f>IF(J349&lt;=0,0,MIN(MAX(0,J349-N349),SUMIFS('Loan Prepayment'!$B$12:$B$31,'Loan Prepayment'!$A$12:$A$31,I349)+0))</f>
        <v>0</v>
      </c>
      <c r="P349">
        <f t="shared" si="110"/>
        <v>0</v>
      </c>
      <c r="Q349">
        <v>348</v>
      </c>
      <c r="R349">
        <f t="shared" si="123"/>
        <v>0</v>
      </c>
      <c r="S349" s="64">
        <f>'Loan Prepayment'!$B$6</f>
        <v>7.5</v>
      </c>
      <c r="T349">
        <f>IF(R349&lt;=0,0,MIN(IF(AND('Loan Prepayment'!$E$15="Reduce EMI",W348&gt;0),-PMT(S349/1200,MAX(1,'Loan Prepayment'!$B$7*12-Q349+1),R349),T348),R349+U349))</f>
        <v>0</v>
      </c>
      <c r="U349">
        <f t="shared" si="111"/>
        <v>0</v>
      </c>
      <c r="V349">
        <f t="shared" si="112"/>
        <v>0</v>
      </c>
      <c r="W349">
        <f>IF(R349&lt;=0,0,MIN(MAX(0,R349-V349),0+IF(AND(Q349&gt;='Loan Prepayment'!$B$9,Q349&lt;='Loan Prepayment'!$E$16),'Loan Prepayment'!$B$8,0)))</f>
        <v>0</v>
      </c>
      <c r="X349">
        <f t="shared" si="113"/>
        <v>0</v>
      </c>
      <c r="Y349">
        <v>348</v>
      </c>
      <c r="Z349">
        <f t="shared" si="124"/>
        <v>0</v>
      </c>
      <c r="AA349">
        <f>IF(Y349&gt;='Loan Prepayment'!$E$11,'Loan Prepayment'!$E$12,'Loan Prepayment'!$B$6)</f>
        <v>6.5</v>
      </c>
      <c r="AB349">
        <f>IF(Z349&lt;=0,0,MIN(IF(Y349='Loan Prepayment'!$E$11,IF('Loan Prepayment'!$E$13="Keep tenure, recalculate EMI",-PMT(AA349/1200,MAX(1,'Loan Prepayment'!$B$7*12-Y349+1),Z349),AB348),AB348),Z349+AC349))</f>
        <v>0</v>
      </c>
      <c r="AC349">
        <f t="shared" si="114"/>
        <v>0</v>
      </c>
      <c r="AD349">
        <f t="shared" si="115"/>
        <v>0</v>
      </c>
      <c r="AE349">
        <f t="shared" si="116"/>
        <v>0</v>
      </c>
      <c r="AF349">
        <f t="shared" si="117"/>
        <v>0</v>
      </c>
      <c r="AG349">
        <v>348</v>
      </c>
      <c r="AH349">
        <f t="shared" si="125"/>
        <v>0</v>
      </c>
      <c r="AI349">
        <f>IF(AG349&gt;='Loan Prepayment'!$E$11,'Loan Prepayment'!$E$12,'Loan Prepayment'!$B$6)</f>
        <v>6.5</v>
      </c>
      <c r="AJ349">
        <f>IF(AH349&lt;=0,0,MIN(IF(AG349='Loan Prepayment'!$E$11,IF('Loan Prepayment'!$E$13="Keep tenure, recalculate EMI",-PMT(AI349/1200,MAX(1,'Loan Prepayment'!$B$7*12-AG349+1),AH349),IF(AND('Loan Prepayment'!$E$15="Reduce EMI",AM348&gt;0),-PMT(AI348/1200,MAX(1,'Loan Prepayment'!$B$7*12-AG349+1),AH349),AJ348)),IF(AND('Loan Prepayment'!$E$15="Reduce EMI",AM348&gt;0),-PMT(AI349/1200,MAX(1,'Loan Prepayment'!$B$7*12-AG349+1),AH349),AJ348)),AH349+AK349))</f>
        <v>0</v>
      </c>
      <c r="AK349">
        <f t="shared" si="118"/>
        <v>0</v>
      </c>
      <c r="AL349">
        <f t="shared" si="119"/>
        <v>0</v>
      </c>
      <c r="AM349">
        <f>IF(AH349&lt;=0,0,MIN(MAX(0,AH349-AL349),SUMIFS('Loan Prepayment'!$B$12:$B$31,'Loan Prepayment'!$A$12:$A$31,AG349)+IF(AND(AG349&gt;='Loan Prepayment'!$B$9,AG349&lt;='Loan Prepayment'!$E$16),'Loan Prepayment'!$B$8,0)))</f>
        <v>0</v>
      </c>
      <c r="AN349">
        <f t="shared" si="120"/>
        <v>0</v>
      </c>
    </row>
    <row r="350" spans="1:40" x14ac:dyDescent="0.35">
      <c r="A350">
        <v>349</v>
      </c>
      <c r="B350">
        <f t="shared" si="121"/>
        <v>0</v>
      </c>
      <c r="C350" s="64">
        <f>'Loan Prepayment'!$B$6</f>
        <v>7.5</v>
      </c>
      <c r="D350">
        <f>IF(B350&lt;=0,0,MIN(-PMT('Loan Prepayment'!$B$6/1200,'Loan Prepayment'!$B$7*12,'Loan Prepayment'!$B$5),B350+E350))</f>
        <v>0</v>
      </c>
      <c r="E350">
        <f t="shared" si="105"/>
        <v>0</v>
      </c>
      <c r="F350">
        <f t="shared" si="106"/>
        <v>0</v>
      </c>
      <c r="G350">
        <v>0</v>
      </c>
      <c r="H350">
        <f t="shared" si="107"/>
        <v>0</v>
      </c>
      <c r="I350">
        <v>349</v>
      </c>
      <c r="J350">
        <f t="shared" si="122"/>
        <v>0</v>
      </c>
      <c r="K350" s="64">
        <f>'Loan Prepayment'!$B$6</f>
        <v>7.5</v>
      </c>
      <c r="L350">
        <f>IF(J350&lt;=0,0,MIN(IF(AND('Loan Prepayment'!$E$15="Reduce EMI",O349&gt;0),-PMT(K350/1200,MAX(1,'Loan Prepayment'!$B$7*12-I350+1),J350),L349),J350+M350))</f>
        <v>0</v>
      </c>
      <c r="M350">
        <f t="shared" si="108"/>
        <v>0</v>
      </c>
      <c r="N350">
        <f t="shared" si="109"/>
        <v>0</v>
      </c>
      <c r="O350">
        <f>IF(J350&lt;=0,0,MIN(MAX(0,J350-N350),SUMIFS('Loan Prepayment'!$B$12:$B$31,'Loan Prepayment'!$A$12:$A$31,I350)+0))</f>
        <v>0</v>
      </c>
      <c r="P350">
        <f t="shared" si="110"/>
        <v>0</v>
      </c>
      <c r="Q350">
        <v>349</v>
      </c>
      <c r="R350">
        <f t="shared" si="123"/>
        <v>0</v>
      </c>
      <c r="S350" s="64">
        <f>'Loan Prepayment'!$B$6</f>
        <v>7.5</v>
      </c>
      <c r="T350">
        <f>IF(R350&lt;=0,0,MIN(IF(AND('Loan Prepayment'!$E$15="Reduce EMI",W349&gt;0),-PMT(S350/1200,MAX(1,'Loan Prepayment'!$B$7*12-Q350+1),R350),T349),R350+U350))</f>
        <v>0</v>
      </c>
      <c r="U350">
        <f t="shared" si="111"/>
        <v>0</v>
      </c>
      <c r="V350">
        <f t="shared" si="112"/>
        <v>0</v>
      </c>
      <c r="W350">
        <f>IF(R350&lt;=0,0,MIN(MAX(0,R350-V350),0+IF(AND(Q350&gt;='Loan Prepayment'!$B$9,Q350&lt;='Loan Prepayment'!$E$16),'Loan Prepayment'!$B$8,0)))</f>
        <v>0</v>
      </c>
      <c r="X350">
        <f t="shared" si="113"/>
        <v>0</v>
      </c>
      <c r="Y350">
        <v>349</v>
      </c>
      <c r="Z350">
        <f t="shared" si="124"/>
        <v>0</v>
      </c>
      <c r="AA350">
        <f>IF(Y350&gt;='Loan Prepayment'!$E$11,'Loan Prepayment'!$E$12,'Loan Prepayment'!$B$6)</f>
        <v>6.5</v>
      </c>
      <c r="AB350">
        <f>IF(Z350&lt;=0,0,MIN(IF(Y350='Loan Prepayment'!$E$11,IF('Loan Prepayment'!$E$13="Keep tenure, recalculate EMI",-PMT(AA350/1200,MAX(1,'Loan Prepayment'!$B$7*12-Y350+1),Z350),AB349),AB349),Z350+AC350))</f>
        <v>0</v>
      </c>
      <c r="AC350">
        <f t="shared" si="114"/>
        <v>0</v>
      </c>
      <c r="AD350">
        <f t="shared" si="115"/>
        <v>0</v>
      </c>
      <c r="AE350">
        <f t="shared" si="116"/>
        <v>0</v>
      </c>
      <c r="AF350">
        <f t="shared" si="117"/>
        <v>0</v>
      </c>
      <c r="AG350">
        <v>349</v>
      </c>
      <c r="AH350">
        <f t="shared" si="125"/>
        <v>0</v>
      </c>
      <c r="AI350">
        <f>IF(AG350&gt;='Loan Prepayment'!$E$11,'Loan Prepayment'!$E$12,'Loan Prepayment'!$B$6)</f>
        <v>6.5</v>
      </c>
      <c r="AJ350">
        <f>IF(AH350&lt;=0,0,MIN(IF(AG350='Loan Prepayment'!$E$11,IF('Loan Prepayment'!$E$13="Keep tenure, recalculate EMI",-PMT(AI350/1200,MAX(1,'Loan Prepayment'!$B$7*12-AG350+1),AH350),IF(AND('Loan Prepayment'!$E$15="Reduce EMI",AM349&gt;0),-PMT(AI349/1200,MAX(1,'Loan Prepayment'!$B$7*12-AG350+1),AH350),AJ349)),IF(AND('Loan Prepayment'!$E$15="Reduce EMI",AM349&gt;0),-PMT(AI350/1200,MAX(1,'Loan Prepayment'!$B$7*12-AG350+1),AH350),AJ349)),AH350+AK350))</f>
        <v>0</v>
      </c>
      <c r="AK350">
        <f t="shared" si="118"/>
        <v>0</v>
      </c>
      <c r="AL350">
        <f t="shared" si="119"/>
        <v>0</v>
      </c>
      <c r="AM350">
        <f>IF(AH350&lt;=0,0,MIN(MAX(0,AH350-AL350),SUMIFS('Loan Prepayment'!$B$12:$B$31,'Loan Prepayment'!$A$12:$A$31,AG350)+IF(AND(AG350&gt;='Loan Prepayment'!$B$9,AG350&lt;='Loan Prepayment'!$E$16),'Loan Prepayment'!$B$8,0)))</f>
        <v>0</v>
      </c>
      <c r="AN350">
        <f t="shared" si="120"/>
        <v>0</v>
      </c>
    </row>
    <row r="351" spans="1:40" x14ac:dyDescent="0.35">
      <c r="A351">
        <v>350</v>
      </c>
      <c r="B351">
        <f t="shared" si="121"/>
        <v>0</v>
      </c>
      <c r="C351" s="64">
        <f>'Loan Prepayment'!$B$6</f>
        <v>7.5</v>
      </c>
      <c r="D351">
        <f>IF(B351&lt;=0,0,MIN(-PMT('Loan Prepayment'!$B$6/1200,'Loan Prepayment'!$B$7*12,'Loan Prepayment'!$B$5),B351+E351))</f>
        <v>0</v>
      </c>
      <c r="E351">
        <f t="shared" si="105"/>
        <v>0</v>
      </c>
      <c r="F351">
        <f t="shared" si="106"/>
        <v>0</v>
      </c>
      <c r="G351">
        <v>0</v>
      </c>
      <c r="H351">
        <f t="shared" si="107"/>
        <v>0</v>
      </c>
      <c r="I351">
        <v>350</v>
      </c>
      <c r="J351">
        <f t="shared" si="122"/>
        <v>0</v>
      </c>
      <c r="K351" s="64">
        <f>'Loan Prepayment'!$B$6</f>
        <v>7.5</v>
      </c>
      <c r="L351">
        <f>IF(J351&lt;=0,0,MIN(IF(AND('Loan Prepayment'!$E$15="Reduce EMI",O350&gt;0),-PMT(K351/1200,MAX(1,'Loan Prepayment'!$B$7*12-I351+1),J351),L350),J351+M351))</f>
        <v>0</v>
      </c>
      <c r="M351">
        <f t="shared" si="108"/>
        <v>0</v>
      </c>
      <c r="N351">
        <f t="shared" si="109"/>
        <v>0</v>
      </c>
      <c r="O351">
        <f>IF(J351&lt;=0,0,MIN(MAX(0,J351-N351),SUMIFS('Loan Prepayment'!$B$12:$B$31,'Loan Prepayment'!$A$12:$A$31,I351)+0))</f>
        <v>0</v>
      </c>
      <c r="P351">
        <f t="shared" si="110"/>
        <v>0</v>
      </c>
      <c r="Q351">
        <v>350</v>
      </c>
      <c r="R351">
        <f t="shared" si="123"/>
        <v>0</v>
      </c>
      <c r="S351" s="64">
        <f>'Loan Prepayment'!$B$6</f>
        <v>7.5</v>
      </c>
      <c r="T351">
        <f>IF(R351&lt;=0,0,MIN(IF(AND('Loan Prepayment'!$E$15="Reduce EMI",W350&gt;0),-PMT(S351/1200,MAX(1,'Loan Prepayment'!$B$7*12-Q351+1),R351),T350),R351+U351))</f>
        <v>0</v>
      </c>
      <c r="U351">
        <f t="shared" si="111"/>
        <v>0</v>
      </c>
      <c r="V351">
        <f t="shared" si="112"/>
        <v>0</v>
      </c>
      <c r="W351">
        <f>IF(R351&lt;=0,0,MIN(MAX(0,R351-V351),0+IF(AND(Q351&gt;='Loan Prepayment'!$B$9,Q351&lt;='Loan Prepayment'!$E$16),'Loan Prepayment'!$B$8,0)))</f>
        <v>0</v>
      </c>
      <c r="X351">
        <f t="shared" si="113"/>
        <v>0</v>
      </c>
      <c r="Y351">
        <v>350</v>
      </c>
      <c r="Z351">
        <f t="shared" si="124"/>
        <v>0</v>
      </c>
      <c r="AA351">
        <f>IF(Y351&gt;='Loan Prepayment'!$E$11,'Loan Prepayment'!$E$12,'Loan Prepayment'!$B$6)</f>
        <v>6.5</v>
      </c>
      <c r="AB351">
        <f>IF(Z351&lt;=0,0,MIN(IF(Y351='Loan Prepayment'!$E$11,IF('Loan Prepayment'!$E$13="Keep tenure, recalculate EMI",-PMT(AA351/1200,MAX(1,'Loan Prepayment'!$B$7*12-Y351+1),Z351),AB350),AB350),Z351+AC351))</f>
        <v>0</v>
      </c>
      <c r="AC351">
        <f t="shared" si="114"/>
        <v>0</v>
      </c>
      <c r="AD351">
        <f t="shared" si="115"/>
        <v>0</v>
      </c>
      <c r="AE351">
        <f t="shared" si="116"/>
        <v>0</v>
      </c>
      <c r="AF351">
        <f t="shared" si="117"/>
        <v>0</v>
      </c>
      <c r="AG351">
        <v>350</v>
      </c>
      <c r="AH351">
        <f t="shared" si="125"/>
        <v>0</v>
      </c>
      <c r="AI351">
        <f>IF(AG351&gt;='Loan Prepayment'!$E$11,'Loan Prepayment'!$E$12,'Loan Prepayment'!$B$6)</f>
        <v>6.5</v>
      </c>
      <c r="AJ351">
        <f>IF(AH351&lt;=0,0,MIN(IF(AG351='Loan Prepayment'!$E$11,IF('Loan Prepayment'!$E$13="Keep tenure, recalculate EMI",-PMT(AI351/1200,MAX(1,'Loan Prepayment'!$B$7*12-AG351+1),AH351),IF(AND('Loan Prepayment'!$E$15="Reduce EMI",AM350&gt;0),-PMT(AI350/1200,MAX(1,'Loan Prepayment'!$B$7*12-AG351+1),AH351),AJ350)),IF(AND('Loan Prepayment'!$E$15="Reduce EMI",AM350&gt;0),-PMT(AI351/1200,MAX(1,'Loan Prepayment'!$B$7*12-AG351+1),AH351),AJ350)),AH351+AK351))</f>
        <v>0</v>
      </c>
      <c r="AK351">
        <f t="shared" si="118"/>
        <v>0</v>
      </c>
      <c r="AL351">
        <f t="shared" si="119"/>
        <v>0</v>
      </c>
      <c r="AM351">
        <f>IF(AH351&lt;=0,0,MIN(MAX(0,AH351-AL351),SUMIFS('Loan Prepayment'!$B$12:$B$31,'Loan Prepayment'!$A$12:$A$31,AG351)+IF(AND(AG351&gt;='Loan Prepayment'!$B$9,AG351&lt;='Loan Prepayment'!$E$16),'Loan Prepayment'!$B$8,0)))</f>
        <v>0</v>
      </c>
      <c r="AN351">
        <f t="shared" si="120"/>
        <v>0</v>
      </c>
    </row>
    <row r="352" spans="1:40" x14ac:dyDescent="0.35">
      <c r="A352">
        <v>351</v>
      </c>
      <c r="B352">
        <f t="shared" si="121"/>
        <v>0</v>
      </c>
      <c r="C352" s="64">
        <f>'Loan Prepayment'!$B$6</f>
        <v>7.5</v>
      </c>
      <c r="D352">
        <f>IF(B352&lt;=0,0,MIN(-PMT('Loan Prepayment'!$B$6/1200,'Loan Prepayment'!$B$7*12,'Loan Prepayment'!$B$5),B352+E352))</f>
        <v>0</v>
      </c>
      <c r="E352">
        <f t="shared" si="105"/>
        <v>0</v>
      </c>
      <c r="F352">
        <f t="shared" si="106"/>
        <v>0</v>
      </c>
      <c r="G352">
        <v>0</v>
      </c>
      <c r="H352">
        <f t="shared" si="107"/>
        <v>0</v>
      </c>
      <c r="I352">
        <v>351</v>
      </c>
      <c r="J352">
        <f t="shared" si="122"/>
        <v>0</v>
      </c>
      <c r="K352" s="64">
        <f>'Loan Prepayment'!$B$6</f>
        <v>7.5</v>
      </c>
      <c r="L352">
        <f>IF(J352&lt;=0,0,MIN(IF(AND('Loan Prepayment'!$E$15="Reduce EMI",O351&gt;0),-PMT(K352/1200,MAX(1,'Loan Prepayment'!$B$7*12-I352+1),J352),L351),J352+M352))</f>
        <v>0</v>
      </c>
      <c r="M352">
        <f t="shared" si="108"/>
        <v>0</v>
      </c>
      <c r="N352">
        <f t="shared" si="109"/>
        <v>0</v>
      </c>
      <c r="O352">
        <f>IF(J352&lt;=0,0,MIN(MAX(0,J352-N352),SUMIFS('Loan Prepayment'!$B$12:$B$31,'Loan Prepayment'!$A$12:$A$31,I352)+0))</f>
        <v>0</v>
      </c>
      <c r="P352">
        <f t="shared" si="110"/>
        <v>0</v>
      </c>
      <c r="Q352">
        <v>351</v>
      </c>
      <c r="R352">
        <f t="shared" si="123"/>
        <v>0</v>
      </c>
      <c r="S352" s="64">
        <f>'Loan Prepayment'!$B$6</f>
        <v>7.5</v>
      </c>
      <c r="T352">
        <f>IF(R352&lt;=0,0,MIN(IF(AND('Loan Prepayment'!$E$15="Reduce EMI",W351&gt;0),-PMT(S352/1200,MAX(1,'Loan Prepayment'!$B$7*12-Q352+1),R352),T351),R352+U352))</f>
        <v>0</v>
      </c>
      <c r="U352">
        <f t="shared" si="111"/>
        <v>0</v>
      </c>
      <c r="V352">
        <f t="shared" si="112"/>
        <v>0</v>
      </c>
      <c r="W352">
        <f>IF(R352&lt;=0,0,MIN(MAX(0,R352-V352),0+IF(AND(Q352&gt;='Loan Prepayment'!$B$9,Q352&lt;='Loan Prepayment'!$E$16),'Loan Prepayment'!$B$8,0)))</f>
        <v>0</v>
      </c>
      <c r="X352">
        <f t="shared" si="113"/>
        <v>0</v>
      </c>
      <c r="Y352">
        <v>351</v>
      </c>
      <c r="Z352">
        <f t="shared" si="124"/>
        <v>0</v>
      </c>
      <c r="AA352">
        <f>IF(Y352&gt;='Loan Prepayment'!$E$11,'Loan Prepayment'!$E$12,'Loan Prepayment'!$B$6)</f>
        <v>6.5</v>
      </c>
      <c r="AB352">
        <f>IF(Z352&lt;=0,0,MIN(IF(Y352='Loan Prepayment'!$E$11,IF('Loan Prepayment'!$E$13="Keep tenure, recalculate EMI",-PMT(AA352/1200,MAX(1,'Loan Prepayment'!$B$7*12-Y352+1),Z352),AB351),AB351),Z352+AC352))</f>
        <v>0</v>
      </c>
      <c r="AC352">
        <f t="shared" si="114"/>
        <v>0</v>
      </c>
      <c r="AD352">
        <f t="shared" si="115"/>
        <v>0</v>
      </c>
      <c r="AE352">
        <f t="shared" si="116"/>
        <v>0</v>
      </c>
      <c r="AF352">
        <f t="shared" si="117"/>
        <v>0</v>
      </c>
      <c r="AG352">
        <v>351</v>
      </c>
      <c r="AH352">
        <f t="shared" si="125"/>
        <v>0</v>
      </c>
      <c r="AI352">
        <f>IF(AG352&gt;='Loan Prepayment'!$E$11,'Loan Prepayment'!$E$12,'Loan Prepayment'!$B$6)</f>
        <v>6.5</v>
      </c>
      <c r="AJ352">
        <f>IF(AH352&lt;=0,0,MIN(IF(AG352='Loan Prepayment'!$E$11,IF('Loan Prepayment'!$E$13="Keep tenure, recalculate EMI",-PMT(AI352/1200,MAX(1,'Loan Prepayment'!$B$7*12-AG352+1),AH352),IF(AND('Loan Prepayment'!$E$15="Reduce EMI",AM351&gt;0),-PMT(AI351/1200,MAX(1,'Loan Prepayment'!$B$7*12-AG352+1),AH352),AJ351)),IF(AND('Loan Prepayment'!$E$15="Reduce EMI",AM351&gt;0),-PMT(AI352/1200,MAX(1,'Loan Prepayment'!$B$7*12-AG352+1),AH352),AJ351)),AH352+AK352))</f>
        <v>0</v>
      </c>
      <c r="AK352">
        <f t="shared" si="118"/>
        <v>0</v>
      </c>
      <c r="AL352">
        <f t="shared" si="119"/>
        <v>0</v>
      </c>
      <c r="AM352">
        <f>IF(AH352&lt;=0,0,MIN(MAX(0,AH352-AL352),SUMIFS('Loan Prepayment'!$B$12:$B$31,'Loan Prepayment'!$A$12:$A$31,AG352)+IF(AND(AG352&gt;='Loan Prepayment'!$B$9,AG352&lt;='Loan Prepayment'!$E$16),'Loan Prepayment'!$B$8,0)))</f>
        <v>0</v>
      </c>
      <c r="AN352">
        <f t="shared" si="120"/>
        <v>0</v>
      </c>
    </row>
    <row r="353" spans="1:40" x14ac:dyDescent="0.35">
      <c r="A353">
        <v>352</v>
      </c>
      <c r="B353">
        <f t="shared" si="121"/>
        <v>0</v>
      </c>
      <c r="C353" s="64">
        <f>'Loan Prepayment'!$B$6</f>
        <v>7.5</v>
      </c>
      <c r="D353">
        <f>IF(B353&lt;=0,0,MIN(-PMT('Loan Prepayment'!$B$6/1200,'Loan Prepayment'!$B$7*12,'Loan Prepayment'!$B$5),B353+E353))</f>
        <v>0</v>
      </c>
      <c r="E353">
        <f t="shared" si="105"/>
        <v>0</v>
      </c>
      <c r="F353">
        <f t="shared" si="106"/>
        <v>0</v>
      </c>
      <c r="G353">
        <v>0</v>
      </c>
      <c r="H353">
        <f t="shared" si="107"/>
        <v>0</v>
      </c>
      <c r="I353">
        <v>352</v>
      </c>
      <c r="J353">
        <f t="shared" si="122"/>
        <v>0</v>
      </c>
      <c r="K353" s="64">
        <f>'Loan Prepayment'!$B$6</f>
        <v>7.5</v>
      </c>
      <c r="L353">
        <f>IF(J353&lt;=0,0,MIN(IF(AND('Loan Prepayment'!$E$15="Reduce EMI",O352&gt;0),-PMT(K353/1200,MAX(1,'Loan Prepayment'!$B$7*12-I353+1),J353),L352),J353+M353))</f>
        <v>0</v>
      </c>
      <c r="M353">
        <f t="shared" si="108"/>
        <v>0</v>
      </c>
      <c r="N353">
        <f t="shared" si="109"/>
        <v>0</v>
      </c>
      <c r="O353">
        <f>IF(J353&lt;=0,0,MIN(MAX(0,J353-N353),SUMIFS('Loan Prepayment'!$B$12:$B$31,'Loan Prepayment'!$A$12:$A$31,I353)+0))</f>
        <v>0</v>
      </c>
      <c r="P353">
        <f t="shared" si="110"/>
        <v>0</v>
      </c>
      <c r="Q353">
        <v>352</v>
      </c>
      <c r="R353">
        <f t="shared" si="123"/>
        <v>0</v>
      </c>
      <c r="S353" s="64">
        <f>'Loan Prepayment'!$B$6</f>
        <v>7.5</v>
      </c>
      <c r="T353">
        <f>IF(R353&lt;=0,0,MIN(IF(AND('Loan Prepayment'!$E$15="Reduce EMI",W352&gt;0),-PMT(S353/1200,MAX(1,'Loan Prepayment'!$B$7*12-Q353+1),R353),T352),R353+U353))</f>
        <v>0</v>
      </c>
      <c r="U353">
        <f t="shared" si="111"/>
        <v>0</v>
      </c>
      <c r="V353">
        <f t="shared" si="112"/>
        <v>0</v>
      </c>
      <c r="W353">
        <f>IF(R353&lt;=0,0,MIN(MAX(0,R353-V353),0+IF(AND(Q353&gt;='Loan Prepayment'!$B$9,Q353&lt;='Loan Prepayment'!$E$16),'Loan Prepayment'!$B$8,0)))</f>
        <v>0</v>
      </c>
      <c r="X353">
        <f t="shared" si="113"/>
        <v>0</v>
      </c>
      <c r="Y353">
        <v>352</v>
      </c>
      <c r="Z353">
        <f t="shared" si="124"/>
        <v>0</v>
      </c>
      <c r="AA353">
        <f>IF(Y353&gt;='Loan Prepayment'!$E$11,'Loan Prepayment'!$E$12,'Loan Prepayment'!$B$6)</f>
        <v>6.5</v>
      </c>
      <c r="AB353">
        <f>IF(Z353&lt;=0,0,MIN(IF(Y353='Loan Prepayment'!$E$11,IF('Loan Prepayment'!$E$13="Keep tenure, recalculate EMI",-PMT(AA353/1200,MAX(1,'Loan Prepayment'!$B$7*12-Y353+1),Z353),AB352),AB352),Z353+AC353))</f>
        <v>0</v>
      </c>
      <c r="AC353">
        <f t="shared" si="114"/>
        <v>0</v>
      </c>
      <c r="AD353">
        <f t="shared" si="115"/>
        <v>0</v>
      </c>
      <c r="AE353">
        <f t="shared" si="116"/>
        <v>0</v>
      </c>
      <c r="AF353">
        <f t="shared" si="117"/>
        <v>0</v>
      </c>
      <c r="AG353">
        <v>352</v>
      </c>
      <c r="AH353">
        <f t="shared" si="125"/>
        <v>0</v>
      </c>
      <c r="AI353">
        <f>IF(AG353&gt;='Loan Prepayment'!$E$11,'Loan Prepayment'!$E$12,'Loan Prepayment'!$B$6)</f>
        <v>6.5</v>
      </c>
      <c r="AJ353">
        <f>IF(AH353&lt;=0,0,MIN(IF(AG353='Loan Prepayment'!$E$11,IF('Loan Prepayment'!$E$13="Keep tenure, recalculate EMI",-PMT(AI353/1200,MAX(1,'Loan Prepayment'!$B$7*12-AG353+1),AH353),IF(AND('Loan Prepayment'!$E$15="Reduce EMI",AM352&gt;0),-PMT(AI352/1200,MAX(1,'Loan Prepayment'!$B$7*12-AG353+1),AH353),AJ352)),IF(AND('Loan Prepayment'!$E$15="Reduce EMI",AM352&gt;0),-PMT(AI353/1200,MAX(1,'Loan Prepayment'!$B$7*12-AG353+1),AH353),AJ352)),AH353+AK353))</f>
        <v>0</v>
      </c>
      <c r="AK353">
        <f t="shared" si="118"/>
        <v>0</v>
      </c>
      <c r="AL353">
        <f t="shared" si="119"/>
        <v>0</v>
      </c>
      <c r="AM353">
        <f>IF(AH353&lt;=0,0,MIN(MAX(0,AH353-AL353),SUMIFS('Loan Prepayment'!$B$12:$B$31,'Loan Prepayment'!$A$12:$A$31,AG353)+IF(AND(AG353&gt;='Loan Prepayment'!$B$9,AG353&lt;='Loan Prepayment'!$E$16),'Loan Prepayment'!$B$8,0)))</f>
        <v>0</v>
      </c>
      <c r="AN353">
        <f t="shared" si="120"/>
        <v>0</v>
      </c>
    </row>
    <row r="354" spans="1:40" x14ac:dyDescent="0.35">
      <c r="A354">
        <v>353</v>
      </c>
      <c r="B354">
        <f t="shared" si="121"/>
        <v>0</v>
      </c>
      <c r="C354" s="64">
        <f>'Loan Prepayment'!$B$6</f>
        <v>7.5</v>
      </c>
      <c r="D354">
        <f>IF(B354&lt;=0,0,MIN(-PMT('Loan Prepayment'!$B$6/1200,'Loan Prepayment'!$B$7*12,'Loan Prepayment'!$B$5),B354+E354))</f>
        <v>0</v>
      </c>
      <c r="E354">
        <f t="shared" si="105"/>
        <v>0</v>
      </c>
      <c r="F354">
        <f t="shared" si="106"/>
        <v>0</v>
      </c>
      <c r="G354">
        <v>0</v>
      </c>
      <c r="H354">
        <f t="shared" si="107"/>
        <v>0</v>
      </c>
      <c r="I354">
        <v>353</v>
      </c>
      <c r="J354">
        <f t="shared" si="122"/>
        <v>0</v>
      </c>
      <c r="K354" s="64">
        <f>'Loan Prepayment'!$B$6</f>
        <v>7.5</v>
      </c>
      <c r="L354">
        <f>IF(J354&lt;=0,0,MIN(IF(AND('Loan Prepayment'!$E$15="Reduce EMI",O353&gt;0),-PMT(K354/1200,MAX(1,'Loan Prepayment'!$B$7*12-I354+1),J354),L353),J354+M354))</f>
        <v>0</v>
      </c>
      <c r="M354">
        <f t="shared" si="108"/>
        <v>0</v>
      </c>
      <c r="N354">
        <f t="shared" si="109"/>
        <v>0</v>
      </c>
      <c r="O354">
        <f>IF(J354&lt;=0,0,MIN(MAX(0,J354-N354),SUMIFS('Loan Prepayment'!$B$12:$B$31,'Loan Prepayment'!$A$12:$A$31,I354)+0))</f>
        <v>0</v>
      </c>
      <c r="P354">
        <f t="shared" si="110"/>
        <v>0</v>
      </c>
      <c r="Q354">
        <v>353</v>
      </c>
      <c r="R354">
        <f t="shared" si="123"/>
        <v>0</v>
      </c>
      <c r="S354" s="64">
        <f>'Loan Prepayment'!$B$6</f>
        <v>7.5</v>
      </c>
      <c r="T354">
        <f>IF(R354&lt;=0,0,MIN(IF(AND('Loan Prepayment'!$E$15="Reduce EMI",W353&gt;0),-PMT(S354/1200,MAX(1,'Loan Prepayment'!$B$7*12-Q354+1),R354),T353),R354+U354))</f>
        <v>0</v>
      </c>
      <c r="U354">
        <f t="shared" si="111"/>
        <v>0</v>
      </c>
      <c r="V354">
        <f t="shared" si="112"/>
        <v>0</v>
      </c>
      <c r="W354">
        <f>IF(R354&lt;=0,0,MIN(MAX(0,R354-V354),0+IF(AND(Q354&gt;='Loan Prepayment'!$B$9,Q354&lt;='Loan Prepayment'!$E$16),'Loan Prepayment'!$B$8,0)))</f>
        <v>0</v>
      </c>
      <c r="X354">
        <f t="shared" si="113"/>
        <v>0</v>
      </c>
      <c r="Y354">
        <v>353</v>
      </c>
      <c r="Z354">
        <f t="shared" si="124"/>
        <v>0</v>
      </c>
      <c r="AA354">
        <f>IF(Y354&gt;='Loan Prepayment'!$E$11,'Loan Prepayment'!$E$12,'Loan Prepayment'!$B$6)</f>
        <v>6.5</v>
      </c>
      <c r="AB354">
        <f>IF(Z354&lt;=0,0,MIN(IF(Y354='Loan Prepayment'!$E$11,IF('Loan Prepayment'!$E$13="Keep tenure, recalculate EMI",-PMT(AA354/1200,MAX(1,'Loan Prepayment'!$B$7*12-Y354+1),Z354),AB353),AB353),Z354+AC354))</f>
        <v>0</v>
      </c>
      <c r="AC354">
        <f t="shared" si="114"/>
        <v>0</v>
      </c>
      <c r="AD354">
        <f t="shared" si="115"/>
        <v>0</v>
      </c>
      <c r="AE354">
        <f t="shared" si="116"/>
        <v>0</v>
      </c>
      <c r="AF354">
        <f t="shared" si="117"/>
        <v>0</v>
      </c>
      <c r="AG354">
        <v>353</v>
      </c>
      <c r="AH354">
        <f t="shared" si="125"/>
        <v>0</v>
      </c>
      <c r="AI354">
        <f>IF(AG354&gt;='Loan Prepayment'!$E$11,'Loan Prepayment'!$E$12,'Loan Prepayment'!$B$6)</f>
        <v>6.5</v>
      </c>
      <c r="AJ354">
        <f>IF(AH354&lt;=0,0,MIN(IF(AG354='Loan Prepayment'!$E$11,IF('Loan Prepayment'!$E$13="Keep tenure, recalculate EMI",-PMT(AI354/1200,MAX(1,'Loan Prepayment'!$B$7*12-AG354+1),AH354),IF(AND('Loan Prepayment'!$E$15="Reduce EMI",AM353&gt;0),-PMT(AI353/1200,MAX(1,'Loan Prepayment'!$B$7*12-AG354+1),AH354),AJ353)),IF(AND('Loan Prepayment'!$E$15="Reduce EMI",AM353&gt;0),-PMT(AI354/1200,MAX(1,'Loan Prepayment'!$B$7*12-AG354+1),AH354),AJ353)),AH354+AK354))</f>
        <v>0</v>
      </c>
      <c r="AK354">
        <f t="shared" si="118"/>
        <v>0</v>
      </c>
      <c r="AL354">
        <f t="shared" si="119"/>
        <v>0</v>
      </c>
      <c r="AM354">
        <f>IF(AH354&lt;=0,0,MIN(MAX(0,AH354-AL354),SUMIFS('Loan Prepayment'!$B$12:$B$31,'Loan Prepayment'!$A$12:$A$31,AG354)+IF(AND(AG354&gt;='Loan Prepayment'!$B$9,AG354&lt;='Loan Prepayment'!$E$16),'Loan Prepayment'!$B$8,0)))</f>
        <v>0</v>
      </c>
      <c r="AN354">
        <f t="shared" si="120"/>
        <v>0</v>
      </c>
    </row>
    <row r="355" spans="1:40" x14ac:dyDescent="0.35">
      <c r="A355">
        <v>354</v>
      </c>
      <c r="B355">
        <f t="shared" si="121"/>
        <v>0</v>
      </c>
      <c r="C355" s="64">
        <f>'Loan Prepayment'!$B$6</f>
        <v>7.5</v>
      </c>
      <c r="D355">
        <f>IF(B355&lt;=0,0,MIN(-PMT('Loan Prepayment'!$B$6/1200,'Loan Prepayment'!$B$7*12,'Loan Prepayment'!$B$5),B355+E355))</f>
        <v>0</v>
      </c>
      <c r="E355">
        <f t="shared" si="105"/>
        <v>0</v>
      </c>
      <c r="F355">
        <f t="shared" si="106"/>
        <v>0</v>
      </c>
      <c r="G355">
        <v>0</v>
      </c>
      <c r="H355">
        <f t="shared" si="107"/>
        <v>0</v>
      </c>
      <c r="I355">
        <v>354</v>
      </c>
      <c r="J355">
        <f t="shared" si="122"/>
        <v>0</v>
      </c>
      <c r="K355" s="64">
        <f>'Loan Prepayment'!$B$6</f>
        <v>7.5</v>
      </c>
      <c r="L355">
        <f>IF(J355&lt;=0,0,MIN(IF(AND('Loan Prepayment'!$E$15="Reduce EMI",O354&gt;0),-PMT(K355/1200,MAX(1,'Loan Prepayment'!$B$7*12-I355+1),J355),L354),J355+M355))</f>
        <v>0</v>
      </c>
      <c r="M355">
        <f t="shared" si="108"/>
        <v>0</v>
      </c>
      <c r="N355">
        <f t="shared" si="109"/>
        <v>0</v>
      </c>
      <c r="O355">
        <f>IF(J355&lt;=0,0,MIN(MAX(0,J355-N355),SUMIFS('Loan Prepayment'!$B$12:$B$31,'Loan Prepayment'!$A$12:$A$31,I355)+0))</f>
        <v>0</v>
      </c>
      <c r="P355">
        <f t="shared" si="110"/>
        <v>0</v>
      </c>
      <c r="Q355">
        <v>354</v>
      </c>
      <c r="R355">
        <f t="shared" si="123"/>
        <v>0</v>
      </c>
      <c r="S355" s="64">
        <f>'Loan Prepayment'!$B$6</f>
        <v>7.5</v>
      </c>
      <c r="T355">
        <f>IF(R355&lt;=0,0,MIN(IF(AND('Loan Prepayment'!$E$15="Reduce EMI",W354&gt;0),-PMT(S355/1200,MAX(1,'Loan Prepayment'!$B$7*12-Q355+1),R355),T354),R355+U355))</f>
        <v>0</v>
      </c>
      <c r="U355">
        <f t="shared" si="111"/>
        <v>0</v>
      </c>
      <c r="V355">
        <f t="shared" si="112"/>
        <v>0</v>
      </c>
      <c r="W355">
        <f>IF(R355&lt;=0,0,MIN(MAX(0,R355-V355),0+IF(AND(Q355&gt;='Loan Prepayment'!$B$9,Q355&lt;='Loan Prepayment'!$E$16),'Loan Prepayment'!$B$8,0)))</f>
        <v>0</v>
      </c>
      <c r="X355">
        <f t="shared" si="113"/>
        <v>0</v>
      </c>
      <c r="Y355">
        <v>354</v>
      </c>
      <c r="Z355">
        <f t="shared" si="124"/>
        <v>0</v>
      </c>
      <c r="AA355">
        <f>IF(Y355&gt;='Loan Prepayment'!$E$11,'Loan Prepayment'!$E$12,'Loan Prepayment'!$B$6)</f>
        <v>6.5</v>
      </c>
      <c r="AB355">
        <f>IF(Z355&lt;=0,0,MIN(IF(Y355='Loan Prepayment'!$E$11,IF('Loan Prepayment'!$E$13="Keep tenure, recalculate EMI",-PMT(AA355/1200,MAX(1,'Loan Prepayment'!$B$7*12-Y355+1),Z355),AB354),AB354),Z355+AC355))</f>
        <v>0</v>
      </c>
      <c r="AC355">
        <f t="shared" si="114"/>
        <v>0</v>
      </c>
      <c r="AD355">
        <f t="shared" si="115"/>
        <v>0</v>
      </c>
      <c r="AE355">
        <f t="shared" si="116"/>
        <v>0</v>
      </c>
      <c r="AF355">
        <f t="shared" si="117"/>
        <v>0</v>
      </c>
      <c r="AG355">
        <v>354</v>
      </c>
      <c r="AH355">
        <f t="shared" si="125"/>
        <v>0</v>
      </c>
      <c r="AI355">
        <f>IF(AG355&gt;='Loan Prepayment'!$E$11,'Loan Prepayment'!$E$12,'Loan Prepayment'!$B$6)</f>
        <v>6.5</v>
      </c>
      <c r="AJ355">
        <f>IF(AH355&lt;=0,0,MIN(IF(AG355='Loan Prepayment'!$E$11,IF('Loan Prepayment'!$E$13="Keep tenure, recalculate EMI",-PMT(AI355/1200,MAX(1,'Loan Prepayment'!$B$7*12-AG355+1),AH355),IF(AND('Loan Prepayment'!$E$15="Reduce EMI",AM354&gt;0),-PMT(AI354/1200,MAX(1,'Loan Prepayment'!$B$7*12-AG355+1),AH355),AJ354)),IF(AND('Loan Prepayment'!$E$15="Reduce EMI",AM354&gt;0),-PMT(AI355/1200,MAX(1,'Loan Prepayment'!$B$7*12-AG355+1),AH355),AJ354)),AH355+AK355))</f>
        <v>0</v>
      </c>
      <c r="AK355">
        <f t="shared" si="118"/>
        <v>0</v>
      </c>
      <c r="AL355">
        <f t="shared" si="119"/>
        <v>0</v>
      </c>
      <c r="AM355">
        <f>IF(AH355&lt;=0,0,MIN(MAX(0,AH355-AL355),SUMIFS('Loan Prepayment'!$B$12:$B$31,'Loan Prepayment'!$A$12:$A$31,AG355)+IF(AND(AG355&gt;='Loan Prepayment'!$B$9,AG355&lt;='Loan Prepayment'!$E$16),'Loan Prepayment'!$B$8,0)))</f>
        <v>0</v>
      </c>
      <c r="AN355">
        <f t="shared" si="120"/>
        <v>0</v>
      </c>
    </row>
    <row r="356" spans="1:40" x14ac:dyDescent="0.35">
      <c r="A356">
        <v>355</v>
      </c>
      <c r="B356">
        <f t="shared" si="121"/>
        <v>0</v>
      </c>
      <c r="C356" s="64">
        <f>'Loan Prepayment'!$B$6</f>
        <v>7.5</v>
      </c>
      <c r="D356">
        <f>IF(B356&lt;=0,0,MIN(-PMT('Loan Prepayment'!$B$6/1200,'Loan Prepayment'!$B$7*12,'Loan Prepayment'!$B$5),B356+E356))</f>
        <v>0</v>
      </c>
      <c r="E356">
        <f t="shared" si="105"/>
        <v>0</v>
      </c>
      <c r="F356">
        <f t="shared" si="106"/>
        <v>0</v>
      </c>
      <c r="G356">
        <v>0</v>
      </c>
      <c r="H356">
        <f t="shared" si="107"/>
        <v>0</v>
      </c>
      <c r="I356">
        <v>355</v>
      </c>
      <c r="J356">
        <f t="shared" si="122"/>
        <v>0</v>
      </c>
      <c r="K356" s="64">
        <f>'Loan Prepayment'!$B$6</f>
        <v>7.5</v>
      </c>
      <c r="L356">
        <f>IF(J356&lt;=0,0,MIN(IF(AND('Loan Prepayment'!$E$15="Reduce EMI",O355&gt;0),-PMT(K356/1200,MAX(1,'Loan Prepayment'!$B$7*12-I356+1),J356),L355),J356+M356))</f>
        <v>0</v>
      </c>
      <c r="M356">
        <f t="shared" si="108"/>
        <v>0</v>
      </c>
      <c r="N356">
        <f t="shared" si="109"/>
        <v>0</v>
      </c>
      <c r="O356">
        <f>IF(J356&lt;=0,0,MIN(MAX(0,J356-N356),SUMIFS('Loan Prepayment'!$B$12:$B$31,'Loan Prepayment'!$A$12:$A$31,I356)+0))</f>
        <v>0</v>
      </c>
      <c r="P356">
        <f t="shared" si="110"/>
        <v>0</v>
      </c>
      <c r="Q356">
        <v>355</v>
      </c>
      <c r="R356">
        <f t="shared" si="123"/>
        <v>0</v>
      </c>
      <c r="S356" s="64">
        <f>'Loan Prepayment'!$B$6</f>
        <v>7.5</v>
      </c>
      <c r="T356">
        <f>IF(R356&lt;=0,0,MIN(IF(AND('Loan Prepayment'!$E$15="Reduce EMI",W355&gt;0),-PMT(S356/1200,MAX(1,'Loan Prepayment'!$B$7*12-Q356+1),R356),T355),R356+U356))</f>
        <v>0</v>
      </c>
      <c r="U356">
        <f t="shared" si="111"/>
        <v>0</v>
      </c>
      <c r="V356">
        <f t="shared" si="112"/>
        <v>0</v>
      </c>
      <c r="W356">
        <f>IF(R356&lt;=0,0,MIN(MAX(0,R356-V356),0+IF(AND(Q356&gt;='Loan Prepayment'!$B$9,Q356&lt;='Loan Prepayment'!$E$16),'Loan Prepayment'!$B$8,0)))</f>
        <v>0</v>
      </c>
      <c r="X356">
        <f t="shared" si="113"/>
        <v>0</v>
      </c>
      <c r="Y356">
        <v>355</v>
      </c>
      <c r="Z356">
        <f t="shared" si="124"/>
        <v>0</v>
      </c>
      <c r="AA356">
        <f>IF(Y356&gt;='Loan Prepayment'!$E$11,'Loan Prepayment'!$E$12,'Loan Prepayment'!$B$6)</f>
        <v>6.5</v>
      </c>
      <c r="AB356">
        <f>IF(Z356&lt;=0,0,MIN(IF(Y356='Loan Prepayment'!$E$11,IF('Loan Prepayment'!$E$13="Keep tenure, recalculate EMI",-PMT(AA356/1200,MAX(1,'Loan Prepayment'!$B$7*12-Y356+1),Z356),AB355),AB355),Z356+AC356))</f>
        <v>0</v>
      </c>
      <c r="AC356">
        <f t="shared" si="114"/>
        <v>0</v>
      </c>
      <c r="AD356">
        <f t="shared" si="115"/>
        <v>0</v>
      </c>
      <c r="AE356">
        <f t="shared" si="116"/>
        <v>0</v>
      </c>
      <c r="AF356">
        <f t="shared" si="117"/>
        <v>0</v>
      </c>
      <c r="AG356">
        <v>355</v>
      </c>
      <c r="AH356">
        <f t="shared" si="125"/>
        <v>0</v>
      </c>
      <c r="AI356">
        <f>IF(AG356&gt;='Loan Prepayment'!$E$11,'Loan Prepayment'!$E$12,'Loan Prepayment'!$B$6)</f>
        <v>6.5</v>
      </c>
      <c r="AJ356">
        <f>IF(AH356&lt;=0,0,MIN(IF(AG356='Loan Prepayment'!$E$11,IF('Loan Prepayment'!$E$13="Keep tenure, recalculate EMI",-PMT(AI356/1200,MAX(1,'Loan Prepayment'!$B$7*12-AG356+1),AH356),IF(AND('Loan Prepayment'!$E$15="Reduce EMI",AM355&gt;0),-PMT(AI355/1200,MAX(1,'Loan Prepayment'!$B$7*12-AG356+1),AH356),AJ355)),IF(AND('Loan Prepayment'!$E$15="Reduce EMI",AM355&gt;0),-PMT(AI356/1200,MAX(1,'Loan Prepayment'!$B$7*12-AG356+1),AH356),AJ355)),AH356+AK356))</f>
        <v>0</v>
      </c>
      <c r="AK356">
        <f t="shared" si="118"/>
        <v>0</v>
      </c>
      <c r="AL356">
        <f t="shared" si="119"/>
        <v>0</v>
      </c>
      <c r="AM356">
        <f>IF(AH356&lt;=0,0,MIN(MAX(0,AH356-AL356),SUMIFS('Loan Prepayment'!$B$12:$B$31,'Loan Prepayment'!$A$12:$A$31,AG356)+IF(AND(AG356&gt;='Loan Prepayment'!$B$9,AG356&lt;='Loan Prepayment'!$E$16),'Loan Prepayment'!$B$8,0)))</f>
        <v>0</v>
      </c>
      <c r="AN356">
        <f t="shared" si="120"/>
        <v>0</v>
      </c>
    </row>
    <row r="357" spans="1:40" x14ac:dyDescent="0.35">
      <c r="A357">
        <v>356</v>
      </c>
      <c r="B357">
        <f t="shared" si="121"/>
        <v>0</v>
      </c>
      <c r="C357" s="64">
        <f>'Loan Prepayment'!$B$6</f>
        <v>7.5</v>
      </c>
      <c r="D357">
        <f>IF(B357&lt;=0,0,MIN(-PMT('Loan Prepayment'!$B$6/1200,'Loan Prepayment'!$B$7*12,'Loan Prepayment'!$B$5),B357+E357))</f>
        <v>0</v>
      </c>
      <c r="E357">
        <f t="shared" si="105"/>
        <v>0</v>
      </c>
      <c r="F357">
        <f t="shared" si="106"/>
        <v>0</v>
      </c>
      <c r="G357">
        <v>0</v>
      </c>
      <c r="H357">
        <f t="shared" si="107"/>
        <v>0</v>
      </c>
      <c r="I357">
        <v>356</v>
      </c>
      <c r="J357">
        <f t="shared" si="122"/>
        <v>0</v>
      </c>
      <c r="K357" s="64">
        <f>'Loan Prepayment'!$B$6</f>
        <v>7.5</v>
      </c>
      <c r="L357">
        <f>IF(J357&lt;=0,0,MIN(IF(AND('Loan Prepayment'!$E$15="Reduce EMI",O356&gt;0),-PMT(K357/1200,MAX(1,'Loan Prepayment'!$B$7*12-I357+1),J357),L356),J357+M357))</f>
        <v>0</v>
      </c>
      <c r="M357">
        <f t="shared" si="108"/>
        <v>0</v>
      </c>
      <c r="N357">
        <f t="shared" si="109"/>
        <v>0</v>
      </c>
      <c r="O357">
        <f>IF(J357&lt;=0,0,MIN(MAX(0,J357-N357),SUMIFS('Loan Prepayment'!$B$12:$B$31,'Loan Prepayment'!$A$12:$A$31,I357)+0))</f>
        <v>0</v>
      </c>
      <c r="P357">
        <f t="shared" si="110"/>
        <v>0</v>
      </c>
      <c r="Q357">
        <v>356</v>
      </c>
      <c r="R357">
        <f t="shared" si="123"/>
        <v>0</v>
      </c>
      <c r="S357" s="64">
        <f>'Loan Prepayment'!$B$6</f>
        <v>7.5</v>
      </c>
      <c r="T357">
        <f>IF(R357&lt;=0,0,MIN(IF(AND('Loan Prepayment'!$E$15="Reduce EMI",W356&gt;0),-PMT(S357/1200,MAX(1,'Loan Prepayment'!$B$7*12-Q357+1),R357),T356),R357+U357))</f>
        <v>0</v>
      </c>
      <c r="U357">
        <f t="shared" si="111"/>
        <v>0</v>
      </c>
      <c r="V357">
        <f t="shared" si="112"/>
        <v>0</v>
      </c>
      <c r="W357">
        <f>IF(R357&lt;=0,0,MIN(MAX(0,R357-V357),0+IF(AND(Q357&gt;='Loan Prepayment'!$B$9,Q357&lt;='Loan Prepayment'!$E$16),'Loan Prepayment'!$B$8,0)))</f>
        <v>0</v>
      </c>
      <c r="X357">
        <f t="shared" si="113"/>
        <v>0</v>
      </c>
      <c r="Y357">
        <v>356</v>
      </c>
      <c r="Z357">
        <f t="shared" si="124"/>
        <v>0</v>
      </c>
      <c r="AA357">
        <f>IF(Y357&gt;='Loan Prepayment'!$E$11,'Loan Prepayment'!$E$12,'Loan Prepayment'!$B$6)</f>
        <v>6.5</v>
      </c>
      <c r="AB357">
        <f>IF(Z357&lt;=0,0,MIN(IF(Y357='Loan Prepayment'!$E$11,IF('Loan Prepayment'!$E$13="Keep tenure, recalculate EMI",-PMT(AA357/1200,MAX(1,'Loan Prepayment'!$B$7*12-Y357+1),Z357),AB356),AB356),Z357+AC357))</f>
        <v>0</v>
      </c>
      <c r="AC357">
        <f t="shared" si="114"/>
        <v>0</v>
      </c>
      <c r="AD357">
        <f t="shared" si="115"/>
        <v>0</v>
      </c>
      <c r="AE357">
        <f t="shared" si="116"/>
        <v>0</v>
      </c>
      <c r="AF357">
        <f t="shared" si="117"/>
        <v>0</v>
      </c>
      <c r="AG357">
        <v>356</v>
      </c>
      <c r="AH357">
        <f t="shared" si="125"/>
        <v>0</v>
      </c>
      <c r="AI357">
        <f>IF(AG357&gt;='Loan Prepayment'!$E$11,'Loan Prepayment'!$E$12,'Loan Prepayment'!$B$6)</f>
        <v>6.5</v>
      </c>
      <c r="AJ357">
        <f>IF(AH357&lt;=0,0,MIN(IF(AG357='Loan Prepayment'!$E$11,IF('Loan Prepayment'!$E$13="Keep tenure, recalculate EMI",-PMT(AI357/1200,MAX(1,'Loan Prepayment'!$B$7*12-AG357+1),AH357),IF(AND('Loan Prepayment'!$E$15="Reduce EMI",AM356&gt;0),-PMT(AI356/1200,MAX(1,'Loan Prepayment'!$B$7*12-AG357+1),AH357),AJ356)),IF(AND('Loan Prepayment'!$E$15="Reduce EMI",AM356&gt;0),-PMT(AI357/1200,MAX(1,'Loan Prepayment'!$B$7*12-AG357+1),AH357),AJ356)),AH357+AK357))</f>
        <v>0</v>
      </c>
      <c r="AK357">
        <f t="shared" si="118"/>
        <v>0</v>
      </c>
      <c r="AL357">
        <f t="shared" si="119"/>
        <v>0</v>
      </c>
      <c r="AM357">
        <f>IF(AH357&lt;=0,0,MIN(MAX(0,AH357-AL357),SUMIFS('Loan Prepayment'!$B$12:$B$31,'Loan Prepayment'!$A$12:$A$31,AG357)+IF(AND(AG357&gt;='Loan Prepayment'!$B$9,AG357&lt;='Loan Prepayment'!$E$16),'Loan Prepayment'!$B$8,0)))</f>
        <v>0</v>
      </c>
      <c r="AN357">
        <f t="shared" si="120"/>
        <v>0</v>
      </c>
    </row>
    <row r="358" spans="1:40" x14ac:dyDescent="0.35">
      <c r="A358">
        <v>357</v>
      </c>
      <c r="B358">
        <f t="shared" si="121"/>
        <v>0</v>
      </c>
      <c r="C358" s="64">
        <f>'Loan Prepayment'!$B$6</f>
        <v>7.5</v>
      </c>
      <c r="D358">
        <f>IF(B358&lt;=0,0,MIN(-PMT('Loan Prepayment'!$B$6/1200,'Loan Prepayment'!$B$7*12,'Loan Prepayment'!$B$5),B358+E358))</f>
        <v>0</v>
      </c>
      <c r="E358">
        <f t="shared" si="105"/>
        <v>0</v>
      </c>
      <c r="F358">
        <f t="shared" si="106"/>
        <v>0</v>
      </c>
      <c r="G358">
        <v>0</v>
      </c>
      <c r="H358">
        <f t="shared" si="107"/>
        <v>0</v>
      </c>
      <c r="I358">
        <v>357</v>
      </c>
      <c r="J358">
        <f t="shared" si="122"/>
        <v>0</v>
      </c>
      <c r="K358" s="64">
        <f>'Loan Prepayment'!$B$6</f>
        <v>7.5</v>
      </c>
      <c r="L358">
        <f>IF(J358&lt;=0,0,MIN(IF(AND('Loan Prepayment'!$E$15="Reduce EMI",O357&gt;0),-PMT(K358/1200,MAX(1,'Loan Prepayment'!$B$7*12-I358+1),J358),L357),J358+M358))</f>
        <v>0</v>
      </c>
      <c r="M358">
        <f t="shared" si="108"/>
        <v>0</v>
      </c>
      <c r="N358">
        <f t="shared" si="109"/>
        <v>0</v>
      </c>
      <c r="O358">
        <f>IF(J358&lt;=0,0,MIN(MAX(0,J358-N358),SUMIFS('Loan Prepayment'!$B$12:$B$31,'Loan Prepayment'!$A$12:$A$31,I358)+0))</f>
        <v>0</v>
      </c>
      <c r="P358">
        <f t="shared" si="110"/>
        <v>0</v>
      </c>
      <c r="Q358">
        <v>357</v>
      </c>
      <c r="R358">
        <f t="shared" si="123"/>
        <v>0</v>
      </c>
      <c r="S358" s="64">
        <f>'Loan Prepayment'!$B$6</f>
        <v>7.5</v>
      </c>
      <c r="T358">
        <f>IF(R358&lt;=0,0,MIN(IF(AND('Loan Prepayment'!$E$15="Reduce EMI",W357&gt;0),-PMT(S358/1200,MAX(1,'Loan Prepayment'!$B$7*12-Q358+1),R358),T357),R358+U358))</f>
        <v>0</v>
      </c>
      <c r="U358">
        <f t="shared" si="111"/>
        <v>0</v>
      </c>
      <c r="V358">
        <f t="shared" si="112"/>
        <v>0</v>
      </c>
      <c r="W358">
        <f>IF(R358&lt;=0,0,MIN(MAX(0,R358-V358),0+IF(AND(Q358&gt;='Loan Prepayment'!$B$9,Q358&lt;='Loan Prepayment'!$E$16),'Loan Prepayment'!$B$8,0)))</f>
        <v>0</v>
      </c>
      <c r="X358">
        <f t="shared" si="113"/>
        <v>0</v>
      </c>
      <c r="Y358">
        <v>357</v>
      </c>
      <c r="Z358">
        <f t="shared" si="124"/>
        <v>0</v>
      </c>
      <c r="AA358">
        <f>IF(Y358&gt;='Loan Prepayment'!$E$11,'Loan Prepayment'!$E$12,'Loan Prepayment'!$B$6)</f>
        <v>6.5</v>
      </c>
      <c r="AB358">
        <f>IF(Z358&lt;=0,0,MIN(IF(Y358='Loan Prepayment'!$E$11,IF('Loan Prepayment'!$E$13="Keep tenure, recalculate EMI",-PMT(AA358/1200,MAX(1,'Loan Prepayment'!$B$7*12-Y358+1),Z358),AB357),AB357),Z358+AC358))</f>
        <v>0</v>
      </c>
      <c r="AC358">
        <f t="shared" si="114"/>
        <v>0</v>
      </c>
      <c r="AD358">
        <f t="shared" si="115"/>
        <v>0</v>
      </c>
      <c r="AE358">
        <f t="shared" si="116"/>
        <v>0</v>
      </c>
      <c r="AF358">
        <f t="shared" si="117"/>
        <v>0</v>
      </c>
      <c r="AG358">
        <v>357</v>
      </c>
      <c r="AH358">
        <f t="shared" si="125"/>
        <v>0</v>
      </c>
      <c r="AI358">
        <f>IF(AG358&gt;='Loan Prepayment'!$E$11,'Loan Prepayment'!$E$12,'Loan Prepayment'!$B$6)</f>
        <v>6.5</v>
      </c>
      <c r="AJ358">
        <f>IF(AH358&lt;=0,0,MIN(IF(AG358='Loan Prepayment'!$E$11,IF('Loan Prepayment'!$E$13="Keep tenure, recalculate EMI",-PMT(AI358/1200,MAX(1,'Loan Prepayment'!$B$7*12-AG358+1),AH358),IF(AND('Loan Prepayment'!$E$15="Reduce EMI",AM357&gt;0),-PMT(AI357/1200,MAX(1,'Loan Prepayment'!$B$7*12-AG358+1),AH358),AJ357)),IF(AND('Loan Prepayment'!$E$15="Reduce EMI",AM357&gt;0),-PMT(AI358/1200,MAX(1,'Loan Prepayment'!$B$7*12-AG358+1),AH358),AJ357)),AH358+AK358))</f>
        <v>0</v>
      </c>
      <c r="AK358">
        <f t="shared" si="118"/>
        <v>0</v>
      </c>
      <c r="AL358">
        <f t="shared" si="119"/>
        <v>0</v>
      </c>
      <c r="AM358">
        <f>IF(AH358&lt;=0,0,MIN(MAX(0,AH358-AL358),SUMIFS('Loan Prepayment'!$B$12:$B$31,'Loan Prepayment'!$A$12:$A$31,AG358)+IF(AND(AG358&gt;='Loan Prepayment'!$B$9,AG358&lt;='Loan Prepayment'!$E$16),'Loan Prepayment'!$B$8,0)))</f>
        <v>0</v>
      </c>
      <c r="AN358">
        <f t="shared" si="120"/>
        <v>0</v>
      </c>
    </row>
    <row r="359" spans="1:40" x14ac:dyDescent="0.35">
      <c r="A359">
        <v>358</v>
      </c>
      <c r="B359">
        <f t="shared" si="121"/>
        <v>0</v>
      </c>
      <c r="C359" s="64">
        <f>'Loan Prepayment'!$B$6</f>
        <v>7.5</v>
      </c>
      <c r="D359">
        <f>IF(B359&lt;=0,0,MIN(-PMT('Loan Prepayment'!$B$6/1200,'Loan Prepayment'!$B$7*12,'Loan Prepayment'!$B$5),B359+E359))</f>
        <v>0</v>
      </c>
      <c r="E359">
        <f t="shared" si="105"/>
        <v>0</v>
      </c>
      <c r="F359">
        <f t="shared" si="106"/>
        <v>0</v>
      </c>
      <c r="G359">
        <v>0</v>
      </c>
      <c r="H359">
        <f t="shared" si="107"/>
        <v>0</v>
      </c>
      <c r="I359">
        <v>358</v>
      </c>
      <c r="J359">
        <f t="shared" si="122"/>
        <v>0</v>
      </c>
      <c r="K359" s="64">
        <f>'Loan Prepayment'!$B$6</f>
        <v>7.5</v>
      </c>
      <c r="L359">
        <f>IF(J359&lt;=0,0,MIN(IF(AND('Loan Prepayment'!$E$15="Reduce EMI",O358&gt;0),-PMT(K359/1200,MAX(1,'Loan Prepayment'!$B$7*12-I359+1),J359),L358),J359+M359))</f>
        <v>0</v>
      </c>
      <c r="M359">
        <f t="shared" si="108"/>
        <v>0</v>
      </c>
      <c r="N359">
        <f t="shared" si="109"/>
        <v>0</v>
      </c>
      <c r="O359">
        <f>IF(J359&lt;=0,0,MIN(MAX(0,J359-N359),SUMIFS('Loan Prepayment'!$B$12:$B$31,'Loan Prepayment'!$A$12:$A$31,I359)+0))</f>
        <v>0</v>
      </c>
      <c r="P359">
        <f t="shared" si="110"/>
        <v>0</v>
      </c>
      <c r="Q359">
        <v>358</v>
      </c>
      <c r="R359">
        <f t="shared" si="123"/>
        <v>0</v>
      </c>
      <c r="S359" s="64">
        <f>'Loan Prepayment'!$B$6</f>
        <v>7.5</v>
      </c>
      <c r="T359">
        <f>IF(R359&lt;=0,0,MIN(IF(AND('Loan Prepayment'!$E$15="Reduce EMI",W358&gt;0),-PMT(S359/1200,MAX(1,'Loan Prepayment'!$B$7*12-Q359+1),R359),T358),R359+U359))</f>
        <v>0</v>
      </c>
      <c r="U359">
        <f t="shared" si="111"/>
        <v>0</v>
      </c>
      <c r="V359">
        <f t="shared" si="112"/>
        <v>0</v>
      </c>
      <c r="W359">
        <f>IF(R359&lt;=0,0,MIN(MAX(0,R359-V359),0+IF(AND(Q359&gt;='Loan Prepayment'!$B$9,Q359&lt;='Loan Prepayment'!$E$16),'Loan Prepayment'!$B$8,0)))</f>
        <v>0</v>
      </c>
      <c r="X359">
        <f t="shared" si="113"/>
        <v>0</v>
      </c>
      <c r="Y359">
        <v>358</v>
      </c>
      <c r="Z359">
        <f t="shared" si="124"/>
        <v>0</v>
      </c>
      <c r="AA359">
        <f>IF(Y359&gt;='Loan Prepayment'!$E$11,'Loan Prepayment'!$E$12,'Loan Prepayment'!$B$6)</f>
        <v>6.5</v>
      </c>
      <c r="AB359">
        <f>IF(Z359&lt;=0,0,MIN(IF(Y359='Loan Prepayment'!$E$11,IF('Loan Prepayment'!$E$13="Keep tenure, recalculate EMI",-PMT(AA359/1200,MAX(1,'Loan Prepayment'!$B$7*12-Y359+1),Z359),AB358),AB358),Z359+AC359))</f>
        <v>0</v>
      </c>
      <c r="AC359">
        <f t="shared" si="114"/>
        <v>0</v>
      </c>
      <c r="AD359">
        <f t="shared" si="115"/>
        <v>0</v>
      </c>
      <c r="AE359">
        <f t="shared" si="116"/>
        <v>0</v>
      </c>
      <c r="AF359">
        <f t="shared" si="117"/>
        <v>0</v>
      </c>
      <c r="AG359">
        <v>358</v>
      </c>
      <c r="AH359">
        <f t="shared" si="125"/>
        <v>0</v>
      </c>
      <c r="AI359">
        <f>IF(AG359&gt;='Loan Prepayment'!$E$11,'Loan Prepayment'!$E$12,'Loan Prepayment'!$B$6)</f>
        <v>6.5</v>
      </c>
      <c r="AJ359">
        <f>IF(AH359&lt;=0,0,MIN(IF(AG359='Loan Prepayment'!$E$11,IF('Loan Prepayment'!$E$13="Keep tenure, recalculate EMI",-PMT(AI359/1200,MAX(1,'Loan Prepayment'!$B$7*12-AG359+1),AH359),IF(AND('Loan Prepayment'!$E$15="Reduce EMI",AM358&gt;0),-PMT(AI358/1200,MAX(1,'Loan Prepayment'!$B$7*12-AG359+1),AH359),AJ358)),IF(AND('Loan Prepayment'!$E$15="Reduce EMI",AM358&gt;0),-PMT(AI359/1200,MAX(1,'Loan Prepayment'!$B$7*12-AG359+1),AH359),AJ358)),AH359+AK359))</f>
        <v>0</v>
      </c>
      <c r="AK359">
        <f t="shared" si="118"/>
        <v>0</v>
      </c>
      <c r="AL359">
        <f t="shared" si="119"/>
        <v>0</v>
      </c>
      <c r="AM359">
        <f>IF(AH359&lt;=0,0,MIN(MAX(0,AH359-AL359),SUMIFS('Loan Prepayment'!$B$12:$B$31,'Loan Prepayment'!$A$12:$A$31,AG359)+IF(AND(AG359&gt;='Loan Prepayment'!$B$9,AG359&lt;='Loan Prepayment'!$E$16),'Loan Prepayment'!$B$8,0)))</f>
        <v>0</v>
      </c>
      <c r="AN359">
        <f t="shared" si="120"/>
        <v>0</v>
      </c>
    </row>
    <row r="360" spans="1:40" x14ac:dyDescent="0.35">
      <c r="A360">
        <v>359</v>
      </c>
      <c r="B360">
        <f t="shared" si="121"/>
        <v>0</v>
      </c>
      <c r="C360" s="64">
        <f>'Loan Prepayment'!$B$6</f>
        <v>7.5</v>
      </c>
      <c r="D360">
        <f>IF(B360&lt;=0,0,MIN(-PMT('Loan Prepayment'!$B$6/1200,'Loan Prepayment'!$B$7*12,'Loan Prepayment'!$B$5),B360+E360))</f>
        <v>0</v>
      </c>
      <c r="E360">
        <f t="shared" si="105"/>
        <v>0</v>
      </c>
      <c r="F360">
        <f t="shared" si="106"/>
        <v>0</v>
      </c>
      <c r="G360">
        <v>0</v>
      </c>
      <c r="H360">
        <f t="shared" si="107"/>
        <v>0</v>
      </c>
      <c r="I360">
        <v>359</v>
      </c>
      <c r="J360">
        <f t="shared" si="122"/>
        <v>0</v>
      </c>
      <c r="K360" s="64">
        <f>'Loan Prepayment'!$B$6</f>
        <v>7.5</v>
      </c>
      <c r="L360">
        <f>IF(J360&lt;=0,0,MIN(IF(AND('Loan Prepayment'!$E$15="Reduce EMI",O359&gt;0),-PMT(K360/1200,MAX(1,'Loan Prepayment'!$B$7*12-I360+1),J360),L359),J360+M360))</f>
        <v>0</v>
      </c>
      <c r="M360">
        <f t="shared" si="108"/>
        <v>0</v>
      </c>
      <c r="N360">
        <f t="shared" si="109"/>
        <v>0</v>
      </c>
      <c r="O360">
        <f>IF(J360&lt;=0,0,MIN(MAX(0,J360-N360),SUMIFS('Loan Prepayment'!$B$12:$B$31,'Loan Prepayment'!$A$12:$A$31,I360)+0))</f>
        <v>0</v>
      </c>
      <c r="P360">
        <f t="shared" si="110"/>
        <v>0</v>
      </c>
      <c r="Q360">
        <v>359</v>
      </c>
      <c r="R360">
        <f t="shared" si="123"/>
        <v>0</v>
      </c>
      <c r="S360" s="64">
        <f>'Loan Prepayment'!$B$6</f>
        <v>7.5</v>
      </c>
      <c r="T360">
        <f>IF(R360&lt;=0,0,MIN(IF(AND('Loan Prepayment'!$E$15="Reduce EMI",W359&gt;0),-PMT(S360/1200,MAX(1,'Loan Prepayment'!$B$7*12-Q360+1),R360),T359),R360+U360))</f>
        <v>0</v>
      </c>
      <c r="U360">
        <f t="shared" si="111"/>
        <v>0</v>
      </c>
      <c r="V360">
        <f t="shared" si="112"/>
        <v>0</v>
      </c>
      <c r="W360">
        <f>IF(R360&lt;=0,0,MIN(MAX(0,R360-V360),0+IF(AND(Q360&gt;='Loan Prepayment'!$B$9,Q360&lt;='Loan Prepayment'!$E$16),'Loan Prepayment'!$B$8,0)))</f>
        <v>0</v>
      </c>
      <c r="X360">
        <f t="shared" si="113"/>
        <v>0</v>
      </c>
      <c r="Y360">
        <v>359</v>
      </c>
      <c r="Z360">
        <f t="shared" si="124"/>
        <v>0</v>
      </c>
      <c r="AA360">
        <f>IF(Y360&gt;='Loan Prepayment'!$E$11,'Loan Prepayment'!$E$12,'Loan Prepayment'!$B$6)</f>
        <v>6.5</v>
      </c>
      <c r="AB360">
        <f>IF(Z360&lt;=0,0,MIN(IF(Y360='Loan Prepayment'!$E$11,IF('Loan Prepayment'!$E$13="Keep tenure, recalculate EMI",-PMT(AA360/1200,MAX(1,'Loan Prepayment'!$B$7*12-Y360+1),Z360),AB359),AB359),Z360+AC360))</f>
        <v>0</v>
      </c>
      <c r="AC360">
        <f t="shared" si="114"/>
        <v>0</v>
      </c>
      <c r="AD360">
        <f t="shared" si="115"/>
        <v>0</v>
      </c>
      <c r="AE360">
        <f t="shared" si="116"/>
        <v>0</v>
      </c>
      <c r="AF360">
        <f t="shared" si="117"/>
        <v>0</v>
      </c>
      <c r="AG360">
        <v>359</v>
      </c>
      <c r="AH360">
        <f t="shared" si="125"/>
        <v>0</v>
      </c>
      <c r="AI360">
        <f>IF(AG360&gt;='Loan Prepayment'!$E$11,'Loan Prepayment'!$E$12,'Loan Prepayment'!$B$6)</f>
        <v>6.5</v>
      </c>
      <c r="AJ360">
        <f>IF(AH360&lt;=0,0,MIN(IF(AG360='Loan Prepayment'!$E$11,IF('Loan Prepayment'!$E$13="Keep tenure, recalculate EMI",-PMT(AI360/1200,MAX(1,'Loan Prepayment'!$B$7*12-AG360+1),AH360),IF(AND('Loan Prepayment'!$E$15="Reduce EMI",AM359&gt;0),-PMT(AI359/1200,MAX(1,'Loan Prepayment'!$B$7*12-AG360+1),AH360),AJ359)),IF(AND('Loan Prepayment'!$E$15="Reduce EMI",AM359&gt;0),-PMT(AI360/1200,MAX(1,'Loan Prepayment'!$B$7*12-AG360+1),AH360),AJ359)),AH360+AK360))</f>
        <v>0</v>
      </c>
      <c r="AK360">
        <f t="shared" si="118"/>
        <v>0</v>
      </c>
      <c r="AL360">
        <f t="shared" si="119"/>
        <v>0</v>
      </c>
      <c r="AM360">
        <f>IF(AH360&lt;=0,0,MIN(MAX(0,AH360-AL360),SUMIFS('Loan Prepayment'!$B$12:$B$31,'Loan Prepayment'!$A$12:$A$31,AG360)+IF(AND(AG360&gt;='Loan Prepayment'!$B$9,AG360&lt;='Loan Prepayment'!$E$16),'Loan Prepayment'!$B$8,0)))</f>
        <v>0</v>
      </c>
      <c r="AN360">
        <f t="shared" si="120"/>
        <v>0</v>
      </c>
    </row>
    <row r="361" spans="1:40" x14ac:dyDescent="0.35">
      <c r="A361">
        <v>360</v>
      </c>
      <c r="B361">
        <f t="shared" si="121"/>
        <v>0</v>
      </c>
      <c r="C361" s="64">
        <f>'Loan Prepayment'!$B$6</f>
        <v>7.5</v>
      </c>
      <c r="D361">
        <f>IF(B361&lt;=0,0,MIN(-PMT('Loan Prepayment'!$B$6/1200,'Loan Prepayment'!$B$7*12,'Loan Prepayment'!$B$5),B361+E361))</f>
        <v>0</v>
      </c>
      <c r="E361">
        <f t="shared" si="105"/>
        <v>0</v>
      </c>
      <c r="F361">
        <f t="shared" si="106"/>
        <v>0</v>
      </c>
      <c r="G361">
        <v>0</v>
      </c>
      <c r="H361">
        <f t="shared" si="107"/>
        <v>0</v>
      </c>
      <c r="I361">
        <v>360</v>
      </c>
      <c r="J361">
        <f t="shared" si="122"/>
        <v>0</v>
      </c>
      <c r="K361" s="64">
        <f>'Loan Prepayment'!$B$6</f>
        <v>7.5</v>
      </c>
      <c r="L361">
        <f>IF(J361&lt;=0,0,MIN(IF(AND('Loan Prepayment'!$E$15="Reduce EMI",O360&gt;0),-PMT(K361/1200,MAX(1,'Loan Prepayment'!$B$7*12-I361+1),J361),L360),J361+M361))</f>
        <v>0</v>
      </c>
      <c r="M361">
        <f t="shared" si="108"/>
        <v>0</v>
      </c>
      <c r="N361">
        <f t="shared" si="109"/>
        <v>0</v>
      </c>
      <c r="O361">
        <f>IF(J361&lt;=0,0,MIN(MAX(0,J361-N361),SUMIFS('Loan Prepayment'!$B$12:$B$31,'Loan Prepayment'!$A$12:$A$31,I361)+0))</f>
        <v>0</v>
      </c>
      <c r="P361">
        <f t="shared" si="110"/>
        <v>0</v>
      </c>
      <c r="Q361">
        <v>360</v>
      </c>
      <c r="R361">
        <f t="shared" si="123"/>
        <v>0</v>
      </c>
      <c r="S361" s="64">
        <f>'Loan Prepayment'!$B$6</f>
        <v>7.5</v>
      </c>
      <c r="T361">
        <f>IF(R361&lt;=0,0,MIN(IF(AND('Loan Prepayment'!$E$15="Reduce EMI",W360&gt;0),-PMT(S361/1200,MAX(1,'Loan Prepayment'!$B$7*12-Q361+1),R361),T360),R361+U361))</f>
        <v>0</v>
      </c>
      <c r="U361">
        <f t="shared" si="111"/>
        <v>0</v>
      </c>
      <c r="V361">
        <f t="shared" si="112"/>
        <v>0</v>
      </c>
      <c r="W361">
        <f>IF(R361&lt;=0,0,MIN(MAX(0,R361-V361),0+IF(AND(Q361&gt;='Loan Prepayment'!$B$9,Q361&lt;='Loan Prepayment'!$E$16),'Loan Prepayment'!$B$8,0)))</f>
        <v>0</v>
      </c>
      <c r="X361">
        <f t="shared" si="113"/>
        <v>0</v>
      </c>
      <c r="Y361">
        <v>360</v>
      </c>
      <c r="Z361">
        <f t="shared" si="124"/>
        <v>0</v>
      </c>
      <c r="AA361">
        <f>IF(Y361&gt;='Loan Prepayment'!$E$11,'Loan Prepayment'!$E$12,'Loan Prepayment'!$B$6)</f>
        <v>6.5</v>
      </c>
      <c r="AB361">
        <f>IF(Z361&lt;=0,0,MIN(IF(Y361='Loan Prepayment'!$E$11,IF('Loan Prepayment'!$E$13="Keep tenure, recalculate EMI",-PMT(AA361/1200,MAX(1,'Loan Prepayment'!$B$7*12-Y361+1),Z361),AB360),AB360),Z361+AC361))</f>
        <v>0</v>
      </c>
      <c r="AC361">
        <f t="shared" si="114"/>
        <v>0</v>
      </c>
      <c r="AD361">
        <f t="shared" si="115"/>
        <v>0</v>
      </c>
      <c r="AE361">
        <f t="shared" si="116"/>
        <v>0</v>
      </c>
      <c r="AF361">
        <f t="shared" si="117"/>
        <v>0</v>
      </c>
      <c r="AG361">
        <v>360</v>
      </c>
      <c r="AH361">
        <f t="shared" si="125"/>
        <v>0</v>
      </c>
      <c r="AI361">
        <f>IF(AG361&gt;='Loan Prepayment'!$E$11,'Loan Prepayment'!$E$12,'Loan Prepayment'!$B$6)</f>
        <v>6.5</v>
      </c>
      <c r="AJ361">
        <f>IF(AH361&lt;=0,0,MIN(IF(AG361='Loan Prepayment'!$E$11,IF('Loan Prepayment'!$E$13="Keep tenure, recalculate EMI",-PMT(AI361/1200,MAX(1,'Loan Prepayment'!$B$7*12-AG361+1),AH361),IF(AND('Loan Prepayment'!$E$15="Reduce EMI",AM360&gt;0),-PMT(AI360/1200,MAX(1,'Loan Prepayment'!$B$7*12-AG361+1),AH361),AJ360)),IF(AND('Loan Prepayment'!$E$15="Reduce EMI",AM360&gt;0),-PMT(AI361/1200,MAX(1,'Loan Prepayment'!$B$7*12-AG361+1),AH361),AJ360)),AH361+AK361))</f>
        <v>0</v>
      </c>
      <c r="AK361">
        <f t="shared" si="118"/>
        <v>0</v>
      </c>
      <c r="AL361">
        <f t="shared" si="119"/>
        <v>0</v>
      </c>
      <c r="AM361">
        <f>IF(AH361&lt;=0,0,MIN(MAX(0,AH361-AL361),SUMIFS('Loan Prepayment'!$B$12:$B$31,'Loan Prepayment'!$A$12:$A$31,AG361)+IF(AND(AG361&gt;='Loan Prepayment'!$B$9,AG361&lt;='Loan Prepayment'!$E$16),'Loan Prepayment'!$B$8,0)))</f>
        <v>0</v>
      </c>
      <c r="AN361">
        <f t="shared" si="120"/>
        <v>0</v>
      </c>
    </row>
    <row r="362" spans="1:40" x14ac:dyDescent="0.35">
      <c r="A362">
        <f>A361+1</f>
        <v>361</v>
      </c>
      <c r="B362">
        <f t="shared" ref="B362:B425" si="126">H361</f>
        <v>0</v>
      </c>
      <c r="C362">
        <f>'Loan Prepayment'!$B$6</f>
        <v>7.5</v>
      </c>
      <c r="D362">
        <f>IF(B362&lt;=0,0,MIN(-PMT('Loan Prepayment'!$B$6/1200,'Loan Prepayment'!$B$7*12,'Loan Prepayment'!$B$5),B362+E362))</f>
        <v>0</v>
      </c>
      <c r="E362">
        <f t="shared" ref="E362:E425" si="127">IF(B362&lt;=0,0,B362*C362/1200)</f>
        <v>0</v>
      </c>
      <c r="F362">
        <f t="shared" ref="F362:F425" si="128">MAX(0,D362-E362)</f>
        <v>0</v>
      </c>
      <c r="G362">
        <v>0</v>
      </c>
      <c r="H362">
        <f t="shared" ref="H362:H425" si="129">MAX(0,B362-F362-G362)</f>
        <v>0</v>
      </c>
      <c r="I362">
        <f>I361+1</f>
        <v>361</v>
      </c>
      <c r="J362">
        <f t="shared" ref="J362:J425" si="130">P361</f>
        <v>0</v>
      </c>
      <c r="K362">
        <f>'Loan Prepayment'!$B$6</f>
        <v>7.5</v>
      </c>
      <c r="L362">
        <f>IF(J362&lt;=0,0,MIN(IF(AND('Loan Prepayment'!$E$15="Reduce EMI",O361&gt;0),-PMT(K362/1200,MAX(1,'Loan Prepayment'!$B$7*12-I362+1),J362),L361),J362+M362))</f>
        <v>0</v>
      </c>
      <c r="M362">
        <f t="shared" ref="M362:M425" si="131">IF(J362&lt;=0,0,J362*K362/1200)</f>
        <v>0</v>
      </c>
      <c r="N362">
        <f t="shared" ref="N362:N425" si="132">MAX(0,L362-M362)</f>
        <v>0</v>
      </c>
      <c r="O362">
        <f>IF(J362&lt;=0,0,MIN(MAX(0,J362-N362),SUMIFS('Loan Prepayment'!$B$12:$B$31,'Loan Prepayment'!$A$12:$A$31,I362)+0))</f>
        <v>0</v>
      </c>
      <c r="P362">
        <f t="shared" ref="P362:P425" si="133">MAX(0,J362-N362-O362)</f>
        <v>0</v>
      </c>
      <c r="Q362">
        <f>Q361+1</f>
        <v>361</v>
      </c>
      <c r="R362">
        <f t="shared" ref="R362:R425" si="134">X361</f>
        <v>0</v>
      </c>
      <c r="S362">
        <f>'Loan Prepayment'!$B$6</f>
        <v>7.5</v>
      </c>
      <c r="T362">
        <f>IF(R362&lt;=0,0,MIN(IF(AND('Loan Prepayment'!$E$15="Reduce EMI",W361&gt;0),-PMT(S362/1200,MAX(1,'Loan Prepayment'!$B$7*12-Q362+1),R362),T361),R362+U362))</f>
        <v>0</v>
      </c>
      <c r="U362">
        <f t="shared" ref="U362:U425" si="135">IF(R362&lt;=0,0,R362*S362/1200)</f>
        <v>0</v>
      </c>
      <c r="V362">
        <f t="shared" ref="V362:V425" si="136">MAX(0,T362-U362)</f>
        <v>0</v>
      </c>
      <c r="W362">
        <f>IF(R362&lt;=0,0,MIN(MAX(0,R362-V362),0+IF(AND(Q362&gt;='Loan Prepayment'!$B$9,Q362&lt;='Loan Prepayment'!$E$16),'Loan Prepayment'!$B$8,0)))</f>
        <v>0</v>
      </c>
      <c r="X362">
        <f t="shared" ref="X362:X425" si="137">MAX(0,R362-V362-W362)</f>
        <v>0</v>
      </c>
      <c r="Y362">
        <f>Y361+1</f>
        <v>361</v>
      </c>
      <c r="Z362">
        <f t="shared" ref="Z362:Z425" si="138">AF361</f>
        <v>0</v>
      </c>
      <c r="AA362">
        <f>IF(Y362&gt;='Loan Prepayment'!$E$11,'Loan Prepayment'!$E$12,'Loan Prepayment'!$B$6)</f>
        <v>6.5</v>
      </c>
      <c r="AB362">
        <f>IF(Z362&lt;=0,0,MIN(IF(Y362='Loan Prepayment'!$E$11,IF('Loan Prepayment'!$E$13="Keep tenure, recalculate EMI",-PMT(AA362/1200,MAX(1,'Loan Prepayment'!$B$7*12-Y362+1),Z362),AB361),AB361),Z362+AC362))</f>
        <v>0</v>
      </c>
      <c r="AC362">
        <f t="shared" ref="AC362:AC425" si="139">IF(Z362&lt;=0,0,Z362*AA362/1200)</f>
        <v>0</v>
      </c>
      <c r="AD362">
        <f t="shared" ref="AD362:AD425" si="140">MAX(0,AB362-AC362)</f>
        <v>0</v>
      </c>
      <c r="AE362">
        <f t="shared" ref="AE362:AE425" si="141">IF(Z362&lt;=0,0,MIN(MAX(0,Z362-AD362),0))</f>
        <v>0</v>
      </c>
      <c r="AF362">
        <f t="shared" ref="AF362:AF425" si="142">MAX(0,Z362-AD362-AE362)</f>
        <v>0</v>
      </c>
      <c r="AG362">
        <f>AG361+1</f>
        <v>361</v>
      </c>
      <c r="AH362">
        <f t="shared" ref="AH362:AH425" si="143">AN361</f>
        <v>0</v>
      </c>
      <c r="AI362">
        <f>IF(AG362&gt;='Loan Prepayment'!$E$11,'Loan Prepayment'!$E$12,'Loan Prepayment'!$B$6)</f>
        <v>6.5</v>
      </c>
      <c r="AJ362">
        <f>IF(AH362&lt;=0,0,MIN(IF(AG362='Loan Prepayment'!$E$11,IF('Loan Prepayment'!$E$13="Keep tenure, recalculate EMI",-PMT(AI362/1200,MAX(1,'Loan Prepayment'!$B$7*12-AG362+1),AH362),IF(AND('Loan Prepayment'!$E$15="Reduce EMI",AM361&gt;0),-PMT(AI361/1200,MAX(1,'Loan Prepayment'!$B$7*12-AG362+1),AH362),AJ361)),IF(AND('Loan Prepayment'!$E$15="Reduce EMI",AM361&gt;0),-PMT(AI362/1200,MAX(1,'Loan Prepayment'!$B$7*12-AG362+1),AH362),AJ361)),AH362+AK362))</f>
        <v>0</v>
      </c>
      <c r="AK362">
        <f t="shared" ref="AK362:AK425" si="144">IF(AH362&lt;=0,0,AH362*AI362/1200)</f>
        <v>0</v>
      </c>
      <c r="AL362">
        <f t="shared" ref="AL362:AL425" si="145">MAX(0,AJ362-AK362)</f>
        <v>0</v>
      </c>
      <c r="AM362">
        <f>IF(AH362&lt;=0,0,MIN(MAX(0,AH362-AL362),SUMIFS('Loan Prepayment'!$B$12:$B$31,'Loan Prepayment'!$A$12:$A$31,AG362)+IF(AND(AG362&gt;='Loan Prepayment'!$B$9,AG362&lt;='Loan Prepayment'!$E$16),'Loan Prepayment'!$B$8,0)))</f>
        <v>0</v>
      </c>
      <c r="AN362">
        <f t="shared" ref="AN362:AN425" si="146">MAX(0,AH362-AL362-AM362)</f>
        <v>0</v>
      </c>
    </row>
    <row r="363" spans="1:40" x14ac:dyDescent="0.35">
      <c r="A363">
        <f t="shared" ref="A363:A426" si="147">A362+1</f>
        <v>362</v>
      </c>
      <c r="B363">
        <f t="shared" si="126"/>
        <v>0</v>
      </c>
      <c r="C363">
        <f>'Loan Prepayment'!$B$6</f>
        <v>7.5</v>
      </c>
      <c r="D363">
        <f>IF(B363&lt;=0,0,MIN(-PMT('Loan Prepayment'!$B$6/1200,'Loan Prepayment'!$B$7*12,'Loan Prepayment'!$B$5),B363+E363))</f>
        <v>0</v>
      </c>
      <c r="E363">
        <f t="shared" si="127"/>
        <v>0</v>
      </c>
      <c r="F363">
        <f t="shared" si="128"/>
        <v>0</v>
      </c>
      <c r="G363">
        <v>0</v>
      </c>
      <c r="H363">
        <f t="shared" si="129"/>
        <v>0</v>
      </c>
      <c r="I363">
        <f t="shared" ref="I363:I426" si="148">I362+1</f>
        <v>362</v>
      </c>
      <c r="J363">
        <f t="shared" si="130"/>
        <v>0</v>
      </c>
      <c r="K363">
        <f>'Loan Prepayment'!$B$6</f>
        <v>7.5</v>
      </c>
      <c r="L363">
        <f>IF(J363&lt;=0,0,MIN(IF(AND('Loan Prepayment'!$E$15="Reduce EMI",O362&gt;0),-PMT(K363/1200,MAX(1,'Loan Prepayment'!$B$7*12-I363+1),J363),L362),J363+M363))</f>
        <v>0</v>
      </c>
      <c r="M363">
        <f t="shared" si="131"/>
        <v>0</v>
      </c>
      <c r="N363">
        <f t="shared" si="132"/>
        <v>0</v>
      </c>
      <c r="O363">
        <f>IF(J363&lt;=0,0,MIN(MAX(0,J363-N363),SUMIFS('Loan Prepayment'!$B$12:$B$31,'Loan Prepayment'!$A$12:$A$31,I363)+0))</f>
        <v>0</v>
      </c>
      <c r="P363">
        <f t="shared" si="133"/>
        <v>0</v>
      </c>
      <c r="Q363">
        <f t="shared" ref="Q363:Q426" si="149">Q362+1</f>
        <v>362</v>
      </c>
      <c r="R363">
        <f t="shared" si="134"/>
        <v>0</v>
      </c>
      <c r="S363">
        <f>'Loan Prepayment'!$B$6</f>
        <v>7.5</v>
      </c>
      <c r="T363">
        <f>IF(R363&lt;=0,0,MIN(IF(AND('Loan Prepayment'!$E$15="Reduce EMI",W362&gt;0),-PMT(S363/1200,MAX(1,'Loan Prepayment'!$B$7*12-Q363+1),R363),T362),R363+U363))</f>
        <v>0</v>
      </c>
      <c r="U363">
        <f t="shared" si="135"/>
        <v>0</v>
      </c>
      <c r="V363">
        <f t="shared" si="136"/>
        <v>0</v>
      </c>
      <c r="W363">
        <f>IF(R363&lt;=0,0,MIN(MAX(0,R363-V363),0+IF(AND(Q363&gt;='Loan Prepayment'!$B$9,Q363&lt;='Loan Prepayment'!$E$16),'Loan Prepayment'!$B$8,0)))</f>
        <v>0</v>
      </c>
      <c r="X363">
        <f t="shared" si="137"/>
        <v>0</v>
      </c>
      <c r="Y363">
        <f t="shared" ref="Y363:Y426" si="150">Y362+1</f>
        <v>362</v>
      </c>
      <c r="Z363">
        <f t="shared" si="138"/>
        <v>0</v>
      </c>
      <c r="AA363">
        <f>IF(Y363&gt;='Loan Prepayment'!$E$11,'Loan Prepayment'!$E$12,'Loan Prepayment'!$B$6)</f>
        <v>6.5</v>
      </c>
      <c r="AB363">
        <f>IF(Z363&lt;=0,0,MIN(IF(Y363='Loan Prepayment'!$E$11,IF('Loan Prepayment'!$E$13="Keep tenure, recalculate EMI",-PMT(AA363/1200,MAX(1,'Loan Prepayment'!$B$7*12-Y363+1),Z363),AB362),AB362),Z363+AC363))</f>
        <v>0</v>
      </c>
      <c r="AC363">
        <f t="shared" si="139"/>
        <v>0</v>
      </c>
      <c r="AD363">
        <f t="shared" si="140"/>
        <v>0</v>
      </c>
      <c r="AE363">
        <f t="shared" si="141"/>
        <v>0</v>
      </c>
      <c r="AF363">
        <f t="shared" si="142"/>
        <v>0</v>
      </c>
      <c r="AG363">
        <f t="shared" ref="AG363:AG426" si="151">AG362+1</f>
        <v>362</v>
      </c>
      <c r="AH363">
        <f t="shared" si="143"/>
        <v>0</v>
      </c>
      <c r="AI363">
        <f>IF(AG363&gt;='Loan Prepayment'!$E$11,'Loan Prepayment'!$E$12,'Loan Prepayment'!$B$6)</f>
        <v>6.5</v>
      </c>
      <c r="AJ363">
        <f>IF(AH363&lt;=0,0,MIN(IF(AG363='Loan Prepayment'!$E$11,IF('Loan Prepayment'!$E$13="Keep tenure, recalculate EMI",-PMT(AI363/1200,MAX(1,'Loan Prepayment'!$B$7*12-AG363+1),AH363),IF(AND('Loan Prepayment'!$E$15="Reduce EMI",AM362&gt;0),-PMT(AI362/1200,MAX(1,'Loan Prepayment'!$B$7*12-AG363+1),AH363),AJ362)),IF(AND('Loan Prepayment'!$E$15="Reduce EMI",AM362&gt;0),-PMT(AI363/1200,MAX(1,'Loan Prepayment'!$B$7*12-AG363+1),AH363),AJ362)),AH363+AK363))</f>
        <v>0</v>
      </c>
      <c r="AK363">
        <f t="shared" si="144"/>
        <v>0</v>
      </c>
      <c r="AL363">
        <f t="shared" si="145"/>
        <v>0</v>
      </c>
      <c r="AM363">
        <f>IF(AH363&lt;=0,0,MIN(MAX(0,AH363-AL363),SUMIFS('Loan Prepayment'!$B$12:$B$31,'Loan Prepayment'!$A$12:$A$31,AG363)+IF(AND(AG363&gt;='Loan Prepayment'!$B$9,AG363&lt;='Loan Prepayment'!$E$16),'Loan Prepayment'!$B$8,0)))</f>
        <v>0</v>
      </c>
      <c r="AN363">
        <f t="shared" si="146"/>
        <v>0</v>
      </c>
    </row>
    <row r="364" spans="1:40" x14ac:dyDescent="0.35">
      <c r="A364">
        <f t="shared" si="147"/>
        <v>363</v>
      </c>
      <c r="B364">
        <f t="shared" si="126"/>
        <v>0</v>
      </c>
      <c r="C364">
        <f>'Loan Prepayment'!$B$6</f>
        <v>7.5</v>
      </c>
      <c r="D364">
        <f>IF(B364&lt;=0,0,MIN(-PMT('Loan Prepayment'!$B$6/1200,'Loan Prepayment'!$B$7*12,'Loan Prepayment'!$B$5),B364+E364))</f>
        <v>0</v>
      </c>
      <c r="E364">
        <f t="shared" si="127"/>
        <v>0</v>
      </c>
      <c r="F364">
        <f t="shared" si="128"/>
        <v>0</v>
      </c>
      <c r="G364">
        <v>0</v>
      </c>
      <c r="H364">
        <f t="shared" si="129"/>
        <v>0</v>
      </c>
      <c r="I364">
        <f t="shared" si="148"/>
        <v>363</v>
      </c>
      <c r="J364">
        <f t="shared" si="130"/>
        <v>0</v>
      </c>
      <c r="K364">
        <f>'Loan Prepayment'!$B$6</f>
        <v>7.5</v>
      </c>
      <c r="L364">
        <f>IF(J364&lt;=0,0,MIN(IF(AND('Loan Prepayment'!$E$15="Reduce EMI",O363&gt;0),-PMT(K364/1200,MAX(1,'Loan Prepayment'!$B$7*12-I364+1),J364),L363),J364+M364))</f>
        <v>0</v>
      </c>
      <c r="M364">
        <f t="shared" si="131"/>
        <v>0</v>
      </c>
      <c r="N364">
        <f t="shared" si="132"/>
        <v>0</v>
      </c>
      <c r="O364">
        <f>IF(J364&lt;=0,0,MIN(MAX(0,J364-N364),SUMIFS('Loan Prepayment'!$B$12:$B$31,'Loan Prepayment'!$A$12:$A$31,I364)+0))</f>
        <v>0</v>
      </c>
      <c r="P364">
        <f t="shared" si="133"/>
        <v>0</v>
      </c>
      <c r="Q364">
        <f t="shared" si="149"/>
        <v>363</v>
      </c>
      <c r="R364">
        <f t="shared" si="134"/>
        <v>0</v>
      </c>
      <c r="S364">
        <f>'Loan Prepayment'!$B$6</f>
        <v>7.5</v>
      </c>
      <c r="T364">
        <f>IF(R364&lt;=0,0,MIN(IF(AND('Loan Prepayment'!$E$15="Reduce EMI",W363&gt;0),-PMT(S364/1200,MAX(1,'Loan Prepayment'!$B$7*12-Q364+1),R364),T363),R364+U364))</f>
        <v>0</v>
      </c>
      <c r="U364">
        <f t="shared" si="135"/>
        <v>0</v>
      </c>
      <c r="V364">
        <f t="shared" si="136"/>
        <v>0</v>
      </c>
      <c r="W364">
        <f>IF(R364&lt;=0,0,MIN(MAX(0,R364-V364),0+IF(AND(Q364&gt;='Loan Prepayment'!$B$9,Q364&lt;='Loan Prepayment'!$E$16),'Loan Prepayment'!$B$8,0)))</f>
        <v>0</v>
      </c>
      <c r="X364">
        <f t="shared" si="137"/>
        <v>0</v>
      </c>
      <c r="Y364">
        <f t="shared" si="150"/>
        <v>363</v>
      </c>
      <c r="Z364">
        <f t="shared" si="138"/>
        <v>0</v>
      </c>
      <c r="AA364">
        <f>IF(Y364&gt;='Loan Prepayment'!$E$11,'Loan Prepayment'!$E$12,'Loan Prepayment'!$B$6)</f>
        <v>6.5</v>
      </c>
      <c r="AB364">
        <f>IF(Z364&lt;=0,0,MIN(IF(Y364='Loan Prepayment'!$E$11,IF('Loan Prepayment'!$E$13="Keep tenure, recalculate EMI",-PMT(AA364/1200,MAX(1,'Loan Prepayment'!$B$7*12-Y364+1),Z364),AB363),AB363),Z364+AC364))</f>
        <v>0</v>
      </c>
      <c r="AC364">
        <f t="shared" si="139"/>
        <v>0</v>
      </c>
      <c r="AD364">
        <f t="shared" si="140"/>
        <v>0</v>
      </c>
      <c r="AE364">
        <f t="shared" si="141"/>
        <v>0</v>
      </c>
      <c r="AF364">
        <f t="shared" si="142"/>
        <v>0</v>
      </c>
      <c r="AG364">
        <f t="shared" si="151"/>
        <v>363</v>
      </c>
      <c r="AH364">
        <f t="shared" si="143"/>
        <v>0</v>
      </c>
      <c r="AI364">
        <f>IF(AG364&gt;='Loan Prepayment'!$E$11,'Loan Prepayment'!$E$12,'Loan Prepayment'!$B$6)</f>
        <v>6.5</v>
      </c>
      <c r="AJ364">
        <f>IF(AH364&lt;=0,0,MIN(IF(AG364='Loan Prepayment'!$E$11,IF('Loan Prepayment'!$E$13="Keep tenure, recalculate EMI",-PMT(AI364/1200,MAX(1,'Loan Prepayment'!$B$7*12-AG364+1),AH364),IF(AND('Loan Prepayment'!$E$15="Reduce EMI",AM363&gt;0),-PMT(AI363/1200,MAX(1,'Loan Prepayment'!$B$7*12-AG364+1),AH364),AJ363)),IF(AND('Loan Prepayment'!$E$15="Reduce EMI",AM363&gt;0),-PMT(AI364/1200,MAX(1,'Loan Prepayment'!$B$7*12-AG364+1),AH364),AJ363)),AH364+AK364))</f>
        <v>0</v>
      </c>
      <c r="AK364">
        <f t="shared" si="144"/>
        <v>0</v>
      </c>
      <c r="AL364">
        <f t="shared" si="145"/>
        <v>0</v>
      </c>
      <c r="AM364">
        <f>IF(AH364&lt;=0,0,MIN(MAX(0,AH364-AL364),SUMIFS('Loan Prepayment'!$B$12:$B$31,'Loan Prepayment'!$A$12:$A$31,AG364)+IF(AND(AG364&gt;='Loan Prepayment'!$B$9,AG364&lt;='Loan Prepayment'!$E$16),'Loan Prepayment'!$B$8,0)))</f>
        <v>0</v>
      </c>
      <c r="AN364">
        <f t="shared" si="146"/>
        <v>0</v>
      </c>
    </row>
    <row r="365" spans="1:40" x14ac:dyDescent="0.35">
      <c r="A365">
        <f t="shared" si="147"/>
        <v>364</v>
      </c>
      <c r="B365">
        <f t="shared" si="126"/>
        <v>0</v>
      </c>
      <c r="C365">
        <f>'Loan Prepayment'!$B$6</f>
        <v>7.5</v>
      </c>
      <c r="D365">
        <f>IF(B365&lt;=0,0,MIN(-PMT('Loan Prepayment'!$B$6/1200,'Loan Prepayment'!$B$7*12,'Loan Prepayment'!$B$5),B365+E365))</f>
        <v>0</v>
      </c>
      <c r="E365">
        <f t="shared" si="127"/>
        <v>0</v>
      </c>
      <c r="F365">
        <f t="shared" si="128"/>
        <v>0</v>
      </c>
      <c r="G365">
        <v>0</v>
      </c>
      <c r="H365">
        <f t="shared" si="129"/>
        <v>0</v>
      </c>
      <c r="I365">
        <f t="shared" si="148"/>
        <v>364</v>
      </c>
      <c r="J365">
        <f t="shared" si="130"/>
        <v>0</v>
      </c>
      <c r="K365">
        <f>'Loan Prepayment'!$B$6</f>
        <v>7.5</v>
      </c>
      <c r="L365">
        <f>IF(J365&lt;=0,0,MIN(IF(AND('Loan Prepayment'!$E$15="Reduce EMI",O364&gt;0),-PMT(K365/1200,MAX(1,'Loan Prepayment'!$B$7*12-I365+1),J365),L364),J365+M365))</f>
        <v>0</v>
      </c>
      <c r="M365">
        <f t="shared" si="131"/>
        <v>0</v>
      </c>
      <c r="N365">
        <f t="shared" si="132"/>
        <v>0</v>
      </c>
      <c r="O365">
        <f>IF(J365&lt;=0,0,MIN(MAX(0,J365-N365),SUMIFS('Loan Prepayment'!$B$12:$B$31,'Loan Prepayment'!$A$12:$A$31,I365)+0))</f>
        <v>0</v>
      </c>
      <c r="P365">
        <f t="shared" si="133"/>
        <v>0</v>
      </c>
      <c r="Q365">
        <f t="shared" si="149"/>
        <v>364</v>
      </c>
      <c r="R365">
        <f t="shared" si="134"/>
        <v>0</v>
      </c>
      <c r="S365">
        <f>'Loan Prepayment'!$B$6</f>
        <v>7.5</v>
      </c>
      <c r="T365">
        <f>IF(R365&lt;=0,0,MIN(IF(AND('Loan Prepayment'!$E$15="Reduce EMI",W364&gt;0),-PMT(S365/1200,MAX(1,'Loan Prepayment'!$B$7*12-Q365+1),R365),T364),R365+U365))</f>
        <v>0</v>
      </c>
      <c r="U365">
        <f t="shared" si="135"/>
        <v>0</v>
      </c>
      <c r="V365">
        <f t="shared" si="136"/>
        <v>0</v>
      </c>
      <c r="W365">
        <f>IF(R365&lt;=0,0,MIN(MAX(0,R365-V365),0+IF(AND(Q365&gt;='Loan Prepayment'!$B$9,Q365&lt;='Loan Prepayment'!$E$16),'Loan Prepayment'!$B$8,0)))</f>
        <v>0</v>
      </c>
      <c r="X365">
        <f t="shared" si="137"/>
        <v>0</v>
      </c>
      <c r="Y365">
        <f t="shared" si="150"/>
        <v>364</v>
      </c>
      <c r="Z365">
        <f t="shared" si="138"/>
        <v>0</v>
      </c>
      <c r="AA365">
        <f>IF(Y365&gt;='Loan Prepayment'!$E$11,'Loan Prepayment'!$E$12,'Loan Prepayment'!$B$6)</f>
        <v>6.5</v>
      </c>
      <c r="AB365">
        <f>IF(Z365&lt;=0,0,MIN(IF(Y365='Loan Prepayment'!$E$11,IF('Loan Prepayment'!$E$13="Keep tenure, recalculate EMI",-PMT(AA365/1200,MAX(1,'Loan Prepayment'!$B$7*12-Y365+1),Z365),AB364),AB364),Z365+AC365))</f>
        <v>0</v>
      </c>
      <c r="AC365">
        <f t="shared" si="139"/>
        <v>0</v>
      </c>
      <c r="AD365">
        <f t="shared" si="140"/>
        <v>0</v>
      </c>
      <c r="AE365">
        <f t="shared" si="141"/>
        <v>0</v>
      </c>
      <c r="AF365">
        <f t="shared" si="142"/>
        <v>0</v>
      </c>
      <c r="AG365">
        <f t="shared" si="151"/>
        <v>364</v>
      </c>
      <c r="AH365">
        <f t="shared" si="143"/>
        <v>0</v>
      </c>
      <c r="AI365">
        <f>IF(AG365&gt;='Loan Prepayment'!$E$11,'Loan Prepayment'!$E$12,'Loan Prepayment'!$B$6)</f>
        <v>6.5</v>
      </c>
      <c r="AJ365">
        <f>IF(AH365&lt;=0,0,MIN(IF(AG365='Loan Prepayment'!$E$11,IF('Loan Prepayment'!$E$13="Keep tenure, recalculate EMI",-PMT(AI365/1200,MAX(1,'Loan Prepayment'!$B$7*12-AG365+1),AH365),IF(AND('Loan Prepayment'!$E$15="Reduce EMI",AM364&gt;0),-PMT(AI364/1200,MAX(1,'Loan Prepayment'!$B$7*12-AG365+1),AH365),AJ364)),IF(AND('Loan Prepayment'!$E$15="Reduce EMI",AM364&gt;0),-PMT(AI365/1200,MAX(1,'Loan Prepayment'!$B$7*12-AG365+1),AH365),AJ364)),AH365+AK365))</f>
        <v>0</v>
      </c>
      <c r="AK365">
        <f t="shared" si="144"/>
        <v>0</v>
      </c>
      <c r="AL365">
        <f t="shared" si="145"/>
        <v>0</v>
      </c>
      <c r="AM365">
        <f>IF(AH365&lt;=0,0,MIN(MAX(0,AH365-AL365),SUMIFS('Loan Prepayment'!$B$12:$B$31,'Loan Prepayment'!$A$12:$A$31,AG365)+IF(AND(AG365&gt;='Loan Prepayment'!$B$9,AG365&lt;='Loan Prepayment'!$E$16),'Loan Prepayment'!$B$8,0)))</f>
        <v>0</v>
      </c>
      <c r="AN365">
        <f t="shared" si="146"/>
        <v>0</v>
      </c>
    </row>
    <row r="366" spans="1:40" x14ac:dyDescent="0.35">
      <c r="A366">
        <f t="shared" si="147"/>
        <v>365</v>
      </c>
      <c r="B366">
        <f t="shared" si="126"/>
        <v>0</v>
      </c>
      <c r="C366">
        <f>'Loan Prepayment'!$B$6</f>
        <v>7.5</v>
      </c>
      <c r="D366">
        <f>IF(B366&lt;=0,0,MIN(-PMT('Loan Prepayment'!$B$6/1200,'Loan Prepayment'!$B$7*12,'Loan Prepayment'!$B$5),B366+E366))</f>
        <v>0</v>
      </c>
      <c r="E366">
        <f t="shared" si="127"/>
        <v>0</v>
      </c>
      <c r="F366">
        <f t="shared" si="128"/>
        <v>0</v>
      </c>
      <c r="G366">
        <v>0</v>
      </c>
      <c r="H366">
        <f t="shared" si="129"/>
        <v>0</v>
      </c>
      <c r="I366">
        <f t="shared" si="148"/>
        <v>365</v>
      </c>
      <c r="J366">
        <f t="shared" si="130"/>
        <v>0</v>
      </c>
      <c r="K366">
        <f>'Loan Prepayment'!$B$6</f>
        <v>7.5</v>
      </c>
      <c r="L366">
        <f>IF(J366&lt;=0,0,MIN(IF(AND('Loan Prepayment'!$E$15="Reduce EMI",O365&gt;0),-PMT(K366/1200,MAX(1,'Loan Prepayment'!$B$7*12-I366+1),J366),L365),J366+M366))</f>
        <v>0</v>
      </c>
      <c r="M366">
        <f t="shared" si="131"/>
        <v>0</v>
      </c>
      <c r="N366">
        <f t="shared" si="132"/>
        <v>0</v>
      </c>
      <c r="O366">
        <f>IF(J366&lt;=0,0,MIN(MAX(0,J366-N366),SUMIFS('Loan Prepayment'!$B$12:$B$31,'Loan Prepayment'!$A$12:$A$31,I366)+0))</f>
        <v>0</v>
      </c>
      <c r="P366">
        <f t="shared" si="133"/>
        <v>0</v>
      </c>
      <c r="Q366">
        <f t="shared" si="149"/>
        <v>365</v>
      </c>
      <c r="R366">
        <f t="shared" si="134"/>
        <v>0</v>
      </c>
      <c r="S366">
        <f>'Loan Prepayment'!$B$6</f>
        <v>7.5</v>
      </c>
      <c r="T366">
        <f>IF(R366&lt;=0,0,MIN(IF(AND('Loan Prepayment'!$E$15="Reduce EMI",W365&gt;0),-PMT(S366/1200,MAX(1,'Loan Prepayment'!$B$7*12-Q366+1),R366),T365),R366+U366))</f>
        <v>0</v>
      </c>
      <c r="U366">
        <f t="shared" si="135"/>
        <v>0</v>
      </c>
      <c r="V366">
        <f t="shared" si="136"/>
        <v>0</v>
      </c>
      <c r="W366">
        <f>IF(R366&lt;=0,0,MIN(MAX(0,R366-V366),0+IF(AND(Q366&gt;='Loan Prepayment'!$B$9,Q366&lt;='Loan Prepayment'!$E$16),'Loan Prepayment'!$B$8,0)))</f>
        <v>0</v>
      </c>
      <c r="X366">
        <f t="shared" si="137"/>
        <v>0</v>
      </c>
      <c r="Y366">
        <f t="shared" si="150"/>
        <v>365</v>
      </c>
      <c r="Z366">
        <f t="shared" si="138"/>
        <v>0</v>
      </c>
      <c r="AA366">
        <f>IF(Y366&gt;='Loan Prepayment'!$E$11,'Loan Prepayment'!$E$12,'Loan Prepayment'!$B$6)</f>
        <v>6.5</v>
      </c>
      <c r="AB366">
        <f>IF(Z366&lt;=0,0,MIN(IF(Y366='Loan Prepayment'!$E$11,IF('Loan Prepayment'!$E$13="Keep tenure, recalculate EMI",-PMT(AA366/1200,MAX(1,'Loan Prepayment'!$B$7*12-Y366+1),Z366),AB365),AB365),Z366+AC366))</f>
        <v>0</v>
      </c>
      <c r="AC366">
        <f t="shared" si="139"/>
        <v>0</v>
      </c>
      <c r="AD366">
        <f t="shared" si="140"/>
        <v>0</v>
      </c>
      <c r="AE366">
        <f t="shared" si="141"/>
        <v>0</v>
      </c>
      <c r="AF366">
        <f t="shared" si="142"/>
        <v>0</v>
      </c>
      <c r="AG366">
        <f t="shared" si="151"/>
        <v>365</v>
      </c>
      <c r="AH366">
        <f t="shared" si="143"/>
        <v>0</v>
      </c>
      <c r="AI366">
        <f>IF(AG366&gt;='Loan Prepayment'!$E$11,'Loan Prepayment'!$E$12,'Loan Prepayment'!$B$6)</f>
        <v>6.5</v>
      </c>
      <c r="AJ366">
        <f>IF(AH366&lt;=0,0,MIN(IF(AG366='Loan Prepayment'!$E$11,IF('Loan Prepayment'!$E$13="Keep tenure, recalculate EMI",-PMT(AI366/1200,MAX(1,'Loan Prepayment'!$B$7*12-AG366+1),AH366),IF(AND('Loan Prepayment'!$E$15="Reduce EMI",AM365&gt;0),-PMT(AI365/1200,MAX(1,'Loan Prepayment'!$B$7*12-AG366+1),AH366),AJ365)),IF(AND('Loan Prepayment'!$E$15="Reduce EMI",AM365&gt;0),-PMT(AI366/1200,MAX(1,'Loan Prepayment'!$B$7*12-AG366+1),AH366),AJ365)),AH366+AK366))</f>
        <v>0</v>
      </c>
      <c r="AK366">
        <f t="shared" si="144"/>
        <v>0</v>
      </c>
      <c r="AL366">
        <f t="shared" si="145"/>
        <v>0</v>
      </c>
      <c r="AM366">
        <f>IF(AH366&lt;=0,0,MIN(MAX(0,AH366-AL366),SUMIFS('Loan Prepayment'!$B$12:$B$31,'Loan Prepayment'!$A$12:$A$31,AG366)+IF(AND(AG366&gt;='Loan Prepayment'!$B$9,AG366&lt;='Loan Prepayment'!$E$16),'Loan Prepayment'!$B$8,0)))</f>
        <v>0</v>
      </c>
      <c r="AN366">
        <f t="shared" si="146"/>
        <v>0</v>
      </c>
    </row>
    <row r="367" spans="1:40" x14ac:dyDescent="0.35">
      <c r="A367">
        <f t="shared" si="147"/>
        <v>366</v>
      </c>
      <c r="B367">
        <f t="shared" si="126"/>
        <v>0</v>
      </c>
      <c r="C367">
        <f>'Loan Prepayment'!$B$6</f>
        <v>7.5</v>
      </c>
      <c r="D367">
        <f>IF(B367&lt;=0,0,MIN(-PMT('Loan Prepayment'!$B$6/1200,'Loan Prepayment'!$B$7*12,'Loan Prepayment'!$B$5),B367+E367))</f>
        <v>0</v>
      </c>
      <c r="E367">
        <f t="shared" si="127"/>
        <v>0</v>
      </c>
      <c r="F367">
        <f t="shared" si="128"/>
        <v>0</v>
      </c>
      <c r="G367">
        <v>0</v>
      </c>
      <c r="H367">
        <f t="shared" si="129"/>
        <v>0</v>
      </c>
      <c r="I367">
        <f t="shared" si="148"/>
        <v>366</v>
      </c>
      <c r="J367">
        <f t="shared" si="130"/>
        <v>0</v>
      </c>
      <c r="K367">
        <f>'Loan Prepayment'!$B$6</f>
        <v>7.5</v>
      </c>
      <c r="L367">
        <f>IF(J367&lt;=0,0,MIN(IF(AND('Loan Prepayment'!$E$15="Reduce EMI",O366&gt;0),-PMT(K367/1200,MAX(1,'Loan Prepayment'!$B$7*12-I367+1),J367),L366),J367+M367))</f>
        <v>0</v>
      </c>
      <c r="M367">
        <f t="shared" si="131"/>
        <v>0</v>
      </c>
      <c r="N367">
        <f t="shared" si="132"/>
        <v>0</v>
      </c>
      <c r="O367">
        <f>IF(J367&lt;=0,0,MIN(MAX(0,J367-N367),SUMIFS('Loan Prepayment'!$B$12:$B$31,'Loan Prepayment'!$A$12:$A$31,I367)+0))</f>
        <v>0</v>
      </c>
      <c r="P367">
        <f t="shared" si="133"/>
        <v>0</v>
      </c>
      <c r="Q367">
        <f t="shared" si="149"/>
        <v>366</v>
      </c>
      <c r="R367">
        <f t="shared" si="134"/>
        <v>0</v>
      </c>
      <c r="S367">
        <f>'Loan Prepayment'!$B$6</f>
        <v>7.5</v>
      </c>
      <c r="T367">
        <f>IF(R367&lt;=0,0,MIN(IF(AND('Loan Prepayment'!$E$15="Reduce EMI",W366&gt;0),-PMT(S367/1200,MAX(1,'Loan Prepayment'!$B$7*12-Q367+1),R367),T366),R367+U367))</f>
        <v>0</v>
      </c>
      <c r="U367">
        <f t="shared" si="135"/>
        <v>0</v>
      </c>
      <c r="V367">
        <f t="shared" si="136"/>
        <v>0</v>
      </c>
      <c r="W367">
        <f>IF(R367&lt;=0,0,MIN(MAX(0,R367-V367),0+IF(AND(Q367&gt;='Loan Prepayment'!$B$9,Q367&lt;='Loan Prepayment'!$E$16),'Loan Prepayment'!$B$8,0)))</f>
        <v>0</v>
      </c>
      <c r="X367">
        <f t="shared" si="137"/>
        <v>0</v>
      </c>
      <c r="Y367">
        <f t="shared" si="150"/>
        <v>366</v>
      </c>
      <c r="Z367">
        <f t="shared" si="138"/>
        <v>0</v>
      </c>
      <c r="AA367">
        <f>IF(Y367&gt;='Loan Prepayment'!$E$11,'Loan Prepayment'!$E$12,'Loan Prepayment'!$B$6)</f>
        <v>6.5</v>
      </c>
      <c r="AB367">
        <f>IF(Z367&lt;=0,0,MIN(IF(Y367='Loan Prepayment'!$E$11,IF('Loan Prepayment'!$E$13="Keep tenure, recalculate EMI",-PMT(AA367/1200,MAX(1,'Loan Prepayment'!$B$7*12-Y367+1),Z367),AB366),AB366),Z367+AC367))</f>
        <v>0</v>
      </c>
      <c r="AC367">
        <f t="shared" si="139"/>
        <v>0</v>
      </c>
      <c r="AD367">
        <f t="shared" si="140"/>
        <v>0</v>
      </c>
      <c r="AE367">
        <f t="shared" si="141"/>
        <v>0</v>
      </c>
      <c r="AF367">
        <f t="shared" si="142"/>
        <v>0</v>
      </c>
      <c r="AG367">
        <f t="shared" si="151"/>
        <v>366</v>
      </c>
      <c r="AH367">
        <f t="shared" si="143"/>
        <v>0</v>
      </c>
      <c r="AI367">
        <f>IF(AG367&gt;='Loan Prepayment'!$E$11,'Loan Prepayment'!$E$12,'Loan Prepayment'!$B$6)</f>
        <v>6.5</v>
      </c>
      <c r="AJ367">
        <f>IF(AH367&lt;=0,0,MIN(IF(AG367='Loan Prepayment'!$E$11,IF('Loan Prepayment'!$E$13="Keep tenure, recalculate EMI",-PMT(AI367/1200,MAX(1,'Loan Prepayment'!$B$7*12-AG367+1),AH367),IF(AND('Loan Prepayment'!$E$15="Reduce EMI",AM366&gt;0),-PMT(AI366/1200,MAX(1,'Loan Prepayment'!$B$7*12-AG367+1),AH367),AJ366)),IF(AND('Loan Prepayment'!$E$15="Reduce EMI",AM366&gt;0),-PMT(AI367/1200,MAX(1,'Loan Prepayment'!$B$7*12-AG367+1),AH367),AJ366)),AH367+AK367))</f>
        <v>0</v>
      </c>
      <c r="AK367">
        <f t="shared" si="144"/>
        <v>0</v>
      </c>
      <c r="AL367">
        <f t="shared" si="145"/>
        <v>0</v>
      </c>
      <c r="AM367">
        <f>IF(AH367&lt;=0,0,MIN(MAX(0,AH367-AL367),SUMIFS('Loan Prepayment'!$B$12:$B$31,'Loan Prepayment'!$A$12:$A$31,AG367)+IF(AND(AG367&gt;='Loan Prepayment'!$B$9,AG367&lt;='Loan Prepayment'!$E$16),'Loan Prepayment'!$B$8,0)))</f>
        <v>0</v>
      </c>
      <c r="AN367">
        <f t="shared" si="146"/>
        <v>0</v>
      </c>
    </row>
    <row r="368" spans="1:40" x14ac:dyDescent="0.35">
      <c r="A368">
        <f t="shared" si="147"/>
        <v>367</v>
      </c>
      <c r="B368">
        <f t="shared" si="126"/>
        <v>0</v>
      </c>
      <c r="C368">
        <f>'Loan Prepayment'!$B$6</f>
        <v>7.5</v>
      </c>
      <c r="D368">
        <f>IF(B368&lt;=0,0,MIN(-PMT('Loan Prepayment'!$B$6/1200,'Loan Prepayment'!$B$7*12,'Loan Prepayment'!$B$5),B368+E368))</f>
        <v>0</v>
      </c>
      <c r="E368">
        <f t="shared" si="127"/>
        <v>0</v>
      </c>
      <c r="F368">
        <f t="shared" si="128"/>
        <v>0</v>
      </c>
      <c r="G368">
        <v>0</v>
      </c>
      <c r="H368">
        <f t="shared" si="129"/>
        <v>0</v>
      </c>
      <c r="I368">
        <f t="shared" si="148"/>
        <v>367</v>
      </c>
      <c r="J368">
        <f t="shared" si="130"/>
        <v>0</v>
      </c>
      <c r="K368">
        <f>'Loan Prepayment'!$B$6</f>
        <v>7.5</v>
      </c>
      <c r="L368">
        <f>IF(J368&lt;=0,0,MIN(IF(AND('Loan Prepayment'!$E$15="Reduce EMI",O367&gt;0),-PMT(K368/1200,MAX(1,'Loan Prepayment'!$B$7*12-I368+1),J368),L367),J368+M368))</f>
        <v>0</v>
      </c>
      <c r="M368">
        <f t="shared" si="131"/>
        <v>0</v>
      </c>
      <c r="N368">
        <f t="shared" si="132"/>
        <v>0</v>
      </c>
      <c r="O368">
        <f>IF(J368&lt;=0,0,MIN(MAX(0,J368-N368),SUMIFS('Loan Prepayment'!$B$12:$B$31,'Loan Prepayment'!$A$12:$A$31,I368)+0))</f>
        <v>0</v>
      </c>
      <c r="P368">
        <f t="shared" si="133"/>
        <v>0</v>
      </c>
      <c r="Q368">
        <f t="shared" si="149"/>
        <v>367</v>
      </c>
      <c r="R368">
        <f t="shared" si="134"/>
        <v>0</v>
      </c>
      <c r="S368">
        <f>'Loan Prepayment'!$B$6</f>
        <v>7.5</v>
      </c>
      <c r="T368">
        <f>IF(R368&lt;=0,0,MIN(IF(AND('Loan Prepayment'!$E$15="Reduce EMI",W367&gt;0),-PMT(S368/1200,MAX(1,'Loan Prepayment'!$B$7*12-Q368+1),R368),T367),R368+U368))</f>
        <v>0</v>
      </c>
      <c r="U368">
        <f t="shared" si="135"/>
        <v>0</v>
      </c>
      <c r="V368">
        <f t="shared" si="136"/>
        <v>0</v>
      </c>
      <c r="W368">
        <f>IF(R368&lt;=0,0,MIN(MAX(0,R368-V368),0+IF(AND(Q368&gt;='Loan Prepayment'!$B$9,Q368&lt;='Loan Prepayment'!$E$16),'Loan Prepayment'!$B$8,0)))</f>
        <v>0</v>
      </c>
      <c r="X368">
        <f t="shared" si="137"/>
        <v>0</v>
      </c>
      <c r="Y368">
        <f t="shared" si="150"/>
        <v>367</v>
      </c>
      <c r="Z368">
        <f t="shared" si="138"/>
        <v>0</v>
      </c>
      <c r="AA368">
        <f>IF(Y368&gt;='Loan Prepayment'!$E$11,'Loan Prepayment'!$E$12,'Loan Prepayment'!$B$6)</f>
        <v>6.5</v>
      </c>
      <c r="AB368">
        <f>IF(Z368&lt;=0,0,MIN(IF(Y368='Loan Prepayment'!$E$11,IF('Loan Prepayment'!$E$13="Keep tenure, recalculate EMI",-PMT(AA368/1200,MAX(1,'Loan Prepayment'!$B$7*12-Y368+1),Z368),AB367),AB367),Z368+AC368))</f>
        <v>0</v>
      </c>
      <c r="AC368">
        <f t="shared" si="139"/>
        <v>0</v>
      </c>
      <c r="AD368">
        <f t="shared" si="140"/>
        <v>0</v>
      </c>
      <c r="AE368">
        <f t="shared" si="141"/>
        <v>0</v>
      </c>
      <c r="AF368">
        <f t="shared" si="142"/>
        <v>0</v>
      </c>
      <c r="AG368">
        <f t="shared" si="151"/>
        <v>367</v>
      </c>
      <c r="AH368">
        <f t="shared" si="143"/>
        <v>0</v>
      </c>
      <c r="AI368">
        <f>IF(AG368&gt;='Loan Prepayment'!$E$11,'Loan Prepayment'!$E$12,'Loan Prepayment'!$B$6)</f>
        <v>6.5</v>
      </c>
      <c r="AJ368">
        <f>IF(AH368&lt;=0,0,MIN(IF(AG368='Loan Prepayment'!$E$11,IF('Loan Prepayment'!$E$13="Keep tenure, recalculate EMI",-PMT(AI368/1200,MAX(1,'Loan Prepayment'!$B$7*12-AG368+1),AH368),IF(AND('Loan Prepayment'!$E$15="Reduce EMI",AM367&gt;0),-PMT(AI367/1200,MAX(1,'Loan Prepayment'!$B$7*12-AG368+1),AH368),AJ367)),IF(AND('Loan Prepayment'!$E$15="Reduce EMI",AM367&gt;0),-PMT(AI368/1200,MAX(1,'Loan Prepayment'!$B$7*12-AG368+1),AH368),AJ367)),AH368+AK368))</f>
        <v>0</v>
      </c>
      <c r="AK368">
        <f t="shared" si="144"/>
        <v>0</v>
      </c>
      <c r="AL368">
        <f t="shared" si="145"/>
        <v>0</v>
      </c>
      <c r="AM368">
        <f>IF(AH368&lt;=0,0,MIN(MAX(0,AH368-AL368),SUMIFS('Loan Prepayment'!$B$12:$B$31,'Loan Prepayment'!$A$12:$A$31,AG368)+IF(AND(AG368&gt;='Loan Prepayment'!$B$9,AG368&lt;='Loan Prepayment'!$E$16),'Loan Prepayment'!$B$8,0)))</f>
        <v>0</v>
      </c>
      <c r="AN368">
        <f t="shared" si="146"/>
        <v>0</v>
      </c>
    </row>
    <row r="369" spans="1:40" x14ac:dyDescent="0.35">
      <c r="A369">
        <f t="shared" si="147"/>
        <v>368</v>
      </c>
      <c r="B369">
        <f t="shared" si="126"/>
        <v>0</v>
      </c>
      <c r="C369">
        <f>'Loan Prepayment'!$B$6</f>
        <v>7.5</v>
      </c>
      <c r="D369">
        <f>IF(B369&lt;=0,0,MIN(-PMT('Loan Prepayment'!$B$6/1200,'Loan Prepayment'!$B$7*12,'Loan Prepayment'!$B$5),B369+E369))</f>
        <v>0</v>
      </c>
      <c r="E369">
        <f t="shared" si="127"/>
        <v>0</v>
      </c>
      <c r="F369">
        <f t="shared" si="128"/>
        <v>0</v>
      </c>
      <c r="G369">
        <v>0</v>
      </c>
      <c r="H369">
        <f t="shared" si="129"/>
        <v>0</v>
      </c>
      <c r="I369">
        <f t="shared" si="148"/>
        <v>368</v>
      </c>
      <c r="J369">
        <f t="shared" si="130"/>
        <v>0</v>
      </c>
      <c r="K369">
        <f>'Loan Prepayment'!$B$6</f>
        <v>7.5</v>
      </c>
      <c r="L369">
        <f>IF(J369&lt;=0,0,MIN(IF(AND('Loan Prepayment'!$E$15="Reduce EMI",O368&gt;0),-PMT(K369/1200,MAX(1,'Loan Prepayment'!$B$7*12-I369+1),J369),L368),J369+M369))</f>
        <v>0</v>
      </c>
      <c r="M369">
        <f t="shared" si="131"/>
        <v>0</v>
      </c>
      <c r="N369">
        <f t="shared" si="132"/>
        <v>0</v>
      </c>
      <c r="O369">
        <f>IF(J369&lt;=0,0,MIN(MAX(0,J369-N369),SUMIFS('Loan Prepayment'!$B$12:$B$31,'Loan Prepayment'!$A$12:$A$31,I369)+0))</f>
        <v>0</v>
      </c>
      <c r="P369">
        <f t="shared" si="133"/>
        <v>0</v>
      </c>
      <c r="Q369">
        <f t="shared" si="149"/>
        <v>368</v>
      </c>
      <c r="R369">
        <f t="shared" si="134"/>
        <v>0</v>
      </c>
      <c r="S369">
        <f>'Loan Prepayment'!$B$6</f>
        <v>7.5</v>
      </c>
      <c r="T369">
        <f>IF(R369&lt;=0,0,MIN(IF(AND('Loan Prepayment'!$E$15="Reduce EMI",W368&gt;0),-PMT(S369/1200,MAX(1,'Loan Prepayment'!$B$7*12-Q369+1),R369),T368),R369+U369))</f>
        <v>0</v>
      </c>
      <c r="U369">
        <f t="shared" si="135"/>
        <v>0</v>
      </c>
      <c r="V369">
        <f t="shared" si="136"/>
        <v>0</v>
      </c>
      <c r="W369">
        <f>IF(R369&lt;=0,0,MIN(MAX(0,R369-V369),0+IF(AND(Q369&gt;='Loan Prepayment'!$B$9,Q369&lt;='Loan Prepayment'!$E$16),'Loan Prepayment'!$B$8,0)))</f>
        <v>0</v>
      </c>
      <c r="X369">
        <f t="shared" si="137"/>
        <v>0</v>
      </c>
      <c r="Y369">
        <f t="shared" si="150"/>
        <v>368</v>
      </c>
      <c r="Z369">
        <f t="shared" si="138"/>
        <v>0</v>
      </c>
      <c r="AA369">
        <f>IF(Y369&gt;='Loan Prepayment'!$E$11,'Loan Prepayment'!$E$12,'Loan Prepayment'!$B$6)</f>
        <v>6.5</v>
      </c>
      <c r="AB369">
        <f>IF(Z369&lt;=0,0,MIN(IF(Y369='Loan Prepayment'!$E$11,IF('Loan Prepayment'!$E$13="Keep tenure, recalculate EMI",-PMT(AA369/1200,MAX(1,'Loan Prepayment'!$B$7*12-Y369+1),Z369),AB368),AB368),Z369+AC369))</f>
        <v>0</v>
      </c>
      <c r="AC369">
        <f t="shared" si="139"/>
        <v>0</v>
      </c>
      <c r="AD369">
        <f t="shared" si="140"/>
        <v>0</v>
      </c>
      <c r="AE369">
        <f t="shared" si="141"/>
        <v>0</v>
      </c>
      <c r="AF369">
        <f t="shared" si="142"/>
        <v>0</v>
      </c>
      <c r="AG369">
        <f t="shared" si="151"/>
        <v>368</v>
      </c>
      <c r="AH369">
        <f t="shared" si="143"/>
        <v>0</v>
      </c>
      <c r="AI369">
        <f>IF(AG369&gt;='Loan Prepayment'!$E$11,'Loan Prepayment'!$E$12,'Loan Prepayment'!$B$6)</f>
        <v>6.5</v>
      </c>
      <c r="AJ369">
        <f>IF(AH369&lt;=0,0,MIN(IF(AG369='Loan Prepayment'!$E$11,IF('Loan Prepayment'!$E$13="Keep tenure, recalculate EMI",-PMT(AI369/1200,MAX(1,'Loan Prepayment'!$B$7*12-AG369+1),AH369),IF(AND('Loan Prepayment'!$E$15="Reduce EMI",AM368&gt;0),-PMT(AI368/1200,MAX(1,'Loan Prepayment'!$B$7*12-AG369+1),AH369),AJ368)),IF(AND('Loan Prepayment'!$E$15="Reduce EMI",AM368&gt;0),-PMT(AI369/1200,MAX(1,'Loan Prepayment'!$B$7*12-AG369+1),AH369),AJ368)),AH369+AK369))</f>
        <v>0</v>
      </c>
      <c r="AK369">
        <f t="shared" si="144"/>
        <v>0</v>
      </c>
      <c r="AL369">
        <f t="shared" si="145"/>
        <v>0</v>
      </c>
      <c r="AM369">
        <f>IF(AH369&lt;=0,0,MIN(MAX(0,AH369-AL369),SUMIFS('Loan Prepayment'!$B$12:$B$31,'Loan Prepayment'!$A$12:$A$31,AG369)+IF(AND(AG369&gt;='Loan Prepayment'!$B$9,AG369&lt;='Loan Prepayment'!$E$16),'Loan Prepayment'!$B$8,0)))</f>
        <v>0</v>
      </c>
      <c r="AN369">
        <f t="shared" si="146"/>
        <v>0</v>
      </c>
    </row>
    <row r="370" spans="1:40" x14ac:dyDescent="0.35">
      <c r="A370">
        <f t="shared" si="147"/>
        <v>369</v>
      </c>
      <c r="B370">
        <f t="shared" si="126"/>
        <v>0</v>
      </c>
      <c r="C370">
        <f>'Loan Prepayment'!$B$6</f>
        <v>7.5</v>
      </c>
      <c r="D370">
        <f>IF(B370&lt;=0,0,MIN(-PMT('Loan Prepayment'!$B$6/1200,'Loan Prepayment'!$B$7*12,'Loan Prepayment'!$B$5),B370+E370))</f>
        <v>0</v>
      </c>
      <c r="E370">
        <f t="shared" si="127"/>
        <v>0</v>
      </c>
      <c r="F370">
        <f t="shared" si="128"/>
        <v>0</v>
      </c>
      <c r="G370">
        <v>0</v>
      </c>
      <c r="H370">
        <f t="shared" si="129"/>
        <v>0</v>
      </c>
      <c r="I370">
        <f t="shared" si="148"/>
        <v>369</v>
      </c>
      <c r="J370">
        <f t="shared" si="130"/>
        <v>0</v>
      </c>
      <c r="K370">
        <f>'Loan Prepayment'!$B$6</f>
        <v>7.5</v>
      </c>
      <c r="L370">
        <f>IF(J370&lt;=0,0,MIN(IF(AND('Loan Prepayment'!$E$15="Reduce EMI",O369&gt;0),-PMT(K370/1200,MAX(1,'Loan Prepayment'!$B$7*12-I370+1),J370),L369),J370+M370))</f>
        <v>0</v>
      </c>
      <c r="M370">
        <f t="shared" si="131"/>
        <v>0</v>
      </c>
      <c r="N370">
        <f t="shared" si="132"/>
        <v>0</v>
      </c>
      <c r="O370">
        <f>IF(J370&lt;=0,0,MIN(MAX(0,J370-N370),SUMIFS('Loan Prepayment'!$B$12:$B$31,'Loan Prepayment'!$A$12:$A$31,I370)+0))</f>
        <v>0</v>
      </c>
      <c r="P370">
        <f t="shared" si="133"/>
        <v>0</v>
      </c>
      <c r="Q370">
        <f t="shared" si="149"/>
        <v>369</v>
      </c>
      <c r="R370">
        <f t="shared" si="134"/>
        <v>0</v>
      </c>
      <c r="S370">
        <f>'Loan Prepayment'!$B$6</f>
        <v>7.5</v>
      </c>
      <c r="T370">
        <f>IF(R370&lt;=0,0,MIN(IF(AND('Loan Prepayment'!$E$15="Reduce EMI",W369&gt;0),-PMT(S370/1200,MAX(1,'Loan Prepayment'!$B$7*12-Q370+1),R370),T369),R370+U370))</f>
        <v>0</v>
      </c>
      <c r="U370">
        <f t="shared" si="135"/>
        <v>0</v>
      </c>
      <c r="V370">
        <f t="shared" si="136"/>
        <v>0</v>
      </c>
      <c r="W370">
        <f>IF(R370&lt;=0,0,MIN(MAX(0,R370-V370),0+IF(AND(Q370&gt;='Loan Prepayment'!$B$9,Q370&lt;='Loan Prepayment'!$E$16),'Loan Prepayment'!$B$8,0)))</f>
        <v>0</v>
      </c>
      <c r="X370">
        <f t="shared" si="137"/>
        <v>0</v>
      </c>
      <c r="Y370">
        <f t="shared" si="150"/>
        <v>369</v>
      </c>
      <c r="Z370">
        <f t="shared" si="138"/>
        <v>0</v>
      </c>
      <c r="AA370">
        <f>IF(Y370&gt;='Loan Prepayment'!$E$11,'Loan Prepayment'!$E$12,'Loan Prepayment'!$B$6)</f>
        <v>6.5</v>
      </c>
      <c r="AB370">
        <f>IF(Z370&lt;=0,0,MIN(IF(Y370='Loan Prepayment'!$E$11,IF('Loan Prepayment'!$E$13="Keep tenure, recalculate EMI",-PMT(AA370/1200,MAX(1,'Loan Prepayment'!$B$7*12-Y370+1),Z370),AB369),AB369),Z370+AC370))</f>
        <v>0</v>
      </c>
      <c r="AC370">
        <f t="shared" si="139"/>
        <v>0</v>
      </c>
      <c r="AD370">
        <f t="shared" si="140"/>
        <v>0</v>
      </c>
      <c r="AE370">
        <f t="shared" si="141"/>
        <v>0</v>
      </c>
      <c r="AF370">
        <f t="shared" si="142"/>
        <v>0</v>
      </c>
      <c r="AG370">
        <f t="shared" si="151"/>
        <v>369</v>
      </c>
      <c r="AH370">
        <f t="shared" si="143"/>
        <v>0</v>
      </c>
      <c r="AI370">
        <f>IF(AG370&gt;='Loan Prepayment'!$E$11,'Loan Prepayment'!$E$12,'Loan Prepayment'!$B$6)</f>
        <v>6.5</v>
      </c>
      <c r="AJ370">
        <f>IF(AH370&lt;=0,0,MIN(IF(AG370='Loan Prepayment'!$E$11,IF('Loan Prepayment'!$E$13="Keep tenure, recalculate EMI",-PMT(AI370/1200,MAX(1,'Loan Prepayment'!$B$7*12-AG370+1),AH370),IF(AND('Loan Prepayment'!$E$15="Reduce EMI",AM369&gt;0),-PMT(AI369/1200,MAX(1,'Loan Prepayment'!$B$7*12-AG370+1),AH370),AJ369)),IF(AND('Loan Prepayment'!$E$15="Reduce EMI",AM369&gt;0),-PMT(AI370/1200,MAX(1,'Loan Prepayment'!$B$7*12-AG370+1),AH370),AJ369)),AH370+AK370))</f>
        <v>0</v>
      </c>
      <c r="AK370">
        <f t="shared" si="144"/>
        <v>0</v>
      </c>
      <c r="AL370">
        <f t="shared" si="145"/>
        <v>0</v>
      </c>
      <c r="AM370">
        <f>IF(AH370&lt;=0,0,MIN(MAX(0,AH370-AL370),SUMIFS('Loan Prepayment'!$B$12:$B$31,'Loan Prepayment'!$A$12:$A$31,AG370)+IF(AND(AG370&gt;='Loan Prepayment'!$B$9,AG370&lt;='Loan Prepayment'!$E$16),'Loan Prepayment'!$B$8,0)))</f>
        <v>0</v>
      </c>
      <c r="AN370">
        <f t="shared" si="146"/>
        <v>0</v>
      </c>
    </row>
    <row r="371" spans="1:40" x14ac:dyDescent="0.35">
      <c r="A371">
        <f t="shared" si="147"/>
        <v>370</v>
      </c>
      <c r="B371">
        <f t="shared" si="126"/>
        <v>0</v>
      </c>
      <c r="C371">
        <f>'Loan Prepayment'!$B$6</f>
        <v>7.5</v>
      </c>
      <c r="D371">
        <f>IF(B371&lt;=0,0,MIN(-PMT('Loan Prepayment'!$B$6/1200,'Loan Prepayment'!$B$7*12,'Loan Prepayment'!$B$5),B371+E371))</f>
        <v>0</v>
      </c>
      <c r="E371">
        <f t="shared" si="127"/>
        <v>0</v>
      </c>
      <c r="F371">
        <f t="shared" si="128"/>
        <v>0</v>
      </c>
      <c r="G371">
        <v>0</v>
      </c>
      <c r="H371">
        <f t="shared" si="129"/>
        <v>0</v>
      </c>
      <c r="I371">
        <f t="shared" si="148"/>
        <v>370</v>
      </c>
      <c r="J371">
        <f t="shared" si="130"/>
        <v>0</v>
      </c>
      <c r="K371">
        <f>'Loan Prepayment'!$B$6</f>
        <v>7.5</v>
      </c>
      <c r="L371">
        <f>IF(J371&lt;=0,0,MIN(IF(AND('Loan Prepayment'!$E$15="Reduce EMI",O370&gt;0),-PMT(K371/1200,MAX(1,'Loan Prepayment'!$B$7*12-I371+1),J371),L370),J371+M371))</f>
        <v>0</v>
      </c>
      <c r="M371">
        <f t="shared" si="131"/>
        <v>0</v>
      </c>
      <c r="N371">
        <f t="shared" si="132"/>
        <v>0</v>
      </c>
      <c r="O371">
        <f>IF(J371&lt;=0,0,MIN(MAX(0,J371-N371),SUMIFS('Loan Prepayment'!$B$12:$B$31,'Loan Prepayment'!$A$12:$A$31,I371)+0))</f>
        <v>0</v>
      </c>
      <c r="P371">
        <f t="shared" si="133"/>
        <v>0</v>
      </c>
      <c r="Q371">
        <f t="shared" si="149"/>
        <v>370</v>
      </c>
      <c r="R371">
        <f t="shared" si="134"/>
        <v>0</v>
      </c>
      <c r="S371">
        <f>'Loan Prepayment'!$B$6</f>
        <v>7.5</v>
      </c>
      <c r="T371">
        <f>IF(R371&lt;=0,0,MIN(IF(AND('Loan Prepayment'!$E$15="Reduce EMI",W370&gt;0),-PMT(S371/1200,MAX(1,'Loan Prepayment'!$B$7*12-Q371+1),R371),T370),R371+U371))</f>
        <v>0</v>
      </c>
      <c r="U371">
        <f t="shared" si="135"/>
        <v>0</v>
      </c>
      <c r="V371">
        <f t="shared" si="136"/>
        <v>0</v>
      </c>
      <c r="W371">
        <f>IF(R371&lt;=0,0,MIN(MAX(0,R371-V371),0+IF(AND(Q371&gt;='Loan Prepayment'!$B$9,Q371&lt;='Loan Prepayment'!$E$16),'Loan Prepayment'!$B$8,0)))</f>
        <v>0</v>
      </c>
      <c r="X371">
        <f t="shared" si="137"/>
        <v>0</v>
      </c>
      <c r="Y371">
        <f t="shared" si="150"/>
        <v>370</v>
      </c>
      <c r="Z371">
        <f t="shared" si="138"/>
        <v>0</v>
      </c>
      <c r="AA371">
        <f>IF(Y371&gt;='Loan Prepayment'!$E$11,'Loan Prepayment'!$E$12,'Loan Prepayment'!$B$6)</f>
        <v>6.5</v>
      </c>
      <c r="AB371">
        <f>IF(Z371&lt;=0,0,MIN(IF(Y371='Loan Prepayment'!$E$11,IF('Loan Prepayment'!$E$13="Keep tenure, recalculate EMI",-PMT(AA371/1200,MAX(1,'Loan Prepayment'!$B$7*12-Y371+1),Z371),AB370),AB370),Z371+AC371))</f>
        <v>0</v>
      </c>
      <c r="AC371">
        <f t="shared" si="139"/>
        <v>0</v>
      </c>
      <c r="AD371">
        <f t="shared" si="140"/>
        <v>0</v>
      </c>
      <c r="AE371">
        <f t="shared" si="141"/>
        <v>0</v>
      </c>
      <c r="AF371">
        <f t="shared" si="142"/>
        <v>0</v>
      </c>
      <c r="AG371">
        <f t="shared" si="151"/>
        <v>370</v>
      </c>
      <c r="AH371">
        <f t="shared" si="143"/>
        <v>0</v>
      </c>
      <c r="AI371">
        <f>IF(AG371&gt;='Loan Prepayment'!$E$11,'Loan Prepayment'!$E$12,'Loan Prepayment'!$B$6)</f>
        <v>6.5</v>
      </c>
      <c r="AJ371">
        <f>IF(AH371&lt;=0,0,MIN(IF(AG371='Loan Prepayment'!$E$11,IF('Loan Prepayment'!$E$13="Keep tenure, recalculate EMI",-PMT(AI371/1200,MAX(1,'Loan Prepayment'!$B$7*12-AG371+1),AH371),IF(AND('Loan Prepayment'!$E$15="Reduce EMI",AM370&gt;0),-PMT(AI370/1200,MAX(1,'Loan Prepayment'!$B$7*12-AG371+1),AH371),AJ370)),IF(AND('Loan Prepayment'!$E$15="Reduce EMI",AM370&gt;0),-PMT(AI371/1200,MAX(1,'Loan Prepayment'!$B$7*12-AG371+1),AH371),AJ370)),AH371+AK371))</f>
        <v>0</v>
      </c>
      <c r="AK371">
        <f t="shared" si="144"/>
        <v>0</v>
      </c>
      <c r="AL371">
        <f t="shared" si="145"/>
        <v>0</v>
      </c>
      <c r="AM371">
        <f>IF(AH371&lt;=0,0,MIN(MAX(0,AH371-AL371),SUMIFS('Loan Prepayment'!$B$12:$B$31,'Loan Prepayment'!$A$12:$A$31,AG371)+IF(AND(AG371&gt;='Loan Prepayment'!$B$9,AG371&lt;='Loan Prepayment'!$E$16),'Loan Prepayment'!$B$8,0)))</f>
        <v>0</v>
      </c>
      <c r="AN371">
        <f t="shared" si="146"/>
        <v>0</v>
      </c>
    </row>
    <row r="372" spans="1:40" x14ac:dyDescent="0.35">
      <c r="A372">
        <f t="shared" si="147"/>
        <v>371</v>
      </c>
      <c r="B372">
        <f t="shared" si="126"/>
        <v>0</v>
      </c>
      <c r="C372">
        <f>'Loan Prepayment'!$B$6</f>
        <v>7.5</v>
      </c>
      <c r="D372">
        <f>IF(B372&lt;=0,0,MIN(-PMT('Loan Prepayment'!$B$6/1200,'Loan Prepayment'!$B$7*12,'Loan Prepayment'!$B$5),B372+E372))</f>
        <v>0</v>
      </c>
      <c r="E372">
        <f t="shared" si="127"/>
        <v>0</v>
      </c>
      <c r="F372">
        <f t="shared" si="128"/>
        <v>0</v>
      </c>
      <c r="G372">
        <v>0</v>
      </c>
      <c r="H372">
        <f t="shared" si="129"/>
        <v>0</v>
      </c>
      <c r="I372">
        <f t="shared" si="148"/>
        <v>371</v>
      </c>
      <c r="J372">
        <f t="shared" si="130"/>
        <v>0</v>
      </c>
      <c r="K372">
        <f>'Loan Prepayment'!$B$6</f>
        <v>7.5</v>
      </c>
      <c r="L372">
        <f>IF(J372&lt;=0,0,MIN(IF(AND('Loan Prepayment'!$E$15="Reduce EMI",O371&gt;0),-PMT(K372/1200,MAX(1,'Loan Prepayment'!$B$7*12-I372+1),J372),L371),J372+M372))</f>
        <v>0</v>
      </c>
      <c r="M372">
        <f t="shared" si="131"/>
        <v>0</v>
      </c>
      <c r="N372">
        <f t="shared" si="132"/>
        <v>0</v>
      </c>
      <c r="O372">
        <f>IF(J372&lt;=0,0,MIN(MAX(0,J372-N372),SUMIFS('Loan Prepayment'!$B$12:$B$31,'Loan Prepayment'!$A$12:$A$31,I372)+0))</f>
        <v>0</v>
      </c>
      <c r="P372">
        <f t="shared" si="133"/>
        <v>0</v>
      </c>
      <c r="Q372">
        <f t="shared" si="149"/>
        <v>371</v>
      </c>
      <c r="R372">
        <f t="shared" si="134"/>
        <v>0</v>
      </c>
      <c r="S372">
        <f>'Loan Prepayment'!$B$6</f>
        <v>7.5</v>
      </c>
      <c r="T372">
        <f>IF(R372&lt;=0,0,MIN(IF(AND('Loan Prepayment'!$E$15="Reduce EMI",W371&gt;0),-PMT(S372/1200,MAX(1,'Loan Prepayment'!$B$7*12-Q372+1),R372),T371),R372+U372))</f>
        <v>0</v>
      </c>
      <c r="U372">
        <f t="shared" si="135"/>
        <v>0</v>
      </c>
      <c r="V372">
        <f t="shared" si="136"/>
        <v>0</v>
      </c>
      <c r="W372">
        <f>IF(R372&lt;=0,0,MIN(MAX(0,R372-V372),0+IF(AND(Q372&gt;='Loan Prepayment'!$B$9,Q372&lt;='Loan Prepayment'!$E$16),'Loan Prepayment'!$B$8,0)))</f>
        <v>0</v>
      </c>
      <c r="X372">
        <f t="shared" si="137"/>
        <v>0</v>
      </c>
      <c r="Y372">
        <f t="shared" si="150"/>
        <v>371</v>
      </c>
      <c r="Z372">
        <f t="shared" si="138"/>
        <v>0</v>
      </c>
      <c r="AA372">
        <f>IF(Y372&gt;='Loan Prepayment'!$E$11,'Loan Prepayment'!$E$12,'Loan Prepayment'!$B$6)</f>
        <v>6.5</v>
      </c>
      <c r="AB372">
        <f>IF(Z372&lt;=0,0,MIN(IF(Y372='Loan Prepayment'!$E$11,IF('Loan Prepayment'!$E$13="Keep tenure, recalculate EMI",-PMT(AA372/1200,MAX(1,'Loan Prepayment'!$B$7*12-Y372+1),Z372),AB371),AB371),Z372+AC372))</f>
        <v>0</v>
      </c>
      <c r="AC372">
        <f t="shared" si="139"/>
        <v>0</v>
      </c>
      <c r="AD372">
        <f t="shared" si="140"/>
        <v>0</v>
      </c>
      <c r="AE372">
        <f t="shared" si="141"/>
        <v>0</v>
      </c>
      <c r="AF372">
        <f t="shared" si="142"/>
        <v>0</v>
      </c>
      <c r="AG372">
        <f t="shared" si="151"/>
        <v>371</v>
      </c>
      <c r="AH372">
        <f t="shared" si="143"/>
        <v>0</v>
      </c>
      <c r="AI372">
        <f>IF(AG372&gt;='Loan Prepayment'!$E$11,'Loan Prepayment'!$E$12,'Loan Prepayment'!$B$6)</f>
        <v>6.5</v>
      </c>
      <c r="AJ372">
        <f>IF(AH372&lt;=0,0,MIN(IF(AG372='Loan Prepayment'!$E$11,IF('Loan Prepayment'!$E$13="Keep tenure, recalculate EMI",-PMT(AI372/1200,MAX(1,'Loan Prepayment'!$B$7*12-AG372+1),AH372),IF(AND('Loan Prepayment'!$E$15="Reduce EMI",AM371&gt;0),-PMT(AI371/1200,MAX(1,'Loan Prepayment'!$B$7*12-AG372+1),AH372),AJ371)),IF(AND('Loan Prepayment'!$E$15="Reduce EMI",AM371&gt;0),-PMT(AI372/1200,MAX(1,'Loan Prepayment'!$B$7*12-AG372+1),AH372),AJ371)),AH372+AK372))</f>
        <v>0</v>
      </c>
      <c r="AK372">
        <f t="shared" si="144"/>
        <v>0</v>
      </c>
      <c r="AL372">
        <f t="shared" si="145"/>
        <v>0</v>
      </c>
      <c r="AM372">
        <f>IF(AH372&lt;=0,0,MIN(MAX(0,AH372-AL372),SUMIFS('Loan Prepayment'!$B$12:$B$31,'Loan Prepayment'!$A$12:$A$31,AG372)+IF(AND(AG372&gt;='Loan Prepayment'!$B$9,AG372&lt;='Loan Prepayment'!$E$16),'Loan Prepayment'!$B$8,0)))</f>
        <v>0</v>
      </c>
      <c r="AN372">
        <f t="shared" si="146"/>
        <v>0</v>
      </c>
    </row>
    <row r="373" spans="1:40" x14ac:dyDescent="0.35">
      <c r="A373">
        <f t="shared" si="147"/>
        <v>372</v>
      </c>
      <c r="B373">
        <f t="shared" si="126"/>
        <v>0</v>
      </c>
      <c r="C373">
        <f>'Loan Prepayment'!$B$6</f>
        <v>7.5</v>
      </c>
      <c r="D373">
        <f>IF(B373&lt;=0,0,MIN(-PMT('Loan Prepayment'!$B$6/1200,'Loan Prepayment'!$B$7*12,'Loan Prepayment'!$B$5),B373+E373))</f>
        <v>0</v>
      </c>
      <c r="E373">
        <f t="shared" si="127"/>
        <v>0</v>
      </c>
      <c r="F373">
        <f t="shared" si="128"/>
        <v>0</v>
      </c>
      <c r="G373">
        <v>0</v>
      </c>
      <c r="H373">
        <f t="shared" si="129"/>
        <v>0</v>
      </c>
      <c r="I373">
        <f t="shared" si="148"/>
        <v>372</v>
      </c>
      <c r="J373">
        <f t="shared" si="130"/>
        <v>0</v>
      </c>
      <c r="K373">
        <f>'Loan Prepayment'!$B$6</f>
        <v>7.5</v>
      </c>
      <c r="L373">
        <f>IF(J373&lt;=0,0,MIN(IF(AND('Loan Prepayment'!$E$15="Reduce EMI",O372&gt;0),-PMT(K373/1200,MAX(1,'Loan Prepayment'!$B$7*12-I373+1),J373),L372),J373+M373))</f>
        <v>0</v>
      </c>
      <c r="M373">
        <f t="shared" si="131"/>
        <v>0</v>
      </c>
      <c r="N373">
        <f t="shared" si="132"/>
        <v>0</v>
      </c>
      <c r="O373">
        <f>IF(J373&lt;=0,0,MIN(MAX(0,J373-N373),SUMIFS('Loan Prepayment'!$B$12:$B$31,'Loan Prepayment'!$A$12:$A$31,I373)+0))</f>
        <v>0</v>
      </c>
      <c r="P373">
        <f t="shared" si="133"/>
        <v>0</v>
      </c>
      <c r="Q373">
        <f t="shared" si="149"/>
        <v>372</v>
      </c>
      <c r="R373">
        <f t="shared" si="134"/>
        <v>0</v>
      </c>
      <c r="S373">
        <f>'Loan Prepayment'!$B$6</f>
        <v>7.5</v>
      </c>
      <c r="T373">
        <f>IF(R373&lt;=0,0,MIN(IF(AND('Loan Prepayment'!$E$15="Reduce EMI",W372&gt;0),-PMT(S373/1200,MAX(1,'Loan Prepayment'!$B$7*12-Q373+1),R373),T372),R373+U373))</f>
        <v>0</v>
      </c>
      <c r="U373">
        <f t="shared" si="135"/>
        <v>0</v>
      </c>
      <c r="V373">
        <f t="shared" si="136"/>
        <v>0</v>
      </c>
      <c r="W373">
        <f>IF(R373&lt;=0,0,MIN(MAX(0,R373-V373),0+IF(AND(Q373&gt;='Loan Prepayment'!$B$9,Q373&lt;='Loan Prepayment'!$E$16),'Loan Prepayment'!$B$8,0)))</f>
        <v>0</v>
      </c>
      <c r="X373">
        <f t="shared" si="137"/>
        <v>0</v>
      </c>
      <c r="Y373">
        <f t="shared" si="150"/>
        <v>372</v>
      </c>
      <c r="Z373">
        <f t="shared" si="138"/>
        <v>0</v>
      </c>
      <c r="AA373">
        <f>IF(Y373&gt;='Loan Prepayment'!$E$11,'Loan Prepayment'!$E$12,'Loan Prepayment'!$B$6)</f>
        <v>6.5</v>
      </c>
      <c r="AB373">
        <f>IF(Z373&lt;=0,0,MIN(IF(Y373='Loan Prepayment'!$E$11,IF('Loan Prepayment'!$E$13="Keep tenure, recalculate EMI",-PMT(AA373/1200,MAX(1,'Loan Prepayment'!$B$7*12-Y373+1),Z373),AB372),AB372),Z373+AC373))</f>
        <v>0</v>
      </c>
      <c r="AC373">
        <f t="shared" si="139"/>
        <v>0</v>
      </c>
      <c r="AD373">
        <f t="shared" si="140"/>
        <v>0</v>
      </c>
      <c r="AE373">
        <f t="shared" si="141"/>
        <v>0</v>
      </c>
      <c r="AF373">
        <f t="shared" si="142"/>
        <v>0</v>
      </c>
      <c r="AG373">
        <f t="shared" si="151"/>
        <v>372</v>
      </c>
      <c r="AH373">
        <f t="shared" si="143"/>
        <v>0</v>
      </c>
      <c r="AI373">
        <f>IF(AG373&gt;='Loan Prepayment'!$E$11,'Loan Prepayment'!$E$12,'Loan Prepayment'!$B$6)</f>
        <v>6.5</v>
      </c>
      <c r="AJ373">
        <f>IF(AH373&lt;=0,0,MIN(IF(AG373='Loan Prepayment'!$E$11,IF('Loan Prepayment'!$E$13="Keep tenure, recalculate EMI",-PMT(AI373/1200,MAX(1,'Loan Prepayment'!$B$7*12-AG373+1),AH373),IF(AND('Loan Prepayment'!$E$15="Reduce EMI",AM372&gt;0),-PMT(AI372/1200,MAX(1,'Loan Prepayment'!$B$7*12-AG373+1),AH373),AJ372)),IF(AND('Loan Prepayment'!$E$15="Reduce EMI",AM372&gt;0),-PMT(AI373/1200,MAX(1,'Loan Prepayment'!$B$7*12-AG373+1),AH373),AJ372)),AH373+AK373))</f>
        <v>0</v>
      </c>
      <c r="AK373">
        <f t="shared" si="144"/>
        <v>0</v>
      </c>
      <c r="AL373">
        <f t="shared" si="145"/>
        <v>0</v>
      </c>
      <c r="AM373">
        <f>IF(AH373&lt;=0,0,MIN(MAX(0,AH373-AL373),SUMIFS('Loan Prepayment'!$B$12:$B$31,'Loan Prepayment'!$A$12:$A$31,AG373)+IF(AND(AG373&gt;='Loan Prepayment'!$B$9,AG373&lt;='Loan Prepayment'!$E$16),'Loan Prepayment'!$B$8,0)))</f>
        <v>0</v>
      </c>
      <c r="AN373">
        <f t="shared" si="146"/>
        <v>0</v>
      </c>
    </row>
    <row r="374" spans="1:40" x14ac:dyDescent="0.35">
      <c r="A374">
        <f t="shared" si="147"/>
        <v>373</v>
      </c>
      <c r="B374">
        <f t="shared" si="126"/>
        <v>0</v>
      </c>
      <c r="C374">
        <f>'Loan Prepayment'!$B$6</f>
        <v>7.5</v>
      </c>
      <c r="D374">
        <f>IF(B374&lt;=0,0,MIN(-PMT('Loan Prepayment'!$B$6/1200,'Loan Prepayment'!$B$7*12,'Loan Prepayment'!$B$5),B374+E374))</f>
        <v>0</v>
      </c>
      <c r="E374">
        <f t="shared" si="127"/>
        <v>0</v>
      </c>
      <c r="F374">
        <f t="shared" si="128"/>
        <v>0</v>
      </c>
      <c r="G374">
        <v>0</v>
      </c>
      <c r="H374">
        <f t="shared" si="129"/>
        <v>0</v>
      </c>
      <c r="I374">
        <f t="shared" si="148"/>
        <v>373</v>
      </c>
      <c r="J374">
        <f t="shared" si="130"/>
        <v>0</v>
      </c>
      <c r="K374">
        <f>'Loan Prepayment'!$B$6</f>
        <v>7.5</v>
      </c>
      <c r="L374">
        <f>IF(J374&lt;=0,0,MIN(IF(AND('Loan Prepayment'!$E$15="Reduce EMI",O373&gt;0),-PMT(K374/1200,MAX(1,'Loan Prepayment'!$B$7*12-I374+1),J374),L373),J374+M374))</f>
        <v>0</v>
      </c>
      <c r="M374">
        <f t="shared" si="131"/>
        <v>0</v>
      </c>
      <c r="N374">
        <f t="shared" si="132"/>
        <v>0</v>
      </c>
      <c r="O374">
        <f>IF(J374&lt;=0,0,MIN(MAX(0,J374-N374),SUMIFS('Loan Prepayment'!$B$12:$B$31,'Loan Prepayment'!$A$12:$A$31,I374)+0))</f>
        <v>0</v>
      </c>
      <c r="P374">
        <f t="shared" si="133"/>
        <v>0</v>
      </c>
      <c r="Q374">
        <f t="shared" si="149"/>
        <v>373</v>
      </c>
      <c r="R374">
        <f t="shared" si="134"/>
        <v>0</v>
      </c>
      <c r="S374">
        <f>'Loan Prepayment'!$B$6</f>
        <v>7.5</v>
      </c>
      <c r="T374">
        <f>IF(R374&lt;=0,0,MIN(IF(AND('Loan Prepayment'!$E$15="Reduce EMI",W373&gt;0),-PMT(S374/1200,MAX(1,'Loan Prepayment'!$B$7*12-Q374+1),R374),T373),R374+U374))</f>
        <v>0</v>
      </c>
      <c r="U374">
        <f t="shared" si="135"/>
        <v>0</v>
      </c>
      <c r="V374">
        <f t="shared" si="136"/>
        <v>0</v>
      </c>
      <c r="W374">
        <f>IF(R374&lt;=0,0,MIN(MAX(0,R374-V374),0+IF(AND(Q374&gt;='Loan Prepayment'!$B$9,Q374&lt;='Loan Prepayment'!$E$16),'Loan Prepayment'!$B$8,0)))</f>
        <v>0</v>
      </c>
      <c r="X374">
        <f t="shared" si="137"/>
        <v>0</v>
      </c>
      <c r="Y374">
        <f t="shared" si="150"/>
        <v>373</v>
      </c>
      <c r="Z374">
        <f t="shared" si="138"/>
        <v>0</v>
      </c>
      <c r="AA374">
        <f>IF(Y374&gt;='Loan Prepayment'!$E$11,'Loan Prepayment'!$E$12,'Loan Prepayment'!$B$6)</f>
        <v>6.5</v>
      </c>
      <c r="AB374">
        <f>IF(Z374&lt;=0,0,MIN(IF(Y374='Loan Prepayment'!$E$11,IF('Loan Prepayment'!$E$13="Keep tenure, recalculate EMI",-PMT(AA374/1200,MAX(1,'Loan Prepayment'!$B$7*12-Y374+1),Z374),AB373),AB373),Z374+AC374))</f>
        <v>0</v>
      </c>
      <c r="AC374">
        <f t="shared" si="139"/>
        <v>0</v>
      </c>
      <c r="AD374">
        <f t="shared" si="140"/>
        <v>0</v>
      </c>
      <c r="AE374">
        <f t="shared" si="141"/>
        <v>0</v>
      </c>
      <c r="AF374">
        <f t="shared" si="142"/>
        <v>0</v>
      </c>
      <c r="AG374">
        <f t="shared" si="151"/>
        <v>373</v>
      </c>
      <c r="AH374">
        <f t="shared" si="143"/>
        <v>0</v>
      </c>
      <c r="AI374">
        <f>IF(AG374&gt;='Loan Prepayment'!$E$11,'Loan Prepayment'!$E$12,'Loan Prepayment'!$B$6)</f>
        <v>6.5</v>
      </c>
      <c r="AJ374">
        <f>IF(AH374&lt;=0,0,MIN(IF(AG374='Loan Prepayment'!$E$11,IF('Loan Prepayment'!$E$13="Keep tenure, recalculate EMI",-PMT(AI374/1200,MAX(1,'Loan Prepayment'!$B$7*12-AG374+1),AH374),IF(AND('Loan Prepayment'!$E$15="Reduce EMI",AM373&gt;0),-PMT(AI373/1200,MAX(1,'Loan Prepayment'!$B$7*12-AG374+1),AH374),AJ373)),IF(AND('Loan Prepayment'!$E$15="Reduce EMI",AM373&gt;0),-PMT(AI374/1200,MAX(1,'Loan Prepayment'!$B$7*12-AG374+1),AH374),AJ373)),AH374+AK374))</f>
        <v>0</v>
      </c>
      <c r="AK374">
        <f t="shared" si="144"/>
        <v>0</v>
      </c>
      <c r="AL374">
        <f t="shared" si="145"/>
        <v>0</v>
      </c>
      <c r="AM374">
        <f>IF(AH374&lt;=0,0,MIN(MAX(0,AH374-AL374),SUMIFS('Loan Prepayment'!$B$12:$B$31,'Loan Prepayment'!$A$12:$A$31,AG374)+IF(AND(AG374&gt;='Loan Prepayment'!$B$9,AG374&lt;='Loan Prepayment'!$E$16),'Loan Prepayment'!$B$8,0)))</f>
        <v>0</v>
      </c>
      <c r="AN374">
        <f t="shared" si="146"/>
        <v>0</v>
      </c>
    </row>
    <row r="375" spans="1:40" x14ac:dyDescent="0.35">
      <c r="A375">
        <f t="shared" si="147"/>
        <v>374</v>
      </c>
      <c r="B375">
        <f t="shared" si="126"/>
        <v>0</v>
      </c>
      <c r="C375">
        <f>'Loan Prepayment'!$B$6</f>
        <v>7.5</v>
      </c>
      <c r="D375">
        <f>IF(B375&lt;=0,0,MIN(-PMT('Loan Prepayment'!$B$6/1200,'Loan Prepayment'!$B$7*12,'Loan Prepayment'!$B$5),B375+E375))</f>
        <v>0</v>
      </c>
      <c r="E375">
        <f t="shared" si="127"/>
        <v>0</v>
      </c>
      <c r="F375">
        <f t="shared" si="128"/>
        <v>0</v>
      </c>
      <c r="G375">
        <v>0</v>
      </c>
      <c r="H375">
        <f t="shared" si="129"/>
        <v>0</v>
      </c>
      <c r="I375">
        <f t="shared" si="148"/>
        <v>374</v>
      </c>
      <c r="J375">
        <f t="shared" si="130"/>
        <v>0</v>
      </c>
      <c r="K375">
        <f>'Loan Prepayment'!$B$6</f>
        <v>7.5</v>
      </c>
      <c r="L375">
        <f>IF(J375&lt;=0,0,MIN(IF(AND('Loan Prepayment'!$E$15="Reduce EMI",O374&gt;0),-PMT(K375/1200,MAX(1,'Loan Prepayment'!$B$7*12-I375+1),J375),L374),J375+M375))</f>
        <v>0</v>
      </c>
      <c r="M375">
        <f t="shared" si="131"/>
        <v>0</v>
      </c>
      <c r="N375">
        <f t="shared" si="132"/>
        <v>0</v>
      </c>
      <c r="O375">
        <f>IF(J375&lt;=0,0,MIN(MAX(0,J375-N375),SUMIFS('Loan Prepayment'!$B$12:$B$31,'Loan Prepayment'!$A$12:$A$31,I375)+0))</f>
        <v>0</v>
      </c>
      <c r="P375">
        <f t="shared" si="133"/>
        <v>0</v>
      </c>
      <c r="Q375">
        <f t="shared" si="149"/>
        <v>374</v>
      </c>
      <c r="R375">
        <f t="shared" si="134"/>
        <v>0</v>
      </c>
      <c r="S375">
        <f>'Loan Prepayment'!$B$6</f>
        <v>7.5</v>
      </c>
      <c r="T375">
        <f>IF(R375&lt;=0,0,MIN(IF(AND('Loan Prepayment'!$E$15="Reduce EMI",W374&gt;0),-PMT(S375/1200,MAX(1,'Loan Prepayment'!$B$7*12-Q375+1),R375),T374),R375+U375))</f>
        <v>0</v>
      </c>
      <c r="U375">
        <f t="shared" si="135"/>
        <v>0</v>
      </c>
      <c r="V375">
        <f t="shared" si="136"/>
        <v>0</v>
      </c>
      <c r="W375">
        <f>IF(R375&lt;=0,0,MIN(MAX(0,R375-V375),0+IF(AND(Q375&gt;='Loan Prepayment'!$B$9,Q375&lt;='Loan Prepayment'!$E$16),'Loan Prepayment'!$B$8,0)))</f>
        <v>0</v>
      </c>
      <c r="X375">
        <f t="shared" si="137"/>
        <v>0</v>
      </c>
      <c r="Y375">
        <f t="shared" si="150"/>
        <v>374</v>
      </c>
      <c r="Z375">
        <f t="shared" si="138"/>
        <v>0</v>
      </c>
      <c r="AA375">
        <f>IF(Y375&gt;='Loan Prepayment'!$E$11,'Loan Prepayment'!$E$12,'Loan Prepayment'!$B$6)</f>
        <v>6.5</v>
      </c>
      <c r="AB375">
        <f>IF(Z375&lt;=0,0,MIN(IF(Y375='Loan Prepayment'!$E$11,IF('Loan Prepayment'!$E$13="Keep tenure, recalculate EMI",-PMT(AA375/1200,MAX(1,'Loan Prepayment'!$B$7*12-Y375+1),Z375),AB374),AB374),Z375+AC375))</f>
        <v>0</v>
      </c>
      <c r="AC375">
        <f t="shared" si="139"/>
        <v>0</v>
      </c>
      <c r="AD375">
        <f t="shared" si="140"/>
        <v>0</v>
      </c>
      <c r="AE375">
        <f t="shared" si="141"/>
        <v>0</v>
      </c>
      <c r="AF375">
        <f t="shared" si="142"/>
        <v>0</v>
      </c>
      <c r="AG375">
        <f t="shared" si="151"/>
        <v>374</v>
      </c>
      <c r="AH375">
        <f t="shared" si="143"/>
        <v>0</v>
      </c>
      <c r="AI375">
        <f>IF(AG375&gt;='Loan Prepayment'!$E$11,'Loan Prepayment'!$E$12,'Loan Prepayment'!$B$6)</f>
        <v>6.5</v>
      </c>
      <c r="AJ375">
        <f>IF(AH375&lt;=0,0,MIN(IF(AG375='Loan Prepayment'!$E$11,IF('Loan Prepayment'!$E$13="Keep tenure, recalculate EMI",-PMT(AI375/1200,MAX(1,'Loan Prepayment'!$B$7*12-AG375+1),AH375),IF(AND('Loan Prepayment'!$E$15="Reduce EMI",AM374&gt;0),-PMT(AI374/1200,MAX(1,'Loan Prepayment'!$B$7*12-AG375+1),AH375),AJ374)),IF(AND('Loan Prepayment'!$E$15="Reduce EMI",AM374&gt;0),-PMT(AI375/1200,MAX(1,'Loan Prepayment'!$B$7*12-AG375+1),AH375),AJ374)),AH375+AK375))</f>
        <v>0</v>
      </c>
      <c r="AK375">
        <f t="shared" si="144"/>
        <v>0</v>
      </c>
      <c r="AL375">
        <f t="shared" si="145"/>
        <v>0</v>
      </c>
      <c r="AM375">
        <f>IF(AH375&lt;=0,0,MIN(MAX(0,AH375-AL375),SUMIFS('Loan Prepayment'!$B$12:$B$31,'Loan Prepayment'!$A$12:$A$31,AG375)+IF(AND(AG375&gt;='Loan Prepayment'!$B$9,AG375&lt;='Loan Prepayment'!$E$16),'Loan Prepayment'!$B$8,0)))</f>
        <v>0</v>
      </c>
      <c r="AN375">
        <f t="shared" si="146"/>
        <v>0</v>
      </c>
    </row>
    <row r="376" spans="1:40" x14ac:dyDescent="0.35">
      <c r="A376">
        <f t="shared" si="147"/>
        <v>375</v>
      </c>
      <c r="B376">
        <f t="shared" si="126"/>
        <v>0</v>
      </c>
      <c r="C376">
        <f>'Loan Prepayment'!$B$6</f>
        <v>7.5</v>
      </c>
      <c r="D376">
        <f>IF(B376&lt;=0,0,MIN(-PMT('Loan Prepayment'!$B$6/1200,'Loan Prepayment'!$B$7*12,'Loan Prepayment'!$B$5),B376+E376))</f>
        <v>0</v>
      </c>
      <c r="E376">
        <f t="shared" si="127"/>
        <v>0</v>
      </c>
      <c r="F376">
        <f t="shared" si="128"/>
        <v>0</v>
      </c>
      <c r="G376">
        <v>0</v>
      </c>
      <c r="H376">
        <f t="shared" si="129"/>
        <v>0</v>
      </c>
      <c r="I376">
        <f t="shared" si="148"/>
        <v>375</v>
      </c>
      <c r="J376">
        <f t="shared" si="130"/>
        <v>0</v>
      </c>
      <c r="K376">
        <f>'Loan Prepayment'!$B$6</f>
        <v>7.5</v>
      </c>
      <c r="L376">
        <f>IF(J376&lt;=0,0,MIN(IF(AND('Loan Prepayment'!$E$15="Reduce EMI",O375&gt;0),-PMT(K376/1200,MAX(1,'Loan Prepayment'!$B$7*12-I376+1),J376),L375),J376+M376))</f>
        <v>0</v>
      </c>
      <c r="M376">
        <f t="shared" si="131"/>
        <v>0</v>
      </c>
      <c r="N376">
        <f t="shared" si="132"/>
        <v>0</v>
      </c>
      <c r="O376">
        <f>IF(J376&lt;=0,0,MIN(MAX(0,J376-N376),SUMIFS('Loan Prepayment'!$B$12:$B$31,'Loan Prepayment'!$A$12:$A$31,I376)+0))</f>
        <v>0</v>
      </c>
      <c r="P376">
        <f t="shared" si="133"/>
        <v>0</v>
      </c>
      <c r="Q376">
        <f t="shared" si="149"/>
        <v>375</v>
      </c>
      <c r="R376">
        <f t="shared" si="134"/>
        <v>0</v>
      </c>
      <c r="S376">
        <f>'Loan Prepayment'!$B$6</f>
        <v>7.5</v>
      </c>
      <c r="T376">
        <f>IF(R376&lt;=0,0,MIN(IF(AND('Loan Prepayment'!$E$15="Reduce EMI",W375&gt;0),-PMT(S376/1200,MAX(1,'Loan Prepayment'!$B$7*12-Q376+1),R376),T375),R376+U376))</f>
        <v>0</v>
      </c>
      <c r="U376">
        <f t="shared" si="135"/>
        <v>0</v>
      </c>
      <c r="V376">
        <f t="shared" si="136"/>
        <v>0</v>
      </c>
      <c r="W376">
        <f>IF(R376&lt;=0,0,MIN(MAX(0,R376-V376),0+IF(AND(Q376&gt;='Loan Prepayment'!$B$9,Q376&lt;='Loan Prepayment'!$E$16),'Loan Prepayment'!$B$8,0)))</f>
        <v>0</v>
      </c>
      <c r="X376">
        <f t="shared" si="137"/>
        <v>0</v>
      </c>
      <c r="Y376">
        <f t="shared" si="150"/>
        <v>375</v>
      </c>
      <c r="Z376">
        <f t="shared" si="138"/>
        <v>0</v>
      </c>
      <c r="AA376">
        <f>IF(Y376&gt;='Loan Prepayment'!$E$11,'Loan Prepayment'!$E$12,'Loan Prepayment'!$B$6)</f>
        <v>6.5</v>
      </c>
      <c r="AB376">
        <f>IF(Z376&lt;=0,0,MIN(IF(Y376='Loan Prepayment'!$E$11,IF('Loan Prepayment'!$E$13="Keep tenure, recalculate EMI",-PMT(AA376/1200,MAX(1,'Loan Prepayment'!$B$7*12-Y376+1),Z376),AB375),AB375),Z376+AC376))</f>
        <v>0</v>
      </c>
      <c r="AC376">
        <f t="shared" si="139"/>
        <v>0</v>
      </c>
      <c r="AD376">
        <f t="shared" si="140"/>
        <v>0</v>
      </c>
      <c r="AE376">
        <f t="shared" si="141"/>
        <v>0</v>
      </c>
      <c r="AF376">
        <f t="shared" si="142"/>
        <v>0</v>
      </c>
      <c r="AG376">
        <f t="shared" si="151"/>
        <v>375</v>
      </c>
      <c r="AH376">
        <f t="shared" si="143"/>
        <v>0</v>
      </c>
      <c r="AI376">
        <f>IF(AG376&gt;='Loan Prepayment'!$E$11,'Loan Prepayment'!$E$12,'Loan Prepayment'!$B$6)</f>
        <v>6.5</v>
      </c>
      <c r="AJ376">
        <f>IF(AH376&lt;=0,0,MIN(IF(AG376='Loan Prepayment'!$E$11,IF('Loan Prepayment'!$E$13="Keep tenure, recalculate EMI",-PMT(AI376/1200,MAX(1,'Loan Prepayment'!$B$7*12-AG376+1),AH376),IF(AND('Loan Prepayment'!$E$15="Reduce EMI",AM375&gt;0),-PMT(AI375/1200,MAX(1,'Loan Prepayment'!$B$7*12-AG376+1),AH376),AJ375)),IF(AND('Loan Prepayment'!$E$15="Reduce EMI",AM375&gt;0),-PMT(AI376/1200,MAX(1,'Loan Prepayment'!$B$7*12-AG376+1),AH376),AJ375)),AH376+AK376))</f>
        <v>0</v>
      </c>
      <c r="AK376">
        <f t="shared" si="144"/>
        <v>0</v>
      </c>
      <c r="AL376">
        <f t="shared" si="145"/>
        <v>0</v>
      </c>
      <c r="AM376">
        <f>IF(AH376&lt;=0,0,MIN(MAX(0,AH376-AL376),SUMIFS('Loan Prepayment'!$B$12:$B$31,'Loan Prepayment'!$A$12:$A$31,AG376)+IF(AND(AG376&gt;='Loan Prepayment'!$B$9,AG376&lt;='Loan Prepayment'!$E$16),'Loan Prepayment'!$B$8,0)))</f>
        <v>0</v>
      </c>
      <c r="AN376">
        <f t="shared" si="146"/>
        <v>0</v>
      </c>
    </row>
    <row r="377" spans="1:40" x14ac:dyDescent="0.35">
      <c r="A377">
        <f t="shared" si="147"/>
        <v>376</v>
      </c>
      <c r="B377">
        <f t="shared" si="126"/>
        <v>0</v>
      </c>
      <c r="C377">
        <f>'Loan Prepayment'!$B$6</f>
        <v>7.5</v>
      </c>
      <c r="D377">
        <f>IF(B377&lt;=0,0,MIN(-PMT('Loan Prepayment'!$B$6/1200,'Loan Prepayment'!$B$7*12,'Loan Prepayment'!$B$5),B377+E377))</f>
        <v>0</v>
      </c>
      <c r="E377">
        <f t="shared" si="127"/>
        <v>0</v>
      </c>
      <c r="F377">
        <f t="shared" si="128"/>
        <v>0</v>
      </c>
      <c r="G377">
        <v>0</v>
      </c>
      <c r="H377">
        <f t="shared" si="129"/>
        <v>0</v>
      </c>
      <c r="I377">
        <f t="shared" si="148"/>
        <v>376</v>
      </c>
      <c r="J377">
        <f t="shared" si="130"/>
        <v>0</v>
      </c>
      <c r="K377">
        <f>'Loan Prepayment'!$B$6</f>
        <v>7.5</v>
      </c>
      <c r="L377">
        <f>IF(J377&lt;=0,0,MIN(IF(AND('Loan Prepayment'!$E$15="Reduce EMI",O376&gt;0),-PMT(K377/1200,MAX(1,'Loan Prepayment'!$B$7*12-I377+1),J377),L376),J377+M377))</f>
        <v>0</v>
      </c>
      <c r="M377">
        <f t="shared" si="131"/>
        <v>0</v>
      </c>
      <c r="N377">
        <f t="shared" si="132"/>
        <v>0</v>
      </c>
      <c r="O377">
        <f>IF(J377&lt;=0,0,MIN(MAX(0,J377-N377),SUMIFS('Loan Prepayment'!$B$12:$B$31,'Loan Prepayment'!$A$12:$A$31,I377)+0))</f>
        <v>0</v>
      </c>
      <c r="P377">
        <f t="shared" si="133"/>
        <v>0</v>
      </c>
      <c r="Q377">
        <f t="shared" si="149"/>
        <v>376</v>
      </c>
      <c r="R377">
        <f t="shared" si="134"/>
        <v>0</v>
      </c>
      <c r="S377">
        <f>'Loan Prepayment'!$B$6</f>
        <v>7.5</v>
      </c>
      <c r="T377">
        <f>IF(R377&lt;=0,0,MIN(IF(AND('Loan Prepayment'!$E$15="Reduce EMI",W376&gt;0),-PMT(S377/1200,MAX(1,'Loan Prepayment'!$B$7*12-Q377+1),R377),T376),R377+U377))</f>
        <v>0</v>
      </c>
      <c r="U377">
        <f t="shared" si="135"/>
        <v>0</v>
      </c>
      <c r="V377">
        <f t="shared" si="136"/>
        <v>0</v>
      </c>
      <c r="W377">
        <f>IF(R377&lt;=0,0,MIN(MAX(0,R377-V377),0+IF(AND(Q377&gt;='Loan Prepayment'!$B$9,Q377&lt;='Loan Prepayment'!$E$16),'Loan Prepayment'!$B$8,0)))</f>
        <v>0</v>
      </c>
      <c r="X377">
        <f t="shared" si="137"/>
        <v>0</v>
      </c>
      <c r="Y377">
        <f t="shared" si="150"/>
        <v>376</v>
      </c>
      <c r="Z377">
        <f t="shared" si="138"/>
        <v>0</v>
      </c>
      <c r="AA377">
        <f>IF(Y377&gt;='Loan Prepayment'!$E$11,'Loan Prepayment'!$E$12,'Loan Prepayment'!$B$6)</f>
        <v>6.5</v>
      </c>
      <c r="AB377">
        <f>IF(Z377&lt;=0,0,MIN(IF(Y377='Loan Prepayment'!$E$11,IF('Loan Prepayment'!$E$13="Keep tenure, recalculate EMI",-PMT(AA377/1200,MAX(1,'Loan Prepayment'!$B$7*12-Y377+1),Z377),AB376),AB376),Z377+AC377))</f>
        <v>0</v>
      </c>
      <c r="AC377">
        <f t="shared" si="139"/>
        <v>0</v>
      </c>
      <c r="AD377">
        <f t="shared" si="140"/>
        <v>0</v>
      </c>
      <c r="AE377">
        <f t="shared" si="141"/>
        <v>0</v>
      </c>
      <c r="AF377">
        <f t="shared" si="142"/>
        <v>0</v>
      </c>
      <c r="AG377">
        <f t="shared" si="151"/>
        <v>376</v>
      </c>
      <c r="AH377">
        <f t="shared" si="143"/>
        <v>0</v>
      </c>
      <c r="AI377">
        <f>IF(AG377&gt;='Loan Prepayment'!$E$11,'Loan Prepayment'!$E$12,'Loan Prepayment'!$B$6)</f>
        <v>6.5</v>
      </c>
      <c r="AJ377">
        <f>IF(AH377&lt;=0,0,MIN(IF(AG377='Loan Prepayment'!$E$11,IF('Loan Prepayment'!$E$13="Keep tenure, recalculate EMI",-PMT(AI377/1200,MAX(1,'Loan Prepayment'!$B$7*12-AG377+1),AH377),IF(AND('Loan Prepayment'!$E$15="Reduce EMI",AM376&gt;0),-PMT(AI376/1200,MAX(1,'Loan Prepayment'!$B$7*12-AG377+1),AH377),AJ376)),IF(AND('Loan Prepayment'!$E$15="Reduce EMI",AM376&gt;0),-PMT(AI377/1200,MAX(1,'Loan Prepayment'!$B$7*12-AG377+1),AH377),AJ376)),AH377+AK377))</f>
        <v>0</v>
      </c>
      <c r="AK377">
        <f t="shared" si="144"/>
        <v>0</v>
      </c>
      <c r="AL377">
        <f t="shared" si="145"/>
        <v>0</v>
      </c>
      <c r="AM377">
        <f>IF(AH377&lt;=0,0,MIN(MAX(0,AH377-AL377),SUMIFS('Loan Prepayment'!$B$12:$B$31,'Loan Prepayment'!$A$12:$A$31,AG377)+IF(AND(AG377&gt;='Loan Prepayment'!$B$9,AG377&lt;='Loan Prepayment'!$E$16),'Loan Prepayment'!$B$8,0)))</f>
        <v>0</v>
      </c>
      <c r="AN377">
        <f t="shared" si="146"/>
        <v>0</v>
      </c>
    </row>
    <row r="378" spans="1:40" x14ac:dyDescent="0.35">
      <c r="A378">
        <f t="shared" si="147"/>
        <v>377</v>
      </c>
      <c r="B378">
        <f t="shared" si="126"/>
        <v>0</v>
      </c>
      <c r="C378">
        <f>'Loan Prepayment'!$B$6</f>
        <v>7.5</v>
      </c>
      <c r="D378">
        <f>IF(B378&lt;=0,0,MIN(-PMT('Loan Prepayment'!$B$6/1200,'Loan Prepayment'!$B$7*12,'Loan Prepayment'!$B$5),B378+E378))</f>
        <v>0</v>
      </c>
      <c r="E378">
        <f t="shared" si="127"/>
        <v>0</v>
      </c>
      <c r="F378">
        <f t="shared" si="128"/>
        <v>0</v>
      </c>
      <c r="G378">
        <v>0</v>
      </c>
      <c r="H378">
        <f t="shared" si="129"/>
        <v>0</v>
      </c>
      <c r="I378">
        <f t="shared" si="148"/>
        <v>377</v>
      </c>
      <c r="J378">
        <f t="shared" si="130"/>
        <v>0</v>
      </c>
      <c r="K378">
        <f>'Loan Prepayment'!$B$6</f>
        <v>7.5</v>
      </c>
      <c r="L378">
        <f>IF(J378&lt;=0,0,MIN(IF(AND('Loan Prepayment'!$E$15="Reduce EMI",O377&gt;0),-PMT(K378/1200,MAX(1,'Loan Prepayment'!$B$7*12-I378+1),J378),L377),J378+M378))</f>
        <v>0</v>
      </c>
      <c r="M378">
        <f t="shared" si="131"/>
        <v>0</v>
      </c>
      <c r="N378">
        <f t="shared" si="132"/>
        <v>0</v>
      </c>
      <c r="O378">
        <f>IF(J378&lt;=0,0,MIN(MAX(0,J378-N378),SUMIFS('Loan Prepayment'!$B$12:$B$31,'Loan Prepayment'!$A$12:$A$31,I378)+0))</f>
        <v>0</v>
      </c>
      <c r="P378">
        <f t="shared" si="133"/>
        <v>0</v>
      </c>
      <c r="Q378">
        <f t="shared" si="149"/>
        <v>377</v>
      </c>
      <c r="R378">
        <f t="shared" si="134"/>
        <v>0</v>
      </c>
      <c r="S378">
        <f>'Loan Prepayment'!$B$6</f>
        <v>7.5</v>
      </c>
      <c r="T378">
        <f>IF(R378&lt;=0,0,MIN(IF(AND('Loan Prepayment'!$E$15="Reduce EMI",W377&gt;0),-PMT(S378/1200,MAX(1,'Loan Prepayment'!$B$7*12-Q378+1),R378),T377),R378+U378))</f>
        <v>0</v>
      </c>
      <c r="U378">
        <f t="shared" si="135"/>
        <v>0</v>
      </c>
      <c r="V378">
        <f t="shared" si="136"/>
        <v>0</v>
      </c>
      <c r="W378">
        <f>IF(R378&lt;=0,0,MIN(MAX(0,R378-V378),0+IF(AND(Q378&gt;='Loan Prepayment'!$B$9,Q378&lt;='Loan Prepayment'!$E$16),'Loan Prepayment'!$B$8,0)))</f>
        <v>0</v>
      </c>
      <c r="X378">
        <f t="shared" si="137"/>
        <v>0</v>
      </c>
      <c r="Y378">
        <f t="shared" si="150"/>
        <v>377</v>
      </c>
      <c r="Z378">
        <f t="shared" si="138"/>
        <v>0</v>
      </c>
      <c r="AA378">
        <f>IF(Y378&gt;='Loan Prepayment'!$E$11,'Loan Prepayment'!$E$12,'Loan Prepayment'!$B$6)</f>
        <v>6.5</v>
      </c>
      <c r="AB378">
        <f>IF(Z378&lt;=0,0,MIN(IF(Y378='Loan Prepayment'!$E$11,IF('Loan Prepayment'!$E$13="Keep tenure, recalculate EMI",-PMT(AA378/1200,MAX(1,'Loan Prepayment'!$B$7*12-Y378+1),Z378),AB377),AB377),Z378+AC378))</f>
        <v>0</v>
      </c>
      <c r="AC378">
        <f t="shared" si="139"/>
        <v>0</v>
      </c>
      <c r="AD378">
        <f t="shared" si="140"/>
        <v>0</v>
      </c>
      <c r="AE378">
        <f t="shared" si="141"/>
        <v>0</v>
      </c>
      <c r="AF378">
        <f t="shared" si="142"/>
        <v>0</v>
      </c>
      <c r="AG378">
        <f t="shared" si="151"/>
        <v>377</v>
      </c>
      <c r="AH378">
        <f t="shared" si="143"/>
        <v>0</v>
      </c>
      <c r="AI378">
        <f>IF(AG378&gt;='Loan Prepayment'!$E$11,'Loan Prepayment'!$E$12,'Loan Prepayment'!$B$6)</f>
        <v>6.5</v>
      </c>
      <c r="AJ378">
        <f>IF(AH378&lt;=0,0,MIN(IF(AG378='Loan Prepayment'!$E$11,IF('Loan Prepayment'!$E$13="Keep tenure, recalculate EMI",-PMT(AI378/1200,MAX(1,'Loan Prepayment'!$B$7*12-AG378+1),AH378),IF(AND('Loan Prepayment'!$E$15="Reduce EMI",AM377&gt;0),-PMT(AI377/1200,MAX(1,'Loan Prepayment'!$B$7*12-AG378+1),AH378),AJ377)),IF(AND('Loan Prepayment'!$E$15="Reduce EMI",AM377&gt;0),-PMT(AI378/1200,MAX(1,'Loan Prepayment'!$B$7*12-AG378+1),AH378),AJ377)),AH378+AK378))</f>
        <v>0</v>
      </c>
      <c r="AK378">
        <f t="shared" si="144"/>
        <v>0</v>
      </c>
      <c r="AL378">
        <f t="shared" si="145"/>
        <v>0</v>
      </c>
      <c r="AM378">
        <f>IF(AH378&lt;=0,0,MIN(MAX(0,AH378-AL378),SUMIFS('Loan Prepayment'!$B$12:$B$31,'Loan Prepayment'!$A$12:$A$31,AG378)+IF(AND(AG378&gt;='Loan Prepayment'!$B$9,AG378&lt;='Loan Prepayment'!$E$16),'Loan Prepayment'!$B$8,0)))</f>
        <v>0</v>
      </c>
      <c r="AN378">
        <f t="shared" si="146"/>
        <v>0</v>
      </c>
    </row>
    <row r="379" spans="1:40" x14ac:dyDescent="0.35">
      <c r="A379">
        <f t="shared" si="147"/>
        <v>378</v>
      </c>
      <c r="B379">
        <f t="shared" si="126"/>
        <v>0</v>
      </c>
      <c r="C379">
        <f>'Loan Prepayment'!$B$6</f>
        <v>7.5</v>
      </c>
      <c r="D379">
        <f>IF(B379&lt;=0,0,MIN(-PMT('Loan Prepayment'!$B$6/1200,'Loan Prepayment'!$B$7*12,'Loan Prepayment'!$B$5),B379+E379))</f>
        <v>0</v>
      </c>
      <c r="E379">
        <f t="shared" si="127"/>
        <v>0</v>
      </c>
      <c r="F379">
        <f t="shared" si="128"/>
        <v>0</v>
      </c>
      <c r="G379">
        <v>0</v>
      </c>
      <c r="H379">
        <f t="shared" si="129"/>
        <v>0</v>
      </c>
      <c r="I379">
        <f t="shared" si="148"/>
        <v>378</v>
      </c>
      <c r="J379">
        <f t="shared" si="130"/>
        <v>0</v>
      </c>
      <c r="K379">
        <f>'Loan Prepayment'!$B$6</f>
        <v>7.5</v>
      </c>
      <c r="L379">
        <f>IF(J379&lt;=0,0,MIN(IF(AND('Loan Prepayment'!$E$15="Reduce EMI",O378&gt;0),-PMT(K379/1200,MAX(1,'Loan Prepayment'!$B$7*12-I379+1),J379),L378),J379+M379))</f>
        <v>0</v>
      </c>
      <c r="M379">
        <f t="shared" si="131"/>
        <v>0</v>
      </c>
      <c r="N379">
        <f t="shared" si="132"/>
        <v>0</v>
      </c>
      <c r="O379">
        <f>IF(J379&lt;=0,0,MIN(MAX(0,J379-N379),SUMIFS('Loan Prepayment'!$B$12:$B$31,'Loan Prepayment'!$A$12:$A$31,I379)+0))</f>
        <v>0</v>
      </c>
      <c r="P379">
        <f t="shared" si="133"/>
        <v>0</v>
      </c>
      <c r="Q379">
        <f t="shared" si="149"/>
        <v>378</v>
      </c>
      <c r="R379">
        <f t="shared" si="134"/>
        <v>0</v>
      </c>
      <c r="S379">
        <f>'Loan Prepayment'!$B$6</f>
        <v>7.5</v>
      </c>
      <c r="T379">
        <f>IF(R379&lt;=0,0,MIN(IF(AND('Loan Prepayment'!$E$15="Reduce EMI",W378&gt;0),-PMT(S379/1200,MAX(1,'Loan Prepayment'!$B$7*12-Q379+1),R379),T378),R379+U379))</f>
        <v>0</v>
      </c>
      <c r="U379">
        <f t="shared" si="135"/>
        <v>0</v>
      </c>
      <c r="V379">
        <f t="shared" si="136"/>
        <v>0</v>
      </c>
      <c r="W379">
        <f>IF(R379&lt;=0,0,MIN(MAX(0,R379-V379),0+IF(AND(Q379&gt;='Loan Prepayment'!$B$9,Q379&lt;='Loan Prepayment'!$E$16),'Loan Prepayment'!$B$8,0)))</f>
        <v>0</v>
      </c>
      <c r="X379">
        <f t="shared" si="137"/>
        <v>0</v>
      </c>
      <c r="Y379">
        <f t="shared" si="150"/>
        <v>378</v>
      </c>
      <c r="Z379">
        <f t="shared" si="138"/>
        <v>0</v>
      </c>
      <c r="AA379">
        <f>IF(Y379&gt;='Loan Prepayment'!$E$11,'Loan Prepayment'!$E$12,'Loan Prepayment'!$B$6)</f>
        <v>6.5</v>
      </c>
      <c r="AB379">
        <f>IF(Z379&lt;=0,0,MIN(IF(Y379='Loan Prepayment'!$E$11,IF('Loan Prepayment'!$E$13="Keep tenure, recalculate EMI",-PMT(AA379/1200,MAX(1,'Loan Prepayment'!$B$7*12-Y379+1),Z379),AB378),AB378),Z379+AC379))</f>
        <v>0</v>
      </c>
      <c r="AC379">
        <f t="shared" si="139"/>
        <v>0</v>
      </c>
      <c r="AD379">
        <f t="shared" si="140"/>
        <v>0</v>
      </c>
      <c r="AE379">
        <f t="shared" si="141"/>
        <v>0</v>
      </c>
      <c r="AF379">
        <f t="shared" si="142"/>
        <v>0</v>
      </c>
      <c r="AG379">
        <f t="shared" si="151"/>
        <v>378</v>
      </c>
      <c r="AH379">
        <f t="shared" si="143"/>
        <v>0</v>
      </c>
      <c r="AI379">
        <f>IF(AG379&gt;='Loan Prepayment'!$E$11,'Loan Prepayment'!$E$12,'Loan Prepayment'!$B$6)</f>
        <v>6.5</v>
      </c>
      <c r="AJ379">
        <f>IF(AH379&lt;=0,0,MIN(IF(AG379='Loan Prepayment'!$E$11,IF('Loan Prepayment'!$E$13="Keep tenure, recalculate EMI",-PMT(AI379/1200,MAX(1,'Loan Prepayment'!$B$7*12-AG379+1),AH379),IF(AND('Loan Prepayment'!$E$15="Reduce EMI",AM378&gt;0),-PMT(AI378/1200,MAX(1,'Loan Prepayment'!$B$7*12-AG379+1),AH379),AJ378)),IF(AND('Loan Prepayment'!$E$15="Reduce EMI",AM378&gt;0),-PMT(AI379/1200,MAX(1,'Loan Prepayment'!$B$7*12-AG379+1),AH379),AJ378)),AH379+AK379))</f>
        <v>0</v>
      </c>
      <c r="AK379">
        <f t="shared" si="144"/>
        <v>0</v>
      </c>
      <c r="AL379">
        <f t="shared" si="145"/>
        <v>0</v>
      </c>
      <c r="AM379">
        <f>IF(AH379&lt;=0,0,MIN(MAX(0,AH379-AL379),SUMIFS('Loan Prepayment'!$B$12:$B$31,'Loan Prepayment'!$A$12:$A$31,AG379)+IF(AND(AG379&gt;='Loan Prepayment'!$B$9,AG379&lt;='Loan Prepayment'!$E$16),'Loan Prepayment'!$B$8,0)))</f>
        <v>0</v>
      </c>
      <c r="AN379">
        <f t="shared" si="146"/>
        <v>0</v>
      </c>
    </row>
    <row r="380" spans="1:40" x14ac:dyDescent="0.35">
      <c r="A380">
        <f t="shared" si="147"/>
        <v>379</v>
      </c>
      <c r="B380">
        <f t="shared" si="126"/>
        <v>0</v>
      </c>
      <c r="C380">
        <f>'Loan Prepayment'!$B$6</f>
        <v>7.5</v>
      </c>
      <c r="D380">
        <f>IF(B380&lt;=0,0,MIN(-PMT('Loan Prepayment'!$B$6/1200,'Loan Prepayment'!$B$7*12,'Loan Prepayment'!$B$5),B380+E380))</f>
        <v>0</v>
      </c>
      <c r="E380">
        <f t="shared" si="127"/>
        <v>0</v>
      </c>
      <c r="F380">
        <f t="shared" si="128"/>
        <v>0</v>
      </c>
      <c r="G380">
        <v>0</v>
      </c>
      <c r="H380">
        <f t="shared" si="129"/>
        <v>0</v>
      </c>
      <c r="I380">
        <f t="shared" si="148"/>
        <v>379</v>
      </c>
      <c r="J380">
        <f t="shared" si="130"/>
        <v>0</v>
      </c>
      <c r="K380">
        <f>'Loan Prepayment'!$B$6</f>
        <v>7.5</v>
      </c>
      <c r="L380">
        <f>IF(J380&lt;=0,0,MIN(IF(AND('Loan Prepayment'!$E$15="Reduce EMI",O379&gt;0),-PMT(K380/1200,MAX(1,'Loan Prepayment'!$B$7*12-I380+1),J380),L379),J380+M380))</f>
        <v>0</v>
      </c>
      <c r="M380">
        <f t="shared" si="131"/>
        <v>0</v>
      </c>
      <c r="N380">
        <f t="shared" si="132"/>
        <v>0</v>
      </c>
      <c r="O380">
        <f>IF(J380&lt;=0,0,MIN(MAX(0,J380-N380),SUMIFS('Loan Prepayment'!$B$12:$B$31,'Loan Prepayment'!$A$12:$A$31,I380)+0))</f>
        <v>0</v>
      </c>
      <c r="P380">
        <f t="shared" si="133"/>
        <v>0</v>
      </c>
      <c r="Q380">
        <f t="shared" si="149"/>
        <v>379</v>
      </c>
      <c r="R380">
        <f t="shared" si="134"/>
        <v>0</v>
      </c>
      <c r="S380">
        <f>'Loan Prepayment'!$B$6</f>
        <v>7.5</v>
      </c>
      <c r="T380">
        <f>IF(R380&lt;=0,0,MIN(IF(AND('Loan Prepayment'!$E$15="Reduce EMI",W379&gt;0),-PMT(S380/1200,MAX(1,'Loan Prepayment'!$B$7*12-Q380+1),R380),T379),R380+U380))</f>
        <v>0</v>
      </c>
      <c r="U380">
        <f t="shared" si="135"/>
        <v>0</v>
      </c>
      <c r="V380">
        <f t="shared" si="136"/>
        <v>0</v>
      </c>
      <c r="W380">
        <f>IF(R380&lt;=0,0,MIN(MAX(0,R380-V380),0+IF(AND(Q380&gt;='Loan Prepayment'!$B$9,Q380&lt;='Loan Prepayment'!$E$16),'Loan Prepayment'!$B$8,0)))</f>
        <v>0</v>
      </c>
      <c r="X380">
        <f t="shared" si="137"/>
        <v>0</v>
      </c>
      <c r="Y380">
        <f t="shared" si="150"/>
        <v>379</v>
      </c>
      <c r="Z380">
        <f t="shared" si="138"/>
        <v>0</v>
      </c>
      <c r="AA380">
        <f>IF(Y380&gt;='Loan Prepayment'!$E$11,'Loan Prepayment'!$E$12,'Loan Prepayment'!$B$6)</f>
        <v>6.5</v>
      </c>
      <c r="AB380">
        <f>IF(Z380&lt;=0,0,MIN(IF(Y380='Loan Prepayment'!$E$11,IF('Loan Prepayment'!$E$13="Keep tenure, recalculate EMI",-PMT(AA380/1200,MAX(1,'Loan Prepayment'!$B$7*12-Y380+1),Z380),AB379),AB379),Z380+AC380))</f>
        <v>0</v>
      </c>
      <c r="AC380">
        <f t="shared" si="139"/>
        <v>0</v>
      </c>
      <c r="AD380">
        <f t="shared" si="140"/>
        <v>0</v>
      </c>
      <c r="AE380">
        <f t="shared" si="141"/>
        <v>0</v>
      </c>
      <c r="AF380">
        <f t="shared" si="142"/>
        <v>0</v>
      </c>
      <c r="AG380">
        <f t="shared" si="151"/>
        <v>379</v>
      </c>
      <c r="AH380">
        <f t="shared" si="143"/>
        <v>0</v>
      </c>
      <c r="AI380">
        <f>IF(AG380&gt;='Loan Prepayment'!$E$11,'Loan Prepayment'!$E$12,'Loan Prepayment'!$B$6)</f>
        <v>6.5</v>
      </c>
      <c r="AJ380">
        <f>IF(AH380&lt;=0,0,MIN(IF(AG380='Loan Prepayment'!$E$11,IF('Loan Prepayment'!$E$13="Keep tenure, recalculate EMI",-PMT(AI380/1200,MAX(1,'Loan Prepayment'!$B$7*12-AG380+1),AH380),IF(AND('Loan Prepayment'!$E$15="Reduce EMI",AM379&gt;0),-PMT(AI379/1200,MAX(1,'Loan Prepayment'!$B$7*12-AG380+1),AH380),AJ379)),IF(AND('Loan Prepayment'!$E$15="Reduce EMI",AM379&gt;0),-PMT(AI380/1200,MAX(1,'Loan Prepayment'!$B$7*12-AG380+1),AH380),AJ379)),AH380+AK380))</f>
        <v>0</v>
      </c>
      <c r="AK380">
        <f t="shared" si="144"/>
        <v>0</v>
      </c>
      <c r="AL380">
        <f t="shared" si="145"/>
        <v>0</v>
      </c>
      <c r="AM380">
        <f>IF(AH380&lt;=0,0,MIN(MAX(0,AH380-AL380),SUMIFS('Loan Prepayment'!$B$12:$B$31,'Loan Prepayment'!$A$12:$A$31,AG380)+IF(AND(AG380&gt;='Loan Prepayment'!$B$9,AG380&lt;='Loan Prepayment'!$E$16),'Loan Prepayment'!$B$8,0)))</f>
        <v>0</v>
      </c>
      <c r="AN380">
        <f t="shared" si="146"/>
        <v>0</v>
      </c>
    </row>
    <row r="381" spans="1:40" x14ac:dyDescent="0.35">
      <c r="A381">
        <f t="shared" si="147"/>
        <v>380</v>
      </c>
      <c r="B381">
        <f t="shared" si="126"/>
        <v>0</v>
      </c>
      <c r="C381">
        <f>'Loan Prepayment'!$B$6</f>
        <v>7.5</v>
      </c>
      <c r="D381">
        <f>IF(B381&lt;=0,0,MIN(-PMT('Loan Prepayment'!$B$6/1200,'Loan Prepayment'!$B$7*12,'Loan Prepayment'!$B$5),B381+E381))</f>
        <v>0</v>
      </c>
      <c r="E381">
        <f t="shared" si="127"/>
        <v>0</v>
      </c>
      <c r="F381">
        <f t="shared" si="128"/>
        <v>0</v>
      </c>
      <c r="G381">
        <v>0</v>
      </c>
      <c r="H381">
        <f t="shared" si="129"/>
        <v>0</v>
      </c>
      <c r="I381">
        <f t="shared" si="148"/>
        <v>380</v>
      </c>
      <c r="J381">
        <f t="shared" si="130"/>
        <v>0</v>
      </c>
      <c r="K381">
        <f>'Loan Prepayment'!$B$6</f>
        <v>7.5</v>
      </c>
      <c r="L381">
        <f>IF(J381&lt;=0,0,MIN(IF(AND('Loan Prepayment'!$E$15="Reduce EMI",O380&gt;0),-PMT(K381/1200,MAX(1,'Loan Prepayment'!$B$7*12-I381+1),J381),L380),J381+M381))</f>
        <v>0</v>
      </c>
      <c r="M381">
        <f t="shared" si="131"/>
        <v>0</v>
      </c>
      <c r="N381">
        <f t="shared" si="132"/>
        <v>0</v>
      </c>
      <c r="O381">
        <f>IF(J381&lt;=0,0,MIN(MAX(0,J381-N381),SUMIFS('Loan Prepayment'!$B$12:$B$31,'Loan Prepayment'!$A$12:$A$31,I381)+0))</f>
        <v>0</v>
      </c>
      <c r="P381">
        <f t="shared" si="133"/>
        <v>0</v>
      </c>
      <c r="Q381">
        <f t="shared" si="149"/>
        <v>380</v>
      </c>
      <c r="R381">
        <f t="shared" si="134"/>
        <v>0</v>
      </c>
      <c r="S381">
        <f>'Loan Prepayment'!$B$6</f>
        <v>7.5</v>
      </c>
      <c r="T381">
        <f>IF(R381&lt;=0,0,MIN(IF(AND('Loan Prepayment'!$E$15="Reduce EMI",W380&gt;0),-PMT(S381/1200,MAX(1,'Loan Prepayment'!$B$7*12-Q381+1),R381),T380),R381+U381))</f>
        <v>0</v>
      </c>
      <c r="U381">
        <f t="shared" si="135"/>
        <v>0</v>
      </c>
      <c r="V381">
        <f t="shared" si="136"/>
        <v>0</v>
      </c>
      <c r="W381">
        <f>IF(R381&lt;=0,0,MIN(MAX(0,R381-V381),0+IF(AND(Q381&gt;='Loan Prepayment'!$B$9,Q381&lt;='Loan Prepayment'!$E$16),'Loan Prepayment'!$B$8,0)))</f>
        <v>0</v>
      </c>
      <c r="X381">
        <f t="shared" si="137"/>
        <v>0</v>
      </c>
      <c r="Y381">
        <f t="shared" si="150"/>
        <v>380</v>
      </c>
      <c r="Z381">
        <f t="shared" si="138"/>
        <v>0</v>
      </c>
      <c r="AA381">
        <f>IF(Y381&gt;='Loan Prepayment'!$E$11,'Loan Prepayment'!$E$12,'Loan Prepayment'!$B$6)</f>
        <v>6.5</v>
      </c>
      <c r="AB381">
        <f>IF(Z381&lt;=0,0,MIN(IF(Y381='Loan Prepayment'!$E$11,IF('Loan Prepayment'!$E$13="Keep tenure, recalculate EMI",-PMT(AA381/1200,MAX(1,'Loan Prepayment'!$B$7*12-Y381+1),Z381),AB380),AB380),Z381+AC381))</f>
        <v>0</v>
      </c>
      <c r="AC381">
        <f t="shared" si="139"/>
        <v>0</v>
      </c>
      <c r="AD381">
        <f t="shared" si="140"/>
        <v>0</v>
      </c>
      <c r="AE381">
        <f t="shared" si="141"/>
        <v>0</v>
      </c>
      <c r="AF381">
        <f t="shared" si="142"/>
        <v>0</v>
      </c>
      <c r="AG381">
        <f t="shared" si="151"/>
        <v>380</v>
      </c>
      <c r="AH381">
        <f t="shared" si="143"/>
        <v>0</v>
      </c>
      <c r="AI381">
        <f>IF(AG381&gt;='Loan Prepayment'!$E$11,'Loan Prepayment'!$E$12,'Loan Prepayment'!$B$6)</f>
        <v>6.5</v>
      </c>
      <c r="AJ381">
        <f>IF(AH381&lt;=0,0,MIN(IF(AG381='Loan Prepayment'!$E$11,IF('Loan Prepayment'!$E$13="Keep tenure, recalculate EMI",-PMT(AI381/1200,MAX(1,'Loan Prepayment'!$B$7*12-AG381+1),AH381),IF(AND('Loan Prepayment'!$E$15="Reduce EMI",AM380&gt;0),-PMT(AI380/1200,MAX(1,'Loan Prepayment'!$B$7*12-AG381+1),AH381),AJ380)),IF(AND('Loan Prepayment'!$E$15="Reduce EMI",AM380&gt;0),-PMT(AI381/1200,MAX(1,'Loan Prepayment'!$B$7*12-AG381+1),AH381),AJ380)),AH381+AK381))</f>
        <v>0</v>
      </c>
      <c r="AK381">
        <f t="shared" si="144"/>
        <v>0</v>
      </c>
      <c r="AL381">
        <f t="shared" si="145"/>
        <v>0</v>
      </c>
      <c r="AM381">
        <f>IF(AH381&lt;=0,0,MIN(MAX(0,AH381-AL381),SUMIFS('Loan Prepayment'!$B$12:$B$31,'Loan Prepayment'!$A$12:$A$31,AG381)+IF(AND(AG381&gt;='Loan Prepayment'!$B$9,AG381&lt;='Loan Prepayment'!$E$16),'Loan Prepayment'!$B$8,0)))</f>
        <v>0</v>
      </c>
      <c r="AN381">
        <f t="shared" si="146"/>
        <v>0</v>
      </c>
    </row>
    <row r="382" spans="1:40" x14ac:dyDescent="0.35">
      <c r="A382">
        <f t="shared" si="147"/>
        <v>381</v>
      </c>
      <c r="B382">
        <f t="shared" si="126"/>
        <v>0</v>
      </c>
      <c r="C382">
        <f>'Loan Prepayment'!$B$6</f>
        <v>7.5</v>
      </c>
      <c r="D382">
        <f>IF(B382&lt;=0,0,MIN(-PMT('Loan Prepayment'!$B$6/1200,'Loan Prepayment'!$B$7*12,'Loan Prepayment'!$B$5),B382+E382))</f>
        <v>0</v>
      </c>
      <c r="E382">
        <f t="shared" si="127"/>
        <v>0</v>
      </c>
      <c r="F382">
        <f t="shared" si="128"/>
        <v>0</v>
      </c>
      <c r="G382">
        <v>0</v>
      </c>
      <c r="H382">
        <f t="shared" si="129"/>
        <v>0</v>
      </c>
      <c r="I382">
        <f t="shared" si="148"/>
        <v>381</v>
      </c>
      <c r="J382">
        <f t="shared" si="130"/>
        <v>0</v>
      </c>
      <c r="K382">
        <f>'Loan Prepayment'!$B$6</f>
        <v>7.5</v>
      </c>
      <c r="L382">
        <f>IF(J382&lt;=0,0,MIN(IF(AND('Loan Prepayment'!$E$15="Reduce EMI",O381&gt;0),-PMT(K382/1200,MAX(1,'Loan Prepayment'!$B$7*12-I382+1),J382),L381),J382+M382))</f>
        <v>0</v>
      </c>
      <c r="M382">
        <f t="shared" si="131"/>
        <v>0</v>
      </c>
      <c r="N382">
        <f t="shared" si="132"/>
        <v>0</v>
      </c>
      <c r="O382">
        <f>IF(J382&lt;=0,0,MIN(MAX(0,J382-N382),SUMIFS('Loan Prepayment'!$B$12:$B$31,'Loan Prepayment'!$A$12:$A$31,I382)+0))</f>
        <v>0</v>
      </c>
      <c r="P382">
        <f t="shared" si="133"/>
        <v>0</v>
      </c>
      <c r="Q382">
        <f t="shared" si="149"/>
        <v>381</v>
      </c>
      <c r="R382">
        <f t="shared" si="134"/>
        <v>0</v>
      </c>
      <c r="S382">
        <f>'Loan Prepayment'!$B$6</f>
        <v>7.5</v>
      </c>
      <c r="T382">
        <f>IF(R382&lt;=0,0,MIN(IF(AND('Loan Prepayment'!$E$15="Reduce EMI",W381&gt;0),-PMT(S382/1200,MAX(1,'Loan Prepayment'!$B$7*12-Q382+1),R382),T381),R382+U382))</f>
        <v>0</v>
      </c>
      <c r="U382">
        <f t="shared" si="135"/>
        <v>0</v>
      </c>
      <c r="V382">
        <f t="shared" si="136"/>
        <v>0</v>
      </c>
      <c r="W382">
        <f>IF(R382&lt;=0,0,MIN(MAX(0,R382-V382),0+IF(AND(Q382&gt;='Loan Prepayment'!$B$9,Q382&lt;='Loan Prepayment'!$E$16),'Loan Prepayment'!$B$8,0)))</f>
        <v>0</v>
      </c>
      <c r="X382">
        <f t="shared" si="137"/>
        <v>0</v>
      </c>
      <c r="Y382">
        <f t="shared" si="150"/>
        <v>381</v>
      </c>
      <c r="Z382">
        <f t="shared" si="138"/>
        <v>0</v>
      </c>
      <c r="AA382">
        <f>IF(Y382&gt;='Loan Prepayment'!$E$11,'Loan Prepayment'!$E$12,'Loan Prepayment'!$B$6)</f>
        <v>6.5</v>
      </c>
      <c r="AB382">
        <f>IF(Z382&lt;=0,0,MIN(IF(Y382='Loan Prepayment'!$E$11,IF('Loan Prepayment'!$E$13="Keep tenure, recalculate EMI",-PMT(AA382/1200,MAX(1,'Loan Prepayment'!$B$7*12-Y382+1),Z382),AB381),AB381),Z382+AC382))</f>
        <v>0</v>
      </c>
      <c r="AC382">
        <f t="shared" si="139"/>
        <v>0</v>
      </c>
      <c r="AD382">
        <f t="shared" si="140"/>
        <v>0</v>
      </c>
      <c r="AE382">
        <f t="shared" si="141"/>
        <v>0</v>
      </c>
      <c r="AF382">
        <f t="shared" si="142"/>
        <v>0</v>
      </c>
      <c r="AG382">
        <f t="shared" si="151"/>
        <v>381</v>
      </c>
      <c r="AH382">
        <f t="shared" si="143"/>
        <v>0</v>
      </c>
      <c r="AI382">
        <f>IF(AG382&gt;='Loan Prepayment'!$E$11,'Loan Prepayment'!$E$12,'Loan Prepayment'!$B$6)</f>
        <v>6.5</v>
      </c>
      <c r="AJ382">
        <f>IF(AH382&lt;=0,0,MIN(IF(AG382='Loan Prepayment'!$E$11,IF('Loan Prepayment'!$E$13="Keep tenure, recalculate EMI",-PMT(AI382/1200,MAX(1,'Loan Prepayment'!$B$7*12-AG382+1),AH382),IF(AND('Loan Prepayment'!$E$15="Reduce EMI",AM381&gt;0),-PMT(AI381/1200,MAX(1,'Loan Prepayment'!$B$7*12-AG382+1),AH382),AJ381)),IF(AND('Loan Prepayment'!$E$15="Reduce EMI",AM381&gt;0),-PMT(AI382/1200,MAX(1,'Loan Prepayment'!$B$7*12-AG382+1),AH382),AJ381)),AH382+AK382))</f>
        <v>0</v>
      </c>
      <c r="AK382">
        <f t="shared" si="144"/>
        <v>0</v>
      </c>
      <c r="AL382">
        <f t="shared" si="145"/>
        <v>0</v>
      </c>
      <c r="AM382">
        <f>IF(AH382&lt;=0,0,MIN(MAX(0,AH382-AL382),SUMIFS('Loan Prepayment'!$B$12:$B$31,'Loan Prepayment'!$A$12:$A$31,AG382)+IF(AND(AG382&gt;='Loan Prepayment'!$B$9,AG382&lt;='Loan Prepayment'!$E$16),'Loan Prepayment'!$B$8,0)))</f>
        <v>0</v>
      </c>
      <c r="AN382">
        <f t="shared" si="146"/>
        <v>0</v>
      </c>
    </row>
    <row r="383" spans="1:40" x14ac:dyDescent="0.35">
      <c r="A383">
        <f t="shared" si="147"/>
        <v>382</v>
      </c>
      <c r="B383">
        <f t="shared" si="126"/>
        <v>0</v>
      </c>
      <c r="C383">
        <f>'Loan Prepayment'!$B$6</f>
        <v>7.5</v>
      </c>
      <c r="D383">
        <f>IF(B383&lt;=0,0,MIN(-PMT('Loan Prepayment'!$B$6/1200,'Loan Prepayment'!$B$7*12,'Loan Prepayment'!$B$5),B383+E383))</f>
        <v>0</v>
      </c>
      <c r="E383">
        <f t="shared" si="127"/>
        <v>0</v>
      </c>
      <c r="F383">
        <f t="shared" si="128"/>
        <v>0</v>
      </c>
      <c r="G383">
        <v>0</v>
      </c>
      <c r="H383">
        <f t="shared" si="129"/>
        <v>0</v>
      </c>
      <c r="I383">
        <f t="shared" si="148"/>
        <v>382</v>
      </c>
      <c r="J383">
        <f t="shared" si="130"/>
        <v>0</v>
      </c>
      <c r="K383">
        <f>'Loan Prepayment'!$B$6</f>
        <v>7.5</v>
      </c>
      <c r="L383">
        <f>IF(J383&lt;=0,0,MIN(IF(AND('Loan Prepayment'!$E$15="Reduce EMI",O382&gt;0),-PMT(K383/1200,MAX(1,'Loan Prepayment'!$B$7*12-I383+1),J383),L382),J383+M383))</f>
        <v>0</v>
      </c>
      <c r="M383">
        <f t="shared" si="131"/>
        <v>0</v>
      </c>
      <c r="N383">
        <f t="shared" si="132"/>
        <v>0</v>
      </c>
      <c r="O383">
        <f>IF(J383&lt;=0,0,MIN(MAX(0,J383-N383),SUMIFS('Loan Prepayment'!$B$12:$B$31,'Loan Prepayment'!$A$12:$A$31,I383)+0))</f>
        <v>0</v>
      </c>
      <c r="P383">
        <f t="shared" si="133"/>
        <v>0</v>
      </c>
      <c r="Q383">
        <f t="shared" si="149"/>
        <v>382</v>
      </c>
      <c r="R383">
        <f t="shared" si="134"/>
        <v>0</v>
      </c>
      <c r="S383">
        <f>'Loan Prepayment'!$B$6</f>
        <v>7.5</v>
      </c>
      <c r="T383">
        <f>IF(R383&lt;=0,0,MIN(IF(AND('Loan Prepayment'!$E$15="Reduce EMI",W382&gt;0),-PMT(S383/1200,MAX(1,'Loan Prepayment'!$B$7*12-Q383+1),R383),T382),R383+U383))</f>
        <v>0</v>
      </c>
      <c r="U383">
        <f t="shared" si="135"/>
        <v>0</v>
      </c>
      <c r="V383">
        <f t="shared" si="136"/>
        <v>0</v>
      </c>
      <c r="W383">
        <f>IF(R383&lt;=0,0,MIN(MAX(0,R383-V383),0+IF(AND(Q383&gt;='Loan Prepayment'!$B$9,Q383&lt;='Loan Prepayment'!$E$16),'Loan Prepayment'!$B$8,0)))</f>
        <v>0</v>
      </c>
      <c r="X383">
        <f t="shared" si="137"/>
        <v>0</v>
      </c>
      <c r="Y383">
        <f t="shared" si="150"/>
        <v>382</v>
      </c>
      <c r="Z383">
        <f t="shared" si="138"/>
        <v>0</v>
      </c>
      <c r="AA383">
        <f>IF(Y383&gt;='Loan Prepayment'!$E$11,'Loan Prepayment'!$E$12,'Loan Prepayment'!$B$6)</f>
        <v>6.5</v>
      </c>
      <c r="AB383">
        <f>IF(Z383&lt;=0,0,MIN(IF(Y383='Loan Prepayment'!$E$11,IF('Loan Prepayment'!$E$13="Keep tenure, recalculate EMI",-PMT(AA383/1200,MAX(1,'Loan Prepayment'!$B$7*12-Y383+1),Z383),AB382),AB382),Z383+AC383))</f>
        <v>0</v>
      </c>
      <c r="AC383">
        <f t="shared" si="139"/>
        <v>0</v>
      </c>
      <c r="AD383">
        <f t="shared" si="140"/>
        <v>0</v>
      </c>
      <c r="AE383">
        <f t="shared" si="141"/>
        <v>0</v>
      </c>
      <c r="AF383">
        <f t="shared" si="142"/>
        <v>0</v>
      </c>
      <c r="AG383">
        <f t="shared" si="151"/>
        <v>382</v>
      </c>
      <c r="AH383">
        <f t="shared" si="143"/>
        <v>0</v>
      </c>
      <c r="AI383">
        <f>IF(AG383&gt;='Loan Prepayment'!$E$11,'Loan Prepayment'!$E$12,'Loan Prepayment'!$B$6)</f>
        <v>6.5</v>
      </c>
      <c r="AJ383">
        <f>IF(AH383&lt;=0,0,MIN(IF(AG383='Loan Prepayment'!$E$11,IF('Loan Prepayment'!$E$13="Keep tenure, recalculate EMI",-PMT(AI383/1200,MAX(1,'Loan Prepayment'!$B$7*12-AG383+1),AH383),IF(AND('Loan Prepayment'!$E$15="Reduce EMI",AM382&gt;0),-PMT(AI382/1200,MAX(1,'Loan Prepayment'!$B$7*12-AG383+1),AH383),AJ382)),IF(AND('Loan Prepayment'!$E$15="Reduce EMI",AM382&gt;0),-PMT(AI383/1200,MAX(1,'Loan Prepayment'!$B$7*12-AG383+1),AH383),AJ382)),AH383+AK383))</f>
        <v>0</v>
      </c>
      <c r="AK383">
        <f t="shared" si="144"/>
        <v>0</v>
      </c>
      <c r="AL383">
        <f t="shared" si="145"/>
        <v>0</v>
      </c>
      <c r="AM383">
        <f>IF(AH383&lt;=0,0,MIN(MAX(0,AH383-AL383),SUMIFS('Loan Prepayment'!$B$12:$B$31,'Loan Prepayment'!$A$12:$A$31,AG383)+IF(AND(AG383&gt;='Loan Prepayment'!$B$9,AG383&lt;='Loan Prepayment'!$E$16),'Loan Prepayment'!$B$8,0)))</f>
        <v>0</v>
      </c>
      <c r="AN383">
        <f t="shared" si="146"/>
        <v>0</v>
      </c>
    </row>
    <row r="384" spans="1:40" x14ac:dyDescent="0.35">
      <c r="A384">
        <f t="shared" si="147"/>
        <v>383</v>
      </c>
      <c r="B384">
        <f t="shared" si="126"/>
        <v>0</v>
      </c>
      <c r="C384">
        <f>'Loan Prepayment'!$B$6</f>
        <v>7.5</v>
      </c>
      <c r="D384">
        <f>IF(B384&lt;=0,0,MIN(-PMT('Loan Prepayment'!$B$6/1200,'Loan Prepayment'!$B$7*12,'Loan Prepayment'!$B$5),B384+E384))</f>
        <v>0</v>
      </c>
      <c r="E384">
        <f t="shared" si="127"/>
        <v>0</v>
      </c>
      <c r="F384">
        <f t="shared" si="128"/>
        <v>0</v>
      </c>
      <c r="G384">
        <v>0</v>
      </c>
      <c r="H384">
        <f t="shared" si="129"/>
        <v>0</v>
      </c>
      <c r="I384">
        <f t="shared" si="148"/>
        <v>383</v>
      </c>
      <c r="J384">
        <f t="shared" si="130"/>
        <v>0</v>
      </c>
      <c r="K384">
        <f>'Loan Prepayment'!$B$6</f>
        <v>7.5</v>
      </c>
      <c r="L384">
        <f>IF(J384&lt;=0,0,MIN(IF(AND('Loan Prepayment'!$E$15="Reduce EMI",O383&gt;0),-PMT(K384/1200,MAX(1,'Loan Prepayment'!$B$7*12-I384+1),J384),L383),J384+M384))</f>
        <v>0</v>
      </c>
      <c r="M384">
        <f t="shared" si="131"/>
        <v>0</v>
      </c>
      <c r="N384">
        <f t="shared" si="132"/>
        <v>0</v>
      </c>
      <c r="O384">
        <f>IF(J384&lt;=0,0,MIN(MAX(0,J384-N384),SUMIFS('Loan Prepayment'!$B$12:$B$31,'Loan Prepayment'!$A$12:$A$31,I384)+0))</f>
        <v>0</v>
      </c>
      <c r="P384">
        <f t="shared" si="133"/>
        <v>0</v>
      </c>
      <c r="Q384">
        <f t="shared" si="149"/>
        <v>383</v>
      </c>
      <c r="R384">
        <f t="shared" si="134"/>
        <v>0</v>
      </c>
      <c r="S384">
        <f>'Loan Prepayment'!$B$6</f>
        <v>7.5</v>
      </c>
      <c r="T384">
        <f>IF(R384&lt;=0,0,MIN(IF(AND('Loan Prepayment'!$E$15="Reduce EMI",W383&gt;0),-PMT(S384/1200,MAX(1,'Loan Prepayment'!$B$7*12-Q384+1),R384),T383),R384+U384))</f>
        <v>0</v>
      </c>
      <c r="U384">
        <f t="shared" si="135"/>
        <v>0</v>
      </c>
      <c r="V384">
        <f t="shared" si="136"/>
        <v>0</v>
      </c>
      <c r="W384">
        <f>IF(R384&lt;=0,0,MIN(MAX(0,R384-V384),0+IF(AND(Q384&gt;='Loan Prepayment'!$B$9,Q384&lt;='Loan Prepayment'!$E$16),'Loan Prepayment'!$B$8,0)))</f>
        <v>0</v>
      </c>
      <c r="X384">
        <f t="shared" si="137"/>
        <v>0</v>
      </c>
      <c r="Y384">
        <f t="shared" si="150"/>
        <v>383</v>
      </c>
      <c r="Z384">
        <f t="shared" si="138"/>
        <v>0</v>
      </c>
      <c r="AA384">
        <f>IF(Y384&gt;='Loan Prepayment'!$E$11,'Loan Prepayment'!$E$12,'Loan Prepayment'!$B$6)</f>
        <v>6.5</v>
      </c>
      <c r="AB384">
        <f>IF(Z384&lt;=0,0,MIN(IF(Y384='Loan Prepayment'!$E$11,IF('Loan Prepayment'!$E$13="Keep tenure, recalculate EMI",-PMT(AA384/1200,MAX(1,'Loan Prepayment'!$B$7*12-Y384+1),Z384),AB383),AB383),Z384+AC384))</f>
        <v>0</v>
      </c>
      <c r="AC384">
        <f t="shared" si="139"/>
        <v>0</v>
      </c>
      <c r="AD384">
        <f t="shared" si="140"/>
        <v>0</v>
      </c>
      <c r="AE384">
        <f t="shared" si="141"/>
        <v>0</v>
      </c>
      <c r="AF384">
        <f t="shared" si="142"/>
        <v>0</v>
      </c>
      <c r="AG384">
        <f t="shared" si="151"/>
        <v>383</v>
      </c>
      <c r="AH384">
        <f t="shared" si="143"/>
        <v>0</v>
      </c>
      <c r="AI384">
        <f>IF(AG384&gt;='Loan Prepayment'!$E$11,'Loan Prepayment'!$E$12,'Loan Prepayment'!$B$6)</f>
        <v>6.5</v>
      </c>
      <c r="AJ384">
        <f>IF(AH384&lt;=0,0,MIN(IF(AG384='Loan Prepayment'!$E$11,IF('Loan Prepayment'!$E$13="Keep tenure, recalculate EMI",-PMT(AI384/1200,MAX(1,'Loan Prepayment'!$B$7*12-AG384+1),AH384),IF(AND('Loan Prepayment'!$E$15="Reduce EMI",AM383&gt;0),-PMT(AI383/1200,MAX(1,'Loan Prepayment'!$B$7*12-AG384+1),AH384),AJ383)),IF(AND('Loan Prepayment'!$E$15="Reduce EMI",AM383&gt;0),-PMT(AI384/1200,MAX(1,'Loan Prepayment'!$B$7*12-AG384+1),AH384),AJ383)),AH384+AK384))</f>
        <v>0</v>
      </c>
      <c r="AK384">
        <f t="shared" si="144"/>
        <v>0</v>
      </c>
      <c r="AL384">
        <f t="shared" si="145"/>
        <v>0</v>
      </c>
      <c r="AM384">
        <f>IF(AH384&lt;=0,0,MIN(MAX(0,AH384-AL384),SUMIFS('Loan Prepayment'!$B$12:$B$31,'Loan Prepayment'!$A$12:$A$31,AG384)+IF(AND(AG384&gt;='Loan Prepayment'!$B$9,AG384&lt;='Loan Prepayment'!$E$16),'Loan Prepayment'!$B$8,0)))</f>
        <v>0</v>
      </c>
      <c r="AN384">
        <f t="shared" si="146"/>
        <v>0</v>
      </c>
    </row>
    <row r="385" spans="1:40" x14ac:dyDescent="0.35">
      <c r="A385">
        <f t="shared" si="147"/>
        <v>384</v>
      </c>
      <c r="B385">
        <f t="shared" si="126"/>
        <v>0</v>
      </c>
      <c r="C385">
        <f>'Loan Prepayment'!$B$6</f>
        <v>7.5</v>
      </c>
      <c r="D385">
        <f>IF(B385&lt;=0,0,MIN(-PMT('Loan Prepayment'!$B$6/1200,'Loan Prepayment'!$B$7*12,'Loan Prepayment'!$B$5),B385+E385))</f>
        <v>0</v>
      </c>
      <c r="E385">
        <f t="shared" si="127"/>
        <v>0</v>
      </c>
      <c r="F385">
        <f t="shared" si="128"/>
        <v>0</v>
      </c>
      <c r="G385">
        <v>0</v>
      </c>
      <c r="H385">
        <f t="shared" si="129"/>
        <v>0</v>
      </c>
      <c r="I385">
        <f t="shared" si="148"/>
        <v>384</v>
      </c>
      <c r="J385">
        <f t="shared" si="130"/>
        <v>0</v>
      </c>
      <c r="K385">
        <f>'Loan Prepayment'!$B$6</f>
        <v>7.5</v>
      </c>
      <c r="L385">
        <f>IF(J385&lt;=0,0,MIN(IF(AND('Loan Prepayment'!$E$15="Reduce EMI",O384&gt;0),-PMT(K385/1200,MAX(1,'Loan Prepayment'!$B$7*12-I385+1),J385),L384),J385+M385))</f>
        <v>0</v>
      </c>
      <c r="M385">
        <f t="shared" si="131"/>
        <v>0</v>
      </c>
      <c r="N385">
        <f t="shared" si="132"/>
        <v>0</v>
      </c>
      <c r="O385">
        <f>IF(J385&lt;=0,0,MIN(MAX(0,J385-N385),SUMIFS('Loan Prepayment'!$B$12:$B$31,'Loan Prepayment'!$A$12:$A$31,I385)+0))</f>
        <v>0</v>
      </c>
      <c r="P385">
        <f t="shared" si="133"/>
        <v>0</v>
      </c>
      <c r="Q385">
        <f t="shared" si="149"/>
        <v>384</v>
      </c>
      <c r="R385">
        <f t="shared" si="134"/>
        <v>0</v>
      </c>
      <c r="S385">
        <f>'Loan Prepayment'!$B$6</f>
        <v>7.5</v>
      </c>
      <c r="T385">
        <f>IF(R385&lt;=0,0,MIN(IF(AND('Loan Prepayment'!$E$15="Reduce EMI",W384&gt;0),-PMT(S385/1200,MAX(1,'Loan Prepayment'!$B$7*12-Q385+1),R385),T384),R385+U385))</f>
        <v>0</v>
      </c>
      <c r="U385">
        <f t="shared" si="135"/>
        <v>0</v>
      </c>
      <c r="V385">
        <f t="shared" si="136"/>
        <v>0</v>
      </c>
      <c r="W385">
        <f>IF(R385&lt;=0,0,MIN(MAX(0,R385-V385),0+IF(AND(Q385&gt;='Loan Prepayment'!$B$9,Q385&lt;='Loan Prepayment'!$E$16),'Loan Prepayment'!$B$8,0)))</f>
        <v>0</v>
      </c>
      <c r="X385">
        <f t="shared" si="137"/>
        <v>0</v>
      </c>
      <c r="Y385">
        <f t="shared" si="150"/>
        <v>384</v>
      </c>
      <c r="Z385">
        <f t="shared" si="138"/>
        <v>0</v>
      </c>
      <c r="AA385">
        <f>IF(Y385&gt;='Loan Prepayment'!$E$11,'Loan Prepayment'!$E$12,'Loan Prepayment'!$B$6)</f>
        <v>6.5</v>
      </c>
      <c r="AB385">
        <f>IF(Z385&lt;=0,0,MIN(IF(Y385='Loan Prepayment'!$E$11,IF('Loan Prepayment'!$E$13="Keep tenure, recalculate EMI",-PMT(AA385/1200,MAX(1,'Loan Prepayment'!$B$7*12-Y385+1),Z385),AB384),AB384),Z385+AC385))</f>
        <v>0</v>
      </c>
      <c r="AC385">
        <f t="shared" si="139"/>
        <v>0</v>
      </c>
      <c r="AD385">
        <f t="shared" si="140"/>
        <v>0</v>
      </c>
      <c r="AE385">
        <f t="shared" si="141"/>
        <v>0</v>
      </c>
      <c r="AF385">
        <f t="shared" si="142"/>
        <v>0</v>
      </c>
      <c r="AG385">
        <f t="shared" si="151"/>
        <v>384</v>
      </c>
      <c r="AH385">
        <f t="shared" si="143"/>
        <v>0</v>
      </c>
      <c r="AI385">
        <f>IF(AG385&gt;='Loan Prepayment'!$E$11,'Loan Prepayment'!$E$12,'Loan Prepayment'!$B$6)</f>
        <v>6.5</v>
      </c>
      <c r="AJ385">
        <f>IF(AH385&lt;=0,0,MIN(IF(AG385='Loan Prepayment'!$E$11,IF('Loan Prepayment'!$E$13="Keep tenure, recalculate EMI",-PMT(AI385/1200,MAX(1,'Loan Prepayment'!$B$7*12-AG385+1),AH385),IF(AND('Loan Prepayment'!$E$15="Reduce EMI",AM384&gt;0),-PMT(AI384/1200,MAX(1,'Loan Prepayment'!$B$7*12-AG385+1),AH385),AJ384)),IF(AND('Loan Prepayment'!$E$15="Reduce EMI",AM384&gt;0),-PMT(AI385/1200,MAX(1,'Loan Prepayment'!$B$7*12-AG385+1),AH385),AJ384)),AH385+AK385))</f>
        <v>0</v>
      </c>
      <c r="AK385">
        <f t="shared" si="144"/>
        <v>0</v>
      </c>
      <c r="AL385">
        <f t="shared" si="145"/>
        <v>0</v>
      </c>
      <c r="AM385">
        <f>IF(AH385&lt;=0,0,MIN(MAX(0,AH385-AL385),SUMIFS('Loan Prepayment'!$B$12:$B$31,'Loan Prepayment'!$A$12:$A$31,AG385)+IF(AND(AG385&gt;='Loan Prepayment'!$B$9,AG385&lt;='Loan Prepayment'!$E$16),'Loan Prepayment'!$B$8,0)))</f>
        <v>0</v>
      </c>
      <c r="AN385">
        <f t="shared" si="146"/>
        <v>0</v>
      </c>
    </row>
    <row r="386" spans="1:40" x14ac:dyDescent="0.35">
      <c r="A386">
        <f t="shared" si="147"/>
        <v>385</v>
      </c>
      <c r="B386">
        <f t="shared" si="126"/>
        <v>0</v>
      </c>
      <c r="C386">
        <f>'Loan Prepayment'!$B$6</f>
        <v>7.5</v>
      </c>
      <c r="D386">
        <f>IF(B386&lt;=0,0,MIN(-PMT('Loan Prepayment'!$B$6/1200,'Loan Prepayment'!$B$7*12,'Loan Prepayment'!$B$5),B386+E386))</f>
        <v>0</v>
      </c>
      <c r="E386">
        <f t="shared" si="127"/>
        <v>0</v>
      </c>
      <c r="F386">
        <f t="shared" si="128"/>
        <v>0</v>
      </c>
      <c r="G386">
        <v>0</v>
      </c>
      <c r="H386">
        <f t="shared" si="129"/>
        <v>0</v>
      </c>
      <c r="I386">
        <f t="shared" si="148"/>
        <v>385</v>
      </c>
      <c r="J386">
        <f t="shared" si="130"/>
        <v>0</v>
      </c>
      <c r="K386">
        <f>'Loan Prepayment'!$B$6</f>
        <v>7.5</v>
      </c>
      <c r="L386">
        <f>IF(J386&lt;=0,0,MIN(IF(AND('Loan Prepayment'!$E$15="Reduce EMI",O385&gt;0),-PMT(K386/1200,MAX(1,'Loan Prepayment'!$B$7*12-I386+1),J386),L385),J386+M386))</f>
        <v>0</v>
      </c>
      <c r="M386">
        <f t="shared" si="131"/>
        <v>0</v>
      </c>
      <c r="N386">
        <f t="shared" si="132"/>
        <v>0</v>
      </c>
      <c r="O386">
        <f>IF(J386&lt;=0,0,MIN(MAX(0,J386-N386),SUMIFS('Loan Prepayment'!$B$12:$B$31,'Loan Prepayment'!$A$12:$A$31,I386)+0))</f>
        <v>0</v>
      </c>
      <c r="P386">
        <f t="shared" si="133"/>
        <v>0</v>
      </c>
      <c r="Q386">
        <f t="shared" si="149"/>
        <v>385</v>
      </c>
      <c r="R386">
        <f t="shared" si="134"/>
        <v>0</v>
      </c>
      <c r="S386">
        <f>'Loan Prepayment'!$B$6</f>
        <v>7.5</v>
      </c>
      <c r="T386">
        <f>IF(R386&lt;=0,0,MIN(IF(AND('Loan Prepayment'!$E$15="Reduce EMI",W385&gt;0),-PMT(S386/1200,MAX(1,'Loan Prepayment'!$B$7*12-Q386+1),R386),T385),R386+U386))</f>
        <v>0</v>
      </c>
      <c r="U386">
        <f t="shared" si="135"/>
        <v>0</v>
      </c>
      <c r="V386">
        <f t="shared" si="136"/>
        <v>0</v>
      </c>
      <c r="W386">
        <f>IF(R386&lt;=0,0,MIN(MAX(0,R386-V386),0+IF(AND(Q386&gt;='Loan Prepayment'!$B$9,Q386&lt;='Loan Prepayment'!$E$16),'Loan Prepayment'!$B$8,0)))</f>
        <v>0</v>
      </c>
      <c r="X386">
        <f t="shared" si="137"/>
        <v>0</v>
      </c>
      <c r="Y386">
        <f t="shared" si="150"/>
        <v>385</v>
      </c>
      <c r="Z386">
        <f t="shared" si="138"/>
        <v>0</v>
      </c>
      <c r="AA386">
        <f>IF(Y386&gt;='Loan Prepayment'!$E$11,'Loan Prepayment'!$E$12,'Loan Prepayment'!$B$6)</f>
        <v>6.5</v>
      </c>
      <c r="AB386">
        <f>IF(Z386&lt;=0,0,MIN(IF(Y386='Loan Prepayment'!$E$11,IF('Loan Prepayment'!$E$13="Keep tenure, recalculate EMI",-PMT(AA386/1200,MAX(1,'Loan Prepayment'!$B$7*12-Y386+1),Z386),AB385),AB385),Z386+AC386))</f>
        <v>0</v>
      </c>
      <c r="AC386">
        <f t="shared" si="139"/>
        <v>0</v>
      </c>
      <c r="AD386">
        <f t="shared" si="140"/>
        <v>0</v>
      </c>
      <c r="AE386">
        <f t="shared" si="141"/>
        <v>0</v>
      </c>
      <c r="AF386">
        <f t="shared" si="142"/>
        <v>0</v>
      </c>
      <c r="AG386">
        <f t="shared" si="151"/>
        <v>385</v>
      </c>
      <c r="AH386">
        <f t="shared" si="143"/>
        <v>0</v>
      </c>
      <c r="AI386">
        <f>IF(AG386&gt;='Loan Prepayment'!$E$11,'Loan Prepayment'!$E$12,'Loan Prepayment'!$B$6)</f>
        <v>6.5</v>
      </c>
      <c r="AJ386">
        <f>IF(AH386&lt;=0,0,MIN(IF(AG386='Loan Prepayment'!$E$11,IF('Loan Prepayment'!$E$13="Keep tenure, recalculate EMI",-PMT(AI386/1200,MAX(1,'Loan Prepayment'!$B$7*12-AG386+1),AH386),IF(AND('Loan Prepayment'!$E$15="Reduce EMI",AM385&gt;0),-PMT(AI385/1200,MAX(1,'Loan Prepayment'!$B$7*12-AG386+1),AH386),AJ385)),IF(AND('Loan Prepayment'!$E$15="Reduce EMI",AM385&gt;0),-PMT(AI386/1200,MAX(1,'Loan Prepayment'!$B$7*12-AG386+1),AH386),AJ385)),AH386+AK386))</f>
        <v>0</v>
      </c>
      <c r="AK386">
        <f t="shared" si="144"/>
        <v>0</v>
      </c>
      <c r="AL386">
        <f t="shared" si="145"/>
        <v>0</v>
      </c>
      <c r="AM386">
        <f>IF(AH386&lt;=0,0,MIN(MAX(0,AH386-AL386),SUMIFS('Loan Prepayment'!$B$12:$B$31,'Loan Prepayment'!$A$12:$A$31,AG386)+IF(AND(AG386&gt;='Loan Prepayment'!$B$9,AG386&lt;='Loan Prepayment'!$E$16),'Loan Prepayment'!$B$8,0)))</f>
        <v>0</v>
      </c>
      <c r="AN386">
        <f t="shared" si="146"/>
        <v>0</v>
      </c>
    </row>
    <row r="387" spans="1:40" x14ac:dyDescent="0.35">
      <c r="A387">
        <f t="shared" si="147"/>
        <v>386</v>
      </c>
      <c r="B387">
        <f t="shared" si="126"/>
        <v>0</v>
      </c>
      <c r="C387">
        <f>'Loan Prepayment'!$B$6</f>
        <v>7.5</v>
      </c>
      <c r="D387">
        <f>IF(B387&lt;=0,0,MIN(-PMT('Loan Prepayment'!$B$6/1200,'Loan Prepayment'!$B$7*12,'Loan Prepayment'!$B$5),B387+E387))</f>
        <v>0</v>
      </c>
      <c r="E387">
        <f t="shared" si="127"/>
        <v>0</v>
      </c>
      <c r="F387">
        <f t="shared" si="128"/>
        <v>0</v>
      </c>
      <c r="G387">
        <v>0</v>
      </c>
      <c r="H387">
        <f t="shared" si="129"/>
        <v>0</v>
      </c>
      <c r="I387">
        <f t="shared" si="148"/>
        <v>386</v>
      </c>
      <c r="J387">
        <f t="shared" si="130"/>
        <v>0</v>
      </c>
      <c r="K387">
        <f>'Loan Prepayment'!$B$6</f>
        <v>7.5</v>
      </c>
      <c r="L387">
        <f>IF(J387&lt;=0,0,MIN(IF(AND('Loan Prepayment'!$E$15="Reduce EMI",O386&gt;0),-PMT(K387/1200,MAX(1,'Loan Prepayment'!$B$7*12-I387+1),J387),L386),J387+M387))</f>
        <v>0</v>
      </c>
      <c r="M387">
        <f t="shared" si="131"/>
        <v>0</v>
      </c>
      <c r="N387">
        <f t="shared" si="132"/>
        <v>0</v>
      </c>
      <c r="O387">
        <f>IF(J387&lt;=0,0,MIN(MAX(0,J387-N387),SUMIFS('Loan Prepayment'!$B$12:$B$31,'Loan Prepayment'!$A$12:$A$31,I387)+0))</f>
        <v>0</v>
      </c>
      <c r="P387">
        <f t="shared" si="133"/>
        <v>0</v>
      </c>
      <c r="Q387">
        <f t="shared" si="149"/>
        <v>386</v>
      </c>
      <c r="R387">
        <f t="shared" si="134"/>
        <v>0</v>
      </c>
      <c r="S387">
        <f>'Loan Prepayment'!$B$6</f>
        <v>7.5</v>
      </c>
      <c r="T387">
        <f>IF(R387&lt;=0,0,MIN(IF(AND('Loan Prepayment'!$E$15="Reduce EMI",W386&gt;0),-PMT(S387/1200,MAX(1,'Loan Prepayment'!$B$7*12-Q387+1),R387),T386),R387+U387))</f>
        <v>0</v>
      </c>
      <c r="U387">
        <f t="shared" si="135"/>
        <v>0</v>
      </c>
      <c r="V387">
        <f t="shared" si="136"/>
        <v>0</v>
      </c>
      <c r="W387">
        <f>IF(R387&lt;=0,0,MIN(MAX(0,R387-V387),0+IF(AND(Q387&gt;='Loan Prepayment'!$B$9,Q387&lt;='Loan Prepayment'!$E$16),'Loan Prepayment'!$B$8,0)))</f>
        <v>0</v>
      </c>
      <c r="X387">
        <f t="shared" si="137"/>
        <v>0</v>
      </c>
      <c r="Y387">
        <f t="shared" si="150"/>
        <v>386</v>
      </c>
      <c r="Z387">
        <f t="shared" si="138"/>
        <v>0</v>
      </c>
      <c r="AA387">
        <f>IF(Y387&gt;='Loan Prepayment'!$E$11,'Loan Prepayment'!$E$12,'Loan Prepayment'!$B$6)</f>
        <v>6.5</v>
      </c>
      <c r="AB387">
        <f>IF(Z387&lt;=0,0,MIN(IF(Y387='Loan Prepayment'!$E$11,IF('Loan Prepayment'!$E$13="Keep tenure, recalculate EMI",-PMT(AA387/1200,MAX(1,'Loan Prepayment'!$B$7*12-Y387+1),Z387),AB386),AB386),Z387+AC387))</f>
        <v>0</v>
      </c>
      <c r="AC387">
        <f t="shared" si="139"/>
        <v>0</v>
      </c>
      <c r="AD387">
        <f t="shared" si="140"/>
        <v>0</v>
      </c>
      <c r="AE387">
        <f t="shared" si="141"/>
        <v>0</v>
      </c>
      <c r="AF387">
        <f t="shared" si="142"/>
        <v>0</v>
      </c>
      <c r="AG387">
        <f t="shared" si="151"/>
        <v>386</v>
      </c>
      <c r="AH387">
        <f t="shared" si="143"/>
        <v>0</v>
      </c>
      <c r="AI387">
        <f>IF(AG387&gt;='Loan Prepayment'!$E$11,'Loan Prepayment'!$E$12,'Loan Prepayment'!$B$6)</f>
        <v>6.5</v>
      </c>
      <c r="AJ387">
        <f>IF(AH387&lt;=0,0,MIN(IF(AG387='Loan Prepayment'!$E$11,IF('Loan Prepayment'!$E$13="Keep tenure, recalculate EMI",-PMT(AI387/1200,MAX(1,'Loan Prepayment'!$B$7*12-AG387+1),AH387),IF(AND('Loan Prepayment'!$E$15="Reduce EMI",AM386&gt;0),-PMT(AI386/1200,MAX(1,'Loan Prepayment'!$B$7*12-AG387+1),AH387),AJ386)),IF(AND('Loan Prepayment'!$E$15="Reduce EMI",AM386&gt;0),-PMT(AI387/1200,MAX(1,'Loan Prepayment'!$B$7*12-AG387+1),AH387),AJ386)),AH387+AK387))</f>
        <v>0</v>
      </c>
      <c r="AK387">
        <f t="shared" si="144"/>
        <v>0</v>
      </c>
      <c r="AL387">
        <f t="shared" si="145"/>
        <v>0</v>
      </c>
      <c r="AM387">
        <f>IF(AH387&lt;=0,0,MIN(MAX(0,AH387-AL387),SUMIFS('Loan Prepayment'!$B$12:$B$31,'Loan Prepayment'!$A$12:$A$31,AG387)+IF(AND(AG387&gt;='Loan Prepayment'!$B$9,AG387&lt;='Loan Prepayment'!$E$16),'Loan Prepayment'!$B$8,0)))</f>
        <v>0</v>
      </c>
      <c r="AN387">
        <f t="shared" si="146"/>
        <v>0</v>
      </c>
    </row>
    <row r="388" spans="1:40" x14ac:dyDescent="0.35">
      <c r="A388">
        <f t="shared" si="147"/>
        <v>387</v>
      </c>
      <c r="B388">
        <f t="shared" si="126"/>
        <v>0</v>
      </c>
      <c r="C388">
        <f>'Loan Prepayment'!$B$6</f>
        <v>7.5</v>
      </c>
      <c r="D388">
        <f>IF(B388&lt;=0,0,MIN(-PMT('Loan Prepayment'!$B$6/1200,'Loan Prepayment'!$B$7*12,'Loan Prepayment'!$B$5),B388+E388))</f>
        <v>0</v>
      </c>
      <c r="E388">
        <f t="shared" si="127"/>
        <v>0</v>
      </c>
      <c r="F388">
        <f t="shared" si="128"/>
        <v>0</v>
      </c>
      <c r="G388">
        <v>0</v>
      </c>
      <c r="H388">
        <f t="shared" si="129"/>
        <v>0</v>
      </c>
      <c r="I388">
        <f t="shared" si="148"/>
        <v>387</v>
      </c>
      <c r="J388">
        <f t="shared" si="130"/>
        <v>0</v>
      </c>
      <c r="K388">
        <f>'Loan Prepayment'!$B$6</f>
        <v>7.5</v>
      </c>
      <c r="L388">
        <f>IF(J388&lt;=0,0,MIN(IF(AND('Loan Prepayment'!$E$15="Reduce EMI",O387&gt;0),-PMT(K388/1200,MAX(1,'Loan Prepayment'!$B$7*12-I388+1),J388),L387),J388+M388))</f>
        <v>0</v>
      </c>
      <c r="M388">
        <f t="shared" si="131"/>
        <v>0</v>
      </c>
      <c r="N388">
        <f t="shared" si="132"/>
        <v>0</v>
      </c>
      <c r="O388">
        <f>IF(J388&lt;=0,0,MIN(MAX(0,J388-N388),SUMIFS('Loan Prepayment'!$B$12:$B$31,'Loan Prepayment'!$A$12:$A$31,I388)+0))</f>
        <v>0</v>
      </c>
      <c r="P388">
        <f t="shared" si="133"/>
        <v>0</v>
      </c>
      <c r="Q388">
        <f t="shared" si="149"/>
        <v>387</v>
      </c>
      <c r="R388">
        <f t="shared" si="134"/>
        <v>0</v>
      </c>
      <c r="S388">
        <f>'Loan Prepayment'!$B$6</f>
        <v>7.5</v>
      </c>
      <c r="T388">
        <f>IF(R388&lt;=0,0,MIN(IF(AND('Loan Prepayment'!$E$15="Reduce EMI",W387&gt;0),-PMT(S388/1200,MAX(1,'Loan Prepayment'!$B$7*12-Q388+1),R388),T387),R388+U388))</f>
        <v>0</v>
      </c>
      <c r="U388">
        <f t="shared" si="135"/>
        <v>0</v>
      </c>
      <c r="V388">
        <f t="shared" si="136"/>
        <v>0</v>
      </c>
      <c r="W388">
        <f>IF(R388&lt;=0,0,MIN(MAX(0,R388-V388),0+IF(AND(Q388&gt;='Loan Prepayment'!$B$9,Q388&lt;='Loan Prepayment'!$E$16),'Loan Prepayment'!$B$8,0)))</f>
        <v>0</v>
      </c>
      <c r="X388">
        <f t="shared" si="137"/>
        <v>0</v>
      </c>
      <c r="Y388">
        <f t="shared" si="150"/>
        <v>387</v>
      </c>
      <c r="Z388">
        <f t="shared" si="138"/>
        <v>0</v>
      </c>
      <c r="AA388">
        <f>IF(Y388&gt;='Loan Prepayment'!$E$11,'Loan Prepayment'!$E$12,'Loan Prepayment'!$B$6)</f>
        <v>6.5</v>
      </c>
      <c r="AB388">
        <f>IF(Z388&lt;=0,0,MIN(IF(Y388='Loan Prepayment'!$E$11,IF('Loan Prepayment'!$E$13="Keep tenure, recalculate EMI",-PMT(AA388/1200,MAX(1,'Loan Prepayment'!$B$7*12-Y388+1),Z388),AB387),AB387),Z388+AC388))</f>
        <v>0</v>
      </c>
      <c r="AC388">
        <f t="shared" si="139"/>
        <v>0</v>
      </c>
      <c r="AD388">
        <f t="shared" si="140"/>
        <v>0</v>
      </c>
      <c r="AE388">
        <f t="shared" si="141"/>
        <v>0</v>
      </c>
      <c r="AF388">
        <f t="shared" si="142"/>
        <v>0</v>
      </c>
      <c r="AG388">
        <f t="shared" si="151"/>
        <v>387</v>
      </c>
      <c r="AH388">
        <f t="shared" si="143"/>
        <v>0</v>
      </c>
      <c r="AI388">
        <f>IF(AG388&gt;='Loan Prepayment'!$E$11,'Loan Prepayment'!$E$12,'Loan Prepayment'!$B$6)</f>
        <v>6.5</v>
      </c>
      <c r="AJ388">
        <f>IF(AH388&lt;=0,0,MIN(IF(AG388='Loan Prepayment'!$E$11,IF('Loan Prepayment'!$E$13="Keep tenure, recalculate EMI",-PMT(AI388/1200,MAX(1,'Loan Prepayment'!$B$7*12-AG388+1),AH388),IF(AND('Loan Prepayment'!$E$15="Reduce EMI",AM387&gt;0),-PMT(AI387/1200,MAX(1,'Loan Prepayment'!$B$7*12-AG388+1),AH388),AJ387)),IF(AND('Loan Prepayment'!$E$15="Reduce EMI",AM387&gt;0),-PMT(AI388/1200,MAX(1,'Loan Prepayment'!$B$7*12-AG388+1),AH388),AJ387)),AH388+AK388))</f>
        <v>0</v>
      </c>
      <c r="AK388">
        <f t="shared" si="144"/>
        <v>0</v>
      </c>
      <c r="AL388">
        <f t="shared" si="145"/>
        <v>0</v>
      </c>
      <c r="AM388">
        <f>IF(AH388&lt;=0,0,MIN(MAX(0,AH388-AL388),SUMIFS('Loan Prepayment'!$B$12:$B$31,'Loan Prepayment'!$A$12:$A$31,AG388)+IF(AND(AG388&gt;='Loan Prepayment'!$B$9,AG388&lt;='Loan Prepayment'!$E$16),'Loan Prepayment'!$B$8,0)))</f>
        <v>0</v>
      </c>
      <c r="AN388">
        <f t="shared" si="146"/>
        <v>0</v>
      </c>
    </row>
    <row r="389" spans="1:40" x14ac:dyDescent="0.35">
      <c r="A389">
        <f t="shared" si="147"/>
        <v>388</v>
      </c>
      <c r="B389">
        <f t="shared" si="126"/>
        <v>0</v>
      </c>
      <c r="C389">
        <f>'Loan Prepayment'!$B$6</f>
        <v>7.5</v>
      </c>
      <c r="D389">
        <f>IF(B389&lt;=0,0,MIN(-PMT('Loan Prepayment'!$B$6/1200,'Loan Prepayment'!$B$7*12,'Loan Prepayment'!$B$5),B389+E389))</f>
        <v>0</v>
      </c>
      <c r="E389">
        <f t="shared" si="127"/>
        <v>0</v>
      </c>
      <c r="F389">
        <f t="shared" si="128"/>
        <v>0</v>
      </c>
      <c r="G389">
        <v>0</v>
      </c>
      <c r="H389">
        <f t="shared" si="129"/>
        <v>0</v>
      </c>
      <c r="I389">
        <f t="shared" si="148"/>
        <v>388</v>
      </c>
      <c r="J389">
        <f t="shared" si="130"/>
        <v>0</v>
      </c>
      <c r="K389">
        <f>'Loan Prepayment'!$B$6</f>
        <v>7.5</v>
      </c>
      <c r="L389">
        <f>IF(J389&lt;=0,0,MIN(IF(AND('Loan Prepayment'!$E$15="Reduce EMI",O388&gt;0),-PMT(K389/1200,MAX(1,'Loan Prepayment'!$B$7*12-I389+1),J389),L388),J389+M389))</f>
        <v>0</v>
      </c>
      <c r="M389">
        <f t="shared" si="131"/>
        <v>0</v>
      </c>
      <c r="N389">
        <f t="shared" si="132"/>
        <v>0</v>
      </c>
      <c r="O389">
        <f>IF(J389&lt;=0,0,MIN(MAX(0,J389-N389),SUMIFS('Loan Prepayment'!$B$12:$B$31,'Loan Prepayment'!$A$12:$A$31,I389)+0))</f>
        <v>0</v>
      </c>
      <c r="P389">
        <f t="shared" si="133"/>
        <v>0</v>
      </c>
      <c r="Q389">
        <f t="shared" si="149"/>
        <v>388</v>
      </c>
      <c r="R389">
        <f t="shared" si="134"/>
        <v>0</v>
      </c>
      <c r="S389">
        <f>'Loan Prepayment'!$B$6</f>
        <v>7.5</v>
      </c>
      <c r="T389">
        <f>IF(R389&lt;=0,0,MIN(IF(AND('Loan Prepayment'!$E$15="Reduce EMI",W388&gt;0),-PMT(S389/1200,MAX(1,'Loan Prepayment'!$B$7*12-Q389+1),R389),T388),R389+U389))</f>
        <v>0</v>
      </c>
      <c r="U389">
        <f t="shared" si="135"/>
        <v>0</v>
      </c>
      <c r="V389">
        <f t="shared" si="136"/>
        <v>0</v>
      </c>
      <c r="W389">
        <f>IF(R389&lt;=0,0,MIN(MAX(0,R389-V389),0+IF(AND(Q389&gt;='Loan Prepayment'!$B$9,Q389&lt;='Loan Prepayment'!$E$16),'Loan Prepayment'!$B$8,0)))</f>
        <v>0</v>
      </c>
      <c r="X389">
        <f t="shared" si="137"/>
        <v>0</v>
      </c>
      <c r="Y389">
        <f t="shared" si="150"/>
        <v>388</v>
      </c>
      <c r="Z389">
        <f t="shared" si="138"/>
        <v>0</v>
      </c>
      <c r="AA389">
        <f>IF(Y389&gt;='Loan Prepayment'!$E$11,'Loan Prepayment'!$E$12,'Loan Prepayment'!$B$6)</f>
        <v>6.5</v>
      </c>
      <c r="AB389">
        <f>IF(Z389&lt;=0,0,MIN(IF(Y389='Loan Prepayment'!$E$11,IF('Loan Prepayment'!$E$13="Keep tenure, recalculate EMI",-PMT(AA389/1200,MAX(1,'Loan Prepayment'!$B$7*12-Y389+1),Z389),AB388),AB388),Z389+AC389))</f>
        <v>0</v>
      </c>
      <c r="AC389">
        <f t="shared" si="139"/>
        <v>0</v>
      </c>
      <c r="AD389">
        <f t="shared" si="140"/>
        <v>0</v>
      </c>
      <c r="AE389">
        <f t="shared" si="141"/>
        <v>0</v>
      </c>
      <c r="AF389">
        <f t="shared" si="142"/>
        <v>0</v>
      </c>
      <c r="AG389">
        <f t="shared" si="151"/>
        <v>388</v>
      </c>
      <c r="AH389">
        <f t="shared" si="143"/>
        <v>0</v>
      </c>
      <c r="AI389">
        <f>IF(AG389&gt;='Loan Prepayment'!$E$11,'Loan Prepayment'!$E$12,'Loan Prepayment'!$B$6)</f>
        <v>6.5</v>
      </c>
      <c r="AJ389">
        <f>IF(AH389&lt;=0,0,MIN(IF(AG389='Loan Prepayment'!$E$11,IF('Loan Prepayment'!$E$13="Keep tenure, recalculate EMI",-PMT(AI389/1200,MAX(1,'Loan Prepayment'!$B$7*12-AG389+1),AH389),IF(AND('Loan Prepayment'!$E$15="Reduce EMI",AM388&gt;0),-PMT(AI388/1200,MAX(1,'Loan Prepayment'!$B$7*12-AG389+1),AH389),AJ388)),IF(AND('Loan Prepayment'!$E$15="Reduce EMI",AM388&gt;0),-PMT(AI389/1200,MAX(1,'Loan Prepayment'!$B$7*12-AG389+1),AH389),AJ388)),AH389+AK389))</f>
        <v>0</v>
      </c>
      <c r="AK389">
        <f t="shared" si="144"/>
        <v>0</v>
      </c>
      <c r="AL389">
        <f t="shared" si="145"/>
        <v>0</v>
      </c>
      <c r="AM389">
        <f>IF(AH389&lt;=0,0,MIN(MAX(0,AH389-AL389),SUMIFS('Loan Prepayment'!$B$12:$B$31,'Loan Prepayment'!$A$12:$A$31,AG389)+IF(AND(AG389&gt;='Loan Prepayment'!$B$9,AG389&lt;='Loan Prepayment'!$E$16),'Loan Prepayment'!$B$8,0)))</f>
        <v>0</v>
      </c>
      <c r="AN389">
        <f t="shared" si="146"/>
        <v>0</v>
      </c>
    </row>
    <row r="390" spans="1:40" x14ac:dyDescent="0.35">
      <c r="A390">
        <f t="shared" si="147"/>
        <v>389</v>
      </c>
      <c r="B390">
        <f t="shared" si="126"/>
        <v>0</v>
      </c>
      <c r="C390">
        <f>'Loan Prepayment'!$B$6</f>
        <v>7.5</v>
      </c>
      <c r="D390">
        <f>IF(B390&lt;=0,0,MIN(-PMT('Loan Prepayment'!$B$6/1200,'Loan Prepayment'!$B$7*12,'Loan Prepayment'!$B$5),B390+E390))</f>
        <v>0</v>
      </c>
      <c r="E390">
        <f t="shared" si="127"/>
        <v>0</v>
      </c>
      <c r="F390">
        <f t="shared" si="128"/>
        <v>0</v>
      </c>
      <c r="G390">
        <v>0</v>
      </c>
      <c r="H390">
        <f t="shared" si="129"/>
        <v>0</v>
      </c>
      <c r="I390">
        <f t="shared" si="148"/>
        <v>389</v>
      </c>
      <c r="J390">
        <f t="shared" si="130"/>
        <v>0</v>
      </c>
      <c r="K390">
        <f>'Loan Prepayment'!$B$6</f>
        <v>7.5</v>
      </c>
      <c r="L390">
        <f>IF(J390&lt;=0,0,MIN(IF(AND('Loan Prepayment'!$E$15="Reduce EMI",O389&gt;0),-PMT(K390/1200,MAX(1,'Loan Prepayment'!$B$7*12-I390+1),J390),L389),J390+M390))</f>
        <v>0</v>
      </c>
      <c r="M390">
        <f t="shared" si="131"/>
        <v>0</v>
      </c>
      <c r="N390">
        <f t="shared" si="132"/>
        <v>0</v>
      </c>
      <c r="O390">
        <f>IF(J390&lt;=0,0,MIN(MAX(0,J390-N390),SUMIFS('Loan Prepayment'!$B$12:$B$31,'Loan Prepayment'!$A$12:$A$31,I390)+0))</f>
        <v>0</v>
      </c>
      <c r="P390">
        <f t="shared" si="133"/>
        <v>0</v>
      </c>
      <c r="Q390">
        <f t="shared" si="149"/>
        <v>389</v>
      </c>
      <c r="R390">
        <f t="shared" si="134"/>
        <v>0</v>
      </c>
      <c r="S390">
        <f>'Loan Prepayment'!$B$6</f>
        <v>7.5</v>
      </c>
      <c r="T390">
        <f>IF(R390&lt;=0,0,MIN(IF(AND('Loan Prepayment'!$E$15="Reduce EMI",W389&gt;0),-PMT(S390/1200,MAX(1,'Loan Prepayment'!$B$7*12-Q390+1),R390),T389),R390+U390))</f>
        <v>0</v>
      </c>
      <c r="U390">
        <f t="shared" si="135"/>
        <v>0</v>
      </c>
      <c r="V390">
        <f t="shared" si="136"/>
        <v>0</v>
      </c>
      <c r="W390">
        <f>IF(R390&lt;=0,0,MIN(MAX(0,R390-V390),0+IF(AND(Q390&gt;='Loan Prepayment'!$B$9,Q390&lt;='Loan Prepayment'!$E$16),'Loan Prepayment'!$B$8,0)))</f>
        <v>0</v>
      </c>
      <c r="X390">
        <f t="shared" si="137"/>
        <v>0</v>
      </c>
      <c r="Y390">
        <f t="shared" si="150"/>
        <v>389</v>
      </c>
      <c r="Z390">
        <f t="shared" si="138"/>
        <v>0</v>
      </c>
      <c r="AA390">
        <f>IF(Y390&gt;='Loan Prepayment'!$E$11,'Loan Prepayment'!$E$12,'Loan Prepayment'!$B$6)</f>
        <v>6.5</v>
      </c>
      <c r="AB390">
        <f>IF(Z390&lt;=0,0,MIN(IF(Y390='Loan Prepayment'!$E$11,IF('Loan Prepayment'!$E$13="Keep tenure, recalculate EMI",-PMT(AA390/1200,MAX(1,'Loan Prepayment'!$B$7*12-Y390+1),Z390),AB389),AB389),Z390+AC390))</f>
        <v>0</v>
      </c>
      <c r="AC390">
        <f t="shared" si="139"/>
        <v>0</v>
      </c>
      <c r="AD390">
        <f t="shared" si="140"/>
        <v>0</v>
      </c>
      <c r="AE390">
        <f t="shared" si="141"/>
        <v>0</v>
      </c>
      <c r="AF390">
        <f t="shared" si="142"/>
        <v>0</v>
      </c>
      <c r="AG390">
        <f t="shared" si="151"/>
        <v>389</v>
      </c>
      <c r="AH390">
        <f t="shared" si="143"/>
        <v>0</v>
      </c>
      <c r="AI390">
        <f>IF(AG390&gt;='Loan Prepayment'!$E$11,'Loan Prepayment'!$E$12,'Loan Prepayment'!$B$6)</f>
        <v>6.5</v>
      </c>
      <c r="AJ390">
        <f>IF(AH390&lt;=0,0,MIN(IF(AG390='Loan Prepayment'!$E$11,IF('Loan Prepayment'!$E$13="Keep tenure, recalculate EMI",-PMT(AI390/1200,MAX(1,'Loan Prepayment'!$B$7*12-AG390+1),AH390),IF(AND('Loan Prepayment'!$E$15="Reduce EMI",AM389&gt;0),-PMT(AI389/1200,MAX(1,'Loan Prepayment'!$B$7*12-AG390+1),AH390),AJ389)),IF(AND('Loan Prepayment'!$E$15="Reduce EMI",AM389&gt;0),-PMT(AI390/1200,MAX(1,'Loan Prepayment'!$B$7*12-AG390+1),AH390),AJ389)),AH390+AK390))</f>
        <v>0</v>
      </c>
      <c r="AK390">
        <f t="shared" si="144"/>
        <v>0</v>
      </c>
      <c r="AL390">
        <f t="shared" si="145"/>
        <v>0</v>
      </c>
      <c r="AM390">
        <f>IF(AH390&lt;=0,0,MIN(MAX(0,AH390-AL390),SUMIFS('Loan Prepayment'!$B$12:$B$31,'Loan Prepayment'!$A$12:$A$31,AG390)+IF(AND(AG390&gt;='Loan Prepayment'!$B$9,AG390&lt;='Loan Prepayment'!$E$16),'Loan Prepayment'!$B$8,0)))</f>
        <v>0</v>
      </c>
      <c r="AN390">
        <f t="shared" si="146"/>
        <v>0</v>
      </c>
    </row>
    <row r="391" spans="1:40" x14ac:dyDescent="0.35">
      <c r="A391">
        <f t="shared" si="147"/>
        <v>390</v>
      </c>
      <c r="B391">
        <f t="shared" si="126"/>
        <v>0</v>
      </c>
      <c r="C391">
        <f>'Loan Prepayment'!$B$6</f>
        <v>7.5</v>
      </c>
      <c r="D391">
        <f>IF(B391&lt;=0,0,MIN(-PMT('Loan Prepayment'!$B$6/1200,'Loan Prepayment'!$B$7*12,'Loan Prepayment'!$B$5),B391+E391))</f>
        <v>0</v>
      </c>
      <c r="E391">
        <f t="shared" si="127"/>
        <v>0</v>
      </c>
      <c r="F391">
        <f t="shared" si="128"/>
        <v>0</v>
      </c>
      <c r="G391">
        <v>0</v>
      </c>
      <c r="H391">
        <f t="shared" si="129"/>
        <v>0</v>
      </c>
      <c r="I391">
        <f t="shared" si="148"/>
        <v>390</v>
      </c>
      <c r="J391">
        <f t="shared" si="130"/>
        <v>0</v>
      </c>
      <c r="K391">
        <f>'Loan Prepayment'!$B$6</f>
        <v>7.5</v>
      </c>
      <c r="L391">
        <f>IF(J391&lt;=0,0,MIN(IF(AND('Loan Prepayment'!$E$15="Reduce EMI",O390&gt;0),-PMT(K391/1200,MAX(1,'Loan Prepayment'!$B$7*12-I391+1),J391),L390),J391+M391))</f>
        <v>0</v>
      </c>
      <c r="M391">
        <f t="shared" si="131"/>
        <v>0</v>
      </c>
      <c r="N391">
        <f t="shared" si="132"/>
        <v>0</v>
      </c>
      <c r="O391">
        <f>IF(J391&lt;=0,0,MIN(MAX(0,J391-N391),SUMIFS('Loan Prepayment'!$B$12:$B$31,'Loan Prepayment'!$A$12:$A$31,I391)+0))</f>
        <v>0</v>
      </c>
      <c r="P391">
        <f t="shared" si="133"/>
        <v>0</v>
      </c>
      <c r="Q391">
        <f t="shared" si="149"/>
        <v>390</v>
      </c>
      <c r="R391">
        <f t="shared" si="134"/>
        <v>0</v>
      </c>
      <c r="S391">
        <f>'Loan Prepayment'!$B$6</f>
        <v>7.5</v>
      </c>
      <c r="T391">
        <f>IF(R391&lt;=0,0,MIN(IF(AND('Loan Prepayment'!$E$15="Reduce EMI",W390&gt;0),-PMT(S391/1200,MAX(1,'Loan Prepayment'!$B$7*12-Q391+1),R391),T390),R391+U391))</f>
        <v>0</v>
      </c>
      <c r="U391">
        <f t="shared" si="135"/>
        <v>0</v>
      </c>
      <c r="V391">
        <f t="shared" si="136"/>
        <v>0</v>
      </c>
      <c r="W391">
        <f>IF(R391&lt;=0,0,MIN(MAX(0,R391-V391),0+IF(AND(Q391&gt;='Loan Prepayment'!$B$9,Q391&lt;='Loan Prepayment'!$E$16),'Loan Prepayment'!$B$8,0)))</f>
        <v>0</v>
      </c>
      <c r="X391">
        <f t="shared" si="137"/>
        <v>0</v>
      </c>
      <c r="Y391">
        <f t="shared" si="150"/>
        <v>390</v>
      </c>
      <c r="Z391">
        <f t="shared" si="138"/>
        <v>0</v>
      </c>
      <c r="AA391">
        <f>IF(Y391&gt;='Loan Prepayment'!$E$11,'Loan Prepayment'!$E$12,'Loan Prepayment'!$B$6)</f>
        <v>6.5</v>
      </c>
      <c r="AB391">
        <f>IF(Z391&lt;=0,0,MIN(IF(Y391='Loan Prepayment'!$E$11,IF('Loan Prepayment'!$E$13="Keep tenure, recalculate EMI",-PMT(AA391/1200,MAX(1,'Loan Prepayment'!$B$7*12-Y391+1),Z391),AB390),AB390),Z391+AC391))</f>
        <v>0</v>
      </c>
      <c r="AC391">
        <f t="shared" si="139"/>
        <v>0</v>
      </c>
      <c r="AD391">
        <f t="shared" si="140"/>
        <v>0</v>
      </c>
      <c r="AE391">
        <f t="shared" si="141"/>
        <v>0</v>
      </c>
      <c r="AF391">
        <f t="shared" si="142"/>
        <v>0</v>
      </c>
      <c r="AG391">
        <f t="shared" si="151"/>
        <v>390</v>
      </c>
      <c r="AH391">
        <f t="shared" si="143"/>
        <v>0</v>
      </c>
      <c r="AI391">
        <f>IF(AG391&gt;='Loan Prepayment'!$E$11,'Loan Prepayment'!$E$12,'Loan Prepayment'!$B$6)</f>
        <v>6.5</v>
      </c>
      <c r="AJ391">
        <f>IF(AH391&lt;=0,0,MIN(IF(AG391='Loan Prepayment'!$E$11,IF('Loan Prepayment'!$E$13="Keep tenure, recalculate EMI",-PMT(AI391/1200,MAX(1,'Loan Prepayment'!$B$7*12-AG391+1),AH391),IF(AND('Loan Prepayment'!$E$15="Reduce EMI",AM390&gt;0),-PMT(AI390/1200,MAX(1,'Loan Prepayment'!$B$7*12-AG391+1),AH391),AJ390)),IF(AND('Loan Prepayment'!$E$15="Reduce EMI",AM390&gt;0),-PMT(AI391/1200,MAX(1,'Loan Prepayment'!$B$7*12-AG391+1),AH391),AJ390)),AH391+AK391))</f>
        <v>0</v>
      </c>
      <c r="AK391">
        <f t="shared" si="144"/>
        <v>0</v>
      </c>
      <c r="AL391">
        <f t="shared" si="145"/>
        <v>0</v>
      </c>
      <c r="AM391">
        <f>IF(AH391&lt;=0,0,MIN(MAX(0,AH391-AL391),SUMIFS('Loan Prepayment'!$B$12:$B$31,'Loan Prepayment'!$A$12:$A$31,AG391)+IF(AND(AG391&gt;='Loan Prepayment'!$B$9,AG391&lt;='Loan Prepayment'!$E$16),'Loan Prepayment'!$B$8,0)))</f>
        <v>0</v>
      </c>
      <c r="AN391">
        <f t="shared" si="146"/>
        <v>0</v>
      </c>
    </row>
    <row r="392" spans="1:40" x14ac:dyDescent="0.35">
      <c r="A392">
        <f t="shared" si="147"/>
        <v>391</v>
      </c>
      <c r="B392">
        <f t="shared" si="126"/>
        <v>0</v>
      </c>
      <c r="C392">
        <f>'Loan Prepayment'!$B$6</f>
        <v>7.5</v>
      </c>
      <c r="D392">
        <f>IF(B392&lt;=0,0,MIN(-PMT('Loan Prepayment'!$B$6/1200,'Loan Prepayment'!$B$7*12,'Loan Prepayment'!$B$5),B392+E392))</f>
        <v>0</v>
      </c>
      <c r="E392">
        <f t="shared" si="127"/>
        <v>0</v>
      </c>
      <c r="F392">
        <f t="shared" si="128"/>
        <v>0</v>
      </c>
      <c r="G392">
        <v>0</v>
      </c>
      <c r="H392">
        <f t="shared" si="129"/>
        <v>0</v>
      </c>
      <c r="I392">
        <f t="shared" si="148"/>
        <v>391</v>
      </c>
      <c r="J392">
        <f t="shared" si="130"/>
        <v>0</v>
      </c>
      <c r="K392">
        <f>'Loan Prepayment'!$B$6</f>
        <v>7.5</v>
      </c>
      <c r="L392">
        <f>IF(J392&lt;=0,0,MIN(IF(AND('Loan Prepayment'!$E$15="Reduce EMI",O391&gt;0),-PMT(K392/1200,MAX(1,'Loan Prepayment'!$B$7*12-I392+1),J392),L391),J392+M392))</f>
        <v>0</v>
      </c>
      <c r="M392">
        <f t="shared" si="131"/>
        <v>0</v>
      </c>
      <c r="N392">
        <f t="shared" si="132"/>
        <v>0</v>
      </c>
      <c r="O392">
        <f>IF(J392&lt;=0,0,MIN(MAX(0,J392-N392),SUMIFS('Loan Prepayment'!$B$12:$B$31,'Loan Prepayment'!$A$12:$A$31,I392)+0))</f>
        <v>0</v>
      </c>
      <c r="P392">
        <f t="shared" si="133"/>
        <v>0</v>
      </c>
      <c r="Q392">
        <f t="shared" si="149"/>
        <v>391</v>
      </c>
      <c r="R392">
        <f t="shared" si="134"/>
        <v>0</v>
      </c>
      <c r="S392">
        <f>'Loan Prepayment'!$B$6</f>
        <v>7.5</v>
      </c>
      <c r="T392">
        <f>IF(R392&lt;=0,0,MIN(IF(AND('Loan Prepayment'!$E$15="Reduce EMI",W391&gt;0),-PMT(S392/1200,MAX(1,'Loan Prepayment'!$B$7*12-Q392+1),R392),T391),R392+U392))</f>
        <v>0</v>
      </c>
      <c r="U392">
        <f t="shared" si="135"/>
        <v>0</v>
      </c>
      <c r="V392">
        <f t="shared" si="136"/>
        <v>0</v>
      </c>
      <c r="W392">
        <f>IF(R392&lt;=0,0,MIN(MAX(0,R392-V392),0+IF(AND(Q392&gt;='Loan Prepayment'!$B$9,Q392&lt;='Loan Prepayment'!$E$16),'Loan Prepayment'!$B$8,0)))</f>
        <v>0</v>
      </c>
      <c r="X392">
        <f t="shared" si="137"/>
        <v>0</v>
      </c>
      <c r="Y392">
        <f t="shared" si="150"/>
        <v>391</v>
      </c>
      <c r="Z392">
        <f t="shared" si="138"/>
        <v>0</v>
      </c>
      <c r="AA392">
        <f>IF(Y392&gt;='Loan Prepayment'!$E$11,'Loan Prepayment'!$E$12,'Loan Prepayment'!$B$6)</f>
        <v>6.5</v>
      </c>
      <c r="AB392">
        <f>IF(Z392&lt;=0,0,MIN(IF(Y392='Loan Prepayment'!$E$11,IF('Loan Prepayment'!$E$13="Keep tenure, recalculate EMI",-PMT(AA392/1200,MAX(1,'Loan Prepayment'!$B$7*12-Y392+1),Z392),AB391),AB391),Z392+AC392))</f>
        <v>0</v>
      </c>
      <c r="AC392">
        <f t="shared" si="139"/>
        <v>0</v>
      </c>
      <c r="AD392">
        <f t="shared" si="140"/>
        <v>0</v>
      </c>
      <c r="AE392">
        <f t="shared" si="141"/>
        <v>0</v>
      </c>
      <c r="AF392">
        <f t="shared" si="142"/>
        <v>0</v>
      </c>
      <c r="AG392">
        <f t="shared" si="151"/>
        <v>391</v>
      </c>
      <c r="AH392">
        <f t="shared" si="143"/>
        <v>0</v>
      </c>
      <c r="AI392">
        <f>IF(AG392&gt;='Loan Prepayment'!$E$11,'Loan Prepayment'!$E$12,'Loan Prepayment'!$B$6)</f>
        <v>6.5</v>
      </c>
      <c r="AJ392">
        <f>IF(AH392&lt;=0,0,MIN(IF(AG392='Loan Prepayment'!$E$11,IF('Loan Prepayment'!$E$13="Keep tenure, recalculate EMI",-PMT(AI392/1200,MAX(1,'Loan Prepayment'!$B$7*12-AG392+1),AH392),IF(AND('Loan Prepayment'!$E$15="Reduce EMI",AM391&gt;0),-PMT(AI391/1200,MAX(1,'Loan Prepayment'!$B$7*12-AG392+1),AH392),AJ391)),IF(AND('Loan Prepayment'!$E$15="Reduce EMI",AM391&gt;0),-PMT(AI392/1200,MAX(1,'Loan Prepayment'!$B$7*12-AG392+1),AH392),AJ391)),AH392+AK392))</f>
        <v>0</v>
      </c>
      <c r="AK392">
        <f t="shared" si="144"/>
        <v>0</v>
      </c>
      <c r="AL392">
        <f t="shared" si="145"/>
        <v>0</v>
      </c>
      <c r="AM392">
        <f>IF(AH392&lt;=0,0,MIN(MAX(0,AH392-AL392),SUMIFS('Loan Prepayment'!$B$12:$B$31,'Loan Prepayment'!$A$12:$A$31,AG392)+IF(AND(AG392&gt;='Loan Prepayment'!$B$9,AG392&lt;='Loan Prepayment'!$E$16),'Loan Prepayment'!$B$8,0)))</f>
        <v>0</v>
      </c>
      <c r="AN392">
        <f t="shared" si="146"/>
        <v>0</v>
      </c>
    </row>
    <row r="393" spans="1:40" x14ac:dyDescent="0.35">
      <c r="A393">
        <f t="shared" si="147"/>
        <v>392</v>
      </c>
      <c r="B393">
        <f t="shared" si="126"/>
        <v>0</v>
      </c>
      <c r="C393">
        <f>'Loan Prepayment'!$B$6</f>
        <v>7.5</v>
      </c>
      <c r="D393">
        <f>IF(B393&lt;=0,0,MIN(-PMT('Loan Prepayment'!$B$6/1200,'Loan Prepayment'!$B$7*12,'Loan Prepayment'!$B$5),B393+E393))</f>
        <v>0</v>
      </c>
      <c r="E393">
        <f t="shared" si="127"/>
        <v>0</v>
      </c>
      <c r="F393">
        <f t="shared" si="128"/>
        <v>0</v>
      </c>
      <c r="G393">
        <v>0</v>
      </c>
      <c r="H393">
        <f t="shared" si="129"/>
        <v>0</v>
      </c>
      <c r="I393">
        <f t="shared" si="148"/>
        <v>392</v>
      </c>
      <c r="J393">
        <f t="shared" si="130"/>
        <v>0</v>
      </c>
      <c r="K393">
        <f>'Loan Prepayment'!$B$6</f>
        <v>7.5</v>
      </c>
      <c r="L393">
        <f>IF(J393&lt;=0,0,MIN(IF(AND('Loan Prepayment'!$E$15="Reduce EMI",O392&gt;0),-PMT(K393/1200,MAX(1,'Loan Prepayment'!$B$7*12-I393+1),J393),L392),J393+M393))</f>
        <v>0</v>
      </c>
      <c r="M393">
        <f t="shared" si="131"/>
        <v>0</v>
      </c>
      <c r="N393">
        <f t="shared" si="132"/>
        <v>0</v>
      </c>
      <c r="O393">
        <f>IF(J393&lt;=0,0,MIN(MAX(0,J393-N393),SUMIFS('Loan Prepayment'!$B$12:$B$31,'Loan Prepayment'!$A$12:$A$31,I393)+0))</f>
        <v>0</v>
      </c>
      <c r="P393">
        <f t="shared" si="133"/>
        <v>0</v>
      </c>
      <c r="Q393">
        <f t="shared" si="149"/>
        <v>392</v>
      </c>
      <c r="R393">
        <f t="shared" si="134"/>
        <v>0</v>
      </c>
      <c r="S393">
        <f>'Loan Prepayment'!$B$6</f>
        <v>7.5</v>
      </c>
      <c r="T393">
        <f>IF(R393&lt;=0,0,MIN(IF(AND('Loan Prepayment'!$E$15="Reduce EMI",W392&gt;0),-PMT(S393/1200,MAX(1,'Loan Prepayment'!$B$7*12-Q393+1),R393),T392),R393+U393))</f>
        <v>0</v>
      </c>
      <c r="U393">
        <f t="shared" si="135"/>
        <v>0</v>
      </c>
      <c r="V393">
        <f t="shared" si="136"/>
        <v>0</v>
      </c>
      <c r="W393">
        <f>IF(R393&lt;=0,0,MIN(MAX(0,R393-V393),0+IF(AND(Q393&gt;='Loan Prepayment'!$B$9,Q393&lt;='Loan Prepayment'!$E$16),'Loan Prepayment'!$B$8,0)))</f>
        <v>0</v>
      </c>
      <c r="X393">
        <f t="shared" si="137"/>
        <v>0</v>
      </c>
      <c r="Y393">
        <f t="shared" si="150"/>
        <v>392</v>
      </c>
      <c r="Z393">
        <f t="shared" si="138"/>
        <v>0</v>
      </c>
      <c r="AA393">
        <f>IF(Y393&gt;='Loan Prepayment'!$E$11,'Loan Prepayment'!$E$12,'Loan Prepayment'!$B$6)</f>
        <v>6.5</v>
      </c>
      <c r="AB393">
        <f>IF(Z393&lt;=0,0,MIN(IF(Y393='Loan Prepayment'!$E$11,IF('Loan Prepayment'!$E$13="Keep tenure, recalculate EMI",-PMT(AA393/1200,MAX(1,'Loan Prepayment'!$B$7*12-Y393+1),Z393),AB392),AB392),Z393+AC393))</f>
        <v>0</v>
      </c>
      <c r="AC393">
        <f t="shared" si="139"/>
        <v>0</v>
      </c>
      <c r="AD393">
        <f t="shared" si="140"/>
        <v>0</v>
      </c>
      <c r="AE393">
        <f t="shared" si="141"/>
        <v>0</v>
      </c>
      <c r="AF393">
        <f t="shared" si="142"/>
        <v>0</v>
      </c>
      <c r="AG393">
        <f t="shared" si="151"/>
        <v>392</v>
      </c>
      <c r="AH393">
        <f t="shared" si="143"/>
        <v>0</v>
      </c>
      <c r="AI393">
        <f>IF(AG393&gt;='Loan Prepayment'!$E$11,'Loan Prepayment'!$E$12,'Loan Prepayment'!$B$6)</f>
        <v>6.5</v>
      </c>
      <c r="AJ393">
        <f>IF(AH393&lt;=0,0,MIN(IF(AG393='Loan Prepayment'!$E$11,IF('Loan Prepayment'!$E$13="Keep tenure, recalculate EMI",-PMT(AI393/1200,MAX(1,'Loan Prepayment'!$B$7*12-AG393+1),AH393),IF(AND('Loan Prepayment'!$E$15="Reduce EMI",AM392&gt;0),-PMT(AI392/1200,MAX(1,'Loan Prepayment'!$B$7*12-AG393+1),AH393),AJ392)),IF(AND('Loan Prepayment'!$E$15="Reduce EMI",AM392&gt;0),-PMT(AI393/1200,MAX(1,'Loan Prepayment'!$B$7*12-AG393+1),AH393),AJ392)),AH393+AK393))</f>
        <v>0</v>
      </c>
      <c r="AK393">
        <f t="shared" si="144"/>
        <v>0</v>
      </c>
      <c r="AL393">
        <f t="shared" si="145"/>
        <v>0</v>
      </c>
      <c r="AM393">
        <f>IF(AH393&lt;=0,0,MIN(MAX(0,AH393-AL393),SUMIFS('Loan Prepayment'!$B$12:$B$31,'Loan Prepayment'!$A$12:$A$31,AG393)+IF(AND(AG393&gt;='Loan Prepayment'!$B$9,AG393&lt;='Loan Prepayment'!$E$16),'Loan Prepayment'!$B$8,0)))</f>
        <v>0</v>
      </c>
      <c r="AN393">
        <f t="shared" si="146"/>
        <v>0</v>
      </c>
    </row>
    <row r="394" spans="1:40" x14ac:dyDescent="0.35">
      <c r="A394">
        <f t="shared" si="147"/>
        <v>393</v>
      </c>
      <c r="B394">
        <f t="shared" si="126"/>
        <v>0</v>
      </c>
      <c r="C394">
        <f>'Loan Prepayment'!$B$6</f>
        <v>7.5</v>
      </c>
      <c r="D394">
        <f>IF(B394&lt;=0,0,MIN(-PMT('Loan Prepayment'!$B$6/1200,'Loan Prepayment'!$B$7*12,'Loan Prepayment'!$B$5),B394+E394))</f>
        <v>0</v>
      </c>
      <c r="E394">
        <f t="shared" si="127"/>
        <v>0</v>
      </c>
      <c r="F394">
        <f t="shared" si="128"/>
        <v>0</v>
      </c>
      <c r="G394">
        <v>0</v>
      </c>
      <c r="H394">
        <f t="shared" si="129"/>
        <v>0</v>
      </c>
      <c r="I394">
        <f t="shared" si="148"/>
        <v>393</v>
      </c>
      <c r="J394">
        <f t="shared" si="130"/>
        <v>0</v>
      </c>
      <c r="K394">
        <f>'Loan Prepayment'!$B$6</f>
        <v>7.5</v>
      </c>
      <c r="L394">
        <f>IF(J394&lt;=0,0,MIN(IF(AND('Loan Prepayment'!$E$15="Reduce EMI",O393&gt;0),-PMT(K394/1200,MAX(1,'Loan Prepayment'!$B$7*12-I394+1),J394),L393),J394+M394))</f>
        <v>0</v>
      </c>
      <c r="M394">
        <f t="shared" si="131"/>
        <v>0</v>
      </c>
      <c r="N394">
        <f t="shared" si="132"/>
        <v>0</v>
      </c>
      <c r="O394">
        <f>IF(J394&lt;=0,0,MIN(MAX(0,J394-N394),SUMIFS('Loan Prepayment'!$B$12:$B$31,'Loan Prepayment'!$A$12:$A$31,I394)+0))</f>
        <v>0</v>
      </c>
      <c r="P394">
        <f t="shared" si="133"/>
        <v>0</v>
      </c>
      <c r="Q394">
        <f t="shared" si="149"/>
        <v>393</v>
      </c>
      <c r="R394">
        <f t="shared" si="134"/>
        <v>0</v>
      </c>
      <c r="S394">
        <f>'Loan Prepayment'!$B$6</f>
        <v>7.5</v>
      </c>
      <c r="T394">
        <f>IF(R394&lt;=0,0,MIN(IF(AND('Loan Prepayment'!$E$15="Reduce EMI",W393&gt;0),-PMT(S394/1200,MAX(1,'Loan Prepayment'!$B$7*12-Q394+1),R394),T393),R394+U394))</f>
        <v>0</v>
      </c>
      <c r="U394">
        <f t="shared" si="135"/>
        <v>0</v>
      </c>
      <c r="V394">
        <f t="shared" si="136"/>
        <v>0</v>
      </c>
      <c r="W394">
        <f>IF(R394&lt;=0,0,MIN(MAX(0,R394-V394),0+IF(AND(Q394&gt;='Loan Prepayment'!$B$9,Q394&lt;='Loan Prepayment'!$E$16),'Loan Prepayment'!$B$8,0)))</f>
        <v>0</v>
      </c>
      <c r="X394">
        <f t="shared" si="137"/>
        <v>0</v>
      </c>
      <c r="Y394">
        <f t="shared" si="150"/>
        <v>393</v>
      </c>
      <c r="Z394">
        <f t="shared" si="138"/>
        <v>0</v>
      </c>
      <c r="AA394">
        <f>IF(Y394&gt;='Loan Prepayment'!$E$11,'Loan Prepayment'!$E$12,'Loan Prepayment'!$B$6)</f>
        <v>6.5</v>
      </c>
      <c r="AB394">
        <f>IF(Z394&lt;=0,0,MIN(IF(Y394='Loan Prepayment'!$E$11,IF('Loan Prepayment'!$E$13="Keep tenure, recalculate EMI",-PMT(AA394/1200,MAX(1,'Loan Prepayment'!$B$7*12-Y394+1),Z394),AB393),AB393),Z394+AC394))</f>
        <v>0</v>
      </c>
      <c r="AC394">
        <f t="shared" si="139"/>
        <v>0</v>
      </c>
      <c r="AD394">
        <f t="shared" si="140"/>
        <v>0</v>
      </c>
      <c r="AE394">
        <f t="shared" si="141"/>
        <v>0</v>
      </c>
      <c r="AF394">
        <f t="shared" si="142"/>
        <v>0</v>
      </c>
      <c r="AG394">
        <f t="shared" si="151"/>
        <v>393</v>
      </c>
      <c r="AH394">
        <f t="shared" si="143"/>
        <v>0</v>
      </c>
      <c r="AI394">
        <f>IF(AG394&gt;='Loan Prepayment'!$E$11,'Loan Prepayment'!$E$12,'Loan Prepayment'!$B$6)</f>
        <v>6.5</v>
      </c>
      <c r="AJ394">
        <f>IF(AH394&lt;=0,0,MIN(IF(AG394='Loan Prepayment'!$E$11,IF('Loan Prepayment'!$E$13="Keep tenure, recalculate EMI",-PMT(AI394/1200,MAX(1,'Loan Prepayment'!$B$7*12-AG394+1),AH394),IF(AND('Loan Prepayment'!$E$15="Reduce EMI",AM393&gt;0),-PMT(AI393/1200,MAX(1,'Loan Prepayment'!$B$7*12-AG394+1),AH394),AJ393)),IF(AND('Loan Prepayment'!$E$15="Reduce EMI",AM393&gt;0),-PMT(AI394/1200,MAX(1,'Loan Prepayment'!$B$7*12-AG394+1),AH394),AJ393)),AH394+AK394))</f>
        <v>0</v>
      </c>
      <c r="AK394">
        <f t="shared" si="144"/>
        <v>0</v>
      </c>
      <c r="AL394">
        <f t="shared" si="145"/>
        <v>0</v>
      </c>
      <c r="AM394">
        <f>IF(AH394&lt;=0,0,MIN(MAX(0,AH394-AL394),SUMIFS('Loan Prepayment'!$B$12:$B$31,'Loan Prepayment'!$A$12:$A$31,AG394)+IF(AND(AG394&gt;='Loan Prepayment'!$B$9,AG394&lt;='Loan Prepayment'!$E$16),'Loan Prepayment'!$B$8,0)))</f>
        <v>0</v>
      </c>
      <c r="AN394">
        <f t="shared" si="146"/>
        <v>0</v>
      </c>
    </row>
    <row r="395" spans="1:40" x14ac:dyDescent="0.35">
      <c r="A395">
        <f t="shared" si="147"/>
        <v>394</v>
      </c>
      <c r="B395">
        <f t="shared" si="126"/>
        <v>0</v>
      </c>
      <c r="C395">
        <f>'Loan Prepayment'!$B$6</f>
        <v>7.5</v>
      </c>
      <c r="D395">
        <f>IF(B395&lt;=0,0,MIN(-PMT('Loan Prepayment'!$B$6/1200,'Loan Prepayment'!$B$7*12,'Loan Prepayment'!$B$5),B395+E395))</f>
        <v>0</v>
      </c>
      <c r="E395">
        <f t="shared" si="127"/>
        <v>0</v>
      </c>
      <c r="F395">
        <f t="shared" si="128"/>
        <v>0</v>
      </c>
      <c r="G395">
        <v>0</v>
      </c>
      <c r="H395">
        <f t="shared" si="129"/>
        <v>0</v>
      </c>
      <c r="I395">
        <f t="shared" si="148"/>
        <v>394</v>
      </c>
      <c r="J395">
        <f t="shared" si="130"/>
        <v>0</v>
      </c>
      <c r="K395">
        <f>'Loan Prepayment'!$B$6</f>
        <v>7.5</v>
      </c>
      <c r="L395">
        <f>IF(J395&lt;=0,0,MIN(IF(AND('Loan Prepayment'!$E$15="Reduce EMI",O394&gt;0),-PMT(K395/1200,MAX(1,'Loan Prepayment'!$B$7*12-I395+1),J395),L394),J395+M395))</f>
        <v>0</v>
      </c>
      <c r="M395">
        <f t="shared" si="131"/>
        <v>0</v>
      </c>
      <c r="N395">
        <f t="shared" si="132"/>
        <v>0</v>
      </c>
      <c r="O395">
        <f>IF(J395&lt;=0,0,MIN(MAX(0,J395-N395),SUMIFS('Loan Prepayment'!$B$12:$B$31,'Loan Prepayment'!$A$12:$A$31,I395)+0))</f>
        <v>0</v>
      </c>
      <c r="P395">
        <f t="shared" si="133"/>
        <v>0</v>
      </c>
      <c r="Q395">
        <f t="shared" si="149"/>
        <v>394</v>
      </c>
      <c r="R395">
        <f t="shared" si="134"/>
        <v>0</v>
      </c>
      <c r="S395">
        <f>'Loan Prepayment'!$B$6</f>
        <v>7.5</v>
      </c>
      <c r="T395">
        <f>IF(R395&lt;=0,0,MIN(IF(AND('Loan Prepayment'!$E$15="Reduce EMI",W394&gt;0),-PMT(S395/1200,MAX(1,'Loan Prepayment'!$B$7*12-Q395+1),R395),T394),R395+U395))</f>
        <v>0</v>
      </c>
      <c r="U395">
        <f t="shared" si="135"/>
        <v>0</v>
      </c>
      <c r="V395">
        <f t="shared" si="136"/>
        <v>0</v>
      </c>
      <c r="W395">
        <f>IF(R395&lt;=0,0,MIN(MAX(0,R395-V395),0+IF(AND(Q395&gt;='Loan Prepayment'!$B$9,Q395&lt;='Loan Prepayment'!$E$16),'Loan Prepayment'!$B$8,0)))</f>
        <v>0</v>
      </c>
      <c r="X395">
        <f t="shared" si="137"/>
        <v>0</v>
      </c>
      <c r="Y395">
        <f t="shared" si="150"/>
        <v>394</v>
      </c>
      <c r="Z395">
        <f t="shared" si="138"/>
        <v>0</v>
      </c>
      <c r="AA395">
        <f>IF(Y395&gt;='Loan Prepayment'!$E$11,'Loan Prepayment'!$E$12,'Loan Prepayment'!$B$6)</f>
        <v>6.5</v>
      </c>
      <c r="AB395">
        <f>IF(Z395&lt;=0,0,MIN(IF(Y395='Loan Prepayment'!$E$11,IF('Loan Prepayment'!$E$13="Keep tenure, recalculate EMI",-PMT(AA395/1200,MAX(1,'Loan Prepayment'!$B$7*12-Y395+1),Z395),AB394),AB394),Z395+AC395))</f>
        <v>0</v>
      </c>
      <c r="AC395">
        <f t="shared" si="139"/>
        <v>0</v>
      </c>
      <c r="AD395">
        <f t="shared" si="140"/>
        <v>0</v>
      </c>
      <c r="AE395">
        <f t="shared" si="141"/>
        <v>0</v>
      </c>
      <c r="AF395">
        <f t="shared" si="142"/>
        <v>0</v>
      </c>
      <c r="AG395">
        <f t="shared" si="151"/>
        <v>394</v>
      </c>
      <c r="AH395">
        <f t="shared" si="143"/>
        <v>0</v>
      </c>
      <c r="AI395">
        <f>IF(AG395&gt;='Loan Prepayment'!$E$11,'Loan Prepayment'!$E$12,'Loan Prepayment'!$B$6)</f>
        <v>6.5</v>
      </c>
      <c r="AJ395">
        <f>IF(AH395&lt;=0,0,MIN(IF(AG395='Loan Prepayment'!$E$11,IF('Loan Prepayment'!$E$13="Keep tenure, recalculate EMI",-PMT(AI395/1200,MAX(1,'Loan Prepayment'!$B$7*12-AG395+1),AH395),IF(AND('Loan Prepayment'!$E$15="Reduce EMI",AM394&gt;0),-PMT(AI394/1200,MAX(1,'Loan Prepayment'!$B$7*12-AG395+1),AH395),AJ394)),IF(AND('Loan Prepayment'!$E$15="Reduce EMI",AM394&gt;0),-PMT(AI395/1200,MAX(1,'Loan Prepayment'!$B$7*12-AG395+1),AH395),AJ394)),AH395+AK395))</f>
        <v>0</v>
      </c>
      <c r="AK395">
        <f t="shared" si="144"/>
        <v>0</v>
      </c>
      <c r="AL395">
        <f t="shared" si="145"/>
        <v>0</v>
      </c>
      <c r="AM395">
        <f>IF(AH395&lt;=0,0,MIN(MAX(0,AH395-AL395),SUMIFS('Loan Prepayment'!$B$12:$B$31,'Loan Prepayment'!$A$12:$A$31,AG395)+IF(AND(AG395&gt;='Loan Prepayment'!$B$9,AG395&lt;='Loan Prepayment'!$E$16),'Loan Prepayment'!$B$8,0)))</f>
        <v>0</v>
      </c>
      <c r="AN395">
        <f t="shared" si="146"/>
        <v>0</v>
      </c>
    </row>
    <row r="396" spans="1:40" x14ac:dyDescent="0.35">
      <c r="A396">
        <f t="shared" si="147"/>
        <v>395</v>
      </c>
      <c r="B396">
        <f t="shared" si="126"/>
        <v>0</v>
      </c>
      <c r="C396">
        <f>'Loan Prepayment'!$B$6</f>
        <v>7.5</v>
      </c>
      <c r="D396">
        <f>IF(B396&lt;=0,0,MIN(-PMT('Loan Prepayment'!$B$6/1200,'Loan Prepayment'!$B$7*12,'Loan Prepayment'!$B$5),B396+E396))</f>
        <v>0</v>
      </c>
      <c r="E396">
        <f t="shared" si="127"/>
        <v>0</v>
      </c>
      <c r="F396">
        <f t="shared" si="128"/>
        <v>0</v>
      </c>
      <c r="G396">
        <v>0</v>
      </c>
      <c r="H396">
        <f t="shared" si="129"/>
        <v>0</v>
      </c>
      <c r="I396">
        <f t="shared" si="148"/>
        <v>395</v>
      </c>
      <c r="J396">
        <f t="shared" si="130"/>
        <v>0</v>
      </c>
      <c r="K396">
        <f>'Loan Prepayment'!$B$6</f>
        <v>7.5</v>
      </c>
      <c r="L396">
        <f>IF(J396&lt;=0,0,MIN(IF(AND('Loan Prepayment'!$E$15="Reduce EMI",O395&gt;0),-PMT(K396/1200,MAX(1,'Loan Prepayment'!$B$7*12-I396+1),J396),L395),J396+M396))</f>
        <v>0</v>
      </c>
      <c r="M396">
        <f t="shared" si="131"/>
        <v>0</v>
      </c>
      <c r="N396">
        <f t="shared" si="132"/>
        <v>0</v>
      </c>
      <c r="O396">
        <f>IF(J396&lt;=0,0,MIN(MAX(0,J396-N396),SUMIFS('Loan Prepayment'!$B$12:$B$31,'Loan Prepayment'!$A$12:$A$31,I396)+0))</f>
        <v>0</v>
      </c>
      <c r="P396">
        <f t="shared" si="133"/>
        <v>0</v>
      </c>
      <c r="Q396">
        <f t="shared" si="149"/>
        <v>395</v>
      </c>
      <c r="R396">
        <f t="shared" si="134"/>
        <v>0</v>
      </c>
      <c r="S396">
        <f>'Loan Prepayment'!$B$6</f>
        <v>7.5</v>
      </c>
      <c r="T396">
        <f>IF(R396&lt;=0,0,MIN(IF(AND('Loan Prepayment'!$E$15="Reduce EMI",W395&gt;0),-PMT(S396/1200,MAX(1,'Loan Prepayment'!$B$7*12-Q396+1),R396),T395),R396+U396))</f>
        <v>0</v>
      </c>
      <c r="U396">
        <f t="shared" si="135"/>
        <v>0</v>
      </c>
      <c r="V396">
        <f t="shared" si="136"/>
        <v>0</v>
      </c>
      <c r="W396">
        <f>IF(R396&lt;=0,0,MIN(MAX(0,R396-V396),0+IF(AND(Q396&gt;='Loan Prepayment'!$B$9,Q396&lt;='Loan Prepayment'!$E$16),'Loan Prepayment'!$B$8,0)))</f>
        <v>0</v>
      </c>
      <c r="X396">
        <f t="shared" si="137"/>
        <v>0</v>
      </c>
      <c r="Y396">
        <f t="shared" si="150"/>
        <v>395</v>
      </c>
      <c r="Z396">
        <f t="shared" si="138"/>
        <v>0</v>
      </c>
      <c r="AA396">
        <f>IF(Y396&gt;='Loan Prepayment'!$E$11,'Loan Prepayment'!$E$12,'Loan Prepayment'!$B$6)</f>
        <v>6.5</v>
      </c>
      <c r="AB396">
        <f>IF(Z396&lt;=0,0,MIN(IF(Y396='Loan Prepayment'!$E$11,IF('Loan Prepayment'!$E$13="Keep tenure, recalculate EMI",-PMT(AA396/1200,MAX(1,'Loan Prepayment'!$B$7*12-Y396+1),Z396),AB395),AB395),Z396+AC396))</f>
        <v>0</v>
      </c>
      <c r="AC396">
        <f t="shared" si="139"/>
        <v>0</v>
      </c>
      <c r="AD396">
        <f t="shared" si="140"/>
        <v>0</v>
      </c>
      <c r="AE396">
        <f t="shared" si="141"/>
        <v>0</v>
      </c>
      <c r="AF396">
        <f t="shared" si="142"/>
        <v>0</v>
      </c>
      <c r="AG396">
        <f t="shared" si="151"/>
        <v>395</v>
      </c>
      <c r="AH396">
        <f t="shared" si="143"/>
        <v>0</v>
      </c>
      <c r="AI396">
        <f>IF(AG396&gt;='Loan Prepayment'!$E$11,'Loan Prepayment'!$E$12,'Loan Prepayment'!$B$6)</f>
        <v>6.5</v>
      </c>
      <c r="AJ396">
        <f>IF(AH396&lt;=0,0,MIN(IF(AG396='Loan Prepayment'!$E$11,IF('Loan Prepayment'!$E$13="Keep tenure, recalculate EMI",-PMT(AI396/1200,MAX(1,'Loan Prepayment'!$B$7*12-AG396+1),AH396),IF(AND('Loan Prepayment'!$E$15="Reduce EMI",AM395&gt;0),-PMT(AI395/1200,MAX(1,'Loan Prepayment'!$B$7*12-AG396+1),AH396),AJ395)),IF(AND('Loan Prepayment'!$E$15="Reduce EMI",AM395&gt;0),-PMT(AI396/1200,MAX(1,'Loan Prepayment'!$B$7*12-AG396+1),AH396),AJ395)),AH396+AK396))</f>
        <v>0</v>
      </c>
      <c r="AK396">
        <f t="shared" si="144"/>
        <v>0</v>
      </c>
      <c r="AL396">
        <f t="shared" si="145"/>
        <v>0</v>
      </c>
      <c r="AM396">
        <f>IF(AH396&lt;=0,0,MIN(MAX(0,AH396-AL396),SUMIFS('Loan Prepayment'!$B$12:$B$31,'Loan Prepayment'!$A$12:$A$31,AG396)+IF(AND(AG396&gt;='Loan Prepayment'!$B$9,AG396&lt;='Loan Prepayment'!$E$16),'Loan Prepayment'!$B$8,0)))</f>
        <v>0</v>
      </c>
      <c r="AN396">
        <f t="shared" si="146"/>
        <v>0</v>
      </c>
    </row>
    <row r="397" spans="1:40" x14ac:dyDescent="0.35">
      <c r="A397">
        <f t="shared" si="147"/>
        <v>396</v>
      </c>
      <c r="B397">
        <f t="shared" si="126"/>
        <v>0</v>
      </c>
      <c r="C397">
        <f>'Loan Prepayment'!$B$6</f>
        <v>7.5</v>
      </c>
      <c r="D397">
        <f>IF(B397&lt;=0,0,MIN(-PMT('Loan Prepayment'!$B$6/1200,'Loan Prepayment'!$B$7*12,'Loan Prepayment'!$B$5),B397+E397))</f>
        <v>0</v>
      </c>
      <c r="E397">
        <f t="shared" si="127"/>
        <v>0</v>
      </c>
      <c r="F397">
        <f t="shared" si="128"/>
        <v>0</v>
      </c>
      <c r="G397">
        <v>0</v>
      </c>
      <c r="H397">
        <f t="shared" si="129"/>
        <v>0</v>
      </c>
      <c r="I397">
        <f t="shared" si="148"/>
        <v>396</v>
      </c>
      <c r="J397">
        <f t="shared" si="130"/>
        <v>0</v>
      </c>
      <c r="K397">
        <f>'Loan Prepayment'!$B$6</f>
        <v>7.5</v>
      </c>
      <c r="L397">
        <f>IF(J397&lt;=0,0,MIN(IF(AND('Loan Prepayment'!$E$15="Reduce EMI",O396&gt;0),-PMT(K397/1200,MAX(1,'Loan Prepayment'!$B$7*12-I397+1),J397),L396),J397+M397))</f>
        <v>0</v>
      </c>
      <c r="M397">
        <f t="shared" si="131"/>
        <v>0</v>
      </c>
      <c r="N397">
        <f t="shared" si="132"/>
        <v>0</v>
      </c>
      <c r="O397">
        <f>IF(J397&lt;=0,0,MIN(MAX(0,J397-N397),SUMIFS('Loan Prepayment'!$B$12:$B$31,'Loan Prepayment'!$A$12:$A$31,I397)+0))</f>
        <v>0</v>
      </c>
      <c r="P397">
        <f t="shared" si="133"/>
        <v>0</v>
      </c>
      <c r="Q397">
        <f t="shared" si="149"/>
        <v>396</v>
      </c>
      <c r="R397">
        <f t="shared" si="134"/>
        <v>0</v>
      </c>
      <c r="S397">
        <f>'Loan Prepayment'!$B$6</f>
        <v>7.5</v>
      </c>
      <c r="T397">
        <f>IF(R397&lt;=0,0,MIN(IF(AND('Loan Prepayment'!$E$15="Reduce EMI",W396&gt;0),-PMT(S397/1200,MAX(1,'Loan Prepayment'!$B$7*12-Q397+1),R397),T396),R397+U397))</f>
        <v>0</v>
      </c>
      <c r="U397">
        <f t="shared" si="135"/>
        <v>0</v>
      </c>
      <c r="V397">
        <f t="shared" si="136"/>
        <v>0</v>
      </c>
      <c r="W397">
        <f>IF(R397&lt;=0,0,MIN(MAX(0,R397-V397),0+IF(AND(Q397&gt;='Loan Prepayment'!$B$9,Q397&lt;='Loan Prepayment'!$E$16),'Loan Prepayment'!$B$8,0)))</f>
        <v>0</v>
      </c>
      <c r="X397">
        <f t="shared" si="137"/>
        <v>0</v>
      </c>
      <c r="Y397">
        <f t="shared" si="150"/>
        <v>396</v>
      </c>
      <c r="Z397">
        <f t="shared" si="138"/>
        <v>0</v>
      </c>
      <c r="AA397">
        <f>IF(Y397&gt;='Loan Prepayment'!$E$11,'Loan Prepayment'!$E$12,'Loan Prepayment'!$B$6)</f>
        <v>6.5</v>
      </c>
      <c r="AB397">
        <f>IF(Z397&lt;=0,0,MIN(IF(Y397='Loan Prepayment'!$E$11,IF('Loan Prepayment'!$E$13="Keep tenure, recalculate EMI",-PMT(AA397/1200,MAX(1,'Loan Prepayment'!$B$7*12-Y397+1),Z397),AB396),AB396),Z397+AC397))</f>
        <v>0</v>
      </c>
      <c r="AC397">
        <f t="shared" si="139"/>
        <v>0</v>
      </c>
      <c r="AD397">
        <f t="shared" si="140"/>
        <v>0</v>
      </c>
      <c r="AE397">
        <f t="shared" si="141"/>
        <v>0</v>
      </c>
      <c r="AF397">
        <f t="shared" si="142"/>
        <v>0</v>
      </c>
      <c r="AG397">
        <f t="shared" si="151"/>
        <v>396</v>
      </c>
      <c r="AH397">
        <f t="shared" si="143"/>
        <v>0</v>
      </c>
      <c r="AI397">
        <f>IF(AG397&gt;='Loan Prepayment'!$E$11,'Loan Prepayment'!$E$12,'Loan Prepayment'!$B$6)</f>
        <v>6.5</v>
      </c>
      <c r="AJ397">
        <f>IF(AH397&lt;=0,0,MIN(IF(AG397='Loan Prepayment'!$E$11,IF('Loan Prepayment'!$E$13="Keep tenure, recalculate EMI",-PMT(AI397/1200,MAX(1,'Loan Prepayment'!$B$7*12-AG397+1),AH397),IF(AND('Loan Prepayment'!$E$15="Reduce EMI",AM396&gt;0),-PMT(AI396/1200,MAX(1,'Loan Prepayment'!$B$7*12-AG397+1),AH397),AJ396)),IF(AND('Loan Prepayment'!$E$15="Reduce EMI",AM396&gt;0),-PMT(AI397/1200,MAX(1,'Loan Prepayment'!$B$7*12-AG397+1),AH397),AJ396)),AH397+AK397))</f>
        <v>0</v>
      </c>
      <c r="AK397">
        <f t="shared" si="144"/>
        <v>0</v>
      </c>
      <c r="AL397">
        <f t="shared" si="145"/>
        <v>0</v>
      </c>
      <c r="AM397">
        <f>IF(AH397&lt;=0,0,MIN(MAX(0,AH397-AL397),SUMIFS('Loan Prepayment'!$B$12:$B$31,'Loan Prepayment'!$A$12:$A$31,AG397)+IF(AND(AG397&gt;='Loan Prepayment'!$B$9,AG397&lt;='Loan Prepayment'!$E$16),'Loan Prepayment'!$B$8,0)))</f>
        <v>0</v>
      </c>
      <c r="AN397">
        <f t="shared" si="146"/>
        <v>0</v>
      </c>
    </row>
    <row r="398" spans="1:40" x14ac:dyDescent="0.35">
      <c r="A398">
        <f t="shared" si="147"/>
        <v>397</v>
      </c>
      <c r="B398">
        <f t="shared" si="126"/>
        <v>0</v>
      </c>
      <c r="C398">
        <f>'Loan Prepayment'!$B$6</f>
        <v>7.5</v>
      </c>
      <c r="D398">
        <f>IF(B398&lt;=0,0,MIN(-PMT('Loan Prepayment'!$B$6/1200,'Loan Prepayment'!$B$7*12,'Loan Prepayment'!$B$5),B398+E398))</f>
        <v>0</v>
      </c>
      <c r="E398">
        <f t="shared" si="127"/>
        <v>0</v>
      </c>
      <c r="F398">
        <f t="shared" si="128"/>
        <v>0</v>
      </c>
      <c r="G398">
        <v>0</v>
      </c>
      <c r="H398">
        <f t="shared" si="129"/>
        <v>0</v>
      </c>
      <c r="I398">
        <f t="shared" si="148"/>
        <v>397</v>
      </c>
      <c r="J398">
        <f t="shared" si="130"/>
        <v>0</v>
      </c>
      <c r="K398">
        <f>'Loan Prepayment'!$B$6</f>
        <v>7.5</v>
      </c>
      <c r="L398">
        <f>IF(J398&lt;=0,0,MIN(IF(AND('Loan Prepayment'!$E$15="Reduce EMI",O397&gt;0),-PMT(K398/1200,MAX(1,'Loan Prepayment'!$B$7*12-I398+1),J398),L397),J398+M398))</f>
        <v>0</v>
      </c>
      <c r="M398">
        <f t="shared" si="131"/>
        <v>0</v>
      </c>
      <c r="N398">
        <f t="shared" si="132"/>
        <v>0</v>
      </c>
      <c r="O398">
        <f>IF(J398&lt;=0,0,MIN(MAX(0,J398-N398),SUMIFS('Loan Prepayment'!$B$12:$B$31,'Loan Prepayment'!$A$12:$A$31,I398)+0))</f>
        <v>0</v>
      </c>
      <c r="P398">
        <f t="shared" si="133"/>
        <v>0</v>
      </c>
      <c r="Q398">
        <f t="shared" si="149"/>
        <v>397</v>
      </c>
      <c r="R398">
        <f t="shared" si="134"/>
        <v>0</v>
      </c>
      <c r="S398">
        <f>'Loan Prepayment'!$B$6</f>
        <v>7.5</v>
      </c>
      <c r="T398">
        <f>IF(R398&lt;=0,0,MIN(IF(AND('Loan Prepayment'!$E$15="Reduce EMI",W397&gt;0),-PMT(S398/1200,MAX(1,'Loan Prepayment'!$B$7*12-Q398+1),R398),T397),R398+U398))</f>
        <v>0</v>
      </c>
      <c r="U398">
        <f t="shared" si="135"/>
        <v>0</v>
      </c>
      <c r="V398">
        <f t="shared" si="136"/>
        <v>0</v>
      </c>
      <c r="W398">
        <f>IF(R398&lt;=0,0,MIN(MAX(0,R398-V398),0+IF(AND(Q398&gt;='Loan Prepayment'!$B$9,Q398&lt;='Loan Prepayment'!$E$16),'Loan Prepayment'!$B$8,0)))</f>
        <v>0</v>
      </c>
      <c r="X398">
        <f t="shared" si="137"/>
        <v>0</v>
      </c>
      <c r="Y398">
        <f t="shared" si="150"/>
        <v>397</v>
      </c>
      <c r="Z398">
        <f t="shared" si="138"/>
        <v>0</v>
      </c>
      <c r="AA398">
        <f>IF(Y398&gt;='Loan Prepayment'!$E$11,'Loan Prepayment'!$E$12,'Loan Prepayment'!$B$6)</f>
        <v>6.5</v>
      </c>
      <c r="AB398">
        <f>IF(Z398&lt;=0,0,MIN(IF(Y398='Loan Prepayment'!$E$11,IF('Loan Prepayment'!$E$13="Keep tenure, recalculate EMI",-PMT(AA398/1200,MAX(1,'Loan Prepayment'!$B$7*12-Y398+1),Z398),AB397),AB397),Z398+AC398))</f>
        <v>0</v>
      </c>
      <c r="AC398">
        <f t="shared" si="139"/>
        <v>0</v>
      </c>
      <c r="AD398">
        <f t="shared" si="140"/>
        <v>0</v>
      </c>
      <c r="AE398">
        <f t="shared" si="141"/>
        <v>0</v>
      </c>
      <c r="AF398">
        <f t="shared" si="142"/>
        <v>0</v>
      </c>
      <c r="AG398">
        <f t="shared" si="151"/>
        <v>397</v>
      </c>
      <c r="AH398">
        <f t="shared" si="143"/>
        <v>0</v>
      </c>
      <c r="AI398">
        <f>IF(AG398&gt;='Loan Prepayment'!$E$11,'Loan Prepayment'!$E$12,'Loan Prepayment'!$B$6)</f>
        <v>6.5</v>
      </c>
      <c r="AJ398">
        <f>IF(AH398&lt;=0,0,MIN(IF(AG398='Loan Prepayment'!$E$11,IF('Loan Prepayment'!$E$13="Keep tenure, recalculate EMI",-PMT(AI398/1200,MAX(1,'Loan Prepayment'!$B$7*12-AG398+1),AH398),IF(AND('Loan Prepayment'!$E$15="Reduce EMI",AM397&gt;0),-PMT(AI397/1200,MAX(1,'Loan Prepayment'!$B$7*12-AG398+1),AH398),AJ397)),IF(AND('Loan Prepayment'!$E$15="Reduce EMI",AM397&gt;0),-PMT(AI398/1200,MAX(1,'Loan Prepayment'!$B$7*12-AG398+1),AH398),AJ397)),AH398+AK398))</f>
        <v>0</v>
      </c>
      <c r="AK398">
        <f t="shared" si="144"/>
        <v>0</v>
      </c>
      <c r="AL398">
        <f t="shared" si="145"/>
        <v>0</v>
      </c>
      <c r="AM398">
        <f>IF(AH398&lt;=0,0,MIN(MAX(0,AH398-AL398),SUMIFS('Loan Prepayment'!$B$12:$B$31,'Loan Prepayment'!$A$12:$A$31,AG398)+IF(AND(AG398&gt;='Loan Prepayment'!$B$9,AG398&lt;='Loan Prepayment'!$E$16),'Loan Prepayment'!$B$8,0)))</f>
        <v>0</v>
      </c>
      <c r="AN398">
        <f t="shared" si="146"/>
        <v>0</v>
      </c>
    </row>
    <row r="399" spans="1:40" x14ac:dyDescent="0.35">
      <c r="A399">
        <f t="shared" si="147"/>
        <v>398</v>
      </c>
      <c r="B399">
        <f t="shared" si="126"/>
        <v>0</v>
      </c>
      <c r="C399">
        <f>'Loan Prepayment'!$B$6</f>
        <v>7.5</v>
      </c>
      <c r="D399">
        <f>IF(B399&lt;=0,0,MIN(-PMT('Loan Prepayment'!$B$6/1200,'Loan Prepayment'!$B$7*12,'Loan Prepayment'!$B$5),B399+E399))</f>
        <v>0</v>
      </c>
      <c r="E399">
        <f t="shared" si="127"/>
        <v>0</v>
      </c>
      <c r="F399">
        <f t="shared" si="128"/>
        <v>0</v>
      </c>
      <c r="G399">
        <v>0</v>
      </c>
      <c r="H399">
        <f t="shared" si="129"/>
        <v>0</v>
      </c>
      <c r="I399">
        <f t="shared" si="148"/>
        <v>398</v>
      </c>
      <c r="J399">
        <f t="shared" si="130"/>
        <v>0</v>
      </c>
      <c r="K399">
        <f>'Loan Prepayment'!$B$6</f>
        <v>7.5</v>
      </c>
      <c r="L399">
        <f>IF(J399&lt;=0,0,MIN(IF(AND('Loan Prepayment'!$E$15="Reduce EMI",O398&gt;0),-PMT(K399/1200,MAX(1,'Loan Prepayment'!$B$7*12-I399+1),J399),L398),J399+M399))</f>
        <v>0</v>
      </c>
      <c r="M399">
        <f t="shared" si="131"/>
        <v>0</v>
      </c>
      <c r="N399">
        <f t="shared" si="132"/>
        <v>0</v>
      </c>
      <c r="O399">
        <f>IF(J399&lt;=0,0,MIN(MAX(0,J399-N399),SUMIFS('Loan Prepayment'!$B$12:$B$31,'Loan Prepayment'!$A$12:$A$31,I399)+0))</f>
        <v>0</v>
      </c>
      <c r="P399">
        <f t="shared" si="133"/>
        <v>0</v>
      </c>
      <c r="Q399">
        <f t="shared" si="149"/>
        <v>398</v>
      </c>
      <c r="R399">
        <f t="shared" si="134"/>
        <v>0</v>
      </c>
      <c r="S399">
        <f>'Loan Prepayment'!$B$6</f>
        <v>7.5</v>
      </c>
      <c r="T399">
        <f>IF(R399&lt;=0,0,MIN(IF(AND('Loan Prepayment'!$E$15="Reduce EMI",W398&gt;0),-PMT(S399/1200,MAX(1,'Loan Prepayment'!$B$7*12-Q399+1),R399),T398),R399+U399))</f>
        <v>0</v>
      </c>
      <c r="U399">
        <f t="shared" si="135"/>
        <v>0</v>
      </c>
      <c r="V399">
        <f t="shared" si="136"/>
        <v>0</v>
      </c>
      <c r="W399">
        <f>IF(R399&lt;=0,0,MIN(MAX(0,R399-V399),0+IF(AND(Q399&gt;='Loan Prepayment'!$B$9,Q399&lt;='Loan Prepayment'!$E$16),'Loan Prepayment'!$B$8,0)))</f>
        <v>0</v>
      </c>
      <c r="X399">
        <f t="shared" si="137"/>
        <v>0</v>
      </c>
      <c r="Y399">
        <f t="shared" si="150"/>
        <v>398</v>
      </c>
      <c r="Z399">
        <f t="shared" si="138"/>
        <v>0</v>
      </c>
      <c r="AA399">
        <f>IF(Y399&gt;='Loan Prepayment'!$E$11,'Loan Prepayment'!$E$12,'Loan Prepayment'!$B$6)</f>
        <v>6.5</v>
      </c>
      <c r="AB399">
        <f>IF(Z399&lt;=0,0,MIN(IF(Y399='Loan Prepayment'!$E$11,IF('Loan Prepayment'!$E$13="Keep tenure, recalculate EMI",-PMT(AA399/1200,MAX(1,'Loan Prepayment'!$B$7*12-Y399+1),Z399),AB398),AB398),Z399+AC399))</f>
        <v>0</v>
      </c>
      <c r="AC399">
        <f t="shared" si="139"/>
        <v>0</v>
      </c>
      <c r="AD399">
        <f t="shared" si="140"/>
        <v>0</v>
      </c>
      <c r="AE399">
        <f t="shared" si="141"/>
        <v>0</v>
      </c>
      <c r="AF399">
        <f t="shared" si="142"/>
        <v>0</v>
      </c>
      <c r="AG399">
        <f t="shared" si="151"/>
        <v>398</v>
      </c>
      <c r="AH399">
        <f t="shared" si="143"/>
        <v>0</v>
      </c>
      <c r="AI399">
        <f>IF(AG399&gt;='Loan Prepayment'!$E$11,'Loan Prepayment'!$E$12,'Loan Prepayment'!$B$6)</f>
        <v>6.5</v>
      </c>
      <c r="AJ399">
        <f>IF(AH399&lt;=0,0,MIN(IF(AG399='Loan Prepayment'!$E$11,IF('Loan Prepayment'!$E$13="Keep tenure, recalculate EMI",-PMT(AI399/1200,MAX(1,'Loan Prepayment'!$B$7*12-AG399+1),AH399),IF(AND('Loan Prepayment'!$E$15="Reduce EMI",AM398&gt;0),-PMT(AI398/1200,MAX(1,'Loan Prepayment'!$B$7*12-AG399+1),AH399),AJ398)),IF(AND('Loan Prepayment'!$E$15="Reduce EMI",AM398&gt;0),-PMT(AI399/1200,MAX(1,'Loan Prepayment'!$B$7*12-AG399+1),AH399),AJ398)),AH399+AK399))</f>
        <v>0</v>
      </c>
      <c r="AK399">
        <f t="shared" si="144"/>
        <v>0</v>
      </c>
      <c r="AL399">
        <f t="shared" si="145"/>
        <v>0</v>
      </c>
      <c r="AM399">
        <f>IF(AH399&lt;=0,0,MIN(MAX(0,AH399-AL399),SUMIFS('Loan Prepayment'!$B$12:$B$31,'Loan Prepayment'!$A$12:$A$31,AG399)+IF(AND(AG399&gt;='Loan Prepayment'!$B$9,AG399&lt;='Loan Prepayment'!$E$16),'Loan Prepayment'!$B$8,0)))</f>
        <v>0</v>
      </c>
      <c r="AN399">
        <f t="shared" si="146"/>
        <v>0</v>
      </c>
    </row>
    <row r="400" spans="1:40" x14ac:dyDescent="0.35">
      <c r="A400">
        <f t="shared" si="147"/>
        <v>399</v>
      </c>
      <c r="B400">
        <f t="shared" si="126"/>
        <v>0</v>
      </c>
      <c r="C400">
        <f>'Loan Prepayment'!$B$6</f>
        <v>7.5</v>
      </c>
      <c r="D400">
        <f>IF(B400&lt;=0,0,MIN(-PMT('Loan Prepayment'!$B$6/1200,'Loan Prepayment'!$B$7*12,'Loan Prepayment'!$B$5),B400+E400))</f>
        <v>0</v>
      </c>
      <c r="E400">
        <f t="shared" si="127"/>
        <v>0</v>
      </c>
      <c r="F400">
        <f t="shared" si="128"/>
        <v>0</v>
      </c>
      <c r="G400">
        <v>0</v>
      </c>
      <c r="H400">
        <f t="shared" si="129"/>
        <v>0</v>
      </c>
      <c r="I400">
        <f t="shared" si="148"/>
        <v>399</v>
      </c>
      <c r="J400">
        <f t="shared" si="130"/>
        <v>0</v>
      </c>
      <c r="K400">
        <f>'Loan Prepayment'!$B$6</f>
        <v>7.5</v>
      </c>
      <c r="L400">
        <f>IF(J400&lt;=0,0,MIN(IF(AND('Loan Prepayment'!$E$15="Reduce EMI",O399&gt;0),-PMT(K400/1200,MAX(1,'Loan Prepayment'!$B$7*12-I400+1),J400),L399),J400+M400))</f>
        <v>0</v>
      </c>
      <c r="M400">
        <f t="shared" si="131"/>
        <v>0</v>
      </c>
      <c r="N400">
        <f t="shared" si="132"/>
        <v>0</v>
      </c>
      <c r="O400">
        <f>IF(J400&lt;=0,0,MIN(MAX(0,J400-N400),SUMIFS('Loan Prepayment'!$B$12:$B$31,'Loan Prepayment'!$A$12:$A$31,I400)+0))</f>
        <v>0</v>
      </c>
      <c r="P400">
        <f t="shared" si="133"/>
        <v>0</v>
      </c>
      <c r="Q400">
        <f t="shared" si="149"/>
        <v>399</v>
      </c>
      <c r="R400">
        <f t="shared" si="134"/>
        <v>0</v>
      </c>
      <c r="S400">
        <f>'Loan Prepayment'!$B$6</f>
        <v>7.5</v>
      </c>
      <c r="T400">
        <f>IF(R400&lt;=0,0,MIN(IF(AND('Loan Prepayment'!$E$15="Reduce EMI",W399&gt;0),-PMT(S400/1200,MAX(1,'Loan Prepayment'!$B$7*12-Q400+1),R400),T399),R400+U400))</f>
        <v>0</v>
      </c>
      <c r="U400">
        <f t="shared" si="135"/>
        <v>0</v>
      </c>
      <c r="V400">
        <f t="shared" si="136"/>
        <v>0</v>
      </c>
      <c r="W400">
        <f>IF(R400&lt;=0,0,MIN(MAX(0,R400-V400),0+IF(AND(Q400&gt;='Loan Prepayment'!$B$9,Q400&lt;='Loan Prepayment'!$E$16),'Loan Prepayment'!$B$8,0)))</f>
        <v>0</v>
      </c>
      <c r="X400">
        <f t="shared" si="137"/>
        <v>0</v>
      </c>
      <c r="Y400">
        <f t="shared" si="150"/>
        <v>399</v>
      </c>
      <c r="Z400">
        <f t="shared" si="138"/>
        <v>0</v>
      </c>
      <c r="AA400">
        <f>IF(Y400&gt;='Loan Prepayment'!$E$11,'Loan Prepayment'!$E$12,'Loan Prepayment'!$B$6)</f>
        <v>6.5</v>
      </c>
      <c r="AB400">
        <f>IF(Z400&lt;=0,0,MIN(IF(Y400='Loan Prepayment'!$E$11,IF('Loan Prepayment'!$E$13="Keep tenure, recalculate EMI",-PMT(AA400/1200,MAX(1,'Loan Prepayment'!$B$7*12-Y400+1),Z400),AB399),AB399),Z400+AC400))</f>
        <v>0</v>
      </c>
      <c r="AC400">
        <f t="shared" si="139"/>
        <v>0</v>
      </c>
      <c r="AD400">
        <f t="shared" si="140"/>
        <v>0</v>
      </c>
      <c r="AE400">
        <f t="shared" si="141"/>
        <v>0</v>
      </c>
      <c r="AF400">
        <f t="shared" si="142"/>
        <v>0</v>
      </c>
      <c r="AG400">
        <f t="shared" si="151"/>
        <v>399</v>
      </c>
      <c r="AH400">
        <f t="shared" si="143"/>
        <v>0</v>
      </c>
      <c r="AI400">
        <f>IF(AG400&gt;='Loan Prepayment'!$E$11,'Loan Prepayment'!$E$12,'Loan Prepayment'!$B$6)</f>
        <v>6.5</v>
      </c>
      <c r="AJ400">
        <f>IF(AH400&lt;=0,0,MIN(IF(AG400='Loan Prepayment'!$E$11,IF('Loan Prepayment'!$E$13="Keep tenure, recalculate EMI",-PMT(AI400/1200,MAX(1,'Loan Prepayment'!$B$7*12-AG400+1),AH400),IF(AND('Loan Prepayment'!$E$15="Reduce EMI",AM399&gt;0),-PMT(AI399/1200,MAX(1,'Loan Prepayment'!$B$7*12-AG400+1),AH400),AJ399)),IF(AND('Loan Prepayment'!$E$15="Reduce EMI",AM399&gt;0),-PMT(AI400/1200,MAX(1,'Loan Prepayment'!$B$7*12-AG400+1),AH400),AJ399)),AH400+AK400))</f>
        <v>0</v>
      </c>
      <c r="AK400">
        <f t="shared" si="144"/>
        <v>0</v>
      </c>
      <c r="AL400">
        <f t="shared" si="145"/>
        <v>0</v>
      </c>
      <c r="AM400">
        <f>IF(AH400&lt;=0,0,MIN(MAX(0,AH400-AL400),SUMIFS('Loan Prepayment'!$B$12:$B$31,'Loan Prepayment'!$A$12:$A$31,AG400)+IF(AND(AG400&gt;='Loan Prepayment'!$B$9,AG400&lt;='Loan Prepayment'!$E$16),'Loan Prepayment'!$B$8,0)))</f>
        <v>0</v>
      </c>
      <c r="AN400">
        <f t="shared" si="146"/>
        <v>0</v>
      </c>
    </row>
    <row r="401" spans="1:40" x14ac:dyDescent="0.35">
      <c r="A401">
        <f t="shared" si="147"/>
        <v>400</v>
      </c>
      <c r="B401">
        <f t="shared" si="126"/>
        <v>0</v>
      </c>
      <c r="C401">
        <f>'Loan Prepayment'!$B$6</f>
        <v>7.5</v>
      </c>
      <c r="D401">
        <f>IF(B401&lt;=0,0,MIN(-PMT('Loan Prepayment'!$B$6/1200,'Loan Prepayment'!$B$7*12,'Loan Prepayment'!$B$5),B401+E401))</f>
        <v>0</v>
      </c>
      <c r="E401">
        <f t="shared" si="127"/>
        <v>0</v>
      </c>
      <c r="F401">
        <f t="shared" si="128"/>
        <v>0</v>
      </c>
      <c r="G401">
        <v>0</v>
      </c>
      <c r="H401">
        <f t="shared" si="129"/>
        <v>0</v>
      </c>
      <c r="I401">
        <f t="shared" si="148"/>
        <v>400</v>
      </c>
      <c r="J401">
        <f t="shared" si="130"/>
        <v>0</v>
      </c>
      <c r="K401">
        <f>'Loan Prepayment'!$B$6</f>
        <v>7.5</v>
      </c>
      <c r="L401">
        <f>IF(J401&lt;=0,0,MIN(IF(AND('Loan Prepayment'!$E$15="Reduce EMI",O400&gt;0),-PMT(K401/1200,MAX(1,'Loan Prepayment'!$B$7*12-I401+1),J401),L400),J401+M401))</f>
        <v>0</v>
      </c>
      <c r="M401">
        <f t="shared" si="131"/>
        <v>0</v>
      </c>
      <c r="N401">
        <f t="shared" si="132"/>
        <v>0</v>
      </c>
      <c r="O401">
        <f>IF(J401&lt;=0,0,MIN(MAX(0,J401-N401),SUMIFS('Loan Prepayment'!$B$12:$B$31,'Loan Prepayment'!$A$12:$A$31,I401)+0))</f>
        <v>0</v>
      </c>
      <c r="P401">
        <f t="shared" si="133"/>
        <v>0</v>
      </c>
      <c r="Q401">
        <f t="shared" si="149"/>
        <v>400</v>
      </c>
      <c r="R401">
        <f t="shared" si="134"/>
        <v>0</v>
      </c>
      <c r="S401">
        <f>'Loan Prepayment'!$B$6</f>
        <v>7.5</v>
      </c>
      <c r="T401">
        <f>IF(R401&lt;=0,0,MIN(IF(AND('Loan Prepayment'!$E$15="Reduce EMI",W400&gt;0),-PMT(S401/1200,MAX(1,'Loan Prepayment'!$B$7*12-Q401+1),R401),T400),R401+U401))</f>
        <v>0</v>
      </c>
      <c r="U401">
        <f t="shared" si="135"/>
        <v>0</v>
      </c>
      <c r="V401">
        <f t="shared" si="136"/>
        <v>0</v>
      </c>
      <c r="W401">
        <f>IF(R401&lt;=0,0,MIN(MAX(0,R401-V401),0+IF(AND(Q401&gt;='Loan Prepayment'!$B$9,Q401&lt;='Loan Prepayment'!$E$16),'Loan Prepayment'!$B$8,0)))</f>
        <v>0</v>
      </c>
      <c r="X401">
        <f t="shared" si="137"/>
        <v>0</v>
      </c>
      <c r="Y401">
        <f t="shared" si="150"/>
        <v>400</v>
      </c>
      <c r="Z401">
        <f t="shared" si="138"/>
        <v>0</v>
      </c>
      <c r="AA401">
        <f>IF(Y401&gt;='Loan Prepayment'!$E$11,'Loan Prepayment'!$E$12,'Loan Prepayment'!$B$6)</f>
        <v>6.5</v>
      </c>
      <c r="AB401">
        <f>IF(Z401&lt;=0,0,MIN(IF(Y401='Loan Prepayment'!$E$11,IF('Loan Prepayment'!$E$13="Keep tenure, recalculate EMI",-PMT(AA401/1200,MAX(1,'Loan Prepayment'!$B$7*12-Y401+1),Z401),AB400),AB400),Z401+AC401))</f>
        <v>0</v>
      </c>
      <c r="AC401">
        <f t="shared" si="139"/>
        <v>0</v>
      </c>
      <c r="AD401">
        <f t="shared" si="140"/>
        <v>0</v>
      </c>
      <c r="AE401">
        <f t="shared" si="141"/>
        <v>0</v>
      </c>
      <c r="AF401">
        <f t="shared" si="142"/>
        <v>0</v>
      </c>
      <c r="AG401">
        <f t="shared" si="151"/>
        <v>400</v>
      </c>
      <c r="AH401">
        <f t="shared" si="143"/>
        <v>0</v>
      </c>
      <c r="AI401">
        <f>IF(AG401&gt;='Loan Prepayment'!$E$11,'Loan Prepayment'!$E$12,'Loan Prepayment'!$B$6)</f>
        <v>6.5</v>
      </c>
      <c r="AJ401">
        <f>IF(AH401&lt;=0,0,MIN(IF(AG401='Loan Prepayment'!$E$11,IF('Loan Prepayment'!$E$13="Keep tenure, recalculate EMI",-PMT(AI401/1200,MAX(1,'Loan Prepayment'!$B$7*12-AG401+1),AH401),IF(AND('Loan Prepayment'!$E$15="Reduce EMI",AM400&gt;0),-PMT(AI400/1200,MAX(1,'Loan Prepayment'!$B$7*12-AG401+1),AH401),AJ400)),IF(AND('Loan Prepayment'!$E$15="Reduce EMI",AM400&gt;0),-PMT(AI401/1200,MAX(1,'Loan Prepayment'!$B$7*12-AG401+1),AH401),AJ400)),AH401+AK401))</f>
        <v>0</v>
      </c>
      <c r="AK401">
        <f t="shared" si="144"/>
        <v>0</v>
      </c>
      <c r="AL401">
        <f t="shared" si="145"/>
        <v>0</v>
      </c>
      <c r="AM401">
        <f>IF(AH401&lt;=0,0,MIN(MAX(0,AH401-AL401),SUMIFS('Loan Prepayment'!$B$12:$B$31,'Loan Prepayment'!$A$12:$A$31,AG401)+IF(AND(AG401&gt;='Loan Prepayment'!$B$9,AG401&lt;='Loan Prepayment'!$E$16),'Loan Prepayment'!$B$8,0)))</f>
        <v>0</v>
      </c>
      <c r="AN401">
        <f t="shared" si="146"/>
        <v>0</v>
      </c>
    </row>
    <row r="402" spans="1:40" x14ac:dyDescent="0.35">
      <c r="A402">
        <f t="shared" si="147"/>
        <v>401</v>
      </c>
      <c r="B402">
        <f t="shared" si="126"/>
        <v>0</v>
      </c>
      <c r="C402">
        <f>'Loan Prepayment'!$B$6</f>
        <v>7.5</v>
      </c>
      <c r="D402">
        <f>IF(B402&lt;=0,0,MIN(-PMT('Loan Prepayment'!$B$6/1200,'Loan Prepayment'!$B$7*12,'Loan Prepayment'!$B$5),B402+E402))</f>
        <v>0</v>
      </c>
      <c r="E402">
        <f t="shared" si="127"/>
        <v>0</v>
      </c>
      <c r="F402">
        <f t="shared" si="128"/>
        <v>0</v>
      </c>
      <c r="G402">
        <v>0</v>
      </c>
      <c r="H402">
        <f t="shared" si="129"/>
        <v>0</v>
      </c>
      <c r="I402">
        <f t="shared" si="148"/>
        <v>401</v>
      </c>
      <c r="J402">
        <f t="shared" si="130"/>
        <v>0</v>
      </c>
      <c r="K402">
        <f>'Loan Prepayment'!$B$6</f>
        <v>7.5</v>
      </c>
      <c r="L402">
        <f>IF(J402&lt;=0,0,MIN(IF(AND('Loan Prepayment'!$E$15="Reduce EMI",O401&gt;0),-PMT(K402/1200,MAX(1,'Loan Prepayment'!$B$7*12-I402+1),J402),L401),J402+M402))</f>
        <v>0</v>
      </c>
      <c r="M402">
        <f t="shared" si="131"/>
        <v>0</v>
      </c>
      <c r="N402">
        <f t="shared" si="132"/>
        <v>0</v>
      </c>
      <c r="O402">
        <f>IF(J402&lt;=0,0,MIN(MAX(0,J402-N402),SUMIFS('Loan Prepayment'!$B$12:$B$31,'Loan Prepayment'!$A$12:$A$31,I402)+0))</f>
        <v>0</v>
      </c>
      <c r="P402">
        <f t="shared" si="133"/>
        <v>0</v>
      </c>
      <c r="Q402">
        <f t="shared" si="149"/>
        <v>401</v>
      </c>
      <c r="R402">
        <f t="shared" si="134"/>
        <v>0</v>
      </c>
      <c r="S402">
        <f>'Loan Prepayment'!$B$6</f>
        <v>7.5</v>
      </c>
      <c r="T402">
        <f>IF(R402&lt;=0,0,MIN(IF(AND('Loan Prepayment'!$E$15="Reduce EMI",W401&gt;0),-PMT(S402/1200,MAX(1,'Loan Prepayment'!$B$7*12-Q402+1),R402),T401),R402+U402))</f>
        <v>0</v>
      </c>
      <c r="U402">
        <f t="shared" si="135"/>
        <v>0</v>
      </c>
      <c r="V402">
        <f t="shared" si="136"/>
        <v>0</v>
      </c>
      <c r="W402">
        <f>IF(R402&lt;=0,0,MIN(MAX(0,R402-V402),0+IF(AND(Q402&gt;='Loan Prepayment'!$B$9,Q402&lt;='Loan Prepayment'!$E$16),'Loan Prepayment'!$B$8,0)))</f>
        <v>0</v>
      </c>
      <c r="X402">
        <f t="shared" si="137"/>
        <v>0</v>
      </c>
      <c r="Y402">
        <f t="shared" si="150"/>
        <v>401</v>
      </c>
      <c r="Z402">
        <f t="shared" si="138"/>
        <v>0</v>
      </c>
      <c r="AA402">
        <f>IF(Y402&gt;='Loan Prepayment'!$E$11,'Loan Prepayment'!$E$12,'Loan Prepayment'!$B$6)</f>
        <v>6.5</v>
      </c>
      <c r="AB402">
        <f>IF(Z402&lt;=0,0,MIN(IF(Y402='Loan Prepayment'!$E$11,IF('Loan Prepayment'!$E$13="Keep tenure, recalculate EMI",-PMT(AA402/1200,MAX(1,'Loan Prepayment'!$B$7*12-Y402+1),Z402),AB401),AB401),Z402+AC402))</f>
        <v>0</v>
      </c>
      <c r="AC402">
        <f t="shared" si="139"/>
        <v>0</v>
      </c>
      <c r="AD402">
        <f t="shared" si="140"/>
        <v>0</v>
      </c>
      <c r="AE402">
        <f t="shared" si="141"/>
        <v>0</v>
      </c>
      <c r="AF402">
        <f t="shared" si="142"/>
        <v>0</v>
      </c>
      <c r="AG402">
        <f t="shared" si="151"/>
        <v>401</v>
      </c>
      <c r="AH402">
        <f t="shared" si="143"/>
        <v>0</v>
      </c>
      <c r="AI402">
        <f>IF(AG402&gt;='Loan Prepayment'!$E$11,'Loan Prepayment'!$E$12,'Loan Prepayment'!$B$6)</f>
        <v>6.5</v>
      </c>
      <c r="AJ402">
        <f>IF(AH402&lt;=0,0,MIN(IF(AG402='Loan Prepayment'!$E$11,IF('Loan Prepayment'!$E$13="Keep tenure, recalculate EMI",-PMT(AI402/1200,MAX(1,'Loan Prepayment'!$B$7*12-AG402+1),AH402),IF(AND('Loan Prepayment'!$E$15="Reduce EMI",AM401&gt;0),-PMT(AI401/1200,MAX(1,'Loan Prepayment'!$B$7*12-AG402+1),AH402),AJ401)),IF(AND('Loan Prepayment'!$E$15="Reduce EMI",AM401&gt;0),-PMT(AI402/1200,MAX(1,'Loan Prepayment'!$B$7*12-AG402+1),AH402),AJ401)),AH402+AK402))</f>
        <v>0</v>
      </c>
      <c r="AK402">
        <f t="shared" si="144"/>
        <v>0</v>
      </c>
      <c r="AL402">
        <f t="shared" si="145"/>
        <v>0</v>
      </c>
      <c r="AM402">
        <f>IF(AH402&lt;=0,0,MIN(MAX(0,AH402-AL402),SUMIFS('Loan Prepayment'!$B$12:$B$31,'Loan Prepayment'!$A$12:$A$31,AG402)+IF(AND(AG402&gt;='Loan Prepayment'!$B$9,AG402&lt;='Loan Prepayment'!$E$16),'Loan Prepayment'!$B$8,0)))</f>
        <v>0</v>
      </c>
      <c r="AN402">
        <f t="shared" si="146"/>
        <v>0</v>
      </c>
    </row>
    <row r="403" spans="1:40" x14ac:dyDescent="0.35">
      <c r="A403">
        <f t="shared" si="147"/>
        <v>402</v>
      </c>
      <c r="B403">
        <f t="shared" si="126"/>
        <v>0</v>
      </c>
      <c r="C403">
        <f>'Loan Prepayment'!$B$6</f>
        <v>7.5</v>
      </c>
      <c r="D403">
        <f>IF(B403&lt;=0,0,MIN(-PMT('Loan Prepayment'!$B$6/1200,'Loan Prepayment'!$B$7*12,'Loan Prepayment'!$B$5),B403+E403))</f>
        <v>0</v>
      </c>
      <c r="E403">
        <f t="shared" si="127"/>
        <v>0</v>
      </c>
      <c r="F403">
        <f t="shared" si="128"/>
        <v>0</v>
      </c>
      <c r="G403">
        <v>0</v>
      </c>
      <c r="H403">
        <f t="shared" si="129"/>
        <v>0</v>
      </c>
      <c r="I403">
        <f t="shared" si="148"/>
        <v>402</v>
      </c>
      <c r="J403">
        <f t="shared" si="130"/>
        <v>0</v>
      </c>
      <c r="K403">
        <f>'Loan Prepayment'!$B$6</f>
        <v>7.5</v>
      </c>
      <c r="L403">
        <f>IF(J403&lt;=0,0,MIN(IF(AND('Loan Prepayment'!$E$15="Reduce EMI",O402&gt;0),-PMT(K403/1200,MAX(1,'Loan Prepayment'!$B$7*12-I403+1),J403),L402),J403+M403))</f>
        <v>0</v>
      </c>
      <c r="M403">
        <f t="shared" si="131"/>
        <v>0</v>
      </c>
      <c r="N403">
        <f t="shared" si="132"/>
        <v>0</v>
      </c>
      <c r="O403">
        <f>IF(J403&lt;=0,0,MIN(MAX(0,J403-N403),SUMIFS('Loan Prepayment'!$B$12:$B$31,'Loan Prepayment'!$A$12:$A$31,I403)+0))</f>
        <v>0</v>
      </c>
      <c r="P403">
        <f t="shared" si="133"/>
        <v>0</v>
      </c>
      <c r="Q403">
        <f t="shared" si="149"/>
        <v>402</v>
      </c>
      <c r="R403">
        <f t="shared" si="134"/>
        <v>0</v>
      </c>
      <c r="S403">
        <f>'Loan Prepayment'!$B$6</f>
        <v>7.5</v>
      </c>
      <c r="T403">
        <f>IF(R403&lt;=0,0,MIN(IF(AND('Loan Prepayment'!$E$15="Reduce EMI",W402&gt;0),-PMT(S403/1200,MAX(1,'Loan Prepayment'!$B$7*12-Q403+1),R403),T402),R403+U403))</f>
        <v>0</v>
      </c>
      <c r="U403">
        <f t="shared" si="135"/>
        <v>0</v>
      </c>
      <c r="V403">
        <f t="shared" si="136"/>
        <v>0</v>
      </c>
      <c r="W403">
        <f>IF(R403&lt;=0,0,MIN(MAX(0,R403-V403),0+IF(AND(Q403&gt;='Loan Prepayment'!$B$9,Q403&lt;='Loan Prepayment'!$E$16),'Loan Prepayment'!$B$8,0)))</f>
        <v>0</v>
      </c>
      <c r="X403">
        <f t="shared" si="137"/>
        <v>0</v>
      </c>
      <c r="Y403">
        <f t="shared" si="150"/>
        <v>402</v>
      </c>
      <c r="Z403">
        <f t="shared" si="138"/>
        <v>0</v>
      </c>
      <c r="AA403">
        <f>IF(Y403&gt;='Loan Prepayment'!$E$11,'Loan Prepayment'!$E$12,'Loan Prepayment'!$B$6)</f>
        <v>6.5</v>
      </c>
      <c r="AB403">
        <f>IF(Z403&lt;=0,0,MIN(IF(Y403='Loan Prepayment'!$E$11,IF('Loan Prepayment'!$E$13="Keep tenure, recalculate EMI",-PMT(AA403/1200,MAX(1,'Loan Prepayment'!$B$7*12-Y403+1),Z403),AB402),AB402),Z403+AC403))</f>
        <v>0</v>
      </c>
      <c r="AC403">
        <f t="shared" si="139"/>
        <v>0</v>
      </c>
      <c r="AD403">
        <f t="shared" si="140"/>
        <v>0</v>
      </c>
      <c r="AE403">
        <f t="shared" si="141"/>
        <v>0</v>
      </c>
      <c r="AF403">
        <f t="shared" si="142"/>
        <v>0</v>
      </c>
      <c r="AG403">
        <f t="shared" si="151"/>
        <v>402</v>
      </c>
      <c r="AH403">
        <f t="shared" si="143"/>
        <v>0</v>
      </c>
      <c r="AI403">
        <f>IF(AG403&gt;='Loan Prepayment'!$E$11,'Loan Prepayment'!$E$12,'Loan Prepayment'!$B$6)</f>
        <v>6.5</v>
      </c>
      <c r="AJ403">
        <f>IF(AH403&lt;=0,0,MIN(IF(AG403='Loan Prepayment'!$E$11,IF('Loan Prepayment'!$E$13="Keep tenure, recalculate EMI",-PMT(AI403/1200,MAX(1,'Loan Prepayment'!$B$7*12-AG403+1),AH403),IF(AND('Loan Prepayment'!$E$15="Reduce EMI",AM402&gt;0),-PMT(AI402/1200,MAX(1,'Loan Prepayment'!$B$7*12-AG403+1),AH403),AJ402)),IF(AND('Loan Prepayment'!$E$15="Reduce EMI",AM402&gt;0),-PMT(AI403/1200,MAX(1,'Loan Prepayment'!$B$7*12-AG403+1),AH403),AJ402)),AH403+AK403))</f>
        <v>0</v>
      </c>
      <c r="AK403">
        <f t="shared" si="144"/>
        <v>0</v>
      </c>
      <c r="AL403">
        <f t="shared" si="145"/>
        <v>0</v>
      </c>
      <c r="AM403">
        <f>IF(AH403&lt;=0,0,MIN(MAX(0,AH403-AL403),SUMIFS('Loan Prepayment'!$B$12:$B$31,'Loan Prepayment'!$A$12:$A$31,AG403)+IF(AND(AG403&gt;='Loan Prepayment'!$B$9,AG403&lt;='Loan Prepayment'!$E$16),'Loan Prepayment'!$B$8,0)))</f>
        <v>0</v>
      </c>
      <c r="AN403">
        <f t="shared" si="146"/>
        <v>0</v>
      </c>
    </row>
    <row r="404" spans="1:40" x14ac:dyDescent="0.35">
      <c r="A404">
        <f t="shared" si="147"/>
        <v>403</v>
      </c>
      <c r="B404">
        <f t="shared" si="126"/>
        <v>0</v>
      </c>
      <c r="C404">
        <f>'Loan Prepayment'!$B$6</f>
        <v>7.5</v>
      </c>
      <c r="D404">
        <f>IF(B404&lt;=0,0,MIN(-PMT('Loan Prepayment'!$B$6/1200,'Loan Prepayment'!$B$7*12,'Loan Prepayment'!$B$5),B404+E404))</f>
        <v>0</v>
      </c>
      <c r="E404">
        <f t="shared" si="127"/>
        <v>0</v>
      </c>
      <c r="F404">
        <f t="shared" si="128"/>
        <v>0</v>
      </c>
      <c r="G404">
        <v>0</v>
      </c>
      <c r="H404">
        <f t="shared" si="129"/>
        <v>0</v>
      </c>
      <c r="I404">
        <f t="shared" si="148"/>
        <v>403</v>
      </c>
      <c r="J404">
        <f t="shared" si="130"/>
        <v>0</v>
      </c>
      <c r="K404">
        <f>'Loan Prepayment'!$B$6</f>
        <v>7.5</v>
      </c>
      <c r="L404">
        <f>IF(J404&lt;=0,0,MIN(IF(AND('Loan Prepayment'!$E$15="Reduce EMI",O403&gt;0),-PMT(K404/1200,MAX(1,'Loan Prepayment'!$B$7*12-I404+1),J404),L403),J404+M404))</f>
        <v>0</v>
      </c>
      <c r="M404">
        <f t="shared" si="131"/>
        <v>0</v>
      </c>
      <c r="N404">
        <f t="shared" si="132"/>
        <v>0</v>
      </c>
      <c r="O404">
        <f>IF(J404&lt;=0,0,MIN(MAX(0,J404-N404),SUMIFS('Loan Prepayment'!$B$12:$B$31,'Loan Prepayment'!$A$12:$A$31,I404)+0))</f>
        <v>0</v>
      </c>
      <c r="P404">
        <f t="shared" si="133"/>
        <v>0</v>
      </c>
      <c r="Q404">
        <f t="shared" si="149"/>
        <v>403</v>
      </c>
      <c r="R404">
        <f t="shared" si="134"/>
        <v>0</v>
      </c>
      <c r="S404">
        <f>'Loan Prepayment'!$B$6</f>
        <v>7.5</v>
      </c>
      <c r="T404">
        <f>IF(R404&lt;=0,0,MIN(IF(AND('Loan Prepayment'!$E$15="Reduce EMI",W403&gt;0),-PMT(S404/1200,MAX(1,'Loan Prepayment'!$B$7*12-Q404+1),R404),T403),R404+U404))</f>
        <v>0</v>
      </c>
      <c r="U404">
        <f t="shared" si="135"/>
        <v>0</v>
      </c>
      <c r="V404">
        <f t="shared" si="136"/>
        <v>0</v>
      </c>
      <c r="W404">
        <f>IF(R404&lt;=0,0,MIN(MAX(0,R404-V404),0+IF(AND(Q404&gt;='Loan Prepayment'!$B$9,Q404&lt;='Loan Prepayment'!$E$16),'Loan Prepayment'!$B$8,0)))</f>
        <v>0</v>
      </c>
      <c r="X404">
        <f t="shared" si="137"/>
        <v>0</v>
      </c>
      <c r="Y404">
        <f t="shared" si="150"/>
        <v>403</v>
      </c>
      <c r="Z404">
        <f t="shared" si="138"/>
        <v>0</v>
      </c>
      <c r="AA404">
        <f>IF(Y404&gt;='Loan Prepayment'!$E$11,'Loan Prepayment'!$E$12,'Loan Prepayment'!$B$6)</f>
        <v>6.5</v>
      </c>
      <c r="AB404">
        <f>IF(Z404&lt;=0,0,MIN(IF(Y404='Loan Prepayment'!$E$11,IF('Loan Prepayment'!$E$13="Keep tenure, recalculate EMI",-PMT(AA404/1200,MAX(1,'Loan Prepayment'!$B$7*12-Y404+1),Z404),AB403),AB403),Z404+AC404))</f>
        <v>0</v>
      </c>
      <c r="AC404">
        <f t="shared" si="139"/>
        <v>0</v>
      </c>
      <c r="AD404">
        <f t="shared" si="140"/>
        <v>0</v>
      </c>
      <c r="AE404">
        <f t="shared" si="141"/>
        <v>0</v>
      </c>
      <c r="AF404">
        <f t="shared" si="142"/>
        <v>0</v>
      </c>
      <c r="AG404">
        <f t="shared" si="151"/>
        <v>403</v>
      </c>
      <c r="AH404">
        <f t="shared" si="143"/>
        <v>0</v>
      </c>
      <c r="AI404">
        <f>IF(AG404&gt;='Loan Prepayment'!$E$11,'Loan Prepayment'!$E$12,'Loan Prepayment'!$B$6)</f>
        <v>6.5</v>
      </c>
      <c r="AJ404">
        <f>IF(AH404&lt;=0,0,MIN(IF(AG404='Loan Prepayment'!$E$11,IF('Loan Prepayment'!$E$13="Keep tenure, recalculate EMI",-PMT(AI404/1200,MAX(1,'Loan Prepayment'!$B$7*12-AG404+1),AH404),IF(AND('Loan Prepayment'!$E$15="Reduce EMI",AM403&gt;0),-PMT(AI403/1200,MAX(1,'Loan Prepayment'!$B$7*12-AG404+1),AH404),AJ403)),IF(AND('Loan Prepayment'!$E$15="Reduce EMI",AM403&gt;0),-PMT(AI404/1200,MAX(1,'Loan Prepayment'!$B$7*12-AG404+1),AH404),AJ403)),AH404+AK404))</f>
        <v>0</v>
      </c>
      <c r="AK404">
        <f t="shared" si="144"/>
        <v>0</v>
      </c>
      <c r="AL404">
        <f t="shared" si="145"/>
        <v>0</v>
      </c>
      <c r="AM404">
        <f>IF(AH404&lt;=0,0,MIN(MAX(0,AH404-AL404),SUMIFS('Loan Prepayment'!$B$12:$B$31,'Loan Prepayment'!$A$12:$A$31,AG404)+IF(AND(AG404&gt;='Loan Prepayment'!$B$9,AG404&lt;='Loan Prepayment'!$E$16),'Loan Prepayment'!$B$8,0)))</f>
        <v>0</v>
      </c>
      <c r="AN404">
        <f t="shared" si="146"/>
        <v>0</v>
      </c>
    </row>
    <row r="405" spans="1:40" x14ac:dyDescent="0.35">
      <c r="A405">
        <f t="shared" si="147"/>
        <v>404</v>
      </c>
      <c r="B405">
        <f t="shared" si="126"/>
        <v>0</v>
      </c>
      <c r="C405">
        <f>'Loan Prepayment'!$B$6</f>
        <v>7.5</v>
      </c>
      <c r="D405">
        <f>IF(B405&lt;=0,0,MIN(-PMT('Loan Prepayment'!$B$6/1200,'Loan Prepayment'!$B$7*12,'Loan Prepayment'!$B$5),B405+E405))</f>
        <v>0</v>
      </c>
      <c r="E405">
        <f t="shared" si="127"/>
        <v>0</v>
      </c>
      <c r="F405">
        <f t="shared" si="128"/>
        <v>0</v>
      </c>
      <c r="G405">
        <v>0</v>
      </c>
      <c r="H405">
        <f t="shared" si="129"/>
        <v>0</v>
      </c>
      <c r="I405">
        <f t="shared" si="148"/>
        <v>404</v>
      </c>
      <c r="J405">
        <f t="shared" si="130"/>
        <v>0</v>
      </c>
      <c r="K405">
        <f>'Loan Prepayment'!$B$6</f>
        <v>7.5</v>
      </c>
      <c r="L405">
        <f>IF(J405&lt;=0,0,MIN(IF(AND('Loan Prepayment'!$E$15="Reduce EMI",O404&gt;0),-PMT(K405/1200,MAX(1,'Loan Prepayment'!$B$7*12-I405+1),J405),L404),J405+M405))</f>
        <v>0</v>
      </c>
      <c r="M405">
        <f t="shared" si="131"/>
        <v>0</v>
      </c>
      <c r="N405">
        <f t="shared" si="132"/>
        <v>0</v>
      </c>
      <c r="O405">
        <f>IF(J405&lt;=0,0,MIN(MAX(0,J405-N405),SUMIFS('Loan Prepayment'!$B$12:$B$31,'Loan Prepayment'!$A$12:$A$31,I405)+0))</f>
        <v>0</v>
      </c>
      <c r="P405">
        <f t="shared" si="133"/>
        <v>0</v>
      </c>
      <c r="Q405">
        <f t="shared" si="149"/>
        <v>404</v>
      </c>
      <c r="R405">
        <f t="shared" si="134"/>
        <v>0</v>
      </c>
      <c r="S405">
        <f>'Loan Prepayment'!$B$6</f>
        <v>7.5</v>
      </c>
      <c r="T405">
        <f>IF(R405&lt;=0,0,MIN(IF(AND('Loan Prepayment'!$E$15="Reduce EMI",W404&gt;0),-PMT(S405/1200,MAX(1,'Loan Prepayment'!$B$7*12-Q405+1),R405),T404),R405+U405))</f>
        <v>0</v>
      </c>
      <c r="U405">
        <f t="shared" si="135"/>
        <v>0</v>
      </c>
      <c r="V405">
        <f t="shared" si="136"/>
        <v>0</v>
      </c>
      <c r="W405">
        <f>IF(R405&lt;=0,0,MIN(MAX(0,R405-V405),0+IF(AND(Q405&gt;='Loan Prepayment'!$B$9,Q405&lt;='Loan Prepayment'!$E$16),'Loan Prepayment'!$B$8,0)))</f>
        <v>0</v>
      </c>
      <c r="X405">
        <f t="shared" si="137"/>
        <v>0</v>
      </c>
      <c r="Y405">
        <f t="shared" si="150"/>
        <v>404</v>
      </c>
      <c r="Z405">
        <f t="shared" si="138"/>
        <v>0</v>
      </c>
      <c r="AA405">
        <f>IF(Y405&gt;='Loan Prepayment'!$E$11,'Loan Prepayment'!$E$12,'Loan Prepayment'!$B$6)</f>
        <v>6.5</v>
      </c>
      <c r="AB405">
        <f>IF(Z405&lt;=0,0,MIN(IF(Y405='Loan Prepayment'!$E$11,IF('Loan Prepayment'!$E$13="Keep tenure, recalculate EMI",-PMT(AA405/1200,MAX(1,'Loan Prepayment'!$B$7*12-Y405+1),Z405),AB404),AB404),Z405+AC405))</f>
        <v>0</v>
      </c>
      <c r="AC405">
        <f t="shared" si="139"/>
        <v>0</v>
      </c>
      <c r="AD405">
        <f t="shared" si="140"/>
        <v>0</v>
      </c>
      <c r="AE405">
        <f t="shared" si="141"/>
        <v>0</v>
      </c>
      <c r="AF405">
        <f t="shared" si="142"/>
        <v>0</v>
      </c>
      <c r="AG405">
        <f t="shared" si="151"/>
        <v>404</v>
      </c>
      <c r="AH405">
        <f t="shared" si="143"/>
        <v>0</v>
      </c>
      <c r="AI405">
        <f>IF(AG405&gt;='Loan Prepayment'!$E$11,'Loan Prepayment'!$E$12,'Loan Prepayment'!$B$6)</f>
        <v>6.5</v>
      </c>
      <c r="AJ405">
        <f>IF(AH405&lt;=0,0,MIN(IF(AG405='Loan Prepayment'!$E$11,IF('Loan Prepayment'!$E$13="Keep tenure, recalculate EMI",-PMT(AI405/1200,MAX(1,'Loan Prepayment'!$B$7*12-AG405+1),AH405),IF(AND('Loan Prepayment'!$E$15="Reduce EMI",AM404&gt;0),-PMT(AI404/1200,MAX(1,'Loan Prepayment'!$B$7*12-AG405+1),AH405),AJ404)),IF(AND('Loan Prepayment'!$E$15="Reduce EMI",AM404&gt;0),-PMT(AI405/1200,MAX(1,'Loan Prepayment'!$B$7*12-AG405+1),AH405),AJ404)),AH405+AK405))</f>
        <v>0</v>
      </c>
      <c r="AK405">
        <f t="shared" si="144"/>
        <v>0</v>
      </c>
      <c r="AL405">
        <f t="shared" si="145"/>
        <v>0</v>
      </c>
      <c r="AM405">
        <f>IF(AH405&lt;=0,0,MIN(MAX(0,AH405-AL405),SUMIFS('Loan Prepayment'!$B$12:$B$31,'Loan Prepayment'!$A$12:$A$31,AG405)+IF(AND(AG405&gt;='Loan Prepayment'!$B$9,AG405&lt;='Loan Prepayment'!$E$16),'Loan Prepayment'!$B$8,0)))</f>
        <v>0</v>
      </c>
      <c r="AN405">
        <f t="shared" si="146"/>
        <v>0</v>
      </c>
    </row>
    <row r="406" spans="1:40" x14ac:dyDescent="0.35">
      <c r="A406">
        <f t="shared" si="147"/>
        <v>405</v>
      </c>
      <c r="B406">
        <f t="shared" si="126"/>
        <v>0</v>
      </c>
      <c r="C406">
        <f>'Loan Prepayment'!$B$6</f>
        <v>7.5</v>
      </c>
      <c r="D406">
        <f>IF(B406&lt;=0,0,MIN(-PMT('Loan Prepayment'!$B$6/1200,'Loan Prepayment'!$B$7*12,'Loan Prepayment'!$B$5),B406+E406))</f>
        <v>0</v>
      </c>
      <c r="E406">
        <f t="shared" si="127"/>
        <v>0</v>
      </c>
      <c r="F406">
        <f t="shared" si="128"/>
        <v>0</v>
      </c>
      <c r="G406">
        <v>0</v>
      </c>
      <c r="H406">
        <f t="shared" si="129"/>
        <v>0</v>
      </c>
      <c r="I406">
        <f t="shared" si="148"/>
        <v>405</v>
      </c>
      <c r="J406">
        <f t="shared" si="130"/>
        <v>0</v>
      </c>
      <c r="K406">
        <f>'Loan Prepayment'!$B$6</f>
        <v>7.5</v>
      </c>
      <c r="L406">
        <f>IF(J406&lt;=0,0,MIN(IF(AND('Loan Prepayment'!$E$15="Reduce EMI",O405&gt;0),-PMT(K406/1200,MAX(1,'Loan Prepayment'!$B$7*12-I406+1),J406),L405),J406+M406))</f>
        <v>0</v>
      </c>
      <c r="M406">
        <f t="shared" si="131"/>
        <v>0</v>
      </c>
      <c r="N406">
        <f t="shared" si="132"/>
        <v>0</v>
      </c>
      <c r="O406">
        <f>IF(J406&lt;=0,0,MIN(MAX(0,J406-N406),SUMIFS('Loan Prepayment'!$B$12:$B$31,'Loan Prepayment'!$A$12:$A$31,I406)+0))</f>
        <v>0</v>
      </c>
      <c r="P406">
        <f t="shared" si="133"/>
        <v>0</v>
      </c>
      <c r="Q406">
        <f t="shared" si="149"/>
        <v>405</v>
      </c>
      <c r="R406">
        <f t="shared" si="134"/>
        <v>0</v>
      </c>
      <c r="S406">
        <f>'Loan Prepayment'!$B$6</f>
        <v>7.5</v>
      </c>
      <c r="T406">
        <f>IF(R406&lt;=0,0,MIN(IF(AND('Loan Prepayment'!$E$15="Reduce EMI",W405&gt;0),-PMT(S406/1200,MAX(1,'Loan Prepayment'!$B$7*12-Q406+1),R406),T405),R406+U406))</f>
        <v>0</v>
      </c>
      <c r="U406">
        <f t="shared" si="135"/>
        <v>0</v>
      </c>
      <c r="V406">
        <f t="shared" si="136"/>
        <v>0</v>
      </c>
      <c r="W406">
        <f>IF(R406&lt;=0,0,MIN(MAX(0,R406-V406),0+IF(AND(Q406&gt;='Loan Prepayment'!$B$9,Q406&lt;='Loan Prepayment'!$E$16),'Loan Prepayment'!$B$8,0)))</f>
        <v>0</v>
      </c>
      <c r="X406">
        <f t="shared" si="137"/>
        <v>0</v>
      </c>
      <c r="Y406">
        <f t="shared" si="150"/>
        <v>405</v>
      </c>
      <c r="Z406">
        <f t="shared" si="138"/>
        <v>0</v>
      </c>
      <c r="AA406">
        <f>IF(Y406&gt;='Loan Prepayment'!$E$11,'Loan Prepayment'!$E$12,'Loan Prepayment'!$B$6)</f>
        <v>6.5</v>
      </c>
      <c r="AB406">
        <f>IF(Z406&lt;=0,0,MIN(IF(Y406='Loan Prepayment'!$E$11,IF('Loan Prepayment'!$E$13="Keep tenure, recalculate EMI",-PMT(AA406/1200,MAX(1,'Loan Prepayment'!$B$7*12-Y406+1),Z406),AB405),AB405),Z406+AC406))</f>
        <v>0</v>
      </c>
      <c r="AC406">
        <f t="shared" si="139"/>
        <v>0</v>
      </c>
      <c r="AD406">
        <f t="shared" si="140"/>
        <v>0</v>
      </c>
      <c r="AE406">
        <f t="shared" si="141"/>
        <v>0</v>
      </c>
      <c r="AF406">
        <f t="shared" si="142"/>
        <v>0</v>
      </c>
      <c r="AG406">
        <f t="shared" si="151"/>
        <v>405</v>
      </c>
      <c r="AH406">
        <f t="shared" si="143"/>
        <v>0</v>
      </c>
      <c r="AI406">
        <f>IF(AG406&gt;='Loan Prepayment'!$E$11,'Loan Prepayment'!$E$12,'Loan Prepayment'!$B$6)</f>
        <v>6.5</v>
      </c>
      <c r="AJ406">
        <f>IF(AH406&lt;=0,0,MIN(IF(AG406='Loan Prepayment'!$E$11,IF('Loan Prepayment'!$E$13="Keep tenure, recalculate EMI",-PMT(AI406/1200,MAX(1,'Loan Prepayment'!$B$7*12-AG406+1),AH406),IF(AND('Loan Prepayment'!$E$15="Reduce EMI",AM405&gt;0),-PMT(AI405/1200,MAX(1,'Loan Prepayment'!$B$7*12-AG406+1),AH406),AJ405)),IF(AND('Loan Prepayment'!$E$15="Reduce EMI",AM405&gt;0),-PMT(AI406/1200,MAX(1,'Loan Prepayment'!$B$7*12-AG406+1),AH406),AJ405)),AH406+AK406))</f>
        <v>0</v>
      </c>
      <c r="AK406">
        <f t="shared" si="144"/>
        <v>0</v>
      </c>
      <c r="AL406">
        <f t="shared" si="145"/>
        <v>0</v>
      </c>
      <c r="AM406">
        <f>IF(AH406&lt;=0,0,MIN(MAX(0,AH406-AL406),SUMIFS('Loan Prepayment'!$B$12:$B$31,'Loan Prepayment'!$A$12:$A$31,AG406)+IF(AND(AG406&gt;='Loan Prepayment'!$B$9,AG406&lt;='Loan Prepayment'!$E$16),'Loan Prepayment'!$B$8,0)))</f>
        <v>0</v>
      </c>
      <c r="AN406">
        <f t="shared" si="146"/>
        <v>0</v>
      </c>
    </row>
    <row r="407" spans="1:40" x14ac:dyDescent="0.35">
      <c r="A407">
        <f t="shared" si="147"/>
        <v>406</v>
      </c>
      <c r="B407">
        <f t="shared" si="126"/>
        <v>0</v>
      </c>
      <c r="C407">
        <f>'Loan Prepayment'!$B$6</f>
        <v>7.5</v>
      </c>
      <c r="D407">
        <f>IF(B407&lt;=0,0,MIN(-PMT('Loan Prepayment'!$B$6/1200,'Loan Prepayment'!$B$7*12,'Loan Prepayment'!$B$5),B407+E407))</f>
        <v>0</v>
      </c>
      <c r="E407">
        <f t="shared" si="127"/>
        <v>0</v>
      </c>
      <c r="F407">
        <f t="shared" si="128"/>
        <v>0</v>
      </c>
      <c r="G407">
        <v>0</v>
      </c>
      <c r="H407">
        <f t="shared" si="129"/>
        <v>0</v>
      </c>
      <c r="I407">
        <f t="shared" si="148"/>
        <v>406</v>
      </c>
      <c r="J407">
        <f t="shared" si="130"/>
        <v>0</v>
      </c>
      <c r="K407">
        <f>'Loan Prepayment'!$B$6</f>
        <v>7.5</v>
      </c>
      <c r="L407">
        <f>IF(J407&lt;=0,0,MIN(IF(AND('Loan Prepayment'!$E$15="Reduce EMI",O406&gt;0),-PMT(K407/1200,MAX(1,'Loan Prepayment'!$B$7*12-I407+1),J407),L406),J407+M407))</f>
        <v>0</v>
      </c>
      <c r="M407">
        <f t="shared" si="131"/>
        <v>0</v>
      </c>
      <c r="N407">
        <f t="shared" si="132"/>
        <v>0</v>
      </c>
      <c r="O407">
        <f>IF(J407&lt;=0,0,MIN(MAX(0,J407-N407),SUMIFS('Loan Prepayment'!$B$12:$B$31,'Loan Prepayment'!$A$12:$A$31,I407)+0))</f>
        <v>0</v>
      </c>
      <c r="P407">
        <f t="shared" si="133"/>
        <v>0</v>
      </c>
      <c r="Q407">
        <f t="shared" si="149"/>
        <v>406</v>
      </c>
      <c r="R407">
        <f t="shared" si="134"/>
        <v>0</v>
      </c>
      <c r="S407">
        <f>'Loan Prepayment'!$B$6</f>
        <v>7.5</v>
      </c>
      <c r="T407">
        <f>IF(R407&lt;=0,0,MIN(IF(AND('Loan Prepayment'!$E$15="Reduce EMI",W406&gt;0),-PMT(S407/1200,MAX(1,'Loan Prepayment'!$B$7*12-Q407+1),R407),T406),R407+U407))</f>
        <v>0</v>
      </c>
      <c r="U407">
        <f t="shared" si="135"/>
        <v>0</v>
      </c>
      <c r="V407">
        <f t="shared" si="136"/>
        <v>0</v>
      </c>
      <c r="W407">
        <f>IF(R407&lt;=0,0,MIN(MAX(0,R407-V407),0+IF(AND(Q407&gt;='Loan Prepayment'!$B$9,Q407&lt;='Loan Prepayment'!$E$16),'Loan Prepayment'!$B$8,0)))</f>
        <v>0</v>
      </c>
      <c r="X407">
        <f t="shared" si="137"/>
        <v>0</v>
      </c>
      <c r="Y407">
        <f t="shared" si="150"/>
        <v>406</v>
      </c>
      <c r="Z407">
        <f t="shared" si="138"/>
        <v>0</v>
      </c>
      <c r="AA407">
        <f>IF(Y407&gt;='Loan Prepayment'!$E$11,'Loan Prepayment'!$E$12,'Loan Prepayment'!$B$6)</f>
        <v>6.5</v>
      </c>
      <c r="AB407">
        <f>IF(Z407&lt;=0,0,MIN(IF(Y407='Loan Prepayment'!$E$11,IF('Loan Prepayment'!$E$13="Keep tenure, recalculate EMI",-PMT(AA407/1200,MAX(1,'Loan Prepayment'!$B$7*12-Y407+1),Z407),AB406),AB406),Z407+AC407))</f>
        <v>0</v>
      </c>
      <c r="AC407">
        <f t="shared" si="139"/>
        <v>0</v>
      </c>
      <c r="AD407">
        <f t="shared" si="140"/>
        <v>0</v>
      </c>
      <c r="AE407">
        <f t="shared" si="141"/>
        <v>0</v>
      </c>
      <c r="AF407">
        <f t="shared" si="142"/>
        <v>0</v>
      </c>
      <c r="AG407">
        <f t="shared" si="151"/>
        <v>406</v>
      </c>
      <c r="AH407">
        <f t="shared" si="143"/>
        <v>0</v>
      </c>
      <c r="AI407">
        <f>IF(AG407&gt;='Loan Prepayment'!$E$11,'Loan Prepayment'!$E$12,'Loan Prepayment'!$B$6)</f>
        <v>6.5</v>
      </c>
      <c r="AJ407">
        <f>IF(AH407&lt;=0,0,MIN(IF(AG407='Loan Prepayment'!$E$11,IF('Loan Prepayment'!$E$13="Keep tenure, recalculate EMI",-PMT(AI407/1200,MAX(1,'Loan Prepayment'!$B$7*12-AG407+1),AH407),IF(AND('Loan Prepayment'!$E$15="Reduce EMI",AM406&gt;0),-PMT(AI406/1200,MAX(1,'Loan Prepayment'!$B$7*12-AG407+1),AH407),AJ406)),IF(AND('Loan Prepayment'!$E$15="Reduce EMI",AM406&gt;0),-PMT(AI407/1200,MAX(1,'Loan Prepayment'!$B$7*12-AG407+1),AH407),AJ406)),AH407+AK407))</f>
        <v>0</v>
      </c>
      <c r="AK407">
        <f t="shared" si="144"/>
        <v>0</v>
      </c>
      <c r="AL407">
        <f t="shared" si="145"/>
        <v>0</v>
      </c>
      <c r="AM407">
        <f>IF(AH407&lt;=0,0,MIN(MAX(0,AH407-AL407),SUMIFS('Loan Prepayment'!$B$12:$B$31,'Loan Prepayment'!$A$12:$A$31,AG407)+IF(AND(AG407&gt;='Loan Prepayment'!$B$9,AG407&lt;='Loan Prepayment'!$E$16),'Loan Prepayment'!$B$8,0)))</f>
        <v>0</v>
      </c>
      <c r="AN407">
        <f t="shared" si="146"/>
        <v>0</v>
      </c>
    </row>
    <row r="408" spans="1:40" x14ac:dyDescent="0.35">
      <c r="A408">
        <f t="shared" si="147"/>
        <v>407</v>
      </c>
      <c r="B408">
        <f t="shared" si="126"/>
        <v>0</v>
      </c>
      <c r="C408">
        <f>'Loan Prepayment'!$B$6</f>
        <v>7.5</v>
      </c>
      <c r="D408">
        <f>IF(B408&lt;=0,0,MIN(-PMT('Loan Prepayment'!$B$6/1200,'Loan Prepayment'!$B$7*12,'Loan Prepayment'!$B$5),B408+E408))</f>
        <v>0</v>
      </c>
      <c r="E408">
        <f t="shared" si="127"/>
        <v>0</v>
      </c>
      <c r="F408">
        <f t="shared" si="128"/>
        <v>0</v>
      </c>
      <c r="G408">
        <v>0</v>
      </c>
      <c r="H408">
        <f t="shared" si="129"/>
        <v>0</v>
      </c>
      <c r="I408">
        <f t="shared" si="148"/>
        <v>407</v>
      </c>
      <c r="J408">
        <f t="shared" si="130"/>
        <v>0</v>
      </c>
      <c r="K408">
        <f>'Loan Prepayment'!$B$6</f>
        <v>7.5</v>
      </c>
      <c r="L408">
        <f>IF(J408&lt;=0,0,MIN(IF(AND('Loan Prepayment'!$E$15="Reduce EMI",O407&gt;0),-PMT(K408/1200,MAX(1,'Loan Prepayment'!$B$7*12-I408+1),J408),L407),J408+M408))</f>
        <v>0</v>
      </c>
      <c r="M408">
        <f t="shared" si="131"/>
        <v>0</v>
      </c>
      <c r="N408">
        <f t="shared" si="132"/>
        <v>0</v>
      </c>
      <c r="O408">
        <f>IF(J408&lt;=0,0,MIN(MAX(0,J408-N408),SUMIFS('Loan Prepayment'!$B$12:$B$31,'Loan Prepayment'!$A$12:$A$31,I408)+0))</f>
        <v>0</v>
      </c>
      <c r="P408">
        <f t="shared" si="133"/>
        <v>0</v>
      </c>
      <c r="Q408">
        <f t="shared" si="149"/>
        <v>407</v>
      </c>
      <c r="R408">
        <f t="shared" si="134"/>
        <v>0</v>
      </c>
      <c r="S408">
        <f>'Loan Prepayment'!$B$6</f>
        <v>7.5</v>
      </c>
      <c r="T408">
        <f>IF(R408&lt;=0,0,MIN(IF(AND('Loan Prepayment'!$E$15="Reduce EMI",W407&gt;0),-PMT(S408/1200,MAX(1,'Loan Prepayment'!$B$7*12-Q408+1),R408),T407),R408+U408))</f>
        <v>0</v>
      </c>
      <c r="U408">
        <f t="shared" si="135"/>
        <v>0</v>
      </c>
      <c r="V408">
        <f t="shared" si="136"/>
        <v>0</v>
      </c>
      <c r="W408">
        <f>IF(R408&lt;=0,0,MIN(MAX(0,R408-V408),0+IF(AND(Q408&gt;='Loan Prepayment'!$B$9,Q408&lt;='Loan Prepayment'!$E$16),'Loan Prepayment'!$B$8,0)))</f>
        <v>0</v>
      </c>
      <c r="X408">
        <f t="shared" si="137"/>
        <v>0</v>
      </c>
      <c r="Y408">
        <f t="shared" si="150"/>
        <v>407</v>
      </c>
      <c r="Z408">
        <f t="shared" si="138"/>
        <v>0</v>
      </c>
      <c r="AA408">
        <f>IF(Y408&gt;='Loan Prepayment'!$E$11,'Loan Prepayment'!$E$12,'Loan Prepayment'!$B$6)</f>
        <v>6.5</v>
      </c>
      <c r="AB408">
        <f>IF(Z408&lt;=0,0,MIN(IF(Y408='Loan Prepayment'!$E$11,IF('Loan Prepayment'!$E$13="Keep tenure, recalculate EMI",-PMT(AA408/1200,MAX(1,'Loan Prepayment'!$B$7*12-Y408+1),Z408),AB407),AB407),Z408+AC408))</f>
        <v>0</v>
      </c>
      <c r="AC408">
        <f t="shared" si="139"/>
        <v>0</v>
      </c>
      <c r="AD408">
        <f t="shared" si="140"/>
        <v>0</v>
      </c>
      <c r="AE408">
        <f t="shared" si="141"/>
        <v>0</v>
      </c>
      <c r="AF408">
        <f t="shared" si="142"/>
        <v>0</v>
      </c>
      <c r="AG408">
        <f t="shared" si="151"/>
        <v>407</v>
      </c>
      <c r="AH408">
        <f t="shared" si="143"/>
        <v>0</v>
      </c>
      <c r="AI408">
        <f>IF(AG408&gt;='Loan Prepayment'!$E$11,'Loan Prepayment'!$E$12,'Loan Prepayment'!$B$6)</f>
        <v>6.5</v>
      </c>
      <c r="AJ408">
        <f>IF(AH408&lt;=0,0,MIN(IF(AG408='Loan Prepayment'!$E$11,IF('Loan Prepayment'!$E$13="Keep tenure, recalculate EMI",-PMT(AI408/1200,MAX(1,'Loan Prepayment'!$B$7*12-AG408+1),AH408),IF(AND('Loan Prepayment'!$E$15="Reduce EMI",AM407&gt;0),-PMT(AI407/1200,MAX(1,'Loan Prepayment'!$B$7*12-AG408+1),AH408),AJ407)),IF(AND('Loan Prepayment'!$E$15="Reduce EMI",AM407&gt;0),-PMT(AI408/1200,MAX(1,'Loan Prepayment'!$B$7*12-AG408+1),AH408),AJ407)),AH408+AK408))</f>
        <v>0</v>
      </c>
      <c r="AK408">
        <f t="shared" si="144"/>
        <v>0</v>
      </c>
      <c r="AL408">
        <f t="shared" si="145"/>
        <v>0</v>
      </c>
      <c r="AM408">
        <f>IF(AH408&lt;=0,0,MIN(MAX(0,AH408-AL408),SUMIFS('Loan Prepayment'!$B$12:$B$31,'Loan Prepayment'!$A$12:$A$31,AG408)+IF(AND(AG408&gt;='Loan Prepayment'!$B$9,AG408&lt;='Loan Prepayment'!$E$16),'Loan Prepayment'!$B$8,0)))</f>
        <v>0</v>
      </c>
      <c r="AN408">
        <f t="shared" si="146"/>
        <v>0</v>
      </c>
    </row>
    <row r="409" spans="1:40" x14ac:dyDescent="0.35">
      <c r="A409">
        <f t="shared" si="147"/>
        <v>408</v>
      </c>
      <c r="B409">
        <f t="shared" si="126"/>
        <v>0</v>
      </c>
      <c r="C409">
        <f>'Loan Prepayment'!$B$6</f>
        <v>7.5</v>
      </c>
      <c r="D409">
        <f>IF(B409&lt;=0,0,MIN(-PMT('Loan Prepayment'!$B$6/1200,'Loan Prepayment'!$B$7*12,'Loan Prepayment'!$B$5),B409+E409))</f>
        <v>0</v>
      </c>
      <c r="E409">
        <f t="shared" si="127"/>
        <v>0</v>
      </c>
      <c r="F409">
        <f t="shared" si="128"/>
        <v>0</v>
      </c>
      <c r="G409">
        <v>0</v>
      </c>
      <c r="H409">
        <f t="shared" si="129"/>
        <v>0</v>
      </c>
      <c r="I409">
        <f t="shared" si="148"/>
        <v>408</v>
      </c>
      <c r="J409">
        <f t="shared" si="130"/>
        <v>0</v>
      </c>
      <c r="K409">
        <f>'Loan Prepayment'!$B$6</f>
        <v>7.5</v>
      </c>
      <c r="L409">
        <f>IF(J409&lt;=0,0,MIN(IF(AND('Loan Prepayment'!$E$15="Reduce EMI",O408&gt;0),-PMT(K409/1200,MAX(1,'Loan Prepayment'!$B$7*12-I409+1),J409),L408),J409+M409))</f>
        <v>0</v>
      </c>
      <c r="M409">
        <f t="shared" si="131"/>
        <v>0</v>
      </c>
      <c r="N409">
        <f t="shared" si="132"/>
        <v>0</v>
      </c>
      <c r="O409">
        <f>IF(J409&lt;=0,0,MIN(MAX(0,J409-N409),SUMIFS('Loan Prepayment'!$B$12:$B$31,'Loan Prepayment'!$A$12:$A$31,I409)+0))</f>
        <v>0</v>
      </c>
      <c r="P409">
        <f t="shared" si="133"/>
        <v>0</v>
      </c>
      <c r="Q409">
        <f t="shared" si="149"/>
        <v>408</v>
      </c>
      <c r="R409">
        <f t="shared" si="134"/>
        <v>0</v>
      </c>
      <c r="S409">
        <f>'Loan Prepayment'!$B$6</f>
        <v>7.5</v>
      </c>
      <c r="T409">
        <f>IF(R409&lt;=0,0,MIN(IF(AND('Loan Prepayment'!$E$15="Reduce EMI",W408&gt;0),-PMT(S409/1200,MAX(1,'Loan Prepayment'!$B$7*12-Q409+1),R409),T408),R409+U409))</f>
        <v>0</v>
      </c>
      <c r="U409">
        <f t="shared" si="135"/>
        <v>0</v>
      </c>
      <c r="V409">
        <f t="shared" si="136"/>
        <v>0</v>
      </c>
      <c r="W409">
        <f>IF(R409&lt;=0,0,MIN(MAX(0,R409-V409),0+IF(AND(Q409&gt;='Loan Prepayment'!$B$9,Q409&lt;='Loan Prepayment'!$E$16),'Loan Prepayment'!$B$8,0)))</f>
        <v>0</v>
      </c>
      <c r="X409">
        <f t="shared" si="137"/>
        <v>0</v>
      </c>
      <c r="Y409">
        <f t="shared" si="150"/>
        <v>408</v>
      </c>
      <c r="Z409">
        <f t="shared" si="138"/>
        <v>0</v>
      </c>
      <c r="AA409">
        <f>IF(Y409&gt;='Loan Prepayment'!$E$11,'Loan Prepayment'!$E$12,'Loan Prepayment'!$B$6)</f>
        <v>6.5</v>
      </c>
      <c r="AB409">
        <f>IF(Z409&lt;=0,0,MIN(IF(Y409='Loan Prepayment'!$E$11,IF('Loan Prepayment'!$E$13="Keep tenure, recalculate EMI",-PMT(AA409/1200,MAX(1,'Loan Prepayment'!$B$7*12-Y409+1),Z409),AB408),AB408),Z409+AC409))</f>
        <v>0</v>
      </c>
      <c r="AC409">
        <f t="shared" si="139"/>
        <v>0</v>
      </c>
      <c r="AD409">
        <f t="shared" si="140"/>
        <v>0</v>
      </c>
      <c r="AE409">
        <f t="shared" si="141"/>
        <v>0</v>
      </c>
      <c r="AF409">
        <f t="shared" si="142"/>
        <v>0</v>
      </c>
      <c r="AG409">
        <f t="shared" si="151"/>
        <v>408</v>
      </c>
      <c r="AH409">
        <f t="shared" si="143"/>
        <v>0</v>
      </c>
      <c r="AI409">
        <f>IF(AG409&gt;='Loan Prepayment'!$E$11,'Loan Prepayment'!$E$12,'Loan Prepayment'!$B$6)</f>
        <v>6.5</v>
      </c>
      <c r="AJ409">
        <f>IF(AH409&lt;=0,0,MIN(IF(AG409='Loan Prepayment'!$E$11,IF('Loan Prepayment'!$E$13="Keep tenure, recalculate EMI",-PMT(AI409/1200,MAX(1,'Loan Prepayment'!$B$7*12-AG409+1),AH409),IF(AND('Loan Prepayment'!$E$15="Reduce EMI",AM408&gt;0),-PMT(AI408/1200,MAX(1,'Loan Prepayment'!$B$7*12-AG409+1),AH409),AJ408)),IF(AND('Loan Prepayment'!$E$15="Reduce EMI",AM408&gt;0),-PMT(AI409/1200,MAX(1,'Loan Prepayment'!$B$7*12-AG409+1),AH409),AJ408)),AH409+AK409))</f>
        <v>0</v>
      </c>
      <c r="AK409">
        <f t="shared" si="144"/>
        <v>0</v>
      </c>
      <c r="AL409">
        <f t="shared" si="145"/>
        <v>0</v>
      </c>
      <c r="AM409">
        <f>IF(AH409&lt;=0,0,MIN(MAX(0,AH409-AL409),SUMIFS('Loan Prepayment'!$B$12:$B$31,'Loan Prepayment'!$A$12:$A$31,AG409)+IF(AND(AG409&gt;='Loan Prepayment'!$B$9,AG409&lt;='Loan Prepayment'!$E$16),'Loan Prepayment'!$B$8,0)))</f>
        <v>0</v>
      </c>
      <c r="AN409">
        <f t="shared" si="146"/>
        <v>0</v>
      </c>
    </row>
    <row r="410" spans="1:40" x14ac:dyDescent="0.35">
      <c r="A410">
        <f t="shared" si="147"/>
        <v>409</v>
      </c>
      <c r="B410">
        <f t="shared" si="126"/>
        <v>0</v>
      </c>
      <c r="C410">
        <f>'Loan Prepayment'!$B$6</f>
        <v>7.5</v>
      </c>
      <c r="D410">
        <f>IF(B410&lt;=0,0,MIN(-PMT('Loan Prepayment'!$B$6/1200,'Loan Prepayment'!$B$7*12,'Loan Prepayment'!$B$5),B410+E410))</f>
        <v>0</v>
      </c>
      <c r="E410">
        <f t="shared" si="127"/>
        <v>0</v>
      </c>
      <c r="F410">
        <f t="shared" si="128"/>
        <v>0</v>
      </c>
      <c r="G410">
        <v>0</v>
      </c>
      <c r="H410">
        <f t="shared" si="129"/>
        <v>0</v>
      </c>
      <c r="I410">
        <f t="shared" si="148"/>
        <v>409</v>
      </c>
      <c r="J410">
        <f t="shared" si="130"/>
        <v>0</v>
      </c>
      <c r="K410">
        <f>'Loan Prepayment'!$B$6</f>
        <v>7.5</v>
      </c>
      <c r="L410">
        <f>IF(J410&lt;=0,0,MIN(IF(AND('Loan Prepayment'!$E$15="Reduce EMI",O409&gt;0),-PMT(K410/1200,MAX(1,'Loan Prepayment'!$B$7*12-I410+1),J410),L409),J410+M410))</f>
        <v>0</v>
      </c>
      <c r="M410">
        <f t="shared" si="131"/>
        <v>0</v>
      </c>
      <c r="N410">
        <f t="shared" si="132"/>
        <v>0</v>
      </c>
      <c r="O410">
        <f>IF(J410&lt;=0,0,MIN(MAX(0,J410-N410),SUMIFS('Loan Prepayment'!$B$12:$B$31,'Loan Prepayment'!$A$12:$A$31,I410)+0))</f>
        <v>0</v>
      </c>
      <c r="P410">
        <f t="shared" si="133"/>
        <v>0</v>
      </c>
      <c r="Q410">
        <f t="shared" si="149"/>
        <v>409</v>
      </c>
      <c r="R410">
        <f t="shared" si="134"/>
        <v>0</v>
      </c>
      <c r="S410">
        <f>'Loan Prepayment'!$B$6</f>
        <v>7.5</v>
      </c>
      <c r="T410">
        <f>IF(R410&lt;=0,0,MIN(IF(AND('Loan Prepayment'!$E$15="Reduce EMI",W409&gt;0),-PMT(S410/1200,MAX(1,'Loan Prepayment'!$B$7*12-Q410+1),R410),T409),R410+U410))</f>
        <v>0</v>
      </c>
      <c r="U410">
        <f t="shared" si="135"/>
        <v>0</v>
      </c>
      <c r="V410">
        <f t="shared" si="136"/>
        <v>0</v>
      </c>
      <c r="W410">
        <f>IF(R410&lt;=0,0,MIN(MAX(0,R410-V410),0+IF(AND(Q410&gt;='Loan Prepayment'!$B$9,Q410&lt;='Loan Prepayment'!$E$16),'Loan Prepayment'!$B$8,0)))</f>
        <v>0</v>
      </c>
      <c r="X410">
        <f t="shared" si="137"/>
        <v>0</v>
      </c>
      <c r="Y410">
        <f t="shared" si="150"/>
        <v>409</v>
      </c>
      <c r="Z410">
        <f t="shared" si="138"/>
        <v>0</v>
      </c>
      <c r="AA410">
        <f>IF(Y410&gt;='Loan Prepayment'!$E$11,'Loan Prepayment'!$E$12,'Loan Prepayment'!$B$6)</f>
        <v>6.5</v>
      </c>
      <c r="AB410">
        <f>IF(Z410&lt;=0,0,MIN(IF(Y410='Loan Prepayment'!$E$11,IF('Loan Prepayment'!$E$13="Keep tenure, recalculate EMI",-PMT(AA410/1200,MAX(1,'Loan Prepayment'!$B$7*12-Y410+1),Z410),AB409),AB409),Z410+AC410))</f>
        <v>0</v>
      </c>
      <c r="AC410">
        <f t="shared" si="139"/>
        <v>0</v>
      </c>
      <c r="AD410">
        <f t="shared" si="140"/>
        <v>0</v>
      </c>
      <c r="AE410">
        <f t="shared" si="141"/>
        <v>0</v>
      </c>
      <c r="AF410">
        <f t="shared" si="142"/>
        <v>0</v>
      </c>
      <c r="AG410">
        <f t="shared" si="151"/>
        <v>409</v>
      </c>
      <c r="AH410">
        <f t="shared" si="143"/>
        <v>0</v>
      </c>
      <c r="AI410">
        <f>IF(AG410&gt;='Loan Prepayment'!$E$11,'Loan Prepayment'!$E$12,'Loan Prepayment'!$B$6)</f>
        <v>6.5</v>
      </c>
      <c r="AJ410">
        <f>IF(AH410&lt;=0,0,MIN(IF(AG410='Loan Prepayment'!$E$11,IF('Loan Prepayment'!$E$13="Keep tenure, recalculate EMI",-PMT(AI410/1200,MAX(1,'Loan Prepayment'!$B$7*12-AG410+1),AH410),IF(AND('Loan Prepayment'!$E$15="Reduce EMI",AM409&gt;0),-PMT(AI409/1200,MAX(1,'Loan Prepayment'!$B$7*12-AG410+1),AH410),AJ409)),IF(AND('Loan Prepayment'!$E$15="Reduce EMI",AM409&gt;0),-PMT(AI410/1200,MAX(1,'Loan Prepayment'!$B$7*12-AG410+1),AH410),AJ409)),AH410+AK410))</f>
        <v>0</v>
      </c>
      <c r="AK410">
        <f t="shared" si="144"/>
        <v>0</v>
      </c>
      <c r="AL410">
        <f t="shared" si="145"/>
        <v>0</v>
      </c>
      <c r="AM410">
        <f>IF(AH410&lt;=0,0,MIN(MAX(0,AH410-AL410),SUMIFS('Loan Prepayment'!$B$12:$B$31,'Loan Prepayment'!$A$12:$A$31,AG410)+IF(AND(AG410&gt;='Loan Prepayment'!$B$9,AG410&lt;='Loan Prepayment'!$E$16),'Loan Prepayment'!$B$8,0)))</f>
        <v>0</v>
      </c>
      <c r="AN410">
        <f t="shared" si="146"/>
        <v>0</v>
      </c>
    </row>
    <row r="411" spans="1:40" x14ac:dyDescent="0.35">
      <c r="A411">
        <f t="shared" si="147"/>
        <v>410</v>
      </c>
      <c r="B411">
        <f t="shared" si="126"/>
        <v>0</v>
      </c>
      <c r="C411">
        <f>'Loan Prepayment'!$B$6</f>
        <v>7.5</v>
      </c>
      <c r="D411">
        <f>IF(B411&lt;=0,0,MIN(-PMT('Loan Prepayment'!$B$6/1200,'Loan Prepayment'!$B$7*12,'Loan Prepayment'!$B$5),B411+E411))</f>
        <v>0</v>
      </c>
      <c r="E411">
        <f t="shared" si="127"/>
        <v>0</v>
      </c>
      <c r="F411">
        <f t="shared" si="128"/>
        <v>0</v>
      </c>
      <c r="G411">
        <v>0</v>
      </c>
      <c r="H411">
        <f t="shared" si="129"/>
        <v>0</v>
      </c>
      <c r="I411">
        <f t="shared" si="148"/>
        <v>410</v>
      </c>
      <c r="J411">
        <f t="shared" si="130"/>
        <v>0</v>
      </c>
      <c r="K411">
        <f>'Loan Prepayment'!$B$6</f>
        <v>7.5</v>
      </c>
      <c r="L411">
        <f>IF(J411&lt;=0,0,MIN(IF(AND('Loan Prepayment'!$E$15="Reduce EMI",O410&gt;0),-PMT(K411/1200,MAX(1,'Loan Prepayment'!$B$7*12-I411+1),J411),L410),J411+M411))</f>
        <v>0</v>
      </c>
      <c r="M411">
        <f t="shared" si="131"/>
        <v>0</v>
      </c>
      <c r="N411">
        <f t="shared" si="132"/>
        <v>0</v>
      </c>
      <c r="O411">
        <f>IF(J411&lt;=0,0,MIN(MAX(0,J411-N411),SUMIFS('Loan Prepayment'!$B$12:$B$31,'Loan Prepayment'!$A$12:$A$31,I411)+0))</f>
        <v>0</v>
      </c>
      <c r="P411">
        <f t="shared" si="133"/>
        <v>0</v>
      </c>
      <c r="Q411">
        <f t="shared" si="149"/>
        <v>410</v>
      </c>
      <c r="R411">
        <f t="shared" si="134"/>
        <v>0</v>
      </c>
      <c r="S411">
        <f>'Loan Prepayment'!$B$6</f>
        <v>7.5</v>
      </c>
      <c r="T411">
        <f>IF(R411&lt;=0,0,MIN(IF(AND('Loan Prepayment'!$E$15="Reduce EMI",W410&gt;0),-PMT(S411/1200,MAX(1,'Loan Prepayment'!$B$7*12-Q411+1),R411),T410),R411+U411))</f>
        <v>0</v>
      </c>
      <c r="U411">
        <f t="shared" si="135"/>
        <v>0</v>
      </c>
      <c r="V411">
        <f t="shared" si="136"/>
        <v>0</v>
      </c>
      <c r="W411">
        <f>IF(R411&lt;=0,0,MIN(MAX(0,R411-V411),0+IF(AND(Q411&gt;='Loan Prepayment'!$B$9,Q411&lt;='Loan Prepayment'!$E$16),'Loan Prepayment'!$B$8,0)))</f>
        <v>0</v>
      </c>
      <c r="X411">
        <f t="shared" si="137"/>
        <v>0</v>
      </c>
      <c r="Y411">
        <f t="shared" si="150"/>
        <v>410</v>
      </c>
      <c r="Z411">
        <f t="shared" si="138"/>
        <v>0</v>
      </c>
      <c r="AA411">
        <f>IF(Y411&gt;='Loan Prepayment'!$E$11,'Loan Prepayment'!$E$12,'Loan Prepayment'!$B$6)</f>
        <v>6.5</v>
      </c>
      <c r="AB411">
        <f>IF(Z411&lt;=0,0,MIN(IF(Y411='Loan Prepayment'!$E$11,IF('Loan Prepayment'!$E$13="Keep tenure, recalculate EMI",-PMT(AA411/1200,MAX(1,'Loan Prepayment'!$B$7*12-Y411+1),Z411),AB410),AB410),Z411+AC411))</f>
        <v>0</v>
      </c>
      <c r="AC411">
        <f t="shared" si="139"/>
        <v>0</v>
      </c>
      <c r="AD411">
        <f t="shared" si="140"/>
        <v>0</v>
      </c>
      <c r="AE411">
        <f t="shared" si="141"/>
        <v>0</v>
      </c>
      <c r="AF411">
        <f t="shared" si="142"/>
        <v>0</v>
      </c>
      <c r="AG411">
        <f t="shared" si="151"/>
        <v>410</v>
      </c>
      <c r="AH411">
        <f t="shared" si="143"/>
        <v>0</v>
      </c>
      <c r="AI411">
        <f>IF(AG411&gt;='Loan Prepayment'!$E$11,'Loan Prepayment'!$E$12,'Loan Prepayment'!$B$6)</f>
        <v>6.5</v>
      </c>
      <c r="AJ411">
        <f>IF(AH411&lt;=0,0,MIN(IF(AG411='Loan Prepayment'!$E$11,IF('Loan Prepayment'!$E$13="Keep tenure, recalculate EMI",-PMT(AI411/1200,MAX(1,'Loan Prepayment'!$B$7*12-AG411+1),AH411),IF(AND('Loan Prepayment'!$E$15="Reduce EMI",AM410&gt;0),-PMT(AI410/1200,MAX(1,'Loan Prepayment'!$B$7*12-AG411+1),AH411),AJ410)),IF(AND('Loan Prepayment'!$E$15="Reduce EMI",AM410&gt;0),-PMT(AI411/1200,MAX(1,'Loan Prepayment'!$B$7*12-AG411+1),AH411),AJ410)),AH411+AK411))</f>
        <v>0</v>
      </c>
      <c r="AK411">
        <f t="shared" si="144"/>
        <v>0</v>
      </c>
      <c r="AL411">
        <f t="shared" si="145"/>
        <v>0</v>
      </c>
      <c r="AM411">
        <f>IF(AH411&lt;=0,0,MIN(MAX(0,AH411-AL411),SUMIFS('Loan Prepayment'!$B$12:$B$31,'Loan Prepayment'!$A$12:$A$31,AG411)+IF(AND(AG411&gt;='Loan Prepayment'!$B$9,AG411&lt;='Loan Prepayment'!$E$16),'Loan Prepayment'!$B$8,0)))</f>
        <v>0</v>
      </c>
      <c r="AN411">
        <f t="shared" si="146"/>
        <v>0</v>
      </c>
    </row>
    <row r="412" spans="1:40" x14ac:dyDescent="0.35">
      <c r="A412">
        <f t="shared" si="147"/>
        <v>411</v>
      </c>
      <c r="B412">
        <f t="shared" si="126"/>
        <v>0</v>
      </c>
      <c r="C412">
        <f>'Loan Prepayment'!$B$6</f>
        <v>7.5</v>
      </c>
      <c r="D412">
        <f>IF(B412&lt;=0,0,MIN(-PMT('Loan Prepayment'!$B$6/1200,'Loan Prepayment'!$B$7*12,'Loan Prepayment'!$B$5),B412+E412))</f>
        <v>0</v>
      </c>
      <c r="E412">
        <f t="shared" si="127"/>
        <v>0</v>
      </c>
      <c r="F412">
        <f t="shared" si="128"/>
        <v>0</v>
      </c>
      <c r="G412">
        <v>0</v>
      </c>
      <c r="H412">
        <f t="shared" si="129"/>
        <v>0</v>
      </c>
      <c r="I412">
        <f t="shared" si="148"/>
        <v>411</v>
      </c>
      <c r="J412">
        <f t="shared" si="130"/>
        <v>0</v>
      </c>
      <c r="K412">
        <f>'Loan Prepayment'!$B$6</f>
        <v>7.5</v>
      </c>
      <c r="L412">
        <f>IF(J412&lt;=0,0,MIN(IF(AND('Loan Prepayment'!$E$15="Reduce EMI",O411&gt;0),-PMT(K412/1200,MAX(1,'Loan Prepayment'!$B$7*12-I412+1),J412),L411),J412+M412))</f>
        <v>0</v>
      </c>
      <c r="M412">
        <f t="shared" si="131"/>
        <v>0</v>
      </c>
      <c r="N412">
        <f t="shared" si="132"/>
        <v>0</v>
      </c>
      <c r="O412">
        <f>IF(J412&lt;=0,0,MIN(MAX(0,J412-N412),SUMIFS('Loan Prepayment'!$B$12:$B$31,'Loan Prepayment'!$A$12:$A$31,I412)+0))</f>
        <v>0</v>
      </c>
      <c r="P412">
        <f t="shared" si="133"/>
        <v>0</v>
      </c>
      <c r="Q412">
        <f t="shared" si="149"/>
        <v>411</v>
      </c>
      <c r="R412">
        <f t="shared" si="134"/>
        <v>0</v>
      </c>
      <c r="S412">
        <f>'Loan Prepayment'!$B$6</f>
        <v>7.5</v>
      </c>
      <c r="T412">
        <f>IF(R412&lt;=0,0,MIN(IF(AND('Loan Prepayment'!$E$15="Reduce EMI",W411&gt;0),-PMT(S412/1200,MAX(1,'Loan Prepayment'!$B$7*12-Q412+1),R412),T411),R412+U412))</f>
        <v>0</v>
      </c>
      <c r="U412">
        <f t="shared" si="135"/>
        <v>0</v>
      </c>
      <c r="V412">
        <f t="shared" si="136"/>
        <v>0</v>
      </c>
      <c r="W412">
        <f>IF(R412&lt;=0,0,MIN(MAX(0,R412-V412),0+IF(AND(Q412&gt;='Loan Prepayment'!$B$9,Q412&lt;='Loan Prepayment'!$E$16),'Loan Prepayment'!$B$8,0)))</f>
        <v>0</v>
      </c>
      <c r="X412">
        <f t="shared" si="137"/>
        <v>0</v>
      </c>
      <c r="Y412">
        <f t="shared" si="150"/>
        <v>411</v>
      </c>
      <c r="Z412">
        <f t="shared" si="138"/>
        <v>0</v>
      </c>
      <c r="AA412">
        <f>IF(Y412&gt;='Loan Prepayment'!$E$11,'Loan Prepayment'!$E$12,'Loan Prepayment'!$B$6)</f>
        <v>6.5</v>
      </c>
      <c r="AB412">
        <f>IF(Z412&lt;=0,0,MIN(IF(Y412='Loan Prepayment'!$E$11,IF('Loan Prepayment'!$E$13="Keep tenure, recalculate EMI",-PMT(AA412/1200,MAX(1,'Loan Prepayment'!$B$7*12-Y412+1),Z412),AB411),AB411),Z412+AC412))</f>
        <v>0</v>
      </c>
      <c r="AC412">
        <f t="shared" si="139"/>
        <v>0</v>
      </c>
      <c r="AD412">
        <f t="shared" si="140"/>
        <v>0</v>
      </c>
      <c r="AE412">
        <f t="shared" si="141"/>
        <v>0</v>
      </c>
      <c r="AF412">
        <f t="shared" si="142"/>
        <v>0</v>
      </c>
      <c r="AG412">
        <f t="shared" si="151"/>
        <v>411</v>
      </c>
      <c r="AH412">
        <f t="shared" si="143"/>
        <v>0</v>
      </c>
      <c r="AI412">
        <f>IF(AG412&gt;='Loan Prepayment'!$E$11,'Loan Prepayment'!$E$12,'Loan Prepayment'!$B$6)</f>
        <v>6.5</v>
      </c>
      <c r="AJ412">
        <f>IF(AH412&lt;=0,0,MIN(IF(AG412='Loan Prepayment'!$E$11,IF('Loan Prepayment'!$E$13="Keep tenure, recalculate EMI",-PMT(AI412/1200,MAX(1,'Loan Prepayment'!$B$7*12-AG412+1),AH412),IF(AND('Loan Prepayment'!$E$15="Reduce EMI",AM411&gt;0),-PMT(AI411/1200,MAX(1,'Loan Prepayment'!$B$7*12-AG412+1),AH412),AJ411)),IF(AND('Loan Prepayment'!$E$15="Reduce EMI",AM411&gt;0),-PMT(AI412/1200,MAX(1,'Loan Prepayment'!$B$7*12-AG412+1),AH412),AJ411)),AH412+AK412))</f>
        <v>0</v>
      </c>
      <c r="AK412">
        <f t="shared" si="144"/>
        <v>0</v>
      </c>
      <c r="AL412">
        <f t="shared" si="145"/>
        <v>0</v>
      </c>
      <c r="AM412">
        <f>IF(AH412&lt;=0,0,MIN(MAX(0,AH412-AL412),SUMIFS('Loan Prepayment'!$B$12:$B$31,'Loan Prepayment'!$A$12:$A$31,AG412)+IF(AND(AG412&gt;='Loan Prepayment'!$B$9,AG412&lt;='Loan Prepayment'!$E$16),'Loan Prepayment'!$B$8,0)))</f>
        <v>0</v>
      </c>
      <c r="AN412">
        <f t="shared" si="146"/>
        <v>0</v>
      </c>
    </row>
    <row r="413" spans="1:40" x14ac:dyDescent="0.35">
      <c r="A413">
        <f t="shared" si="147"/>
        <v>412</v>
      </c>
      <c r="B413">
        <f t="shared" si="126"/>
        <v>0</v>
      </c>
      <c r="C413">
        <f>'Loan Prepayment'!$B$6</f>
        <v>7.5</v>
      </c>
      <c r="D413">
        <f>IF(B413&lt;=0,0,MIN(-PMT('Loan Prepayment'!$B$6/1200,'Loan Prepayment'!$B$7*12,'Loan Prepayment'!$B$5),B413+E413))</f>
        <v>0</v>
      </c>
      <c r="E413">
        <f t="shared" si="127"/>
        <v>0</v>
      </c>
      <c r="F413">
        <f t="shared" si="128"/>
        <v>0</v>
      </c>
      <c r="G413">
        <v>0</v>
      </c>
      <c r="H413">
        <f t="shared" si="129"/>
        <v>0</v>
      </c>
      <c r="I413">
        <f t="shared" si="148"/>
        <v>412</v>
      </c>
      <c r="J413">
        <f t="shared" si="130"/>
        <v>0</v>
      </c>
      <c r="K413">
        <f>'Loan Prepayment'!$B$6</f>
        <v>7.5</v>
      </c>
      <c r="L413">
        <f>IF(J413&lt;=0,0,MIN(IF(AND('Loan Prepayment'!$E$15="Reduce EMI",O412&gt;0),-PMT(K413/1200,MAX(1,'Loan Prepayment'!$B$7*12-I413+1),J413),L412),J413+M413))</f>
        <v>0</v>
      </c>
      <c r="M413">
        <f t="shared" si="131"/>
        <v>0</v>
      </c>
      <c r="N413">
        <f t="shared" si="132"/>
        <v>0</v>
      </c>
      <c r="O413">
        <f>IF(J413&lt;=0,0,MIN(MAX(0,J413-N413),SUMIFS('Loan Prepayment'!$B$12:$B$31,'Loan Prepayment'!$A$12:$A$31,I413)+0))</f>
        <v>0</v>
      </c>
      <c r="P413">
        <f t="shared" si="133"/>
        <v>0</v>
      </c>
      <c r="Q413">
        <f t="shared" si="149"/>
        <v>412</v>
      </c>
      <c r="R413">
        <f t="shared" si="134"/>
        <v>0</v>
      </c>
      <c r="S413">
        <f>'Loan Prepayment'!$B$6</f>
        <v>7.5</v>
      </c>
      <c r="T413">
        <f>IF(R413&lt;=0,0,MIN(IF(AND('Loan Prepayment'!$E$15="Reduce EMI",W412&gt;0),-PMT(S413/1200,MAX(1,'Loan Prepayment'!$B$7*12-Q413+1),R413),T412),R413+U413))</f>
        <v>0</v>
      </c>
      <c r="U413">
        <f t="shared" si="135"/>
        <v>0</v>
      </c>
      <c r="V413">
        <f t="shared" si="136"/>
        <v>0</v>
      </c>
      <c r="W413">
        <f>IF(R413&lt;=0,0,MIN(MAX(0,R413-V413),0+IF(AND(Q413&gt;='Loan Prepayment'!$B$9,Q413&lt;='Loan Prepayment'!$E$16),'Loan Prepayment'!$B$8,0)))</f>
        <v>0</v>
      </c>
      <c r="X413">
        <f t="shared" si="137"/>
        <v>0</v>
      </c>
      <c r="Y413">
        <f t="shared" si="150"/>
        <v>412</v>
      </c>
      <c r="Z413">
        <f t="shared" si="138"/>
        <v>0</v>
      </c>
      <c r="AA413">
        <f>IF(Y413&gt;='Loan Prepayment'!$E$11,'Loan Prepayment'!$E$12,'Loan Prepayment'!$B$6)</f>
        <v>6.5</v>
      </c>
      <c r="AB413">
        <f>IF(Z413&lt;=0,0,MIN(IF(Y413='Loan Prepayment'!$E$11,IF('Loan Prepayment'!$E$13="Keep tenure, recalculate EMI",-PMT(AA413/1200,MAX(1,'Loan Prepayment'!$B$7*12-Y413+1),Z413),AB412),AB412),Z413+AC413))</f>
        <v>0</v>
      </c>
      <c r="AC413">
        <f t="shared" si="139"/>
        <v>0</v>
      </c>
      <c r="AD413">
        <f t="shared" si="140"/>
        <v>0</v>
      </c>
      <c r="AE413">
        <f t="shared" si="141"/>
        <v>0</v>
      </c>
      <c r="AF413">
        <f t="shared" si="142"/>
        <v>0</v>
      </c>
      <c r="AG413">
        <f t="shared" si="151"/>
        <v>412</v>
      </c>
      <c r="AH413">
        <f t="shared" si="143"/>
        <v>0</v>
      </c>
      <c r="AI413">
        <f>IF(AG413&gt;='Loan Prepayment'!$E$11,'Loan Prepayment'!$E$12,'Loan Prepayment'!$B$6)</f>
        <v>6.5</v>
      </c>
      <c r="AJ413">
        <f>IF(AH413&lt;=0,0,MIN(IF(AG413='Loan Prepayment'!$E$11,IF('Loan Prepayment'!$E$13="Keep tenure, recalculate EMI",-PMT(AI413/1200,MAX(1,'Loan Prepayment'!$B$7*12-AG413+1),AH413),IF(AND('Loan Prepayment'!$E$15="Reduce EMI",AM412&gt;0),-PMT(AI412/1200,MAX(1,'Loan Prepayment'!$B$7*12-AG413+1),AH413),AJ412)),IF(AND('Loan Prepayment'!$E$15="Reduce EMI",AM412&gt;0),-PMT(AI413/1200,MAX(1,'Loan Prepayment'!$B$7*12-AG413+1),AH413),AJ412)),AH413+AK413))</f>
        <v>0</v>
      </c>
      <c r="AK413">
        <f t="shared" si="144"/>
        <v>0</v>
      </c>
      <c r="AL413">
        <f t="shared" si="145"/>
        <v>0</v>
      </c>
      <c r="AM413">
        <f>IF(AH413&lt;=0,0,MIN(MAX(0,AH413-AL413),SUMIFS('Loan Prepayment'!$B$12:$B$31,'Loan Prepayment'!$A$12:$A$31,AG413)+IF(AND(AG413&gt;='Loan Prepayment'!$B$9,AG413&lt;='Loan Prepayment'!$E$16),'Loan Prepayment'!$B$8,0)))</f>
        <v>0</v>
      </c>
      <c r="AN413">
        <f t="shared" si="146"/>
        <v>0</v>
      </c>
    </row>
    <row r="414" spans="1:40" x14ac:dyDescent="0.35">
      <c r="A414">
        <f t="shared" si="147"/>
        <v>413</v>
      </c>
      <c r="B414">
        <f t="shared" si="126"/>
        <v>0</v>
      </c>
      <c r="C414">
        <f>'Loan Prepayment'!$B$6</f>
        <v>7.5</v>
      </c>
      <c r="D414">
        <f>IF(B414&lt;=0,0,MIN(-PMT('Loan Prepayment'!$B$6/1200,'Loan Prepayment'!$B$7*12,'Loan Prepayment'!$B$5),B414+E414))</f>
        <v>0</v>
      </c>
      <c r="E414">
        <f t="shared" si="127"/>
        <v>0</v>
      </c>
      <c r="F414">
        <f t="shared" si="128"/>
        <v>0</v>
      </c>
      <c r="G414">
        <v>0</v>
      </c>
      <c r="H414">
        <f t="shared" si="129"/>
        <v>0</v>
      </c>
      <c r="I414">
        <f t="shared" si="148"/>
        <v>413</v>
      </c>
      <c r="J414">
        <f t="shared" si="130"/>
        <v>0</v>
      </c>
      <c r="K414">
        <f>'Loan Prepayment'!$B$6</f>
        <v>7.5</v>
      </c>
      <c r="L414">
        <f>IF(J414&lt;=0,0,MIN(IF(AND('Loan Prepayment'!$E$15="Reduce EMI",O413&gt;0),-PMT(K414/1200,MAX(1,'Loan Prepayment'!$B$7*12-I414+1),J414),L413),J414+M414))</f>
        <v>0</v>
      </c>
      <c r="M414">
        <f t="shared" si="131"/>
        <v>0</v>
      </c>
      <c r="N414">
        <f t="shared" si="132"/>
        <v>0</v>
      </c>
      <c r="O414">
        <f>IF(J414&lt;=0,0,MIN(MAX(0,J414-N414),SUMIFS('Loan Prepayment'!$B$12:$B$31,'Loan Prepayment'!$A$12:$A$31,I414)+0))</f>
        <v>0</v>
      </c>
      <c r="P414">
        <f t="shared" si="133"/>
        <v>0</v>
      </c>
      <c r="Q414">
        <f t="shared" si="149"/>
        <v>413</v>
      </c>
      <c r="R414">
        <f t="shared" si="134"/>
        <v>0</v>
      </c>
      <c r="S414">
        <f>'Loan Prepayment'!$B$6</f>
        <v>7.5</v>
      </c>
      <c r="T414">
        <f>IF(R414&lt;=0,0,MIN(IF(AND('Loan Prepayment'!$E$15="Reduce EMI",W413&gt;0),-PMT(S414/1200,MAX(1,'Loan Prepayment'!$B$7*12-Q414+1),R414),T413),R414+U414))</f>
        <v>0</v>
      </c>
      <c r="U414">
        <f t="shared" si="135"/>
        <v>0</v>
      </c>
      <c r="V414">
        <f t="shared" si="136"/>
        <v>0</v>
      </c>
      <c r="W414">
        <f>IF(R414&lt;=0,0,MIN(MAX(0,R414-V414),0+IF(AND(Q414&gt;='Loan Prepayment'!$B$9,Q414&lt;='Loan Prepayment'!$E$16),'Loan Prepayment'!$B$8,0)))</f>
        <v>0</v>
      </c>
      <c r="X414">
        <f t="shared" si="137"/>
        <v>0</v>
      </c>
      <c r="Y414">
        <f t="shared" si="150"/>
        <v>413</v>
      </c>
      <c r="Z414">
        <f t="shared" si="138"/>
        <v>0</v>
      </c>
      <c r="AA414">
        <f>IF(Y414&gt;='Loan Prepayment'!$E$11,'Loan Prepayment'!$E$12,'Loan Prepayment'!$B$6)</f>
        <v>6.5</v>
      </c>
      <c r="AB414">
        <f>IF(Z414&lt;=0,0,MIN(IF(Y414='Loan Prepayment'!$E$11,IF('Loan Prepayment'!$E$13="Keep tenure, recalculate EMI",-PMT(AA414/1200,MAX(1,'Loan Prepayment'!$B$7*12-Y414+1),Z414),AB413),AB413),Z414+AC414))</f>
        <v>0</v>
      </c>
      <c r="AC414">
        <f t="shared" si="139"/>
        <v>0</v>
      </c>
      <c r="AD414">
        <f t="shared" si="140"/>
        <v>0</v>
      </c>
      <c r="AE414">
        <f t="shared" si="141"/>
        <v>0</v>
      </c>
      <c r="AF414">
        <f t="shared" si="142"/>
        <v>0</v>
      </c>
      <c r="AG414">
        <f t="shared" si="151"/>
        <v>413</v>
      </c>
      <c r="AH414">
        <f t="shared" si="143"/>
        <v>0</v>
      </c>
      <c r="AI414">
        <f>IF(AG414&gt;='Loan Prepayment'!$E$11,'Loan Prepayment'!$E$12,'Loan Prepayment'!$B$6)</f>
        <v>6.5</v>
      </c>
      <c r="AJ414">
        <f>IF(AH414&lt;=0,0,MIN(IF(AG414='Loan Prepayment'!$E$11,IF('Loan Prepayment'!$E$13="Keep tenure, recalculate EMI",-PMT(AI414/1200,MAX(1,'Loan Prepayment'!$B$7*12-AG414+1),AH414),IF(AND('Loan Prepayment'!$E$15="Reduce EMI",AM413&gt;0),-PMT(AI413/1200,MAX(1,'Loan Prepayment'!$B$7*12-AG414+1),AH414),AJ413)),IF(AND('Loan Prepayment'!$E$15="Reduce EMI",AM413&gt;0),-PMT(AI414/1200,MAX(1,'Loan Prepayment'!$B$7*12-AG414+1),AH414),AJ413)),AH414+AK414))</f>
        <v>0</v>
      </c>
      <c r="AK414">
        <f t="shared" si="144"/>
        <v>0</v>
      </c>
      <c r="AL414">
        <f t="shared" si="145"/>
        <v>0</v>
      </c>
      <c r="AM414">
        <f>IF(AH414&lt;=0,0,MIN(MAX(0,AH414-AL414),SUMIFS('Loan Prepayment'!$B$12:$B$31,'Loan Prepayment'!$A$12:$A$31,AG414)+IF(AND(AG414&gt;='Loan Prepayment'!$B$9,AG414&lt;='Loan Prepayment'!$E$16),'Loan Prepayment'!$B$8,0)))</f>
        <v>0</v>
      </c>
      <c r="AN414">
        <f t="shared" si="146"/>
        <v>0</v>
      </c>
    </row>
    <row r="415" spans="1:40" x14ac:dyDescent="0.35">
      <c r="A415">
        <f t="shared" si="147"/>
        <v>414</v>
      </c>
      <c r="B415">
        <f t="shared" si="126"/>
        <v>0</v>
      </c>
      <c r="C415">
        <f>'Loan Prepayment'!$B$6</f>
        <v>7.5</v>
      </c>
      <c r="D415">
        <f>IF(B415&lt;=0,0,MIN(-PMT('Loan Prepayment'!$B$6/1200,'Loan Prepayment'!$B$7*12,'Loan Prepayment'!$B$5),B415+E415))</f>
        <v>0</v>
      </c>
      <c r="E415">
        <f t="shared" si="127"/>
        <v>0</v>
      </c>
      <c r="F415">
        <f t="shared" si="128"/>
        <v>0</v>
      </c>
      <c r="G415">
        <v>0</v>
      </c>
      <c r="H415">
        <f t="shared" si="129"/>
        <v>0</v>
      </c>
      <c r="I415">
        <f t="shared" si="148"/>
        <v>414</v>
      </c>
      <c r="J415">
        <f t="shared" si="130"/>
        <v>0</v>
      </c>
      <c r="K415">
        <f>'Loan Prepayment'!$B$6</f>
        <v>7.5</v>
      </c>
      <c r="L415">
        <f>IF(J415&lt;=0,0,MIN(IF(AND('Loan Prepayment'!$E$15="Reduce EMI",O414&gt;0),-PMT(K415/1200,MAX(1,'Loan Prepayment'!$B$7*12-I415+1),J415),L414),J415+M415))</f>
        <v>0</v>
      </c>
      <c r="M415">
        <f t="shared" si="131"/>
        <v>0</v>
      </c>
      <c r="N415">
        <f t="shared" si="132"/>
        <v>0</v>
      </c>
      <c r="O415">
        <f>IF(J415&lt;=0,0,MIN(MAX(0,J415-N415),SUMIFS('Loan Prepayment'!$B$12:$B$31,'Loan Prepayment'!$A$12:$A$31,I415)+0))</f>
        <v>0</v>
      </c>
      <c r="P415">
        <f t="shared" si="133"/>
        <v>0</v>
      </c>
      <c r="Q415">
        <f t="shared" si="149"/>
        <v>414</v>
      </c>
      <c r="R415">
        <f t="shared" si="134"/>
        <v>0</v>
      </c>
      <c r="S415">
        <f>'Loan Prepayment'!$B$6</f>
        <v>7.5</v>
      </c>
      <c r="T415">
        <f>IF(R415&lt;=0,0,MIN(IF(AND('Loan Prepayment'!$E$15="Reduce EMI",W414&gt;0),-PMT(S415/1200,MAX(1,'Loan Prepayment'!$B$7*12-Q415+1),R415),T414),R415+U415))</f>
        <v>0</v>
      </c>
      <c r="U415">
        <f t="shared" si="135"/>
        <v>0</v>
      </c>
      <c r="V415">
        <f t="shared" si="136"/>
        <v>0</v>
      </c>
      <c r="W415">
        <f>IF(R415&lt;=0,0,MIN(MAX(0,R415-V415),0+IF(AND(Q415&gt;='Loan Prepayment'!$B$9,Q415&lt;='Loan Prepayment'!$E$16),'Loan Prepayment'!$B$8,0)))</f>
        <v>0</v>
      </c>
      <c r="X415">
        <f t="shared" si="137"/>
        <v>0</v>
      </c>
      <c r="Y415">
        <f t="shared" si="150"/>
        <v>414</v>
      </c>
      <c r="Z415">
        <f t="shared" si="138"/>
        <v>0</v>
      </c>
      <c r="AA415">
        <f>IF(Y415&gt;='Loan Prepayment'!$E$11,'Loan Prepayment'!$E$12,'Loan Prepayment'!$B$6)</f>
        <v>6.5</v>
      </c>
      <c r="AB415">
        <f>IF(Z415&lt;=0,0,MIN(IF(Y415='Loan Prepayment'!$E$11,IF('Loan Prepayment'!$E$13="Keep tenure, recalculate EMI",-PMT(AA415/1200,MAX(1,'Loan Prepayment'!$B$7*12-Y415+1),Z415),AB414),AB414),Z415+AC415))</f>
        <v>0</v>
      </c>
      <c r="AC415">
        <f t="shared" si="139"/>
        <v>0</v>
      </c>
      <c r="AD415">
        <f t="shared" si="140"/>
        <v>0</v>
      </c>
      <c r="AE415">
        <f t="shared" si="141"/>
        <v>0</v>
      </c>
      <c r="AF415">
        <f t="shared" si="142"/>
        <v>0</v>
      </c>
      <c r="AG415">
        <f t="shared" si="151"/>
        <v>414</v>
      </c>
      <c r="AH415">
        <f t="shared" si="143"/>
        <v>0</v>
      </c>
      <c r="AI415">
        <f>IF(AG415&gt;='Loan Prepayment'!$E$11,'Loan Prepayment'!$E$12,'Loan Prepayment'!$B$6)</f>
        <v>6.5</v>
      </c>
      <c r="AJ415">
        <f>IF(AH415&lt;=0,0,MIN(IF(AG415='Loan Prepayment'!$E$11,IF('Loan Prepayment'!$E$13="Keep tenure, recalculate EMI",-PMT(AI415/1200,MAX(1,'Loan Prepayment'!$B$7*12-AG415+1),AH415),IF(AND('Loan Prepayment'!$E$15="Reduce EMI",AM414&gt;0),-PMT(AI414/1200,MAX(1,'Loan Prepayment'!$B$7*12-AG415+1),AH415),AJ414)),IF(AND('Loan Prepayment'!$E$15="Reduce EMI",AM414&gt;0),-PMT(AI415/1200,MAX(1,'Loan Prepayment'!$B$7*12-AG415+1),AH415),AJ414)),AH415+AK415))</f>
        <v>0</v>
      </c>
      <c r="AK415">
        <f t="shared" si="144"/>
        <v>0</v>
      </c>
      <c r="AL415">
        <f t="shared" si="145"/>
        <v>0</v>
      </c>
      <c r="AM415">
        <f>IF(AH415&lt;=0,0,MIN(MAX(0,AH415-AL415),SUMIFS('Loan Prepayment'!$B$12:$B$31,'Loan Prepayment'!$A$12:$A$31,AG415)+IF(AND(AG415&gt;='Loan Prepayment'!$B$9,AG415&lt;='Loan Prepayment'!$E$16),'Loan Prepayment'!$B$8,0)))</f>
        <v>0</v>
      </c>
      <c r="AN415">
        <f t="shared" si="146"/>
        <v>0</v>
      </c>
    </row>
    <row r="416" spans="1:40" x14ac:dyDescent="0.35">
      <c r="A416">
        <f t="shared" si="147"/>
        <v>415</v>
      </c>
      <c r="B416">
        <f t="shared" si="126"/>
        <v>0</v>
      </c>
      <c r="C416">
        <f>'Loan Prepayment'!$B$6</f>
        <v>7.5</v>
      </c>
      <c r="D416">
        <f>IF(B416&lt;=0,0,MIN(-PMT('Loan Prepayment'!$B$6/1200,'Loan Prepayment'!$B$7*12,'Loan Prepayment'!$B$5),B416+E416))</f>
        <v>0</v>
      </c>
      <c r="E416">
        <f t="shared" si="127"/>
        <v>0</v>
      </c>
      <c r="F416">
        <f t="shared" si="128"/>
        <v>0</v>
      </c>
      <c r="G416">
        <v>0</v>
      </c>
      <c r="H416">
        <f t="shared" si="129"/>
        <v>0</v>
      </c>
      <c r="I416">
        <f t="shared" si="148"/>
        <v>415</v>
      </c>
      <c r="J416">
        <f t="shared" si="130"/>
        <v>0</v>
      </c>
      <c r="K416">
        <f>'Loan Prepayment'!$B$6</f>
        <v>7.5</v>
      </c>
      <c r="L416">
        <f>IF(J416&lt;=0,0,MIN(IF(AND('Loan Prepayment'!$E$15="Reduce EMI",O415&gt;0),-PMT(K416/1200,MAX(1,'Loan Prepayment'!$B$7*12-I416+1),J416),L415),J416+M416))</f>
        <v>0</v>
      </c>
      <c r="M416">
        <f t="shared" si="131"/>
        <v>0</v>
      </c>
      <c r="N416">
        <f t="shared" si="132"/>
        <v>0</v>
      </c>
      <c r="O416">
        <f>IF(J416&lt;=0,0,MIN(MAX(0,J416-N416),SUMIFS('Loan Prepayment'!$B$12:$B$31,'Loan Prepayment'!$A$12:$A$31,I416)+0))</f>
        <v>0</v>
      </c>
      <c r="P416">
        <f t="shared" si="133"/>
        <v>0</v>
      </c>
      <c r="Q416">
        <f t="shared" si="149"/>
        <v>415</v>
      </c>
      <c r="R416">
        <f t="shared" si="134"/>
        <v>0</v>
      </c>
      <c r="S416">
        <f>'Loan Prepayment'!$B$6</f>
        <v>7.5</v>
      </c>
      <c r="T416">
        <f>IF(R416&lt;=0,0,MIN(IF(AND('Loan Prepayment'!$E$15="Reduce EMI",W415&gt;0),-PMT(S416/1200,MAX(1,'Loan Prepayment'!$B$7*12-Q416+1),R416),T415),R416+U416))</f>
        <v>0</v>
      </c>
      <c r="U416">
        <f t="shared" si="135"/>
        <v>0</v>
      </c>
      <c r="V416">
        <f t="shared" si="136"/>
        <v>0</v>
      </c>
      <c r="W416">
        <f>IF(R416&lt;=0,0,MIN(MAX(0,R416-V416),0+IF(AND(Q416&gt;='Loan Prepayment'!$B$9,Q416&lt;='Loan Prepayment'!$E$16),'Loan Prepayment'!$B$8,0)))</f>
        <v>0</v>
      </c>
      <c r="X416">
        <f t="shared" si="137"/>
        <v>0</v>
      </c>
      <c r="Y416">
        <f t="shared" si="150"/>
        <v>415</v>
      </c>
      <c r="Z416">
        <f t="shared" si="138"/>
        <v>0</v>
      </c>
      <c r="AA416">
        <f>IF(Y416&gt;='Loan Prepayment'!$E$11,'Loan Prepayment'!$E$12,'Loan Prepayment'!$B$6)</f>
        <v>6.5</v>
      </c>
      <c r="AB416">
        <f>IF(Z416&lt;=0,0,MIN(IF(Y416='Loan Prepayment'!$E$11,IF('Loan Prepayment'!$E$13="Keep tenure, recalculate EMI",-PMT(AA416/1200,MAX(1,'Loan Prepayment'!$B$7*12-Y416+1),Z416),AB415),AB415),Z416+AC416))</f>
        <v>0</v>
      </c>
      <c r="AC416">
        <f t="shared" si="139"/>
        <v>0</v>
      </c>
      <c r="AD416">
        <f t="shared" si="140"/>
        <v>0</v>
      </c>
      <c r="AE416">
        <f t="shared" si="141"/>
        <v>0</v>
      </c>
      <c r="AF416">
        <f t="shared" si="142"/>
        <v>0</v>
      </c>
      <c r="AG416">
        <f t="shared" si="151"/>
        <v>415</v>
      </c>
      <c r="AH416">
        <f t="shared" si="143"/>
        <v>0</v>
      </c>
      <c r="AI416">
        <f>IF(AG416&gt;='Loan Prepayment'!$E$11,'Loan Prepayment'!$E$12,'Loan Prepayment'!$B$6)</f>
        <v>6.5</v>
      </c>
      <c r="AJ416">
        <f>IF(AH416&lt;=0,0,MIN(IF(AG416='Loan Prepayment'!$E$11,IF('Loan Prepayment'!$E$13="Keep tenure, recalculate EMI",-PMT(AI416/1200,MAX(1,'Loan Prepayment'!$B$7*12-AG416+1),AH416),IF(AND('Loan Prepayment'!$E$15="Reduce EMI",AM415&gt;0),-PMT(AI415/1200,MAX(1,'Loan Prepayment'!$B$7*12-AG416+1),AH416),AJ415)),IF(AND('Loan Prepayment'!$E$15="Reduce EMI",AM415&gt;0),-PMT(AI416/1200,MAX(1,'Loan Prepayment'!$B$7*12-AG416+1),AH416),AJ415)),AH416+AK416))</f>
        <v>0</v>
      </c>
      <c r="AK416">
        <f t="shared" si="144"/>
        <v>0</v>
      </c>
      <c r="AL416">
        <f t="shared" si="145"/>
        <v>0</v>
      </c>
      <c r="AM416">
        <f>IF(AH416&lt;=0,0,MIN(MAX(0,AH416-AL416),SUMIFS('Loan Prepayment'!$B$12:$B$31,'Loan Prepayment'!$A$12:$A$31,AG416)+IF(AND(AG416&gt;='Loan Prepayment'!$B$9,AG416&lt;='Loan Prepayment'!$E$16),'Loan Prepayment'!$B$8,0)))</f>
        <v>0</v>
      </c>
      <c r="AN416">
        <f t="shared" si="146"/>
        <v>0</v>
      </c>
    </row>
    <row r="417" spans="1:40" x14ac:dyDescent="0.35">
      <c r="A417">
        <f t="shared" si="147"/>
        <v>416</v>
      </c>
      <c r="B417">
        <f t="shared" si="126"/>
        <v>0</v>
      </c>
      <c r="C417">
        <f>'Loan Prepayment'!$B$6</f>
        <v>7.5</v>
      </c>
      <c r="D417">
        <f>IF(B417&lt;=0,0,MIN(-PMT('Loan Prepayment'!$B$6/1200,'Loan Prepayment'!$B$7*12,'Loan Prepayment'!$B$5),B417+E417))</f>
        <v>0</v>
      </c>
      <c r="E417">
        <f t="shared" si="127"/>
        <v>0</v>
      </c>
      <c r="F417">
        <f t="shared" si="128"/>
        <v>0</v>
      </c>
      <c r="G417">
        <v>0</v>
      </c>
      <c r="H417">
        <f t="shared" si="129"/>
        <v>0</v>
      </c>
      <c r="I417">
        <f t="shared" si="148"/>
        <v>416</v>
      </c>
      <c r="J417">
        <f t="shared" si="130"/>
        <v>0</v>
      </c>
      <c r="K417">
        <f>'Loan Prepayment'!$B$6</f>
        <v>7.5</v>
      </c>
      <c r="L417">
        <f>IF(J417&lt;=0,0,MIN(IF(AND('Loan Prepayment'!$E$15="Reduce EMI",O416&gt;0),-PMT(K417/1200,MAX(1,'Loan Prepayment'!$B$7*12-I417+1),J417),L416),J417+M417))</f>
        <v>0</v>
      </c>
      <c r="M417">
        <f t="shared" si="131"/>
        <v>0</v>
      </c>
      <c r="N417">
        <f t="shared" si="132"/>
        <v>0</v>
      </c>
      <c r="O417">
        <f>IF(J417&lt;=0,0,MIN(MAX(0,J417-N417),SUMIFS('Loan Prepayment'!$B$12:$B$31,'Loan Prepayment'!$A$12:$A$31,I417)+0))</f>
        <v>0</v>
      </c>
      <c r="P417">
        <f t="shared" si="133"/>
        <v>0</v>
      </c>
      <c r="Q417">
        <f t="shared" si="149"/>
        <v>416</v>
      </c>
      <c r="R417">
        <f t="shared" si="134"/>
        <v>0</v>
      </c>
      <c r="S417">
        <f>'Loan Prepayment'!$B$6</f>
        <v>7.5</v>
      </c>
      <c r="T417">
        <f>IF(R417&lt;=0,0,MIN(IF(AND('Loan Prepayment'!$E$15="Reduce EMI",W416&gt;0),-PMT(S417/1200,MAX(1,'Loan Prepayment'!$B$7*12-Q417+1),R417),T416),R417+U417))</f>
        <v>0</v>
      </c>
      <c r="U417">
        <f t="shared" si="135"/>
        <v>0</v>
      </c>
      <c r="V417">
        <f t="shared" si="136"/>
        <v>0</v>
      </c>
      <c r="W417">
        <f>IF(R417&lt;=0,0,MIN(MAX(0,R417-V417),0+IF(AND(Q417&gt;='Loan Prepayment'!$B$9,Q417&lt;='Loan Prepayment'!$E$16),'Loan Prepayment'!$B$8,0)))</f>
        <v>0</v>
      </c>
      <c r="X417">
        <f t="shared" si="137"/>
        <v>0</v>
      </c>
      <c r="Y417">
        <f t="shared" si="150"/>
        <v>416</v>
      </c>
      <c r="Z417">
        <f t="shared" si="138"/>
        <v>0</v>
      </c>
      <c r="AA417">
        <f>IF(Y417&gt;='Loan Prepayment'!$E$11,'Loan Prepayment'!$E$12,'Loan Prepayment'!$B$6)</f>
        <v>6.5</v>
      </c>
      <c r="AB417">
        <f>IF(Z417&lt;=0,0,MIN(IF(Y417='Loan Prepayment'!$E$11,IF('Loan Prepayment'!$E$13="Keep tenure, recalculate EMI",-PMT(AA417/1200,MAX(1,'Loan Prepayment'!$B$7*12-Y417+1),Z417),AB416),AB416),Z417+AC417))</f>
        <v>0</v>
      </c>
      <c r="AC417">
        <f t="shared" si="139"/>
        <v>0</v>
      </c>
      <c r="AD417">
        <f t="shared" si="140"/>
        <v>0</v>
      </c>
      <c r="AE417">
        <f t="shared" si="141"/>
        <v>0</v>
      </c>
      <c r="AF417">
        <f t="shared" si="142"/>
        <v>0</v>
      </c>
      <c r="AG417">
        <f t="shared" si="151"/>
        <v>416</v>
      </c>
      <c r="AH417">
        <f t="shared" si="143"/>
        <v>0</v>
      </c>
      <c r="AI417">
        <f>IF(AG417&gt;='Loan Prepayment'!$E$11,'Loan Prepayment'!$E$12,'Loan Prepayment'!$B$6)</f>
        <v>6.5</v>
      </c>
      <c r="AJ417">
        <f>IF(AH417&lt;=0,0,MIN(IF(AG417='Loan Prepayment'!$E$11,IF('Loan Prepayment'!$E$13="Keep tenure, recalculate EMI",-PMT(AI417/1200,MAX(1,'Loan Prepayment'!$B$7*12-AG417+1),AH417),IF(AND('Loan Prepayment'!$E$15="Reduce EMI",AM416&gt;0),-PMT(AI416/1200,MAX(1,'Loan Prepayment'!$B$7*12-AG417+1),AH417),AJ416)),IF(AND('Loan Prepayment'!$E$15="Reduce EMI",AM416&gt;0),-PMT(AI417/1200,MAX(1,'Loan Prepayment'!$B$7*12-AG417+1),AH417),AJ416)),AH417+AK417))</f>
        <v>0</v>
      </c>
      <c r="AK417">
        <f t="shared" si="144"/>
        <v>0</v>
      </c>
      <c r="AL417">
        <f t="shared" si="145"/>
        <v>0</v>
      </c>
      <c r="AM417">
        <f>IF(AH417&lt;=0,0,MIN(MAX(0,AH417-AL417),SUMIFS('Loan Prepayment'!$B$12:$B$31,'Loan Prepayment'!$A$12:$A$31,AG417)+IF(AND(AG417&gt;='Loan Prepayment'!$B$9,AG417&lt;='Loan Prepayment'!$E$16),'Loan Prepayment'!$B$8,0)))</f>
        <v>0</v>
      </c>
      <c r="AN417">
        <f t="shared" si="146"/>
        <v>0</v>
      </c>
    </row>
    <row r="418" spans="1:40" x14ac:dyDescent="0.35">
      <c r="A418">
        <f t="shared" si="147"/>
        <v>417</v>
      </c>
      <c r="B418">
        <f t="shared" si="126"/>
        <v>0</v>
      </c>
      <c r="C418">
        <f>'Loan Prepayment'!$B$6</f>
        <v>7.5</v>
      </c>
      <c r="D418">
        <f>IF(B418&lt;=0,0,MIN(-PMT('Loan Prepayment'!$B$6/1200,'Loan Prepayment'!$B$7*12,'Loan Prepayment'!$B$5),B418+E418))</f>
        <v>0</v>
      </c>
      <c r="E418">
        <f t="shared" si="127"/>
        <v>0</v>
      </c>
      <c r="F418">
        <f t="shared" si="128"/>
        <v>0</v>
      </c>
      <c r="G418">
        <v>0</v>
      </c>
      <c r="H418">
        <f t="shared" si="129"/>
        <v>0</v>
      </c>
      <c r="I418">
        <f t="shared" si="148"/>
        <v>417</v>
      </c>
      <c r="J418">
        <f t="shared" si="130"/>
        <v>0</v>
      </c>
      <c r="K418">
        <f>'Loan Prepayment'!$B$6</f>
        <v>7.5</v>
      </c>
      <c r="L418">
        <f>IF(J418&lt;=0,0,MIN(IF(AND('Loan Prepayment'!$E$15="Reduce EMI",O417&gt;0),-PMT(K418/1200,MAX(1,'Loan Prepayment'!$B$7*12-I418+1),J418),L417),J418+M418))</f>
        <v>0</v>
      </c>
      <c r="M418">
        <f t="shared" si="131"/>
        <v>0</v>
      </c>
      <c r="N418">
        <f t="shared" si="132"/>
        <v>0</v>
      </c>
      <c r="O418">
        <f>IF(J418&lt;=0,0,MIN(MAX(0,J418-N418),SUMIFS('Loan Prepayment'!$B$12:$B$31,'Loan Prepayment'!$A$12:$A$31,I418)+0))</f>
        <v>0</v>
      </c>
      <c r="P418">
        <f t="shared" si="133"/>
        <v>0</v>
      </c>
      <c r="Q418">
        <f t="shared" si="149"/>
        <v>417</v>
      </c>
      <c r="R418">
        <f t="shared" si="134"/>
        <v>0</v>
      </c>
      <c r="S418">
        <f>'Loan Prepayment'!$B$6</f>
        <v>7.5</v>
      </c>
      <c r="T418">
        <f>IF(R418&lt;=0,0,MIN(IF(AND('Loan Prepayment'!$E$15="Reduce EMI",W417&gt;0),-PMT(S418/1200,MAX(1,'Loan Prepayment'!$B$7*12-Q418+1),R418),T417),R418+U418))</f>
        <v>0</v>
      </c>
      <c r="U418">
        <f t="shared" si="135"/>
        <v>0</v>
      </c>
      <c r="V418">
        <f t="shared" si="136"/>
        <v>0</v>
      </c>
      <c r="W418">
        <f>IF(R418&lt;=0,0,MIN(MAX(0,R418-V418),0+IF(AND(Q418&gt;='Loan Prepayment'!$B$9,Q418&lt;='Loan Prepayment'!$E$16),'Loan Prepayment'!$B$8,0)))</f>
        <v>0</v>
      </c>
      <c r="X418">
        <f t="shared" si="137"/>
        <v>0</v>
      </c>
      <c r="Y418">
        <f t="shared" si="150"/>
        <v>417</v>
      </c>
      <c r="Z418">
        <f t="shared" si="138"/>
        <v>0</v>
      </c>
      <c r="AA418">
        <f>IF(Y418&gt;='Loan Prepayment'!$E$11,'Loan Prepayment'!$E$12,'Loan Prepayment'!$B$6)</f>
        <v>6.5</v>
      </c>
      <c r="AB418">
        <f>IF(Z418&lt;=0,0,MIN(IF(Y418='Loan Prepayment'!$E$11,IF('Loan Prepayment'!$E$13="Keep tenure, recalculate EMI",-PMT(AA418/1200,MAX(1,'Loan Prepayment'!$B$7*12-Y418+1),Z418),AB417),AB417),Z418+AC418))</f>
        <v>0</v>
      </c>
      <c r="AC418">
        <f t="shared" si="139"/>
        <v>0</v>
      </c>
      <c r="AD418">
        <f t="shared" si="140"/>
        <v>0</v>
      </c>
      <c r="AE418">
        <f t="shared" si="141"/>
        <v>0</v>
      </c>
      <c r="AF418">
        <f t="shared" si="142"/>
        <v>0</v>
      </c>
      <c r="AG418">
        <f t="shared" si="151"/>
        <v>417</v>
      </c>
      <c r="AH418">
        <f t="shared" si="143"/>
        <v>0</v>
      </c>
      <c r="AI418">
        <f>IF(AG418&gt;='Loan Prepayment'!$E$11,'Loan Prepayment'!$E$12,'Loan Prepayment'!$B$6)</f>
        <v>6.5</v>
      </c>
      <c r="AJ418">
        <f>IF(AH418&lt;=0,0,MIN(IF(AG418='Loan Prepayment'!$E$11,IF('Loan Prepayment'!$E$13="Keep tenure, recalculate EMI",-PMT(AI418/1200,MAX(1,'Loan Prepayment'!$B$7*12-AG418+1),AH418),IF(AND('Loan Prepayment'!$E$15="Reduce EMI",AM417&gt;0),-PMT(AI417/1200,MAX(1,'Loan Prepayment'!$B$7*12-AG418+1),AH418),AJ417)),IF(AND('Loan Prepayment'!$E$15="Reduce EMI",AM417&gt;0),-PMT(AI418/1200,MAX(1,'Loan Prepayment'!$B$7*12-AG418+1),AH418),AJ417)),AH418+AK418))</f>
        <v>0</v>
      </c>
      <c r="AK418">
        <f t="shared" si="144"/>
        <v>0</v>
      </c>
      <c r="AL418">
        <f t="shared" si="145"/>
        <v>0</v>
      </c>
      <c r="AM418">
        <f>IF(AH418&lt;=0,0,MIN(MAX(0,AH418-AL418),SUMIFS('Loan Prepayment'!$B$12:$B$31,'Loan Prepayment'!$A$12:$A$31,AG418)+IF(AND(AG418&gt;='Loan Prepayment'!$B$9,AG418&lt;='Loan Prepayment'!$E$16),'Loan Prepayment'!$B$8,0)))</f>
        <v>0</v>
      </c>
      <c r="AN418">
        <f t="shared" si="146"/>
        <v>0</v>
      </c>
    </row>
    <row r="419" spans="1:40" x14ac:dyDescent="0.35">
      <c r="A419">
        <f t="shared" si="147"/>
        <v>418</v>
      </c>
      <c r="B419">
        <f t="shared" si="126"/>
        <v>0</v>
      </c>
      <c r="C419">
        <f>'Loan Prepayment'!$B$6</f>
        <v>7.5</v>
      </c>
      <c r="D419">
        <f>IF(B419&lt;=0,0,MIN(-PMT('Loan Prepayment'!$B$6/1200,'Loan Prepayment'!$B$7*12,'Loan Prepayment'!$B$5),B419+E419))</f>
        <v>0</v>
      </c>
      <c r="E419">
        <f t="shared" si="127"/>
        <v>0</v>
      </c>
      <c r="F419">
        <f t="shared" si="128"/>
        <v>0</v>
      </c>
      <c r="G419">
        <v>0</v>
      </c>
      <c r="H419">
        <f t="shared" si="129"/>
        <v>0</v>
      </c>
      <c r="I419">
        <f t="shared" si="148"/>
        <v>418</v>
      </c>
      <c r="J419">
        <f t="shared" si="130"/>
        <v>0</v>
      </c>
      <c r="K419">
        <f>'Loan Prepayment'!$B$6</f>
        <v>7.5</v>
      </c>
      <c r="L419">
        <f>IF(J419&lt;=0,0,MIN(IF(AND('Loan Prepayment'!$E$15="Reduce EMI",O418&gt;0),-PMT(K419/1200,MAX(1,'Loan Prepayment'!$B$7*12-I419+1),J419),L418),J419+M419))</f>
        <v>0</v>
      </c>
      <c r="M419">
        <f t="shared" si="131"/>
        <v>0</v>
      </c>
      <c r="N419">
        <f t="shared" si="132"/>
        <v>0</v>
      </c>
      <c r="O419">
        <f>IF(J419&lt;=0,0,MIN(MAX(0,J419-N419),SUMIFS('Loan Prepayment'!$B$12:$B$31,'Loan Prepayment'!$A$12:$A$31,I419)+0))</f>
        <v>0</v>
      </c>
      <c r="P419">
        <f t="shared" si="133"/>
        <v>0</v>
      </c>
      <c r="Q419">
        <f t="shared" si="149"/>
        <v>418</v>
      </c>
      <c r="R419">
        <f t="shared" si="134"/>
        <v>0</v>
      </c>
      <c r="S419">
        <f>'Loan Prepayment'!$B$6</f>
        <v>7.5</v>
      </c>
      <c r="T419">
        <f>IF(R419&lt;=0,0,MIN(IF(AND('Loan Prepayment'!$E$15="Reduce EMI",W418&gt;0),-PMT(S419/1200,MAX(1,'Loan Prepayment'!$B$7*12-Q419+1),R419),T418),R419+U419))</f>
        <v>0</v>
      </c>
      <c r="U419">
        <f t="shared" si="135"/>
        <v>0</v>
      </c>
      <c r="V419">
        <f t="shared" si="136"/>
        <v>0</v>
      </c>
      <c r="W419">
        <f>IF(R419&lt;=0,0,MIN(MAX(0,R419-V419),0+IF(AND(Q419&gt;='Loan Prepayment'!$B$9,Q419&lt;='Loan Prepayment'!$E$16),'Loan Prepayment'!$B$8,0)))</f>
        <v>0</v>
      </c>
      <c r="X419">
        <f t="shared" si="137"/>
        <v>0</v>
      </c>
      <c r="Y419">
        <f t="shared" si="150"/>
        <v>418</v>
      </c>
      <c r="Z419">
        <f t="shared" si="138"/>
        <v>0</v>
      </c>
      <c r="AA419">
        <f>IF(Y419&gt;='Loan Prepayment'!$E$11,'Loan Prepayment'!$E$12,'Loan Prepayment'!$B$6)</f>
        <v>6.5</v>
      </c>
      <c r="AB419">
        <f>IF(Z419&lt;=0,0,MIN(IF(Y419='Loan Prepayment'!$E$11,IF('Loan Prepayment'!$E$13="Keep tenure, recalculate EMI",-PMT(AA419/1200,MAX(1,'Loan Prepayment'!$B$7*12-Y419+1),Z419),AB418),AB418),Z419+AC419))</f>
        <v>0</v>
      </c>
      <c r="AC419">
        <f t="shared" si="139"/>
        <v>0</v>
      </c>
      <c r="AD419">
        <f t="shared" si="140"/>
        <v>0</v>
      </c>
      <c r="AE419">
        <f t="shared" si="141"/>
        <v>0</v>
      </c>
      <c r="AF419">
        <f t="shared" si="142"/>
        <v>0</v>
      </c>
      <c r="AG419">
        <f t="shared" si="151"/>
        <v>418</v>
      </c>
      <c r="AH419">
        <f t="shared" si="143"/>
        <v>0</v>
      </c>
      <c r="AI419">
        <f>IF(AG419&gt;='Loan Prepayment'!$E$11,'Loan Prepayment'!$E$12,'Loan Prepayment'!$B$6)</f>
        <v>6.5</v>
      </c>
      <c r="AJ419">
        <f>IF(AH419&lt;=0,0,MIN(IF(AG419='Loan Prepayment'!$E$11,IF('Loan Prepayment'!$E$13="Keep tenure, recalculate EMI",-PMT(AI419/1200,MAX(1,'Loan Prepayment'!$B$7*12-AG419+1),AH419),IF(AND('Loan Prepayment'!$E$15="Reduce EMI",AM418&gt;0),-PMT(AI418/1200,MAX(1,'Loan Prepayment'!$B$7*12-AG419+1),AH419),AJ418)),IF(AND('Loan Prepayment'!$E$15="Reduce EMI",AM418&gt;0),-PMT(AI419/1200,MAX(1,'Loan Prepayment'!$B$7*12-AG419+1),AH419),AJ418)),AH419+AK419))</f>
        <v>0</v>
      </c>
      <c r="AK419">
        <f t="shared" si="144"/>
        <v>0</v>
      </c>
      <c r="AL419">
        <f t="shared" si="145"/>
        <v>0</v>
      </c>
      <c r="AM419">
        <f>IF(AH419&lt;=0,0,MIN(MAX(0,AH419-AL419),SUMIFS('Loan Prepayment'!$B$12:$B$31,'Loan Prepayment'!$A$12:$A$31,AG419)+IF(AND(AG419&gt;='Loan Prepayment'!$B$9,AG419&lt;='Loan Prepayment'!$E$16),'Loan Prepayment'!$B$8,0)))</f>
        <v>0</v>
      </c>
      <c r="AN419">
        <f t="shared" si="146"/>
        <v>0</v>
      </c>
    </row>
    <row r="420" spans="1:40" x14ac:dyDescent="0.35">
      <c r="A420">
        <f t="shared" si="147"/>
        <v>419</v>
      </c>
      <c r="B420">
        <f t="shared" si="126"/>
        <v>0</v>
      </c>
      <c r="C420">
        <f>'Loan Prepayment'!$B$6</f>
        <v>7.5</v>
      </c>
      <c r="D420">
        <f>IF(B420&lt;=0,0,MIN(-PMT('Loan Prepayment'!$B$6/1200,'Loan Prepayment'!$B$7*12,'Loan Prepayment'!$B$5),B420+E420))</f>
        <v>0</v>
      </c>
      <c r="E420">
        <f t="shared" si="127"/>
        <v>0</v>
      </c>
      <c r="F420">
        <f t="shared" si="128"/>
        <v>0</v>
      </c>
      <c r="G420">
        <v>0</v>
      </c>
      <c r="H420">
        <f t="shared" si="129"/>
        <v>0</v>
      </c>
      <c r="I420">
        <f t="shared" si="148"/>
        <v>419</v>
      </c>
      <c r="J420">
        <f t="shared" si="130"/>
        <v>0</v>
      </c>
      <c r="K420">
        <f>'Loan Prepayment'!$B$6</f>
        <v>7.5</v>
      </c>
      <c r="L420">
        <f>IF(J420&lt;=0,0,MIN(IF(AND('Loan Prepayment'!$E$15="Reduce EMI",O419&gt;0),-PMT(K420/1200,MAX(1,'Loan Prepayment'!$B$7*12-I420+1),J420),L419),J420+M420))</f>
        <v>0</v>
      </c>
      <c r="M420">
        <f t="shared" si="131"/>
        <v>0</v>
      </c>
      <c r="N420">
        <f t="shared" si="132"/>
        <v>0</v>
      </c>
      <c r="O420">
        <f>IF(J420&lt;=0,0,MIN(MAX(0,J420-N420),SUMIFS('Loan Prepayment'!$B$12:$B$31,'Loan Prepayment'!$A$12:$A$31,I420)+0))</f>
        <v>0</v>
      </c>
      <c r="P420">
        <f t="shared" si="133"/>
        <v>0</v>
      </c>
      <c r="Q420">
        <f t="shared" si="149"/>
        <v>419</v>
      </c>
      <c r="R420">
        <f t="shared" si="134"/>
        <v>0</v>
      </c>
      <c r="S420">
        <f>'Loan Prepayment'!$B$6</f>
        <v>7.5</v>
      </c>
      <c r="T420">
        <f>IF(R420&lt;=0,0,MIN(IF(AND('Loan Prepayment'!$E$15="Reduce EMI",W419&gt;0),-PMT(S420/1200,MAX(1,'Loan Prepayment'!$B$7*12-Q420+1),R420),T419),R420+U420))</f>
        <v>0</v>
      </c>
      <c r="U420">
        <f t="shared" si="135"/>
        <v>0</v>
      </c>
      <c r="V420">
        <f t="shared" si="136"/>
        <v>0</v>
      </c>
      <c r="W420">
        <f>IF(R420&lt;=0,0,MIN(MAX(0,R420-V420),0+IF(AND(Q420&gt;='Loan Prepayment'!$B$9,Q420&lt;='Loan Prepayment'!$E$16),'Loan Prepayment'!$B$8,0)))</f>
        <v>0</v>
      </c>
      <c r="X420">
        <f t="shared" si="137"/>
        <v>0</v>
      </c>
      <c r="Y420">
        <f t="shared" si="150"/>
        <v>419</v>
      </c>
      <c r="Z420">
        <f t="shared" si="138"/>
        <v>0</v>
      </c>
      <c r="AA420">
        <f>IF(Y420&gt;='Loan Prepayment'!$E$11,'Loan Prepayment'!$E$12,'Loan Prepayment'!$B$6)</f>
        <v>6.5</v>
      </c>
      <c r="AB420">
        <f>IF(Z420&lt;=0,0,MIN(IF(Y420='Loan Prepayment'!$E$11,IF('Loan Prepayment'!$E$13="Keep tenure, recalculate EMI",-PMT(AA420/1200,MAX(1,'Loan Prepayment'!$B$7*12-Y420+1),Z420),AB419),AB419),Z420+AC420))</f>
        <v>0</v>
      </c>
      <c r="AC420">
        <f t="shared" si="139"/>
        <v>0</v>
      </c>
      <c r="AD420">
        <f t="shared" si="140"/>
        <v>0</v>
      </c>
      <c r="AE420">
        <f t="shared" si="141"/>
        <v>0</v>
      </c>
      <c r="AF420">
        <f t="shared" si="142"/>
        <v>0</v>
      </c>
      <c r="AG420">
        <f t="shared" si="151"/>
        <v>419</v>
      </c>
      <c r="AH420">
        <f t="shared" si="143"/>
        <v>0</v>
      </c>
      <c r="AI420">
        <f>IF(AG420&gt;='Loan Prepayment'!$E$11,'Loan Prepayment'!$E$12,'Loan Prepayment'!$B$6)</f>
        <v>6.5</v>
      </c>
      <c r="AJ420">
        <f>IF(AH420&lt;=0,0,MIN(IF(AG420='Loan Prepayment'!$E$11,IF('Loan Prepayment'!$E$13="Keep tenure, recalculate EMI",-PMT(AI420/1200,MAX(1,'Loan Prepayment'!$B$7*12-AG420+1),AH420),IF(AND('Loan Prepayment'!$E$15="Reduce EMI",AM419&gt;0),-PMT(AI419/1200,MAX(1,'Loan Prepayment'!$B$7*12-AG420+1),AH420),AJ419)),IF(AND('Loan Prepayment'!$E$15="Reduce EMI",AM419&gt;0),-PMT(AI420/1200,MAX(1,'Loan Prepayment'!$B$7*12-AG420+1),AH420),AJ419)),AH420+AK420))</f>
        <v>0</v>
      </c>
      <c r="AK420">
        <f t="shared" si="144"/>
        <v>0</v>
      </c>
      <c r="AL420">
        <f t="shared" si="145"/>
        <v>0</v>
      </c>
      <c r="AM420">
        <f>IF(AH420&lt;=0,0,MIN(MAX(0,AH420-AL420),SUMIFS('Loan Prepayment'!$B$12:$B$31,'Loan Prepayment'!$A$12:$A$31,AG420)+IF(AND(AG420&gt;='Loan Prepayment'!$B$9,AG420&lt;='Loan Prepayment'!$E$16),'Loan Prepayment'!$B$8,0)))</f>
        <v>0</v>
      </c>
      <c r="AN420">
        <f t="shared" si="146"/>
        <v>0</v>
      </c>
    </row>
    <row r="421" spans="1:40" x14ac:dyDescent="0.35">
      <c r="A421">
        <f t="shared" si="147"/>
        <v>420</v>
      </c>
      <c r="B421">
        <f t="shared" si="126"/>
        <v>0</v>
      </c>
      <c r="C421">
        <f>'Loan Prepayment'!$B$6</f>
        <v>7.5</v>
      </c>
      <c r="D421">
        <f>IF(B421&lt;=0,0,MIN(-PMT('Loan Prepayment'!$B$6/1200,'Loan Prepayment'!$B$7*12,'Loan Prepayment'!$B$5),B421+E421))</f>
        <v>0</v>
      </c>
      <c r="E421">
        <f t="shared" si="127"/>
        <v>0</v>
      </c>
      <c r="F421">
        <f t="shared" si="128"/>
        <v>0</v>
      </c>
      <c r="G421">
        <v>0</v>
      </c>
      <c r="H421">
        <f t="shared" si="129"/>
        <v>0</v>
      </c>
      <c r="I421">
        <f t="shared" si="148"/>
        <v>420</v>
      </c>
      <c r="J421">
        <f t="shared" si="130"/>
        <v>0</v>
      </c>
      <c r="K421">
        <f>'Loan Prepayment'!$B$6</f>
        <v>7.5</v>
      </c>
      <c r="L421">
        <f>IF(J421&lt;=0,0,MIN(IF(AND('Loan Prepayment'!$E$15="Reduce EMI",O420&gt;0),-PMT(K421/1200,MAX(1,'Loan Prepayment'!$B$7*12-I421+1),J421),L420),J421+M421))</f>
        <v>0</v>
      </c>
      <c r="M421">
        <f t="shared" si="131"/>
        <v>0</v>
      </c>
      <c r="N421">
        <f t="shared" si="132"/>
        <v>0</v>
      </c>
      <c r="O421">
        <f>IF(J421&lt;=0,0,MIN(MAX(0,J421-N421),SUMIFS('Loan Prepayment'!$B$12:$B$31,'Loan Prepayment'!$A$12:$A$31,I421)+0))</f>
        <v>0</v>
      </c>
      <c r="P421">
        <f t="shared" si="133"/>
        <v>0</v>
      </c>
      <c r="Q421">
        <f t="shared" si="149"/>
        <v>420</v>
      </c>
      <c r="R421">
        <f t="shared" si="134"/>
        <v>0</v>
      </c>
      <c r="S421">
        <f>'Loan Prepayment'!$B$6</f>
        <v>7.5</v>
      </c>
      <c r="T421">
        <f>IF(R421&lt;=0,0,MIN(IF(AND('Loan Prepayment'!$E$15="Reduce EMI",W420&gt;0),-PMT(S421/1200,MAX(1,'Loan Prepayment'!$B$7*12-Q421+1),R421),T420),R421+U421))</f>
        <v>0</v>
      </c>
      <c r="U421">
        <f t="shared" si="135"/>
        <v>0</v>
      </c>
      <c r="V421">
        <f t="shared" si="136"/>
        <v>0</v>
      </c>
      <c r="W421">
        <f>IF(R421&lt;=0,0,MIN(MAX(0,R421-V421),0+IF(AND(Q421&gt;='Loan Prepayment'!$B$9,Q421&lt;='Loan Prepayment'!$E$16),'Loan Prepayment'!$B$8,0)))</f>
        <v>0</v>
      </c>
      <c r="X421">
        <f t="shared" si="137"/>
        <v>0</v>
      </c>
      <c r="Y421">
        <f t="shared" si="150"/>
        <v>420</v>
      </c>
      <c r="Z421">
        <f t="shared" si="138"/>
        <v>0</v>
      </c>
      <c r="AA421">
        <f>IF(Y421&gt;='Loan Prepayment'!$E$11,'Loan Prepayment'!$E$12,'Loan Prepayment'!$B$6)</f>
        <v>6.5</v>
      </c>
      <c r="AB421">
        <f>IF(Z421&lt;=0,0,MIN(IF(Y421='Loan Prepayment'!$E$11,IF('Loan Prepayment'!$E$13="Keep tenure, recalculate EMI",-PMT(AA421/1200,MAX(1,'Loan Prepayment'!$B$7*12-Y421+1),Z421),AB420),AB420),Z421+AC421))</f>
        <v>0</v>
      </c>
      <c r="AC421">
        <f t="shared" si="139"/>
        <v>0</v>
      </c>
      <c r="AD421">
        <f t="shared" si="140"/>
        <v>0</v>
      </c>
      <c r="AE421">
        <f t="shared" si="141"/>
        <v>0</v>
      </c>
      <c r="AF421">
        <f t="shared" si="142"/>
        <v>0</v>
      </c>
      <c r="AG421">
        <f t="shared" si="151"/>
        <v>420</v>
      </c>
      <c r="AH421">
        <f t="shared" si="143"/>
        <v>0</v>
      </c>
      <c r="AI421">
        <f>IF(AG421&gt;='Loan Prepayment'!$E$11,'Loan Prepayment'!$E$12,'Loan Prepayment'!$B$6)</f>
        <v>6.5</v>
      </c>
      <c r="AJ421">
        <f>IF(AH421&lt;=0,0,MIN(IF(AG421='Loan Prepayment'!$E$11,IF('Loan Prepayment'!$E$13="Keep tenure, recalculate EMI",-PMT(AI421/1200,MAX(1,'Loan Prepayment'!$B$7*12-AG421+1),AH421),IF(AND('Loan Prepayment'!$E$15="Reduce EMI",AM420&gt;0),-PMT(AI420/1200,MAX(1,'Loan Prepayment'!$B$7*12-AG421+1),AH421),AJ420)),IF(AND('Loan Prepayment'!$E$15="Reduce EMI",AM420&gt;0),-PMT(AI421/1200,MAX(1,'Loan Prepayment'!$B$7*12-AG421+1),AH421),AJ420)),AH421+AK421))</f>
        <v>0</v>
      </c>
      <c r="AK421">
        <f t="shared" si="144"/>
        <v>0</v>
      </c>
      <c r="AL421">
        <f t="shared" si="145"/>
        <v>0</v>
      </c>
      <c r="AM421">
        <f>IF(AH421&lt;=0,0,MIN(MAX(0,AH421-AL421),SUMIFS('Loan Prepayment'!$B$12:$B$31,'Loan Prepayment'!$A$12:$A$31,AG421)+IF(AND(AG421&gt;='Loan Prepayment'!$B$9,AG421&lt;='Loan Prepayment'!$E$16),'Loan Prepayment'!$B$8,0)))</f>
        <v>0</v>
      </c>
      <c r="AN421">
        <f t="shared" si="146"/>
        <v>0</v>
      </c>
    </row>
    <row r="422" spans="1:40" x14ac:dyDescent="0.35">
      <c r="A422">
        <f t="shared" si="147"/>
        <v>421</v>
      </c>
      <c r="B422">
        <f t="shared" si="126"/>
        <v>0</v>
      </c>
      <c r="C422">
        <f>'Loan Prepayment'!$B$6</f>
        <v>7.5</v>
      </c>
      <c r="D422">
        <f>IF(B422&lt;=0,0,MIN(-PMT('Loan Prepayment'!$B$6/1200,'Loan Prepayment'!$B$7*12,'Loan Prepayment'!$B$5),B422+E422))</f>
        <v>0</v>
      </c>
      <c r="E422">
        <f t="shared" si="127"/>
        <v>0</v>
      </c>
      <c r="F422">
        <f t="shared" si="128"/>
        <v>0</v>
      </c>
      <c r="G422">
        <v>0</v>
      </c>
      <c r="H422">
        <f t="shared" si="129"/>
        <v>0</v>
      </c>
      <c r="I422">
        <f t="shared" si="148"/>
        <v>421</v>
      </c>
      <c r="J422">
        <f t="shared" si="130"/>
        <v>0</v>
      </c>
      <c r="K422">
        <f>'Loan Prepayment'!$B$6</f>
        <v>7.5</v>
      </c>
      <c r="L422">
        <f>IF(J422&lt;=0,0,MIN(IF(AND('Loan Prepayment'!$E$15="Reduce EMI",O421&gt;0),-PMT(K422/1200,MAX(1,'Loan Prepayment'!$B$7*12-I422+1),J422),L421),J422+M422))</f>
        <v>0</v>
      </c>
      <c r="M422">
        <f t="shared" si="131"/>
        <v>0</v>
      </c>
      <c r="N422">
        <f t="shared" si="132"/>
        <v>0</v>
      </c>
      <c r="O422">
        <f>IF(J422&lt;=0,0,MIN(MAX(0,J422-N422),SUMIFS('Loan Prepayment'!$B$12:$B$31,'Loan Prepayment'!$A$12:$A$31,I422)+0))</f>
        <v>0</v>
      </c>
      <c r="P422">
        <f t="shared" si="133"/>
        <v>0</v>
      </c>
      <c r="Q422">
        <f t="shared" si="149"/>
        <v>421</v>
      </c>
      <c r="R422">
        <f t="shared" si="134"/>
        <v>0</v>
      </c>
      <c r="S422">
        <f>'Loan Prepayment'!$B$6</f>
        <v>7.5</v>
      </c>
      <c r="T422">
        <f>IF(R422&lt;=0,0,MIN(IF(AND('Loan Prepayment'!$E$15="Reduce EMI",W421&gt;0),-PMT(S422/1200,MAX(1,'Loan Prepayment'!$B$7*12-Q422+1),R422),T421),R422+U422))</f>
        <v>0</v>
      </c>
      <c r="U422">
        <f t="shared" si="135"/>
        <v>0</v>
      </c>
      <c r="V422">
        <f t="shared" si="136"/>
        <v>0</v>
      </c>
      <c r="W422">
        <f>IF(R422&lt;=0,0,MIN(MAX(0,R422-V422),0+IF(AND(Q422&gt;='Loan Prepayment'!$B$9,Q422&lt;='Loan Prepayment'!$E$16),'Loan Prepayment'!$B$8,0)))</f>
        <v>0</v>
      </c>
      <c r="X422">
        <f t="shared" si="137"/>
        <v>0</v>
      </c>
      <c r="Y422">
        <f t="shared" si="150"/>
        <v>421</v>
      </c>
      <c r="Z422">
        <f t="shared" si="138"/>
        <v>0</v>
      </c>
      <c r="AA422">
        <f>IF(Y422&gt;='Loan Prepayment'!$E$11,'Loan Prepayment'!$E$12,'Loan Prepayment'!$B$6)</f>
        <v>6.5</v>
      </c>
      <c r="AB422">
        <f>IF(Z422&lt;=0,0,MIN(IF(Y422='Loan Prepayment'!$E$11,IF('Loan Prepayment'!$E$13="Keep tenure, recalculate EMI",-PMT(AA422/1200,MAX(1,'Loan Prepayment'!$B$7*12-Y422+1),Z422),AB421),AB421),Z422+AC422))</f>
        <v>0</v>
      </c>
      <c r="AC422">
        <f t="shared" si="139"/>
        <v>0</v>
      </c>
      <c r="AD422">
        <f t="shared" si="140"/>
        <v>0</v>
      </c>
      <c r="AE422">
        <f t="shared" si="141"/>
        <v>0</v>
      </c>
      <c r="AF422">
        <f t="shared" si="142"/>
        <v>0</v>
      </c>
      <c r="AG422">
        <f t="shared" si="151"/>
        <v>421</v>
      </c>
      <c r="AH422">
        <f t="shared" si="143"/>
        <v>0</v>
      </c>
      <c r="AI422">
        <f>IF(AG422&gt;='Loan Prepayment'!$E$11,'Loan Prepayment'!$E$12,'Loan Prepayment'!$B$6)</f>
        <v>6.5</v>
      </c>
      <c r="AJ422">
        <f>IF(AH422&lt;=0,0,MIN(IF(AG422='Loan Prepayment'!$E$11,IF('Loan Prepayment'!$E$13="Keep tenure, recalculate EMI",-PMT(AI422/1200,MAX(1,'Loan Prepayment'!$B$7*12-AG422+1),AH422),IF(AND('Loan Prepayment'!$E$15="Reduce EMI",AM421&gt;0),-PMT(AI421/1200,MAX(1,'Loan Prepayment'!$B$7*12-AG422+1),AH422),AJ421)),IF(AND('Loan Prepayment'!$E$15="Reduce EMI",AM421&gt;0),-PMT(AI422/1200,MAX(1,'Loan Prepayment'!$B$7*12-AG422+1),AH422),AJ421)),AH422+AK422))</f>
        <v>0</v>
      </c>
      <c r="AK422">
        <f t="shared" si="144"/>
        <v>0</v>
      </c>
      <c r="AL422">
        <f t="shared" si="145"/>
        <v>0</v>
      </c>
      <c r="AM422">
        <f>IF(AH422&lt;=0,0,MIN(MAX(0,AH422-AL422),SUMIFS('Loan Prepayment'!$B$12:$B$31,'Loan Prepayment'!$A$12:$A$31,AG422)+IF(AND(AG422&gt;='Loan Prepayment'!$B$9,AG422&lt;='Loan Prepayment'!$E$16),'Loan Prepayment'!$B$8,0)))</f>
        <v>0</v>
      </c>
      <c r="AN422">
        <f t="shared" si="146"/>
        <v>0</v>
      </c>
    </row>
    <row r="423" spans="1:40" x14ac:dyDescent="0.35">
      <c r="A423">
        <f t="shared" si="147"/>
        <v>422</v>
      </c>
      <c r="B423">
        <f t="shared" si="126"/>
        <v>0</v>
      </c>
      <c r="C423">
        <f>'Loan Prepayment'!$B$6</f>
        <v>7.5</v>
      </c>
      <c r="D423">
        <f>IF(B423&lt;=0,0,MIN(-PMT('Loan Prepayment'!$B$6/1200,'Loan Prepayment'!$B$7*12,'Loan Prepayment'!$B$5),B423+E423))</f>
        <v>0</v>
      </c>
      <c r="E423">
        <f t="shared" si="127"/>
        <v>0</v>
      </c>
      <c r="F423">
        <f t="shared" si="128"/>
        <v>0</v>
      </c>
      <c r="G423">
        <v>0</v>
      </c>
      <c r="H423">
        <f t="shared" si="129"/>
        <v>0</v>
      </c>
      <c r="I423">
        <f t="shared" si="148"/>
        <v>422</v>
      </c>
      <c r="J423">
        <f t="shared" si="130"/>
        <v>0</v>
      </c>
      <c r="K423">
        <f>'Loan Prepayment'!$B$6</f>
        <v>7.5</v>
      </c>
      <c r="L423">
        <f>IF(J423&lt;=0,0,MIN(IF(AND('Loan Prepayment'!$E$15="Reduce EMI",O422&gt;0),-PMT(K423/1200,MAX(1,'Loan Prepayment'!$B$7*12-I423+1),J423),L422),J423+M423))</f>
        <v>0</v>
      </c>
      <c r="M423">
        <f t="shared" si="131"/>
        <v>0</v>
      </c>
      <c r="N423">
        <f t="shared" si="132"/>
        <v>0</v>
      </c>
      <c r="O423">
        <f>IF(J423&lt;=0,0,MIN(MAX(0,J423-N423),SUMIFS('Loan Prepayment'!$B$12:$B$31,'Loan Prepayment'!$A$12:$A$31,I423)+0))</f>
        <v>0</v>
      </c>
      <c r="P423">
        <f t="shared" si="133"/>
        <v>0</v>
      </c>
      <c r="Q423">
        <f t="shared" si="149"/>
        <v>422</v>
      </c>
      <c r="R423">
        <f t="shared" si="134"/>
        <v>0</v>
      </c>
      <c r="S423">
        <f>'Loan Prepayment'!$B$6</f>
        <v>7.5</v>
      </c>
      <c r="T423">
        <f>IF(R423&lt;=0,0,MIN(IF(AND('Loan Prepayment'!$E$15="Reduce EMI",W422&gt;0),-PMT(S423/1200,MAX(1,'Loan Prepayment'!$B$7*12-Q423+1),R423),T422),R423+U423))</f>
        <v>0</v>
      </c>
      <c r="U423">
        <f t="shared" si="135"/>
        <v>0</v>
      </c>
      <c r="V423">
        <f t="shared" si="136"/>
        <v>0</v>
      </c>
      <c r="W423">
        <f>IF(R423&lt;=0,0,MIN(MAX(0,R423-V423),0+IF(AND(Q423&gt;='Loan Prepayment'!$B$9,Q423&lt;='Loan Prepayment'!$E$16),'Loan Prepayment'!$B$8,0)))</f>
        <v>0</v>
      </c>
      <c r="X423">
        <f t="shared" si="137"/>
        <v>0</v>
      </c>
      <c r="Y423">
        <f t="shared" si="150"/>
        <v>422</v>
      </c>
      <c r="Z423">
        <f t="shared" si="138"/>
        <v>0</v>
      </c>
      <c r="AA423">
        <f>IF(Y423&gt;='Loan Prepayment'!$E$11,'Loan Prepayment'!$E$12,'Loan Prepayment'!$B$6)</f>
        <v>6.5</v>
      </c>
      <c r="AB423">
        <f>IF(Z423&lt;=0,0,MIN(IF(Y423='Loan Prepayment'!$E$11,IF('Loan Prepayment'!$E$13="Keep tenure, recalculate EMI",-PMT(AA423/1200,MAX(1,'Loan Prepayment'!$B$7*12-Y423+1),Z423),AB422),AB422),Z423+AC423))</f>
        <v>0</v>
      </c>
      <c r="AC423">
        <f t="shared" si="139"/>
        <v>0</v>
      </c>
      <c r="AD423">
        <f t="shared" si="140"/>
        <v>0</v>
      </c>
      <c r="AE423">
        <f t="shared" si="141"/>
        <v>0</v>
      </c>
      <c r="AF423">
        <f t="shared" si="142"/>
        <v>0</v>
      </c>
      <c r="AG423">
        <f t="shared" si="151"/>
        <v>422</v>
      </c>
      <c r="AH423">
        <f t="shared" si="143"/>
        <v>0</v>
      </c>
      <c r="AI423">
        <f>IF(AG423&gt;='Loan Prepayment'!$E$11,'Loan Prepayment'!$E$12,'Loan Prepayment'!$B$6)</f>
        <v>6.5</v>
      </c>
      <c r="AJ423">
        <f>IF(AH423&lt;=0,0,MIN(IF(AG423='Loan Prepayment'!$E$11,IF('Loan Prepayment'!$E$13="Keep tenure, recalculate EMI",-PMT(AI423/1200,MAX(1,'Loan Prepayment'!$B$7*12-AG423+1),AH423),IF(AND('Loan Prepayment'!$E$15="Reduce EMI",AM422&gt;0),-PMT(AI422/1200,MAX(1,'Loan Prepayment'!$B$7*12-AG423+1),AH423),AJ422)),IF(AND('Loan Prepayment'!$E$15="Reduce EMI",AM422&gt;0),-PMT(AI423/1200,MAX(1,'Loan Prepayment'!$B$7*12-AG423+1),AH423),AJ422)),AH423+AK423))</f>
        <v>0</v>
      </c>
      <c r="AK423">
        <f t="shared" si="144"/>
        <v>0</v>
      </c>
      <c r="AL423">
        <f t="shared" si="145"/>
        <v>0</v>
      </c>
      <c r="AM423">
        <f>IF(AH423&lt;=0,0,MIN(MAX(0,AH423-AL423),SUMIFS('Loan Prepayment'!$B$12:$B$31,'Loan Prepayment'!$A$12:$A$31,AG423)+IF(AND(AG423&gt;='Loan Prepayment'!$B$9,AG423&lt;='Loan Prepayment'!$E$16),'Loan Prepayment'!$B$8,0)))</f>
        <v>0</v>
      </c>
      <c r="AN423">
        <f t="shared" si="146"/>
        <v>0</v>
      </c>
    </row>
    <row r="424" spans="1:40" x14ac:dyDescent="0.35">
      <c r="A424">
        <f t="shared" si="147"/>
        <v>423</v>
      </c>
      <c r="B424">
        <f t="shared" si="126"/>
        <v>0</v>
      </c>
      <c r="C424">
        <f>'Loan Prepayment'!$B$6</f>
        <v>7.5</v>
      </c>
      <c r="D424">
        <f>IF(B424&lt;=0,0,MIN(-PMT('Loan Prepayment'!$B$6/1200,'Loan Prepayment'!$B$7*12,'Loan Prepayment'!$B$5),B424+E424))</f>
        <v>0</v>
      </c>
      <c r="E424">
        <f t="shared" si="127"/>
        <v>0</v>
      </c>
      <c r="F424">
        <f t="shared" si="128"/>
        <v>0</v>
      </c>
      <c r="G424">
        <v>0</v>
      </c>
      <c r="H424">
        <f t="shared" si="129"/>
        <v>0</v>
      </c>
      <c r="I424">
        <f t="shared" si="148"/>
        <v>423</v>
      </c>
      <c r="J424">
        <f t="shared" si="130"/>
        <v>0</v>
      </c>
      <c r="K424">
        <f>'Loan Prepayment'!$B$6</f>
        <v>7.5</v>
      </c>
      <c r="L424">
        <f>IF(J424&lt;=0,0,MIN(IF(AND('Loan Prepayment'!$E$15="Reduce EMI",O423&gt;0),-PMT(K424/1200,MAX(1,'Loan Prepayment'!$B$7*12-I424+1),J424),L423),J424+M424))</f>
        <v>0</v>
      </c>
      <c r="M424">
        <f t="shared" si="131"/>
        <v>0</v>
      </c>
      <c r="N424">
        <f t="shared" si="132"/>
        <v>0</v>
      </c>
      <c r="O424">
        <f>IF(J424&lt;=0,0,MIN(MAX(0,J424-N424),SUMIFS('Loan Prepayment'!$B$12:$B$31,'Loan Prepayment'!$A$12:$A$31,I424)+0))</f>
        <v>0</v>
      </c>
      <c r="P424">
        <f t="shared" si="133"/>
        <v>0</v>
      </c>
      <c r="Q424">
        <f t="shared" si="149"/>
        <v>423</v>
      </c>
      <c r="R424">
        <f t="shared" si="134"/>
        <v>0</v>
      </c>
      <c r="S424">
        <f>'Loan Prepayment'!$B$6</f>
        <v>7.5</v>
      </c>
      <c r="T424">
        <f>IF(R424&lt;=0,0,MIN(IF(AND('Loan Prepayment'!$E$15="Reduce EMI",W423&gt;0),-PMT(S424/1200,MAX(1,'Loan Prepayment'!$B$7*12-Q424+1),R424),T423),R424+U424))</f>
        <v>0</v>
      </c>
      <c r="U424">
        <f t="shared" si="135"/>
        <v>0</v>
      </c>
      <c r="V424">
        <f t="shared" si="136"/>
        <v>0</v>
      </c>
      <c r="W424">
        <f>IF(R424&lt;=0,0,MIN(MAX(0,R424-V424),0+IF(AND(Q424&gt;='Loan Prepayment'!$B$9,Q424&lt;='Loan Prepayment'!$E$16),'Loan Prepayment'!$B$8,0)))</f>
        <v>0</v>
      </c>
      <c r="X424">
        <f t="shared" si="137"/>
        <v>0</v>
      </c>
      <c r="Y424">
        <f t="shared" si="150"/>
        <v>423</v>
      </c>
      <c r="Z424">
        <f t="shared" si="138"/>
        <v>0</v>
      </c>
      <c r="AA424">
        <f>IF(Y424&gt;='Loan Prepayment'!$E$11,'Loan Prepayment'!$E$12,'Loan Prepayment'!$B$6)</f>
        <v>6.5</v>
      </c>
      <c r="AB424">
        <f>IF(Z424&lt;=0,0,MIN(IF(Y424='Loan Prepayment'!$E$11,IF('Loan Prepayment'!$E$13="Keep tenure, recalculate EMI",-PMT(AA424/1200,MAX(1,'Loan Prepayment'!$B$7*12-Y424+1),Z424),AB423),AB423),Z424+AC424))</f>
        <v>0</v>
      </c>
      <c r="AC424">
        <f t="shared" si="139"/>
        <v>0</v>
      </c>
      <c r="AD424">
        <f t="shared" si="140"/>
        <v>0</v>
      </c>
      <c r="AE424">
        <f t="shared" si="141"/>
        <v>0</v>
      </c>
      <c r="AF424">
        <f t="shared" si="142"/>
        <v>0</v>
      </c>
      <c r="AG424">
        <f t="shared" si="151"/>
        <v>423</v>
      </c>
      <c r="AH424">
        <f t="shared" si="143"/>
        <v>0</v>
      </c>
      <c r="AI424">
        <f>IF(AG424&gt;='Loan Prepayment'!$E$11,'Loan Prepayment'!$E$12,'Loan Prepayment'!$B$6)</f>
        <v>6.5</v>
      </c>
      <c r="AJ424">
        <f>IF(AH424&lt;=0,0,MIN(IF(AG424='Loan Prepayment'!$E$11,IF('Loan Prepayment'!$E$13="Keep tenure, recalculate EMI",-PMT(AI424/1200,MAX(1,'Loan Prepayment'!$B$7*12-AG424+1),AH424),IF(AND('Loan Prepayment'!$E$15="Reduce EMI",AM423&gt;0),-PMT(AI423/1200,MAX(1,'Loan Prepayment'!$B$7*12-AG424+1),AH424),AJ423)),IF(AND('Loan Prepayment'!$E$15="Reduce EMI",AM423&gt;0),-PMT(AI424/1200,MAX(1,'Loan Prepayment'!$B$7*12-AG424+1),AH424),AJ423)),AH424+AK424))</f>
        <v>0</v>
      </c>
      <c r="AK424">
        <f t="shared" si="144"/>
        <v>0</v>
      </c>
      <c r="AL424">
        <f t="shared" si="145"/>
        <v>0</v>
      </c>
      <c r="AM424">
        <f>IF(AH424&lt;=0,0,MIN(MAX(0,AH424-AL424),SUMIFS('Loan Prepayment'!$B$12:$B$31,'Loan Prepayment'!$A$12:$A$31,AG424)+IF(AND(AG424&gt;='Loan Prepayment'!$B$9,AG424&lt;='Loan Prepayment'!$E$16),'Loan Prepayment'!$B$8,0)))</f>
        <v>0</v>
      </c>
      <c r="AN424">
        <f t="shared" si="146"/>
        <v>0</v>
      </c>
    </row>
    <row r="425" spans="1:40" x14ac:dyDescent="0.35">
      <c r="A425">
        <f t="shared" si="147"/>
        <v>424</v>
      </c>
      <c r="B425">
        <f t="shared" si="126"/>
        <v>0</v>
      </c>
      <c r="C425">
        <f>'Loan Prepayment'!$B$6</f>
        <v>7.5</v>
      </c>
      <c r="D425">
        <f>IF(B425&lt;=0,0,MIN(-PMT('Loan Prepayment'!$B$6/1200,'Loan Prepayment'!$B$7*12,'Loan Prepayment'!$B$5),B425+E425))</f>
        <v>0</v>
      </c>
      <c r="E425">
        <f t="shared" si="127"/>
        <v>0</v>
      </c>
      <c r="F425">
        <f t="shared" si="128"/>
        <v>0</v>
      </c>
      <c r="G425">
        <v>0</v>
      </c>
      <c r="H425">
        <f t="shared" si="129"/>
        <v>0</v>
      </c>
      <c r="I425">
        <f t="shared" si="148"/>
        <v>424</v>
      </c>
      <c r="J425">
        <f t="shared" si="130"/>
        <v>0</v>
      </c>
      <c r="K425">
        <f>'Loan Prepayment'!$B$6</f>
        <v>7.5</v>
      </c>
      <c r="L425">
        <f>IF(J425&lt;=0,0,MIN(IF(AND('Loan Prepayment'!$E$15="Reduce EMI",O424&gt;0),-PMT(K425/1200,MAX(1,'Loan Prepayment'!$B$7*12-I425+1),J425),L424),J425+M425))</f>
        <v>0</v>
      </c>
      <c r="M425">
        <f t="shared" si="131"/>
        <v>0</v>
      </c>
      <c r="N425">
        <f t="shared" si="132"/>
        <v>0</v>
      </c>
      <c r="O425">
        <f>IF(J425&lt;=0,0,MIN(MAX(0,J425-N425),SUMIFS('Loan Prepayment'!$B$12:$B$31,'Loan Prepayment'!$A$12:$A$31,I425)+0))</f>
        <v>0</v>
      </c>
      <c r="P425">
        <f t="shared" si="133"/>
        <v>0</v>
      </c>
      <c r="Q425">
        <f t="shared" si="149"/>
        <v>424</v>
      </c>
      <c r="R425">
        <f t="shared" si="134"/>
        <v>0</v>
      </c>
      <c r="S425">
        <f>'Loan Prepayment'!$B$6</f>
        <v>7.5</v>
      </c>
      <c r="T425">
        <f>IF(R425&lt;=0,0,MIN(IF(AND('Loan Prepayment'!$E$15="Reduce EMI",W424&gt;0),-PMT(S425/1200,MAX(1,'Loan Prepayment'!$B$7*12-Q425+1),R425),T424),R425+U425))</f>
        <v>0</v>
      </c>
      <c r="U425">
        <f t="shared" si="135"/>
        <v>0</v>
      </c>
      <c r="V425">
        <f t="shared" si="136"/>
        <v>0</v>
      </c>
      <c r="W425">
        <f>IF(R425&lt;=0,0,MIN(MAX(0,R425-V425),0+IF(AND(Q425&gt;='Loan Prepayment'!$B$9,Q425&lt;='Loan Prepayment'!$E$16),'Loan Prepayment'!$B$8,0)))</f>
        <v>0</v>
      </c>
      <c r="X425">
        <f t="shared" si="137"/>
        <v>0</v>
      </c>
      <c r="Y425">
        <f t="shared" si="150"/>
        <v>424</v>
      </c>
      <c r="Z425">
        <f t="shared" si="138"/>
        <v>0</v>
      </c>
      <c r="AA425">
        <f>IF(Y425&gt;='Loan Prepayment'!$E$11,'Loan Prepayment'!$E$12,'Loan Prepayment'!$B$6)</f>
        <v>6.5</v>
      </c>
      <c r="AB425">
        <f>IF(Z425&lt;=0,0,MIN(IF(Y425='Loan Prepayment'!$E$11,IF('Loan Prepayment'!$E$13="Keep tenure, recalculate EMI",-PMT(AA425/1200,MAX(1,'Loan Prepayment'!$B$7*12-Y425+1),Z425),AB424),AB424),Z425+AC425))</f>
        <v>0</v>
      </c>
      <c r="AC425">
        <f t="shared" si="139"/>
        <v>0</v>
      </c>
      <c r="AD425">
        <f t="shared" si="140"/>
        <v>0</v>
      </c>
      <c r="AE425">
        <f t="shared" si="141"/>
        <v>0</v>
      </c>
      <c r="AF425">
        <f t="shared" si="142"/>
        <v>0</v>
      </c>
      <c r="AG425">
        <f t="shared" si="151"/>
        <v>424</v>
      </c>
      <c r="AH425">
        <f t="shared" si="143"/>
        <v>0</v>
      </c>
      <c r="AI425">
        <f>IF(AG425&gt;='Loan Prepayment'!$E$11,'Loan Prepayment'!$E$12,'Loan Prepayment'!$B$6)</f>
        <v>6.5</v>
      </c>
      <c r="AJ425">
        <f>IF(AH425&lt;=0,0,MIN(IF(AG425='Loan Prepayment'!$E$11,IF('Loan Prepayment'!$E$13="Keep tenure, recalculate EMI",-PMT(AI425/1200,MAX(1,'Loan Prepayment'!$B$7*12-AG425+1),AH425),IF(AND('Loan Prepayment'!$E$15="Reduce EMI",AM424&gt;0),-PMT(AI424/1200,MAX(1,'Loan Prepayment'!$B$7*12-AG425+1),AH425),AJ424)),IF(AND('Loan Prepayment'!$E$15="Reduce EMI",AM424&gt;0),-PMT(AI425/1200,MAX(1,'Loan Prepayment'!$B$7*12-AG425+1),AH425),AJ424)),AH425+AK425))</f>
        <v>0</v>
      </c>
      <c r="AK425">
        <f t="shared" si="144"/>
        <v>0</v>
      </c>
      <c r="AL425">
        <f t="shared" si="145"/>
        <v>0</v>
      </c>
      <c r="AM425">
        <f>IF(AH425&lt;=0,0,MIN(MAX(0,AH425-AL425),SUMIFS('Loan Prepayment'!$B$12:$B$31,'Loan Prepayment'!$A$12:$A$31,AG425)+IF(AND(AG425&gt;='Loan Prepayment'!$B$9,AG425&lt;='Loan Prepayment'!$E$16),'Loan Prepayment'!$B$8,0)))</f>
        <v>0</v>
      </c>
      <c r="AN425">
        <f t="shared" si="146"/>
        <v>0</v>
      </c>
    </row>
    <row r="426" spans="1:40" x14ac:dyDescent="0.35">
      <c r="A426">
        <f t="shared" si="147"/>
        <v>425</v>
      </c>
      <c r="B426">
        <f t="shared" ref="B426:B481" si="152">H425</f>
        <v>0</v>
      </c>
      <c r="C426">
        <f>'Loan Prepayment'!$B$6</f>
        <v>7.5</v>
      </c>
      <c r="D426">
        <f>IF(B426&lt;=0,0,MIN(-PMT('Loan Prepayment'!$B$6/1200,'Loan Prepayment'!$B$7*12,'Loan Prepayment'!$B$5),B426+E426))</f>
        <v>0</v>
      </c>
      <c r="E426">
        <f t="shared" ref="E426:E481" si="153">IF(B426&lt;=0,0,B426*C426/1200)</f>
        <v>0</v>
      </c>
      <c r="F426">
        <f t="shared" ref="F426:F481" si="154">MAX(0,D426-E426)</f>
        <v>0</v>
      </c>
      <c r="G426">
        <v>0</v>
      </c>
      <c r="H426">
        <f t="shared" ref="H426:H481" si="155">MAX(0,B426-F426-G426)</f>
        <v>0</v>
      </c>
      <c r="I426">
        <f t="shared" si="148"/>
        <v>425</v>
      </c>
      <c r="J426">
        <f t="shared" ref="J426:J481" si="156">P425</f>
        <v>0</v>
      </c>
      <c r="K426">
        <f>'Loan Prepayment'!$B$6</f>
        <v>7.5</v>
      </c>
      <c r="L426">
        <f>IF(J426&lt;=0,0,MIN(IF(AND('Loan Prepayment'!$E$15="Reduce EMI",O425&gt;0),-PMT(K426/1200,MAX(1,'Loan Prepayment'!$B$7*12-I426+1),J426),L425),J426+M426))</f>
        <v>0</v>
      </c>
      <c r="M426">
        <f t="shared" ref="M426:M481" si="157">IF(J426&lt;=0,0,J426*K426/1200)</f>
        <v>0</v>
      </c>
      <c r="N426">
        <f t="shared" ref="N426:N481" si="158">MAX(0,L426-M426)</f>
        <v>0</v>
      </c>
      <c r="O426">
        <f>IF(J426&lt;=0,0,MIN(MAX(0,J426-N426),SUMIFS('Loan Prepayment'!$B$12:$B$31,'Loan Prepayment'!$A$12:$A$31,I426)+0))</f>
        <v>0</v>
      </c>
      <c r="P426">
        <f t="shared" ref="P426:P481" si="159">MAX(0,J426-N426-O426)</f>
        <v>0</v>
      </c>
      <c r="Q426">
        <f t="shared" si="149"/>
        <v>425</v>
      </c>
      <c r="R426">
        <f t="shared" ref="R426:R481" si="160">X425</f>
        <v>0</v>
      </c>
      <c r="S426">
        <f>'Loan Prepayment'!$B$6</f>
        <v>7.5</v>
      </c>
      <c r="T426">
        <f>IF(R426&lt;=0,0,MIN(IF(AND('Loan Prepayment'!$E$15="Reduce EMI",W425&gt;0),-PMT(S426/1200,MAX(1,'Loan Prepayment'!$B$7*12-Q426+1),R426),T425),R426+U426))</f>
        <v>0</v>
      </c>
      <c r="U426">
        <f t="shared" ref="U426:U481" si="161">IF(R426&lt;=0,0,R426*S426/1200)</f>
        <v>0</v>
      </c>
      <c r="V426">
        <f t="shared" ref="V426:V481" si="162">MAX(0,T426-U426)</f>
        <v>0</v>
      </c>
      <c r="W426">
        <f>IF(R426&lt;=0,0,MIN(MAX(0,R426-V426),0+IF(AND(Q426&gt;='Loan Prepayment'!$B$9,Q426&lt;='Loan Prepayment'!$E$16),'Loan Prepayment'!$B$8,0)))</f>
        <v>0</v>
      </c>
      <c r="X426">
        <f t="shared" ref="X426:X481" si="163">MAX(0,R426-V426-W426)</f>
        <v>0</v>
      </c>
      <c r="Y426">
        <f t="shared" si="150"/>
        <v>425</v>
      </c>
      <c r="Z426">
        <f t="shared" ref="Z426:Z481" si="164">AF425</f>
        <v>0</v>
      </c>
      <c r="AA426">
        <f>IF(Y426&gt;='Loan Prepayment'!$E$11,'Loan Prepayment'!$E$12,'Loan Prepayment'!$B$6)</f>
        <v>6.5</v>
      </c>
      <c r="AB426">
        <f>IF(Z426&lt;=0,0,MIN(IF(Y426='Loan Prepayment'!$E$11,IF('Loan Prepayment'!$E$13="Keep tenure, recalculate EMI",-PMT(AA426/1200,MAX(1,'Loan Prepayment'!$B$7*12-Y426+1),Z426),AB425),AB425),Z426+AC426))</f>
        <v>0</v>
      </c>
      <c r="AC426">
        <f t="shared" ref="AC426:AC481" si="165">IF(Z426&lt;=0,0,Z426*AA426/1200)</f>
        <v>0</v>
      </c>
      <c r="AD426">
        <f t="shared" ref="AD426:AD481" si="166">MAX(0,AB426-AC426)</f>
        <v>0</v>
      </c>
      <c r="AE426">
        <f t="shared" ref="AE426:AE481" si="167">IF(Z426&lt;=0,0,MIN(MAX(0,Z426-AD426),0))</f>
        <v>0</v>
      </c>
      <c r="AF426">
        <f t="shared" ref="AF426:AF481" si="168">MAX(0,Z426-AD426-AE426)</f>
        <v>0</v>
      </c>
      <c r="AG426">
        <f t="shared" si="151"/>
        <v>425</v>
      </c>
      <c r="AH426">
        <f t="shared" ref="AH426:AH481" si="169">AN425</f>
        <v>0</v>
      </c>
      <c r="AI426">
        <f>IF(AG426&gt;='Loan Prepayment'!$E$11,'Loan Prepayment'!$E$12,'Loan Prepayment'!$B$6)</f>
        <v>6.5</v>
      </c>
      <c r="AJ426">
        <f>IF(AH426&lt;=0,0,MIN(IF(AG426='Loan Prepayment'!$E$11,IF('Loan Prepayment'!$E$13="Keep tenure, recalculate EMI",-PMT(AI426/1200,MAX(1,'Loan Prepayment'!$B$7*12-AG426+1),AH426),IF(AND('Loan Prepayment'!$E$15="Reduce EMI",AM425&gt;0),-PMT(AI425/1200,MAX(1,'Loan Prepayment'!$B$7*12-AG426+1),AH426),AJ425)),IF(AND('Loan Prepayment'!$E$15="Reduce EMI",AM425&gt;0),-PMT(AI426/1200,MAX(1,'Loan Prepayment'!$B$7*12-AG426+1),AH426),AJ425)),AH426+AK426))</f>
        <v>0</v>
      </c>
      <c r="AK426">
        <f t="shared" ref="AK426:AK481" si="170">IF(AH426&lt;=0,0,AH426*AI426/1200)</f>
        <v>0</v>
      </c>
      <c r="AL426">
        <f t="shared" ref="AL426:AL481" si="171">MAX(0,AJ426-AK426)</f>
        <v>0</v>
      </c>
      <c r="AM426">
        <f>IF(AH426&lt;=0,0,MIN(MAX(0,AH426-AL426),SUMIFS('Loan Prepayment'!$B$12:$B$31,'Loan Prepayment'!$A$12:$A$31,AG426)+IF(AND(AG426&gt;='Loan Prepayment'!$B$9,AG426&lt;='Loan Prepayment'!$E$16),'Loan Prepayment'!$B$8,0)))</f>
        <v>0</v>
      </c>
      <c r="AN426">
        <f t="shared" ref="AN426:AN481" si="172">MAX(0,AH426-AL426-AM426)</f>
        <v>0</v>
      </c>
    </row>
    <row r="427" spans="1:40" x14ac:dyDescent="0.35">
      <c r="A427">
        <f t="shared" ref="A427:A481" si="173">A426+1</f>
        <v>426</v>
      </c>
      <c r="B427">
        <f t="shared" si="152"/>
        <v>0</v>
      </c>
      <c r="C427">
        <f>'Loan Prepayment'!$B$6</f>
        <v>7.5</v>
      </c>
      <c r="D427">
        <f>IF(B427&lt;=0,0,MIN(-PMT('Loan Prepayment'!$B$6/1200,'Loan Prepayment'!$B$7*12,'Loan Prepayment'!$B$5),B427+E427))</f>
        <v>0</v>
      </c>
      <c r="E427">
        <f t="shared" si="153"/>
        <v>0</v>
      </c>
      <c r="F427">
        <f t="shared" si="154"/>
        <v>0</v>
      </c>
      <c r="G427">
        <v>0</v>
      </c>
      <c r="H427">
        <f t="shared" si="155"/>
        <v>0</v>
      </c>
      <c r="I427">
        <f t="shared" ref="I427:I481" si="174">I426+1</f>
        <v>426</v>
      </c>
      <c r="J427">
        <f t="shared" si="156"/>
        <v>0</v>
      </c>
      <c r="K427">
        <f>'Loan Prepayment'!$B$6</f>
        <v>7.5</v>
      </c>
      <c r="L427">
        <f>IF(J427&lt;=0,0,MIN(IF(AND('Loan Prepayment'!$E$15="Reduce EMI",O426&gt;0),-PMT(K427/1200,MAX(1,'Loan Prepayment'!$B$7*12-I427+1),J427),L426),J427+M427))</f>
        <v>0</v>
      </c>
      <c r="M427">
        <f t="shared" si="157"/>
        <v>0</v>
      </c>
      <c r="N427">
        <f t="shared" si="158"/>
        <v>0</v>
      </c>
      <c r="O427">
        <f>IF(J427&lt;=0,0,MIN(MAX(0,J427-N427),SUMIFS('Loan Prepayment'!$B$12:$B$31,'Loan Prepayment'!$A$12:$A$31,I427)+0))</f>
        <v>0</v>
      </c>
      <c r="P427">
        <f t="shared" si="159"/>
        <v>0</v>
      </c>
      <c r="Q427">
        <f t="shared" ref="Q427:Q481" si="175">Q426+1</f>
        <v>426</v>
      </c>
      <c r="R427">
        <f t="shared" si="160"/>
        <v>0</v>
      </c>
      <c r="S427">
        <f>'Loan Prepayment'!$B$6</f>
        <v>7.5</v>
      </c>
      <c r="T427">
        <f>IF(R427&lt;=0,0,MIN(IF(AND('Loan Prepayment'!$E$15="Reduce EMI",W426&gt;0),-PMT(S427/1200,MAX(1,'Loan Prepayment'!$B$7*12-Q427+1),R427),T426),R427+U427))</f>
        <v>0</v>
      </c>
      <c r="U427">
        <f t="shared" si="161"/>
        <v>0</v>
      </c>
      <c r="V427">
        <f t="shared" si="162"/>
        <v>0</v>
      </c>
      <c r="W427">
        <f>IF(R427&lt;=0,0,MIN(MAX(0,R427-V427),0+IF(AND(Q427&gt;='Loan Prepayment'!$B$9,Q427&lt;='Loan Prepayment'!$E$16),'Loan Prepayment'!$B$8,0)))</f>
        <v>0</v>
      </c>
      <c r="X427">
        <f t="shared" si="163"/>
        <v>0</v>
      </c>
      <c r="Y427">
        <f t="shared" ref="Y427:Y481" si="176">Y426+1</f>
        <v>426</v>
      </c>
      <c r="Z427">
        <f t="shared" si="164"/>
        <v>0</v>
      </c>
      <c r="AA427">
        <f>IF(Y427&gt;='Loan Prepayment'!$E$11,'Loan Prepayment'!$E$12,'Loan Prepayment'!$B$6)</f>
        <v>6.5</v>
      </c>
      <c r="AB427">
        <f>IF(Z427&lt;=0,0,MIN(IF(Y427='Loan Prepayment'!$E$11,IF('Loan Prepayment'!$E$13="Keep tenure, recalculate EMI",-PMT(AA427/1200,MAX(1,'Loan Prepayment'!$B$7*12-Y427+1),Z427),AB426),AB426),Z427+AC427))</f>
        <v>0</v>
      </c>
      <c r="AC427">
        <f t="shared" si="165"/>
        <v>0</v>
      </c>
      <c r="AD427">
        <f t="shared" si="166"/>
        <v>0</v>
      </c>
      <c r="AE427">
        <f t="shared" si="167"/>
        <v>0</v>
      </c>
      <c r="AF427">
        <f t="shared" si="168"/>
        <v>0</v>
      </c>
      <c r="AG427">
        <f t="shared" ref="AG427:AG481" si="177">AG426+1</f>
        <v>426</v>
      </c>
      <c r="AH427">
        <f t="shared" si="169"/>
        <v>0</v>
      </c>
      <c r="AI427">
        <f>IF(AG427&gt;='Loan Prepayment'!$E$11,'Loan Prepayment'!$E$12,'Loan Prepayment'!$B$6)</f>
        <v>6.5</v>
      </c>
      <c r="AJ427">
        <f>IF(AH427&lt;=0,0,MIN(IF(AG427='Loan Prepayment'!$E$11,IF('Loan Prepayment'!$E$13="Keep tenure, recalculate EMI",-PMT(AI427/1200,MAX(1,'Loan Prepayment'!$B$7*12-AG427+1),AH427),IF(AND('Loan Prepayment'!$E$15="Reduce EMI",AM426&gt;0),-PMT(AI426/1200,MAX(1,'Loan Prepayment'!$B$7*12-AG427+1),AH427),AJ426)),IF(AND('Loan Prepayment'!$E$15="Reduce EMI",AM426&gt;0),-PMT(AI427/1200,MAX(1,'Loan Prepayment'!$B$7*12-AG427+1),AH427),AJ426)),AH427+AK427))</f>
        <v>0</v>
      </c>
      <c r="AK427">
        <f t="shared" si="170"/>
        <v>0</v>
      </c>
      <c r="AL427">
        <f t="shared" si="171"/>
        <v>0</v>
      </c>
      <c r="AM427">
        <f>IF(AH427&lt;=0,0,MIN(MAX(0,AH427-AL427),SUMIFS('Loan Prepayment'!$B$12:$B$31,'Loan Prepayment'!$A$12:$A$31,AG427)+IF(AND(AG427&gt;='Loan Prepayment'!$B$9,AG427&lt;='Loan Prepayment'!$E$16),'Loan Prepayment'!$B$8,0)))</f>
        <v>0</v>
      </c>
      <c r="AN427">
        <f t="shared" si="172"/>
        <v>0</v>
      </c>
    </row>
    <row r="428" spans="1:40" x14ac:dyDescent="0.35">
      <c r="A428">
        <f t="shared" si="173"/>
        <v>427</v>
      </c>
      <c r="B428">
        <f t="shared" si="152"/>
        <v>0</v>
      </c>
      <c r="C428">
        <f>'Loan Prepayment'!$B$6</f>
        <v>7.5</v>
      </c>
      <c r="D428">
        <f>IF(B428&lt;=0,0,MIN(-PMT('Loan Prepayment'!$B$6/1200,'Loan Prepayment'!$B$7*12,'Loan Prepayment'!$B$5),B428+E428))</f>
        <v>0</v>
      </c>
      <c r="E428">
        <f t="shared" si="153"/>
        <v>0</v>
      </c>
      <c r="F428">
        <f t="shared" si="154"/>
        <v>0</v>
      </c>
      <c r="G428">
        <v>0</v>
      </c>
      <c r="H428">
        <f t="shared" si="155"/>
        <v>0</v>
      </c>
      <c r="I428">
        <f t="shared" si="174"/>
        <v>427</v>
      </c>
      <c r="J428">
        <f t="shared" si="156"/>
        <v>0</v>
      </c>
      <c r="K428">
        <f>'Loan Prepayment'!$B$6</f>
        <v>7.5</v>
      </c>
      <c r="L428">
        <f>IF(J428&lt;=0,0,MIN(IF(AND('Loan Prepayment'!$E$15="Reduce EMI",O427&gt;0),-PMT(K428/1200,MAX(1,'Loan Prepayment'!$B$7*12-I428+1),J428),L427),J428+M428))</f>
        <v>0</v>
      </c>
      <c r="M428">
        <f t="shared" si="157"/>
        <v>0</v>
      </c>
      <c r="N428">
        <f t="shared" si="158"/>
        <v>0</v>
      </c>
      <c r="O428">
        <f>IF(J428&lt;=0,0,MIN(MAX(0,J428-N428),SUMIFS('Loan Prepayment'!$B$12:$B$31,'Loan Prepayment'!$A$12:$A$31,I428)+0))</f>
        <v>0</v>
      </c>
      <c r="P428">
        <f t="shared" si="159"/>
        <v>0</v>
      </c>
      <c r="Q428">
        <f t="shared" si="175"/>
        <v>427</v>
      </c>
      <c r="R428">
        <f t="shared" si="160"/>
        <v>0</v>
      </c>
      <c r="S428">
        <f>'Loan Prepayment'!$B$6</f>
        <v>7.5</v>
      </c>
      <c r="T428">
        <f>IF(R428&lt;=0,0,MIN(IF(AND('Loan Prepayment'!$E$15="Reduce EMI",W427&gt;0),-PMT(S428/1200,MAX(1,'Loan Prepayment'!$B$7*12-Q428+1),R428),T427),R428+U428))</f>
        <v>0</v>
      </c>
      <c r="U428">
        <f t="shared" si="161"/>
        <v>0</v>
      </c>
      <c r="V428">
        <f t="shared" si="162"/>
        <v>0</v>
      </c>
      <c r="W428">
        <f>IF(R428&lt;=0,0,MIN(MAX(0,R428-V428),0+IF(AND(Q428&gt;='Loan Prepayment'!$B$9,Q428&lt;='Loan Prepayment'!$E$16),'Loan Prepayment'!$B$8,0)))</f>
        <v>0</v>
      </c>
      <c r="X428">
        <f t="shared" si="163"/>
        <v>0</v>
      </c>
      <c r="Y428">
        <f t="shared" si="176"/>
        <v>427</v>
      </c>
      <c r="Z428">
        <f t="shared" si="164"/>
        <v>0</v>
      </c>
      <c r="AA428">
        <f>IF(Y428&gt;='Loan Prepayment'!$E$11,'Loan Prepayment'!$E$12,'Loan Prepayment'!$B$6)</f>
        <v>6.5</v>
      </c>
      <c r="AB428">
        <f>IF(Z428&lt;=0,0,MIN(IF(Y428='Loan Prepayment'!$E$11,IF('Loan Prepayment'!$E$13="Keep tenure, recalculate EMI",-PMT(AA428/1200,MAX(1,'Loan Prepayment'!$B$7*12-Y428+1),Z428),AB427),AB427),Z428+AC428))</f>
        <v>0</v>
      </c>
      <c r="AC428">
        <f t="shared" si="165"/>
        <v>0</v>
      </c>
      <c r="AD428">
        <f t="shared" si="166"/>
        <v>0</v>
      </c>
      <c r="AE428">
        <f t="shared" si="167"/>
        <v>0</v>
      </c>
      <c r="AF428">
        <f t="shared" si="168"/>
        <v>0</v>
      </c>
      <c r="AG428">
        <f t="shared" si="177"/>
        <v>427</v>
      </c>
      <c r="AH428">
        <f t="shared" si="169"/>
        <v>0</v>
      </c>
      <c r="AI428">
        <f>IF(AG428&gt;='Loan Prepayment'!$E$11,'Loan Prepayment'!$E$12,'Loan Prepayment'!$B$6)</f>
        <v>6.5</v>
      </c>
      <c r="AJ428">
        <f>IF(AH428&lt;=0,0,MIN(IF(AG428='Loan Prepayment'!$E$11,IF('Loan Prepayment'!$E$13="Keep tenure, recalculate EMI",-PMT(AI428/1200,MAX(1,'Loan Prepayment'!$B$7*12-AG428+1),AH428),IF(AND('Loan Prepayment'!$E$15="Reduce EMI",AM427&gt;0),-PMT(AI427/1200,MAX(1,'Loan Prepayment'!$B$7*12-AG428+1),AH428),AJ427)),IF(AND('Loan Prepayment'!$E$15="Reduce EMI",AM427&gt;0),-PMT(AI428/1200,MAX(1,'Loan Prepayment'!$B$7*12-AG428+1),AH428),AJ427)),AH428+AK428))</f>
        <v>0</v>
      </c>
      <c r="AK428">
        <f t="shared" si="170"/>
        <v>0</v>
      </c>
      <c r="AL428">
        <f t="shared" si="171"/>
        <v>0</v>
      </c>
      <c r="AM428">
        <f>IF(AH428&lt;=0,0,MIN(MAX(0,AH428-AL428),SUMIFS('Loan Prepayment'!$B$12:$B$31,'Loan Prepayment'!$A$12:$A$31,AG428)+IF(AND(AG428&gt;='Loan Prepayment'!$B$9,AG428&lt;='Loan Prepayment'!$E$16),'Loan Prepayment'!$B$8,0)))</f>
        <v>0</v>
      </c>
      <c r="AN428">
        <f t="shared" si="172"/>
        <v>0</v>
      </c>
    </row>
    <row r="429" spans="1:40" x14ac:dyDescent="0.35">
      <c r="A429">
        <f t="shared" si="173"/>
        <v>428</v>
      </c>
      <c r="B429">
        <f t="shared" si="152"/>
        <v>0</v>
      </c>
      <c r="C429">
        <f>'Loan Prepayment'!$B$6</f>
        <v>7.5</v>
      </c>
      <c r="D429">
        <f>IF(B429&lt;=0,0,MIN(-PMT('Loan Prepayment'!$B$6/1200,'Loan Prepayment'!$B$7*12,'Loan Prepayment'!$B$5),B429+E429))</f>
        <v>0</v>
      </c>
      <c r="E429">
        <f t="shared" si="153"/>
        <v>0</v>
      </c>
      <c r="F429">
        <f t="shared" si="154"/>
        <v>0</v>
      </c>
      <c r="G429">
        <v>0</v>
      </c>
      <c r="H429">
        <f t="shared" si="155"/>
        <v>0</v>
      </c>
      <c r="I429">
        <f t="shared" si="174"/>
        <v>428</v>
      </c>
      <c r="J429">
        <f t="shared" si="156"/>
        <v>0</v>
      </c>
      <c r="K429">
        <f>'Loan Prepayment'!$B$6</f>
        <v>7.5</v>
      </c>
      <c r="L429">
        <f>IF(J429&lt;=0,0,MIN(IF(AND('Loan Prepayment'!$E$15="Reduce EMI",O428&gt;0),-PMT(K429/1200,MAX(1,'Loan Prepayment'!$B$7*12-I429+1),J429),L428),J429+M429))</f>
        <v>0</v>
      </c>
      <c r="M429">
        <f t="shared" si="157"/>
        <v>0</v>
      </c>
      <c r="N429">
        <f t="shared" si="158"/>
        <v>0</v>
      </c>
      <c r="O429">
        <f>IF(J429&lt;=0,0,MIN(MAX(0,J429-N429),SUMIFS('Loan Prepayment'!$B$12:$B$31,'Loan Prepayment'!$A$12:$A$31,I429)+0))</f>
        <v>0</v>
      </c>
      <c r="P429">
        <f t="shared" si="159"/>
        <v>0</v>
      </c>
      <c r="Q429">
        <f t="shared" si="175"/>
        <v>428</v>
      </c>
      <c r="R429">
        <f t="shared" si="160"/>
        <v>0</v>
      </c>
      <c r="S429">
        <f>'Loan Prepayment'!$B$6</f>
        <v>7.5</v>
      </c>
      <c r="T429">
        <f>IF(R429&lt;=0,0,MIN(IF(AND('Loan Prepayment'!$E$15="Reduce EMI",W428&gt;0),-PMT(S429/1200,MAX(1,'Loan Prepayment'!$B$7*12-Q429+1),R429),T428),R429+U429))</f>
        <v>0</v>
      </c>
      <c r="U429">
        <f t="shared" si="161"/>
        <v>0</v>
      </c>
      <c r="V429">
        <f t="shared" si="162"/>
        <v>0</v>
      </c>
      <c r="W429">
        <f>IF(R429&lt;=0,0,MIN(MAX(0,R429-V429),0+IF(AND(Q429&gt;='Loan Prepayment'!$B$9,Q429&lt;='Loan Prepayment'!$E$16),'Loan Prepayment'!$B$8,0)))</f>
        <v>0</v>
      </c>
      <c r="X429">
        <f t="shared" si="163"/>
        <v>0</v>
      </c>
      <c r="Y429">
        <f t="shared" si="176"/>
        <v>428</v>
      </c>
      <c r="Z429">
        <f t="shared" si="164"/>
        <v>0</v>
      </c>
      <c r="AA429">
        <f>IF(Y429&gt;='Loan Prepayment'!$E$11,'Loan Prepayment'!$E$12,'Loan Prepayment'!$B$6)</f>
        <v>6.5</v>
      </c>
      <c r="AB429">
        <f>IF(Z429&lt;=0,0,MIN(IF(Y429='Loan Prepayment'!$E$11,IF('Loan Prepayment'!$E$13="Keep tenure, recalculate EMI",-PMT(AA429/1200,MAX(1,'Loan Prepayment'!$B$7*12-Y429+1),Z429),AB428),AB428),Z429+AC429))</f>
        <v>0</v>
      </c>
      <c r="AC429">
        <f t="shared" si="165"/>
        <v>0</v>
      </c>
      <c r="AD429">
        <f t="shared" si="166"/>
        <v>0</v>
      </c>
      <c r="AE429">
        <f t="shared" si="167"/>
        <v>0</v>
      </c>
      <c r="AF429">
        <f t="shared" si="168"/>
        <v>0</v>
      </c>
      <c r="AG429">
        <f t="shared" si="177"/>
        <v>428</v>
      </c>
      <c r="AH429">
        <f t="shared" si="169"/>
        <v>0</v>
      </c>
      <c r="AI429">
        <f>IF(AG429&gt;='Loan Prepayment'!$E$11,'Loan Prepayment'!$E$12,'Loan Prepayment'!$B$6)</f>
        <v>6.5</v>
      </c>
      <c r="AJ429">
        <f>IF(AH429&lt;=0,0,MIN(IF(AG429='Loan Prepayment'!$E$11,IF('Loan Prepayment'!$E$13="Keep tenure, recalculate EMI",-PMT(AI429/1200,MAX(1,'Loan Prepayment'!$B$7*12-AG429+1),AH429),IF(AND('Loan Prepayment'!$E$15="Reduce EMI",AM428&gt;0),-PMT(AI428/1200,MAX(1,'Loan Prepayment'!$B$7*12-AG429+1),AH429),AJ428)),IF(AND('Loan Prepayment'!$E$15="Reduce EMI",AM428&gt;0),-PMT(AI429/1200,MAX(1,'Loan Prepayment'!$B$7*12-AG429+1),AH429),AJ428)),AH429+AK429))</f>
        <v>0</v>
      </c>
      <c r="AK429">
        <f t="shared" si="170"/>
        <v>0</v>
      </c>
      <c r="AL429">
        <f t="shared" si="171"/>
        <v>0</v>
      </c>
      <c r="AM429">
        <f>IF(AH429&lt;=0,0,MIN(MAX(0,AH429-AL429),SUMIFS('Loan Prepayment'!$B$12:$B$31,'Loan Prepayment'!$A$12:$A$31,AG429)+IF(AND(AG429&gt;='Loan Prepayment'!$B$9,AG429&lt;='Loan Prepayment'!$E$16),'Loan Prepayment'!$B$8,0)))</f>
        <v>0</v>
      </c>
      <c r="AN429">
        <f t="shared" si="172"/>
        <v>0</v>
      </c>
    </row>
    <row r="430" spans="1:40" x14ac:dyDescent="0.35">
      <c r="A430">
        <f t="shared" si="173"/>
        <v>429</v>
      </c>
      <c r="B430">
        <f t="shared" si="152"/>
        <v>0</v>
      </c>
      <c r="C430">
        <f>'Loan Prepayment'!$B$6</f>
        <v>7.5</v>
      </c>
      <c r="D430">
        <f>IF(B430&lt;=0,0,MIN(-PMT('Loan Prepayment'!$B$6/1200,'Loan Prepayment'!$B$7*12,'Loan Prepayment'!$B$5),B430+E430))</f>
        <v>0</v>
      </c>
      <c r="E430">
        <f t="shared" si="153"/>
        <v>0</v>
      </c>
      <c r="F430">
        <f t="shared" si="154"/>
        <v>0</v>
      </c>
      <c r="G430">
        <v>0</v>
      </c>
      <c r="H430">
        <f t="shared" si="155"/>
        <v>0</v>
      </c>
      <c r="I430">
        <f t="shared" si="174"/>
        <v>429</v>
      </c>
      <c r="J430">
        <f t="shared" si="156"/>
        <v>0</v>
      </c>
      <c r="K430">
        <f>'Loan Prepayment'!$B$6</f>
        <v>7.5</v>
      </c>
      <c r="L430">
        <f>IF(J430&lt;=0,0,MIN(IF(AND('Loan Prepayment'!$E$15="Reduce EMI",O429&gt;0),-PMT(K430/1200,MAX(1,'Loan Prepayment'!$B$7*12-I430+1),J430),L429),J430+M430))</f>
        <v>0</v>
      </c>
      <c r="M430">
        <f t="shared" si="157"/>
        <v>0</v>
      </c>
      <c r="N430">
        <f t="shared" si="158"/>
        <v>0</v>
      </c>
      <c r="O430">
        <f>IF(J430&lt;=0,0,MIN(MAX(0,J430-N430),SUMIFS('Loan Prepayment'!$B$12:$B$31,'Loan Prepayment'!$A$12:$A$31,I430)+0))</f>
        <v>0</v>
      </c>
      <c r="P430">
        <f t="shared" si="159"/>
        <v>0</v>
      </c>
      <c r="Q430">
        <f t="shared" si="175"/>
        <v>429</v>
      </c>
      <c r="R430">
        <f t="shared" si="160"/>
        <v>0</v>
      </c>
      <c r="S430">
        <f>'Loan Prepayment'!$B$6</f>
        <v>7.5</v>
      </c>
      <c r="T430">
        <f>IF(R430&lt;=0,0,MIN(IF(AND('Loan Prepayment'!$E$15="Reduce EMI",W429&gt;0),-PMT(S430/1200,MAX(1,'Loan Prepayment'!$B$7*12-Q430+1),R430),T429),R430+U430))</f>
        <v>0</v>
      </c>
      <c r="U430">
        <f t="shared" si="161"/>
        <v>0</v>
      </c>
      <c r="V430">
        <f t="shared" si="162"/>
        <v>0</v>
      </c>
      <c r="W430">
        <f>IF(R430&lt;=0,0,MIN(MAX(0,R430-V430),0+IF(AND(Q430&gt;='Loan Prepayment'!$B$9,Q430&lt;='Loan Prepayment'!$E$16),'Loan Prepayment'!$B$8,0)))</f>
        <v>0</v>
      </c>
      <c r="X430">
        <f t="shared" si="163"/>
        <v>0</v>
      </c>
      <c r="Y430">
        <f t="shared" si="176"/>
        <v>429</v>
      </c>
      <c r="Z430">
        <f t="shared" si="164"/>
        <v>0</v>
      </c>
      <c r="AA430">
        <f>IF(Y430&gt;='Loan Prepayment'!$E$11,'Loan Prepayment'!$E$12,'Loan Prepayment'!$B$6)</f>
        <v>6.5</v>
      </c>
      <c r="AB430">
        <f>IF(Z430&lt;=0,0,MIN(IF(Y430='Loan Prepayment'!$E$11,IF('Loan Prepayment'!$E$13="Keep tenure, recalculate EMI",-PMT(AA430/1200,MAX(1,'Loan Prepayment'!$B$7*12-Y430+1),Z430),AB429),AB429),Z430+AC430))</f>
        <v>0</v>
      </c>
      <c r="AC430">
        <f t="shared" si="165"/>
        <v>0</v>
      </c>
      <c r="AD430">
        <f t="shared" si="166"/>
        <v>0</v>
      </c>
      <c r="AE430">
        <f t="shared" si="167"/>
        <v>0</v>
      </c>
      <c r="AF430">
        <f t="shared" si="168"/>
        <v>0</v>
      </c>
      <c r="AG430">
        <f t="shared" si="177"/>
        <v>429</v>
      </c>
      <c r="AH430">
        <f t="shared" si="169"/>
        <v>0</v>
      </c>
      <c r="AI430">
        <f>IF(AG430&gt;='Loan Prepayment'!$E$11,'Loan Prepayment'!$E$12,'Loan Prepayment'!$B$6)</f>
        <v>6.5</v>
      </c>
      <c r="AJ430">
        <f>IF(AH430&lt;=0,0,MIN(IF(AG430='Loan Prepayment'!$E$11,IF('Loan Prepayment'!$E$13="Keep tenure, recalculate EMI",-PMT(AI430/1200,MAX(1,'Loan Prepayment'!$B$7*12-AG430+1),AH430),IF(AND('Loan Prepayment'!$E$15="Reduce EMI",AM429&gt;0),-PMT(AI429/1200,MAX(1,'Loan Prepayment'!$B$7*12-AG430+1),AH430),AJ429)),IF(AND('Loan Prepayment'!$E$15="Reduce EMI",AM429&gt;0),-PMT(AI430/1200,MAX(1,'Loan Prepayment'!$B$7*12-AG430+1),AH430),AJ429)),AH430+AK430))</f>
        <v>0</v>
      </c>
      <c r="AK430">
        <f t="shared" si="170"/>
        <v>0</v>
      </c>
      <c r="AL430">
        <f t="shared" si="171"/>
        <v>0</v>
      </c>
      <c r="AM430">
        <f>IF(AH430&lt;=0,0,MIN(MAX(0,AH430-AL430),SUMIFS('Loan Prepayment'!$B$12:$B$31,'Loan Prepayment'!$A$12:$A$31,AG430)+IF(AND(AG430&gt;='Loan Prepayment'!$B$9,AG430&lt;='Loan Prepayment'!$E$16),'Loan Prepayment'!$B$8,0)))</f>
        <v>0</v>
      </c>
      <c r="AN430">
        <f t="shared" si="172"/>
        <v>0</v>
      </c>
    </row>
    <row r="431" spans="1:40" x14ac:dyDescent="0.35">
      <c r="A431">
        <f t="shared" si="173"/>
        <v>430</v>
      </c>
      <c r="B431">
        <f t="shared" si="152"/>
        <v>0</v>
      </c>
      <c r="C431">
        <f>'Loan Prepayment'!$B$6</f>
        <v>7.5</v>
      </c>
      <c r="D431">
        <f>IF(B431&lt;=0,0,MIN(-PMT('Loan Prepayment'!$B$6/1200,'Loan Prepayment'!$B$7*12,'Loan Prepayment'!$B$5),B431+E431))</f>
        <v>0</v>
      </c>
      <c r="E431">
        <f t="shared" si="153"/>
        <v>0</v>
      </c>
      <c r="F431">
        <f t="shared" si="154"/>
        <v>0</v>
      </c>
      <c r="G431">
        <v>0</v>
      </c>
      <c r="H431">
        <f t="shared" si="155"/>
        <v>0</v>
      </c>
      <c r="I431">
        <f t="shared" si="174"/>
        <v>430</v>
      </c>
      <c r="J431">
        <f t="shared" si="156"/>
        <v>0</v>
      </c>
      <c r="K431">
        <f>'Loan Prepayment'!$B$6</f>
        <v>7.5</v>
      </c>
      <c r="L431">
        <f>IF(J431&lt;=0,0,MIN(IF(AND('Loan Prepayment'!$E$15="Reduce EMI",O430&gt;0),-PMT(K431/1200,MAX(1,'Loan Prepayment'!$B$7*12-I431+1),J431),L430),J431+M431))</f>
        <v>0</v>
      </c>
      <c r="M431">
        <f t="shared" si="157"/>
        <v>0</v>
      </c>
      <c r="N431">
        <f t="shared" si="158"/>
        <v>0</v>
      </c>
      <c r="O431">
        <f>IF(J431&lt;=0,0,MIN(MAX(0,J431-N431),SUMIFS('Loan Prepayment'!$B$12:$B$31,'Loan Prepayment'!$A$12:$A$31,I431)+0))</f>
        <v>0</v>
      </c>
      <c r="P431">
        <f t="shared" si="159"/>
        <v>0</v>
      </c>
      <c r="Q431">
        <f t="shared" si="175"/>
        <v>430</v>
      </c>
      <c r="R431">
        <f t="shared" si="160"/>
        <v>0</v>
      </c>
      <c r="S431">
        <f>'Loan Prepayment'!$B$6</f>
        <v>7.5</v>
      </c>
      <c r="T431">
        <f>IF(R431&lt;=0,0,MIN(IF(AND('Loan Prepayment'!$E$15="Reduce EMI",W430&gt;0),-PMT(S431/1200,MAX(1,'Loan Prepayment'!$B$7*12-Q431+1),R431),T430),R431+U431))</f>
        <v>0</v>
      </c>
      <c r="U431">
        <f t="shared" si="161"/>
        <v>0</v>
      </c>
      <c r="V431">
        <f t="shared" si="162"/>
        <v>0</v>
      </c>
      <c r="W431">
        <f>IF(R431&lt;=0,0,MIN(MAX(0,R431-V431),0+IF(AND(Q431&gt;='Loan Prepayment'!$B$9,Q431&lt;='Loan Prepayment'!$E$16),'Loan Prepayment'!$B$8,0)))</f>
        <v>0</v>
      </c>
      <c r="X431">
        <f t="shared" si="163"/>
        <v>0</v>
      </c>
      <c r="Y431">
        <f t="shared" si="176"/>
        <v>430</v>
      </c>
      <c r="Z431">
        <f t="shared" si="164"/>
        <v>0</v>
      </c>
      <c r="AA431">
        <f>IF(Y431&gt;='Loan Prepayment'!$E$11,'Loan Prepayment'!$E$12,'Loan Prepayment'!$B$6)</f>
        <v>6.5</v>
      </c>
      <c r="AB431">
        <f>IF(Z431&lt;=0,0,MIN(IF(Y431='Loan Prepayment'!$E$11,IF('Loan Prepayment'!$E$13="Keep tenure, recalculate EMI",-PMT(AA431/1200,MAX(1,'Loan Prepayment'!$B$7*12-Y431+1),Z431),AB430),AB430),Z431+AC431))</f>
        <v>0</v>
      </c>
      <c r="AC431">
        <f t="shared" si="165"/>
        <v>0</v>
      </c>
      <c r="AD431">
        <f t="shared" si="166"/>
        <v>0</v>
      </c>
      <c r="AE431">
        <f t="shared" si="167"/>
        <v>0</v>
      </c>
      <c r="AF431">
        <f t="shared" si="168"/>
        <v>0</v>
      </c>
      <c r="AG431">
        <f t="shared" si="177"/>
        <v>430</v>
      </c>
      <c r="AH431">
        <f t="shared" si="169"/>
        <v>0</v>
      </c>
      <c r="AI431">
        <f>IF(AG431&gt;='Loan Prepayment'!$E$11,'Loan Prepayment'!$E$12,'Loan Prepayment'!$B$6)</f>
        <v>6.5</v>
      </c>
      <c r="AJ431">
        <f>IF(AH431&lt;=0,0,MIN(IF(AG431='Loan Prepayment'!$E$11,IF('Loan Prepayment'!$E$13="Keep tenure, recalculate EMI",-PMT(AI431/1200,MAX(1,'Loan Prepayment'!$B$7*12-AG431+1),AH431),IF(AND('Loan Prepayment'!$E$15="Reduce EMI",AM430&gt;0),-PMT(AI430/1200,MAX(1,'Loan Prepayment'!$B$7*12-AG431+1),AH431),AJ430)),IF(AND('Loan Prepayment'!$E$15="Reduce EMI",AM430&gt;0),-PMT(AI431/1200,MAX(1,'Loan Prepayment'!$B$7*12-AG431+1),AH431),AJ430)),AH431+AK431))</f>
        <v>0</v>
      </c>
      <c r="AK431">
        <f t="shared" si="170"/>
        <v>0</v>
      </c>
      <c r="AL431">
        <f t="shared" si="171"/>
        <v>0</v>
      </c>
      <c r="AM431">
        <f>IF(AH431&lt;=0,0,MIN(MAX(0,AH431-AL431),SUMIFS('Loan Prepayment'!$B$12:$B$31,'Loan Prepayment'!$A$12:$A$31,AG431)+IF(AND(AG431&gt;='Loan Prepayment'!$B$9,AG431&lt;='Loan Prepayment'!$E$16),'Loan Prepayment'!$B$8,0)))</f>
        <v>0</v>
      </c>
      <c r="AN431">
        <f t="shared" si="172"/>
        <v>0</v>
      </c>
    </row>
    <row r="432" spans="1:40" x14ac:dyDescent="0.35">
      <c r="A432">
        <f t="shared" si="173"/>
        <v>431</v>
      </c>
      <c r="B432">
        <f t="shared" si="152"/>
        <v>0</v>
      </c>
      <c r="C432">
        <f>'Loan Prepayment'!$B$6</f>
        <v>7.5</v>
      </c>
      <c r="D432">
        <f>IF(B432&lt;=0,0,MIN(-PMT('Loan Prepayment'!$B$6/1200,'Loan Prepayment'!$B$7*12,'Loan Prepayment'!$B$5),B432+E432))</f>
        <v>0</v>
      </c>
      <c r="E432">
        <f t="shared" si="153"/>
        <v>0</v>
      </c>
      <c r="F432">
        <f t="shared" si="154"/>
        <v>0</v>
      </c>
      <c r="G432">
        <v>0</v>
      </c>
      <c r="H432">
        <f t="shared" si="155"/>
        <v>0</v>
      </c>
      <c r="I432">
        <f t="shared" si="174"/>
        <v>431</v>
      </c>
      <c r="J432">
        <f t="shared" si="156"/>
        <v>0</v>
      </c>
      <c r="K432">
        <f>'Loan Prepayment'!$B$6</f>
        <v>7.5</v>
      </c>
      <c r="L432">
        <f>IF(J432&lt;=0,0,MIN(IF(AND('Loan Prepayment'!$E$15="Reduce EMI",O431&gt;0),-PMT(K432/1200,MAX(1,'Loan Prepayment'!$B$7*12-I432+1),J432),L431),J432+M432))</f>
        <v>0</v>
      </c>
      <c r="M432">
        <f t="shared" si="157"/>
        <v>0</v>
      </c>
      <c r="N432">
        <f t="shared" si="158"/>
        <v>0</v>
      </c>
      <c r="O432">
        <f>IF(J432&lt;=0,0,MIN(MAX(0,J432-N432),SUMIFS('Loan Prepayment'!$B$12:$B$31,'Loan Prepayment'!$A$12:$A$31,I432)+0))</f>
        <v>0</v>
      </c>
      <c r="P432">
        <f t="shared" si="159"/>
        <v>0</v>
      </c>
      <c r="Q432">
        <f t="shared" si="175"/>
        <v>431</v>
      </c>
      <c r="R432">
        <f t="shared" si="160"/>
        <v>0</v>
      </c>
      <c r="S432">
        <f>'Loan Prepayment'!$B$6</f>
        <v>7.5</v>
      </c>
      <c r="T432">
        <f>IF(R432&lt;=0,0,MIN(IF(AND('Loan Prepayment'!$E$15="Reduce EMI",W431&gt;0),-PMT(S432/1200,MAX(1,'Loan Prepayment'!$B$7*12-Q432+1),R432),T431),R432+U432))</f>
        <v>0</v>
      </c>
      <c r="U432">
        <f t="shared" si="161"/>
        <v>0</v>
      </c>
      <c r="V432">
        <f t="shared" si="162"/>
        <v>0</v>
      </c>
      <c r="W432">
        <f>IF(R432&lt;=0,0,MIN(MAX(0,R432-V432),0+IF(AND(Q432&gt;='Loan Prepayment'!$B$9,Q432&lt;='Loan Prepayment'!$E$16),'Loan Prepayment'!$B$8,0)))</f>
        <v>0</v>
      </c>
      <c r="X432">
        <f t="shared" si="163"/>
        <v>0</v>
      </c>
      <c r="Y432">
        <f t="shared" si="176"/>
        <v>431</v>
      </c>
      <c r="Z432">
        <f t="shared" si="164"/>
        <v>0</v>
      </c>
      <c r="AA432">
        <f>IF(Y432&gt;='Loan Prepayment'!$E$11,'Loan Prepayment'!$E$12,'Loan Prepayment'!$B$6)</f>
        <v>6.5</v>
      </c>
      <c r="AB432">
        <f>IF(Z432&lt;=0,0,MIN(IF(Y432='Loan Prepayment'!$E$11,IF('Loan Prepayment'!$E$13="Keep tenure, recalculate EMI",-PMT(AA432/1200,MAX(1,'Loan Prepayment'!$B$7*12-Y432+1),Z432),AB431),AB431),Z432+AC432))</f>
        <v>0</v>
      </c>
      <c r="AC432">
        <f t="shared" si="165"/>
        <v>0</v>
      </c>
      <c r="AD432">
        <f t="shared" si="166"/>
        <v>0</v>
      </c>
      <c r="AE432">
        <f t="shared" si="167"/>
        <v>0</v>
      </c>
      <c r="AF432">
        <f t="shared" si="168"/>
        <v>0</v>
      </c>
      <c r="AG432">
        <f t="shared" si="177"/>
        <v>431</v>
      </c>
      <c r="AH432">
        <f t="shared" si="169"/>
        <v>0</v>
      </c>
      <c r="AI432">
        <f>IF(AG432&gt;='Loan Prepayment'!$E$11,'Loan Prepayment'!$E$12,'Loan Prepayment'!$B$6)</f>
        <v>6.5</v>
      </c>
      <c r="AJ432">
        <f>IF(AH432&lt;=0,0,MIN(IF(AG432='Loan Prepayment'!$E$11,IF('Loan Prepayment'!$E$13="Keep tenure, recalculate EMI",-PMT(AI432/1200,MAX(1,'Loan Prepayment'!$B$7*12-AG432+1),AH432),IF(AND('Loan Prepayment'!$E$15="Reduce EMI",AM431&gt;0),-PMT(AI431/1200,MAX(1,'Loan Prepayment'!$B$7*12-AG432+1),AH432),AJ431)),IF(AND('Loan Prepayment'!$E$15="Reduce EMI",AM431&gt;0),-PMT(AI432/1200,MAX(1,'Loan Prepayment'!$B$7*12-AG432+1),AH432),AJ431)),AH432+AK432))</f>
        <v>0</v>
      </c>
      <c r="AK432">
        <f t="shared" si="170"/>
        <v>0</v>
      </c>
      <c r="AL432">
        <f t="shared" si="171"/>
        <v>0</v>
      </c>
      <c r="AM432">
        <f>IF(AH432&lt;=0,0,MIN(MAX(0,AH432-AL432),SUMIFS('Loan Prepayment'!$B$12:$B$31,'Loan Prepayment'!$A$12:$A$31,AG432)+IF(AND(AG432&gt;='Loan Prepayment'!$B$9,AG432&lt;='Loan Prepayment'!$E$16),'Loan Prepayment'!$B$8,0)))</f>
        <v>0</v>
      </c>
      <c r="AN432">
        <f t="shared" si="172"/>
        <v>0</v>
      </c>
    </row>
    <row r="433" spans="1:40" x14ac:dyDescent="0.35">
      <c r="A433">
        <f t="shared" si="173"/>
        <v>432</v>
      </c>
      <c r="B433">
        <f t="shared" si="152"/>
        <v>0</v>
      </c>
      <c r="C433">
        <f>'Loan Prepayment'!$B$6</f>
        <v>7.5</v>
      </c>
      <c r="D433">
        <f>IF(B433&lt;=0,0,MIN(-PMT('Loan Prepayment'!$B$6/1200,'Loan Prepayment'!$B$7*12,'Loan Prepayment'!$B$5),B433+E433))</f>
        <v>0</v>
      </c>
      <c r="E433">
        <f t="shared" si="153"/>
        <v>0</v>
      </c>
      <c r="F433">
        <f t="shared" si="154"/>
        <v>0</v>
      </c>
      <c r="G433">
        <v>0</v>
      </c>
      <c r="H433">
        <f t="shared" si="155"/>
        <v>0</v>
      </c>
      <c r="I433">
        <f t="shared" si="174"/>
        <v>432</v>
      </c>
      <c r="J433">
        <f t="shared" si="156"/>
        <v>0</v>
      </c>
      <c r="K433">
        <f>'Loan Prepayment'!$B$6</f>
        <v>7.5</v>
      </c>
      <c r="L433">
        <f>IF(J433&lt;=0,0,MIN(IF(AND('Loan Prepayment'!$E$15="Reduce EMI",O432&gt;0),-PMT(K433/1200,MAX(1,'Loan Prepayment'!$B$7*12-I433+1),J433),L432),J433+M433))</f>
        <v>0</v>
      </c>
      <c r="M433">
        <f t="shared" si="157"/>
        <v>0</v>
      </c>
      <c r="N433">
        <f t="shared" si="158"/>
        <v>0</v>
      </c>
      <c r="O433">
        <f>IF(J433&lt;=0,0,MIN(MAX(0,J433-N433),SUMIFS('Loan Prepayment'!$B$12:$B$31,'Loan Prepayment'!$A$12:$A$31,I433)+0))</f>
        <v>0</v>
      </c>
      <c r="P433">
        <f t="shared" si="159"/>
        <v>0</v>
      </c>
      <c r="Q433">
        <f t="shared" si="175"/>
        <v>432</v>
      </c>
      <c r="R433">
        <f t="shared" si="160"/>
        <v>0</v>
      </c>
      <c r="S433">
        <f>'Loan Prepayment'!$B$6</f>
        <v>7.5</v>
      </c>
      <c r="T433">
        <f>IF(R433&lt;=0,0,MIN(IF(AND('Loan Prepayment'!$E$15="Reduce EMI",W432&gt;0),-PMT(S433/1200,MAX(1,'Loan Prepayment'!$B$7*12-Q433+1),R433),T432),R433+U433))</f>
        <v>0</v>
      </c>
      <c r="U433">
        <f t="shared" si="161"/>
        <v>0</v>
      </c>
      <c r="V433">
        <f t="shared" si="162"/>
        <v>0</v>
      </c>
      <c r="W433">
        <f>IF(R433&lt;=0,0,MIN(MAX(0,R433-V433),0+IF(AND(Q433&gt;='Loan Prepayment'!$B$9,Q433&lt;='Loan Prepayment'!$E$16),'Loan Prepayment'!$B$8,0)))</f>
        <v>0</v>
      </c>
      <c r="X433">
        <f t="shared" si="163"/>
        <v>0</v>
      </c>
      <c r="Y433">
        <f t="shared" si="176"/>
        <v>432</v>
      </c>
      <c r="Z433">
        <f t="shared" si="164"/>
        <v>0</v>
      </c>
      <c r="AA433">
        <f>IF(Y433&gt;='Loan Prepayment'!$E$11,'Loan Prepayment'!$E$12,'Loan Prepayment'!$B$6)</f>
        <v>6.5</v>
      </c>
      <c r="AB433">
        <f>IF(Z433&lt;=0,0,MIN(IF(Y433='Loan Prepayment'!$E$11,IF('Loan Prepayment'!$E$13="Keep tenure, recalculate EMI",-PMT(AA433/1200,MAX(1,'Loan Prepayment'!$B$7*12-Y433+1),Z433),AB432),AB432),Z433+AC433))</f>
        <v>0</v>
      </c>
      <c r="AC433">
        <f t="shared" si="165"/>
        <v>0</v>
      </c>
      <c r="AD433">
        <f t="shared" si="166"/>
        <v>0</v>
      </c>
      <c r="AE433">
        <f t="shared" si="167"/>
        <v>0</v>
      </c>
      <c r="AF433">
        <f t="shared" si="168"/>
        <v>0</v>
      </c>
      <c r="AG433">
        <f t="shared" si="177"/>
        <v>432</v>
      </c>
      <c r="AH433">
        <f t="shared" si="169"/>
        <v>0</v>
      </c>
      <c r="AI433">
        <f>IF(AG433&gt;='Loan Prepayment'!$E$11,'Loan Prepayment'!$E$12,'Loan Prepayment'!$B$6)</f>
        <v>6.5</v>
      </c>
      <c r="AJ433">
        <f>IF(AH433&lt;=0,0,MIN(IF(AG433='Loan Prepayment'!$E$11,IF('Loan Prepayment'!$E$13="Keep tenure, recalculate EMI",-PMT(AI433/1200,MAX(1,'Loan Prepayment'!$B$7*12-AG433+1),AH433),IF(AND('Loan Prepayment'!$E$15="Reduce EMI",AM432&gt;0),-PMT(AI432/1200,MAX(1,'Loan Prepayment'!$B$7*12-AG433+1),AH433),AJ432)),IF(AND('Loan Prepayment'!$E$15="Reduce EMI",AM432&gt;0),-PMT(AI433/1200,MAX(1,'Loan Prepayment'!$B$7*12-AG433+1),AH433),AJ432)),AH433+AK433))</f>
        <v>0</v>
      </c>
      <c r="AK433">
        <f t="shared" si="170"/>
        <v>0</v>
      </c>
      <c r="AL433">
        <f t="shared" si="171"/>
        <v>0</v>
      </c>
      <c r="AM433">
        <f>IF(AH433&lt;=0,0,MIN(MAX(0,AH433-AL433),SUMIFS('Loan Prepayment'!$B$12:$B$31,'Loan Prepayment'!$A$12:$A$31,AG433)+IF(AND(AG433&gt;='Loan Prepayment'!$B$9,AG433&lt;='Loan Prepayment'!$E$16),'Loan Prepayment'!$B$8,0)))</f>
        <v>0</v>
      </c>
      <c r="AN433">
        <f t="shared" si="172"/>
        <v>0</v>
      </c>
    </row>
    <row r="434" spans="1:40" x14ac:dyDescent="0.35">
      <c r="A434">
        <f t="shared" si="173"/>
        <v>433</v>
      </c>
      <c r="B434">
        <f t="shared" si="152"/>
        <v>0</v>
      </c>
      <c r="C434">
        <f>'Loan Prepayment'!$B$6</f>
        <v>7.5</v>
      </c>
      <c r="D434">
        <f>IF(B434&lt;=0,0,MIN(-PMT('Loan Prepayment'!$B$6/1200,'Loan Prepayment'!$B$7*12,'Loan Prepayment'!$B$5),B434+E434))</f>
        <v>0</v>
      </c>
      <c r="E434">
        <f t="shared" si="153"/>
        <v>0</v>
      </c>
      <c r="F434">
        <f t="shared" si="154"/>
        <v>0</v>
      </c>
      <c r="G434">
        <v>0</v>
      </c>
      <c r="H434">
        <f t="shared" si="155"/>
        <v>0</v>
      </c>
      <c r="I434">
        <f t="shared" si="174"/>
        <v>433</v>
      </c>
      <c r="J434">
        <f t="shared" si="156"/>
        <v>0</v>
      </c>
      <c r="K434">
        <f>'Loan Prepayment'!$B$6</f>
        <v>7.5</v>
      </c>
      <c r="L434">
        <f>IF(J434&lt;=0,0,MIN(IF(AND('Loan Prepayment'!$E$15="Reduce EMI",O433&gt;0),-PMT(K434/1200,MAX(1,'Loan Prepayment'!$B$7*12-I434+1),J434),L433),J434+M434))</f>
        <v>0</v>
      </c>
      <c r="M434">
        <f t="shared" si="157"/>
        <v>0</v>
      </c>
      <c r="N434">
        <f t="shared" si="158"/>
        <v>0</v>
      </c>
      <c r="O434">
        <f>IF(J434&lt;=0,0,MIN(MAX(0,J434-N434),SUMIFS('Loan Prepayment'!$B$12:$B$31,'Loan Prepayment'!$A$12:$A$31,I434)+0))</f>
        <v>0</v>
      </c>
      <c r="P434">
        <f t="shared" si="159"/>
        <v>0</v>
      </c>
      <c r="Q434">
        <f t="shared" si="175"/>
        <v>433</v>
      </c>
      <c r="R434">
        <f t="shared" si="160"/>
        <v>0</v>
      </c>
      <c r="S434">
        <f>'Loan Prepayment'!$B$6</f>
        <v>7.5</v>
      </c>
      <c r="T434">
        <f>IF(R434&lt;=0,0,MIN(IF(AND('Loan Prepayment'!$E$15="Reduce EMI",W433&gt;0),-PMT(S434/1200,MAX(1,'Loan Prepayment'!$B$7*12-Q434+1),R434),T433),R434+U434))</f>
        <v>0</v>
      </c>
      <c r="U434">
        <f t="shared" si="161"/>
        <v>0</v>
      </c>
      <c r="V434">
        <f t="shared" si="162"/>
        <v>0</v>
      </c>
      <c r="W434">
        <f>IF(R434&lt;=0,0,MIN(MAX(0,R434-V434),0+IF(AND(Q434&gt;='Loan Prepayment'!$B$9,Q434&lt;='Loan Prepayment'!$E$16),'Loan Prepayment'!$B$8,0)))</f>
        <v>0</v>
      </c>
      <c r="X434">
        <f t="shared" si="163"/>
        <v>0</v>
      </c>
      <c r="Y434">
        <f t="shared" si="176"/>
        <v>433</v>
      </c>
      <c r="Z434">
        <f t="shared" si="164"/>
        <v>0</v>
      </c>
      <c r="AA434">
        <f>IF(Y434&gt;='Loan Prepayment'!$E$11,'Loan Prepayment'!$E$12,'Loan Prepayment'!$B$6)</f>
        <v>6.5</v>
      </c>
      <c r="AB434">
        <f>IF(Z434&lt;=0,0,MIN(IF(Y434='Loan Prepayment'!$E$11,IF('Loan Prepayment'!$E$13="Keep tenure, recalculate EMI",-PMT(AA434/1200,MAX(1,'Loan Prepayment'!$B$7*12-Y434+1),Z434),AB433),AB433),Z434+AC434))</f>
        <v>0</v>
      </c>
      <c r="AC434">
        <f t="shared" si="165"/>
        <v>0</v>
      </c>
      <c r="AD434">
        <f t="shared" si="166"/>
        <v>0</v>
      </c>
      <c r="AE434">
        <f t="shared" si="167"/>
        <v>0</v>
      </c>
      <c r="AF434">
        <f t="shared" si="168"/>
        <v>0</v>
      </c>
      <c r="AG434">
        <f t="shared" si="177"/>
        <v>433</v>
      </c>
      <c r="AH434">
        <f t="shared" si="169"/>
        <v>0</v>
      </c>
      <c r="AI434">
        <f>IF(AG434&gt;='Loan Prepayment'!$E$11,'Loan Prepayment'!$E$12,'Loan Prepayment'!$B$6)</f>
        <v>6.5</v>
      </c>
      <c r="AJ434">
        <f>IF(AH434&lt;=0,0,MIN(IF(AG434='Loan Prepayment'!$E$11,IF('Loan Prepayment'!$E$13="Keep tenure, recalculate EMI",-PMT(AI434/1200,MAX(1,'Loan Prepayment'!$B$7*12-AG434+1),AH434),IF(AND('Loan Prepayment'!$E$15="Reduce EMI",AM433&gt;0),-PMT(AI433/1200,MAX(1,'Loan Prepayment'!$B$7*12-AG434+1),AH434),AJ433)),IF(AND('Loan Prepayment'!$E$15="Reduce EMI",AM433&gt;0),-PMT(AI434/1200,MAX(1,'Loan Prepayment'!$B$7*12-AG434+1),AH434),AJ433)),AH434+AK434))</f>
        <v>0</v>
      </c>
      <c r="AK434">
        <f t="shared" si="170"/>
        <v>0</v>
      </c>
      <c r="AL434">
        <f t="shared" si="171"/>
        <v>0</v>
      </c>
      <c r="AM434">
        <f>IF(AH434&lt;=0,0,MIN(MAX(0,AH434-AL434),SUMIFS('Loan Prepayment'!$B$12:$B$31,'Loan Prepayment'!$A$12:$A$31,AG434)+IF(AND(AG434&gt;='Loan Prepayment'!$B$9,AG434&lt;='Loan Prepayment'!$E$16),'Loan Prepayment'!$B$8,0)))</f>
        <v>0</v>
      </c>
      <c r="AN434">
        <f t="shared" si="172"/>
        <v>0</v>
      </c>
    </row>
    <row r="435" spans="1:40" x14ac:dyDescent="0.35">
      <c r="A435">
        <f t="shared" si="173"/>
        <v>434</v>
      </c>
      <c r="B435">
        <f t="shared" si="152"/>
        <v>0</v>
      </c>
      <c r="C435">
        <f>'Loan Prepayment'!$B$6</f>
        <v>7.5</v>
      </c>
      <c r="D435">
        <f>IF(B435&lt;=0,0,MIN(-PMT('Loan Prepayment'!$B$6/1200,'Loan Prepayment'!$B$7*12,'Loan Prepayment'!$B$5),B435+E435))</f>
        <v>0</v>
      </c>
      <c r="E435">
        <f t="shared" si="153"/>
        <v>0</v>
      </c>
      <c r="F435">
        <f t="shared" si="154"/>
        <v>0</v>
      </c>
      <c r="G435">
        <v>0</v>
      </c>
      <c r="H435">
        <f t="shared" si="155"/>
        <v>0</v>
      </c>
      <c r="I435">
        <f t="shared" si="174"/>
        <v>434</v>
      </c>
      <c r="J435">
        <f t="shared" si="156"/>
        <v>0</v>
      </c>
      <c r="K435">
        <f>'Loan Prepayment'!$B$6</f>
        <v>7.5</v>
      </c>
      <c r="L435">
        <f>IF(J435&lt;=0,0,MIN(IF(AND('Loan Prepayment'!$E$15="Reduce EMI",O434&gt;0),-PMT(K435/1200,MAX(1,'Loan Prepayment'!$B$7*12-I435+1),J435),L434),J435+M435))</f>
        <v>0</v>
      </c>
      <c r="M435">
        <f t="shared" si="157"/>
        <v>0</v>
      </c>
      <c r="N435">
        <f t="shared" si="158"/>
        <v>0</v>
      </c>
      <c r="O435">
        <f>IF(J435&lt;=0,0,MIN(MAX(0,J435-N435),SUMIFS('Loan Prepayment'!$B$12:$B$31,'Loan Prepayment'!$A$12:$A$31,I435)+0))</f>
        <v>0</v>
      </c>
      <c r="P435">
        <f t="shared" si="159"/>
        <v>0</v>
      </c>
      <c r="Q435">
        <f t="shared" si="175"/>
        <v>434</v>
      </c>
      <c r="R435">
        <f t="shared" si="160"/>
        <v>0</v>
      </c>
      <c r="S435">
        <f>'Loan Prepayment'!$B$6</f>
        <v>7.5</v>
      </c>
      <c r="T435">
        <f>IF(R435&lt;=0,0,MIN(IF(AND('Loan Prepayment'!$E$15="Reduce EMI",W434&gt;0),-PMT(S435/1200,MAX(1,'Loan Prepayment'!$B$7*12-Q435+1),R435),T434),R435+U435))</f>
        <v>0</v>
      </c>
      <c r="U435">
        <f t="shared" si="161"/>
        <v>0</v>
      </c>
      <c r="V435">
        <f t="shared" si="162"/>
        <v>0</v>
      </c>
      <c r="W435">
        <f>IF(R435&lt;=0,0,MIN(MAX(0,R435-V435),0+IF(AND(Q435&gt;='Loan Prepayment'!$B$9,Q435&lt;='Loan Prepayment'!$E$16),'Loan Prepayment'!$B$8,0)))</f>
        <v>0</v>
      </c>
      <c r="X435">
        <f t="shared" si="163"/>
        <v>0</v>
      </c>
      <c r="Y435">
        <f t="shared" si="176"/>
        <v>434</v>
      </c>
      <c r="Z435">
        <f t="shared" si="164"/>
        <v>0</v>
      </c>
      <c r="AA435">
        <f>IF(Y435&gt;='Loan Prepayment'!$E$11,'Loan Prepayment'!$E$12,'Loan Prepayment'!$B$6)</f>
        <v>6.5</v>
      </c>
      <c r="AB435">
        <f>IF(Z435&lt;=0,0,MIN(IF(Y435='Loan Prepayment'!$E$11,IF('Loan Prepayment'!$E$13="Keep tenure, recalculate EMI",-PMT(AA435/1200,MAX(1,'Loan Prepayment'!$B$7*12-Y435+1),Z435),AB434),AB434),Z435+AC435))</f>
        <v>0</v>
      </c>
      <c r="AC435">
        <f t="shared" si="165"/>
        <v>0</v>
      </c>
      <c r="AD435">
        <f t="shared" si="166"/>
        <v>0</v>
      </c>
      <c r="AE435">
        <f t="shared" si="167"/>
        <v>0</v>
      </c>
      <c r="AF435">
        <f t="shared" si="168"/>
        <v>0</v>
      </c>
      <c r="AG435">
        <f t="shared" si="177"/>
        <v>434</v>
      </c>
      <c r="AH435">
        <f t="shared" si="169"/>
        <v>0</v>
      </c>
      <c r="AI435">
        <f>IF(AG435&gt;='Loan Prepayment'!$E$11,'Loan Prepayment'!$E$12,'Loan Prepayment'!$B$6)</f>
        <v>6.5</v>
      </c>
      <c r="AJ435">
        <f>IF(AH435&lt;=0,0,MIN(IF(AG435='Loan Prepayment'!$E$11,IF('Loan Prepayment'!$E$13="Keep tenure, recalculate EMI",-PMT(AI435/1200,MAX(1,'Loan Prepayment'!$B$7*12-AG435+1),AH435),IF(AND('Loan Prepayment'!$E$15="Reduce EMI",AM434&gt;0),-PMT(AI434/1200,MAX(1,'Loan Prepayment'!$B$7*12-AG435+1),AH435),AJ434)),IF(AND('Loan Prepayment'!$E$15="Reduce EMI",AM434&gt;0),-PMT(AI435/1200,MAX(1,'Loan Prepayment'!$B$7*12-AG435+1),AH435),AJ434)),AH435+AK435))</f>
        <v>0</v>
      </c>
      <c r="AK435">
        <f t="shared" si="170"/>
        <v>0</v>
      </c>
      <c r="AL435">
        <f t="shared" si="171"/>
        <v>0</v>
      </c>
      <c r="AM435">
        <f>IF(AH435&lt;=0,0,MIN(MAX(0,AH435-AL435),SUMIFS('Loan Prepayment'!$B$12:$B$31,'Loan Prepayment'!$A$12:$A$31,AG435)+IF(AND(AG435&gt;='Loan Prepayment'!$B$9,AG435&lt;='Loan Prepayment'!$E$16),'Loan Prepayment'!$B$8,0)))</f>
        <v>0</v>
      </c>
      <c r="AN435">
        <f t="shared" si="172"/>
        <v>0</v>
      </c>
    </row>
    <row r="436" spans="1:40" x14ac:dyDescent="0.35">
      <c r="A436">
        <f t="shared" si="173"/>
        <v>435</v>
      </c>
      <c r="B436">
        <f t="shared" si="152"/>
        <v>0</v>
      </c>
      <c r="C436">
        <f>'Loan Prepayment'!$B$6</f>
        <v>7.5</v>
      </c>
      <c r="D436">
        <f>IF(B436&lt;=0,0,MIN(-PMT('Loan Prepayment'!$B$6/1200,'Loan Prepayment'!$B$7*12,'Loan Prepayment'!$B$5),B436+E436))</f>
        <v>0</v>
      </c>
      <c r="E436">
        <f t="shared" si="153"/>
        <v>0</v>
      </c>
      <c r="F436">
        <f t="shared" si="154"/>
        <v>0</v>
      </c>
      <c r="G436">
        <v>0</v>
      </c>
      <c r="H436">
        <f t="shared" si="155"/>
        <v>0</v>
      </c>
      <c r="I436">
        <f t="shared" si="174"/>
        <v>435</v>
      </c>
      <c r="J436">
        <f t="shared" si="156"/>
        <v>0</v>
      </c>
      <c r="K436">
        <f>'Loan Prepayment'!$B$6</f>
        <v>7.5</v>
      </c>
      <c r="L436">
        <f>IF(J436&lt;=0,0,MIN(IF(AND('Loan Prepayment'!$E$15="Reduce EMI",O435&gt;0),-PMT(K436/1200,MAX(1,'Loan Prepayment'!$B$7*12-I436+1),J436),L435),J436+M436))</f>
        <v>0</v>
      </c>
      <c r="M436">
        <f t="shared" si="157"/>
        <v>0</v>
      </c>
      <c r="N436">
        <f t="shared" si="158"/>
        <v>0</v>
      </c>
      <c r="O436">
        <f>IF(J436&lt;=0,0,MIN(MAX(0,J436-N436),SUMIFS('Loan Prepayment'!$B$12:$B$31,'Loan Prepayment'!$A$12:$A$31,I436)+0))</f>
        <v>0</v>
      </c>
      <c r="P436">
        <f t="shared" si="159"/>
        <v>0</v>
      </c>
      <c r="Q436">
        <f t="shared" si="175"/>
        <v>435</v>
      </c>
      <c r="R436">
        <f t="shared" si="160"/>
        <v>0</v>
      </c>
      <c r="S436">
        <f>'Loan Prepayment'!$B$6</f>
        <v>7.5</v>
      </c>
      <c r="T436">
        <f>IF(R436&lt;=0,0,MIN(IF(AND('Loan Prepayment'!$E$15="Reduce EMI",W435&gt;0),-PMT(S436/1200,MAX(1,'Loan Prepayment'!$B$7*12-Q436+1),R436),T435),R436+U436))</f>
        <v>0</v>
      </c>
      <c r="U436">
        <f t="shared" si="161"/>
        <v>0</v>
      </c>
      <c r="V436">
        <f t="shared" si="162"/>
        <v>0</v>
      </c>
      <c r="W436">
        <f>IF(R436&lt;=0,0,MIN(MAX(0,R436-V436),0+IF(AND(Q436&gt;='Loan Prepayment'!$B$9,Q436&lt;='Loan Prepayment'!$E$16),'Loan Prepayment'!$B$8,0)))</f>
        <v>0</v>
      </c>
      <c r="X436">
        <f t="shared" si="163"/>
        <v>0</v>
      </c>
      <c r="Y436">
        <f t="shared" si="176"/>
        <v>435</v>
      </c>
      <c r="Z436">
        <f t="shared" si="164"/>
        <v>0</v>
      </c>
      <c r="AA436">
        <f>IF(Y436&gt;='Loan Prepayment'!$E$11,'Loan Prepayment'!$E$12,'Loan Prepayment'!$B$6)</f>
        <v>6.5</v>
      </c>
      <c r="AB436">
        <f>IF(Z436&lt;=0,0,MIN(IF(Y436='Loan Prepayment'!$E$11,IF('Loan Prepayment'!$E$13="Keep tenure, recalculate EMI",-PMT(AA436/1200,MAX(1,'Loan Prepayment'!$B$7*12-Y436+1),Z436),AB435),AB435),Z436+AC436))</f>
        <v>0</v>
      </c>
      <c r="AC436">
        <f t="shared" si="165"/>
        <v>0</v>
      </c>
      <c r="AD436">
        <f t="shared" si="166"/>
        <v>0</v>
      </c>
      <c r="AE436">
        <f t="shared" si="167"/>
        <v>0</v>
      </c>
      <c r="AF436">
        <f t="shared" si="168"/>
        <v>0</v>
      </c>
      <c r="AG436">
        <f t="shared" si="177"/>
        <v>435</v>
      </c>
      <c r="AH436">
        <f t="shared" si="169"/>
        <v>0</v>
      </c>
      <c r="AI436">
        <f>IF(AG436&gt;='Loan Prepayment'!$E$11,'Loan Prepayment'!$E$12,'Loan Prepayment'!$B$6)</f>
        <v>6.5</v>
      </c>
      <c r="AJ436">
        <f>IF(AH436&lt;=0,0,MIN(IF(AG436='Loan Prepayment'!$E$11,IF('Loan Prepayment'!$E$13="Keep tenure, recalculate EMI",-PMT(AI436/1200,MAX(1,'Loan Prepayment'!$B$7*12-AG436+1),AH436),IF(AND('Loan Prepayment'!$E$15="Reduce EMI",AM435&gt;0),-PMT(AI435/1200,MAX(1,'Loan Prepayment'!$B$7*12-AG436+1),AH436),AJ435)),IF(AND('Loan Prepayment'!$E$15="Reduce EMI",AM435&gt;0),-PMT(AI436/1200,MAX(1,'Loan Prepayment'!$B$7*12-AG436+1),AH436),AJ435)),AH436+AK436))</f>
        <v>0</v>
      </c>
      <c r="AK436">
        <f t="shared" si="170"/>
        <v>0</v>
      </c>
      <c r="AL436">
        <f t="shared" si="171"/>
        <v>0</v>
      </c>
      <c r="AM436">
        <f>IF(AH436&lt;=0,0,MIN(MAX(0,AH436-AL436),SUMIFS('Loan Prepayment'!$B$12:$B$31,'Loan Prepayment'!$A$12:$A$31,AG436)+IF(AND(AG436&gt;='Loan Prepayment'!$B$9,AG436&lt;='Loan Prepayment'!$E$16),'Loan Prepayment'!$B$8,0)))</f>
        <v>0</v>
      </c>
      <c r="AN436">
        <f t="shared" si="172"/>
        <v>0</v>
      </c>
    </row>
    <row r="437" spans="1:40" x14ac:dyDescent="0.35">
      <c r="A437">
        <f t="shared" si="173"/>
        <v>436</v>
      </c>
      <c r="B437">
        <f t="shared" si="152"/>
        <v>0</v>
      </c>
      <c r="C437">
        <f>'Loan Prepayment'!$B$6</f>
        <v>7.5</v>
      </c>
      <c r="D437">
        <f>IF(B437&lt;=0,0,MIN(-PMT('Loan Prepayment'!$B$6/1200,'Loan Prepayment'!$B$7*12,'Loan Prepayment'!$B$5),B437+E437))</f>
        <v>0</v>
      </c>
      <c r="E437">
        <f t="shared" si="153"/>
        <v>0</v>
      </c>
      <c r="F437">
        <f t="shared" si="154"/>
        <v>0</v>
      </c>
      <c r="G437">
        <v>0</v>
      </c>
      <c r="H437">
        <f t="shared" si="155"/>
        <v>0</v>
      </c>
      <c r="I437">
        <f t="shared" si="174"/>
        <v>436</v>
      </c>
      <c r="J437">
        <f t="shared" si="156"/>
        <v>0</v>
      </c>
      <c r="K437">
        <f>'Loan Prepayment'!$B$6</f>
        <v>7.5</v>
      </c>
      <c r="L437">
        <f>IF(J437&lt;=0,0,MIN(IF(AND('Loan Prepayment'!$E$15="Reduce EMI",O436&gt;0),-PMT(K437/1200,MAX(1,'Loan Prepayment'!$B$7*12-I437+1),J437),L436),J437+M437))</f>
        <v>0</v>
      </c>
      <c r="M437">
        <f t="shared" si="157"/>
        <v>0</v>
      </c>
      <c r="N437">
        <f t="shared" si="158"/>
        <v>0</v>
      </c>
      <c r="O437">
        <f>IF(J437&lt;=0,0,MIN(MAX(0,J437-N437),SUMIFS('Loan Prepayment'!$B$12:$B$31,'Loan Prepayment'!$A$12:$A$31,I437)+0))</f>
        <v>0</v>
      </c>
      <c r="P437">
        <f t="shared" si="159"/>
        <v>0</v>
      </c>
      <c r="Q437">
        <f t="shared" si="175"/>
        <v>436</v>
      </c>
      <c r="R437">
        <f t="shared" si="160"/>
        <v>0</v>
      </c>
      <c r="S437">
        <f>'Loan Prepayment'!$B$6</f>
        <v>7.5</v>
      </c>
      <c r="T437">
        <f>IF(R437&lt;=0,0,MIN(IF(AND('Loan Prepayment'!$E$15="Reduce EMI",W436&gt;0),-PMT(S437/1200,MAX(1,'Loan Prepayment'!$B$7*12-Q437+1),R437),T436),R437+U437))</f>
        <v>0</v>
      </c>
      <c r="U437">
        <f t="shared" si="161"/>
        <v>0</v>
      </c>
      <c r="V437">
        <f t="shared" si="162"/>
        <v>0</v>
      </c>
      <c r="W437">
        <f>IF(R437&lt;=0,0,MIN(MAX(0,R437-V437),0+IF(AND(Q437&gt;='Loan Prepayment'!$B$9,Q437&lt;='Loan Prepayment'!$E$16),'Loan Prepayment'!$B$8,0)))</f>
        <v>0</v>
      </c>
      <c r="X437">
        <f t="shared" si="163"/>
        <v>0</v>
      </c>
      <c r="Y437">
        <f t="shared" si="176"/>
        <v>436</v>
      </c>
      <c r="Z437">
        <f t="shared" si="164"/>
        <v>0</v>
      </c>
      <c r="AA437">
        <f>IF(Y437&gt;='Loan Prepayment'!$E$11,'Loan Prepayment'!$E$12,'Loan Prepayment'!$B$6)</f>
        <v>6.5</v>
      </c>
      <c r="AB437">
        <f>IF(Z437&lt;=0,0,MIN(IF(Y437='Loan Prepayment'!$E$11,IF('Loan Prepayment'!$E$13="Keep tenure, recalculate EMI",-PMT(AA437/1200,MAX(1,'Loan Prepayment'!$B$7*12-Y437+1),Z437),AB436),AB436),Z437+AC437))</f>
        <v>0</v>
      </c>
      <c r="AC437">
        <f t="shared" si="165"/>
        <v>0</v>
      </c>
      <c r="AD437">
        <f t="shared" si="166"/>
        <v>0</v>
      </c>
      <c r="AE437">
        <f t="shared" si="167"/>
        <v>0</v>
      </c>
      <c r="AF437">
        <f t="shared" si="168"/>
        <v>0</v>
      </c>
      <c r="AG437">
        <f t="shared" si="177"/>
        <v>436</v>
      </c>
      <c r="AH437">
        <f t="shared" si="169"/>
        <v>0</v>
      </c>
      <c r="AI437">
        <f>IF(AG437&gt;='Loan Prepayment'!$E$11,'Loan Prepayment'!$E$12,'Loan Prepayment'!$B$6)</f>
        <v>6.5</v>
      </c>
      <c r="AJ437">
        <f>IF(AH437&lt;=0,0,MIN(IF(AG437='Loan Prepayment'!$E$11,IF('Loan Prepayment'!$E$13="Keep tenure, recalculate EMI",-PMT(AI437/1200,MAX(1,'Loan Prepayment'!$B$7*12-AG437+1),AH437),IF(AND('Loan Prepayment'!$E$15="Reduce EMI",AM436&gt;0),-PMT(AI436/1200,MAX(1,'Loan Prepayment'!$B$7*12-AG437+1),AH437),AJ436)),IF(AND('Loan Prepayment'!$E$15="Reduce EMI",AM436&gt;0),-PMT(AI437/1200,MAX(1,'Loan Prepayment'!$B$7*12-AG437+1),AH437),AJ436)),AH437+AK437))</f>
        <v>0</v>
      </c>
      <c r="AK437">
        <f t="shared" si="170"/>
        <v>0</v>
      </c>
      <c r="AL437">
        <f t="shared" si="171"/>
        <v>0</v>
      </c>
      <c r="AM437">
        <f>IF(AH437&lt;=0,0,MIN(MAX(0,AH437-AL437),SUMIFS('Loan Prepayment'!$B$12:$B$31,'Loan Prepayment'!$A$12:$A$31,AG437)+IF(AND(AG437&gt;='Loan Prepayment'!$B$9,AG437&lt;='Loan Prepayment'!$E$16),'Loan Prepayment'!$B$8,0)))</f>
        <v>0</v>
      </c>
      <c r="AN437">
        <f t="shared" si="172"/>
        <v>0</v>
      </c>
    </row>
    <row r="438" spans="1:40" x14ac:dyDescent="0.35">
      <c r="A438">
        <f t="shared" si="173"/>
        <v>437</v>
      </c>
      <c r="B438">
        <f t="shared" si="152"/>
        <v>0</v>
      </c>
      <c r="C438">
        <f>'Loan Prepayment'!$B$6</f>
        <v>7.5</v>
      </c>
      <c r="D438">
        <f>IF(B438&lt;=0,0,MIN(-PMT('Loan Prepayment'!$B$6/1200,'Loan Prepayment'!$B$7*12,'Loan Prepayment'!$B$5),B438+E438))</f>
        <v>0</v>
      </c>
      <c r="E438">
        <f t="shared" si="153"/>
        <v>0</v>
      </c>
      <c r="F438">
        <f t="shared" si="154"/>
        <v>0</v>
      </c>
      <c r="G438">
        <v>0</v>
      </c>
      <c r="H438">
        <f t="shared" si="155"/>
        <v>0</v>
      </c>
      <c r="I438">
        <f t="shared" si="174"/>
        <v>437</v>
      </c>
      <c r="J438">
        <f t="shared" si="156"/>
        <v>0</v>
      </c>
      <c r="K438">
        <f>'Loan Prepayment'!$B$6</f>
        <v>7.5</v>
      </c>
      <c r="L438">
        <f>IF(J438&lt;=0,0,MIN(IF(AND('Loan Prepayment'!$E$15="Reduce EMI",O437&gt;0),-PMT(K438/1200,MAX(1,'Loan Prepayment'!$B$7*12-I438+1),J438),L437),J438+M438))</f>
        <v>0</v>
      </c>
      <c r="M438">
        <f t="shared" si="157"/>
        <v>0</v>
      </c>
      <c r="N438">
        <f t="shared" si="158"/>
        <v>0</v>
      </c>
      <c r="O438">
        <f>IF(J438&lt;=0,0,MIN(MAX(0,J438-N438),SUMIFS('Loan Prepayment'!$B$12:$B$31,'Loan Prepayment'!$A$12:$A$31,I438)+0))</f>
        <v>0</v>
      </c>
      <c r="P438">
        <f t="shared" si="159"/>
        <v>0</v>
      </c>
      <c r="Q438">
        <f t="shared" si="175"/>
        <v>437</v>
      </c>
      <c r="R438">
        <f t="shared" si="160"/>
        <v>0</v>
      </c>
      <c r="S438">
        <f>'Loan Prepayment'!$B$6</f>
        <v>7.5</v>
      </c>
      <c r="T438">
        <f>IF(R438&lt;=0,0,MIN(IF(AND('Loan Prepayment'!$E$15="Reduce EMI",W437&gt;0),-PMT(S438/1200,MAX(1,'Loan Prepayment'!$B$7*12-Q438+1),R438),T437),R438+U438))</f>
        <v>0</v>
      </c>
      <c r="U438">
        <f t="shared" si="161"/>
        <v>0</v>
      </c>
      <c r="V438">
        <f t="shared" si="162"/>
        <v>0</v>
      </c>
      <c r="W438">
        <f>IF(R438&lt;=0,0,MIN(MAX(0,R438-V438),0+IF(AND(Q438&gt;='Loan Prepayment'!$B$9,Q438&lt;='Loan Prepayment'!$E$16),'Loan Prepayment'!$B$8,0)))</f>
        <v>0</v>
      </c>
      <c r="X438">
        <f t="shared" si="163"/>
        <v>0</v>
      </c>
      <c r="Y438">
        <f t="shared" si="176"/>
        <v>437</v>
      </c>
      <c r="Z438">
        <f t="shared" si="164"/>
        <v>0</v>
      </c>
      <c r="AA438">
        <f>IF(Y438&gt;='Loan Prepayment'!$E$11,'Loan Prepayment'!$E$12,'Loan Prepayment'!$B$6)</f>
        <v>6.5</v>
      </c>
      <c r="AB438">
        <f>IF(Z438&lt;=0,0,MIN(IF(Y438='Loan Prepayment'!$E$11,IF('Loan Prepayment'!$E$13="Keep tenure, recalculate EMI",-PMT(AA438/1200,MAX(1,'Loan Prepayment'!$B$7*12-Y438+1),Z438),AB437),AB437),Z438+AC438))</f>
        <v>0</v>
      </c>
      <c r="AC438">
        <f t="shared" si="165"/>
        <v>0</v>
      </c>
      <c r="AD438">
        <f t="shared" si="166"/>
        <v>0</v>
      </c>
      <c r="AE438">
        <f t="shared" si="167"/>
        <v>0</v>
      </c>
      <c r="AF438">
        <f t="shared" si="168"/>
        <v>0</v>
      </c>
      <c r="AG438">
        <f t="shared" si="177"/>
        <v>437</v>
      </c>
      <c r="AH438">
        <f t="shared" si="169"/>
        <v>0</v>
      </c>
      <c r="AI438">
        <f>IF(AG438&gt;='Loan Prepayment'!$E$11,'Loan Prepayment'!$E$12,'Loan Prepayment'!$B$6)</f>
        <v>6.5</v>
      </c>
      <c r="AJ438">
        <f>IF(AH438&lt;=0,0,MIN(IF(AG438='Loan Prepayment'!$E$11,IF('Loan Prepayment'!$E$13="Keep tenure, recalculate EMI",-PMT(AI438/1200,MAX(1,'Loan Prepayment'!$B$7*12-AG438+1),AH438),IF(AND('Loan Prepayment'!$E$15="Reduce EMI",AM437&gt;0),-PMT(AI437/1200,MAX(1,'Loan Prepayment'!$B$7*12-AG438+1),AH438),AJ437)),IF(AND('Loan Prepayment'!$E$15="Reduce EMI",AM437&gt;0),-PMT(AI438/1200,MAX(1,'Loan Prepayment'!$B$7*12-AG438+1),AH438),AJ437)),AH438+AK438))</f>
        <v>0</v>
      </c>
      <c r="AK438">
        <f t="shared" si="170"/>
        <v>0</v>
      </c>
      <c r="AL438">
        <f t="shared" si="171"/>
        <v>0</v>
      </c>
      <c r="AM438">
        <f>IF(AH438&lt;=0,0,MIN(MAX(0,AH438-AL438),SUMIFS('Loan Prepayment'!$B$12:$B$31,'Loan Prepayment'!$A$12:$A$31,AG438)+IF(AND(AG438&gt;='Loan Prepayment'!$B$9,AG438&lt;='Loan Prepayment'!$E$16),'Loan Prepayment'!$B$8,0)))</f>
        <v>0</v>
      </c>
      <c r="AN438">
        <f t="shared" si="172"/>
        <v>0</v>
      </c>
    </row>
    <row r="439" spans="1:40" x14ac:dyDescent="0.35">
      <c r="A439">
        <f t="shared" si="173"/>
        <v>438</v>
      </c>
      <c r="B439">
        <f t="shared" si="152"/>
        <v>0</v>
      </c>
      <c r="C439">
        <f>'Loan Prepayment'!$B$6</f>
        <v>7.5</v>
      </c>
      <c r="D439">
        <f>IF(B439&lt;=0,0,MIN(-PMT('Loan Prepayment'!$B$6/1200,'Loan Prepayment'!$B$7*12,'Loan Prepayment'!$B$5),B439+E439))</f>
        <v>0</v>
      </c>
      <c r="E439">
        <f t="shared" si="153"/>
        <v>0</v>
      </c>
      <c r="F439">
        <f t="shared" si="154"/>
        <v>0</v>
      </c>
      <c r="G439">
        <v>0</v>
      </c>
      <c r="H439">
        <f t="shared" si="155"/>
        <v>0</v>
      </c>
      <c r="I439">
        <f t="shared" si="174"/>
        <v>438</v>
      </c>
      <c r="J439">
        <f t="shared" si="156"/>
        <v>0</v>
      </c>
      <c r="K439">
        <f>'Loan Prepayment'!$B$6</f>
        <v>7.5</v>
      </c>
      <c r="L439">
        <f>IF(J439&lt;=0,0,MIN(IF(AND('Loan Prepayment'!$E$15="Reduce EMI",O438&gt;0),-PMT(K439/1200,MAX(1,'Loan Prepayment'!$B$7*12-I439+1),J439),L438),J439+M439))</f>
        <v>0</v>
      </c>
      <c r="M439">
        <f t="shared" si="157"/>
        <v>0</v>
      </c>
      <c r="N439">
        <f t="shared" si="158"/>
        <v>0</v>
      </c>
      <c r="O439">
        <f>IF(J439&lt;=0,0,MIN(MAX(0,J439-N439),SUMIFS('Loan Prepayment'!$B$12:$B$31,'Loan Prepayment'!$A$12:$A$31,I439)+0))</f>
        <v>0</v>
      </c>
      <c r="P439">
        <f t="shared" si="159"/>
        <v>0</v>
      </c>
      <c r="Q439">
        <f t="shared" si="175"/>
        <v>438</v>
      </c>
      <c r="R439">
        <f t="shared" si="160"/>
        <v>0</v>
      </c>
      <c r="S439">
        <f>'Loan Prepayment'!$B$6</f>
        <v>7.5</v>
      </c>
      <c r="T439">
        <f>IF(R439&lt;=0,0,MIN(IF(AND('Loan Prepayment'!$E$15="Reduce EMI",W438&gt;0),-PMT(S439/1200,MAX(1,'Loan Prepayment'!$B$7*12-Q439+1),R439),T438),R439+U439))</f>
        <v>0</v>
      </c>
      <c r="U439">
        <f t="shared" si="161"/>
        <v>0</v>
      </c>
      <c r="V439">
        <f t="shared" si="162"/>
        <v>0</v>
      </c>
      <c r="W439">
        <f>IF(R439&lt;=0,0,MIN(MAX(0,R439-V439),0+IF(AND(Q439&gt;='Loan Prepayment'!$B$9,Q439&lt;='Loan Prepayment'!$E$16),'Loan Prepayment'!$B$8,0)))</f>
        <v>0</v>
      </c>
      <c r="X439">
        <f t="shared" si="163"/>
        <v>0</v>
      </c>
      <c r="Y439">
        <f t="shared" si="176"/>
        <v>438</v>
      </c>
      <c r="Z439">
        <f t="shared" si="164"/>
        <v>0</v>
      </c>
      <c r="AA439">
        <f>IF(Y439&gt;='Loan Prepayment'!$E$11,'Loan Prepayment'!$E$12,'Loan Prepayment'!$B$6)</f>
        <v>6.5</v>
      </c>
      <c r="AB439">
        <f>IF(Z439&lt;=0,0,MIN(IF(Y439='Loan Prepayment'!$E$11,IF('Loan Prepayment'!$E$13="Keep tenure, recalculate EMI",-PMT(AA439/1200,MAX(1,'Loan Prepayment'!$B$7*12-Y439+1),Z439),AB438),AB438),Z439+AC439))</f>
        <v>0</v>
      </c>
      <c r="AC439">
        <f t="shared" si="165"/>
        <v>0</v>
      </c>
      <c r="AD439">
        <f t="shared" si="166"/>
        <v>0</v>
      </c>
      <c r="AE439">
        <f t="shared" si="167"/>
        <v>0</v>
      </c>
      <c r="AF439">
        <f t="shared" si="168"/>
        <v>0</v>
      </c>
      <c r="AG439">
        <f t="shared" si="177"/>
        <v>438</v>
      </c>
      <c r="AH439">
        <f t="shared" si="169"/>
        <v>0</v>
      </c>
      <c r="AI439">
        <f>IF(AG439&gt;='Loan Prepayment'!$E$11,'Loan Prepayment'!$E$12,'Loan Prepayment'!$B$6)</f>
        <v>6.5</v>
      </c>
      <c r="AJ439">
        <f>IF(AH439&lt;=0,0,MIN(IF(AG439='Loan Prepayment'!$E$11,IF('Loan Prepayment'!$E$13="Keep tenure, recalculate EMI",-PMT(AI439/1200,MAX(1,'Loan Prepayment'!$B$7*12-AG439+1),AH439),IF(AND('Loan Prepayment'!$E$15="Reduce EMI",AM438&gt;0),-PMT(AI438/1200,MAX(1,'Loan Prepayment'!$B$7*12-AG439+1),AH439),AJ438)),IF(AND('Loan Prepayment'!$E$15="Reduce EMI",AM438&gt;0),-PMT(AI439/1200,MAX(1,'Loan Prepayment'!$B$7*12-AG439+1),AH439),AJ438)),AH439+AK439))</f>
        <v>0</v>
      </c>
      <c r="AK439">
        <f t="shared" si="170"/>
        <v>0</v>
      </c>
      <c r="AL439">
        <f t="shared" si="171"/>
        <v>0</v>
      </c>
      <c r="AM439">
        <f>IF(AH439&lt;=0,0,MIN(MAX(0,AH439-AL439),SUMIFS('Loan Prepayment'!$B$12:$B$31,'Loan Prepayment'!$A$12:$A$31,AG439)+IF(AND(AG439&gt;='Loan Prepayment'!$B$9,AG439&lt;='Loan Prepayment'!$E$16),'Loan Prepayment'!$B$8,0)))</f>
        <v>0</v>
      </c>
      <c r="AN439">
        <f t="shared" si="172"/>
        <v>0</v>
      </c>
    </row>
    <row r="440" spans="1:40" x14ac:dyDescent="0.35">
      <c r="A440">
        <f t="shared" si="173"/>
        <v>439</v>
      </c>
      <c r="B440">
        <f t="shared" si="152"/>
        <v>0</v>
      </c>
      <c r="C440">
        <f>'Loan Prepayment'!$B$6</f>
        <v>7.5</v>
      </c>
      <c r="D440">
        <f>IF(B440&lt;=0,0,MIN(-PMT('Loan Prepayment'!$B$6/1200,'Loan Prepayment'!$B$7*12,'Loan Prepayment'!$B$5),B440+E440))</f>
        <v>0</v>
      </c>
      <c r="E440">
        <f t="shared" si="153"/>
        <v>0</v>
      </c>
      <c r="F440">
        <f t="shared" si="154"/>
        <v>0</v>
      </c>
      <c r="G440">
        <v>0</v>
      </c>
      <c r="H440">
        <f t="shared" si="155"/>
        <v>0</v>
      </c>
      <c r="I440">
        <f t="shared" si="174"/>
        <v>439</v>
      </c>
      <c r="J440">
        <f t="shared" si="156"/>
        <v>0</v>
      </c>
      <c r="K440">
        <f>'Loan Prepayment'!$B$6</f>
        <v>7.5</v>
      </c>
      <c r="L440">
        <f>IF(J440&lt;=0,0,MIN(IF(AND('Loan Prepayment'!$E$15="Reduce EMI",O439&gt;0),-PMT(K440/1200,MAX(1,'Loan Prepayment'!$B$7*12-I440+1),J440),L439),J440+M440))</f>
        <v>0</v>
      </c>
      <c r="M440">
        <f t="shared" si="157"/>
        <v>0</v>
      </c>
      <c r="N440">
        <f t="shared" si="158"/>
        <v>0</v>
      </c>
      <c r="O440">
        <f>IF(J440&lt;=0,0,MIN(MAX(0,J440-N440),SUMIFS('Loan Prepayment'!$B$12:$B$31,'Loan Prepayment'!$A$12:$A$31,I440)+0))</f>
        <v>0</v>
      </c>
      <c r="P440">
        <f t="shared" si="159"/>
        <v>0</v>
      </c>
      <c r="Q440">
        <f t="shared" si="175"/>
        <v>439</v>
      </c>
      <c r="R440">
        <f t="shared" si="160"/>
        <v>0</v>
      </c>
      <c r="S440">
        <f>'Loan Prepayment'!$B$6</f>
        <v>7.5</v>
      </c>
      <c r="T440">
        <f>IF(R440&lt;=0,0,MIN(IF(AND('Loan Prepayment'!$E$15="Reduce EMI",W439&gt;0),-PMT(S440/1200,MAX(1,'Loan Prepayment'!$B$7*12-Q440+1),R440),T439),R440+U440))</f>
        <v>0</v>
      </c>
      <c r="U440">
        <f t="shared" si="161"/>
        <v>0</v>
      </c>
      <c r="V440">
        <f t="shared" si="162"/>
        <v>0</v>
      </c>
      <c r="W440">
        <f>IF(R440&lt;=0,0,MIN(MAX(0,R440-V440),0+IF(AND(Q440&gt;='Loan Prepayment'!$B$9,Q440&lt;='Loan Prepayment'!$E$16),'Loan Prepayment'!$B$8,0)))</f>
        <v>0</v>
      </c>
      <c r="X440">
        <f t="shared" si="163"/>
        <v>0</v>
      </c>
      <c r="Y440">
        <f t="shared" si="176"/>
        <v>439</v>
      </c>
      <c r="Z440">
        <f t="shared" si="164"/>
        <v>0</v>
      </c>
      <c r="AA440">
        <f>IF(Y440&gt;='Loan Prepayment'!$E$11,'Loan Prepayment'!$E$12,'Loan Prepayment'!$B$6)</f>
        <v>6.5</v>
      </c>
      <c r="AB440">
        <f>IF(Z440&lt;=0,0,MIN(IF(Y440='Loan Prepayment'!$E$11,IF('Loan Prepayment'!$E$13="Keep tenure, recalculate EMI",-PMT(AA440/1200,MAX(1,'Loan Prepayment'!$B$7*12-Y440+1),Z440),AB439),AB439),Z440+AC440))</f>
        <v>0</v>
      </c>
      <c r="AC440">
        <f t="shared" si="165"/>
        <v>0</v>
      </c>
      <c r="AD440">
        <f t="shared" si="166"/>
        <v>0</v>
      </c>
      <c r="AE440">
        <f t="shared" si="167"/>
        <v>0</v>
      </c>
      <c r="AF440">
        <f t="shared" si="168"/>
        <v>0</v>
      </c>
      <c r="AG440">
        <f t="shared" si="177"/>
        <v>439</v>
      </c>
      <c r="AH440">
        <f t="shared" si="169"/>
        <v>0</v>
      </c>
      <c r="AI440">
        <f>IF(AG440&gt;='Loan Prepayment'!$E$11,'Loan Prepayment'!$E$12,'Loan Prepayment'!$B$6)</f>
        <v>6.5</v>
      </c>
      <c r="AJ440">
        <f>IF(AH440&lt;=0,0,MIN(IF(AG440='Loan Prepayment'!$E$11,IF('Loan Prepayment'!$E$13="Keep tenure, recalculate EMI",-PMT(AI440/1200,MAX(1,'Loan Prepayment'!$B$7*12-AG440+1),AH440),IF(AND('Loan Prepayment'!$E$15="Reduce EMI",AM439&gt;0),-PMT(AI439/1200,MAX(1,'Loan Prepayment'!$B$7*12-AG440+1),AH440),AJ439)),IF(AND('Loan Prepayment'!$E$15="Reduce EMI",AM439&gt;0),-PMT(AI440/1200,MAX(1,'Loan Prepayment'!$B$7*12-AG440+1),AH440),AJ439)),AH440+AK440))</f>
        <v>0</v>
      </c>
      <c r="AK440">
        <f t="shared" si="170"/>
        <v>0</v>
      </c>
      <c r="AL440">
        <f t="shared" si="171"/>
        <v>0</v>
      </c>
      <c r="AM440">
        <f>IF(AH440&lt;=0,0,MIN(MAX(0,AH440-AL440),SUMIFS('Loan Prepayment'!$B$12:$B$31,'Loan Prepayment'!$A$12:$A$31,AG440)+IF(AND(AG440&gt;='Loan Prepayment'!$B$9,AG440&lt;='Loan Prepayment'!$E$16),'Loan Prepayment'!$B$8,0)))</f>
        <v>0</v>
      </c>
      <c r="AN440">
        <f t="shared" si="172"/>
        <v>0</v>
      </c>
    </row>
    <row r="441" spans="1:40" x14ac:dyDescent="0.35">
      <c r="A441">
        <f t="shared" si="173"/>
        <v>440</v>
      </c>
      <c r="B441">
        <f t="shared" si="152"/>
        <v>0</v>
      </c>
      <c r="C441">
        <f>'Loan Prepayment'!$B$6</f>
        <v>7.5</v>
      </c>
      <c r="D441">
        <f>IF(B441&lt;=0,0,MIN(-PMT('Loan Prepayment'!$B$6/1200,'Loan Prepayment'!$B$7*12,'Loan Prepayment'!$B$5),B441+E441))</f>
        <v>0</v>
      </c>
      <c r="E441">
        <f t="shared" si="153"/>
        <v>0</v>
      </c>
      <c r="F441">
        <f t="shared" si="154"/>
        <v>0</v>
      </c>
      <c r="G441">
        <v>0</v>
      </c>
      <c r="H441">
        <f t="shared" si="155"/>
        <v>0</v>
      </c>
      <c r="I441">
        <f t="shared" si="174"/>
        <v>440</v>
      </c>
      <c r="J441">
        <f t="shared" si="156"/>
        <v>0</v>
      </c>
      <c r="K441">
        <f>'Loan Prepayment'!$B$6</f>
        <v>7.5</v>
      </c>
      <c r="L441">
        <f>IF(J441&lt;=0,0,MIN(IF(AND('Loan Prepayment'!$E$15="Reduce EMI",O440&gt;0),-PMT(K441/1200,MAX(1,'Loan Prepayment'!$B$7*12-I441+1),J441),L440),J441+M441))</f>
        <v>0</v>
      </c>
      <c r="M441">
        <f t="shared" si="157"/>
        <v>0</v>
      </c>
      <c r="N441">
        <f t="shared" si="158"/>
        <v>0</v>
      </c>
      <c r="O441">
        <f>IF(J441&lt;=0,0,MIN(MAX(0,J441-N441),SUMIFS('Loan Prepayment'!$B$12:$B$31,'Loan Prepayment'!$A$12:$A$31,I441)+0))</f>
        <v>0</v>
      </c>
      <c r="P441">
        <f t="shared" si="159"/>
        <v>0</v>
      </c>
      <c r="Q441">
        <f t="shared" si="175"/>
        <v>440</v>
      </c>
      <c r="R441">
        <f t="shared" si="160"/>
        <v>0</v>
      </c>
      <c r="S441">
        <f>'Loan Prepayment'!$B$6</f>
        <v>7.5</v>
      </c>
      <c r="T441">
        <f>IF(R441&lt;=0,0,MIN(IF(AND('Loan Prepayment'!$E$15="Reduce EMI",W440&gt;0),-PMT(S441/1200,MAX(1,'Loan Prepayment'!$B$7*12-Q441+1),R441),T440),R441+U441))</f>
        <v>0</v>
      </c>
      <c r="U441">
        <f t="shared" si="161"/>
        <v>0</v>
      </c>
      <c r="V441">
        <f t="shared" si="162"/>
        <v>0</v>
      </c>
      <c r="W441">
        <f>IF(R441&lt;=0,0,MIN(MAX(0,R441-V441),0+IF(AND(Q441&gt;='Loan Prepayment'!$B$9,Q441&lt;='Loan Prepayment'!$E$16),'Loan Prepayment'!$B$8,0)))</f>
        <v>0</v>
      </c>
      <c r="X441">
        <f t="shared" si="163"/>
        <v>0</v>
      </c>
      <c r="Y441">
        <f t="shared" si="176"/>
        <v>440</v>
      </c>
      <c r="Z441">
        <f t="shared" si="164"/>
        <v>0</v>
      </c>
      <c r="AA441">
        <f>IF(Y441&gt;='Loan Prepayment'!$E$11,'Loan Prepayment'!$E$12,'Loan Prepayment'!$B$6)</f>
        <v>6.5</v>
      </c>
      <c r="AB441">
        <f>IF(Z441&lt;=0,0,MIN(IF(Y441='Loan Prepayment'!$E$11,IF('Loan Prepayment'!$E$13="Keep tenure, recalculate EMI",-PMT(AA441/1200,MAX(1,'Loan Prepayment'!$B$7*12-Y441+1),Z441),AB440),AB440),Z441+AC441))</f>
        <v>0</v>
      </c>
      <c r="AC441">
        <f t="shared" si="165"/>
        <v>0</v>
      </c>
      <c r="AD441">
        <f t="shared" si="166"/>
        <v>0</v>
      </c>
      <c r="AE441">
        <f t="shared" si="167"/>
        <v>0</v>
      </c>
      <c r="AF441">
        <f t="shared" si="168"/>
        <v>0</v>
      </c>
      <c r="AG441">
        <f t="shared" si="177"/>
        <v>440</v>
      </c>
      <c r="AH441">
        <f t="shared" si="169"/>
        <v>0</v>
      </c>
      <c r="AI441">
        <f>IF(AG441&gt;='Loan Prepayment'!$E$11,'Loan Prepayment'!$E$12,'Loan Prepayment'!$B$6)</f>
        <v>6.5</v>
      </c>
      <c r="AJ441">
        <f>IF(AH441&lt;=0,0,MIN(IF(AG441='Loan Prepayment'!$E$11,IF('Loan Prepayment'!$E$13="Keep tenure, recalculate EMI",-PMT(AI441/1200,MAX(1,'Loan Prepayment'!$B$7*12-AG441+1),AH441),IF(AND('Loan Prepayment'!$E$15="Reduce EMI",AM440&gt;0),-PMT(AI440/1200,MAX(1,'Loan Prepayment'!$B$7*12-AG441+1),AH441),AJ440)),IF(AND('Loan Prepayment'!$E$15="Reduce EMI",AM440&gt;0),-PMT(AI441/1200,MAX(1,'Loan Prepayment'!$B$7*12-AG441+1),AH441),AJ440)),AH441+AK441))</f>
        <v>0</v>
      </c>
      <c r="AK441">
        <f t="shared" si="170"/>
        <v>0</v>
      </c>
      <c r="AL441">
        <f t="shared" si="171"/>
        <v>0</v>
      </c>
      <c r="AM441">
        <f>IF(AH441&lt;=0,0,MIN(MAX(0,AH441-AL441),SUMIFS('Loan Prepayment'!$B$12:$B$31,'Loan Prepayment'!$A$12:$A$31,AG441)+IF(AND(AG441&gt;='Loan Prepayment'!$B$9,AG441&lt;='Loan Prepayment'!$E$16),'Loan Prepayment'!$B$8,0)))</f>
        <v>0</v>
      </c>
      <c r="AN441">
        <f t="shared" si="172"/>
        <v>0</v>
      </c>
    </row>
    <row r="442" spans="1:40" x14ac:dyDescent="0.35">
      <c r="A442">
        <f t="shared" si="173"/>
        <v>441</v>
      </c>
      <c r="B442">
        <f t="shared" si="152"/>
        <v>0</v>
      </c>
      <c r="C442">
        <f>'Loan Prepayment'!$B$6</f>
        <v>7.5</v>
      </c>
      <c r="D442">
        <f>IF(B442&lt;=0,0,MIN(-PMT('Loan Prepayment'!$B$6/1200,'Loan Prepayment'!$B$7*12,'Loan Prepayment'!$B$5),B442+E442))</f>
        <v>0</v>
      </c>
      <c r="E442">
        <f t="shared" si="153"/>
        <v>0</v>
      </c>
      <c r="F442">
        <f t="shared" si="154"/>
        <v>0</v>
      </c>
      <c r="G442">
        <v>0</v>
      </c>
      <c r="H442">
        <f t="shared" si="155"/>
        <v>0</v>
      </c>
      <c r="I442">
        <f t="shared" si="174"/>
        <v>441</v>
      </c>
      <c r="J442">
        <f t="shared" si="156"/>
        <v>0</v>
      </c>
      <c r="K442">
        <f>'Loan Prepayment'!$B$6</f>
        <v>7.5</v>
      </c>
      <c r="L442">
        <f>IF(J442&lt;=0,0,MIN(IF(AND('Loan Prepayment'!$E$15="Reduce EMI",O441&gt;0),-PMT(K442/1200,MAX(1,'Loan Prepayment'!$B$7*12-I442+1),J442),L441),J442+M442))</f>
        <v>0</v>
      </c>
      <c r="M442">
        <f t="shared" si="157"/>
        <v>0</v>
      </c>
      <c r="N442">
        <f t="shared" si="158"/>
        <v>0</v>
      </c>
      <c r="O442">
        <f>IF(J442&lt;=0,0,MIN(MAX(0,J442-N442),SUMIFS('Loan Prepayment'!$B$12:$B$31,'Loan Prepayment'!$A$12:$A$31,I442)+0))</f>
        <v>0</v>
      </c>
      <c r="P442">
        <f t="shared" si="159"/>
        <v>0</v>
      </c>
      <c r="Q442">
        <f t="shared" si="175"/>
        <v>441</v>
      </c>
      <c r="R442">
        <f t="shared" si="160"/>
        <v>0</v>
      </c>
      <c r="S442">
        <f>'Loan Prepayment'!$B$6</f>
        <v>7.5</v>
      </c>
      <c r="T442">
        <f>IF(R442&lt;=0,0,MIN(IF(AND('Loan Prepayment'!$E$15="Reduce EMI",W441&gt;0),-PMT(S442/1200,MAX(1,'Loan Prepayment'!$B$7*12-Q442+1),R442),T441),R442+U442))</f>
        <v>0</v>
      </c>
      <c r="U442">
        <f t="shared" si="161"/>
        <v>0</v>
      </c>
      <c r="V442">
        <f t="shared" si="162"/>
        <v>0</v>
      </c>
      <c r="W442">
        <f>IF(R442&lt;=0,0,MIN(MAX(0,R442-V442),0+IF(AND(Q442&gt;='Loan Prepayment'!$B$9,Q442&lt;='Loan Prepayment'!$E$16),'Loan Prepayment'!$B$8,0)))</f>
        <v>0</v>
      </c>
      <c r="X442">
        <f t="shared" si="163"/>
        <v>0</v>
      </c>
      <c r="Y442">
        <f t="shared" si="176"/>
        <v>441</v>
      </c>
      <c r="Z442">
        <f t="shared" si="164"/>
        <v>0</v>
      </c>
      <c r="AA442">
        <f>IF(Y442&gt;='Loan Prepayment'!$E$11,'Loan Prepayment'!$E$12,'Loan Prepayment'!$B$6)</f>
        <v>6.5</v>
      </c>
      <c r="AB442">
        <f>IF(Z442&lt;=0,0,MIN(IF(Y442='Loan Prepayment'!$E$11,IF('Loan Prepayment'!$E$13="Keep tenure, recalculate EMI",-PMT(AA442/1200,MAX(1,'Loan Prepayment'!$B$7*12-Y442+1),Z442),AB441),AB441),Z442+AC442))</f>
        <v>0</v>
      </c>
      <c r="AC442">
        <f t="shared" si="165"/>
        <v>0</v>
      </c>
      <c r="AD442">
        <f t="shared" si="166"/>
        <v>0</v>
      </c>
      <c r="AE442">
        <f t="shared" si="167"/>
        <v>0</v>
      </c>
      <c r="AF442">
        <f t="shared" si="168"/>
        <v>0</v>
      </c>
      <c r="AG442">
        <f t="shared" si="177"/>
        <v>441</v>
      </c>
      <c r="AH442">
        <f t="shared" si="169"/>
        <v>0</v>
      </c>
      <c r="AI442">
        <f>IF(AG442&gt;='Loan Prepayment'!$E$11,'Loan Prepayment'!$E$12,'Loan Prepayment'!$B$6)</f>
        <v>6.5</v>
      </c>
      <c r="AJ442">
        <f>IF(AH442&lt;=0,0,MIN(IF(AG442='Loan Prepayment'!$E$11,IF('Loan Prepayment'!$E$13="Keep tenure, recalculate EMI",-PMT(AI442/1200,MAX(1,'Loan Prepayment'!$B$7*12-AG442+1),AH442),IF(AND('Loan Prepayment'!$E$15="Reduce EMI",AM441&gt;0),-PMT(AI441/1200,MAX(1,'Loan Prepayment'!$B$7*12-AG442+1),AH442),AJ441)),IF(AND('Loan Prepayment'!$E$15="Reduce EMI",AM441&gt;0),-PMT(AI442/1200,MAX(1,'Loan Prepayment'!$B$7*12-AG442+1),AH442),AJ441)),AH442+AK442))</f>
        <v>0</v>
      </c>
      <c r="AK442">
        <f t="shared" si="170"/>
        <v>0</v>
      </c>
      <c r="AL442">
        <f t="shared" si="171"/>
        <v>0</v>
      </c>
      <c r="AM442">
        <f>IF(AH442&lt;=0,0,MIN(MAX(0,AH442-AL442),SUMIFS('Loan Prepayment'!$B$12:$B$31,'Loan Prepayment'!$A$12:$A$31,AG442)+IF(AND(AG442&gt;='Loan Prepayment'!$B$9,AG442&lt;='Loan Prepayment'!$E$16),'Loan Prepayment'!$B$8,0)))</f>
        <v>0</v>
      </c>
      <c r="AN442">
        <f t="shared" si="172"/>
        <v>0</v>
      </c>
    </row>
    <row r="443" spans="1:40" x14ac:dyDescent="0.35">
      <c r="A443">
        <f t="shared" si="173"/>
        <v>442</v>
      </c>
      <c r="B443">
        <f t="shared" si="152"/>
        <v>0</v>
      </c>
      <c r="C443">
        <f>'Loan Prepayment'!$B$6</f>
        <v>7.5</v>
      </c>
      <c r="D443">
        <f>IF(B443&lt;=0,0,MIN(-PMT('Loan Prepayment'!$B$6/1200,'Loan Prepayment'!$B$7*12,'Loan Prepayment'!$B$5),B443+E443))</f>
        <v>0</v>
      </c>
      <c r="E443">
        <f t="shared" si="153"/>
        <v>0</v>
      </c>
      <c r="F443">
        <f t="shared" si="154"/>
        <v>0</v>
      </c>
      <c r="G443">
        <v>0</v>
      </c>
      <c r="H443">
        <f t="shared" si="155"/>
        <v>0</v>
      </c>
      <c r="I443">
        <f t="shared" si="174"/>
        <v>442</v>
      </c>
      <c r="J443">
        <f t="shared" si="156"/>
        <v>0</v>
      </c>
      <c r="K443">
        <f>'Loan Prepayment'!$B$6</f>
        <v>7.5</v>
      </c>
      <c r="L443">
        <f>IF(J443&lt;=0,0,MIN(IF(AND('Loan Prepayment'!$E$15="Reduce EMI",O442&gt;0),-PMT(K443/1200,MAX(1,'Loan Prepayment'!$B$7*12-I443+1),J443),L442),J443+M443))</f>
        <v>0</v>
      </c>
      <c r="M443">
        <f t="shared" si="157"/>
        <v>0</v>
      </c>
      <c r="N443">
        <f t="shared" si="158"/>
        <v>0</v>
      </c>
      <c r="O443">
        <f>IF(J443&lt;=0,0,MIN(MAX(0,J443-N443),SUMIFS('Loan Prepayment'!$B$12:$B$31,'Loan Prepayment'!$A$12:$A$31,I443)+0))</f>
        <v>0</v>
      </c>
      <c r="P443">
        <f t="shared" si="159"/>
        <v>0</v>
      </c>
      <c r="Q443">
        <f t="shared" si="175"/>
        <v>442</v>
      </c>
      <c r="R443">
        <f t="shared" si="160"/>
        <v>0</v>
      </c>
      <c r="S443">
        <f>'Loan Prepayment'!$B$6</f>
        <v>7.5</v>
      </c>
      <c r="T443">
        <f>IF(R443&lt;=0,0,MIN(IF(AND('Loan Prepayment'!$E$15="Reduce EMI",W442&gt;0),-PMT(S443/1200,MAX(1,'Loan Prepayment'!$B$7*12-Q443+1),R443),T442),R443+U443))</f>
        <v>0</v>
      </c>
      <c r="U443">
        <f t="shared" si="161"/>
        <v>0</v>
      </c>
      <c r="V443">
        <f t="shared" si="162"/>
        <v>0</v>
      </c>
      <c r="W443">
        <f>IF(R443&lt;=0,0,MIN(MAX(0,R443-V443),0+IF(AND(Q443&gt;='Loan Prepayment'!$B$9,Q443&lt;='Loan Prepayment'!$E$16),'Loan Prepayment'!$B$8,0)))</f>
        <v>0</v>
      </c>
      <c r="X443">
        <f t="shared" si="163"/>
        <v>0</v>
      </c>
      <c r="Y443">
        <f t="shared" si="176"/>
        <v>442</v>
      </c>
      <c r="Z443">
        <f t="shared" si="164"/>
        <v>0</v>
      </c>
      <c r="AA443">
        <f>IF(Y443&gt;='Loan Prepayment'!$E$11,'Loan Prepayment'!$E$12,'Loan Prepayment'!$B$6)</f>
        <v>6.5</v>
      </c>
      <c r="AB443">
        <f>IF(Z443&lt;=0,0,MIN(IF(Y443='Loan Prepayment'!$E$11,IF('Loan Prepayment'!$E$13="Keep tenure, recalculate EMI",-PMT(AA443/1200,MAX(1,'Loan Prepayment'!$B$7*12-Y443+1),Z443),AB442),AB442),Z443+AC443))</f>
        <v>0</v>
      </c>
      <c r="AC443">
        <f t="shared" si="165"/>
        <v>0</v>
      </c>
      <c r="AD443">
        <f t="shared" si="166"/>
        <v>0</v>
      </c>
      <c r="AE443">
        <f t="shared" si="167"/>
        <v>0</v>
      </c>
      <c r="AF443">
        <f t="shared" si="168"/>
        <v>0</v>
      </c>
      <c r="AG443">
        <f t="shared" si="177"/>
        <v>442</v>
      </c>
      <c r="AH443">
        <f t="shared" si="169"/>
        <v>0</v>
      </c>
      <c r="AI443">
        <f>IF(AG443&gt;='Loan Prepayment'!$E$11,'Loan Prepayment'!$E$12,'Loan Prepayment'!$B$6)</f>
        <v>6.5</v>
      </c>
      <c r="AJ443">
        <f>IF(AH443&lt;=0,0,MIN(IF(AG443='Loan Prepayment'!$E$11,IF('Loan Prepayment'!$E$13="Keep tenure, recalculate EMI",-PMT(AI443/1200,MAX(1,'Loan Prepayment'!$B$7*12-AG443+1),AH443),IF(AND('Loan Prepayment'!$E$15="Reduce EMI",AM442&gt;0),-PMT(AI442/1200,MAX(1,'Loan Prepayment'!$B$7*12-AG443+1),AH443),AJ442)),IF(AND('Loan Prepayment'!$E$15="Reduce EMI",AM442&gt;0),-PMT(AI443/1200,MAX(1,'Loan Prepayment'!$B$7*12-AG443+1),AH443),AJ442)),AH443+AK443))</f>
        <v>0</v>
      </c>
      <c r="AK443">
        <f t="shared" si="170"/>
        <v>0</v>
      </c>
      <c r="AL443">
        <f t="shared" si="171"/>
        <v>0</v>
      </c>
      <c r="AM443">
        <f>IF(AH443&lt;=0,0,MIN(MAX(0,AH443-AL443),SUMIFS('Loan Prepayment'!$B$12:$B$31,'Loan Prepayment'!$A$12:$A$31,AG443)+IF(AND(AG443&gt;='Loan Prepayment'!$B$9,AG443&lt;='Loan Prepayment'!$E$16),'Loan Prepayment'!$B$8,0)))</f>
        <v>0</v>
      </c>
      <c r="AN443">
        <f t="shared" si="172"/>
        <v>0</v>
      </c>
    </row>
    <row r="444" spans="1:40" x14ac:dyDescent="0.35">
      <c r="A444">
        <f t="shared" si="173"/>
        <v>443</v>
      </c>
      <c r="B444">
        <f t="shared" si="152"/>
        <v>0</v>
      </c>
      <c r="C444">
        <f>'Loan Prepayment'!$B$6</f>
        <v>7.5</v>
      </c>
      <c r="D444">
        <f>IF(B444&lt;=0,0,MIN(-PMT('Loan Prepayment'!$B$6/1200,'Loan Prepayment'!$B$7*12,'Loan Prepayment'!$B$5),B444+E444))</f>
        <v>0</v>
      </c>
      <c r="E444">
        <f t="shared" si="153"/>
        <v>0</v>
      </c>
      <c r="F444">
        <f t="shared" si="154"/>
        <v>0</v>
      </c>
      <c r="G444">
        <v>0</v>
      </c>
      <c r="H444">
        <f t="shared" si="155"/>
        <v>0</v>
      </c>
      <c r="I444">
        <f t="shared" si="174"/>
        <v>443</v>
      </c>
      <c r="J444">
        <f t="shared" si="156"/>
        <v>0</v>
      </c>
      <c r="K444">
        <f>'Loan Prepayment'!$B$6</f>
        <v>7.5</v>
      </c>
      <c r="L444">
        <f>IF(J444&lt;=0,0,MIN(IF(AND('Loan Prepayment'!$E$15="Reduce EMI",O443&gt;0),-PMT(K444/1200,MAX(1,'Loan Prepayment'!$B$7*12-I444+1),J444),L443),J444+M444))</f>
        <v>0</v>
      </c>
      <c r="M444">
        <f t="shared" si="157"/>
        <v>0</v>
      </c>
      <c r="N444">
        <f t="shared" si="158"/>
        <v>0</v>
      </c>
      <c r="O444">
        <f>IF(J444&lt;=0,0,MIN(MAX(0,J444-N444),SUMIFS('Loan Prepayment'!$B$12:$B$31,'Loan Prepayment'!$A$12:$A$31,I444)+0))</f>
        <v>0</v>
      </c>
      <c r="P444">
        <f t="shared" si="159"/>
        <v>0</v>
      </c>
      <c r="Q444">
        <f t="shared" si="175"/>
        <v>443</v>
      </c>
      <c r="R444">
        <f t="shared" si="160"/>
        <v>0</v>
      </c>
      <c r="S444">
        <f>'Loan Prepayment'!$B$6</f>
        <v>7.5</v>
      </c>
      <c r="T444">
        <f>IF(R444&lt;=0,0,MIN(IF(AND('Loan Prepayment'!$E$15="Reduce EMI",W443&gt;0),-PMT(S444/1200,MAX(1,'Loan Prepayment'!$B$7*12-Q444+1),R444),T443),R444+U444))</f>
        <v>0</v>
      </c>
      <c r="U444">
        <f t="shared" si="161"/>
        <v>0</v>
      </c>
      <c r="V444">
        <f t="shared" si="162"/>
        <v>0</v>
      </c>
      <c r="W444">
        <f>IF(R444&lt;=0,0,MIN(MAX(0,R444-V444),0+IF(AND(Q444&gt;='Loan Prepayment'!$B$9,Q444&lt;='Loan Prepayment'!$E$16),'Loan Prepayment'!$B$8,0)))</f>
        <v>0</v>
      </c>
      <c r="X444">
        <f t="shared" si="163"/>
        <v>0</v>
      </c>
      <c r="Y444">
        <f t="shared" si="176"/>
        <v>443</v>
      </c>
      <c r="Z444">
        <f t="shared" si="164"/>
        <v>0</v>
      </c>
      <c r="AA444">
        <f>IF(Y444&gt;='Loan Prepayment'!$E$11,'Loan Prepayment'!$E$12,'Loan Prepayment'!$B$6)</f>
        <v>6.5</v>
      </c>
      <c r="AB444">
        <f>IF(Z444&lt;=0,0,MIN(IF(Y444='Loan Prepayment'!$E$11,IF('Loan Prepayment'!$E$13="Keep tenure, recalculate EMI",-PMT(AA444/1200,MAX(1,'Loan Prepayment'!$B$7*12-Y444+1),Z444),AB443),AB443),Z444+AC444))</f>
        <v>0</v>
      </c>
      <c r="AC444">
        <f t="shared" si="165"/>
        <v>0</v>
      </c>
      <c r="AD444">
        <f t="shared" si="166"/>
        <v>0</v>
      </c>
      <c r="AE444">
        <f t="shared" si="167"/>
        <v>0</v>
      </c>
      <c r="AF444">
        <f t="shared" si="168"/>
        <v>0</v>
      </c>
      <c r="AG444">
        <f t="shared" si="177"/>
        <v>443</v>
      </c>
      <c r="AH444">
        <f t="shared" si="169"/>
        <v>0</v>
      </c>
      <c r="AI444">
        <f>IF(AG444&gt;='Loan Prepayment'!$E$11,'Loan Prepayment'!$E$12,'Loan Prepayment'!$B$6)</f>
        <v>6.5</v>
      </c>
      <c r="AJ444">
        <f>IF(AH444&lt;=0,0,MIN(IF(AG444='Loan Prepayment'!$E$11,IF('Loan Prepayment'!$E$13="Keep tenure, recalculate EMI",-PMT(AI444/1200,MAX(1,'Loan Prepayment'!$B$7*12-AG444+1),AH444),IF(AND('Loan Prepayment'!$E$15="Reduce EMI",AM443&gt;0),-PMT(AI443/1200,MAX(1,'Loan Prepayment'!$B$7*12-AG444+1),AH444),AJ443)),IF(AND('Loan Prepayment'!$E$15="Reduce EMI",AM443&gt;0),-PMT(AI444/1200,MAX(1,'Loan Prepayment'!$B$7*12-AG444+1),AH444),AJ443)),AH444+AK444))</f>
        <v>0</v>
      </c>
      <c r="AK444">
        <f t="shared" si="170"/>
        <v>0</v>
      </c>
      <c r="AL444">
        <f t="shared" si="171"/>
        <v>0</v>
      </c>
      <c r="AM444">
        <f>IF(AH444&lt;=0,0,MIN(MAX(0,AH444-AL444),SUMIFS('Loan Prepayment'!$B$12:$B$31,'Loan Prepayment'!$A$12:$A$31,AG444)+IF(AND(AG444&gt;='Loan Prepayment'!$B$9,AG444&lt;='Loan Prepayment'!$E$16),'Loan Prepayment'!$B$8,0)))</f>
        <v>0</v>
      </c>
      <c r="AN444">
        <f t="shared" si="172"/>
        <v>0</v>
      </c>
    </row>
    <row r="445" spans="1:40" x14ac:dyDescent="0.35">
      <c r="A445">
        <f t="shared" si="173"/>
        <v>444</v>
      </c>
      <c r="B445">
        <f t="shared" si="152"/>
        <v>0</v>
      </c>
      <c r="C445">
        <f>'Loan Prepayment'!$B$6</f>
        <v>7.5</v>
      </c>
      <c r="D445">
        <f>IF(B445&lt;=0,0,MIN(-PMT('Loan Prepayment'!$B$6/1200,'Loan Prepayment'!$B$7*12,'Loan Prepayment'!$B$5),B445+E445))</f>
        <v>0</v>
      </c>
      <c r="E445">
        <f t="shared" si="153"/>
        <v>0</v>
      </c>
      <c r="F445">
        <f t="shared" si="154"/>
        <v>0</v>
      </c>
      <c r="G445">
        <v>0</v>
      </c>
      <c r="H445">
        <f t="shared" si="155"/>
        <v>0</v>
      </c>
      <c r="I445">
        <f t="shared" si="174"/>
        <v>444</v>
      </c>
      <c r="J445">
        <f t="shared" si="156"/>
        <v>0</v>
      </c>
      <c r="K445">
        <f>'Loan Prepayment'!$B$6</f>
        <v>7.5</v>
      </c>
      <c r="L445">
        <f>IF(J445&lt;=0,0,MIN(IF(AND('Loan Prepayment'!$E$15="Reduce EMI",O444&gt;0),-PMT(K445/1200,MAX(1,'Loan Prepayment'!$B$7*12-I445+1),J445),L444),J445+M445))</f>
        <v>0</v>
      </c>
      <c r="M445">
        <f t="shared" si="157"/>
        <v>0</v>
      </c>
      <c r="N445">
        <f t="shared" si="158"/>
        <v>0</v>
      </c>
      <c r="O445">
        <f>IF(J445&lt;=0,0,MIN(MAX(0,J445-N445),SUMIFS('Loan Prepayment'!$B$12:$B$31,'Loan Prepayment'!$A$12:$A$31,I445)+0))</f>
        <v>0</v>
      </c>
      <c r="P445">
        <f t="shared" si="159"/>
        <v>0</v>
      </c>
      <c r="Q445">
        <f t="shared" si="175"/>
        <v>444</v>
      </c>
      <c r="R445">
        <f t="shared" si="160"/>
        <v>0</v>
      </c>
      <c r="S445">
        <f>'Loan Prepayment'!$B$6</f>
        <v>7.5</v>
      </c>
      <c r="T445">
        <f>IF(R445&lt;=0,0,MIN(IF(AND('Loan Prepayment'!$E$15="Reduce EMI",W444&gt;0),-PMT(S445/1200,MAX(1,'Loan Prepayment'!$B$7*12-Q445+1),R445),T444),R445+U445))</f>
        <v>0</v>
      </c>
      <c r="U445">
        <f t="shared" si="161"/>
        <v>0</v>
      </c>
      <c r="V445">
        <f t="shared" si="162"/>
        <v>0</v>
      </c>
      <c r="W445">
        <f>IF(R445&lt;=0,0,MIN(MAX(0,R445-V445),0+IF(AND(Q445&gt;='Loan Prepayment'!$B$9,Q445&lt;='Loan Prepayment'!$E$16),'Loan Prepayment'!$B$8,0)))</f>
        <v>0</v>
      </c>
      <c r="X445">
        <f t="shared" si="163"/>
        <v>0</v>
      </c>
      <c r="Y445">
        <f t="shared" si="176"/>
        <v>444</v>
      </c>
      <c r="Z445">
        <f t="shared" si="164"/>
        <v>0</v>
      </c>
      <c r="AA445">
        <f>IF(Y445&gt;='Loan Prepayment'!$E$11,'Loan Prepayment'!$E$12,'Loan Prepayment'!$B$6)</f>
        <v>6.5</v>
      </c>
      <c r="AB445">
        <f>IF(Z445&lt;=0,0,MIN(IF(Y445='Loan Prepayment'!$E$11,IF('Loan Prepayment'!$E$13="Keep tenure, recalculate EMI",-PMT(AA445/1200,MAX(1,'Loan Prepayment'!$B$7*12-Y445+1),Z445),AB444),AB444),Z445+AC445))</f>
        <v>0</v>
      </c>
      <c r="AC445">
        <f t="shared" si="165"/>
        <v>0</v>
      </c>
      <c r="AD445">
        <f t="shared" si="166"/>
        <v>0</v>
      </c>
      <c r="AE445">
        <f t="shared" si="167"/>
        <v>0</v>
      </c>
      <c r="AF445">
        <f t="shared" si="168"/>
        <v>0</v>
      </c>
      <c r="AG445">
        <f t="shared" si="177"/>
        <v>444</v>
      </c>
      <c r="AH445">
        <f t="shared" si="169"/>
        <v>0</v>
      </c>
      <c r="AI445">
        <f>IF(AG445&gt;='Loan Prepayment'!$E$11,'Loan Prepayment'!$E$12,'Loan Prepayment'!$B$6)</f>
        <v>6.5</v>
      </c>
      <c r="AJ445">
        <f>IF(AH445&lt;=0,0,MIN(IF(AG445='Loan Prepayment'!$E$11,IF('Loan Prepayment'!$E$13="Keep tenure, recalculate EMI",-PMT(AI445/1200,MAX(1,'Loan Prepayment'!$B$7*12-AG445+1),AH445),IF(AND('Loan Prepayment'!$E$15="Reduce EMI",AM444&gt;0),-PMT(AI444/1200,MAX(1,'Loan Prepayment'!$B$7*12-AG445+1),AH445),AJ444)),IF(AND('Loan Prepayment'!$E$15="Reduce EMI",AM444&gt;0),-PMT(AI445/1200,MAX(1,'Loan Prepayment'!$B$7*12-AG445+1),AH445),AJ444)),AH445+AK445))</f>
        <v>0</v>
      </c>
      <c r="AK445">
        <f t="shared" si="170"/>
        <v>0</v>
      </c>
      <c r="AL445">
        <f t="shared" si="171"/>
        <v>0</v>
      </c>
      <c r="AM445">
        <f>IF(AH445&lt;=0,0,MIN(MAX(0,AH445-AL445),SUMIFS('Loan Prepayment'!$B$12:$B$31,'Loan Prepayment'!$A$12:$A$31,AG445)+IF(AND(AG445&gt;='Loan Prepayment'!$B$9,AG445&lt;='Loan Prepayment'!$E$16),'Loan Prepayment'!$B$8,0)))</f>
        <v>0</v>
      </c>
      <c r="AN445">
        <f t="shared" si="172"/>
        <v>0</v>
      </c>
    </row>
    <row r="446" spans="1:40" x14ac:dyDescent="0.35">
      <c r="A446">
        <f t="shared" si="173"/>
        <v>445</v>
      </c>
      <c r="B446">
        <f t="shared" si="152"/>
        <v>0</v>
      </c>
      <c r="C446">
        <f>'Loan Prepayment'!$B$6</f>
        <v>7.5</v>
      </c>
      <c r="D446">
        <f>IF(B446&lt;=0,0,MIN(-PMT('Loan Prepayment'!$B$6/1200,'Loan Prepayment'!$B$7*12,'Loan Prepayment'!$B$5),B446+E446))</f>
        <v>0</v>
      </c>
      <c r="E446">
        <f t="shared" si="153"/>
        <v>0</v>
      </c>
      <c r="F446">
        <f t="shared" si="154"/>
        <v>0</v>
      </c>
      <c r="G446">
        <v>0</v>
      </c>
      <c r="H446">
        <f t="shared" si="155"/>
        <v>0</v>
      </c>
      <c r="I446">
        <f t="shared" si="174"/>
        <v>445</v>
      </c>
      <c r="J446">
        <f t="shared" si="156"/>
        <v>0</v>
      </c>
      <c r="K446">
        <f>'Loan Prepayment'!$B$6</f>
        <v>7.5</v>
      </c>
      <c r="L446">
        <f>IF(J446&lt;=0,0,MIN(IF(AND('Loan Prepayment'!$E$15="Reduce EMI",O445&gt;0),-PMT(K446/1200,MAX(1,'Loan Prepayment'!$B$7*12-I446+1),J446),L445),J446+M446))</f>
        <v>0</v>
      </c>
      <c r="M446">
        <f t="shared" si="157"/>
        <v>0</v>
      </c>
      <c r="N446">
        <f t="shared" si="158"/>
        <v>0</v>
      </c>
      <c r="O446">
        <f>IF(J446&lt;=0,0,MIN(MAX(0,J446-N446),SUMIFS('Loan Prepayment'!$B$12:$B$31,'Loan Prepayment'!$A$12:$A$31,I446)+0))</f>
        <v>0</v>
      </c>
      <c r="P446">
        <f t="shared" si="159"/>
        <v>0</v>
      </c>
      <c r="Q446">
        <f t="shared" si="175"/>
        <v>445</v>
      </c>
      <c r="R446">
        <f t="shared" si="160"/>
        <v>0</v>
      </c>
      <c r="S446">
        <f>'Loan Prepayment'!$B$6</f>
        <v>7.5</v>
      </c>
      <c r="T446">
        <f>IF(R446&lt;=0,0,MIN(IF(AND('Loan Prepayment'!$E$15="Reduce EMI",W445&gt;0),-PMT(S446/1200,MAX(1,'Loan Prepayment'!$B$7*12-Q446+1),R446),T445),R446+U446))</f>
        <v>0</v>
      </c>
      <c r="U446">
        <f t="shared" si="161"/>
        <v>0</v>
      </c>
      <c r="V446">
        <f t="shared" si="162"/>
        <v>0</v>
      </c>
      <c r="W446">
        <f>IF(R446&lt;=0,0,MIN(MAX(0,R446-V446),0+IF(AND(Q446&gt;='Loan Prepayment'!$B$9,Q446&lt;='Loan Prepayment'!$E$16),'Loan Prepayment'!$B$8,0)))</f>
        <v>0</v>
      </c>
      <c r="X446">
        <f t="shared" si="163"/>
        <v>0</v>
      </c>
      <c r="Y446">
        <f t="shared" si="176"/>
        <v>445</v>
      </c>
      <c r="Z446">
        <f t="shared" si="164"/>
        <v>0</v>
      </c>
      <c r="AA446">
        <f>IF(Y446&gt;='Loan Prepayment'!$E$11,'Loan Prepayment'!$E$12,'Loan Prepayment'!$B$6)</f>
        <v>6.5</v>
      </c>
      <c r="AB446">
        <f>IF(Z446&lt;=0,0,MIN(IF(Y446='Loan Prepayment'!$E$11,IF('Loan Prepayment'!$E$13="Keep tenure, recalculate EMI",-PMT(AA446/1200,MAX(1,'Loan Prepayment'!$B$7*12-Y446+1),Z446),AB445),AB445),Z446+AC446))</f>
        <v>0</v>
      </c>
      <c r="AC446">
        <f t="shared" si="165"/>
        <v>0</v>
      </c>
      <c r="AD446">
        <f t="shared" si="166"/>
        <v>0</v>
      </c>
      <c r="AE446">
        <f t="shared" si="167"/>
        <v>0</v>
      </c>
      <c r="AF446">
        <f t="shared" si="168"/>
        <v>0</v>
      </c>
      <c r="AG446">
        <f t="shared" si="177"/>
        <v>445</v>
      </c>
      <c r="AH446">
        <f t="shared" si="169"/>
        <v>0</v>
      </c>
      <c r="AI446">
        <f>IF(AG446&gt;='Loan Prepayment'!$E$11,'Loan Prepayment'!$E$12,'Loan Prepayment'!$B$6)</f>
        <v>6.5</v>
      </c>
      <c r="AJ446">
        <f>IF(AH446&lt;=0,0,MIN(IF(AG446='Loan Prepayment'!$E$11,IF('Loan Prepayment'!$E$13="Keep tenure, recalculate EMI",-PMT(AI446/1200,MAX(1,'Loan Prepayment'!$B$7*12-AG446+1),AH446),IF(AND('Loan Prepayment'!$E$15="Reduce EMI",AM445&gt;0),-PMT(AI445/1200,MAX(1,'Loan Prepayment'!$B$7*12-AG446+1),AH446),AJ445)),IF(AND('Loan Prepayment'!$E$15="Reduce EMI",AM445&gt;0),-PMT(AI446/1200,MAX(1,'Loan Prepayment'!$B$7*12-AG446+1),AH446),AJ445)),AH446+AK446))</f>
        <v>0</v>
      </c>
      <c r="AK446">
        <f t="shared" si="170"/>
        <v>0</v>
      </c>
      <c r="AL446">
        <f t="shared" si="171"/>
        <v>0</v>
      </c>
      <c r="AM446">
        <f>IF(AH446&lt;=0,0,MIN(MAX(0,AH446-AL446),SUMIFS('Loan Prepayment'!$B$12:$B$31,'Loan Prepayment'!$A$12:$A$31,AG446)+IF(AND(AG446&gt;='Loan Prepayment'!$B$9,AG446&lt;='Loan Prepayment'!$E$16),'Loan Prepayment'!$B$8,0)))</f>
        <v>0</v>
      </c>
      <c r="AN446">
        <f t="shared" si="172"/>
        <v>0</v>
      </c>
    </row>
    <row r="447" spans="1:40" x14ac:dyDescent="0.35">
      <c r="A447">
        <f t="shared" si="173"/>
        <v>446</v>
      </c>
      <c r="B447">
        <f t="shared" si="152"/>
        <v>0</v>
      </c>
      <c r="C447">
        <f>'Loan Prepayment'!$B$6</f>
        <v>7.5</v>
      </c>
      <c r="D447">
        <f>IF(B447&lt;=0,0,MIN(-PMT('Loan Prepayment'!$B$6/1200,'Loan Prepayment'!$B$7*12,'Loan Prepayment'!$B$5),B447+E447))</f>
        <v>0</v>
      </c>
      <c r="E447">
        <f t="shared" si="153"/>
        <v>0</v>
      </c>
      <c r="F447">
        <f t="shared" si="154"/>
        <v>0</v>
      </c>
      <c r="G447">
        <v>0</v>
      </c>
      <c r="H447">
        <f t="shared" si="155"/>
        <v>0</v>
      </c>
      <c r="I447">
        <f t="shared" si="174"/>
        <v>446</v>
      </c>
      <c r="J447">
        <f t="shared" si="156"/>
        <v>0</v>
      </c>
      <c r="K447">
        <f>'Loan Prepayment'!$B$6</f>
        <v>7.5</v>
      </c>
      <c r="L447">
        <f>IF(J447&lt;=0,0,MIN(IF(AND('Loan Prepayment'!$E$15="Reduce EMI",O446&gt;0),-PMT(K447/1200,MAX(1,'Loan Prepayment'!$B$7*12-I447+1),J447),L446),J447+M447))</f>
        <v>0</v>
      </c>
      <c r="M447">
        <f t="shared" si="157"/>
        <v>0</v>
      </c>
      <c r="N447">
        <f t="shared" si="158"/>
        <v>0</v>
      </c>
      <c r="O447">
        <f>IF(J447&lt;=0,0,MIN(MAX(0,J447-N447),SUMIFS('Loan Prepayment'!$B$12:$B$31,'Loan Prepayment'!$A$12:$A$31,I447)+0))</f>
        <v>0</v>
      </c>
      <c r="P447">
        <f t="shared" si="159"/>
        <v>0</v>
      </c>
      <c r="Q447">
        <f t="shared" si="175"/>
        <v>446</v>
      </c>
      <c r="R447">
        <f t="shared" si="160"/>
        <v>0</v>
      </c>
      <c r="S447">
        <f>'Loan Prepayment'!$B$6</f>
        <v>7.5</v>
      </c>
      <c r="T447">
        <f>IF(R447&lt;=0,0,MIN(IF(AND('Loan Prepayment'!$E$15="Reduce EMI",W446&gt;0),-PMT(S447/1200,MAX(1,'Loan Prepayment'!$B$7*12-Q447+1),R447),T446),R447+U447))</f>
        <v>0</v>
      </c>
      <c r="U447">
        <f t="shared" si="161"/>
        <v>0</v>
      </c>
      <c r="V447">
        <f t="shared" si="162"/>
        <v>0</v>
      </c>
      <c r="W447">
        <f>IF(R447&lt;=0,0,MIN(MAX(0,R447-V447),0+IF(AND(Q447&gt;='Loan Prepayment'!$B$9,Q447&lt;='Loan Prepayment'!$E$16),'Loan Prepayment'!$B$8,0)))</f>
        <v>0</v>
      </c>
      <c r="X447">
        <f t="shared" si="163"/>
        <v>0</v>
      </c>
      <c r="Y447">
        <f t="shared" si="176"/>
        <v>446</v>
      </c>
      <c r="Z447">
        <f t="shared" si="164"/>
        <v>0</v>
      </c>
      <c r="AA447">
        <f>IF(Y447&gt;='Loan Prepayment'!$E$11,'Loan Prepayment'!$E$12,'Loan Prepayment'!$B$6)</f>
        <v>6.5</v>
      </c>
      <c r="AB447">
        <f>IF(Z447&lt;=0,0,MIN(IF(Y447='Loan Prepayment'!$E$11,IF('Loan Prepayment'!$E$13="Keep tenure, recalculate EMI",-PMT(AA447/1200,MAX(1,'Loan Prepayment'!$B$7*12-Y447+1),Z447),AB446),AB446),Z447+AC447))</f>
        <v>0</v>
      </c>
      <c r="AC447">
        <f t="shared" si="165"/>
        <v>0</v>
      </c>
      <c r="AD447">
        <f t="shared" si="166"/>
        <v>0</v>
      </c>
      <c r="AE447">
        <f t="shared" si="167"/>
        <v>0</v>
      </c>
      <c r="AF447">
        <f t="shared" si="168"/>
        <v>0</v>
      </c>
      <c r="AG447">
        <f t="shared" si="177"/>
        <v>446</v>
      </c>
      <c r="AH447">
        <f t="shared" si="169"/>
        <v>0</v>
      </c>
      <c r="AI447">
        <f>IF(AG447&gt;='Loan Prepayment'!$E$11,'Loan Prepayment'!$E$12,'Loan Prepayment'!$B$6)</f>
        <v>6.5</v>
      </c>
      <c r="AJ447">
        <f>IF(AH447&lt;=0,0,MIN(IF(AG447='Loan Prepayment'!$E$11,IF('Loan Prepayment'!$E$13="Keep tenure, recalculate EMI",-PMT(AI447/1200,MAX(1,'Loan Prepayment'!$B$7*12-AG447+1),AH447),IF(AND('Loan Prepayment'!$E$15="Reduce EMI",AM446&gt;0),-PMT(AI446/1200,MAX(1,'Loan Prepayment'!$B$7*12-AG447+1),AH447),AJ446)),IF(AND('Loan Prepayment'!$E$15="Reduce EMI",AM446&gt;0),-PMT(AI447/1200,MAX(1,'Loan Prepayment'!$B$7*12-AG447+1),AH447),AJ446)),AH447+AK447))</f>
        <v>0</v>
      </c>
      <c r="AK447">
        <f t="shared" si="170"/>
        <v>0</v>
      </c>
      <c r="AL447">
        <f t="shared" si="171"/>
        <v>0</v>
      </c>
      <c r="AM447">
        <f>IF(AH447&lt;=0,0,MIN(MAX(0,AH447-AL447),SUMIFS('Loan Prepayment'!$B$12:$B$31,'Loan Prepayment'!$A$12:$A$31,AG447)+IF(AND(AG447&gt;='Loan Prepayment'!$B$9,AG447&lt;='Loan Prepayment'!$E$16),'Loan Prepayment'!$B$8,0)))</f>
        <v>0</v>
      </c>
      <c r="AN447">
        <f t="shared" si="172"/>
        <v>0</v>
      </c>
    </row>
    <row r="448" spans="1:40" x14ac:dyDescent="0.35">
      <c r="A448">
        <f t="shared" si="173"/>
        <v>447</v>
      </c>
      <c r="B448">
        <f t="shared" si="152"/>
        <v>0</v>
      </c>
      <c r="C448">
        <f>'Loan Prepayment'!$B$6</f>
        <v>7.5</v>
      </c>
      <c r="D448">
        <f>IF(B448&lt;=0,0,MIN(-PMT('Loan Prepayment'!$B$6/1200,'Loan Prepayment'!$B$7*12,'Loan Prepayment'!$B$5),B448+E448))</f>
        <v>0</v>
      </c>
      <c r="E448">
        <f t="shared" si="153"/>
        <v>0</v>
      </c>
      <c r="F448">
        <f t="shared" si="154"/>
        <v>0</v>
      </c>
      <c r="G448">
        <v>0</v>
      </c>
      <c r="H448">
        <f t="shared" si="155"/>
        <v>0</v>
      </c>
      <c r="I448">
        <f t="shared" si="174"/>
        <v>447</v>
      </c>
      <c r="J448">
        <f t="shared" si="156"/>
        <v>0</v>
      </c>
      <c r="K448">
        <f>'Loan Prepayment'!$B$6</f>
        <v>7.5</v>
      </c>
      <c r="L448">
        <f>IF(J448&lt;=0,0,MIN(IF(AND('Loan Prepayment'!$E$15="Reduce EMI",O447&gt;0),-PMT(K448/1200,MAX(1,'Loan Prepayment'!$B$7*12-I448+1),J448),L447),J448+M448))</f>
        <v>0</v>
      </c>
      <c r="M448">
        <f t="shared" si="157"/>
        <v>0</v>
      </c>
      <c r="N448">
        <f t="shared" si="158"/>
        <v>0</v>
      </c>
      <c r="O448">
        <f>IF(J448&lt;=0,0,MIN(MAX(0,J448-N448),SUMIFS('Loan Prepayment'!$B$12:$B$31,'Loan Prepayment'!$A$12:$A$31,I448)+0))</f>
        <v>0</v>
      </c>
      <c r="P448">
        <f t="shared" si="159"/>
        <v>0</v>
      </c>
      <c r="Q448">
        <f t="shared" si="175"/>
        <v>447</v>
      </c>
      <c r="R448">
        <f t="shared" si="160"/>
        <v>0</v>
      </c>
      <c r="S448">
        <f>'Loan Prepayment'!$B$6</f>
        <v>7.5</v>
      </c>
      <c r="T448">
        <f>IF(R448&lt;=0,0,MIN(IF(AND('Loan Prepayment'!$E$15="Reduce EMI",W447&gt;0),-PMT(S448/1200,MAX(1,'Loan Prepayment'!$B$7*12-Q448+1),R448),T447),R448+U448))</f>
        <v>0</v>
      </c>
      <c r="U448">
        <f t="shared" si="161"/>
        <v>0</v>
      </c>
      <c r="V448">
        <f t="shared" si="162"/>
        <v>0</v>
      </c>
      <c r="W448">
        <f>IF(R448&lt;=0,0,MIN(MAX(0,R448-V448),0+IF(AND(Q448&gt;='Loan Prepayment'!$B$9,Q448&lt;='Loan Prepayment'!$E$16),'Loan Prepayment'!$B$8,0)))</f>
        <v>0</v>
      </c>
      <c r="X448">
        <f t="shared" si="163"/>
        <v>0</v>
      </c>
      <c r="Y448">
        <f t="shared" si="176"/>
        <v>447</v>
      </c>
      <c r="Z448">
        <f t="shared" si="164"/>
        <v>0</v>
      </c>
      <c r="AA448">
        <f>IF(Y448&gt;='Loan Prepayment'!$E$11,'Loan Prepayment'!$E$12,'Loan Prepayment'!$B$6)</f>
        <v>6.5</v>
      </c>
      <c r="AB448">
        <f>IF(Z448&lt;=0,0,MIN(IF(Y448='Loan Prepayment'!$E$11,IF('Loan Prepayment'!$E$13="Keep tenure, recalculate EMI",-PMT(AA448/1200,MAX(1,'Loan Prepayment'!$B$7*12-Y448+1),Z448),AB447),AB447),Z448+AC448))</f>
        <v>0</v>
      </c>
      <c r="AC448">
        <f t="shared" si="165"/>
        <v>0</v>
      </c>
      <c r="AD448">
        <f t="shared" si="166"/>
        <v>0</v>
      </c>
      <c r="AE448">
        <f t="shared" si="167"/>
        <v>0</v>
      </c>
      <c r="AF448">
        <f t="shared" si="168"/>
        <v>0</v>
      </c>
      <c r="AG448">
        <f t="shared" si="177"/>
        <v>447</v>
      </c>
      <c r="AH448">
        <f t="shared" si="169"/>
        <v>0</v>
      </c>
      <c r="AI448">
        <f>IF(AG448&gt;='Loan Prepayment'!$E$11,'Loan Prepayment'!$E$12,'Loan Prepayment'!$B$6)</f>
        <v>6.5</v>
      </c>
      <c r="AJ448">
        <f>IF(AH448&lt;=0,0,MIN(IF(AG448='Loan Prepayment'!$E$11,IF('Loan Prepayment'!$E$13="Keep tenure, recalculate EMI",-PMT(AI448/1200,MAX(1,'Loan Prepayment'!$B$7*12-AG448+1),AH448),IF(AND('Loan Prepayment'!$E$15="Reduce EMI",AM447&gt;0),-PMT(AI447/1200,MAX(1,'Loan Prepayment'!$B$7*12-AG448+1),AH448),AJ447)),IF(AND('Loan Prepayment'!$E$15="Reduce EMI",AM447&gt;0),-PMT(AI448/1200,MAX(1,'Loan Prepayment'!$B$7*12-AG448+1),AH448),AJ447)),AH448+AK448))</f>
        <v>0</v>
      </c>
      <c r="AK448">
        <f t="shared" si="170"/>
        <v>0</v>
      </c>
      <c r="AL448">
        <f t="shared" si="171"/>
        <v>0</v>
      </c>
      <c r="AM448">
        <f>IF(AH448&lt;=0,0,MIN(MAX(0,AH448-AL448),SUMIFS('Loan Prepayment'!$B$12:$B$31,'Loan Prepayment'!$A$12:$A$31,AG448)+IF(AND(AG448&gt;='Loan Prepayment'!$B$9,AG448&lt;='Loan Prepayment'!$E$16),'Loan Prepayment'!$B$8,0)))</f>
        <v>0</v>
      </c>
      <c r="AN448">
        <f t="shared" si="172"/>
        <v>0</v>
      </c>
    </row>
    <row r="449" spans="1:40" x14ac:dyDescent="0.35">
      <c r="A449">
        <f t="shared" si="173"/>
        <v>448</v>
      </c>
      <c r="B449">
        <f t="shared" si="152"/>
        <v>0</v>
      </c>
      <c r="C449">
        <f>'Loan Prepayment'!$B$6</f>
        <v>7.5</v>
      </c>
      <c r="D449">
        <f>IF(B449&lt;=0,0,MIN(-PMT('Loan Prepayment'!$B$6/1200,'Loan Prepayment'!$B$7*12,'Loan Prepayment'!$B$5),B449+E449))</f>
        <v>0</v>
      </c>
      <c r="E449">
        <f t="shared" si="153"/>
        <v>0</v>
      </c>
      <c r="F449">
        <f t="shared" si="154"/>
        <v>0</v>
      </c>
      <c r="G449">
        <v>0</v>
      </c>
      <c r="H449">
        <f t="shared" si="155"/>
        <v>0</v>
      </c>
      <c r="I449">
        <f t="shared" si="174"/>
        <v>448</v>
      </c>
      <c r="J449">
        <f t="shared" si="156"/>
        <v>0</v>
      </c>
      <c r="K449">
        <f>'Loan Prepayment'!$B$6</f>
        <v>7.5</v>
      </c>
      <c r="L449">
        <f>IF(J449&lt;=0,0,MIN(IF(AND('Loan Prepayment'!$E$15="Reduce EMI",O448&gt;0),-PMT(K449/1200,MAX(1,'Loan Prepayment'!$B$7*12-I449+1),J449),L448),J449+M449))</f>
        <v>0</v>
      </c>
      <c r="M449">
        <f t="shared" si="157"/>
        <v>0</v>
      </c>
      <c r="N449">
        <f t="shared" si="158"/>
        <v>0</v>
      </c>
      <c r="O449">
        <f>IF(J449&lt;=0,0,MIN(MAX(0,J449-N449),SUMIFS('Loan Prepayment'!$B$12:$B$31,'Loan Prepayment'!$A$12:$A$31,I449)+0))</f>
        <v>0</v>
      </c>
      <c r="P449">
        <f t="shared" si="159"/>
        <v>0</v>
      </c>
      <c r="Q449">
        <f t="shared" si="175"/>
        <v>448</v>
      </c>
      <c r="R449">
        <f t="shared" si="160"/>
        <v>0</v>
      </c>
      <c r="S449">
        <f>'Loan Prepayment'!$B$6</f>
        <v>7.5</v>
      </c>
      <c r="T449">
        <f>IF(R449&lt;=0,0,MIN(IF(AND('Loan Prepayment'!$E$15="Reduce EMI",W448&gt;0),-PMT(S449/1200,MAX(1,'Loan Prepayment'!$B$7*12-Q449+1),R449),T448),R449+U449))</f>
        <v>0</v>
      </c>
      <c r="U449">
        <f t="shared" si="161"/>
        <v>0</v>
      </c>
      <c r="V449">
        <f t="shared" si="162"/>
        <v>0</v>
      </c>
      <c r="W449">
        <f>IF(R449&lt;=0,0,MIN(MAX(0,R449-V449),0+IF(AND(Q449&gt;='Loan Prepayment'!$B$9,Q449&lt;='Loan Prepayment'!$E$16),'Loan Prepayment'!$B$8,0)))</f>
        <v>0</v>
      </c>
      <c r="X449">
        <f t="shared" si="163"/>
        <v>0</v>
      </c>
      <c r="Y449">
        <f t="shared" si="176"/>
        <v>448</v>
      </c>
      <c r="Z449">
        <f t="shared" si="164"/>
        <v>0</v>
      </c>
      <c r="AA449">
        <f>IF(Y449&gt;='Loan Prepayment'!$E$11,'Loan Prepayment'!$E$12,'Loan Prepayment'!$B$6)</f>
        <v>6.5</v>
      </c>
      <c r="AB449">
        <f>IF(Z449&lt;=0,0,MIN(IF(Y449='Loan Prepayment'!$E$11,IF('Loan Prepayment'!$E$13="Keep tenure, recalculate EMI",-PMT(AA449/1200,MAX(1,'Loan Prepayment'!$B$7*12-Y449+1),Z449),AB448),AB448),Z449+AC449))</f>
        <v>0</v>
      </c>
      <c r="AC449">
        <f t="shared" si="165"/>
        <v>0</v>
      </c>
      <c r="AD449">
        <f t="shared" si="166"/>
        <v>0</v>
      </c>
      <c r="AE449">
        <f t="shared" si="167"/>
        <v>0</v>
      </c>
      <c r="AF449">
        <f t="shared" si="168"/>
        <v>0</v>
      </c>
      <c r="AG449">
        <f t="shared" si="177"/>
        <v>448</v>
      </c>
      <c r="AH449">
        <f t="shared" si="169"/>
        <v>0</v>
      </c>
      <c r="AI449">
        <f>IF(AG449&gt;='Loan Prepayment'!$E$11,'Loan Prepayment'!$E$12,'Loan Prepayment'!$B$6)</f>
        <v>6.5</v>
      </c>
      <c r="AJ449">
        <f>IF(AH449&lt;=0,0,MIN(IF(AG449='Loan Prepayment'!$E$11,IF('Loan Prepayment'!$E$13="Keep tenure, recalculate EMI",-PMT(AI449/1200,MAX(1,'Loan Prepayment'!$B$7*12-AG449+1),AH449),IF(AND('Loan Prepayment'!$E$15="Reduce EMI",AM448&gt;0),-PMT(AI448/1200,MAX(1,'Loan Prepayment'!$B$7*12-AG449+1),AH449),AJ448)),IF(AND('Loan Prepayment'!$E$15="Reduce EMI",AM448&gt;0),-PMT(AI449/1200,MAX(1,'Loan Prepayment'!$B$7*12-AG449+1),AH449),AJ448)),AH449+AK449))</f>
        <v>0</v>
      </c>
      <c r="AK449">
        <f t="shared" si="170"/>
        <v>0</v>
      </c>
      <c r="AL449">
        <f t="shared" si="171"/>
        <v>0</v>
      </c>
      <c r="AM449">
        <f>IF(AH449&lt;=0,0,MIN(MAX(0,AH449-AL449),SUMIFS('Loan Prepayment'!$B$12:$B$31,'Loan Prepayment'!$A$12:$A$31,AG449)+IF(AND(AG449&gt;='Loan Prepayment'!$B$9,AG449&lt;='Loan Prepayment'!$E$16),'Loan Prepayment'!$B$8,0)))</f>
        <v>0</v>
      </c>
      <c r="AN449">
        <f t="shared" si="172"/>
        <v>0</v>
      </c>
    </row>
    <row r="450" spans="1:40" x14ac:dyDescent="0.35">
      <c r="A450">
        <f t="shared" si="173"/>
        <v>449</v>
      </c>
      <c r="B450">
        <f t="shared" si="152"/>
        <v>0</v>
      </c>
      <c r="C450">
        <f>'Loan Prepayment'!$B$6</f>
        <v>7.5</v>
      </c>
      <c r="D450">
        <f>IF(B450&lt;=0,0,MIN(-PMT('Loan Prepayment'!$B$6/1200,'Loan Prepayment'!$B$7*12,'Loan Prepayment'!$B$5),B450+E450))</f>
        <v>0</v>
      </c>
      <c r="E450">
        <f t="shared" si="153"/>
        <v>0</v>
      </c>
      <c r="F450">
        <f t="shared" si="154"/>
        <v>0</v>
      </c>
      <c r="G450">
        <v>0</v>
      </c>
      <c r="H450">
        <f t="shared" si="155"/>
        <v>0</v>
      </c>
      <c r="I450">
        <f t="shared" si="174"/>
        <v>449</v>
      </c>
      <c r="J450">
        <f t="shared" si="156"/>
        <v>0</v>
      </c>
      <c r="K450">
        <f>'Loan Prepayment'!$B$6</f>
        <v>7.5</v>
      </c>
      <c r="L450">
        <f>IF(J450&lt;=0,0,MIN(IF(AND('Loan Prepayment'!$E$15="Reduce EMI",O449&gt;0),-PMT(K450/1200,MAX(1,'Loan Prepayment'!$B$7*12-I450+1),J450),L449),J450+M450))</f>
        <v>0</v>
      </c>
      <c r="M450">
        <f t="shared" si="157"/>
        <v>0</v>
      </c>
      <c r="N450">
        <f t="shared" si="158"/>
        <v>0</v>
      </c>
      <c r="O450">
        <f>IF(J450&lt;=0,0,MIN(MAX(0,J450-N450),SUMIFS('Loan Prepayment'!$B$12:$B$31,'Loan Prepayment'!$A$12:$A$31,I450)+0))</f>
        <v>0</v>
      </c>
      <c r="P450">
        <f t="shared" si="159"/>
        <v>0</v>
      </c>
      <c r="Q450">
        <f t="shared" si="175"/>
        <v>449</v>
      </c>
      <c r="R450">
        <f t="shared" si="160"/>
        <v>0</v>
      </c>
      <c r="S450">
        <f>'Loan Prepayment'!$B$6</f>
        <v>7.5</v>
      </c>
      <c r="T450">
        <f>IF(R450&lt;=0,0,MIN(IF(AND('Loan Prepayment'!$E$15="Reduce EMI",W449&gt;0),-PMT(S450/1200,MAX(1,'Loan Prepayment'!$B$7*12-Q450+1),R450),T449),R450+U450))</f>
        <v>0</v>
      </c>
      <c r="U450">
        <f t="shared" si="161"/>
        <v>0</v>
      </c>
      <c r="V450">
        <f t="shared" si="162"/>
        <v>0</v>
      </c>
      <c r="W450">
        <f>IF(R450&lt;=0,0,MIN(MAX(0,R450-V450),0+IF(AND(Q450&gt;='Loan Prepayment'!$B$9,Q450&lt;='Loan Prepayment'!$E$16),'Loan Prepayment'!$B$8,0)))</f>
        <v>0</v>
      </c>
      <c r="X450">
        <f t="shared" si="163"/>
        <v>0</v>
      </c>
      <c r="Y450">
        <f t="shared" si="176"/>
        <v>449</v>
      </c>
      <c r="Z450">
        <f t="shared" si="164"/>
        <v>0</v>
      </c>
      <c r="AA450">
        <f>IF(Y450&gt;='Loan Prepayment'!$E$11,'Loan Prepayment'!$E$12,'Loan Prepayment'!$B$6)</f>
        <v>6.5</v>
      </c>
      <c r="AB450">
        <f>IF(Z450&lt;=0,0,MIN(IF(Y450='Loan Prepayment'!$E$11,IF('Loan Prepayment'!$E$13="Keep tenure, recalculate EMI",-PMT(AA450/1200,MAX(1,'Loan Prepayment'!$B$7*12-Y450+1),Z450),AB449),AB449),Z450+AC450))</f>
        <v>0</v>
      </c>
      <c r="AC450">
        <f t="shared" si="165"/>
        <v>0</v>
      </c>
      <c r="AD450">
        <f t="shared" si="166"/>
        <v>0</v>
      </c>
      <c r="AE450">
        <f t="shared" si="167"/>
        <v>0</v>
      </c>
      <c r="AF450">
        <f t="shared" si="168"/>
        <v>0</v>
      </c>
      <c r="AG450">
        <f t="shared" si="177"/>
        <v>449</v>
      </c>
      <c r="AH450">
        <f t="shared" si="169"/>
        <v>0</v>
      </c>
      <c r="AI450">
        <f>IF(AG450&gt;='Loan Prepayment'!$E$11,'Loan Prepayment'!$E$12,'Loan Prepayment'!$B$6)</f>
        <v>6.5</v>
      </c>
      <c r="AJ450">
        <f>IF(AH450&lt;=0,0,MIN(IF(AG450='Loan Prepayment'!$E$11,IF('Loan Prepayment'!$E$13="Keep tenure, recalculate EMI",-PMT(AI450/1200,MAX(1,'Loan Prepayment'!$B$7*12-AG450+1),AH450),IF(AND('Loan Prepayment'!$E$15="Reduce EMI",AM449&gt;0),-PMT(AI449/1200,MAX(1,'Loan Prepayment'!$B$7*12-AG450+1),AH450),AJ449)),IF(AND('Loan Prepayment'!$E$15="Reduce EMI",AM449&gt;0),-PMT(AI450/1200,MAX(1,'Loan Prepayment'!$B$7*12-AG450+1),AH450),AJ449)),AH450+AK450))</f>
        <v>0</v>
      </c>
      <c r="AK450">
        <f t="shared" si="170"/>
        <v>0</v>
      </c>
      <c r="AL450">
        <f t="shared" si="171"/>
        <v>0</v>
      </c>
      <c r="AM450">
        <f>IF(AH450&lt;=0,0,MIN(MAX(0,AH450-AL450),SUMIFS('Loan Prepayment'!$B$12:$B$31,'Loan Prepayment'!$A$12:$A$31,AG450)+IF(AND(AG450&gt;='Loan Prepayment'!$B$9,AG450&lt;='Loan Prepayment'!$E$16),'Loan Prepayment'!$B$8,0)))</f>
        <v>0</v>
      </c>
      <c r="AN450">
        <f t="shared" si="172"/>
        <v>0</v>
      </c>
    </row>
    <row r="451" spans="1:40" x14ac:dyDescent="0.35">
      <c r="A451">
        <f t="shared" si="173"/>
        <v>450</v>
      </c>
      <c r="B451">
        <f t="shared" si="152"/>
        <v>0</v>
      </c>
      <c r="C451">
        <f>'Loan Prepayment'!$B$6</f>
        <v>7.5</v>
      </c>
      <c r="D451">
        <f>IF(B451&lt;=0,0,MIN(-PMT('Loan Prepayment'!$B$6/1200,'Loan Prepayment'!$B$7*12,'Loan Prepayment'!$B$5),B451+E451))</f>
        <v>0</v>
      </c>
      <c r="E451">
        <f t="shared" si="153"/>
        <v>0</v>
      </c>
      <c r="F451">
        <f t="shared" si="154"/>
        <v>0</v>
      </c>
      <c r="G451">
        <v>0</v>
      </c>
      <c r="H451">
        <f t="shared" si="155"/>
        <v>0</v>
      </c>
      <c r="I451">
        <f t="shared" si="174"/>
        <v>450</v>
      </c>
      <c r="J451">
        <f t="shared" si="156"/>
        <v>0</v>
      </c>
      <c r="K451">
        <f>'Loan Prepayment'!$B$6</f>
        <v>7.5</v>
      </c>
      <c r="L451">
        <f>IF(J451&lt;=0,0,MIN(IF(AND('Loan Prepayment'!$E$15="Reduce EMI",O450&gt;0),-PMT(K451/1200,MAX(1,'Loan Prepayment'!$B$7*12-I451+1),J451),L450),J451+M451))</f>
        <v>0</v>
      </c>
      <c r="M451">
        <f t="shared" si="157"/>
        <v>0</v>
      </c>
      <c r="N451">
        <f t="shared" si="158"/>
        <v>0</v>
      </c>
      <c r="O451">
        <f>IF(J451&lt;=0,0,MIN(MAX(0,J451-N451),SUMIFS('Loan Prepayment'!$B$12:$B$31,'Loan Prepayment'!$A$12:$A$31,I451)+0))</f>
        <v>0</v>
      </c>
      <c r="P451">
        <f t="shared" si="159"/>
        <v>0</v>
      </c>
      <c r="Q451">
        <f t="shared" si="175"/>
        <v>450</v>
      </c>
      <c r="R451">
        <f t="shared" si="160"/>
        <v>0</v>
      </c>
      <c r="S451">
        <f>'Loan Prepayment'!$B$6</f>
        <v>7.5</v>
      </c>
      <c r="T451">
        <f>IF(R451&lt;=0,0,MIN(IF(AND('Loan Prepayment'!$E$15="Reduce EMI",W450&gt;0),-PMT(S451/1200,MAX(1,'Loan Prepayment'!$B$7*12-Q451+1),R451),T450),R451+U451))</f>
        <v>0</v>
      </c>
      <c r="U451">
        <f t="shared" si="161"/>
        <v>0</v>
      </c>
      <c r="V451">
        <f t="shared" si="162"/>
        <v>0</v>
      </c>
      <c r="W451">
        <f>IF(R451&lt;=0,0,MIN(MAX(0,R451-V451),0+IF(AND(Q451&gt;='Loan Prepayment'!$B$9,Q451&lt;='Loan Prepayment'!$E$16),'Loan Prepayment'!$B$8,0)))</f>
        <v>0</v>
      </c>
      <c r="X451">
        <f t="shared" si="163"/>
        <v>0</v>
      </c>
      <c r="Y451">
        <f t="shared" si="176"/>
        <v>450</v>
      </c>
      <c r="Z451">
        <f t="shared" si="164"/>
        <v>0</v>
      </c>
      <c r="AA451">
        <f>IF(Y451&gt;='Loan Prepayment'!$E$11,'Loan Prepayment'!$E$12,'Loan Prepayment'!$B$6)</f>
        <v>6.5</v>
      </c>
      <c r="AB451">
        <f>IF(Z451&lt;=0,0,MIN(IF(Y451='Loan Prepayment'!$E$11,IF('Loan Prepayment'!$E$13="Keep tenure, recalculate EMI",-PMT(AA451/1200,MAX(1,'Loan Prepayment'!$B$7*12-Y451+1),Z451),AB450),AB450),Z451+AC451))</f>
        <v>0</v>
      </c>
      <c r="AC451">
        <f t="shared" si="165"/>
        <v>0</v>
      </c>
      <c r="AD451">
        <f t="shared" si="166"/>
        <v>0</v>
      </c>
      <c r="AE451">
        <f t="shared" si="167"/>
        <v>0</v>
      </c>
      <c r="AF451">
        <f t="shared" si="168"/>
        <v>0</v>
      </c>
      <c r="AG451">
        <f t="shared" si="177"/>
        <v>450</v>
      </c>
      <c r="AH451">
        <f t="shared" si="169"/>
        <v>0</v>
      </c>
      <c r="AI451">
        <f>IF(AG451&gt;='Loan Prepayment'!$E$11,'Loan Prepayment'!$E$12,'Loan Prepayment'!$B$6)</f>
        <v>6.5</v>
      </c>
      <c r="AJ451">
        <f>IF(AH451&lt;=0,0,MIN(IF(AG451='Loan Prepayment'!$E$11,IF('Loan Prepayment'!$E$13="Keep tenure, recalculate EMI",-PMT(AI451/1200,MAX(1,'Loan Prepayment'!$B$7*12-AG451+1),AH451),IF(AND('Loan Prepayment'!$E$15="Reduce EMI",AM450&gt;0),-PMT(AI450/1200,MAX(1,'Loan Prepayment'!$B$7*12-AG451+1),AH451),AJ450)),IF(AND('Loan Prepayment'!$E$15="Reduce EMI",AM450&gt;0),-PMT(AI451/1200,MAX(1,'Loan Prepayment'!$B$7*12-AG451+1),AH451),AJ450)),AH451+AK451))</f>
        <v>0</v>
      </c>
      <c r="AK451">
        <f t="shared" si="170"/>
        <v>0</v>
      </c>
      <c r="AL451">
        <f t="shared" si="171"/>
        <v>0</v>
      </c>
      <c r="AM451">
        <f>IF(AH451&lt;=0,0,MIN(MAX(0,AH451-AL451),SUMIFS('Loan Prepayment'!$B$12:$B$31,'Loan Prepayment'!$A$12:$A$31,AG451)+IF(AND(AG451&gt;='Loan Prepayment'!$B$9,AG451&lt;='Loan Prepayment'!$E$16),'Loan Prepayment'!$B$8,0)))</f>
        <v>0</v>
      </c>
      <c r="AN451">
        <f t="shared" si="172"/>
        <v>0</v>
      </c>
    </row>
    <row r="452" spans="1:40" x14ac:dyDescent="0.35">
      <c r="A452">
        <f t="shared" si="173"/>
        <v>451</v>
      </c>
      <c r="B452">
        <f t="shared" si="152"/>
        <v>0</v>
      </c>
      <c r="C452">
        <f>'Loan Prepayment'!$B$6</f>
        <v>7.5</v>
      </c>
      <c r="D452">
        <f>IF(B452&lt;=0,0,MIN(-PMT('Loan Prepayment'!$B$6/1200,'Loan Prepayment'!$B$7*12,'Loan Prepayment'!$B$5),B452+E452))</f>
        <v>0</v>
      </c>
      <c r="E452">
        <f t="shared" si="153"/>
        <v>0</v>
      </c>
      <c r="F452">
        <f t="shared" si="154"/>
        <v>0</v>
      </c>
      <c r="G452">
        <v>0</v>
      </c>
      <c r="H452">
        <f t="shared" si="155"/>
        <v>0</v>
      </c>
      <c r="I452">
        <f t="shared" si="174"/>
        <v>451</v>
      </c>
      <c r="J452">
        <f t="shared" si="156"/>
        <v>0</v>
      </c>
      <c r="K452">
        <f>'Loan Prepayment'!$B$6</f>
        <v>7.5</v>
      </c>
      <c r="L452">
        <f>IF(J452&lt;=0,0,MIN(IF(AND('Loan Prepayment'!$E$15="Reduce EMI",O451&gt;0),-PMT(K452/1200,MAX(1,'Loan Prepayment'!$B$7*12-I452+1),J452),L451),J452+M452))</f>
        <v>0</v>
      </c>
      <c r="M452">
        <f t="shared" si="157"/>
        <v>0</v>
      </c>
      <c r="N452">
        <f t="shared" si="158"/>
        <v>0</v>
      </c>
      <c r="O452">
        <f>IF(J452&lt;=0,0,MIN(MAX(0,J452-N452),SUMIFS('Loan Prepayment'!$B$12:$B$31,'Loan Prepayment'!$A$12:$A$31,I452)+0))</f>
        <v>0</v>
      </c>
      <c r="P452">
        <f t="shared" si="159"/>
        <v>0</v>
      </c>
      <c r="Q452">
        <f t="shared" si="175"/>
        <v>451</v>
      </c>
      <c r="R452">
        <f t="shared" si="160"/>
        <v>0</v>
      </c>
      <c r="S452">
        <f>'Loan Prepayment'!$B$6</f>
        <v>7.5</v>
      </c>
      <c r="T452">
        <f>IF(R452&lt;=0,0,MIN(IF(AND('Loan Prepayment'!$E$15="Reduce EMI",W451&gt;0),-PMT(S452/1200,MAX(1,'Loan Prepayment'!$B$7*12-Q452+1),R452),T451),R452+U452))</f>
        <v>0</v>
      </c>
      <c r="U452">
        <f t="shared" si="161"/>
        <v>0</v>
      </c>
      <c r="V452">
        <f t="shared" si="162"/>
        <v>0</v>
      </c>
      <c r="W452">
        <f>IF(R452&lt;=0,0,MIN(MAX(0,R452-V452),0+IF(AND(Q452&gt;='Loan Prepayment'!$B$9,Q452&lt;='Loan Prepayment'!$E$16),'Loan Prepayment'!$B$8,0)))</f>
        <v>0</v>
      </c>
      <c r="X452">
        <f t="shared" si="163"/>
        <v>0</v>
      </c>
      <c r="Y452">
        <f t="shared" si="176"/>
        <v>451</v>
      </c>
      <c r="Z452">
        <f t="shared" si="164"/>
        <v>0</v>
      </c>
      <c r="AA452">
        <f>IF(Y452&gt;='Loan Prepayment'!$E$11,'Loan Prepayment'!$E$12,'Loan Prepayment'!$B$6)</f>
        <v>6.5</v>
      </c>
      <c r="AB452">
        <f>IF(Z452&lt;=0,0,MIN(IF(Y452='Loan Prepayment'!$E$11,IF('Loan Prepayment'!$E$13="Keep tenure, recalculate EMI",-PMT(AA452/1200,MAX(1,'Loan Prepayment'!$B$7*12-Y452+1),Z452),AB451),AB451),Z452+AC452))</f>
        <v>0</v>
      </c>
      <c r="AC452">
        <f t="shared" si="165"/>
        <v>0</v>
      </c>
      <c r="AD452">
        <f t="shared" si="166"/>
        <v>0</v>
      </c>
      <c r="AE452">
        <f t="shared" si="167"/>
        <v>0</v>
      </c>
      <c r="AF452">
        <f t="shared" si="168"/>
        <v>0</v>
      </c>
      <c r="AG452">
        <f t="shared" si="177"/>
        <v>451</v>
      </c>
      <c r="AH452">
        <f t="shared" si="169"/>
        <v>0</v>
      </c>
      <c r="AI452">
        <f>IF(AG452&gt;='Loan Prepayment'!$E$11,'Loan Prepayment'!$E$12,'Loan Prepayment'!$B$6)</f>
        <v>6.5</v>
      </c>
      <c r="AJ452">
        <f>IF(AH452&lt;=0,0,MIN(IF(AG452='Loan Prepayment'!$E$11,IF('Loan Prepayment'!$E$13="Keep tenure, recalculate EMI",-PMT(AI452/1200,MAX(1,'Loan Prepayment'!$B$7*12-AG452+1),AH452),IF(AND('Loan Prepayment'!$E$15="Reduce EMI",AM451&gt;0),-PMT(AI451/1200,MAX(1,'Loan Prepayment'!$B$7*12-AG452+1),AH452),AJ451)),IF(AND('Loan Prepayment'!$E$15="Reduce EMI",AM451&gt;0),-PMT(AI452/1200,MAX(1,'Loan Prepayment'!$B$7*12-AG452+1),AH452),AJ451)),AH452+AK452))</f>
        <v>0</v>
      </c>
      <c r="AK452">
        <f t="shared" si="170"/>
        <v>0</v>
      </c>
      <c r="AL452">
        <f t="shared" si="171"/>
        <v>0</v>
      </c>
      <c r="AM452">
        <f>IF(AH452&lt;=0,0,MIN(MAX(0,AH452-AL452),SUMIFS('Loan Prepayment'!$B$12:$B$31,'Loan Prepayment'!$A$12:$A$31,AG452)+IF(AND(AG452&gt;='Loan Prepayment'!$B$9,AG452&lt;='Loan Prepayment'!$E$16),'Loan Prepayment'!$B$8,0)))</f>
        <v>0</v>
      </c>
      <c r="AN452">
        <f t="shared" si="172"/>
        <v>0</v>
      </c>
    </row>
    <row r="453" spans="1:40" x14ac:dyDescent="0.35">
      <c r="A453">
        <f t="shared" si="173"/>
        <v>452</v>
      </c>
      <c r="B453">
        <f t="shared" si="152"/>
        <v>0</v>
      </c>
      <c r="C453">
        <f>'Loan Prepayment'!$B$6</f>
        <v>7.5</v>
      </c>
      <c r="D453">
        <f>IF(B453&lt;=0,0,MIN(-PMT('Loan Prepayment'!$B$6/1200,'Loan Prepayment'!$B$7*12,'Loan Prepayment'!$B$5),B453+E453))</f>
        <v>0</v>
      </c>
      <c r="E453">
        <f t="shared" si="153"/>
        <v>0</v>
      </c>
      <c r="F453">
        <f t="shared" si="154"/>
        <v>0</v>
      </c>
      <c r="G453">
        <v>0</v>
      </c>
      <c r="H453">
        <f t="shared" si="155"/>
        <v>0</v>
      </c>
      <c r="I453">
        <f t="shared" si="174"/>
        <v>452</v>
      </c>
      <c r="J453">
        <f t="shared" si="156"/>
        <v>0</v>
      </c>
      <c r="K453">
        <f>'Loan Prepayment'!$B$6</f>
        <v>7.5</v>
      </c>
      <c r="L453">
        <f>IF(J453&lt;=0,0,MIN(IF(AND('Loan Prepayment'!$E$15="Reduce EMI",O452&gt;0),-PMT(K453/1200,MAX(1,'Loan Prepayment'!$B$7*12-I453+1),J453),L452),J453+M453))</f>
        <v>0</v>
      </c>
      <c r="M453">
        <f t="shared" si="157"/>
        <v>0</v>
      </c>
      <c r="N453">
        <f t="shared" si="158"/>
        <v>0</v>
      </c>
      <c r="O453">
        <f>IF(J453&lt;=0,0,MIN(MAX(0,J453-N453),SUMIFS('Loan Prepayment'!$B$12:$B$31,'Loan Prepayment'!$A$12:$A$31,I453)+0))</f>
        <v>0</v>
      </c>
      <c r="P453">
        <f t="shared" si="159"/>
        <v>0</v>
      </c>
      <c r="Q453">
        <f t="shared" si="175"/>
        <v>452</v>
      </c>
      <c r="R453">
        <f t="shared" si="160"/>
        <v>0</v>
      </c>
      <c r="S453">
        <f>'Loan Prepayment'!$B$6</f>
        <v>7.5</v>
      </c>
      <c r="T453">
        <f>IF(R453&lt;=0,0,MIN(IF(AND('Loan Prepayment'!$E$15="Reduce EMI",W452&gt;0),-PMT(S453/1200,MAX(1,'Loan Prepayment'!$B$7*12-Q453+1),R453),T452),R453+U453))</f>
        <v>0</v>
      </c>
      <c r="U453">
        <f t="shared" si="161"/>
        <v>0</v>
      </c>
      <c r="V453">
        <f t="shared" si="162"/>
        <v>0</v>
      </c>
      <c r="W453">
        <f>IF(R453&lt;=0,0,MIN(MAX(0,R453-V453),0+IF(AND(Q453&gt;='Loan Prepayment'!$B$9,Q453&lt;='Loan Prepayment'!$E$16),'Loan Prepayment'!$B$8,0)))</f>
        <v>0</v>
      </c>
      <c r="X453">
        <f t="shared" si="163"/>
        <v>0</v>
      </c>
      <c r="Y453">
        <f t="shared" si="176"/>
        <v>452</v>
      </c>
      <c r="Z453">
        <f t="shared" si="164"/>
        <v>0</v>
      </c>
      <c r="AA453">
        <f>IF(Y453&gt;='Loan Prepayment'!$E$11,'Loan Prepayment'!$E$12,'Loan Prepayment'!$B$6)</f>
        <v>6.5</v>
      </c>
      <c r="AB453">
        <f>IF(Z453&lt;=0,0,MIN(IF(Y453='Loan Prepayment'!$E$11,IF('Loan Prepayment'!$E$13="Keep tenure, recalculate EMI",-PMT(AA453/1200,MAX(1,'Loan Prepayment'!$B$7*12-Y453+1),Z453),AB452),AB452),Z453+AC453))</f>
        <v>0</v>
      </c>
      <c r="AC453">
        <f t="shared" si="165"/>
        <v>0</v>
      </c>
      <c r="AD453">
        <f t="shared" si="166"/>
        <v>0</v>
      </c>
      <c r="AE453">
        <f t="shared" si="167"/>
        <v>0</v>
      </c>
      <c r="AF453">
        <f t="shared" si="168"/>
        <v>0</v>
      </c>
      <c r="AG453">
        <f t="shared" si="177"/>
        <v>452</v>
      </c>
      <c r="AH453">
        <f t="shared" si="169"/>
        <v>0</v>
      </c>
      <c r="AI453">
        <f>IF(AG453&gt;='Loan Prepayment'!$E$11,'Loan Prepayment'!$E$12,'Loan Prepayment'!$B$6)</f>
        <v>6.5</v>
      </c>
      <c r="AJ453">
        <f>IF(AH453&lt;=0,0,MIN(IF(AG453='Loan Prepayment'!$E$11,IF('Loan Prepayment'!$E$13="Keep tenure, recalculate EMI",-PMT(AI453/1200,MAX(1,'Loan Prepayment'!$B$7*12-AG453+1),AH453),IF(AND('Loan Prepayment'!$E$15="Reduce EMI",AM452&gt;0),-PMT(AI452/1200,MAX(1,'Loan Prepayment'!$B$7*12-AG453+1),AH453),AJ452)),IF(AND('Loan Prepayment'!$E$15="Reduce EMI",AM452&gt;0),-PMT(AI453/1200,MAX(1,'Loan Prepayment'!$B$7*12-AG453+1),AH453),AJ452)),AH453+AK453))</f>
        <v>0</v>
      </c>
      <c r="AK453">
        <f t="shared" si="170"/>
        <v>0</v>
      </c>
      <c r="AL453">
        <f t="shared" si="171"/>
        <v>0</v>
      </c>
      <c r="AM453">
        <f>IF(AH453&lt;=0,0,MIN(MAX(0,AH453-AL453),SUMIFS('Loan Prepayment'!$B$12:$B$31,'Loan Prepayment'!$A$12:$A$31,AG453)+IF(AND(AG453&gt;='Loan Prepayment'!$B$9,AG453&lt;='Loan Prepayment'!$E$16),'Loan Prepayment'!$B$8,0)))</f>
        <v>0</v>
      </c>
      <c r="AN453">
        <f t="shared" si="172"/>
        <v>0</v>
      </c>
    </row>
    <row r="454" spans="1:40" x14ac:dyDescent="0.35">
      <c r="A454">
        <f t="shared" si="173"/>
        <v>453</v>
      </c>
      <c r="B454">
        <f t="shared" si="152"/>
        <v>0</v>
      </c>
      <c r="C454">
        <f>'Loan Prepayment'!$B$6</f>
        <v>7.5</v>
      </c>
      <c r="D454">
        <f>IF(B454&lt;=0,0,MIN(-PMT('Loan Prepayment'!$B$6/1200,'Loan Prepayment'!$B$7*12,'Loan Prepayment'!$B$5),B454+E454))</f>
        <v>0</v>
      </c>
      <c r="E454">
        <f t="shared" si="153"/>
        <v>0</v>
      </c>
      <c r="F454">
        <f t="shared" si="154"/>
        <v>0</v>
      </c>
      <c r="G454">
        <v>0</v>
      </c>
      <c r="H454">
        <f t="shared" si="155"/>
        <v>0</v>
      </c>
      <c r="I454">
        <f t="shared" si="174"/>
        <v>453</v>
      </c>
      <c r="J454">
        <f t="shared" si="156"/>
        <v>0</v>
      </c>
      <c r="K454">
        <f>'Loan Prepayment'!$B$6</f>
        <v>7.5</v>
      </c>
      <c r="L454">
        <f>IF(J454&lt;=0,0,MIN(IF(AND('Loan Prepayment'!$E$15="Reduce EMI",O453&gt;0),-PMT(K454/1200,MAX(1,'Loan Prepayment'!$B$7*12-I454+1),J454),L453),J454+M454))</f>
        <v>0</v>
      </c>
      <c r="M454">
        <f t="shared" si="157"/>
        <v>0</v>
      </c>
      <c r="N454">
        <f t="shared" si="158"/>
        <v>0</v>
      </c>
      <c r="O454">
        <f>IF(J454&lt;=0,0,MIN(MAX(0,J454-N454),SUMIFS('Loan Prepayment'!$B$12:$B$31,'Loan Prepayment'!$A$12:$A$31,I454)+0))</f>
        <v>0</v>
      </c>
      <c r="P454">
        <f t="shared" si="159"/>
        <v>0</v>
      </c>
      <c r="Q454">
        <f t="shared" si="175"/>
        <v>453</v>
      </c>
      <c r="R454">
        <f t="shared" si="160"/>
        <v>0</v>
      </c>
      <c r="S454">
        <f>'Loan Prepayment'!$B$6</f>
        <v>7.5</v>
      </c>
      <c r="T454">
        <f>IF(R454&lt;=0,0,MIN(IF(AND('Loan Prepayment'!$E$15="Reduce EMI",W453&gt;0),-PMT(S454/1200,MAX(1,'Loan Prepayment'!$B$7*12-Q454+1),R454),T453),R454+U454))</f>
        <v>0</v>
      </c>
      <c r="U454">
        <f t="shared" si="161"/>
        <v>0</v>
      </c>
      <c r="V454">
        <f t="shared" si="162"/>
        <v>0</v>
      </c>
      <c r="W454">
        <f>IF(R454&lt;=0,0,MIN(MAX(0,R454-V454),0+IF(AND(Q454&gt;='Loan Prepayment'!$B$9,Q454&lt;='Loan Prepayment'!$E$16),'Loan Prepayment'!$B$8,0)))</f>
        <v>0</v>
      </c>
      <c r="X454">
        <f t="shared" si="163"/>
        <v>0</v>
      </c>
      <c r="Y454">
        <f t="shared" si="176"/>
        <v>453</v>
      </c>
      <c r="Z454">
        <f t="shared" si="164"/>
        <v>0</v>
      </c>
      <c r="AA454">
        <f>IF(Y454&gt;='Loan Prepayment'!$E$11,'Loan Prepayment'!$E$12,'Loan Prepayment'!$B$6)</f>
        <v>6.5</v>
      </c>
      <c r="AB454">
        <f>IF(Z454&lt;=0,0,MIN(IF(Y454='Loan Prepayment'!$E$11,IF('Loan Prepayment'!$E$13="Keep tenure, recalculate EMI",-PMT(AA454/1200,MAX(1,'Loan Prepayment'!$B$7*12-Y454+1),Z454),AB453),AB453),Z454+AC454))</f>
        <v>0</v>
      </c>
      <c r="AC454">
        <f t="shared" si="165"/>
        <v>0</v>
      </c>
      <c r="AD454">
        <f t="shared" si="166"/>
        <v>0</v>
      </c>
      <c r="AE454">
        <f t="shared" si="167"/>
        <v>0</v>
      </c>
      <c r="AF454">
        <f t="shared" si="168"/>
        <v>0</v>
      </c>
      <c r="AG454">
        <f t="shared" si="177"/>
        <v>453</v>
      </c>
      <c r="AH454">
        <f t="shared" si="169"/>
        <v>0</v>
      </c>
      <c r="AI454">
        <f>IF(AG454&gt;='Loan Prepayment'!$E$11,'Loan Prepayment'!$E$12,'Loan Prepayment'!$B$6)</f>
        <v>6.5</v>
      </c>
      <c r="AJ454">
        <f>IF(AH454&lt;=0,0,MIN(IF(AG454='Loan Prepayment'!$E$11,IF('Loan Prepayment'!$E$13="Keep tenure, recalculate EMI",-PMT(AI454/1200,MAX(1,'Loan Prepayment'!$B$7*12-AG454+1),AH454),IF(AND('Loan Prepayment'!$E$15="Reduce EMI",AM453&gt;0),-PMT(AI453/1200,MAX(1,'Loan Prepayment'!$B$7*12-AG454+1),AH454),AJ453)),IF(AND('Loan Prepayment'!$E$15="Reduce EMI",AM453&gt;0),-PMT(AI454/1200,MAX(1,'Loan Prepayment'!$B$7*12-AG454+1),AH454),AJ453)),AH454+AK454))</f>
        <v>0</v>
      </c>
      <c r="AK454">
        <f t="shared" si="170"/>
        <v>0</v>
      </c>
      <c r="AL454">
        <f t="shared" si="171"/>
        <v>0</v>
      </c>
      <c r="AM454">
        <f>IF(AH454&lt;=0,0,MIN(MAX(0,AH454-AL454),SUMIFS('Loan Prepayment'!$B$12:$B$31,'Loan Prepayment'!$A$12:$A$31,AG454)+IF(AND(AG454&gt;='Loan Prepayment'!$B$9,AG454&lt;='Loan Prepayment'!$E$16),'Loan Prepayment'!$B$8,0)))</f>
        <v>0</v>
      </c>
      <c r="AN454">
        <f t="shared" si="172"/>
        <v>0</v>
      </c>
    </row>
    <row r="455" spans="1:40" x14ac:dyDescent="0.35">
      <c r="A455">
        <f t="shared" si="173"/>
        <v>454</v>
      </c>
      <c r="B455">
        <f t="shared" si="152"/>
        <v>0</v>
      </c>
      <c r="C455">
        <f>'Loan Prepayment'!$B$6</f>
        <v>7.5</v>
      </c>
      <c r="D455">
        <f>IF(B455&lt;=0,0,MIN(-PMT('Loan Prepayment'!$B$6/1200,'Loan Prepayment'!$B$7*12,'Loan Prepayment'!$B$5),B455+E455))</f>
        <v>0</v>
      </c>
      <c r="E455">
        <f t="shared" si="153"/>
        <v>0</v>
      </c>
      <c r="F455">
        <f t="shared" si="154"/>
        <v>0</v>
      </c>
      <c r="G455">
        <v>0</v>
      </c>
      <c r="H455">
        <f t="shared" si="155"/>
        <v>0</v>
      </c>
      <c r="I455">
        <f t="shared" si="174"/>
        <v>454</v>
      </c>
      <c r="J455">
        <f t="shared" si="156"/>
        <v>0</v>
      </c>
      <c r="K455">
        <f>'Loan Prepayment'!$B$6</f>
        <v>7.5</v>
      </c>
      <c r="L455">
        <f>IF(J455&lt;=0,0,MIN(IF(AND('Loan Prepayment'!$E$15="Reduce EMI",O454&gt;0),-PMT(K455/1200,MAX(1,'Loan Prepayment'!$B$7*12-I455+1),J455),L454),J455+M455))</f>
        <v>0</v>
      </c>
      <c r="M455">
        <f t="shared" si="157"/>
        <v>0</v>
      </c>
      <c r="N455">
        <f t="shared" si="158"/>
        <v>0</v>
      </c>
      <c r="O455">
        <f>IF(J455&lt;=0,0,MIN(MAX(0,J455-N455),SUMIFS('Loan Prepayment'!$B$12:$B$31,'Loan Prepayment'!$A$12:$A$31,I455)+0))</f>
        <v>0</v>
      </c>
      <c r="P455">
        <f t="shared" si="159"/>
        <v>0</v>
      </c>
      <c r="Q455">
        <f t="shared" si="175"/>
        <v>454</v>
      </c>
      <c r="R455">
        <f t="shared" si="160"/>
        <v>0</v>
      </c>
      <c r="S455">
        <f>'Loan Prepayment'!$B$6</f>
        <v>7.5</v>
      </c>
      <c r="T455">
        <f>IF(R455&lt;=0,0,MIN(IF(AND('Loan Prepayment'!$E$15="Reduce EMI",W454&gt;0),-PMT(S455/1200,MAX(1,'Loan Prepayment'!$B$7*12-Q455+1),R455),T454),R455+U455))</f>
        <v>0</v>
      </c>
      <c r="U455">
        <f t="shared" si="161"/>
        <v>0</v>
      </c>
      <c r="V455">
        <f t="shared" si="162"/>
        <v>0</v>
      </c>
      <c r="W455">
        <f>IF(R455&lt;=0,0,MIN(MAX(0,R455-V455),0+IF(AND(Q455&gt;='Loan Prepayment'!$B$9,Q455&lt;='Loan Prepayment'!$E$16),'Loan Prepayment'!$B$8,0)))</f>
        <v>0</v>
      </c>
      <c r="X455">
        <f t="shared" si="163"/>
        <v>0</v>
      </c>
      <c r="Y455">
        <f t="shared" si="176"/>
        <v>454</v>
      </c>
      <c r="Z455">
        <f t="shared" si="164"/>
        <v>0</v>
      </c>
      <c r="AA455">
        <f>IF(Y455&gt;='Loan Prepayment'!$E$11,'Loan Prepayment'!$E$12,'Loan Prepayment'!$B$6)</f>
        <v>6.5</v>
      </c>
      <c r="AB455">
        <f>IF(Z455&lt;=0,0,MIN(IF(Y455='Loan Prepayment'!$E$11,IF('Loan Prepayment'!$E$13="Keep tenure, recalculate EMI",-PMT(AA455/1200,MAX(1,'Loan Prepayment'!$B$7*12-Y455+1),Z455),AB454),AB454),Z455+AC455))</f>
        <v>0</v>
      </c>
      <c r="AC455">
        <f t="shared" si="165"/>
        <v>0</v>
      </c>
      <c r="AD455">
        <f t="shared" si="166"/>
        <v>0</v>
      </c>
      <c r="AE455">
        <f t="shared" si="167"/>
        <v>0</v>
      </c>
      <c r="AF455">
        <f t="shared" si="168"/>
        <v>0</v>
      </c>
      <c r="AG455">
        <f t="shared" si="177"/>
        <v>454</v>
      </c>
      <c r="AH455">
        <f t="shared" si="169"/>
        <v>0</v>
      </c>
      <c r="AI455">
        <f>IF(AG455&gt;='Loan Prepayment'!$E$11,'Loan Prepayment'!$E$12,'Loan Prepayment'!$B$6)</f>
        <v>6.5</v>
      </c>
      <c r="AJ455">
        <f>IF(AH455&lt;=0,0,MIN(IF(AG455='Loan Prepayment'!$E$11,IF('Loan Prepayment'!$E$13="Keep tenure, recalculate EMI",-PMT(AI455/1200,MAX(1,'Loan Prepayment'!$B$7*12-AG455+1),AH455),IF(AND('Loan Prepayment'!$E$15="Reduce EMI",AM454&gt;0),-PMT(AI454/1200,MAX(1,'Loan Prepayment'!$B$7*12-AG455+1),AH455),AJ454)),IF(AND('Loan Prepayment'!$E$15="Reduce EMI",AM454&gt;0),-PMT(AI455/1200,MAX(1,'Loan Prepayment'!$B$7*12-AG455+1),AH455),AJ454)),AH455+AK455))</f>
        <v>0</v>
      </c>
      <c r="AK455">
        <f t="shared" si="170"/>
        <v>0</v>
      </c>
      <c r="AL455">
        <f t="shared" si="171"/>
        <v>0</v>
      </c>
      <c r="AM455">
        <f>IF(AH455&lt;=0,0,MIN(MAX(0,AH455-AL455),SUMIFS('Loan Prepayment'!$B$12:$B$31,'Loan Prepayment'!$A$12:$A$31,AG455)+IF(AND(AG455&gt;='Loan Prepayment'!$B$9,AG455&lt;='Loan Prepayment'!$E$16),'Loan Prepayment'!$B$8,0)))</f>
        <v>0</v>
      </c>
      <c r="AN455">
        <f t="shared" si="172"/>
        <v>0</v>
      </c>
    </row>
    <row r="456" spans="1:40" x14ac:dyDescent="0.35">
      <c r="A456">
        <f t="shared" si="173"/>
        <v>455</v>
      </c>
      <c r="B456">
        <f t="shared" si="152"/>
        <v>0</v>
      </c>
      <c r="C456">
        <f>'Loan Prepayment'!$B$6</f>
        <v>7.5</v>
      </c>
      <c r="D456">
        <f>IF(B456&lt;=0,0,MIN(-PMT('Loan Prepayment'!$B$6/1200,'Loan Prepayment'!$B$7*12,'Loan Prepayment'!$B$5),B456+E456))</f>
        <v>0</v>
      </c>
      <c r="E456">
        <f t="shared" si="153"/>
        <v>0</v>
      </c>
      <c r="F456">
        <f t="shared" si="154"/>
        <v>0</v>
      </c>
      <c r="G456">
        <v>0</v>
      </c>
      <c r="H456">
        <f t="shared" si="155"/>
        <v>0</v>
      </c>
      <c r="I456">
        <f t="shared" si="174"/>
        <v>455</v>
      </c>
      <c r="J456">
        <f t="shared" si="156"/>
        <v>0</v>
      </c>
      <c r="K456">
        <f>'Loan Prepayment'!$B$6</f>
        <v>7.5</v>
      </c>
      <c r="L456">
        <f>IF(J456&lt;=0,0,MIN(IF(AND('Loan Prepayment'!$E$15="Reduce EMI",O455&gt;0),-PMT(K456/1200,MAX(1,'Loan Prepayment'!$B$7*12-I456+1),J456),L455),J456+M456))</f>
        <v>0</v>
      </c>
      <c r="M456">
        <f t="shared" si="157"/>
        <v>0</v>
      </c>
      <c r="N456">
        <f t="shared" si="158"/>
        <v>0</v>
      </c>
      <c r="O456">
        <f>IF(J456&lt;=0,0,MIN(MAX(0,J456-N456),SUMIFS('Loan Prepayment'!$B$12:$B$31,'Loan Prepayment'!$A$12:$A$31,I456)+0))</f>
        <v>0</v>
      </c>
      <c r="P456">
        <f t="shared" si="159"/>
        <v>0</v>
      </c>
      <c r="Q456">
        <f t="shared" si="175"/>
        <v>455</v>
      </c>
      <c r="R456">
        <f t="shared" si="160"/>
        <v>0</v>
      </c>
      <c r="S456">
        <f>'Loan Prepayment'!$B$6</f>
        <v>7.5</v>
      </c>
      <c r="T456">
        <f>IF(R456&lt;=0,0,MIN(IF(AND('Loan Prepayment'!$E$15="Reduce EMI",W455&gt;0),-PMT(S456/1200,MAX(1,'Loan Prepayment'!$B$7*12-Q456+1),R456),T455),R456+U456))</f>
        <v>0</v>
      </c>
      <c r="U456">
        <f t="shared" si="161"/>
        <v>0</v>
      </c>
      <c r="V456">
        <f t="shared" si="162"/>
        <v>0</v>
      </c>
      <c r="W456">
        <f>IF(R456&lt;=0,0,MIN(MAX(0,R456-V456),0+IF(AND(Q456&gt;='Loan Prepayment'!$B$9,Q456&lt;='Loan Prepayment'!$E$16),'Loan Prepayment'!$B$8,0)))</f>
        <v>0</v>
      </c>
      <c r="X456">
        <f t="shared" si="163"/>
        <v>0</v>
      </c>
      <c r="Y456">
        <f t="shared" si="176"/>
        <v>455</v>
      </c>
      <c r="Z456">
        <f t="shared" si="164"/>
        <v>0</v>
      </c>
      <c r="AA456">
        <f>IF(Y456&gt;='Loan Prepayment'!$E$11,'Loan Prepayment'!$E$12,'Loan Prepayment'!$B$6)</f>
        <v>6.5</v>
      </c>
      <c r="AB456">
        <f>IF(Z456&lt;=0,0,MIN(IF(Y456='Loan Prepayment'!$E$11,IF('Loan Prepayment'!$E$13="Keep tenure, recalculate EMI",-PMT(AA456/1200,MAX(1,'Loan Prepayment'!$B$7*12-Y456+1),Z456),AB455),AB455),Z456+AC456))</f>
        <v>0</v>
      </c>
      <c r="AC456">
        <f t="shared" si="165"/>
        <v>0</v>
      </c>
      <c r="AD456">
        <f t="shared" si="166"/>
        <v>0</v>
      </c>
      <c r="AE456">
        <f t="shared" si="167"/>
        <v>0</v>
      </c>
      <c r="AF456">
        <f t="shared" si="168"/>
        <v>0</v>
      </c>
      <c r="AG456">
        <f t="shared" si="177"/>
        <v>455</v>
      </c>
      <c r="AH456">
        <f t="shared" si="169"/>
        <v>0</v>
      </c>
      <c r="AI456">
        <f>IF(AG456&gt;='Loan Prepayment'!$E$11,'Loan Prepayment'!$E$12,'Loan Prepayment'!$B$6)</f>
        <v>6.5</v>
      </c>
      <c r="AJ456">
        <f>IF(AH456&lt;=0,0,MIN(IF(AG456='Loan Prepayment'!$E$11,IF('Loan Prepayment'!$E$13="Keep tenure, recalculate EMI",-PMT(AI456/1200,MAX(1,'Loan Prepayment'!$B$7*12-AG456+1),AH456),IF(AND('Loan Prepayment'!$E$15="Reduce EMI",AM455&gt;0),-PMT(AI455/1200,MAX(1,'Loan Prepayment'!$B$7*12-AG456+1),AH456),AJ455)),IF(AND('Loan Prepayment'!$E$15="Reduce EMI",AM455&gt;0),-PMT(AI456/1200,MAX(1,'Loan Prepayment'!$B$7*12-AG456+1),AH456),AJ455)),AH456+AK456))</f>
        <v>0</v>
      </c>
      <c r="AK456">
        <f t="shared" si="170"/>
        <v>0</v>
      </c>
      <c r="AL456">
        <f t="shared" si="171"/>
        <v>0</v>
      </c>
      <c r="AM456">
        <f>IF(AH456&lt;=0,0,MIN(MAX(0,AH456-AL456),SUMIFS('Loan Prepayment'!$B$12:$B$31,'Loan Prepayment'!$A$12:$A$31,AG456)+IF(AND(AG456&gt;='Loan Prepayment'!$B$9,AG456&lt;='Loan Prepayment'!$E$16),'Loan Prepayment'!$B$8,0)))</f>
        <v>0</v>
      </c>
      <c r="AN456">
        <f t="shared" si="172"/>
        <v>0</v>
      </c>
    </row>
    <row r="457" spans="1:40" x14ac:dyDescent="0.35">
      <c r="A457">
        <f t="shared" si="173"/>
        <v>456</v>
      </c>
      <c r="B457">
        <f t="shared" si="152"/>
        <v>0</v>
      </c>
      <c r="C457">
        <f>'Loan Prepayment'!$B$6</f>
        <v>7.5</v>
      </c>
      <c r="D457">
        <f>IF(B457&lt;=0,0,MIN(-PMT('Loan Prepayment'!$B$6/1200,'Loan Prepayment'!$B$7*12,'Loan Prepayment'!$B$5),B457+E457))</f>
        <v>0</v>
      </c>
      <c r="E457">
        <f t="shared" si="153"/>
        <v>0</v>
      </c>
      <c r="F457">
        <f t="shared" si="154"/>
        <v>0</v>
      </c>
      <c r="G457">
        <v>0</v>
      </c>
      <c r="H457">
        <f t="shared" si="155"/>
        <v>0</v>
      </c>
      <c r="I457">
        <f t="shared" si="174"/>
        <v>456</v>
      </c>
      <c r="J457">
        <f t="shared" si="156"/>
        <v>0</v>
      </c>
      <c r="K457">
        <f>'Loan Prepayment'!$B$6</f>
        <v>7.5</v>
      </c>
      <c r="L457">
        <f>IF(J457&lt;=0,0,MIN(IF(AND('Loan Prepayment'!$E$15="Reduce EMI",O456&gt;0),-PMT(K457/1200,MAX(1,'Loan Prepayment'!$B$7*12-I457+1),J457),L456),J457+M457))</f>
        <v>0</v>
      </c>
      <c r="M457">
        <f t="shared" si="157"/>
        <v>0</v>
      </c>
      <c r="N457">
        <f t="shared" si="158"/>
        <v>0</v>
      </c>
      <c r="O457">
        <f>IF(J457&lt;=0,0,MIN(MAX(0,J457-N457),SUMIFS('Loan Prepayment'!$B$12:$B$31,'Loan Prepayment'!$A$12:$A$31,I457)+0))</f>
        <v>0</v>
      </c>
      <c r="P457">
        <f t="shared" si="159"/>
        <v>0</v>
      </c>
      <c r="Q457">
        <f t="shared" si="175"/>
        <v>456</v>
      </c>
      <c r="R457">
        <f t="shared" si="160"/>
        <v>0</v>
      </c>
      <c r="S457">
        <f>'Loan Prepayment'!$B$6</f>
        <v>7.5</v>
      </c>
      <c r="T457">
        <f>IF(R457&lt;=0,0,MIN(IF(AND('Loan Prepayment'!$E$15="Reduce EMI",W456&gt;0),-PMT(S457/1200,MAX(1,'Loan Prepayment'!$B$7*12-Q457+1),R457),T456),R457+U457))</f>
        <v>0</v>
      </c>
      <c r="U457">
        <f t="shared" si="161"/>
        <v>0</v>
      </c>
      <c r="V457">
        <f t="shared" si="162"/>
        <v>0</v>
      </c>
      <c r="W457">
        <f>IF(R457&lt;=0,0,MIN(MAX(0,R457-V457),0+IF(AND(Q457&gt;='Loan Prepayment'!$B$9,Q457&lt;='Loan Prepayment'!$E$16),'Loan Prepayment'!$B$8,0)))</f>
        <v>0</v>
      </c>
      <c r="X457">
        <f t="shared" si="163"/>
        <v>0</v>
      </c>
      <c r="Y457">
        <f t="shared" si="176"/>
        <v>456</v>
      </c>
      <c r="Z457">
        <f t="shared" si="164"/>
        <v>0</v>
      </c>
      <c r="AA457">
        <f>IF(Y457&gt;='Loan Prepayment'!$E$11,'Loan Prepayment'!$E$12,'Loan Prepayment'!$B$6)</f>
        <v>6.5</v>
      </c>
      <c r="AB457">
        <f>IF(Z457&lt;=0,0,MIN(IF(Y457='Loan Prepayment'!$E$11,IF('Loan Prepayment'!$E$13="Keep tenure, recalculate EMI",-PMT(AA457/1200,MAX(1,'Loan Prepayment'!$B$7*12-Y457+1),Z457),AB456),AB456),Z457+AC457))</f>
        <v>0</v>
      </c>
      <c r="AC457">
        <f t="shared" si="165"/>
        <v>0</v>
      </c>
      <c r="AD457">
        <f t="shared" si="166"/>
        <v>0</v>
      </c>
      <c r="AE457">
        <f t="shared" si="167"/>
        <v>0</v>
      </c>
      <c r="AF457">
        <f t="shared" si="168"/>
        <v>0</v>
      </c>
      <c r="AG457">
        <f t="shared" si="177"/>
        <v>456</v>
      </c>
      <c r="AH457">
        <f t="shared" si="169"/>
        <v>0</v>
      </c>
      <c r="AI457">
        <f>IF(AG457&gt;='Loan Prepayment'!$E$11,'Loan Prepayment'!$E$12,'Loan Prepayment'!$B$6)</f>
        <v>6.5</v>
      </c>
      <c r="AJ457">
        <f>IF(AH457&lt;=0,0,MIN(IF(AG457='Loan Prepayment'!$E$11,IF('Loan Prepayment'!$E$13="Keep tenure, recalculate EMI",-PMT(AI457/1200,MAX(1,'Loan Prepayment'!$B$7*12-AG457+1),AH457),IF(AND('Loan Prepayment'!$E$15="Reduce EMI",AM456&gt;0),-PMT(AI456/1200,MAX(1,'Loan Prepayment'!$B$7*12-AG457+1),AH457),AJ456)),IF(AND('Loan Prepayment'!$E$15="Reduce EMI",AM456&gt;0),-PMT(AI457/1200,MAX(1,'Loan Prepayment'!$B$7*12-AG457+1),AH457),AJ456)),AH457+AK457))</f>
        <v>0</v>
      </c>
      <c r="AK457">
        <f t="shared" si="170"/>
        <v>0</v>
      </c>
      <c r="AL457">
        <f t="shared" si="171"/>
        <v>0</v>
      </c>
      <c r="AM457">
        <f>IF(AH457&lt;=0,0,MIN(MAX(0,AH457-AL457),SUMIFS('Loan Prepayment'!$B$12:$B$31,'Loan Prepayment'!$A$12:$A$31,AG457)+IF(AND(AG457&gt;='Loan Prepayment'!$B$9,AG457&lt;='Loan Prepayment'!$E$16),'Loan Prepayment'!$B$8,0)))</f>
        <v>0</v>
      </c>
      <c r="AN457">
        <f t="shared" si="172"/>
        <v>0</v>
      </c>
    </row>
    <row r="458" spans="1:40" x14ac:dyDescent="0.35">
      <c r="A458">
        <f t="shared" si="173"/>
        <v>457</v>
      </c>
      <c r="B458">
        <f t="shared" si="152"/>
        <v>0</v>
      </c>
      <c r="C458">
        <f>'Loan Prepayment'!$B$6</f>
        <v>7.5</v>
      </c>
      <c r="D458">
        <f>IF(B458&lt;=0,0,MIN(-PMT('Loan Prepayment'!$B$6/1200,'Loan Prepayment'!$B$7*12,'Loan Prepayment'!$B$5),B458+E458))</f>
        <v>0</v>
      </c>
      <c r="E458">
        <f t="shared" si="153"/>
        <v>0</v>
      </c>
      <c r="F458">
        <f t="shared" si="154"/>
        <v>0</v>
      </c>
      <c r="G458">
        <v>0</v>
      </c>
      <c r="H458">
        <f t="shared" si="155"/>
        <v>0</v>
      </c>
      <c r="I458">
        <f t="shared" si="174"/>
        <v>457</v>
      </c>
      <c r="J458">
        <f t="shared" si="156"/>
        <v>0</v>
      </c>
      <c r="K458">
        <f>'Loan Prepayment'!$B$6</f>
        <v>7.5</v>
      </c>
      <c r="L458">
        <f>IF(J458&lt;=0,0,MIN(IF(AND('Loan Prepayment'!$E$15="Reduce EMI",O457&gt;0),-PMT(K458/1200,MAX(1,'Loan Prepayment'!$B$7*12-I458+1),J458),L457),J458+M458))</f>
        <v>0</v>
      </c>
      <c r="M458">
        <f t="shared" si="157"/>
        <v>0</v>
      </c>
      <c r="N458">
        <f t="shared" si="158"/>
        <v>0</v>
      </c>
      <c r="O458">
        <f>IF(J458&lt;=0,0,MIN(MAX(0,J458-N458),SUMIFS('Loan Prepayment'!$B$12:$B$31,'Loan Prepayment'!$A$12:$A$31,I458)+0))</f>
        <v>0</v>
      </c>
      <c r="P458">
        <f t="shared" si="159"/>
        <v>0</v>
      </c>
      <c r="Q458">
        <f t="shared" si="175"/>
        <v>457</v>
      </c>
      <c r="R458">
        <f t="shared" si="160"/>
        <v>0</v>
      </c>
      <c r="S458">
        <f>'Loan Prepayment'!$B$6</f>
        <v>7.5</v>
      </c>
      <c r="T458">
        <f>IF(R458&lt;=0,0,MIN(IF(AND('Loan Prepayment'!$E$15="Reduce EMI",W457&gt;0),-PMT(S458/1200,MAX(1,'Loan Prepayment'!$B$7*12-Q458+1),R458),T457),R458+U458))</f>
        <v>0</v>
      </c>
      <c r="U458">
        <f t="shared" si="161"/>
        <v>0</v>
      </c>
      <c r="V458">
        <f t="shared" si="162"/>
        <v>0</v>
      </c>
      <c r="W458">
        <f>IF(R458&lt;=0,0,MIN(MAX(0,R458-V458),0+IF(AND(Q458&gt;='Loan Prepayment'!$B$9,Q458&lt;='Loan Prepayment'!$E$16),'Loan Prepayment'!$B$8,0)))</f>
        <v>0</v>
      </c>
      <c r="X458">
        <f t="shared" si="163"/>
        <v>0</v>
      </c>
      <c r="Y458">
        <f t="shared" si="176"/>
        <v>457</v>
      </c>
      <c r="Z458">
        <f t="shared" si="164"/>
        <v>0</v>
      </c>
      <c r="AA458">
        <f>IF(Y458&gt;='Loan Prepayment'!$E$11,'Loan Prepayment'!$E$12,'Loan Prepayment'!$B$6)</f>
        <v>6.5</v>
      </c>
      <c r="AB458">
        <f>IF(Z458&lt;=0,0,MIN(IF(Y458='Loan Prepayment'!$E$11,IF('Loan Prepayment'!$E$13="Keep tenure, recalculate EMI",-PMT(AA458/1200,MAX(1,'Loan Prepayment'!$B$7*12-Y458+1),Z458),AB457),AB457),Z458+AC458))</f>
        <v>0</v>
      </c>
      <c r="AC458">
        <f t="shared" si="165"/>
        <v>0</v>
      </c>
      <c r="AD458">
        <f t="shared" si="166"/>
        <v>0</v>
      </c>
      <c r="AE458">
        <f t="shared" si="167"/>
        <v>0</v>
      </c>
      <c r="AF458">
        <f t="shared" si="168"/>
        <v>0</v>
      </c>
      <c r="AG458">
        <f t="shared" si="177"/>
        <v>457</v>
      </c>
      <c r="AH458">
        <f t="shared" si="169"/>
        <v>0</v>
      </c>
      <c r="AI458">
        <f>IF(AG458&gt;='Loan Prepayment'!$E$11,'Loan Prepayment'!$E$12,'Loan Prepayment'!$B$6)</f>
        <v>6.5</v>
      </c>
      <c r="AJ458">
        <f>IF(AH458&lt;=0,0,MIN(IF(AG458='Loan Prepayment'!$E$11,IF('Loan Prepayment'!$E$13="Keep tenure, recalculate EMI",-PMT(AI458/1200,MAX(1,'Loan Prepayment'!$B$7*12-AG458+1),AH458),IF(AND('Loan Prepayment'!$E$15="Reduce EMI",AM457&gt;0),-PMT(AI457/1200,MAX(1,'Loan Prepayment'!$B$7*12-AG458+1),AH458),AJ457)),IF(AND('Loan Prepayment'!$E$15="Reduce EMI",AM457&gt;0),-PMT(AI458/1200,MAX(1,'Loan Prepayment'!$B$7*12-AG458+1),AH458),AJ457)),AH458+AK458))</f>
        <v>0</v>
      </c>
      <c r="AK458">
        <f t="shared" si="170"/>
        <v>0</v>
      </c>
      <c r="AL458">
        <f t="shared" si="171"/>
        <v>0</v>
      </c>
      <c r="AM458">
        <f>IF(AH458&lt;=0,0,MIN(MAX(0,AH458-AL458),SUMIFS('Loan Prepayment'!$B$12:$B$31,'Loan Prepayment'!$A$12:$A$31,AG458)+IF(AND(AG458&gt;='Loan Prepayment'!$B$9,AG458&lt;='Loan Prepayment'!$E$16),'Loan Prepayment'!$B$8,0)))</f>
        <v>0</v>
      </c>
      <c r="AN458">
        <f t="shared" si="172"/>
        <v>0</v>
      </c>
    </row>
    <row r="459" spans="1:40" x14ac:dyDescent="0.35">
      <c r="A459">
        <f t="shared" si="173"/>
        <v>458</v>
      </c>
      <c r="B459">
        <f t="shared" si="152"/>
        <v>0</v>
      </c>
      <c r="C459">
        <f>'Loan Prepayment'!$B$6</f>
        <v>7.5</v>
      </c>
      <c r="D459">
        <f>IF(B459&lt;=0,0,MIN(-PMT('Loan Prepayment'!$B$6/1200,'Loan Prepayment'!$B$7*12,'Loan Prepayment'!$B$5),B459+E459))</f>
        <v>0</v>
      </c>
      <c r="E459">
        <f t="shared" si="153"/>
        <v>0</v>
      </c>
      <c r="F459">
        <f t="shared" si="154"/>
        <v>0</v>
      </c>
      <c r="G459">
        <v>0</v>
      </c>
      <c r="H459">
        <f t="shared" si="155"/>
        <v>0</v>
      </c>
      <c r="I459">
        <f t="shared" si="174"/>
        <v>458</v>
      </c>
      <c r="J459">
        <f t="shared" si="156"/>
        <v>0</v>
      </c>
      <c r="K459">
        <f>'Loan Prepayment'!$B$6</f>
        <v>7.5</v>
      </c>
      <c r="L459">
        <f>IF(J459&lt;=0,0,MIN(IF(AND('Loan Prepayment'!$E$15="Reduce EMI",O458&gt;0),-PMT(K459/1200,MAX(1,'Loan Prepayment'!$B$7*12-I459+1),J459),L458),J459+M459))</f>
        <v>0</v>
      </c>
      <c r="M459">
        <f t="shared" si="157"/>
        <v>0</v>
      </c>
      <c r="N459">
        <f t="shared" si="158"/>
        <v>0</v>
      </c>
      <c r="O459">
        <f>IF(J459&lt;=0,0,MIN(MAX(0,J459-N459),SUMIFS('Loan Prepayment'!$B$12:$B$31,'Loan Prepayment'!$A$12:$A$31,I459)+0))</f>
        <v>0</v>
      </c>
      <c r="P459">
        <f t="shared" si="159"/>
        <v>0</v>
      </c>
      <c r="Q459">
        <f t="shared" si="175"/>
        <v>458</v>
      </c>
      <c r="R459">
        <f t="shared" si="160"/>
        <v>0</v>
      </c>
      <c r="S459">
        <f>'Loan Prepayment'!$B$6</f>
        <v>7.5</v>
      </c>
      <c r="T459">
        <f>IF(R459&lt;=0,0,MIN(IF(AND('Loan Prepayment'!$E$15="Reduce EMI",W458&gt;0),-PMT(S459/1200,MAX(1,'Loan Prepayment'!$B$7*12-Q459+1),R459),T458),R459+U459))</f>
        <v>0</v>
      </c>
      <c r="U459">
        <f t="shared" si="161"/>
        <v>0</v>
      </c>
      <c r="V459">
        <f t="shared" si="162"/>
        <v>0</v>
      </c>
      <c r="W459">
        <f>IF(R459&lt;=0,0,MIN(MAX(0,R459-V459),0+IF(AND(Q459&gt;='Loan Prepayment'!$B$9,Q459&lt;='Loan Prepayment'!$E$16),'Loan Prepayment'!$B$8,0)))</f>
        <v>0</v>
      </c>
      <c r="X459">
        <f t="shared" si="163"/>
        <v>0</v>
      </c>
      <c r="Y459">
        <f t="shared" si="176"/>
        <v>458</v>
      </c>
      <c r="Z459">
        <f t="shared" si="164"/>
        <v>0</v>
      </c>
      <c r="AA459">
        <f>IF(Y459&gt;='Loan Prepayment'!$E$11,'Loan Prepayment'!$E$12,'Loan Prepayment'!$B$6)</f>
        <v>6.5</v>
      </c>
      <c r="AB459">
        <f>IF(Z459&lt;=0,0,MIN(IF(Y459='Loan Prepayment'!$E$11,IF('Loan Prepayment'!$E$13="Keep tenure, recalculate EMI",-PMT(AA459/1200,MAX(1,'Loan Prepayment'!$B$7*12-Y459+1),Z459),AB458),AB458),Z459+AC459))</f>
        <v>0</v>
      </c>
      <c r="AC459">
        <f t="shared" si="165"/>
        <v>0</v>
      </c>
      <c r="AD459">
        <f t="shared" si="166"/>
        <v>0</v>
      </c>
      <c r="AE459">
        <f t="shared" si="167"/>
        <v>0</v>
      </c>
      <c r="AF459">
        <f t="shared" si="168"/>
        <v>0</v>
      </c>
      <c r="AG459">
        <f t="shared" si="177"/>
        <v>458</v>
      </c>
      <c r="AH459">
        <f t="shared" si="169"/>
        <v>0</v>
      </c>
      <c r="AI459">
        <f>IF(AG459&gt;='Loan Prepayment'!$E$11,'Loan Prepayment'!$E$12,'Loan Prepayment'!$B$6)</f>
        <v>6.5</v>
      </c>
      <c r="AJ459">
        <f>IF(AH459&lt;=0,0,MIN(IF(AG459='Loan Prepayment'!$E$11,IF('Loan Prepayment'!$E$13="Keep tenure, recalculate EMI",-PMT(AI459/1200,MAX(1,'Loan Prepayment'!$B$7*12-AG459+1),AH459),IF(AND('Loan Prepayment'!$E$15="Reduce EMI",AM458&gt;0),-PMT(AI458/1200,MAX(1,'Loan Prepayment'!$B$7*12-AG459+1),AH459),AJ458)),IF(AND('Loan Prepayment'!$E$15="Reduce EMI",AM458&gt;0),-PMT(AI459/1200,MAX(1,'Loan Prepayment'!$B$7*12-AG459+1),AH459),AJ458)),AH459+AK459))</f>
        <v>0</v>
      </c>
      <c r="AK459">
        <f t="shared" si="170"/>
        <v>0</v>
      </c>
      <c r="AL459">
        <f t="shared" si="171"/>
        <v>0</v>
      </c>
      <c r="AM459">
        <f>IF(AH459&lt;=0,0,MIN(MAX(0,AH459-AL459),SUMIFS('Loan Prepayment'!$B$12:$B$31,'Loan Prepayment'!$A$12:$A$31,AG459)+IF(AND(AG459&gt;='Loan Prepayment'!$B$9,AG459&lt;='Loan Prepayment'!$E$16),'Loan Prepayment'!$B$8,0)))</f>
        <v>0</v>
      </c>
      <c r="AN459">
        <f t="shared" si="172"/>
        <v>0</v>
      </c>
    </row>
    <row r="460" spans="1:40" x14ac:dyDescent="0.35">
      <c r="A460">
        <f t="shared" si="173"/>
        <v>459</v>
      </c>
      <c r="B460">
        <f t="shared" si="152"/>
        <v>0</v>
      </c>
      <c r="C460">
        <f>'Loan Prepayment'!$B$6</f>
        <v>7.5</v>
      </c>
      <c r="D460">
        <f>IF(B460&lt;=0,0,MIN(-PMT('Loan Prepayment'!$B$6/1200,'Loan Prepayment'!$B$7*12,'Loan Prepayment'!$B$5),B460+E460))</f>
        <v>0</v>
      </c>
      <c r="E460">
        <f t="shared" si="153"/>
        <v>0</v>
      </c>
      <c r="F460">
        <f t="shared" si="154"/>
        <v>0</v>
      </c>
      <c r="G460">
        <v>0</v>
      </c>
      <c r="H460">
        <f t="shared" si="155"/>
        <v>0</v>
      </c>
      <c r="I460">
        <f t="shared" si="174"/>
        <v>459</v>
      </c>
      <c r="J460">
        <f t="shared" si="156"/>
        <v>0</v>
      </c>
      <c r="K460">
        <f>'Loan Prepayment'!$B$6</f>
        <v>7.5</v>
      </c>
      <c r="L460">
        <f>IF(J460&lt;=0,0,MIN(IF(AND('Loan Prepayment'!$E$15="Reduce EMI",O459&gt;0),-PMT(K460/1200,MAX(1,'Loan Prepayment'!$B$7*12-I460+1),J460),L459),J460+M460))</f>
        <v>0</v>
      </c>
      <c r="M460">
        <f t="shared" si="157"/>
        <v>0</v>
      </c>
      <c r="N460">
        <f t="shared" si="158"/>
        <v>0</v>
      </c>
      <c r="O460">
        <f>IF(J460&lt;=0,0,MIN(MAX(0,J460-N460),SUMIFS('Loan Prepayment'!$B$12:$B$31,'Loan Prepayment'!$A$12:$A$31,I460)+0))</f>
        <v>0</v>
      </c>
      <c r="P460">
        <f t="shared" si="159"/>
        <v>0</v>
      </c>
      <c r="Q460">
        <f t="shared" si="175"/>
        <v>459</v>
      </c>
      <c r="R460">
        <f t="shared" si="160"/>
        <v>0</v>
      </c>
      <c r="S460">
        <f>'Loan Prepayment'!$B$6</f>
        <v>7.5</v>
      </c>
      <c r="T460">
        <f>IF(R460&lt;=0,0,MIN(IF(AND('Loan Prepayment'!$E$15="Reduce EMI",W459&gt;0),-PMT(S460/1200,MAX(1,'Loan Prepayment'!$B$7*12-Q460+1),R460),T459),R460+U460))</f>
        <v>0</v>
      </c>
      <c r="U460">
        <f t="shared" si="161"/>
        <v>0</v>
      </c>
      <c r="V460">
        <f t="shared" si="162"/>
        <v>0</v>
      </c>
      <c r="W460">
        <f>IF(R460&lt;=0,0,MIN(MAX(0,R460-V460),0+IF(AND(Q460&gt;='Loan Prepayment'!$B$9,Q460&lt;='Loan Prepayment'!$E$16),'Loan Prepayment'!$B$8,0)))</f>
        <v>0</v>
      </c>
      <c r="X460">
        <f t="shared" si="163"/>
        <v>0</v>
      </c>
      <c r="Y460">
        <f t="shared" si="176"/>
        <v>459</v>
      </c>
      <c r="Z460">
        <f t="shared" si="164"/>
        <v>0</v>
      </c>
      <c r="AA460">
        <f>IF(Y460&gt;='Loan Prepayment'!$E$11,'Loan Prepayment'!$E$12,'Loan Prepayment'!$B$6)</f>
        <v>6.5</v>
      </c>
      <c r="AB460">
        <f>IF(Z460&lt;=0,0,MIN(IF(Y460='Loan Prepayment'!$E$11,IF('Loan Prepayment'!$E$13="Keep tenure, recalculate EMI",-PMT(AA460/1200,MAX(1,'Loan Prepayment'!$B$7*12-Y460+1),Z460),AB459),AB459),Z460+AC460))</f>
        <v>0</v>
      </c>
      <c r="AC460">
        <f t="shared" si="165"/>
        <v>0</v>
      </c>
      <c r="AD460">
        <f t="shared" si="166"/>
        <v>0</v>
      </c>
      <c r="AE460">
        <f t="shared" si="167"/>
        <v>0</v>
      </c>
      <c r="AF460">
        <f t="shared" si="168"/>
        <v>0</v>
      </c>
      <c r="AG460">
        <f t="shared" si="177"/>
        <v>459</v>
      </c>
      <c r="AH460">
        <f t="shared" si="169"/>
        <v>0</v>
      </c>
      <c r="AI460">
        <f>IF(AG460&gt;='Loan Prepayment'!$E$11,'Loan Prepayment'!$E$12,'Loan Prepayment'!$B$6)</f>
        <v>6.5</v>
      </c>
      <c r="AJ460">
        <f>IF(AH460&lt;=0,0,MIN(IF(AG460='Loan Prepayment'!$E$11,IF('Loan Prepayment'!$E$13="Keep tenure, recalculate EMI",-PMT(AI460/1200,MAX(1,'Loan Prepayment'!$B$7*12-AG460+1),AH460),IF(AND('Loan Prepayment'!$E$15="Reduce EMI",AM459&gt;0),-PMT(AI459/1200,MAX(1,'Loan Prepayment'!$B$7*12-AG460+1),AH460),AJ459)),IF(AND('Loan Prepayment'!$E$15="Reduce EMI",AM459&gt;0),-PMT(AI460/1200,MAX(1,'Loan Prepayment'!$B$7*12-AG460+1),AH460),AJ459)),AH460+AK460))</f>
        <v>0</v>
      </c>
      <c r="AK460">
        <f t="shared" si="170"/>
        <v>0</v>
      </c>
      <c r="AL460">
        <f t="shared" si="171"/>
        <v>0</v>
      </c>
      <c r="AM460">
        <f>IF(AH460&lt;=0,0,MIN(MAX(0,AH460-AL460),SUMIFS('Loan Prepayment'!$B$12:$B$31,'Loan Prepayment'!$A$12:$A$31,AG460)+IF(AND(AG460&gt;='Loan Prepayment'!$B$9,AG460&lt;='Loan Prepayment'!$E$16),'Loan Prepayment'!$B$8,0)))</f>
        <v>0</v>
      </c>
      <c r="AN460">
        <f t="shared" si="172"/>
        <v>0</v>
      </c>
    </row>
    <row r="461" spans="1:40" x14ac:dyDescent="0.35">
      <c r="A461">
        <f t="shared" si="173"/>
        <v>460</v>
      </c>
      <c r="B461">
        <f t="shared" si="152"/>
        <v>0</v>
      </c>
      <c r="C461">
        <f>'Loan Prepayment'!$B$6</f>
        <v>7.5</v>
      </c>
      <c r="D461">
        <f>IF(B461&lt;=0,0,MIN(-PMT('Loan Prepayment'!$B$6/1200,'Loan Prepayment'!$B$7*12,'Loan Prepayment'!$B$5),B461+E461))</f>
        <v>0</v>
      </c>
      <c r="E461">
        <f t="shared" si="153"/>
        <v>0</v>
      </c>
      <c r="F461">
        <f t="shared" si="154"/>
        <v>0</v>
      </c>
      <c r="G461">
        <v>0</v>
      </c>
      <c r="H461">
        <f t="shared" si="155"/>
        <v>0</v>
      </c>
      <c r="I461">
        <f t="shared" si="174"/>
        <v>460</v>
      </c>
      <c r="J461">
        <f t="shared" si="156"/>
        <v>0</v>
      </c>
      <c r="K461">
        <f>'Loan Prepayment'!$B$6</f>
        <v>7.5</v>
      </c>
      <c r="L461">
        <f>IF(J461&lt;=0,0,MIN(IF(AND('Loan Prepayment'!$E$15="Reduce EMI",O460&gt;0),-PMT(K461/1200,MAX(1,'Loan Prepayment'!$B$7*12-I461+1),J461),L460),J461+M461))</f>
        <v>0</v>
      </c>
      <c r="M461">
        <f t="shared" si="157"/>
        <v>0</v>
      </c>
      <c r="N461">
        <f t="shared" si="158"/>
        <v>0</v>
      </c>
      <c r="O461">
        <f>IF(J461&lt;=0,0,MIN(MAX(0,J461-N461),SUMIFS('Loan Prepayment'!$B$12:$B$31,'Loan Prepayment'!$A$12:$A$31,I461)+0))</f>
        <v>0</v>
      </c>
      <c r="P461">
        <f t="shared" si="159"/>
        <v>0</v>
      </c>
      <c r="Q461">
        <f t="shared" si="175"/>
        <v>460</v>
      </c>
      <c r="R461">
        <f t="shared" si="160"/>
        <v>0</v>
      </c>
      <c r="S461">
        <f>'Loan Prepayment'!$B$6</f>
        <v>7.5</v>
      </c>
      <c r="T461">
        <f>IF(R461&lt;=0,0,MIN(IF(AND('Loan Prepayment'!$E$15="Reduce EMI",W460&gt;0),-PMT(S461/1200,MAX(1,'Loan Prepayment'!$B$7*12-Q461+1),R461),T460),R461+U461))</f>
        <v>0</v>
      </c>
      <c r="U461">
        <f t="shared" si="161"/>
        <v>0</v>
      </c>
      <c r="V461">
        <f t="shared" si="162"/>
        <v>0</v>
      </c>
      <c r="W461">
        <f>IF(R461&lt;=0,0,MIN(MAX(0,R461-V461),0+IF(AND(Q461&gt;='Loan Prepayment'!$B$9,Q461&lt;='Loan Prepayment'!$E$16),'Loan Prepayment'!$B$8,0)))</f>
        <v>0</v>
      </c>
      <c r="X461">
        <f t="shared" si="163"/>
        <v>0</v>
      </c>
      <c r="Y461">
        <f t="shared" si="176"/>
        <v>460</v>
      </c>
      <c r="Z461">
        <f t="shared" si="164"/>
        <v>0</v>
      </c>
      <c r="AA461">
        <f>IF(Y461&gt;='Loan Prepayment'!$E$11,'Loan Prepayment'!$E$12,'Loan Prepayment'!$B$6)</f>
        <v>6.5</v>
      </c>
      <c r="AB461">
        <f>IF(Z461&lt;=0,0,MIN(IF(Y461='Loan Prepayment'!$E$11,IF('Loan Prepayment'!$E$13="Keep tenure, recalculate EMI",-PMT(AA461/1200,MAX(1,'Loan Prepayment'!$B$7*12-Y461+1),Z461),AB460),AB460),Z461+AC461))</f>
        <v>0</v>
      </c>
      <c r="AC461">
        <f t="shared" si="165"/>
        <v>0</v>
      </c>
      <c r="AD461">
        <f t="shared" si="166"/>
        <v>0</v>
      </c>
      <c r="AE461">
        <f t="shared" si="167"/>
        <v>0</v>
      </c>
      <c r="AF461">
        <f t="shared" si="168"/>
        <v>0</v>
      </c>
      <c r="AG461">
        <f t="shared" si="177"/>
        <v>460</v>
      </c>
      <c r="AH461">
        <f t="shared" si="169"/>
        <v>0</v>
      </c>
      <c r="AI461">
        <f>IF(AG461&gt;='Loan Prepayment'!$E$11,'Loan Prepayment'!$E$12,'Loan Prepayment'!$B$6)</f>
        <v>6.5</v>
      </c>
      <c r="AJ461">
        <f>IF(AH461&lt;=0,0,MIN(IF(AG461='Loan Prepayment'!$E$11,IF('Loan Prepayment'!$E$13="Keep tenure, recalculate EMI",-PMT(AI461/1200,MAX(1,'Loan Prepayment'!$B$7*12-AG461+1),AH461),IF(AND('Loan Prepayment'!$E$15="Reduce EMI",AM460&gt;0),-PMT(AI460/1200,MAX(1,'Loan Prepayment'!$B$7*12-AG461+1),AH461),AJ460)),IF(AND('Loan Prepayment'!$E$15="Reduce EMI",AM460&gt;0),-PMT(AI461/1200,MAX(1,'Loan Prepayment'!$B$7*12-AG461+1),AH461),AJ460)),AH461+AK461))</f>
        <v>0</v>
      </c>
      <c r="AK461">
        <f t="shared" si="170"/>
        <v>0</v>
      </c>
      <c r="AL461">
        <f t="shared" si="171"/>
        <v>0</v>
      </c>
      <c r="AM461">
        <f>IF(AH461&lt;=0,0,MIN(MAX(0,AH461-AL461),SUMIFS('Loan Prepayment'!$B$12:$B$31,'Loan Prepayment'!$A$12:$A$31,AG461)+IF(AND(AG461&gt;='Loan Prepayment'!$B$9,AG461&lt;='Loan Prepayment'!$E$16),'Loan Prepayment'!$B$8,0)))</f>
        <v>0</v>
      </c>
      <c r="AN461">
        <f t="shared" si="172"/>
        <v>0</v>
      </c>
    </row>
    <row r="462" spans="1:40" x14ac:dyDescent="0.35">
      <c r="A462">
        <f t="shared" si="173"/>
        <v>461</v>
      </c>
      <c r="B462">
        <f t="shared" si="152"/>
        <v>0</v>
      </c>
      <c r="C462">
        <f>'Loan Prepayment'!$B$6</f>
        <v>7.5</v>
      </c>
      <c r="D462">
        <f>IF(B462&lt;=0,0,MIN(-PMT('Loan Prepayment'!$B$6/1200,'Loan Prepayment'!$B$7*12,'Loan Prepayment'!$B$5),B462+E462))</f>
        <v>0</v>
      </c>
      <c r="E462">
        <f t="shared" si="153"/>
        <v>0</v>
      </c>
      <c r="F462">
        <f t="shared" si="154"/>
        <v>0</v>
      </c>
      <c r="G462">
        <v>0</v>
      </c>
      <c r="H462">
        <f t="shared" si="155"/>
        <v>0</v>
      </c>
      <c r="I462">
        <f t="shared" si="174"/>
        <v>461</v>
      </c>
      <c r="J462">
        <f t="shared" si="156"/>
        <v>0</v>
      </c>
      <c r="K462">
        <f>'Loan Prepayment'!$B$6</f>
        <v>7.5</v>
      </c>
      <c r="L462">
        <f>IF(J462&lt;=0,0,MIN(IF(AND('Loan Prepayment'!$E$15="Reduce EMI",O461&gt;0),-PMT(K462/1200,MAX(1,'Loan Prepayment'!$B$7*12-I462+1),J462),L461),J462+M462))</f>
        <v>0</v>
      </c>
      <c r="M462">
        <f t="shared" si="157"/>
        <v>0</v>
      </c>
      <c r="N462">
        <f t="shared" si="158"/>
        <v>0</v>
      </c>
      <c r="O462">
        <f>IF(J462&lt;=0,0,MIN(MAX(0,J462-N462),SUMIFS('Loan Prepayment'!$B$12:$B$31,'Loan Prepayment'!$A$12:$A$31,I462)+0))</f>
        <v>0</v>
      </c>
      <c r="P462">
        <f t="shared" si="159"/>
        <v>0</v>
      </c>
      <c r="Q462">
        <f t="shared" si="175"/>
        <v>461</v>
      </c>
      <c r="R462">
        <f t="shared" si="160"/>
        <v>0</v>
      </c>
      <c r="S462">
        <f>'Loan Prepayment'!$B$6</f>
        <v>7.5</v>
      </c>
      <c r="T462">
        <f>IF(R462&lt;=0,0,MIN(IF(AND('Loan Prepayment'!$E$15="Reduce EMI",W461&gt;0),-PMT(S462/1200,MAX(1,'Loan Prepayment'!$B$7*12-Q462+1),R462),T461),R462+U462))</f>
        <v>0</v>
      </c>
      <c r="U462">
        <f t="shared" si="161"/>
        <v>0</v>
      </c>
      <c r="V462">
        <f t="shared" si="162"/>
        <v>0</v>
      </c>
      <c r="W462">
        <f>IF(R462&lt;=0,0,MIN(MAX(0,R462-V462),0+IF(AND(Q462&gt;='Loan Prepayment'!$B$9,Q462&lt;='Loan Prepayment'!$E$16),'Loan Prepayment'!$B$8,0)))</f>
        <v>0</v>
      </c>
      <c r="X462">
        <f t="shared" si="163"/>
        <v>0</v>
      </c>
      <c r="Y462">
        <f t="shared" si="176"/>
        <v>461</v>
      </c>
      <c r="Z462">
        <f t="shared" si="164"/>
        <v>0</v>
      </c>
      <c r="AA462">
        <f>IF(Y462&gt;='Loan Prepayment'!$E$11,'Loan Prepayment'!$E$12,'Loan Prepayment'!$B$6)</f>
        <v>6.5</v>
      </c>
      <c r="AB462">
        <f>IF(Z462&lt;=0,0,MIN(IF(Y462='Loan Prepayment'!$E$11,IF('Loan Prepayment'!$E$13="Keep tenure, recalculate EMI",-PMT(AA462/1200,MAX(1,'Loan Prepayment'!$B$7*12-Y462+1),Z462),AB461),AB461),Z462+AC462))</f>
        <v>0</v>
      </c>
      <c r="AC462">
        <f t="shared" si="165"/>
        <v>0</v>
      </c>
      <c r="AD462">
        <f t="shared" si="166"/>
        <v>0</v>
      </c>
      <c r="AE462">
        <f t="shared" si="167"/>
        <v>0</v>
      </c>
      <c r="AF462">
        <f t="shared" si="168"/>
        <v>0</v>
      </c>
      <c r="AG462">
        <f t="shared" si="177"/>
        <v>461</v>
      </c>
      <c r="AH462">
        <f t="shared" si="169"/>
        <v>0</v>
      </c>
      <c r="AI462">
        <f>IF(AG462&gt;='Loan Prepayment'!$E$11,'Loan Prepayment'!$E$12,'Loan Prepayment'!$B$6)</f>
        <v>6.5</v>
      </c>
      <c r="AJ462">
        <f>IF(AH462&lt;=0,0,MIN(IF(AG462='Loan Prepayment'!$E$11,IF('Loan Prepayment'!$E$13="Keep tenure, recalculate EMI",-PMT(AI462/1200,MAX(1,'Loan Prepayment'!$B$7*12-AG462+1),AH462),IF(AND('Loan Prepayment'!$E$15="Reduce EMI",AM461&gt;0),-PMT(AI461/1200,MAX(1,'Loan Prepayment'!$B$7*12-AG462+1),AH462),AJ461)),IF(AND('Loan Prepayment'!$E$15="Reduce EMI",AM461&gt;0),-PMT(AI462/1200,MAX(1,'Loan Prepayment'!$B$7*12-AG462+1),AH462),AJ461)),AH462+AK462))</f>
        <v>0</v>
      </c>
      <c r="AK462">
        <f t="shared" si="170"/>
        <v>0</v>
      </c>
      <c r="AL462">
        <f t="shared" si="171"/>
        <v>0</v>
      </c>
      <c r="AM462">
        <f>IF(AH462&lt;=0,0,MIN(MAX(0,AH462-AL462),SUMIFS('Loan Prepayment'!$B$12:$B$31,'Loan Prepayment'!$A$12:$A$31,AG462)+IF(AND(AG462&gt;='Loan Prepayment'!$B$9,AG462&lt;='Loan Prepayment'!$E$16),'Loan Prepayment'!$B$8,0)))</f>
        <v>0</v>
      </c>
      <c r="AN462">
        <f t="shared" si="172"/>
        <v>0</v>
      </c>
    </row>
    <row r="463" spans="1:40" x14ac:dyDescent="0.35">
      <c r="A463">
        <f t="shared" si="173"/>
        <v>462</v>
      </c>
      <c r="B463">
        <f t="shared" si="152"/>
        <v>0</v>
      </c>
      <c r="C463">
        <f>'Loan Prepayment'!$B$6</f>
        <v>7.5</v>
      </c>
      <c r="D463">
        <f>IF(B463&lt;=0,0,MIN(-PMT('Loan Prepayment'!$B$6/1200,'Loan Prepayment'!$B$7*12,'Loan Prepayment'!$B$5),B463+E463))</f>
        <v>0</v>
      </c>
      <c r="E463">
        <f t="shared" si="153"/>
        <v>0</v>
      </c>
      <c r="F463">
        <f t="shared" si="154"/>
        <v>0</v>
      </c>
      <c r="G463">
        <v>0</v>
      </c>
      <c r="H463">
        <f t="shared" si="155"/>
        <v>0</v>
      </c>
      <c r="I463">
        <f t="shared" si="174"/>
        <v>462</v>
      </c>
      <c r="J463">
        <f t="shared" si="156"/>
        <v>0</v>
      </c>
      <c r="K463">
        <f>'Loan Prepayment'!$B$6</f>
        <v>7.5</v>
      </c>
      <c r="L463">
        <f>IF(J463&lt;=0,0,MIN(IF(AND('Loan Prepayment'!$E$15="Reduce EMI",O462&gt;0),-PMT(K463/1200,MAX(1,'Loan Prepayment'!$B$7*12-I463+1),J463),L462),J463+M463))</f>
        <v>0</v>
      </c>
      <c r="M463">
        <f t="shared" si="157"/>
        <v>0</v>
      </c>
      <c r="N463">
        <f t="shared" si="158"/>
        <v>0</v>
      </c>
      <c r="O463">
        <f>IF(J463&lt;=0,0,MIN(MAX(0,J463-N463),SUMIFS('Loan Prepayment'!$B$12:$B$31,'Loan Prepayment'!$A$12:$A$31,I463)+0))</f>
        <v>0</v>
      </c>
      <c r="P463">
        <f t="shared" si="159"/>
        <v>0</v>
      </c>
      <c r="Q463">
        <f t="shared" si="175"/>
        <v>462</v>
      </c>
      <c r="R463">
        <f t="shared" si="160"/>
        <v>0</v>
      </c>
      <c r="S463">
        <f>'Loan Prepayment'!$B$6</f>
        <v>7.5</v>
      </c>
      <c r="T463">
        <f>IF(R463&lt;=0,0,MIN(IF(AND('Loan Prepayment'!$E$15="Reduce EMI",W462&gt;0),-PMT(S463/1200,MAX(1,'Loan Prepayment'!$B$7*12-Q463+1),R463),T462),R463+U463))</f>
        <v>0</v>
      </c>
      <c r="U463">
        <f t="shared" si="161"/>
        <v>0</v>
      </c>
      <c r="V463">
        <f t="shared" si="162"/>
        <v>0</v>
      </c>
      <c r="W463">
        <f>IF(R463&lt;=0,0,MIN(MAX(0,R463-V463),0+IF(AND(Q463&gt;='Loan Prepayment'!$B$9,Q463&lt;='Loan Prepayment'!$E$16),'Loan Prepayment'!$B$8,0)))</f>
        <v>0</v>
      </c>
      <c r="X463">
        <f t="shared" si="163"/>
        <v>0</v>
      </c>
      <c r="Y463">
        <f t="shared" si="176"/>
        <v>462</v>
      </c>
      <c r="Z463">
        <f t="shared" si="164"/>
        <v>0</v>
      </c>
      <c r="AA463">
        <f>IF(Y463&gt;='Loan Prepayment'!$E$11,'Loan Prepayment'!$E$12,'Loan Prepayment'!$B$6)</f>
        <v>6.5</v>
      </c>
      <c r="AB463">
        <f>IF(Z463&lt;=0,0,MIN(IF(Y463='Loan Prepayment'!$E$11,IF('Loan Prepayment'!$E$13="Keep tenure, recalculate EMI",-PMT(AA463/1200,MAX(1,'Loan Prepayment'!$B$7*12-Y463+1),Z463),AB462),AB462),Z463+AC463))</f>
        <v>0</v>
      </c>
      <c r="AC463">
        <f t="shared" si="165"/>
        <v>0</v>
      </c>
      <c r="AD463">
        <f t="shared" si="166"/>
        <v>0</v>
      </c>
      <c r="AE463">
        <f t="shared" si="167"/>
        <v>0</v>
      </c>
      <c r="AF463">
        <f t="shared" si="168"/>
        <v>0</v>
      </c>
      <c r="AG463">
        <f t="shared" si="177"/>
        <v>462</v>
      </c>
      <c r="AH463">
        <f t="shared" si="169"/>
        <v>0</v>
      </c>
      <c r="AI463">
        <f>IF(AG463&gt;='Loan Prepayment'!$E$11,'Loan Prepayment'!$E$12,'Loan Prepayment'!$B$6)</f>
        <v>6.5</v>
      </c>
      <c r="AJ463">
        <f>IF(AH463&lt;=0,0,MIN(IF(AG463='Loan Prepayment'!$E$11,IF('Loan Prepayment'!$E$13="Keep tenure, recalculate EMI",-PMT(AI463/1200,MAX(1,'Loan Prepayment'!$B$7*12-AG463+1),AH463),IF(AND('Loan Prepayment'!$E$15="Reduce EMI",AM462&gt;0),-PMT(AI462/1200,MAX(1,'Loan Prepayment'!$B$7*12-AG463+1),AH463),AJ462)),IF(AND('Loan Prepayment'!$E$15="Reduce EMI",AM462&gt;0),-PMT(AI463/1200,MAX(1,'Loan Prepayment'!$B$7*12-AG463+1),AH463),AJ462)),AH463+AK463))</f>
        <v>0</v>
      </c>
      <c r="AK463">
        <f t="shared" si="170"/>
        <v>0</v>
      </c>
      <c r="AL463">
        <f t="shared" si="171"/>
        <v>0</v>
      </c>
      <c r="AM463">
        <f>IF(AH463&lt;=0,0,MIN(MAX(0,AH463-AL463),SUMIFS('Loan Prepayment'!$B$12:$B$31,'Loan Prepayment'!$A$12:$A$31,AG463)+IF(AND(AG463&gt;='Loan Prepayment'!$B$9,AG463&lt;='Loan Prepayment'!$E$16),'Loan Prepayment'!$B$8,0)))</f>
        <v>0</v>
      </c>
      <c r="AN463">
        <f t="shared" si="172"/>
        <v>0</v>
      </c>
    </row>
    <row r="464" spans="1:40" x14ac:dyDescent="0.35">
      <c r="A464">
        <f t="shared" si="173"/>
        <v>463</v>
      </c>
      <c r="B464">
        <f t="shared" si="152"/>
        <v>0</v>
      </c>
      <c r="C464">
        <f>'Loan Prepayment'!$B$6</f>
        <v>7.5</v>
      </c>
      <c r="D464">
        <f>IF(B464&lt;=0,0,MIN(-PMT('Loan Prepayment'!$B$6/1200,'Loan Prepayment'!$B$7*12,'Loan Prepayment'!$B$5),B464+E464))</f>
        <v>0</v>
      </c>
      <c r="E464">
        <f t="shared" si="153"/>
        <v>0</v>
      </c>
      <c r="F464">
        <f t="shared" si="154"/>
        <v>0</v>
      </c>
      <c r="G464">
        <v>0</v>
      </c>
      <c r="H464">
        <f t="shared" si="155"/>
        <v>0</v>
      </c>
      <c r="I464">
        <f t="shared" si="174"/>
        <v>463</v>
      </c>
      <c r="J464">
        <f t="shared" si="156"/>
        <v>0</v>
      </c>
      <c r="K464">
        <f>'Loan Prepayment'!$B$6</f>
        <v>7.5</v>
      </c>
      <c r="L464">
        <f>IF(J464&lt;=0,0,MIN(IF(AND('Loan Prepayment'!$E$15="Reduce EMI",O463&gt;0),-PMT(K464/1200,MAX(1,'Loan Prepayment'!$B$7*12-I464+1),J464),L463),J464+M464))</f>
        <v>0</v>
      </c>
      <c r="M464">
        <f t="shared" si="157"/>
        <v>0</v>
      </c>
      <c r="N464">
        <f t="shared" si="158"/>
        <v>0</v>
      </c>
      <c r="O464">
        <f>IF(J464&lt;=0,0,MIN(MAX(0,J464-N464),SUMIFS('Loan Prepayment'!$B$12:$B$31,'Loan Prepayment'!$A$12:$A$31,I464)+0))</f>
        <v>0</v>
      </c>
      <c r="P464">
        <f t="shared" si="159"/>
        <v>0</v>
      </c>
      <c r="Q464">
        <f t="shared" si="175"/>
        <v>463</v>
      </c>
      <c r="R464">
        <f t="shared" si="160"/>
        <v>0</v>
      </c>
      <c r="S464">
        <f>'Loan Prepayment'!$B$6</f>
        <v>7.5</v>
      </c>
      <c r="T464">
        <f>IF(R464&lt;=0,0,MIN(IF(AND('Loan Prepayment'!$E$15="Reduce EMI",W463&gt;0),-PMT(S464/1200,MAX(1,'Loan Prepayment'!$B$7*12-Q464+1),R464),T463),R464+U464))</f>
        <v>0</v>
      </c>
      <c r="U464">
        <f t="shared" si="161"/>
        <v>0</v>
      </c>
      <c r="V464">
        <f t="shared" si="162"/>
        <v>0</v>
      </c>
      <c r="W464">
        <f>IF(R464&lt;=0,0,MIN(MAX(0,R464-V464),0+IF(AND(Q464&gt;='Loan Prepayment'!$B$9,Q464&lt;='Loan Prepayment'!$E$16),'Loan Prepayment'!$B$8,0)))</f>
        <v>0</v>
      </c>
      <c r="X464">
        <f t="shared" si="163"/>
        <v>0</v>
      </c>
      <c r="Y464">
        <f t="shared" si="176"/>
        <v>463</v>
      </c>
      <c r="Z464">
        <f t="shared" si="164"/>
        <v>0</v>
      </c>
      <c r="AA464">
        <f>IF(Y464&gt;='Loan Prepayment'!$E$11,'Loan Prepayment'!$E$12,'Loan Prepayment'!$B$6)</f>
        <v>6.5</v>
      </c>
      <c r="AB464">
        <f>IF(Z464&lt;=0,0,MIN(IF(Y464='Loan Prepayment'!$E$11,IF('Loan Prepayment'!$E$13="Keep tenure, recalculate EMI",-PMT(AA464/1200,MAX(1,'Loan Prepayment'!$B$7*12-Y464+1),Z464),AB463),AB463),Z464+AC464))</f>
        <v>0</v>
      </c>
      <c r="AC464">
        <f t="shared" si="165"/>
        <v>0</v>
      </c>
      <c r="AD464">
        <f t="shared" si="166"/>
        <v>0</v>
      </c>
      <c r="AE464">
        <f t="shared" si="167"/>
        <v>0</v>
      </c>
      <c r="AF464">
        <f t="shared" si="168"/>
        <v>0</v>
      </c>
      <c r="AG464">
        <f t="shared" si="177"/>
        <v>463</v>
      </c>
      <c r="AH464">
        <f t="shared" si="169"/>
        <v>0</v>
      </c>
      <c r="AI464">
        <f>IF(AG464&gt;='Loan Prepayment'!$E$11,'Loan Prepayment'!$E$12,'Loan Prepayment'!$B$6)</f>
        <v>6.5</v>
      </c>
      <c r="AJ464">
        <f>IF(AH464&lt;=0,0,MIN(IF(AG464='Loan Prepayment'!$E$11,IF('Loan Prepayment'!$E$13="Keep tenure, recalculate EMI",-PMT(AI464/1200,MAX(1,'Loan Prepayment'!$B$7*12-AG464+1),AH464),IF(AND('Loan Prepayment'!$E$15="Reduce EMI",AM463&gt;0),-PMT(AI463/1200,MAX(1,'Loan Prepayment'!$B$7*12-AG464+1),AH464),AJ463)),IF(AND('Loan Prepayment'!$E$15="Reduce EMI",AM463&gt;0),-PMT(AI464/1200,MAX(1,'Loan Prepayment'!$B$7*12-AG464+1),AH464),AJ463)),AH464+AK464))</f>
        <v>0</v>
      </c>
      <c r="AK464">
        <f t="shared" si="170"/>
        <v>0</v>
      </c>
      <c r="AL464">
        <f t="shared" si="171"/>
        <v>0</v>
      </c>
      <c r="AM464">
        <f>IF(AH464&lt;=0,0,MIN(MAX(0,AH464-AL464),SUMIFS('Loan Prepayment'!$B$12:$B$31,'Loan Prepayment'!$A$12:$A$31,AG464)+IF(AND(AG464&gt;='Loan Prepayment'!$B$9,AG464&lt;='Loan Prepayment'!$E$16),'Loan Prepayment'!$B$8,0)))</f>
        <v>0</v>
      </c>
      <c r="AN464">
        <f t="shared" si="172"/>
        <v>0</v>
      </c>
    </row>
    <row r="465" spans="1:40" x14ac:dyDescent="0.35">
      <c r="A465">
        <f t="shared" si="173"/>
        <v>464</v>
      </c>
      <c r="B465">
        <f t="shared" si="152"/>
        <v>0</v>
      </c>
      <c r="C465">
        <f>'Loan Prepayment'!$B$6</f>
        <v>7.5</v>
      </c>
      <c r="D465">
        <f>IF(B465&lt;=0,0,MIN(-PMT('Loan Prepayment'!$B$6/1200,'Loan Prepayment'!$B$7*12,'Loan Prepayment'!$B$5),B465+E465))</f>
        <v>0</v>
      </c>
      <c r="E465">
        <f t="shared" si="153"/>
        <v>0</v>
      </c>
      <c r="F465">
        <f t="shared" si="154"/>
        <v>0</v>
      </c>
      <c r="G465">
        <v>0</v>
      </c>
      <c r="H465">
        <f t="shared" si="155"/>
        <v>0</v>
      </c>
      <c r="I465">
        <f t="shared" si="174"/>
        <v>464</v>
      </c>
      <c r="J465">
        <f t="shared" si="156"/>
        <v>0</v>
      </c>
      <c r="K465">
        <f>'Loan Prepayment'!$B$6</f>
        <v>7.5</v>
      </c>
      <c r="L465">
        <f>IF(J465&lt;=0,0,MIN(IF(AND('Loan Prepayment'!$E$15="Reduce EMI",O464&gt;0),-PMT(K465/1200,MAX(1,'Loan Prepayment'!$B$7*12-I465+1),J465),L464),J465+M465))</f>
        <v>0</v>
      </c>
      <c r="M465">
        <f t="shared" si="157"/>
        <v>0</v>
      </c>
      <c r="N465">
        <f t="shared" si="158"/>
        <v>0</v>
      </c>
      <c r="O465">
        <f>IF(J465&lt;=0,0,MIN(MAX(0,J465-N465),SUMIFS('Loan Prepayment'!$B$12:$B$31,'Loan Prepayment'!$A$12:$A$31,I465)+0))</f>
        <v>0</v>
      </c>
      <c r="P465">
        <f t="shared" si="159"/>
        <v>0</v>
      </c>
      <c r="Q465">
        <f t="shared" si="175"/>
        <v>464</v>
      </c>
      <c r="R465">
        <f t="shared" si="160"/>
        <v>0</v>
      </c>
      <c r="S465">
        <f>'Loan Prepayment'!$B$6</f>
        <v>7.5</v>
      </c>
      <c r="T465">
        <f>IF(R465&lt;=0,0,MIN(IF(AND('Loan Prepayment'!$E$15="Reduce EMI",W464&gt;0),-PMT(S465/1200,MAX(1,'Loan Prepayment'!$B$7*12-Q465+1),R465),T464),R465+U465))</f>
        <v>0</v>
      </c>
      <c r="U465">
        <f t="shared" si="161"/>
        <v>0</v>
      </c>
      <c r="V465">
        <f t="shared" si="162"/>
        <v>0</v>
      </c>
      <c r="W465">
        <f>IF(R465&lt;=0,0,MIN(MAX(0,R465-V465),0+IF(AND(Q465&gt;='Loan Prepayment'!$B$9,Q465&lt;='Loan Prepayment'!$E$16),'Loan Prepayment'!$B$8,0)))</f>
        <v>0</v>
      </c>
      <c r="X465">
        <f t="shared" si="163"/>
        <v>0</v>
      </c>
      <c r="Y465">
        <f t="shared" si="176"/>
        <v>464</v>
      </c>
      <c r="Z465">
        <f t="shared" si="164"/>
        <v>0</v>
      </c>
      <c r="AA465">
        <f>IF(Y465&gt;='Loan Prepayment'!$E$11,'Loan Prepayment'!$E$12,'Loan Prepayment'!$B$6)</f>
        <v>6.5</v>
      </c>
      <c r="AB465">
        <f>IF(Z465&lt;=0,0,MIN(IF(Y465='Loan Prepayment'!$E$11,IF('Loan Prepayment'!$E$13="Keep tenure, recalculate EMI",-PMT(AA465/1200,MAX(1,'Loan Prepayment'!$B$7*12-Y465+1),Z465),AB464),AB464),Z465+AC465))</f>
        <v>0</v>
      </c>
      <c r="AC465">
        <f t="shared" si="165"/>
        <v>0</v>
      </c>
      <c r="AD465">
        <f t="shared" si="166"/>
        <v>0</v>
      </c>
      <c r="AE465">
        <f t="shared" si="167"/>
        <v>0</v>
      </c>
      <c r="AF465">
        <f t="shared" si="168"/>
        <v>0</v>
      </c>
      <c r="AG465">
        <f t="shared" si="177"/>
        <v>464</v>
      </c>
      <c r="AH465">
        <f t="shared" si="169"/>
        <v>0</v>
      </c>
      <c r="AI465">
        <f>IF(AG465&gt;='Loan Prepayment'!$E$11,'Loan Prepayment'!$E$12,'Loan Prepayment'!$B$6)</f>
        <v>6.5</v>
      </c>
      <c r="AJ465">
        <f>IF(AH465&lt;=0,0,MIN(IF(AG465='Loan Prepayment'!$E$11,IF('Loan Prepayment'!$E$13="Keep tenure, recalculate EMI",-PMT(AI465/1200,MAX(1,'Loan Prepayment'!$B$7*12-AG465+1),AH465),IF(AND('Loan Prepayment'!$E$15="Reduce EMI",AM464&gt;0),-PMT(AI464/1200,MAX(1,'Loan Prepayment'!$B$7*12-AG465+1),AH465),AJ464)),IF(AND('Loan Prepayment'!$E$15="Reduce EMI",AM464&gt;0),-PMT(AI465/1200,MAX(1,'Loan Prepayment'!$B$7*12-AG465+1),AH465),AJ464)),AH465+AK465))</f>
        <v>0</v>
      </c>
      <c r="AK465">
        <f t="shared" si="170"/>
        <v>0</v>
      </c>
      <c r="AL465">
        <f t="shared" si="171"/>
        <v>0</v>
      </c>
      <c r="AM465">
        <f>IF(AH465&lt;=0,0,MIN(MAX(0,AH465-AL465),SUMIFS('Loan Prepayment'!$B$12:$B$31,'Loan Prepayment'!$A$12:$A$31,AG465)+IF(AND(AG465&gt;='Loan Prepayment'!$B$9,AG465&lt;='Loan Prepayment'!$E$16),'Loan Prepayment'!$B$8,0)))</f>
        <v>0</v>
      </c>
      <c r="AN465">
        <f t="shared" si="172"/>
        <v>0</v>
      </c>
    </row>
    <row r="466" spans="1:40" x14ac:dyDescent="0.35">
      <c r="A466">
        <f t="shared" si="173"/>
        <v>465</v>
      </c>
      <c r="B466">
        <f t="shared" si="152"/>
        <v>0</v>
      </c>
      <c r="C466">
        <f>'Loan Prepayment'!$B$6</f>
        <v>7.5</v>
      </c>
      <c r="D466">
        <f>IF(B466&lt;=0,0,MIN(-PMT('Loan Prepayment'!$B$6/1200,'Loan Prepayment'!$B$7*12,'Loan Prepayment'!$B$5),B466+E466))</f>
        <v>0</v>
      </c>
      <c r="E466">
        <f t="shared" si="153"/>
        <v>0</v>
      </c>
      <c r="F466">
        <f t="shared" si="154"/>
        <v>0</v>
      </c>
      <c r="G466">
        <v>0</v>
      </c>
      <c r="H466">
        <f t="shared" si="155"/>
        <v>0</v>
      </c>
      <c r="I466">
        <f t="shared" si="174"/>
        <v>465</v>
      </c>
      <c r="J466">
        <f t="shared" si="156"/>
        <v>0</v>
      </c>
      <c r="K466">
        <f>'Loan Prepayment'!$B$6</f>
        <v>7.5</v>
      </c>
      <c r="L466">
        <f>IF(J466&lt;=0,0,MIN(IF(AND('Loan Prepayment'!$E$15="Reduce EMI",O465&gt;0),-PMT(K466/1200,MAX(1,'Loan Prepayment'!$B$7*12-I466+1),J466),L465),J466+M466))</f>
        <v>0</v>
      </c>
      <c r="M466">
        <f t="shared" si="157"/>
        <v>0</v>
      </c>
      <c r="N466">
        <f t="shared" si="158"/>
        <v>0</v>
      </c>
      <c r="O466">
        <f>IF(J466&lt;=0,0,MIN(MAX(0,J466-N466),SUMIFS('Loan Prepayment'!$B$12:$B$31,'Loan Prepayment'!$A$12:$A$31,I466)+0))</f>
        <v>0</v>
      </c>
      <c r="P466">
        <f t="shared" si="159"/>
        <v>0</v>
      </c>
      <c r="Q466">
        <f t="shared" si="175"/>
        <v>465</v>
      </c>
      <c r="R466">
        <f t="shared" si="160"/>
        <v>0</v>
      </c>
      <c r="S466">
        <f>'Loan Prepayment'!$B$6</f>
        <v>7.5</v>
      </c>
      <c r="T466">
        <f>IF(R466&lt;=0,0,MIN(IF(AND('Loan Prepayment'!$E$15="Reduce EMI",W465&gt;0),-PMT(S466/1200,MAX(1,'Loan Prepayment'!$B$7*12-Q466+1),R466),T465),R466+U466))</f>
        <v>0</v>
      </c>
      <c r="U466">
        <f t="shared" si="161"/>
        <v>0</v>
      </c>
      <c r="V466">
        <f t="shared" si="162"/>
        <v>0</v>
      </c>
      <c r="W466">
        <f>IF(R466&lt;=0,0,MIN(MAX(0,R466-V466),0+IF(AND(Q466&gt;='Loan Prepayment'!$B$9,Q466&lt;='Loan Prepayment'!$E$16),'Loan Prepayment'!$B$8,0)))</f>
        <v>0</v>
      </c>
      <c r="X466">
        <f t="shared" si="163"/>
        <v>0</v>
      </c>
      <c r="Y466">
        <f t="shared" si="176"/>
        <v>465</v>
      </c>
      <c r="Z466">
        <f t="shared" si="164"/>
        <v>0</v>
      </c>
      <c r="AA466">
        <f>IF(Y466&gt;='Loan Prepayment'!$E$11,'Loan Prepayment'!$E$12,'Loan Prepayment'!$B$6)</f>
        <v>6.5</v>
      </c>
      <c r="AB466">
        <f>IF(Z466&lt;=0,0,MIN(IF(Y466='Loan Prepayment'!$E$11,IF('Loan Prepayment'!$E$13="Keep tenure, recalculate EMI",-PMT(AA466/1200,MAX(1,'Loan Prepayment'!$B$7*12-Y466+1),Z466),AB465),AB465),Z466+AC466))</f>
        <v>0</v>
      </c>
      <c r="AC466">
        <f t="shared" si="165"/>
        <v>0</v>
      </c>
      <c r="AD466">
        <f t="shared" si="166"/>
        <v>0</v>
      </c>
      <c r="AE466">
        <f t="shared" si="167"/>
        <v>0</v>
      </c>
      <c r="AF466">
        <f t="shared" si="168"/>
        <v>0</v>
      </c>
      <c r="AG466">
        <f t="shared" si="177"/>
        <v>465</v>
      </c>
      <c r="AH466">
        <f t="shared" si="169"/>
        <v>0</v>
      </c>
      <c r="AI466">
        <f>IF(AG466&gt;='Loan Prepayment'!$E$11,'Loan Prepayment'!$E$12,'Loan Prepayment'!$B$6)</f>
        <v>6.5</v>
      </c>
      <c r="AJ466">
        <f>IF(AH466&lt;=0,0,MIN(IF(AG466='Loan Prepayment'!$E$11,IF('Loan Prepayment'!$E$13="Keep tenure, recalculate EMI",-PMT(AI466/1200,MAX(1,'Loan Prepayment'!$B$7*12-AG466+1),AH466),IF(AND('Loan Prepayment'!$E$15="Reduce EMI",AM465&gt;0),-PMT(AI465/1200,MAX(1,'Loan Prepayment'!$B$7*12-AG466+1),AH466),AJ465)),IF(AND('Loan Prepayment'!$E$15="Reduce EMI",AM465&gt;0),-PMT(AI466/1200,MAX(1,'Loan Prepayment'!$B$7*12-AG466+1),AH466),AJ465)),AH466+AK466))</f>
        <v>0</v>
      </c>
      <c r="AK466">
        <f t="shared" si="170"/>
        <v>0</v>
      </c>
      <c r="AL466">
        <f t="shared" si="171"/>
        <v>0</v>
      </c>
      <c r="AM466">
        <f>IF(AH466&lt;=0,0,MIN(MAX(0,AH466-AL466),SUMIFS('Loan Prepayment'!$B$12:$B$31,'Loan Prepayment'!$A$12:$A$31,AG466)+IF(AND(AG466&gt;='Loan Prepayment'!$B$9,AG466&lt;='Loan Prepayment'!$E$16),'Loan Prepayment'!$B$8,0)))</f>
        <v>0</v>
      </c>
      <c r="AN466">
        <f t="shared" si="172"/>
        <v>0</v>
      </c>
    </row>
    <row r="467" spans="1:40" x14ac:dyDescent="0.35">
      <c r="A467">
        <f t="shared" si="173"/>
        <v>466</v>
      </c>
      <c r="B467">
        <f t="shared" si="152"/>
        <v>0</v>
      </c>
      <c r="C467">
        <f>'Loan Prepayment'!$B$6</f>
        <v>7.5</v>
      </c>
      <c r="D467">
        <f>IF(B467&lt;=0,0,MIN(-PMT('Loan Prepayment'!$B$6/1200,'Loan Prepayment'!$B$7*12,'Loan Prepayment'!$B$5),B467+E467))</f>
        <v>0</v>
      </c>
      <c r="E467">
        <f t="shared" si="153"/>
        <v>0</v>
      </c>
      <c r="F467">
        <f t="shared" si="154"/>
        <v>0</v>
      </c>
      <c r="G467">
        <v>0</v>
      </c>
      <c r="H467">
        <f t="shared" si="155"/>
        <v>0</v>
      </c>
      <c r="I467">
        <f t="shared" si="174"/>
        <v>466</v>
      </c>
      <c r="J467">
        <f t="shared" si="156"/>
        <v>0</v>
      </c>
      <c r="K467">
        <f>'Loan Prepayment'!$B$6</f>
        <v>7.5</v>
      </c>
      <c r="L467">
        <f>IF(J467&lt;=0,0,MIN(IF(AND('Loan Prepayment'!$E$15="Reduce EMI",O466&gt;0),-PMT(K467/1200,MAX(1,'Loan Prepayment'!$B$7*12-I467+1),J467),L466),J467+M467))</f>
        <v>0</v>
      </c>
      <c r="M467">
        <f t="shared" si="157"/>
        <v>0</v>
      </c>
      <c r="N467">
        <f t="shared" si="158"/>
        <v>0</v>
      </c>
      <c r="O467">
        <f>IF(J467&lt;=0,0,MIN(MAX(0,J467-N467),SUMIFS('Loan Prepayment'!$B$12:$B$31,'Loan Prepayment'!$A$12:$A$31,I467)+0))</f>
        <v>0</v>
      </c>
      <c r="P467">
        <f t="shared" si="159"/>
        <v>0</v>
      </c>
      <c r="Q467">
        <f t="shared" si="175"/>
        <v>466</v>
      </c>
      <c r="R467">
        <f t="shared" si="160"/>
        <v>0</v>
      </c>
      <c r="S467">
        <f>'Loan Prepayment'!$B$6</f>
        <v>7.5</v>
      </c>
      <c r="T467">
        <f>IF(R467&lt;=0,0,MIN(IF(AND('Loan Prepayment'!$E$15="Reduce EMI",W466&gt;0),-PMT(S467/1200,MAX(1,'Loan Prepayment'!$B$7*12-Q467+1),R467),T466),R467+U467))</f>
        <v>0</v>
      </c>
      <c r="U467">
        <f t="shared" si="161"/>
        <v>0</v>
      </c>
      <c r="V467">
        <f t="shared" si="162"/>
        <v>0</v>
      </c>
      <c r="W467">
        <f>IF(R467&lt;=0,0,MIN(MAX(0,R467-V467),0+IF(AND(Q467&gt;='Loan Prepayment'!$B$9,Q467&lt;='Loan Prepayment'!$E$16),'Loan Prepayment'!$B$8,0)))</f>
        <v>0</v>
      </c>
      <c r="X467">
        <f t="shared" si="163"/>
        <v>0</v>
      </c>
      <c r="Y467">
        <f t="shared" si="176"/>
        <v>466</v>
      </c>
      <c r="Z467">
        <f t="shared" si="164"/>
        <v>0</v>
      </c>
      <c r="AA467">
        <f>IF(Y467&gt;='Loan Prepayment'!$E$11,'Loan Prepayment'!$E$12,'Loan Prepayment'!$B$6)</f>
        <v>6.5</v>
      </c>
      <c r="AB467">
        <f>IF(Z467&lt;=0,0,MIN(IF(Y467='Loan Prepayment'!$E$11,IF('Loan Prepayment'!$E$13="Keep tenure, recalculate EMI",-PMT(AA467/1200,MAX(1,'Loan Prepayment'!$B$7*12-Y467+1),Z467),AB466),AB466),Z467+AC467))</f>
        <v>0</v>
      </c>
      <c r="AC467">
        <f t="shared" si="165"/>
        <v>0</v>
      </c>
      <c r="AD467">
        <f t="shared" si="166"/>
        <v>0</v>
      </c>
      <c r="AE467">
        <f t="shared" si="167"/>
        <v>0</v>
      </c>
      <c r="AF467">
        <f t="shared" si="168"/>
        <v>0</v>
      </c>
      <c r="AG467">
        <f t="shared" si="177"/>
        <v>466</v>
      </c>
      <c r="AH467">
        <f t="shared" si="169"/>
        <v>0</v>
      </c>
      <c r="AI467">
        <f>IF(AG467&gt;='Loan Prepayment'!$E$11,'Loan Prepayment'!$E$12,'Loan Prepayment'!$B$6)</f>
        <v>6.5</v>
      </c>
      <c r="AJ467">
        <f>IF(AH467&lt;=0,0,MIN(IF(AG467='Loan Prepayment'!$E$11,IF('Loan Prepayment'!$E$13="Keep tenure, recalculate EMI",-PMT(AI467/1200,MAX(1,'Loan Prepayment'!$B$7*12-AG467+1),AH467),IF(AND('Loan Prepayment'!$E$15="Reduce EMI",AM466&gt;0),-PMT(AI466/1200,MAX(1,'Loan Prepayment'!$B$7*12-AG467+1),AH467),AJ466)),IF(AND('Loan Prepayment'!$E$15="Reduce EMI",AM466&gt;0),-PMT(AI467/1200,MAX(1,'Loan Prepayment'!$B$7*12-AG467+1),AH467),AJ466)),AH467+AK467))</f>
        <v>0</v>
      </c>
      <c r="AK467">
        <f t="shared" si="170"/>
        <v>0</v>
      </c>
      <c r="AL467">
        <f t="shared" si="171"/>
        <v>0</v>
      </c>
      <c r="AM467">
        <f>IF(AH467&lt;=0,0,MIN(MAX(0,AH467-AL467),SUMIFS('Loan Prepayment'!$B$12:$B$31,'Loan Prepayment'!$A$12:$A$31,AG467)+IF(AND(AG467&gt;='Loan Prepayment'!$B$9,AG467&lt;='Loan Prepayment'!$E$16),'Loan Prepayment'!$B$8,0)))</f>
        <v>0</v>
      </c>
      <c r="AN467">
        <f t="shared" si="172"/>
        <v>0</v>
      </c>
    </row>
    <row r="468" spans="1:40" x14ac:dyDescent="0.35">
      <c r="A468">
        <f t="shared" si="173"/>
        <v>467</v>
      </c>
      <c r="B468">
        <f t="shared" si="152"/>
        <v>0</v>
      </c>
      <c r="C468">
        <f>'Loan Prepayment'!$B$6</f>
        <v>7.5</v>
      </c>
      <c r="D468">
        <f>IF(B468&lt;=0,0,MIN(-PMT('Loan Prepayment'!$B$6/1200,'Loan Prepayment'!$B$7*12,'Loan Prepayment'!$B$5),B468+E468))</f>
        <v>0</v>
      </c>
      <c r="E468">
        <f t="shared" si="153"/>
        <v>0</v>
      </c>
      <c r="F468">
        <f t="shared" si="154"/>
        <v>0</v>
      </c>
      <c r="G468">
        <v>0</v>
      </c>
      <c r="H468">
        <f t="shared" si="155"/>
        <v>0</v>
      </c>
      <c r="I468">
        <f t="shared" si="174"/>
        <v>467</v>
      </c>
      <c r="J468">
        <f t="shared" si="156"/>
        <v>0</v>
      </c>
      <c r="K468">
        <f>'Loan Prepayment'!$B$6</f>
        <v>7.5</v>
      </c>
      <c r="L468">
        <f>IF(J468&lt;=0,0,MIN(IF(AND('Loan Prepayment'!$E$15="Reduce EMI",O467&gt;0),-PMT(K468/1200,MAX(1,'Loan Prepayment'!$B$7*12-I468+1),J468),L467),J468+M468))</f>
        <v>0</v>
      </c>
      <c r="M468">
        <f t="shared" si="157"/>
        <v>0</v>
      </c>
      <c r="N468">
        <f t="shared" si="158"/>
        <v>0</v>
      </c>
      <c r="O468">
        <f>IF(J468&lt;=0,0,MIN(MAX(0,J468-N468),SUMIFS('Loan Prepayment'!$B$12:$B$31,'Loan Prepayment'!$A$12:$A$31,I468)+0))</f>
        <v>0</v>
      </c>
      <c r="P468">
        <f t="shared" si="159"/>
        <v>0</v>
      </c>
      <c r="Q468">
        <f t="shared" si="175"/>
        <v>467</v>
      </c>
      <c r="R468">
        <f t="shared" si="160"/>
        <v>0</v>
      </c>
      <c r="S468">
        <f>'Loan Prepayment'!$B$6</f>
        <v>7.5</v>
      </c>
      <c r="T468">
        <f>IF(R468&lt;=0,0,MIN(IF(AND('Loan Prepayment'!$E$15="Reduce EMI",W467&gt;0),-PMT(S468/1200,MAX(1,'Loan Prepayment'!$B$7*12-Q468+1),R468),T467),R468+U468))</f>
        <v>0</v>
      </c>
      <c r="U468">
        <f t="shared" si="161"/>
        <v>0</v>
      </c>
      <c r="V468">
        <f t="shared" si="162"/>
        <v>0</v>
      </c>
      <c r="W468">
        <f>IF(R468&lt;=0,0,MIN(MAX(0,R468-V468),0+IF(AND(Q468&gt;='Loan Prepayment'!$B$9,Q468&lt;='Loan Prepayment'!$E$16),'Loan Prepayment'!$B$8,0)))</f>
        <v>0</v>
      </c>
      <c r="X468">
        <f t="shared" si="163"/>
        <v>0</v>
      </c>
      <c r="Y468">
        <f t="shared" si="176"/>
        <v>467</v>
      </c>
      <c r="Z468">
        <f t="shared" si="164"/>
        <v>0</v>
      </c>
      <c r="AA468">
        <f>IF(Y468&gt;='Loan Prepayment'!$E$11,'Loan Prepayment'!$E$12,'Loan Prepayment'!$B$6)</f>
        <v>6.5</v>
      </c>
      <c r="AB468">
        <f>IF(Z468&lt;=0,0,MIN(IF(Y468='Loan Prepayment'!$E$11,IF('Loan Prepayment'!$E$13="Keep tenure, recalculate EMI",-PMT(AA468/1200,MAX(1,'Loan Prepayment'!$B$7*12-Y468+1),Z468),AB467),AB467),Z468+AC468))</f>
        <v>0</v>
      </c>
      <c r="AC468">
        <f t="shared" si="165"/>
        <v>0</v>
      </c>
      <c r="AD468">
        <f t="shared" si="166"/>
        <v>0</v>
      </c>
      <c r="AE468">
        <f t="shared" si="167"/>
        <v>0</v>
      </c>
      <c r="AF468">
        <f t="shared" si="168"/>
        <v>0</v>
      </c>
      <c r="AG468">
        <f t="shared" si="177"/>
        <v>467</v>
      </c>
      <c r="AH468">
        <f t="shared" si="169"/>
        <v>0</v>
      </c>
      <c r="AI468">
        <f>IF(AG468&gt;='Loan Prepayment'!$E$11,'Loan Prepayment'!$E$12,'Loan Prepayment'!$B$6)</f>
        <v>6.5</v>
      </c>
      <c r="AJ468">
        <f>IF(AH468&lt;=0,0,MIN(IF(AG468='Loan Prepayment'!$E$11,IF('Loan Prepayment'!$E$13="Keep tenure, recalculate EMI",-PMT(AI468/1200,MAX(1,'Loan Prepayment'!$B$7*12-AG468+1),AH468),IF(AND('Loan Prepayment'!$E$15="Reduce EMI",AM467&gt;0),-PMT(AI467/1200,MAX(1,'Loan Prepayment'!$B$7*12-AG468+1),AH468),AJ467)),IF(AND('Loan Prepayment'!$E$15="Reduce EMI",AM467&gt;0),-PMT(AI468/1200,MAX(1,'Loan Prepayment'!$B$7*12-AG468+1),AH468),AJ467)),AH468+AK468))</f>
        <v>0</v>
      </c>
      <c r="AK468">
        <f t="shared" si="170"/>
        <v>0</v>
      </c>
      <c r="AL468">
        <f t="shared" si="171"/>
        <v>0</v>
      </c>
      <c r="AM468">
        <f>IF(AH468&lt;=0,0,MIN(MAX(0,AH468-AL468),SUMIFS('Loan Prepayment'!$B$12:$B$31,'Loan Prepayment'!$A$12:$A$31,AG468)+IF(AND(AG468&gt;='Loan Prepayment'!$B$9,AG468&lt;='Loan Prepayment'!$E$16),'Loan Prepayment'!$B$8,0)))</f>
        <v>0</v>
      </c>
      <c r="AN468">
        <f t="shared" si="172"/>
        <v>0</v>
      </c>
    </row>
    <row r="469" spans="1:40" x14ac:dyDescent="0.35">
      <c r="A469">
        <f t="shared" si="173"/>
        <v>468</v>
      </c>
      <c r="B469">
        <f t="shared" si="152"/>
        <v>0</v>
      </c>
      <c r="C469">
        <f>'Loan Prepayment'!$B$6</f>
        <v>7.5</v>
      </c>
      <c r="D469">
        <f>IF(B469&lt;=0,0,MIN(-PMT('Loan Prepayment'!$B$6/1200,'Loan Prepayment'!$B$7*12,'Loan Prepayment'!$B$5),B469+E469))</f>
        <v>0</v>
      </c>
      <c r="E469">
        <f t="shared" si="153"/>
        <v>0</v>
      </c>
      <c r="F469">
        <f t="shared" si="154"/>
        <v>0</v>
      </c>
      <c r="G469">
        <v>0</v>
      </c>
      <c r="H469">
        <f t="shared" si="155"/>
        <v>0</v>
      </c>
      <c r="I469">
        <f t="shared" si="174"/>
        <v>468</v>
      </c>
      <c r="J469">
        <f t="shared" si="156"/>
        <v>0</v>
      </c>
      <c r="K469">
        <f>'Loan Prepayment'!$B$6</f>
        <v>7.5</v>
      </c>
      <c r="L469">
        <f>IF(J469&lt;=0,0,MIN(IF(AND('Loan Prepayment'!$E$15="Reduce EMI",O468&gt;0),-PMT(K469/1200,MAX(1,'Loan Prepayment'!$B$7*12-I469+1),J469),L468),J469+M469))</f>
        <v>0</v>
      </c>
      <c r="M469">
        <f t="shared" si="157"/>
        <v>0</v>
      </c>
      <c r="N469">
        <f t="shared" si="158"/>
        <v>0</v>
      </c>
      <c r="O469">
        <f>IF(J469&lt;=0,0,MIN(MAX(0,J469-N469),SUMIFS('Loan Prepayment'!$B$12:$B$31,'Loan Prepayment'!$A$12:$A$31,I469)+0))</f>
        <v>0</v>
      </c>
      <c r="P469">
        <f t="shared" si="159"/>
        <v>0</v>
      </c>
      <c r="Q469">
        <f t="shared" si="175"/>
        <v>468</v>
      </c>
      <c r="R469">
        <f t="shared" si="160"/>
        <v>0</v>
      </c>
      <c r="S469">
        <f>'Loan Prepayment'!$B$6</f>
        <v>7.5</v>
      </c>
      <c r="T469">
        <f>IF(R469&lt;=0,0,MIN(IF(AND('Loan Prepayment'!$E$15="Reduce EMI",W468&gt;0),-PMT(S469/1200,MAX(1,'Loan Prepayment'!$B$7*12-Q469+1),R469),T468),R469+U469))</f>
        <v>0</v>
      </c>
      <c r="U469">
        <f t="shared" si="161"/>
        <v>0</v>
      </c>
      <c r="V469">
        <f t="shared" si="162"/>
        <v>0</v>
      </c>
      <c r="W469">
        <f>IF(R469&lt;=0,0,MIN(MAX(0,R469-V469),0+IF(AND(Q469&gt;='Loan Prepayment'!$B$9,Q469&lt;='Loan Prepayment'!$E$16),'Loan Prepayment'!$B$8,0)))</f>
        <v>0</v>
      </c>
      <c r="X469">
        <f t="shared" si="163"/>
        <v>0</v>
      </c>
      <c r="Y469">
        <f t="shared" si="176"/>
        <v>468</v>
      </c>
      <c r="Z469">
        <f t="shared" si="164"/>
        <v>0</v>
      </c>
      <c r="AA469">
        <f>IF(Y469&gt;='Loan Prepayment'!$E$11,'Loan Prepayment'!$E$12,'Loan Prepayment'!$B$6)</f>
        <v>6.5</v>
      </c>
      <c r="AB469">
        <f>IF(Z469&lt;=0,0,MIN(IF(Y469='Loan Prepayment'!$E$11,IF('Loan Prepayment'!$E$13="Keep tenure, recalculate EMI",-PMT(AA469/1200,MAX(1,'Loan Prepayment'!$B$7*12-Y469+1),Z469),AB468),AB468),Z469+AC469))</f>
        <v>0</v>
      </c>
      <c r="AC469">
        <f t="shared" si="165"/>
        <v>0</v>
      </c>
      <c r="AD469">
        <f t="shared" si="166"/>
        <v>0</v>
      </c>
      <c r="AE469">
        <f t="shared" si="167"/>
        <v>0</v>
      </c>
      <c r="AF469">
        <f t="shared" si="168"/>
        <v>0</v>
      </c>
      <c r="AG469">
        <f t="shared" si="177"/>
        <v>468</v>
      </c>
      <c r="AH469">
        <f t="shared" si="169"/>
        <v>0</v>
      </c>
      <c r="AI469">
        <f>IF(AG469&gt;='Loan Prepayment'!$E$11,'Loan Prepayment'!$E$12,'Loan Prepayment'!$B$6)</f>
        <v>6.5</v>
      </c>
      <c r="AJ469">
        <f>IF(AH469&lt;=0,0,MIN(IF(AG469='Loan Prepayment'!$E$11,IF('Loan Prepayment'!$E$13="Keep tenure, recalculate EMI",-PMT(AI469/1200,MAX(1,'Loan Prepayment'!$B$7*12-AG469+1),AH469),IF(AND('Loan Prepayment'!$E$15="Reduce EMI",AM468&gt;0),-PMT(AI468/1200,MAX(1,'Loan Prepayment'!$B$7*12-AG469+1),AH469),AJ468)),IF(AND('Loan Prepayment'!$E$15="Reduce EMI",AM468&gt;0),-PMT(AI469/1200,MAX(1,'Loan Prepayment'!$B$7*12-AG469+1),AH469),AJ468)),AH469+AK469))</f>
        <v>0</v>
      </c>
      <c r="AK469">
        <f t="shared" si="170"/>
        <v>0</v>
      </c>
      <c r="AL469">
        <f t="shared" si="171"/>
        <v>0</v>
      </c>
      <c r="AM469">
        <f>IF(AH469&lt;=0,0,MIN(MAX(0,AH469-AL469),SUMIFS('Loan Prepayment'!$B$12:$B$31,'Loan Prepayment'!$A$12:$A$31,AG469)+IF(AND(AG469&gt;='Loan Prepayment'!$B$9,AG469&lt;='Loan Prepayment'!$E$16),'Loan Prepayment'!$B$8,0)))</f>
        <v>0</v>
      </c>
      <c r="AN469">
        <f t="shared" si="172"/>
        <v>0</v>
      </c>
    </row>
    <row r="470" spans="1:40" x14ac:dyDescent="0.35">
      <c r="A470">
        <f t="shared" si="173"/>
        <v>469</v>
      </c>
      <c r="B470">
        <f t="shared" si="152"/>
        <v>0</v>
      </c>
      <c r="C470">
        <f>'Loan Prepayment'!$B$6</f>
        <v>7.5</v>
      </c>
      <c r="D470">
        <f>IF(B470&lt;=0,0,MIN(-PMT('Loan Prepayment'!$B$6/1200,'Loan Prepayment'!$B$7*12,'Loan Prepayment'!$B$5),B470+E470))</f>
        <v>0</v>
      </c>
      <c r="E470">
        <f t="shared" si="153"/>
        <v>0</v>
      </c>
      <c r="F470">
        <f t="shared" si="154"/>
        <v>0</v>
      </c>
      <c r="G470">
        <v>0</v>
      </c>
      <c r="H470">
        <f t="shared" si="155"/>
        <v>0</v>
      </c>
      <c r="I470">
        <f t="shared" si="174"/>
        <v>469</v>
      </c>
      <c r="J470">
        <f t="shared" si="156"/>
        <v>0</v>
      </c>
      <c r="K470">
        <f>'Loan Prepayment'!$B$6</f>
        <v>7.5</v>
      </c>
      <c r="L470">
        <f>IF(J470&lt;=0,0,MIN(IF(AND('Loan Prepayment'!$E$15="Reduce EMI",O469&gt;0),-PMT(K470/1200,MAX(1,'Loan Prepayment'!$B$7*12-I470+1),J470),L469),J470+M470))</f>
        <v>0</v>
      </c>
      <c r="M470">
        <f t="shared" si="157"/>
        <v>0</v>
      </c>
      <c r="N470">
        <f t="shared" si="158"/>
        <v>0</v>
      </c>
      <c r="O470">
        <f>IF(J470&lt;=0,0,MIN(MAX(0,J470-N470),SUMIFS('Loan Prepayment'!$B$12:$B$31,'Loan Prepayment'!$A$12:$A$31,I470)+0))</f>
        <v>0</v>
      </c>
      <c r="P470">
        <f t="shared" si="159"/>
        <v>0</v>
      </c>
      <c r="Q470">
        <f t="shared" si="175"/>
        <v>469</v>
      </c>
      <c r="R470">
        <f t="shared" si="160"/>
        <v>0</v>
      </c>
      <c r="S470">
        <f>'Loan Prepayment'!$B$6</f>
        <v>7.5</v>
      </c>
      <c r="T470">
        <f>IF(R470&lt;=0,0,MIN(IF(AND('Loan Prepayment'!$E$15="Reduce EMI",W469&gt;0),-PMT(S470/1200,MAX(1,'Loan Prepayment'!$B$7*12-Q470+1),R470),T469),R470+U470))</f>
        <v>0</v>
      </c>
      <c r="U470">
        <f t="shared" si="161"/>
        <v>0</v>
      </c>
      <c r="V470">
        <f t="shared" si="162"/>
        <v>0</v>
      </c>
      <c r="W470">
        <f>IF(R470&lt;=0,0,MIN(MAX(0,R470-V470),0+IF(AND(Q470&gt;='Loan Prepayment'!$B$9,Q470&lt;='Loan Prepayment'!$E$16),'Loan Prepayment'!$B$8,0)))</f>
        <v>0</v>
      </c>
      <c r="X470">
        <f t="shared" si="163"/>
        <v>0</v>
      </c>
      <c r="Y470">
        <f t="shared" si="176"/>
        <v>469</v>
      </c>
      <c r="Z470">
        <f t="shared" si="164"/>
        <v>0</v>
      </c>
      <c r="AA470">
        <f>IF(Y470&gt;='Loan Prepayment'!$E$11,'Loan Prepayment'!$E$12,'Loan Prepayment'!$B$6)</f>
        <v>6.5</v>
      </c>
      <c r="AB470">
        <f>IF(Z470&lt;=0,0,MIN(IF(Y470='Loan Prepayment'!$E$11,IF('Loan Prepayment'!$E$13="Keep tenure, recalculate EMI",-PMT(AA470/1200,MAX(1,'Loan Prepayment'!$B$7*12-Y470+1),Z470),AB469),AB469),Z470+AC470))</f>
        <v>0</v>
      </c>
      <c r="AC470">
        <f t="shared" si="165"/>
        <v>0</v>
      </c>
      <c r="AD470">
        <f t="shared" si="166"/>
        <v>0</v>
      </c>
      <c r="AE470">
        <f t="shared" si="167"/>
        <v>0</v>
      </c>
      <c r="AF470">
        <f t="shared" si="168"/>
        <v>0</v>
      </c>
      <c r="AG470">
        <f t="shared" si="177"/>
        <v>469</v>
      </c>
      <c r="AH470">
        <f t="shared" si="169"/>
        <v>0</v>
      </c>
      <c r="AI470">
        <f>IF(AG470&gt;='Loan Prepayment'!$E$11,'Loan Prepayment'!$E$12,'Loan Prepayment'!$B$6)</f>
        <v>6.5</v>
      </c>
      <c r="AJ470">
        <f>IF(AH470&lt;=0,0,MIN(IF(AG470='Loan Prepayment'!$E$11,IF('Loan Prepayment'!$E$13="Keep tenure, recalculate EMI",-PMT(AI470/1200,MAX(1,'Loan Prepayment'!$B$7*12-AG470+1),AH470),IF(AND('Loan Prepayment'!$E$15="Reduce EMI",AM469&gt;0),-PMT(AI469/1200,MAX(1,'Loan Prepayment'!$B$7*12-AG470+1),AH470),AJ469)),IF(AND('Loan Prepayment'!$E$15="Reduce EMI",AM469&gt;0),-PMT(AI470/1200,MAX(1,'Loan Prepayment'!$B$7*12-AG470+1),AH470),AJ469)),AH470+AK470))</f>
        <v>0</v>
      </c>
      <c r="AK470">
        <f t="shared" si="170"/>
        <v>0</v>
      </c>
      <c r="AL470">
        <f t="shared" si="171"/>
        <v>0</v>
      </c>
      <c r="AM470">
        <f>IF(AH470&lt;=0,0,MIN(MAX(0,AH470-AL470),SUMIFS('Loan Prepayment'!$B$12:$B$31,'Loan Prepayment'!$A$12:$A$31,AG470)+IF(AND(AG470&gt;='Loan Prepayment'!$B$9,AG470&lt;='Loan Prepayment'!$E$16),'Loan Prepayment'!$B$8,0)))</f>
        <v>0</v>
      </c>
      <c r="AN470">
        <f t="shared" si="172"/>
        <v>0</v>
      </c>
    </row>
    <row r="471" spans="1:40" x14ac:dyDescent="0.35">
      <c r="A471">
        <f t="shared" si="173"/>
        <v>470</v>
      </c>
      <c r="B471">
        <f t="shared" si="152"/>
        <v>0</v>
      </c>
      <c r="C471">
        <f>'Loan Prepayment'!$B$6</f>
        <v>7.5</v>
      </c>
      <c r="D471">
        <f>IF(B471&lt;=0,0,MIN(-PMT('Loan Prepayment'!$B$6/1200,'Loan Prepayment'!$B$7*12,'Loan Prepayment'!$B$5),B471+E471))</f>
        <v>0</v>
      </c>
      <c r="E471">
        <f t="shared" si="153"/>
        <v>0</v>
      </c>
      <c r="F471">
        <f t="shared" si="154"/>
        <v>0</v>
      </c>
      <c r="G471">
        <v>0</v>
      </c>
      <c r="H471">
        <f t="shared" si="155"/>
        <v>0</v>
      </c>
      <c r="I471">
        <f t="shared" si="174"/>
        <v>470</v>
      </c>
      <c r="J471">
        <f t="shared" si="156"/>
        <v>0</v>
      </c>
      <c r="K471">
        <f>'Loan Prepayment'!$B$6</f>
        <v>7.5</v>
      </c>
      <c r="L471">
        <f>IF(J471&lt;=0,0,MIN(IF(AND('Loan Prepayment'!$E$15="Reduce EMI",O470&gt;0),-PMT(K471/1200,MAX(1,'Loan Prepayment'!$B$7*12-I471+1),J471),L470),J471+M471))</f>
        <v>0</v>
      </c>
      <c r="M471">
        <f t="shared" si="157"/>
        <v>0</v>
      </c>
      <c r="N471">
        <f t="shared" si="158"/>
        <v>0</v>
      </c>
      <c r="O471">
        <f>IF(J471&lt;=0,0,MIN(MAX(0,J471-N471),SUMIFS('Loan Prepayment'!$B$12:$B$31,'Loan Prepayment'!$A$12:$A$31,I471)+0))</f>
        <v>0</v>
      </c>
      <c r="P471">
        <f t="shared" si="159"/>
        <v>0</v>
      </c>
      <c r="Q471">
        <f t="shared" si="175"/>
        <v>470</v>
      </c>
      <c r="R471">
        <f t="shared" si="160"/>
        <v>0</v>
      </c>
      <c r="S471">
        <f>'Loan Prepayment'!$B$6</f>
        <v>7.5</v>
      </c>
      <c r="T471">
        <f>IF(R471&lt;=0,0,MIN(IF(AND('Loan Prepayment'!$E$15="Reduce EMI",W470&gt;0),-PMT(S471/1200,MAX(1,'Loan Prepayment'!$B$7*12-Q471+1),R471),T470),R471+U471))</f>
        <v>0</v>
      </c>
      <c r="U471">
        <f t="shared" si="161"/>
        <v>0</v>
      </c>
      <c r="V471">
        <f t="shared" si="162"/>
        <v>0</v>
      </c>
      <c r="W471">
        <f>IF(R471&lt;=0,0,MIN(MAX(0,R471-V471),0+IF(AND(Q471&gt;='Loan Prepayment'!$B$9,Q471&lt;='Loan Prepayment'!$E$16),'Loan Prepayment'!$B$8,0)))</f>
        <v>0</v>
      </c>
      <c r="X471">
        <f t="shared" si="163"/>
        <v>0</v>
      </c>
      <c r="Y471">
        <f t="shared" si="176"/>
        <v>470</v>
      </c>
      <c r="Z471">
        <f t="shared" si="164"/>
        <v>0</v>
      </c>
      <c r="AA471">
        <f>IF(Y471&gt;='Loan Prepayment'!$E$11,'Loan Prepayment'!$E$12,'Loan Prepayment'!$B$6)</f>
        <v>6.5</v>
      </c>
      <c r="AB471">
        <f>IF(Z471&lt;=0,0,MIN(IF(Y471='Loan Prepayment'!$E$11,IF('Loan Prepayment'!$E$13="Keep tenure, recalculate EMI",-PMT(AA471/1200,MAX(1,'Loan Prepayment'!$B$7*12-Y471+1),Z471),AB470),AB470),Z471+AC471))</f>
        <v>0</v>
      </c>
      <c r="AC471">
        <f t="shared" si="165"/>
        <v>0</v>
      </c>
      <c r="AD471">
        <f t="shared" si="166"/>
        <v>0</v>
      </c>
      <c r="AE471">
        <f t="shared" si="167"/>
        <v>0</v>
      </c>
      <c r="AF471">
        <f t="shared" si="168"/>
        <v>0</v>
      </c>
      <c r="AG471">
        <f t="shared" si="177"/>
        <v>470</v>
      </c>
      <c r="AH471">
        <f t="shared" si="169"/>
        <v>0</v>
      </c>
      <c r="AI471">
        <f>IF(AG471&gt;='Loan Prepayment'!$E$11,'Loan Prepayment'!$E$12,'Loan Prepayment'!$B$6)</f>
        <v>6.5</v>
      </c>
      <c r="AJ471">
        <f>IF(AH471&lt;=0,0,MIN(IF(AG471='Loan Prepayment'!$E$11,IF('Loan Prepayment'!$E$13="Keep tenure, recalculate EMI",-PMT(AI471/1200,MAX(1,'Loan Prepayment'!$B$7*12-AG471+1),AH471),IF(AND('Loan Prepayment'!$E$15="Reduce EMI",AM470&gt;0),-PMT(AI470/1200,MAX(1,'Loan Prepayment'!$B$7*12-AG471+1),AH471),AJ470)),IF(AND('Loan Prepayment'!$E$15="Reduce EMI",AM470&gt;0),-PMT(AI471/1200,MAX(1,'Loan Prepayment'!$B$7*12-AG471+1),AH471),AJ470)),AH471+AK471))</f>
        <v>0</v>
      </c>
      <c r="AK471">
        <f t="shared" si="170"/>
        <v>0</v>
      </c>
      <c r="AL471">
        <f t="shared" si="171"/>
        <v>0</v>
      </c>
      <c r="AM471">
        <f>IF(AH471&lt;=0,0,MIN(MAX(0,AH471-AL471),SUMIFS('Loan Prepayment'!$B$12:$B$31,'Loan Prepayment'!$A$12:$A$31,AG471)+IF(AND(AG471&gt;='Loan Prepayment'!$B$9,AG471&lt;='Loan Prepayment'!$E$16),'Loan Prepayment'!$B$8,0)))</f>
        <v>0</v>
      </c>
      <c r="AN471">
        <f t="shared" si="172"/>
        <v>0</v>
      </c>
    </row>
    <row r="472" spans="1:40" x14ac:dyDescent="0.35">
      <c r="A472">
        <f t="shared" si="173"/>
        <v>471</v>
      </c>
      <c r="B472">
        <f t="shared" si="152"/>
        <v>0</v>
      </c>
      <c r="C472">
        <f>'Loan Prepayment'!$B$6</f>
        <v>7.5</v>
      </c>
      <c r="D472">
        <f>IF(B472&lt;=0,0,MIN(-PMT('Loan Prepayment'!$B$6/1200,'Loan Prepayment'!$B$7*12,'Loan Prepayment'!$B$5),B472+E472))</f>
        <v>0</v>
      </c>
      <c r="E472">
        <f t="shared" si="153"/>
        <v>0</v>
      </c>
      <c r="F472">
        <f t="shared" si="154"/>
        <v>0</v>
      </c>
      <c r="G472">
        <v>0</v>
      </c>
      <c r="H472">
        <f t="shared" si="155"/>
        <v>0</v>
      </c>
      <c r="I472">
        <f t="shared" si="174"/>
        <v>471</v>
      </c>
      <c r="J472">
        <f t="shared" si="156"/>
        <v>0</v>
      </c>
      <c r="K472">
        <f>'Loan Prepayment'!$B$6</f>
        <v>7.5</v>
      </c>
      <c r="L472">
        <f>IF(J472&lt;=0,0,MIN(IF(AND('Loan Prepayment'!$E$15="Reduce EMI",O471&gt;0),-PMT(K472/1200,MAX(1,'Loan Prepayment'!$B$7*12-I472+1),J472),L471),J472+M472))</f>
        <v>0</v>
      </c>
      <c r="M472">
        <f t="shared" si="157"/>
        <v>0</v>
      </c>
      <c r="N472">
        <f t="shared" si="158"/>
        <v>0</v>
      </c>
      <c r="O472">
        <f>IF(J472&lt;=0,0,MIN(MAX(0,J472-N472),SUMIFS('Loan Prepayment'!$B$12:$B$31,'Loan Prepayment'!$A$12:$A$31,I472)+0))</f>
        <v>0</v>
      </c>
      <c r="P472">
        <f t="shared" si="159"/>
        <v>0</v>
      </c>
      <c r="Q472">
        <f t="shared" si="175"/>
        <v>471</v>
      </c>
      <c r="R472">
        <f t="shared" si="160"/>
        <v>0</v>
      </c>
      <c r="S472">
        <f>'Loan Prepayment'!$B$6</f>
        <v>7.5</v>
      </c>
      <c r="T472">
        <f>IF(R472&lt;=0,0,MIN(IF(AND('Loan Prepayment'!$E$15="Reduce EMI",W471&gt;0),-PMT(S472/1200,MAX(1,'Loan Prepayment'!$B$7*12-Q472+1),R472),T471),R472+U472))</f>
        <v>0</v>
      </c>
      <c r="U472">
        <f t="shared" si="161"/>
        <v>0</v>
      </c>
      <c r="V472">
        <f t="shared" si="162"/>
        <v>0</v>
      </c>
      <c r="W472">
        <f>IF(R472&lt;=0,0,MIN(MAX(0,R472-V472),0+IF(AND(Q472&gt;='Loan Prepayment'!$B$9,Q472&lt;='Loan Prepayment'!$E$16),'Loan Prepayment'!$B$8,0)))</f>
        <v>0</v>
      </c>
      <c r="X472">
        <f t="shared" si="163"/>
        <v>0</v>
      </c>
      <c r="Y472">
        <f t="shared" si="176"/>
        <v>471</v>
      </c>
      <c r="Z472">
        <f t="shared" si="164"/>
        <v>0</v>
      </c>
      <c r="AA472">
        <f>IF(Y472&gt;='Loan Prepayment'!$E$11,'Loan Prepayment'!$E$12,'Loan Prepayment'!$B$6)</f>
        <v>6.5</v>
      </c>
      <c r="AB472">
        <f>IF(Z472&lt;=0,0,MIN(IF(Y472='Loan Prepayment'!$E$11,IF('Loan Prepayment'!$E$13="Keep tenure, recalculate EMI",-PMT(AA472/1200,MAX(1,'Loan Prepayment'!$B$7*12-Y472+1),Z472),AB471),AB471),Z472+AC472))</f>
        <v>0</v>
      </c>
      <c r="AC472">
        <f t="shared" si="165"/>
        <v>0</v>
      </c>
      <c r="AD472">
        <f t="shared" si="166"/>
        <v>0</v>
      </c>
      <c r="AE472">
        <f t="shared" si="167"/>
        <v>0</v>
      </c>
      <c r="AF472">
        <f t="shared" si="168"/>
        <v>0</v>
      </c>
      <c r="AG472">
        <f t="shared" si="177"/>
        <v>471</v>
      </c>
      <c r="AH472">
        <f t="shared" si="169"/>
        <v>0</v>
      </c>
      <c r="AI472">
        <f>IF(AG472&gt;='Loan Prepayment'!$E$11,'Loan Prepayment'!$E$12,'Loan Prepayment'!$B$6)</f>
        <v>6.5</v>
      </c>
      <c r="AJ472">
        <f>IF(AH472&lt;=0,0,MIN(IF(AG472='Loan Prepayment'!$E$11,IF('Loan Prepayment'!$E$13="Keep tenure, recalculate EMI",-PMT(AI472/1200,MAX(1,'Loan Prepayment'!$B$7*12-AG472+1),AH472),IF(AND('Loan Prepayment'!$E$15="Reduce EMI",AM471&gt;0),-PMT(AI471/1200,MAX(1,'Loan Prepayment'!$B$7*12-AG472+1),AH472),AJ471)),IF(AND('Loan Prepayment'!$E$15="Reduce EMI",AM471&gt;0),-PMT(AI472/1200,MAX(1,'Loan Prepayment'!$B$7*12-AG472+1),AH472),AJ471)),AH472+AK472))</f>
        <v>0</v>
      </c>
      <c r="AK472">
        <f t="shared" si="170"/>
        <v>0</v>
      </c>
      <c r="AL472">
        <f t="shared" si="171"/>
        <v>0</v>
      </c>
      <c r="AM472">
        <f>IF(AH472&lt;=0,0,MIN(MAX(0,AH472-AL472),SUMIFS('Loan Prepayment'!$B$12:$B$31,'Loan Prepayment'!$A$12:$A$31,AG472)+IF(AND(AG472&gt;='Loan Prepayment'!$B$9,AG472&lt;='Loan Prepayment'!$E$16),'Loan Prepayment'!$B$8,0)))</f>
        <v>0</v>
      </c>
      <c r="AN472">
        <f t="shared" si="172"/>
        <v>0</v>
      </c>
    </row>
    <row r="473" spans="1:40" x14ac:dyDescent="0.35">
      <c r="A473">
        <f t="shared" si="173"/>
        <v>472</v>
      </c>
      <c r="B473">
        <f t="shared" si="152"/>
        <v>0</v>
      </c>
      <c r="C473">
        <f>'Loan Prepayment'!$B$6</f>
        <v>7.5</v>
      </c>
      <c r="D473">
        <f>IF(B473&lt;=0,0,MIN(-PMT('Loan Prepayment'!$B$6/1200,'Loan Prepayment'!$B$7*12,'Loan Prepayment'!$B$5),B473+E473))</f>
        <v>0</v>
      </c>
      <c r="E473">
        <f t="shared" si="153"/>
        <v>0</v>
      </c>
      <c r="F473">
        <f t="shared" si="154"/>
        <v>0</v>
      </c>
      <c r="G473">
        <v>0</v>
      </c>
      <c r="H473">
        <f t="shared" si="155"/>
        <v>0</v>
      </c>
      <c r="I473">
        <f t="shared" si="174"/>
        <v>472</v>
      </c>
      <c r="J473">
        <f t="shared" si="156"/>
        <v>0</v>
      </c>
      <c r="K473">
        <f>'Loan Prepayment'!$B$6</f>
        <v>7.5</v>
      </c>
      <c r="L473">
        <f>IF(J473&lt;=0,0,MIN(IF(AND('Loan Prepayment'!$E$15="Reduce EMI",O472&gt;0),-PMT(K473/1200,MAX(1,'Loan Prepayment'!$B$7*12-I473+1),J473),L472),J473+M473))</f>
        <v>0</v>
      </c>
      <c r="M473">
        <f t="shared" si="157"/>
        <v>0</v>
      </c>
      <c r="N473">
        <f t="shared" si="158"/>
        <v>0</v>
      </c>
      <c r="O473">
        <f>IF(J473&lt;=0,0,MIN(MAX(0,J473-N473),SUMIFS('Loan Prepayment'!$B$12:$B$31,'Loan Prepayment'!$A$12:$A$31,I473)+0))</f>
        <v>0</v>
      </c>
      <c r="P473">
        <f t="shared" si="159"/>
        <v>0</v>
      </c>
      <c r="Q473">
        <f t="shared" si="175"/>
        <v>472</v>
      </c>
      <c r="R473">
        <f t="shared" si="160"/>
        <v>0</v>
      </c>
      <c r="S473">
        <f>'Loan Prepayment'!$B$6</f>
        <v>7.5</v>
      </c>
      <c r="T473">
        <f>IF(R473&lt;=0,0,MIN(IF(AND('Loan Prepayment'!$E$15="Reduce EMI",W472&gt;0),-PMT(S473/1200,MAX(1,'Loan Prepayment'!$B$7*12-Q473+1),R473),T472),R473+U473))</f>
        <v>0</v>
      </c>
      <c r="U473">
        <f t="shared" si="161"/>
        <v>0</v>
      </c>
      <c r="V473">
        <f t="shared" si="162"/>
        <v>0</v>
      </c>
      <c r="W473">
        <f>IF(R473&lt;=0,0,MIN(MAX(0,R473-V473),0+IF(AND(Q473&gt;='Loan Prepayment'!$B$9,Q473&lt;='Loan Prepayment'!$E$16),'Loan Prepayment'!$B$8,0)))</f>
        <v>0</v>
      </c>
      <c r="X473">
        <f t="shared" si="163"/>
        <v>0</v>
      </c>
      <c r="Y473">
        <f t="shared" si="176"/>
        <v>472</v>
      </c>
      <c r="Z473">
        <f t="shared" si="164"/>
        <v>0</v>
      </c>
      <c r="AA473">
        <f>IF(Y473&gt;='Loan Prepayment'!$E$11,'Loan Prepayment'!$E$12,'Loan Prepayment'!$B$6)</f>
        <v>6.5</v>
      </c>
      <c r="AB473">
        <f>IF(Z473&lt;=0,0,MIN(IF(Y473='Loan Prepayment'!$E$11,IF('Loan Prepayment'!$E$13="Keep tenure, recalculate EMI",-PMT(AA473/1200,MAX(1,'Loan Prepayment'!$B$7*12-Y473+1),Z473),AB472),AB472),Z473+AC473))</f>
        <v>0</v>
      </c>
      <c r="AC473">
        <f t="shared" si="165"/>
        <v>0</v>
      </c>
      <c r="AD473">
        <f t="shared" si="166"/>
        <v>0</v>
      </c>
      <c r="AE473">
        <f t="shared" si="167"/>
        <v>0</v>
      </c>
      <c r="AF473">
        <f t="shared" si="168"/>
        <v>0</v>
      </c>
      <c r="AG473">
        <f t="shared" si="177"/>
        <v>472</v>
      </c>
      <c r="AH473">
        <f t="shared" si="169"/>
        <v>0</v>
      </c>
      <c r="AI473">
        <f>IF(AG473&gt;='Loan Prepayment'!$E$11,'Loan Prepayment'!$E$12,'Loan Prepayment'!$B$6)</f>
        <v>6.5</v>
      </c>
      <c r="AJ473">
        <f>IF(AH473&lt;=0,0,MIN(IF(AG473='Loan Prepayment'!$E$11,IF('Loan Prepayment'!$E$13="Keep tenure, recalculate EMI",-PMT(AI473/1200,MAX(1,'Loan Prepayment'!$B$7*12-AG473+1),AH473),IF(AND('Loan Prepayment'!$E$15="Reduce EMI",AM472&gt;0),-PMT(AI472/1200,MAX(1,'Loan Prepayment'!$B$7*12-AG473+1),AH473),AJ472)),IF(AND('Loan Prepayment'!$E$15="Reduce EMI",AM472&gt;0),-PMT(AI473/1200,MAX(1,'Loan Prepayment'!$B$7*12-AG473+1),AH473),AJ472)),AH473+AK473))</f>
        <v>0</v>
      </c>
      <c r="AK473">
        <f t="shared" si="170"/>
        <v>0</v>
      </c>
      <c r="AL473">
        <f t="shared" si="171"/>
        <v>0</v>
      </c>
      <c r="AM473">
        <f>IF(AH473&lt;=0,0,MIN(MAX(0,AH473-AL473),SUMIFS('Loan Prepayment'!$B$12:$B$31,'Loan Prepayment'!$A$12:$A$31,AG473)+IF(AND(AG473&gt;='Loan Prepayment'!$B$9,AG473&lt;='Loan Prepayment'!$E$16),'Loan Prepayment'!$B$8,0)))</f>
        <v>0</v>
      </c>
      <c r="AN473">
        <f t="shared" si="172"/>
        <v>0</v>
      </c>
    </row>
    <row r="474" spans="1:40" x14ac:dyDescent="0.35">
      <c r="A474">
        <f t="shared" si="173"/>
        <v>473</v>
      </c>
      <c r="B474">
        <f t="shared" si="152"/>
        <v>0</v>
      </c>
      <c r="C474">
        <f>'Loan Prepayment'!$B$6</f>
        <v>7.5</v>
      </c>
      <c r="D474">
        <f>IF(B474&lt;=0,0,MIN(-PMT('Loan Prepayment'!$B$6/1200,'Loan Prepayment'!$B$7*12,'Loan Prepayment'!$B$5),B474+E474))</f>
        <v>0</v>
      </c>
      <c r="E474">
        <f t="shared" si="153"/>
        <v>0</v>
      </c>
      <c r="F474">
        <f t="shared" si="154"/>
        <v>0</v>
      </c>
      <c r="G474">
        <v>0</v>
      </c>
      <c r="H474">
        <f t="shared" si="155"/>
        <v>0</v>
      </c>
      <c r="I474">
        <f t="shared" si="174"/>
        <v>473</v>
      </c>
      <c r="J474">
        <f t="shared" si="156"/>
        <v>0</v>
      </c>
      <c r="K474">
        <f>'Loan Prepayment'!$B$6</f>
        <v>7.5</v>
      </c>
      <c r="L474">
        <f>IF(J474&lt;=0,0,MIN(IF(AND('Loan Prepayment'!$E$15="Reduce EMI",O473&gt;0),-PMT(K474/1200,MAX(1,'Loan Prepayment'!$B$7*12-I474+1),J474),L473),J474+M474))</f>
        <v>0</v>
      </c>
      <c r="M474">
        <f t="shared" si="157"/>
        <v>0</v>
      </c>
      <c r="N474">
        <f t="shared" si="158"/>
        <v>0</v>
      </c>
      <c r="O474">
        <f>IF(J474&lt;=0,0,MIN(MAX(0,J474-N474),SUMIFS('Loan Prepayment'!$B$12:$B$31,'Loan Prepayment'!$A$12:$A$31,I474)+0))</f>
        <v>0</v>
      </c>
      <c r="P474">
        <f t="shared" si="159"/>
        <v>0</v>
      </c>
      <c r="Q474">
        <f t="shared" si="175"/>
        <v>473</v>
      </c>
      <c r="R474">
        <f t="shared" si="160"/>
        <v>0</v>
      </c>
      <c r="S474">
        <f>'Loan Prepayment'!$B$6</f>
        <v>7.5</v>
      </c>
      <c r="T474">
        <f>IF(R474&lt;=0,0,MIN(IF(AND('Loan Prepayment'!$E$15="Reduce EMI",W473&gt;0),-PMT(S474/1200,MAX(1,'Loan Prepayment'!$B$7*12-Q474+1),R474),T473),R474+U474))</f>
        <v>0</v>
      </c>
      <c r="U474">
        <f t="shared" si="161"/>
        <v>0</v>
      </c>
      <c r="V474">
        <f t="shared" si="162"/>
        <v>0</v>
      </c>
      <c r="W474">
        <f>IF(R474&lt;=0,0,MIN(MAX(0,R474-V474),0+IF(AND(Q474&gt;='Loan Prepayment'!$B$9,Q474&lt;='Loan Prepayment'!$E$16),'Loan Prepayment'!$B$8,0)))</f>
        <v>0</v>
      </c>
      <c r="X474">
        <f t="shared" si="163"/>
        <v>0</v>
      </c>
      <c r="Y474">
        <f t="shared" si="176"/>
        <v>473</v>
      </c>
      <c r="Z474">
        <f t="shared" si="164"/>
        <v>0</v>
      </c>
      <c r="AA474">
        <f>IF(Y474&gt;='Loan Prepayment'!$E$11,'Loan Prepayment'!$E$12,'Loan Prepayment'!$B$6)</f>
        <v>6.5</v>
      </c>
      <c r="AB474">
        <f>IF(Z474&lt;=0,0,MIN(IF(Y474='Loan Prepayment'!$E$11,IF('Loan Prepayment'!$E$13="Keep tenure, recalculate EMI",-PMT(AA474/1200,MAX(1,'Loan Prepayment'!$B$7*12-Y474+1),Z474),AB473),AB473),Z474+AC474))</f>
        <v>0</v>
      </c>
      <c r="AC474">
        <f t="shared" si="165"/>
        <v>0</v>
      </c>
      <c r="AD474">
        <f t="shared" si="166"/>
        <v>0</v>
      </c>
      <c r="AE474">
        <f t="shared" si="167"/>
        <v>0</v>
      </c>
      <c r="AF474">
        <f t="shared" si="168"/>
        <v>0</v>
      </c>
      <c r="AG474">
        <f t="shared" si="177"/>
        <v>473</v>
      </c>
      <c r="AH474">
        <f t="shared" si="169"/>
        <v>0</v>
      </c>
      <c r="AI474">
        <f>IF(AG474&gt;='Loan Prepayment'!$E$11,'Loan Prepayment'!$E$12,'Loan Prepayment'!$B$6)</f>
        <v>6.5</v>
      </c>
      <c r="AJ474">
        <f>IF(AH474&lt;=0,0,MIN(IF(AG474='Loan Prepayment'!$E$11,IF('Loan Prepayment'!$E$13="Keep tenure, recalculate EMI",-PMT(AI474/1200,MAX(1,'Loan Prepayment'!$B$7*12-AG474+1),AH474),IF(AND('Loan Prepayment'!$E$15="Reduce EMI",AM473&gt;0),-PMT(AI473/1200,MAX(1,'Loan Prepayment'!$B$7*12-AG474+1),AH474),AJ473)),IF(AND('Loan Prepayment'!$E$15="Reduce EMI",AM473&gt;0),-PMT(AI474/1200,MAX(1,'Loan Prepayment'!$B$7*12-AG474+1),AH474),AJ473)),AH474+AK474))</f>
        <v>0</v>
      </c>
      <c r="AK474">
        <f t="shared" si="170"/>
        <v>0</v>
      </c>
      <c r="AL474">
        <f t="shared" si="171"/>
        <v>0</v>
      </c>
      <c r="AM474">
        <f>IF(AH474&lt;=0,0,MIN(MAX(0,AH474-AL474),SUMIFS('Loan Prepayment'!$B$12:$B$31,'Loan Prepayment'!$A$12:$A$31,AG474)+IF(AND(AG474&gt;='Loan Prepayment'!$B$9,AG474&lt;='Loan Prepayment'!$E$16),'Loan Prepayment'!$B$8,0)))</f>
        <v>0</v>
      </c>
      <c r="AN474">
        <f t="shared" si="172"/>
        <v>0</v>
      </c>
    </row>
    <row r="475" spans="1:40" x14ac:dyDescent="0.35">
      <c r="A475">
        <f t="shared" si="173"/>
        <v>474</v>
      </c>
      <c r="B475">
        <f t="shared" si="152"/>
        <v>0</v>
      </c>
      <c r="C475">
        <f>'Loan Prepayment'!$B$6</f>
        <v>7.5</v>
      </c>
      <c r="D475">
        <f>IF(B475&lt;=0,0,MIN(-PMT('Loan Prepayment'!$B$6/1200,'Loan Prepayment'!$B$7*12,'Loan Prepayment'!$B$5),B475+E475))</f>
        <v>0</v>
      </c>
      <c r="E475">
        <f t="shared" si="153"/>
        <v>0</v>
      </c>
      <c r="F475">
        <f t="shared" si="154"/>
        <v>0</v>
      </c>
      <c r="G475">
        <v>0</v>
      </c>
      <c r="H475">
        <f t="shared" si="155"/>
        <v>0</v>
      </c>
      <c r="I475">
        <f t="shared" si="174"/>
        <v>474</v>
      </c>
      <c r="J475">
        <f t="shared" si="156"/>
        <v>0</v>
      </c>
      <c r="K475">
        <f>'Loan Prepayment'!$B$6</f>
        <v>7.5</v>
      </c>
      <c r="L475">
        <f>IF(J475&lt;=0,0,MIN(IF(AND('Loan Prepayment'!$E$15="Reduce EMI",O474&gt;0),-PMT(K475/1200,MAX(1,'Loan Prepayment'!$B$7*12-I475+1),J475),L474),J475+M475))</f>
        <v>0</v>
      </c>
      <c r="M475">
        <f t="shared" si="157"/>
        <v>0</v>
      </c>
      <c r="N475">
        <f t="shared" si="158"/>
        <v>0</v>
      </c>
      <c r="O475">
        <f>IF(J475&lt;=0,0,MIN(MAX(0,J475-N475),SUMIFS('Loan Prepayment'!$B$12:$B$31,'Loan Prepayment'!$A$12:$A$31,I475)+0))</f>
        <v>0</v>
      </c>
      <c r="P475">
        <f t="shared" si="159"/>
        <v>0</v>
      </c>
      <c r="Q475">
        <f t="shared" si="175"/>
        <v>474</v>
      </c>
      <c r="R475">
        <f t="shared" si="160"/>
        <v>0</v>
      </c>
      <c r="S475">
        <f>'Loan Prepayment'!$B$6</f>
        <v>7.5</v>
      </c>
      <c r="T475">
        <f>IF(R475&lt;=0,0,MIN(IF(AND('Loan Prepayment'!$E$15="Reduce EMI",W474&gt;0),-PMT(S475/1200,MAX(1,'Loan Prepayment'!$B$7*12-Q475+1),R475),T474),R475+U475))</f>
        <v>0</v>
      </c>
      <c r="U475">
        <f t="shared" si="161"/>
        <v>0</v>
      </c>
      <c r="V475">
        <f t="shared" si="162"/>
        <v>0</v>
      </c>
      <c r="W475">
        <f>IF(R475&lt;=0,0,MIN(MAX(0,R475-V475),0+IF(AND(Q475&gt;='Loan Prepayment'!$B$9,Q475&lt;='Loan Prepayment'!$E$16),'Loan Prepayment'!$B$8,0)))</f>
        <v>0</v>
      </c>
      <c r="X475">
        <f t="shared" si="163"/>
        <v>0</v>
      </c>
      <c r="Y475">
        <f t="shared" si="176"/>
        <v>474</v>
      </c>
      <c r="Z475">
        <f t="shared" si="164"/>
        <v>0</v>
      </c>
      <c r="AA475">
        <f>IF(Y475&gt;='Loan Prepayment'!$E$11,'Loan Prepayment'!$E$12,'Loan Prepayment'!$B$6)</f>
        <v>6.5</v>
      </c>
      <c r="AB475">
        <f>IF(Z475&lt;=0,0,MIN(IF(Y475='Loan Prepayment'!$E$11,IF('Loan Prepayment'!$E$13="Keep tenure, recalculate EMI",-PMT(AA475/1200,MAX(1,'Loan Prepayment'!$B$7*12-Y475+1),Z475),AB474),AB474),Z475+AC475))</f>
        <v>0</v>
      </c>
      <c r="AC475">
        <f t="shared" si="165"/>
        <v>0</v>
      </c>
      <c r="AD475">
        <f t="shared" si="166"/>
        <v>0</v>
      </c>
      <c r="AE475">
        <f t="shared" si="167"/>
        <v>0</v>
      </c>
      <c r="AF475">
        <f t="shared" si="168"/>
        <v>0</v>
      </c>
      <c r="AG475">
        <f t="shared" si="177"/>
        <v>474</v>
      </c>
      <c r="AH475">
        <f t="shared" si="169"/>
        <v>0</v>
      </c>
      <c r="AI475">
        <f>IF(AG475&gt;='Loan Prepayment'!$E$11,'Loan Prepayment'!$E$12,'Loan Prepayment'!$B$6)</f>
        <v>6.5</v>
      </c>
      <c r="AJ475">
        <f>IF(AH475&lt;=0,0,MIN(IF(AG475='Loan Prepayment'!$E$11,IF('Loan Prepayment'!$E$13="Keep tenure, recalculate EMI",-PMT(AI475/1200,MAX(1,'Loan Prepayment'!$B$7*12-AG475+1),AH475),IF(AND('Loan Prepayment'!$E$15="Reduce EMI",AM474&gt;0),-PMT(AI474/1200,MAX(1,'Loan Prepayment'!$B$7*12-AG475+1),AH475),AJ474)),IF(AND('Loan Prepayment'!$E$15="Reduce EMI",AM474&gt;0),-PMT(AI475/1200,MAX(1,'Loan Prepayment'!$B$7*12-AG475+1),AH475),AJ474)),AH475+AK475))</f>
        <v>0</v>
      </c>
      <c r="AK475">
        <f t="shared" si="170"/>
        <v>0</v>
      </c>
      <c r="AL475">
        <f t="shared" si="171"/>
        <v>0</v>
      </c>
      <c r="AM475">
        <f>IF(AH475&lt;=0,0,MIN(MAX(0,AH475-AL475),SUMIFS('Loan Prepayment'!$B$12:$B$31,'Loan Prepayment'!$A$12:$A$31,AG475)+IF(AND(AG475&gt;='Loan Prepayment'!$B$9,AG475&lt;='Loan Prepayment'!$E$16),'Loan Prepayment'!$B$8,0)))</f>
        <v>0</v>
      </c>
      <c r="AN475">
        <f t="shared" si="172"/>
        <v>0</v>
      </c>
    </row>
    <row r="476" spans="1:40" x14ac:dyDescent="0.35">
      <c r="A476">
        <f t="shared" si="173"/>
        <v>475</v>
      </c>
      <c r="B476">
        <f t="shared" si="152"/>
        <v>0</v>
      </c>
      <c r="C476">
        <f>'Loan Prepayment'!$B$6</f>
        <v>7.5</v>
      </c>
      <c r="D476">
        <f>IF(B476&lt;=0,0,MIN(-PMT('Loan Prepayment'!$B$6/1200,'Loan Prepayment'!$B$7*12,'Loan Prepayment'!$B$5),B476+E476))</f>
        <v>0</v>
      </c>
      <c r="E476">
        <f t="shared" si="153"/>
        <v>0</v>
      </c>
      <c r="F476">
        <f t="shared" si="154"/>
        <v>0</v>
      </c>
      <c r="G476">
        <v>0</v>
      </c>
      <c r="H476">
        <f t="shared" si="155"/>
        <v>0</v>
      </c>
      <c r="I476">
        <f t="shared" si="174"/>
        <v>475</v>
      </c>
      <c r="J476">
        <f t="shared" si="156"/>
        <v>0</v>
      </c>
      <c r="K476">
        <f>'Loan Prepayment'!$B$6</f>
        <v>7.5</v>
      </c>
      <c r="L476">
        <f>IF(J476&lt;=0,0,MIN(IF(AND('Loan Prepayment'!$E$15="Reduce EMI",O475&gt;0),-PMT(K476/1200,MAX(1,'Loan Prepayment'!$B$7*12-I476+1),J476),L475),J476+M476))</f>
        <v>0</v>
      </c>
      <c r="M476">
        <f t="shared" si="157"/>
        <v>0</v>
      </c>
      <c r="N476">
        <f t="shared" si="158"/>
        <v>0</v>
      </c>
      <c r="O476">
        <f>IF(J476&lt;=0,0,MIN(MAX(0,J476-N476),SUMIFS('Loan Prepayment'!$B$12:$B$31,'Loan Prepayment'!$A$12:$A$31,I476)+0))</f>
        <v>0</v>
      </c>
      <c r="P476">
        <f t="shared" si="159"/>
        <v>0</v>
      </c>
      <c r="Q476">
        <f t="shared" si="175"/>
        <v>475</v>
      </c>
      <c r="R476">
        <f t="shared" si="160"/>
        <v>0</v>
      </c>
      <c r="S476">
        <f>'Loan Prepayment'!$B$6</f>
        <v>7.5</v>
      </c>
      <c r="T476">
        <f>IF(R476&lt;=0,0,MIN(IF(AND('Loan Prepayment'!$E$15="Reduce EMI",W475&gt;0),-PMT(S476/1200,MAX(1,'Loan Prepayment'!$B$7*12-Q476+1),R476),T475),R476+U476))</f>
        <v>0</v>
      </c>
      <c r="U476">
        <f t="shared" si="161"/>
        <v>0</v>
      </c>
      <c r="V476">
        <f t="shared" si="162"/>
        <v>0</v>
      </c>
      <c r="W476">
        <f>IF(R476&lt;=0,0,MIN(MAX(0,R476-V476),0+IF(AND(Q476&gt;='Loan Prepayment'!$B$9,Q476&lt;='Loan Prepayment'!$E$16),'Loan Prepayment'!$B$8,0)))</f>
        <v>0</v>
      </c>
      <c r="X476">
        <f t="shared" si="163"/>
        <v>0</v>
      </c>
      <c r="Y476">
        <f t="shared" si="176"/>
        <v>475</v>
      </c>
      <c r="Z476">
        <f t="shared" si="164"/>
        <v>0</v>
      </c>
      <c r="AA476">
        <f>IF(Y476&gt;='Loan Prepayment'!$E$11,'Loan Prepayment'!$E$12,'Loan Prepayment'!$B$6)</f>
        <v>6.5</v>
      </c>
      <c r="AB476">
        <f>IF(Z476&lt;=0,0,MIN(IF(Y476='Loan Prepayment'!$E$11,IF('Loan Prepayment'!$E$13="Keep tenure, recalculate EMI",-PMT(AA476/1200,MAX(1,'Loan Prepayment'!$B$7*12-Y476+1),Z476),AB475),AB475),Z476+AC476))</f>
        <v>0</v>
      </c>
      <c r="AC476">
        <f t="shared" si="165"/>
        <v>0</v>
      </c>
      <c r="AD476">
        <f t="shared" si="166"/>
        <v>0</v>
      </c>
      <c r="AE476">
        <f t="shared" si="167"/>
        <v>0</v>
      </c>
      <c r="AF476">
        <f t="shared" si="168"/>
        <v>0</v>
      </c>
      <c r="AG476">
        <f t="shared" si="177"/>
        <v>475</v>
      </c>
      <c r="AH476">
        <f t="shared" si="169"/>
        <v>0</v>
      </c>
      <c r="AI476">
        <f>IF(AG476&gt;='Loan Prepayment'!$E$11,'Loan Prepayment'!$E$12,'Loan Prepayment'!$B$6)</f>
        <v>6.5</v>
      </c>
      <c r="AJ476">
        <f>IF(AH476&lt;=0,0,MIN(IF(AG476='Loan Prepayment'!$E$11,IF('Loan Prepayment'!$E$13="Keep tenure, recalculate EMI",-PMT(AI476/1200,MAX(1,'Loan Prepayment'!$B$7*12-AG476+1),AH476),IF(AND('Loan Prepayment'!$E$15="Reduce EMI",AM475&gt;0),-PMT(AI475/1200,MAX(1,'Loan Prepayment'!$B$7*12-AG476+1),AH476),AJ475)),IF(AND('Loan Prepayment'!$E$15="Reduce EMI",AM475&gt;0),-PMT(AI476/1200,MAX(1,'Loan Prepayment'!$B$7*12-AG476+1),AH476),AJ475)),AH476+AK476))</f>
        <v>0</v>
      </c>
      <c r="AK476">
        <f t="shared" si="170"/>
        <v>0</v>
      </c>
      <c r="AL476">
        <f t="shared" si="171"/>
        <v>0</v>
      </c>
      <c r="AM476">
        <f>IF(AH476&lt;=0,0,MIN(MAX(0,AH476-AL476),SUMIFS('Loan Prepayment'!$B$12:$B$31,'Loan Prepayment'!$A$12:$A$31,AG476)+IF(AND(AG476&gt;='Loan Prepayment'!$B$9,AG476&lt;='Loan Prepayment'!$E$16),'Loan Prepayment'!$B$8,0)))</f>
        <v>0</v>
      </c>
      <c r="AN476">
        <f t="shared" si="172"/>
        <v>0</v>
      </c>
    </row>
    <row r="477" spans="1:40" x14ac:dyDescent="0.35">
      <c r="A477">
        <f t="shared" si="173"/>
        <v>476</v>
      </c>
      <c r="B477">
        <f t="shared" si="152"/>
        <v>0</v>
      </c>
      <c r="C477">
        <f>'Loan Prepayment'!$B$6</f>
        <v>7.5</v>
      </c>
      <c r="D477">
        <f>IF(B477&lt;=0,0,MIN(-PMT('Loan Prepayment'!$B$6/1200,'Loan Prepayment'!$B$7*12,'Loan Prepayment'!$B$5),B477+E477))</f>
        <v>0</v>
      </c>
      <c r="E477">
        <f t="shared" si="153"/>
        <v>0</v>
      </c>
      <c r="F477">
        <f t="shared" si="154"/>
        <v>0</v>
      </c>
      <c r="G477">
        <v>0</v>
      </c>
      <c r="H477">
        <f t="shared" si="155"/>
        <v>0</v>
      </c>
      <c r="I477">
        <f t="shared" si="174"/>
        <v>476</v>
      </c>
      <c r="J477">
        <f t="shared" si="156"/>
        <v>0</v>
      </c>
      <c r="K477">
        <f>'Loan Prepayment'!$B$6</f>
        <v>7.5</v>
      </c>
      <c r="L477">
        <f>IF(J477&lt;=0,0,MIN(IF(AND('Loan Prepayment'!$E$15="Reduce EMI",O476&gt;0),-PMT(K477/1200,MAX(1,'Loan Prepayment'!$B$7*12-I477+1),J477),L476),J477+M477))</f>
        <v>0</v>
      </c>
      <c r="M477">
        <f t="shared" si="157"/>
        <v>0</v>
      </c>
      <c r="N477">
        <f t="shared" si="158"/>
        <v>0</v>
      </c>
      <c r="O477">
        <f>IF(J477&lt;=0,0,MIN(MAX(0,J477-N477),SUMIFS('Loan Prepayment'!$B$12:$B$31,'Loan Prepayment'!$A$12:$A$31,I477)+0))</f>
        <v>0</v>
      </c>
      <c r="P477">
        <f t="shared" si="159"/>
        <v>0</v>
      </c>
      <c r="Q477">
        <f t="shared" si="175"/>
        <v>476</v>
      </c>
      <c r="R477">
        <f t="shared" si="160"/>
        <v>0</v>
      </c>
      <c r="S477">
        <f>'Loan Prepayment'!$B$6</f>
        <v>7.5</v>
      </c>
      <c r="T477">
        <f>IF(R477&lt;=0,0,MIN(IF(AND('Loan Prepayment'!$E$15="Reduce EMI",W476&gt;0),-PMT(S477/1200,MAX(1,'Loan Prepayment'!$B$7*12-Q477+1),R477),T476),R477+U477))</f>
        <v>0</v>
      </c>
      <c r="U477">
        <f t="shared" si="161"/>
        <v>0</v>
      </c>
      <c r="V477">
        <f t="shared" si="162"/>
        <v>0</v>
      </c>
      <c r="W477">
        <f>IF(R477&lt;=0,0,MIN(MAX(0,R477-V477),0+IF(AND(Q477&gt;='Loan Prepayment'!$B$9,Q477&lt;='Loan Prepayment'!$E$16),'Loan Prepayment'!$B$8,0)))</f>
        <v>0</v>
      </c>
      <c r="X477">
        <f t="shared" si="163"/>
        <v>0</v>
      </c>
      <c r="Y477">
        <f t="shared" si="176"/>
        <v>476</v>
      </c>
      <c r="Z477">
        <f t="shared" si="164"/>
        <v>0</v>
      </c>
      <c r="AA477">
        <f>IF(Y477&gt;='Loan Prepayment'!$E$11,'Loan Prepayment'!$E$12,'Loan Prepayment'!$B$6)</f>
        <v>6.5</v>
      </c>
      <c r="AB477">
        <f>IF(Z477&lt;=0,0,MIN(IF(Y477='Loan Prepayment'!$E$11,IF('Loan Prepayment'!$E$13="Keep tenure, recalculate EMI",-PMT(AA477/1200,MAX(1,'Loan Prepayment'!$B$7*12-Y477+1),Z477),AB476),AB476),Z477+AC477))</f>
        <v>0</v>
      </c>
      <c r="AC477">
        <f t="shared" si="165"/>
        <v>0</v>
      </c>
      <c r="AD477">
        <f t="shared" si="166"/>
        <v>0</v>
      </c>
      <c r="AE477">
        <f t="shared" si="167"/>
        <v>0</v>
      </c>
      <c r="AF477">
        <f t="shared" si="168"/>
        <v>0</v>
      </c>
      <c r="AG477">
        <f t="shared" si="177"/>
        <v>476</v>
      </c>
      <c r="AH477">
        <f t="shared" si="169"/>
        <v>0</v>
      </c>
      <c r="AI477">
        <f>IF(AG477&gt;='Loan Prepayment'!$E$11,'Loan Prepayment'!$E$12,'Loan Prepayment'!$B$6)</f>
        <v>6.5</v>
      </c>
      <c r="AJ477">
        <f>IF(AH477&lt;=0,0,MIN(IF(AG477='Loan Prepayment'!$E$11,IF('Loan Prepayment'!$E$13="Keep tenure, recalculate EMI",-PMT(AI477/1200,MAX(1,'Loan Prepayment'!$B$7*12-AG477+1),AH477),IF(AND('Loan Prepayment'!$E$15="Reduce EMI",AM476&gt;0),-PMT(AI476/1200,MAX(1,'Loan Prepayment'!$B$7*12-AG477+1),AH477),AJ476)),IF(AND('Loan Prepayment'!$E$15="Reduce EMI",AM476&gt;0),-PMT(AI477/1200,MAX(1,'Loan Prepayment'!$B$7*12-AG477+1),AH477),AJ476)),AH477+AK477))</f>
        <v>0</v>
      </c>
      <c r="AK477">
        <f t="shared" si="170"/>
        <v>0</v>
      </c>
      <c r="AL477">
        <f t="shared" si="171"/>
        <v>0</v>
      </c>
      <c r="AM477">
        <f>IF(AH477&lt;=0,0,MIN(MAX(0,AH477-AL477),SUMIFS('Loan Prepayment'!$B$12:$B$31,'Loan Prepayment'!$A$12:$A$31,AG477)+IF(AND(AG477&gt;='Loan Prepayment'!$B$9,AG477&lt;='Loan Prepayment'!$E$16),'Loan Prepayment'!$B$8,0)))</f>
        <v>0</v>
      </c>
      <c r="AN477">
        <f t="shared" si="172"/>
        <v>0</v>
      </c>
    </row>
    <row r="478" spans="1:40" x14ac:dyDescent="0.35">
      <c r="A478">
        <f t="shared" si="173"/>
        <v>477</v>
      </c>
      <c r="B478">
        <f t="shared" si="152"/>
        <v>0</v>
      </c>
      <c r="C478">
        <f>'Loan Prepayment'!$B$6</f>
        <v>7.5</v>
      </c>
      <c r="D478">
        <f>IF(B478&lt;=0,0,MIN(-PMT('Loan Prepayment'!$B$6/1200,'Loan Prepayment'!$B$7*12,'Loan Prepayment'!$B$5),B478+E478))</f>
        <v>0</v>
      </c>
      <c r="E478">
        <f t="shared" si="153"/>
        <v>0</v>
      </c>
      <c r="F478">
        <f t="shared" si="154"/>
        <v>0</v>
      </c>
      <c r="G478">
        <v>0</v>
      </c>
      <c r="H478">
        <f t="shared" si="155"/>
        <v>0</v>
      </c>
      <c r="I478">
        <f t="shared" si="174"/>
        <v>477</v>
      </c>
      <c r="J478">
        <f t="shared" si="156"/>
        <v>0</v>
      </c>
      <c r="K478">
        <f>'Loan Prepayment'!$B$6</f>
        <v>7.5</v>
      </c>
      <c r="L478">
        <f>IF(J478&lt;=0,0,MIN(IF(AND('Loan Prepayment'!$E$15="Reduce EMI",O477&gt;0),-PMT(K478/1200,MAX(1,'Loan Prepayment'!$B$7*12-I478+1),J478),L477),J478+M478))</f>
        <v>0</v>
      </c>
      <c r="M478">
        <f t="shared" si="157"/>
        <v>0</v>
      </c>
      <c r="N478">
        <f t="shared" si="158"/>
        <v>0</v>
      </c>
      <c r="O478">
        <f>IF(J478&lt;=0,0,MIN(MAX(0,J478-N478),SUMIFS('Loan Prepayment'!$B$12:$B$31,'Loan Prepayment'!$A$12:$A$31,I478)+0))</f>
        <v>0</v>
      </c>
      <c r="P478">
        <f t="shared" si="159"/>
        <v>0</v>
      </c>
      <c r="Q478">
        <f t="shared" si="175"/>
        <v>477</v>
      </c>
      <c r="R478">
        <f t="shared" si="160"/>
        <v>0</v>
      </c>
      <c r="S478">
        <f>'Loan Prepayment'!$B$6</f>
        <v>7.5</v>
      </c>
      <c r="T478">
        <f>IF(R478&lt;=0,0,MIN(IF(AND('Loan Prepayment'!$E$15="Reduce EMI",W477&gt;0),-PMT(S478/1200,MAX(1,'Loan Prepayment'!$B$7*12-Q478+1),R478),T477),R478+U478))</f>
        <v>0</v>
      </c>
      <c r="U478">
        <f t="shared" si="161"/>
        <v>0</v>
      </c>
      <c r="V478">
        <f t="shared" si="162"/>
        <v>0</v>
      </c>
      <c r="W478">
        <f>IF(R478&lt;=0,0,MIN(MAX(0,R478-V478),0+IF(AND(Q478&gt;='Loan Prepayment'!$B$9,Q478&lt;='Loan Prepayment'!$E$16),'Loan Prepayment'!$B$8,0)))</f>
        <v>0</v>
      </c>
      <c r="X478">
        <f t="shared" si="163"/>
        <v>0</v>
      </c>
      <c r="Y478">
        <f t="shared" si="176"/>
        <v>477</v>
      </c>
      <c r="Z478">
        <f t="shared" si="164"/>
        <v>0</v>
      </c>
      <c r="AA478">
        <f>IF(Y478&gt;='Loan Prepayment'!$E$11,'Loan Prepayment'!$E$12,'Loan Prepayment'!$B$6)</f>
        <v>6.5</v>
      </c>
      <c r="AB478">
        <f>IF(Z478&lt;=0,0,MIN(IF(Y478='Loan Prepayment'!$E$11,IF('Loan Prepayment'!$E$13="Keep tenure, recalculate EMI",-PMT(AA478/1200,MAX(1,'Loan Prepayment'!$B$7*12-Y478+1),Z478),AB477),AB477),Z478+AC478))</f>
        <v>0</v>
      </c>
      <c r="AC478">
        <f t="shared" si="165"/>
        <v>0</v>
      </c>
      <c r="AD478">
        <f t="shared" si="166"/>
        <v>0</v>
      </c>
      <c r="AE478">
        <f t="shared" si="167"/>
        <v>0</v>
      </c>
      <c r="AF478">
        <f t="shared" si="168"/>
        <v>0</v>
      </c>
      <c r="AG478">
        <f t="shared" si="177"/>
        <v>477</v>
      </c>
      <c r="AH478">
        <f t="shared" si="169"/>
        <v>0</v>
      </c>
      <c r="AI478">
        <f>IF(AG478&gt;='Loan Prepayment'!$E$11,'Loan Prepayment'!$E$12,'Loan Prepayment'!$B$6)</f>
        <v>6.5</v>
      </c>
      <c r="AJ478">
        <f>IF(AH478&lt;=0,0,MIN(IF(AG478='Loan Prepayment'!$E$11,IF('Loan Prepayment'!$E$13="Keep tenure, recalculate EMI",-PMT(AI478/1200,MAX(1,'Loan Prepayment'!$B$7*12-AG478+1),AH478),IF(AND('Loan Prepayment'!$E$15="Reduce EMI",AM477&gt;0),-PMT(AI477/1200,MAX(1,'Loan Prepayment'!$B$7*12-AG478+1),AH478),AJ477)),IF(AND('Loan Prepayment'!$E$15="Reduce EMI",AM477&gt;0),-PMT(AI478/1200,MAX(1,'Loan Prepayment'!$B$7*12-AG478+1),AH478),AJ477)),AH478+AK478))</f>
        <v>0</v>
      </c>
      <c r="AK478">
        <f t="shared" si="170"/>
        <v>0</v>
      </c>
      <c r="AL478">
        <f t="shared" si="171"/>
        <v>0</v>
      </c>
      <c r="AM478">
        <f>IF(AH478&lt;=0,0,MIN(MAX(0,AH478-AL478),SUMIFS('Loan Prepayment'!$B$12:$B$31,'Loan Prepayment'!$A$12:$A$31,AG478)+IF(AND(AG478&gt;='Loan Prepayment'!$B$9,AG478&lt;='Loan Prepayment'!$E$16),'Loan Prepayment'!$B$8,0)))</f>
        <v>0</v>
      </c>
      <c r="AN478">
        <f t="shared" si="172"/>
        <v>0</v>
      </c>
    </row>
    <row r="479" spans="1:40" x14ac:dyDescent="0.35">
      <c r="A479">
        <f t="shared" si="173"/>
        <v>478</v>
      </c>
      <c r="B479">
        <f t="shared" si="152"/>
        <v>0</v>
      </c>
      <c r="C479">
        <f>'Loan Prepayment'!$B$6</f>
        <v>7.5</v>
      </c>
      <c r="D479">
        <f>IF(B479&lt;=0,0,MIN(-PMT('Loan Prepayment'!$B$6/1200,'Loan Prepayment'!$B$7*12,'Loan Prepayment'!$B$5),B479+E479))</f>
        <v>0</v>
      </c>
      <c r="E479">
        <f t="shared" si="153"/>
        <v>0</v>
      </c>
      <c r="F479">
        <f t="shared" si="154"/>
        <v>0</v>
      </c>
      <c r="G479">
        <v>0</v>
      </c>
      <c r="H479">
        <f t="shared" si="155"/>
        <v>0</v>
      </c>
      <c r="I479">
        <f t="shared" si="174"/>
        <v>478</v>
      </c>
      <c r="J479">
        <f t="shared" si="156"/>
        <v>0</v>
      </c>
      <c r="K479">
        <f>'Loan Prepayment'!$B$6</f>
        <v>7.5</v>
      </c>
      <c r="L479">
        <f>IF(J479&lt;=0,0,MIN(IF(AND('Loan Prepayment'!$E$15="Reduce EMI",O478&gt;0),-PMT(K479/1200,MAX(1,'Loan Prepayment'!$B$7*12-I479+1),J479),L478),J479+M479))</f>
        <v>0</v>
      </c>
      <c r="M479">
        <f t="shared" si="157"/>
        <v>0</v>
      </c>
      <c r="N479">
        <f t="shared" si="158"/>
        <v>0</v>
      </c>
      <c r="O479">
        <f>IF(J479&lt;=0,0,MIN(MAX(0,J479-N479),SUMIFS('Loan Prepayment'!$B$12:$B$31,'Loan Prepayment'!$A$12:$A$31,I479)+0))</f>
        <v>0</v>
      </c>
      <c r="P479">
        <f t="shared" si="159"/>
        <v>0</v>
      </c>
      <c r="Q479">
        <f t="shared" si="175"/>
        <v>478</v>
      </c>
      <c r="R479">
        <f t="shared" si="160"/>
        <v>0</v>
      </c>
      <c r="S479">
        <f>'Loan Prepayment'!$B$6</f>
        <v>7.5</v>
      </c>
      <c r="T479">
        <f>IF(R479&lt;=0,0,MIN(IF(AND('Loan Prepayment'!$E$15="Reduce EMI",W478&gt;0),-PMT(S479/1200,MAX(1,'Loan Prepayment'!$B$7*12-Q479+1),R479),T478),R479+U479))</f>
        <v>0</v>
      </c>
      <c r="U479">
        <f t="shared" si="161"/>
        <v>0</v>
      </c>
      <c r="V479">
        <f t="shared" si="162"/>
        <v>0</v>
      </c>
      <c r="W479">
        <f>IF(R479&lt;=0,0,MIN(MAX(0,R479-V479),0+IF(AND(Q479&gt;='Loan Prepayment'!$B$9,Q479&lt;='Loan Prepayment'!$E$16),'Loan Prepayment'!$B$8,0)))</f>
        <v>0</v>
      </c>
      <c r="X479">
        <f t="shared" si="163"/>
        <v>0</v>
      </c>
      <c r="Y479">
        <f t="shared" si="176"/>
        <v>478</v>
      </c>
      <c r="Z479">
        <f t="shared" si="164"/>
        <v>0</v>
      </c>
      <c r="AA479">
        <f>IF(Y479&gt;='Loan Prepayment'!$E$11,'Loan Prepayment'!$E$12,'Loan Prepayment'!$B$6)</f>
        <v>6.5</v>
      </c>
      <c r="AB479">
        <f>IF(Z479&lt;=0,0,MIN(IF(Y479='Loan Prepayment'!$E$11,IF('Loan Prepayment'!$E$13="Keep tenure, recalculate EMI",-PMT(AA479/1200,MAX(1,'Loan Prepayment'!$B$7*12-Y479+1),Z479),AB478),AB478),Z479+AC479))</f>
        <v>0</v>
      </c>
      <c r="AC479">
        <f t="shared" si="165"/>
        <v>0</v>
      </c>
      <c r="AD479">
        <f t="shared" si="166"/>
        <v>0</v>
      </c>
      <c r="AE479">
        <f t="shared" si="167"/>
        <v>0</v>
      </c>
      <c r="AF479">
        <f t="shared" si="168"/>
        <v>0</v>
      </c>
      <c r="AG479">
        <f t="shared" si="177"/>
        <v>478</v>
      </c>
      <c r="AH479">
        <f t="shared" si="169"/>
        <v>0</v>
      </c>
      <c r="AI479">
        <f>IF(AG479&gt;='Loan Prepayment'!$E$11,'Loan Prepayment'!$E$12,'Loan Prepayment'!$B$6)</f>
        <v>6.5</v>
      </c>
      <c r="AJ479">
        <f>IF(AH479&lt;=0,0,MIN(IF(AG479='Loan Prepayment'!$E$11,IF('Loan Prepayment'!$E$13="Keep tenure, recalculate EMI",-PMT(AI479/1200,MAX(1,'Loan Prepayment'!$B$7*12-AG479+1),AH479),IF(AND('Loan Prepayment'!$E$15="Reduce EMI",AM478&gt;0),-PMT(AI478/1200,MAX(1,'Loan Prepayment'!$B$7*12-AG479+1),AH479),AJ478)),IF(AND('Loan Prepayment'!$E$15="Reduce EMI",AM478&gt;0),-PMT(AI479/1200,MAX(1,'Loan Prepayment'!$B$7*12-AG479+1),AH479),AJ478)),AH479+AK479))</f>
        <v>0</v>
      </c>
      <c r="AK479">
        <f t="shared" si="170"/>
        <v>0</v>
      </c>
      <c r="AL479">
        <f t="shared" si="171"/>
        <v>0</v>
      </c>
      <c r="AM479">
        <f>IF(AH479&lt;=0,0,MIN(MAX(0,AH479-AL479),SUMIFS('Loan Prepayment'!$B$12:$B$31,'Loan Prepayment'!$A$12:$A$31,AG479)+IF(AND(AG479&gt;='Loan Prepayment'!$B$9,AG479&lt;='Loan Prepayment'!$E$16),'Loan Prepayment'!$B$8,0)))</f>
        <v>0</v>
      </c>
      <c r="AN479">
        <f t="shared" si="172"/>
        <v>0</v>
      </c>
    </row>
    <row r="480" spans="1:40" x14ac:dyDescent="0.35">
      <c r="A480">
        <f t="shared" si="173"/>
        <v>479</v>
      </c>
      <c r="B480">
        <f t="shared" si="152"/>
        <v>0</v>
      </c>
      <c r="C480">
        <f>'Loan Prepayment'!$B$6</f>
        <v>7.5</v>
      </c>
      <c r="D480">
        <f>IF(B480&lt;=0,0,MIN(-PMT('Loan Prepayment'!$B$6/1200,'Loan Prepayment'!$B$7*12,'Loan Prepayment'!$B$5),B480+E480))</f>
        <v>0</v>
      </c>
      <c r="E480">
        <f t="shared" si="153"/>
        <v>0</v>
      </c>
      <c r="F480">
        <f t="shared" si="154"/>
        <v>0</v>
      </c>
      <c r="G480">
        <v>0</v>
      </c>
      <c r="H480">
        <f t="shared" si="155"/>
        <v>0</v>
      </c>
      <c r="I480">
        <f t="shared" si="174"/>
        <v>479</v>
      </c>
      <c r="J480">
        <f t="shared" si="156"/>
        <v>0</v>
      </c>
      <c r="K480">
        <f>'Loan Prepayment'!$B$6</f>
        <v>7.5</v>
      </c>
      <c r="L480">
        <f>IF(J480&lt;=0,0,MIN(IF(AND('Loan Prepayment'!$E$15="Reduce EMI",O479&gt;0),-PMT(K480/1200,MAX(1,'Loan Prepayment'!$B$7*12-I480+1),J480),L479),J480+M480))</f>
        <v>0</v>
      </c>
      <c r="M480">
        <f t="shared" si="157"/>
        <v>0</v>
      </c>
      <c r="N480">
        <f t="shared" si="158"/>
        <v>0</v>
      </c>
      <c r="O480">
        <f>IF(J480&lt;=0,0,MIN(MAX(0,J480-N480),SUMIFS('Loan Prepayment'!$B$12:$B$31,'Loan Prepayment'!$A$12:$A$31,I480)+0))</f>
        <v>0</v>
      </c>
      <c r="P480">
        <f t="shared" si="159"/>
        <v>0</v>
      </c>
      <c r="Q480">
        <f t="shared" si="175"/>
        <v>479</v>
      </c>
      <c r="R480">
        <f t="shared" si="160"/>
        <v>0</v>
      </c>
      <c r="S480">
        <f>'Loan Prepayment'!$B$6</f>
        <v>7.5</v>
      </c>
      <c r="T480">
        <f>IF(R480&lt;=0,0,MIN(IF(AND('Loan Prepayment'!$E$15="Reduce EMI",W479&gt;0),-PMT(S480/1200,MAX(1,'Loan Prepayment'!$B$7*12-Q480+1),R480),T479),R480+U480))</f>
        <v>0</v>
      </c>
      <c r="U480">
        <f t="shared" si="161"/>
        <v>0</v>
      </c>
      <c r="V480">
        <f t="shared" si="162"/>
        <v>0</v>
      </c>
      <c r="W480">
        <f>IF(R480&lt;=0,0,MIN(MAX(0,R480-V480),0+IF(AND(Q480&gt;='Loan Prepayment'!$B$9,Q480&lt;='Loan Prepayment'!$E$16),'Loan Prepayment'!$B$8,0)))</f>
        <v>0</v>
      </c>
      <c r="X480">
        <f t="shared" si="163"/>
        <v>0</v>
      </c>
      <c r="Y480">
        <f t="shared" si="176"/>
        <v>479</v>
      </c>
      <c r="Z480">
        <f t="shared" si="164"/>
        <v>0</v>
      </c>
      <c r="AA480">
        <f>IF(Y480&gt;='Loan Prepayment'!$E$11,'Loan Prepayment'!$E$12,'Loan Prepayment'!$B$6)</f>
        <v>6.5</v>
      </c>
      <c r="AB480">
        <f>IF(Z480&lt;=0,0,MIN(IF(Y480='Loan Prepayment'!$E$11,IF('Loan Prepayment'!$E$13="Keep tenure, recalculate EMI",-PMT(AA480/1200,MAX(1,'Loan Prepayment'!$B$7*12-Y480+1),Z480),AB479),AB479),Z480+AC480))</f>
        <v>0</v>
      </c>
      <c r="AC480">
        <f t="shared" si="165"/>
        <v>0</v>
      </c>
      <c r="AD480">
        <f t="shared" si="166"/>
        <v>0</v>
      </c>
      <c r="AE480">
        <f t="shared" si="167"/>
        <v>0</v>
      </c>
      <c r="AF480">
        <f t="shared" si="168"/>
        <v>0</v>
      </c>
      <c r="AG480">
        <f t="shared" si="177"/>
        <v>479</v>
      </c>
      <c r="AH480">
        <f t="shared" si="169"/>
        <v>0</v>
      </c>
      <c r="AI480">
        <f>IF(AG480&gt;='Loan Prepayment'!$E$11,'Loan Prepayment'!$E$12,'Loan Prepayment'!$B$6)</f>
        <v>6.5</v>
      </c>
      <c r="AJ480">
        <f>IF(AH480&lt;=0,0,MIN(IF(AG480='Loan Prepayment'!$E$11,IF('Loan Prepayment'!$E$13="Keep tenure, recalculate EMI",-PMT(AI480/1200,MAX(1,'Loan Prepayment'!$B$7*12-AG480+1),AH480),IF(AND('Loan Prepayment'!$E$15="Reduce EMI",AM479&gt;0),-PMT(AI479/1200,MAX(1,'Loan Prepayment'!$B$7*12-AG480+1),AH480),AJ479)),IF(AND('Loan Prepayment'!$E$15="Reduce EMI",AM479&gt;0),-PMT(AI480/1200,MAX(1,'Loan Prepayment'!$B$7*12-AG480+1),AH480),AJ479)),AH480+AK480))</f>
        <v>0</v>
      </c>
      <c r="AK480">
        <f t="shared" si="170"/>
        <v>0</v>
      </c>
      <c r="AL480">
        <f t="shared" si="171"/>
        <v>0</v>
      </c>
      <c r="AM480">
        <f>IF(AH480&lt;=0,0,MIN(MAX(0,AH480-AL480),SUMIFS('Loan Prepayment'!$B$12:$B$31,'Loan Prepayment'!$A$12:$A$31,AG480)+IF(AND(AG480&gt;='Loan Prepayment'!$B$9,AG480&lt;='Loan Prepayment'!$E$16),'Loan Prepayment'!$B$8,0)))</f>
        <v>0</v>
      </c>
      <c r="AN480">
        <f t="shared" si="172"/>
        <v>0</v>
      </c>
    </row>
    <row r="481" spans="1:40" x14ac:dyDescent="0.35">
      <c r="A481">
        <f t="shared" si="173"/>
        <v>480</v>
      </c>
      <c r="B481">
        <f t="shared" si="152"/>
        <v>0</v>
      </c>
      <c r="C481">
        <f>'Loan Prepayment'!$B$6</f>
        <v>7.5</v>
      </c>
      <c r="D481">
        <f>IF(B481&lt;=0,0,MIN(-PMT('Loan Prepayment'!$B$6/1200,'Loan Prepayment'!$B$7*12,'Loan Prepayment'!$B$5),B481+E481))</f>
        <v>0</v>
      </c>
      <c r="E481">
        <f t="shared" si="153"/>
        <v>0</v>
      </c>
      <c r="F481">
        <f t="shared" si="154"/>
        <v>0</v>
      </c>
      <c r="G481">
        <v>0</v>
      </c>
      <c r="H481">
        <f t="shared" si="155"/>
        <v>0</v>
      </c>
      <c r="I481">
        <f t="shared" si="174"/>
        <v>480</v>
      </c>
      <c r="J481">
        <f t="shared" si="156"/>
        <v>0</v>
      </c>
      <c r="K481">
        <f>'Loan Prepayment'!$B$6</f>
        <v>7.5</v>
      </c>
      <c r="L481">
        <f>IF(J481&lt;=0,0,MIN(IF(AND('Loan Prepayment'!$E$15="Reduce EMI",O480&gt;0),-PMT(K481/1200,MAX(1,'Loan Prepayment'!$B$7*12-I481+1),J481),L480),J481+M481))</f>
        <v>0</v>
      </c>
      <c r="M481">
        <f t="shared" si="157"/>
        <v>0</v>
      </c>
      <c r="N481">
        <f t="shared" si="158"/>
        <v>0</v>
      </c>
      <c r="O481">
        <f>IF(J481&lt;=0,0,MIN(MAX(0,J481-N481),SUMIFS('Loan Prepayment'!$B$12:$B$31,'Loan Prepayment'!$A$12:$A$31,I481)+0))</f>
        <v>0</v>
      </c>
      <c r="P481">
        <f t="shared" si="159"/>
        <v>0</v>
      </c>
      <c r="Q481">
        <f t="shared" si="175"/>
        <v>480</v>
      </c>
      <c r="R481">
        <f t="shared" si="160"/>
        <v>0</v>
      </c>
      <c r="S481">
        <f>'Loan Prepayment'!$B$6</f>
        <v>7.5</v>
      </c>
      <c r="T481">
        <f>IF(R481&lt;=0,0,MIN(IF(AND('Loan Prepayment'!$E$15="Reduce EMI",W480&gt;0),-PMT(S481/1200,MAX(1,'Loan Prepayment'!$B$7*12-Q481+1),R481),T480),R481+U481))</f>
        <v>0</v>
      </c>
      <c r="U481">
        <f t="shared" si="161"/>
        <v>0</v>
      </c>
      <c r="V481">
        <f t="shared" si="162"/>
        <v>0</v>
      </c>
      <c r="W481">
        <f>IF(R481&lt;=0,0,MIN(MAX(0,R481-V481),0+IF(AND(Q481&gt;='Loan Prepayment'!$B$9,Q481&lt;='Loan Prepayment'!$E$16),'Loan Prepayment'!$B$8,0)))</f>
        <v>0</v>
      </c>
      <c r="X481">
        <f t="shared" si="163"/>
        <v>0</v>
      </c>
      <c r="Y481">
        <f t="shared" si="176"/>
        <v>480</v>
      </c>
      <c r="Z481">
        <f t="shared" si="164"/>
        <v>0</v>
      </c>
      <c r="AA481">
        <f>IF(Y481&gt;='Loan Prepayment'!$E$11,'Loan Prepayment'!$E$12,'Loan Prepayment'!$B$6)</f>
        <v>6.5</v>
      </c>
      <c r="AB481">
        <f>IF(Z481&lt;=0,0,MIN(IF(Y481='Loan Prepayment'!$E$11,IF('Loan Prepayment'!$E$13="Keep tenure, recalculate EMI",-PMT(AA481/1200,MAX(1,'Loan Prepayment'!$B$7*12-Y481+1),Z481),AB480),AB480),Z481+AC481))</f>
        <v>0</v>
      </c>
      <c r="AC481">
        <f t="shared" si="165"/>
        <v>0</v>
      </c>
      <c r="AD481">
        <f t="shared" si="166"/>
        <v>0</v>
      </c>
      <c r="AE481">
        <f t="shared" si="167"/>
        <v>0</v>
      </c>
      <c r="AF481">
        <f t="shared" si="168"/>
        <v>0</v>
      </c>
      <c r="AG481">
        <f t="shared" si="177"/>
        <v>480</v>
      </c>
      <c r="AH481">
        <f t="shared" si="169"/>
        <v>0</v>
      </c>
      <c r="AI481">
        <f>IF(AG481&gt;='Loan Prepayment'!$E$11,'Loan Prepayment'!$E$12,'Loan Prepayment'!$B$6)</f>
        <v>6.5</v>
      </c>
      <c r="AJ481">
        <f>IF(AH481&lt;=0,0,MIN(IF(AG481='Loan Prepayment'!$E$11,IF('Loan Prepayment'!$E$13="Keep tenure, recalculate EMI",-PMT(AI481/1200,MAX(1,'Loan Prepayment'!$B$7*12-AG481+1),AH481),IF(AND('Loan Prepayment'!$E$15="Reduce EMI",AM480&gt;0),-PMT(AI480/1200,MAX(1,'Loan Prepayment'!$B$7*12-AG481+1),AH481),AJ480)),IF(AND('Loan Prepayment'!$E$15="Reduce EMI",AM480&gt;0),-PMT(AI481/1200,MAX(1,'Loan Prepayment'!$B$7*12-AG481+1),AH481),AJ480)),AH481+AK481))</f>
        <v>0</v>
      </c>
      <c r="AK481">
        <f t="shared" si="170"/>
        <v>0</v>
      </c>
      <c r="AL481">
        <f t="shared" si="171"/>
        <v>0</v>
      </c>
      <c r="AM481">
        <f>IF(AH481&lt;=0,0,MIN(MAX(0,AH481-AL481),SUMIFS('Loan Prepayment'!$B$12:$B$31,'Loan Prepayment'!$A$12:$A$31,AG481)+IF(AND(AG481&gt;='Loan Prepayment'!$B$9,AG481&lt;='Loan Prepayment'!$E$16),'Loan Prepayment'!$B$8,0)))</f>
        <v>0</v>
      </c>
      <c r="AN481">
        <f t="shared" si="17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0948-9BD4-42B3-95A1-C36943AC3EF8}">
  <dimension ref="A1:P53"/>
  <sheetViews>
    <sheetView zoomScale="85" zoomScaleNormal="85" workbookViewId="0">
      <pane ySplit="17" topLeftCell="A18" activePane="bottomLeft" state="frozen"/>
      <selection pane="bottomLeft" activeCell="G13" sqref="G13"/>
    </sheetView>
  </sheetViews>
  <sheetFormatPr defaultRowHeight="14.5" x14ac:dyDescent="0.35"/>
  <cols>
    <col min="1" max="1" width="34.54296875" customWidth="1"/>
    <col min="2" max="2" width="22.7265625" customWidth="1"/>
    <col min="3" max="3" width="18.1796875" customWidth="1"/>
    <col min="4" max="4" width="34.54296875" customWidth="1"/>
    <col min="5" max="5" width="20.90625" customWidth="1"/>
    <col min="6" max="9" width="22.7265625" customWidth="1"/>
    <col min="10" max="10" width="14.54296875" customWidth="1"/>
    <col min="11" max="12" width="23.6328125" customWidth="1"/>
    <col min="13" max="16" width="0" hidden="1" customWidth="1"/>
  </cols>
  <sheetData>
    <row r="1" spans="1:12" ht="32" customHeight="1" x14ac:dyDescent="0.35">
      <c r="A1" s="304" t="s">
        <v>386</v>
      </c>
      <c r="B1" s="304"/>
      <c r="C1" s="304"/>
      <c r="D1" s="304"/>
      <c r="E1" s="304"/>
      <c r="F1" s="304"/>
      <c r="G1" s="304"/>
      <c r="H1" s="304"/>
      <c r="I1" s="304"/>
      <c r="J1" s="304"/>
      <c r="K1" s="304"/>
      <c r="L1" s="304"/>
    </row>
    <row r="2" spans="1:12" ht="28" customHeight="1" x14ac:dyDescent="0.35">
      <c r="A2" s="299" t="s">
        <v>387</v>
      </c>
      <c r="B2" s="299"/>
      <c r="C2" s="299"/>
      <c r="D2" s="299"/>
      <c r="E2" s="299"/>
      <c r="F2" s="299"/>
      <c r="G2" s="299"/>
      <c r="H2" s="299"/>
      <c r="I2" s="299"/>
      <c r="J2" s="299"/>
      <c r="K2" s="299"/>
      <c r="L2" s="299"/>
    </row>
    <row r="3" spans="1:12" ht="19" customHeight="1" x14ac:dyDescent="0.35">
      <c r="A3" s="67"/>
      <c r="B3" s="67"/>
      <c r="C3" s="67"/>
      <c r="D3" s="67"/>
      <c r="E3" s="67"/>
      <c r="F3" s="67"/>
      <c r="G3" s="67"/>
      <c r="H3" s="67"/>
      <c r="I3" s="67"/>
      <c r="J3" s="67"/>
      <c r="K3" s="67"/>
      <c r="L3" s="67"/>
    </row>
    <row r="4" spans="1:12" ht="23" customHeight="1" x14ac:dyDescent="0.35">
      <c r="A4" s="297" t="s">
        <v>388</v>
      </c>
      <c r="B4" s="297"/>
      <c r="C4" s="67"/>
      <c r="D4" s="297" t="s">
        <v>389</v>
      </c>
      <c r="E4" s="297"/>
      <c r="F4" s="297"/>
      <c r="G4" s="67"/>
      <c r="H4" s="297" t="s">
        <v>180</v>
      </c>
      <c r="I4" s="297"/>
      <c r="J4" s="297"/>
      <c r="K4" s="297"/>
      <c r="L4" s="297"/>
    </row>
    <row r="5" spans="1:12" ht="35" customHeight="1" x14ac:dyDescent="0.35">
      <c r="A5" s="76" t="s">
        <v>390</v>
      </c>
      <c r="B5" s="73" t="s">
        <v>286</v>
      </c>
      <c r="C5" s="67"/>
      <c r="D5" s="109" t="s">
        <v>396</v>
      </c>
      <c r="E5" s="88">
        <f>$B$6*(1+$B$8/100)^$B$7</f>
        <v>32071354.722128481</v>
      </c>
      <c r="F5" s="67"/>
      <c r="G5" s="67"/>
      <c r="H5" s="301" t="s">
        <v>405</v>
      </c>
      <c r="I5" s="301"/>
      <c r="J5" s="301"/>
      <c r="K5" s="301"/>
      <c r="L5" s="301"/>
    </row>
    <row r="6" spans="1:12" ht="35" customHeight="1" x14ac:dyDescent="0.35">
      <c r="A6" s="76" t="s">
        <v>391</v>
      </c>
      <c r="B6" s="77">
        <v>10000000</v>
      </c>
      <c r="C6" s="67"/>
      <c r="D6" s="109" t="s">
        <v>397</v>
      </c>
      <c r="E6" s="88">
        <f>$B$9*(1+$B$10/1200)^($B$7*12)</f>
        <v>0</v>
      </c>
      <c r="F6" s="67"/>
      <c r="G6" s="67"/>
      <c r="H6" s="301" t="s">
        <v>406</v>
      </c>
      <c r="I6" s="301"/>
      <c r="J6" s="301"/>
      <c r="K6" s="301"/>
      <c r="L6" s="301"/>
    </row>
    <row r="7" spans="1:12" ht="35" customHeight="1" x14ac:dyDescent="0.35">
      <c r="A7" s="76" t="s">
        <v>392</v>
      </c>
      <c r="B7" s="71">
        <v>20</v>
      </c>
      <c r="C7" s="67"/>
      <c r="D7" s="109" t="s">
        <v>398</v>
      </c>
      <c r="E7" s="110">
        <f>IF($N$52&lt;=$B$13,$N$51,$N$53)</f>
        <v>17720.678956634547</v>
      </c>
      <c r="F7" s="67"/>
      <c r="G7" s="67"/>
      <c r="H7" s="301" t="s">
        <v>407</v>
      </c>
      <c r="I7" s="301"/>
      <c r="J7" s="301"/>
      <c r="K7" s="301"/>
      <c r="L7" s="301"/>
    </row>
    <row r="8" spans="1:12" ht="35" customHeight="1" x14ac:dyDescent="0.35">
      <c r="A8" s="76" t="s">
        <v>184</v>
      </c>
      <c r="B8" s="72">
        <f>'Common Assumptions'!$B$5</f>
        <v>6</v>
      </c>
      <c r="C8" s="67"/>
      <c r="D8" s="109" t="s">
        <v>399</v>
      </c>
      <c r="E8" s="88">
        <f>$E$7*12</f>
        <v>212648.14747961456</v>
      </c>
      <c r="F8" s="67"/>
      <c r="G8" s="67"/>
      <c r="H8" s="301" t="s">
        <v>408</v>
      </c>
      <c r="I8" s="301"/>
      <c r="J8" s="301"/>
      <c r="K8" s="301"/>
      <c r="L8" s="301"/>
    </row>
    <row r="9" spans="1:12" ht="35" customHeight="1" x14ac:dyDescent="0.35">
      <c r="A9" s="76" t="s">
        <v>393</v>
      </c>
      <c r="B9" s="77">
        <v>0</v>
      </c>
      <c r="C9" s="67"/>
      <c r="D9" s="109" t="s">
        <v>400</v>
      </c>
      <c r="E9" s="88">
        <f>$E$7*(1+$B$11/100)^($B$7-1)</f>
        <v>108378.06071161301</v>
      </c>
      <c r="F9" s="67"/>
      <c r="G9" s="67"/>
      <c r="H9" s="301" t="s">
        <v>409</v>
      </c>
      <c r="I9" s="301"/>
      <c r="J9" s="301"/>
      <c r="K9" s="301"/>
      <c r="L9" s="301"/>
    </row>
    <row r="10" spans="1:12" ht="35" customHeight="1" x14ac:dyDescent="0.35">
      <c r="A10" s="76" t="s">
        <v>394</v>
      </c>
      <c r="B10" s="72">
        <f>'Common Assumptions'!$B$6</f>
        <v>12</v>
      </c>
      <c r="C10" s="67"/>
      <c r="D10" s="109" t="s">
        <v>401</v>
      </c>
      <c r="E10" s="88">
        <f>$B$9+SUM($D$18:INDEX($D$18:$D$47,$B$7))</f>
        <v>12179422.53913676</v>
      </c>
      <c r="F10" s="67"/>
      <c r="G10" s="67"/>
      <c r="H10" s="301" t="s">
        <v>410</v>
      </c>
      <c r="I10" s="301"/>
      <c r="J10" s="301"/>
      <c r="K10" s="301"/>
      <c r="L10" s="301"/>
    </row>
    <row r="11" spans="1:12" ht="19" customHeight="1" x14ac:dyDescent="0.35">
      <c r="A11" s="76" t="s">
        <v>395</v>
      </c>
      <c r="B11" s="72">
        <f>'Common Assumptions'!$B$15</f>
        <v>10</v>
      </c>
      <c r="C11" s="67"/>
      <c r="D11" s="109" t="s">
        <v>402</v>
      </c>
      <c r="E11" s="88" cm="1">
        <f t="array" ref="E11">INDEX($F$18:$F$47,$B$7)</f>
        <v>34895202.176841542</v>
      </c>
      <c r="F11" s="67"/>
      <c r="G11" s="67"/>
      <c r="H11" s="67"/>
      <c r="I11" s="67"/>
      <c r="J11" s="67"/>
      <c r="K11" s="67"/>
      <c r="L11" s="67"/>
    </row>
    <row r="12" spans="1:12" ht="19" customHeight="1" x14ac:dyDescent="0.35">
      <c r="A12" s="76" t="s">
        <v>86</v>
      </c>
      <c r="B12" s="72">
        <f>'Common Assumptions'!$B$12</f>
        <v>12.5</v>
      </c>
      <c r="C12" s="67"/>
      <c r="D12" s="109" t="s">
        <v>89</v>
      </c>
      <c r="E12" s="88">
        <f>MAX(0,($E$11-$E$10-$B$13)*$B$12/100)</f>
        <v>2823847.4547130978</v>
      </c>
      <c r="F12" s="67"/>
      <c r="G12" s="67"/>
      <c r="H12" s="67"/>
      <c r="I12" s="67"/>
      <c r="J12" s="67"/>
      <c r="K12" s="67"/>
      <c r="L12" s="67"/>
    </row>
    <row r="13" spans="1:12" ht="19" customHeight="1" x14ac:dyDescent="0.35">
      <c r="A13" s="76" t="s">
        <v>87</v>
      </c>
      <c r="B13" s="77">
        <f>'Common Assumptions'!$B$13</f>
        <v>125000</v>
      </c>
      <c r="C13" s="67"/>
      <c r="D13" s="109" t="s">
        <v>403</v>
      </c>
      <c r="E13" s="88">
        <f>$E$11-$E$12</f>
        <v>32071354.722128443</v>
      </c>
      <c r="F13" s="67"/>
      <c r="G13" s="67"/>
      <c r="H13" s="67"/>
      <c r="I13" s="67"/>
      <c r="J13" s="67"/>
      <c r="K13" s="67"/>
      <c r="L13" s="67"/>
    </row>
    <row r="14" spans="1:12" ht="19" customHeight="1" x14ac:dyDescent="0.35">
      <c r="A14" s="76"/>
      <c r="B14" s="73"/>
      <c r="C14" s="67"/>
      <c r="D14" s="109" t="s">
        <v>404</v>
      </c>
      <c r="E14" s="91">
        <f>IF(ABS($E$13-$E$5)&lt;1,0,$E$13-$E$5)</f>
        <v>0</v>
      </c>
      <c r="F14" s="67"/>
      <c r="G14" s="67"/>
      <c r="H14" s="67"/>
      <c r="I14" s="67"/>
      <c r="J14" s="67"/>
      <c r="K14" s="67"/>
      <c r="L14" s="67"/>
    </row>
    <row r="15" spans="1:12" ht="19" customHeight="1" x14ac:dyDescent="0.35">
      <c r="A15" s="230" t="s">
        <v>876</v>
      </c>
      <c r="B15" s="67"/>
      <c r="C15" s="67"/>
      <c r="D15" s="67"/>
      <c r="E15" s="67"/>
      <c r="F15" s="67"/>
      <c r="G15" s="67"/>
      <c r="H15" s="67"/>
      <c r="I15" s="67"/>
      <c r="J15" s="67"/>
      <c r="K15" s="67"/>
      <c r="L15" s="67"/>
    </row>
    <row r="16" spans="1:12" ht="23" customHeight="1" x14ac:dyDescent="0.35">
      <c r="A16" s="297" t="s">
        <v>411</v>
      </c>
      <c r="B16" s="297"/>
      <c r="C16" s="297"/>
      <c r="D16" s="297"/>
      <c r="E16" s="297"/>
      <c r="F16" s="297"/>
      <c r="G16" s="297"/>
      <c r="H16" s="297"/>
      <c r="I16" s="297"/>
      <c r="J16" s="297"/>
      <c r="K16" s="68"/>
      <c r="L16" s="68"/>
    </row>
    <row r="17" spans="1:16" ht="34" customHeight="1" x14ac:dyDescent="0.35">
      <c r="A17" s="81" t="s">
        <v>73</v>
      </c>
      <c r="B17" s="81" t="s">
        <v>412</v>
      </c>
      <c r="C17" s="81" t="s">
        <v>18</v>
      </c>
      <c r="D17" s="81" t="s">
        <v>413</v>
      </c>
      <c r="E17" s="81" t="s">
        <v>414</v>
      </c>
      <c r="F17" s="81" t="s">
        <v>415</v>
      </c>
      <c r="G17" s="81" t="s">
        <v>416</v>
      </c>
      <c r="H17" s="81" t="s">
        <v>207</v>
      </c>
      <c r="I17" s="81" t="s">
        <v>417</v>
      </c>
      <c r="J17" s="81" t="s">
        <v>418</v>
      </c>
      <c r="K17" s="81" t="s">
        <v>396</v>
      </c>
      <c r="L17" s="81" t="s">
        <v>419</v>
      </c>
      <c r="M17" t="s">
        <v>73</v>
      </c>
      <c r="N17" t="s">
        <v>807</v>
      </c>
      <c r="O17" t="s">
        <v>808</v>
      </c>
      <c r="P17" t="s">
        <v>809</v>
      </c>
    </row>
    <row r="18" spans="1:16" ht="19" customHeight="1" x14ac:dyDescent="0.35">
      <c r="A18" s="111">
        <v>1</v>
      </c>
      <c r="B18" s="114">
        <f>IF(A18&lt;=$B$7,$B$9,"")</f>
        <v>0</v>
      </c>
      <c r="C18" s="114">
        <f>IF(A18&lt;=$B$7,$E$7*(1+$B$11/100)^(A18-1),"")</f>
        <v>17720.678956634547</v>
      </c>
      <c r="D18" s="114">
        <f>IF(A18&lt;=$B$7,C18*12,"")</f>
        <v>212648.14747961456</v>
      </c>
      <c r="E18" s="114">
        <f>IF(A18&lt;=$B$7,F18-B18-D18,"")</f>
        <v>12094.41678379933</v>
      </c>
      <c r="F18" s="114">
        <f>IF(A18&lt;=$B$7,IF($B$10=0,B18+C18*12,B18*(1+$B$10/1200)^12+C18*(((1+$B$10/1200)^12-1)/($B$10/1200))),"")</f>
        <v>224742.56426341389</v>
      </c>
      <c r="G18" s="114">
        <f>IF(A18&lt;=$B$7,$B$9+SUM($D$18:D18),"")</f>
        <v>212648.14747961456</v>
      </c>
      <c r="H18" s="114">
        <f>IF(A18&lt;=$B$7,MAX(0,(F18-G18-$B$13)*$B$12/100),"")</f>
        <v>0</v>
      </c>
      <c r="I18" s="114">
        <f>IF(A18&lt;=$B$7,F18-H18,"")</f>
        <v>224742.56426341389</v>
      </c>
      <c r="J18" s="117">
        <f>IF(A18&lt;=$B$7,I18/($B$6*(1+$B$8/100)^A18),"")</f>
        <v>2.120212870409565E-2</v>
      </c>
      <c r="K18" s="114">
        <f>IF(A18&lt;=$B$7,$B$6*(1+$B$8/100)^A18,"")</f>
        <v>10600000</v>
      </c>
      <c r="L18" s="114">
        <f>IF(A18&lt;=$B$7,IF(ABS(I18-K18)&lt;1,0,I18-K18),"")</f>
        <v>-10375257.435736585</v>
      </c>
      <c r="M18">
        <v>1</v>
      </c>
      <c r="N18">
        <f>IF($M18&lt;=$B$7,(1+$B$11/100)^($M18-1),0)</f>
        <v>1</v>
      </c>
      <c r="O18">
        <f>IF($M18&lt;=$B$7,$N18*IF($B$10=0,12,((1+$B$10/1200)^12-1)/($B$10/1200))*(1+$B$10/1200)^(12*($B$7-$M18)),0)</f>
        <v>122.59653525843581</v>
      </c>
      <c r="P18">
        <f>IF($M18&lt;=$B$7,12*$N18,0)</f>
        <v>12</v>
      </c>
    </row>
    <row r="19" spans="1:16" ht="19" customHeight="1" x14ac:dyDescent="0.35">
      <c r="A19" s="112">
        <f>A18+1</f>
        <v>2</v>
      </c>
      <c r="B19" s="115">
        <f>IF(A19&lt;=$B$7,F18,"")</f>
        <v>224742.56426341389</v>
      </c>
      <c r="C19" s="115">
        <f t="shared" ref="C19:C47" si="0">IF(A19&lt;=$B$7,$E$7*(1+$B$11/100)^(A19-1),"")</f>
        <v>19492.746852298002</v>
      </c>
      <c r="D19" s="115">
        <f t="shared" ref="D19:D47" si="1">IF(A19&lt;=$B$7,C19*12,"")</f>
        <v>233912.962227576</v>
      </c>
      <c r="E19" s="115">
        <f t="shared" ref="E19:E47" si="2">IF(A19&lt;=$B$7,F19-B19-D19,"")</f>
        <v>41806.840946822893</v>
      </c>
      <c r="F19" s="115">
        <f t="shared" ref="F19:F47" si="3">IF(A19&lt;=$B$7,IF($B$10=0,B19+C19*12,B19*(1+$B$10/1200)^12+C19*(((1+$B$10/1200)^12-1)/($B$10/1200))),"")</f>
        <v>500462.36743781279</v>
      </c>
      <c r="G19" s="115">
        <f>IF(A19&lt;=$B$7,$B$9+SUM($D$18:D19),"")</f>
        <v>446561.10970719054</v>
      </c>
      <c r="H19" s="115">
        <f t="shared" ref="H19:H47" si="4">IF(A19&lt;=$B$7,MAX(0,(F19-G19-$B$13)*$B$12/100),"")</f>
        <v>0</v>
      </c>
      <c r="I19" s="115">
        <f t="shared" ref="I19:I47" si="5">IF(A19&lt;=$B$7,F19-H19,"")</f>
        <v>500462.36743781279</v>
      </c>
      <c r="J19" s="118">
        <f t="shared" ref="J19:J47" si="6">IF(A19&lt;=$B$7,I19/($B$6*(1+$B$8/100)^A19),"")</f>
        <v>4.454097253807518E-2</v>
      </c>
      <c r="K19" s="115">
        <f t="shared" ref="K19:K47" si="7">IF(A19&lt;=$B$7,$B$6*(1+$B$8/100)^A19,"")</f>
        <v>11236000.000000002</v>
      </c>
      <c r="L19" s="115">
        <f t="shared" ref="L19:L47" si="8">IF(A19&lt;=$B$7,IF(ABS(I19-K19)&lt;1,0,I19-K19),"")</f>
        <v>-10735537.632562188</v>
      </c>
      <c r="M19">
        <v>2</v>
      </c>
      <c r="N19">
        <f t="shared" ref="N19:N47" si="9">IF($M19&lt;=$B$7,(1+$B$11/100)^($M19-1),0)</f>
        <v>1.1000000000000001</v>
      </c>
      <c r="O19">
        <f t="shared" ref="O19:O47" si="10">IF($M19&lt;=$B$7,$N19*IF($B$10=0,12,((1+$B$10/1200)^12-1)/($B$10/1200))*(1+$B$10/1200)^(12*($B$7-$M19)),0)</f>
        <v>119.67802025882006</v>
      </c>
      <c r="P19">
        <f t="shared" ref="P19:P47" si="11">IF($M19&lt;=$B$7,12*$N19,0)</f>
        <v>13.200000000000001</v>
      </c>
    </row>
    <row r="20" spans="1:16" ht="19" customHeight="1" x14ac:dyDescent="0.35">
      <c r="A20" s="112">
        <f t="shared" ref="A20:A47" si="12">A19+1</f>
        <v>3</v>
      </c>
      <c r="B20" s="115">
        <f t="shared" ref="B20:B47" si="13">IF(A20&lt;=$B$7,F19,"")</f>
        <v>500462.36743781279</v>
      </c>
      <c r="C20" s="115">
        <f t="shared" si="0"/>
        <v>21442.021537527806</v>
      </c>
      <c r="D20" s="115">
        <f t="shared" si="1"/>
        <v>257304.25845033367</v>
      </c>
      <c r="E20" s="115">
        <f t="shared" si="2"/>
        <v>78105.399138614768</v>
      </c>
      <c r="F20" s="115">
        <f t="shared" si="3"/>
        <v>835872.02502676123</v>
      </c>
      <c r="G20" s="115">
        <f>IF(A20&lt;=$B$7,$B$9+SUM($D$18:D20),"")</f>
        <v>703865.36815752415</v>
      </c>
      <c r="H20" s="115">
        <f t="shared" si="4"/>
        <v>875.83210865463479</v>
      </c>
      <c r="I20" s="115">
        <f t="shared" si="5"/>
        <v>834996.19291810656</v>
      </c>
      <c r="J20" s="118">
        <f t="shared" si="6"/>
        <v>7.0107890483260202E-2</v>
      </c>
      <c r="K20" s="115">
        <f t="shared" si="7"/>
        <v>11910160.000000004</v>
      </c>
      <c r="L20" s="115">
        <f t="shared" si="8"/>
        <v>-11075163.807081897</v>
      </c>
      <c r="M20">
        <v>3</v>
      </c>
      <c r="N20">
        <f t="shared" si="9"/>
        <v>1.2100000000000002</v>
      </c>
      <c r="O20">
        <f t="shared" si="10"/>
        <v>116.82898299595293</v>
      </c>
      <c r="P20">
        <f t="shared" si="11"/>
        <v>14.520000000000003</v>
      </c>
    </row>
    <row r="21" spans="1:16" ht="19" customHeight="1" x14ac:dyDescent="0.35">
      <c r="A21" s="112">
        <f t="shared" si="12"/>
        <v>4</v>
      </c>
      <c r="B21" s="115">
        <f t="shared" si="13"/>
        <v>835872.02502676123</v>
      </c>
      <c r="C21" s="115">
        <f t="shared" si="0"/>
        <v>23586.223691280589</v>
      </c>
      <c r="D21" s="115">
        <f t="shared" si="1"/>
        <v>283034.6842953671</v>
      </c>
      <c r="E21" s="115">
        <f t="shared" si="2"/>
        <v>122107.16349972656</v>
      </c>
      <c r="F21" s="115">
        <f t="shared" si="3"/>
        <v>1241013.8728218549</v>
      </c>
      <c r="G21" s="115">
        <f>IF(A21&lt;=$B$7,$B$9+SUM($D$18:D21),"")</f>
        <v>986900.05245289125</v>
      </c>
      <c r="H21" s="115">
        <f t="shared" si="4"/>
        <v>16139.227546120455</v>
      </c>
      <c r="I21" s="115">
        <f t="shared" si="5"/>
        <v>1224874.6452757344</v>
      </c>
      <c r="J21" s="118">
        <f t="shared" si="6"/>
        <v>9.7021544478382724E-2</v>
      </c>
      <c r="K21" s="115">
        <f t="shared" si="7"/>
        <v>12624769.600000003</v>
      </c>
      <c r="L21" s="115">
        <f t="shared" si="8"/>
        <v>-11399894.954724269</v>
      </c>
      <c r="M21">
        <v>4</v>
      </c>
      <c r="N21">
        <f t="shared" si="9"/>
        <v>1.3310000000000004</v>
      </c>
      <c r="O21">
        <f t="shared" si="10"/>
        <v>114.0477694931017</v>
      </c>
      <c r="P21">
        <f t="shared" si="11"/>
        <v>15.972000000000005</v>
      </c>
    </row>
    <row r="22" spans="1:16" ht="19" customHeight="1" x14ac:dyDescent="0.35">
      <c r="A22" s="112">
        <f t="shared" si="12"/>
        <v>5</v>
      </c>
      <c r="B22" s="115">
        <f t="shared" si="13"/>
        <v>1241013.8728218549</v>
      </c>
      <c r="C22" s="115">
        <f t="shared" si="0"/>
        <v>25944.846060408647</v>
      </c>
      <c r="D22" s="115">
        <f t="shared" si="1"/>
        <v>311338.15272490378</v>
      </c>
      <c r="E22" s="115">
        <f t="shared" si="2"/>
        <v>175099.0574279849</v>
      </c>
      <c r="F22" s="115">
        <f t="shared" si="3"/>
        <v>1727451.0829747436</v>
      </c>
      <c r="G22" s="115">
        <f>IF(A22&lt;=$B$7,$B$9+SUM($D$18:D22),"")</f>
        <v>1298238.2051777951</v>
      </c>
      <c r="H22" s="115">
        <f t="shared" si="4"/>
        <v>38026.609724618553</v>
      </c>
      <c r="I22" s="115">
        <f t="shared" si="5"/>
        <v>1689424.4732501251</v>
      </c>
      <c r="J22" s="118">
        <f t="shared" si="6"/>
        <v>0.12624362450760893</v>
      </c>
      <c r="K22" s="115">
        <f t="shared" si="7"/>
        <v>13382255.776000004</v>
      </c>
      <c r="L22" s="115">
        <f t="shared" si="8"/>
        <v>-11692831.30274988</v>
      </c>
      <c r="M22">
        <v>5</v>
      </c>
      <c r="N22">
        <f t="shared" si="9"/>
        <v>1.4641000000000004</v>
      </c>
      <c r="O22">
        <f t="shared" si="10"/>
        <v>111.33276514785909</v>
      </c>
      <c r="P22">
        <f t="shared" si="11"/>
        <v>17.569200000000006</v>
      </c>
    </row>
    <row r="23" spans="1:16" ht="19" customHeight="1" x14ac:dyDescent="0.35">
      <c r="A23" s="112">
        <f t="shared" si="12"/>
        <v>6</v>
      </c>
      <c r="B23" s="115">
        <f t="shared" si="13"/>
        <v>1727451.0829747436</v>
      </c>
      <c r="C23" s="115">
        <f t="shared" si="0"/>
        <v>28539.330666449514</v>
      </c>
      <c r="D23" s="115">
        <f t="shared" si="1"/>
        <v>342471.96799739415</v>
      </c>
      <c r="E23" s="115">
        <f t="shared" si="2"/>
        <v>238562.21482425265</v>
      </c>
      <c r="F23" s="115">
        <f t="shared" si="3"/>
        <v>2308485.2657963904</v>
      </c>
      <c r="G23" s="115">
        <f>IF(A23&lt;=$B$7,$B$9+SUM($D$18:D23),"")</f>
        <v>1640710.1731751892</v>
      </c>
      <c r="H23" s="115">
        <f t="shared" si="4"/>
        <v>67846.886577650148</v>
      </c>
      <c r="I23" s="115">
        <f t="shared" si="5"/>
        <v>2240638.3792187404</v>
      </c>
      <c r="J23" s="118">
        <f t="shared" si="6"/>
        <v>0.15795616427439235</v>
      </c>
      <c r="K23" s="115">
        <f t="shared" si="7"/>
        <v>14185191.122560006</v>
      </c>
      <c r="L23" s="115">
        <f t="shared" si="8"/>
        <v>-11944552.743341265</v>
      </c>
      <c r="M23">
        <v>6</v>
      </c>
      <c r="N23">
        <f t="shared" si="9"/>
        <v>1.6105100000000006</v>
      </c>
      <c r="O23">
        <f t="shared" si="10"/>
        <v>108.68239379480434</v>
      </c>
      <c r="P23">
        <f t="shared" si="11"/>
        <v>19.326120000000007</v>
      </c>
    </row>
    <row r="24" spans="1:16" ht="19" customHeight="1" x14ac:dyDescent="0.35">
      <c r="A24" s="112">
        <f t="shared" si="12"/>
        <v>7</v>
      </c>
      <c r="B24" s="115">
        <f t="shared" si="13"/>
        <v>2308485.2657963904</v>
      </c>
      <c r="C24" s="115">
        <f t="shared" si="0"/>
        <v>31393.263733094471</v>
      </c>
      <c r="D24" s="115">
        <f t="shared" si="1"/>
        <v>376719.16479713365</v>
      </c>
      <c r="E24" s="115">
        <f t="shared" si="2"/>
        <v>314199.71048575977</v>
      </c>
      <c r="F24" s="115">
        <f t="shared" si="3"/>
        <v>2999404.1410792838</v>
      </c>
      <c r="G24" s="115">
        <f>IF(A24&lt;=$B$7,$B$9+SUM($D$18:D24),"")</f>
        <v>2017429.3379723229</v>
      </c>
      <c r="H24" s="115">
        <f t="shared" si="4"/>
        <v>107121.85038837011</v>
      </c>
      <c r="I24" s="115">
        <f t="shared" si="5"/>
        <v>2892282.2906909138</v>
      </c>
      <c r="J24" s="118">
        <f t="shared" si="6"/>
        <v>0.19235329120278974</v>
      </c>
      <c r="K24" s="115">
        <f t="shared" si="7"/>
        <v>15036302.589913609</v>
      </c>
      <c r="L24" s="115">
        <f t="shared" si="8"/>
        <v>-12144020.299222695</v>
      </c>
      <c r="M24">
        <v>7</v>
      </c>
      <c r="N24">
        <f t="shared" si="9"/>
        <v>1.7715610000000008</v>
      </c>
      <c r="O24">
        <f t="shared" si="10"/>
        <v>106.09511679047758</v>
      </c>
      <c r="P24">
        <f t="shared" si="11"/>
        <v>21.258732000000009</v>
      </c>
    </row>
    <row r="25" spans="1:16" ht="19" customHeight="1" x14ac:dyDescent="0.35">
      <c r="A25" s="112">
        <f t="shared" si="12"/>
        <v>8</v>
      </c>
      <c r="B25" s="115">
        <f t="shared" si="13"/>
        <v>2999404.1410792838</v>
      </c>
      <c r="C25" s="115">
        <f t="shared" si="0"/>
        <v>34532.590106403921</v>
      </c>
      <c r="D25" s="115">
        <f t="shared" si="1"/>
        <v>414391.08127684705</v>
      </c>
      <c r="E25" s="115">
        <f t="shared" si="2"/>
        <v>403968.11737145158</v>
      </c>
      <c r="F25" s="115">
        <f t="shared" si="3"/>
        <v>3817763.3397275824</v>
      </c>
      <c r="G25" s="115">
        <f>IF(A25&lt;=$B$7,$B$9+SUM($D$18:D25),"")</f>
        <v>2431820.41924917</v>
      </c>
      <c r="H25" s="115">
        <f t="shared" si="4"/>
        <v>157617.86505980155</v>
      </c>
      <c r="I25" s="115">
        <f t="shared" si="5"/>
        <v>3660145.474667781</v>
      </c>
      <c r="J25" s="118">
        <f t="shared" si="6"/>
        <v>0.22964205517173678</v>
      </c>
      <c r="K25" s="115">
        <f t="shared" si="7"/>
        <v>15938480.745308423</v>
      </c>
      <c r="L25" s="115">
        <f t="shared" si="8"/>
        <v>-12278335.270640641</v>
      </c>
      <c r="M25">
        <v>8</v>
      </c>
      <c r="N25">
        <f t="shared" si="9"/>
        <v>1.9487171000000012</v>
      </c>
      <c r="O25">
        <f t="shared" si="10"/>
        <v>103.56943212013789</v>
      </c>
      <c r="P25">
        <f t="shared" si="11"/>
        <v>23.384605200000014</v>
      </c>
    </row>
    <row r="26" spans="1:16" ht="19" customHeight="1" x14ac:dyDescent="0.35">
      <c r="A26" s="112">
        <f t="shared" si="12"/>
        <v>9</v>
      </c>
      <c r="B26" s="115">
        <f t="shared" si="13"/>
        <v>3817763.3397275824</v>
      </c>
      <c r="C26" s="115">
        <f t="shared" si="0"/>
        <v>37985.849117044309</v>
      </c>
      <c r="D26" s="115">
        <f t="shared" si="1"/>
        <v>455830.18940453173</v>
      </c>
      <c r="E26" s="115">
        <f t="shared" si="2"/>
        <v>510113.40707890841</v>
      </c>
      <c r="F26" s="115">
        <f t="shared" si="3"/>
        <v>4783706.9362110225</v>
      </c>
      <c r="G26" s="115">
        <f>IF(A26&lt;=$B$7,$B$9+SUM($D$18:D26),"")</f>
        <v>2887650.6086537018</v>
      </c>
      <c r="H26" s="115">
        <f t="shared" si="4"/>
        <v>221382.04094466509</v>
      </c>
      <c r="I26" s="115">
        <f t="shared" si="5"/>
        <v>4562324.8952663578</v>
      </c>
      <c r="J26" s="118">
        <f t="shared" si="6"/>
        <v>0.27004330956329392</v>
      </c>
      <c r="K26" s="115">
        <f t="shared" si="7"/>
        <v>16894789.59002693</v>
      </c>
      <c r="L26" s="115">
        <f t="shared" si="8"/>
        <v>-12332464.694760572</v>
      </c>
      <c r="M26">
        <v>9</v>
      </c>
      <c r="N26">
        <f t="shared" si="9"/>
        <v>2.1435888100000011</v>
      </c>
      <c r="O26">
        <f t="shared" si="10"/>
        <v>101.10387352578509</v>
      </c>
      <c r="P26">
        <f t="shared" si="11"/>
        <v>25.723065720000015</v>
      </c>
    </row>
    <row r="27" spans="1:16" ht="19" customHeight="1" x14ac:dyDescent="0.35">
      <c r="A27" s="112">
        <f t="shared" si="12"/>
        <v>10</v>
      </c>
      <c r="B27" s="115">
        <f t="shared" si="13"/>
        <v>4783706.9362110225</v>
      </c>
      <c r="C27" s="115">
        <f t="shared" si="0"/>
        <v>41784.434028748743</v>
      </c>
      <c r="D27" s="115">
        <f t="shared" si="1"/>
        <v>501413.20834498492</v>
      </c>
      <c r="E27" s="115">
        <f t="shared" si="2"/>
        <v>635211.77845682751</v>
      </c>
      <c r="F27" s="115">
        <f t="shared" si="3"/>
        <v>5920331.923012835</v>
      </c>
      <c r="G27" s="115">
        <f>IF(A27&lt;=$B$7,$B$9+SUM($D$18:D27),"")</f>
        <v>3389063.8169986866</v>
      </c>
      <c r="H27" s="115">
        <f t="shared" si="4"/>
        <v>300783.51325176854</v>
      </c>
      <c r="I27" s="115">
        <f t="shared" si="5"/>
        <v>5619548.4097610665</v>
      </c>
      <c r="J27" s="118">
        <f t="shared" si="6"/>
        <v>0.3137926480632236</v>
      </c>
      <c r="K27" s="115">
        <f t="shared" si="7"/>
        <v>17908476.965428546</v>
      </c>
      <c r="L27" s="115">
        <f t="shared" si="8"/>
        <v>-12288928.555667479</v>
      </c>
      <c r="M27">
        <v>10</v>
      </c>
      <c r="N27">
        <f t="shared" si="9"/>
        <v>2.3579476910000015</v>
      </c>
      <c r="O27">
        <f t="shared" si="10"/>
        <v>98.697009654940487</v>
      </c>
      <c r="P27">
        <f t="shared" si="11"/>
        <v>28.295372292000017</v>
      </c>
    </row>
    <row r="28" spans="1:16" ht="19" customHeight="1" x14ac:dyDescent="0.35">
      <c r="A28" s="112">
        <f t="shared" si="12"/>
        <v>11</v>
      </c>
      <c r="B28" s="115">
        <f t="shared" si="13"/>
        <v>5920331.923012835</v>
      </c>
      <c r="C28" s="115">
        <f t="shared" si="0"/>
        <v>45962.877431623623</v>
      </c>
      <c r="D28" s="115">
        <f t="shared" si="1"/>
        <v>551554.52917948342</v>
      </c>
      <c r="E28" s="115">
        <f t="shared" si="2"/>
        <v>782216.07686965191</v>
      </c>
      <c r="F28" s="115">
        <f t="shared" si="3"/>
        <v>7254102.5290619703</v>
      </c>
      <c r="G28" s="115">
        <f>IF(A28&lt;=$B$7,$B$9+SUM($D$18:D28),"")</f>
        <v>3940618.3461781703</v>
      </c>
      <c r="H28" s="115">
        <f t="shared" si="4"/>
        <v>398560.52286047506</v>
      </c>
      <c r="I28" s="115">
        <f t="shared" si="5"/>
        <v>6855542.0062014954</v>
      </c>
      <c r="J28" s="118">
        <f t="shared" si="6"/>
        <v>0.36114140086651919</v>
      </c>
      <c r="K28" s="115">
        <f t="shared" si="7"/>
        <v>18982985.583354261</v>
      </c>
      <c r="L28" s="115">
        <f t="shared" si="8"/>
        <v>-12127443.577152766</v>
      </c>
      <c r="M28">
        <v>11</v>
      </c>
      <c r="N28">
        <f t="shared" si="9"/>
        <v>2.5937424601000019</v>
      </c>
      <c r="O28">
        <f t="shared" si="10"/>
        <v>96.347443229690739</v>
      </c>
      <c r="P28">
        <f t="shared" si="11"/>
        <v>31.124909521200024</v>
      </c>
    </row>
    <row r="29" spans="1:16" ht="19" customHeight="1" x14ac:dyDescent="0.35">
      <c r="A29" s="112">
        <f t="shared" si="12"/>
        <v>12</v>
      </c>
      <c r="B29" s="115">
        <f t="shared" si="13"/>
        <v>7254102.5290619703</v>
      </c>
      <c r="C29" s="115">
        <f t="shared" si="0"/>
        <v>50559.165174785994</v>
      </c>
      <c r="D29" s="115">
        <f t="shared" si="1"/>
        <v>606709.9820974319</v>
      </c>
      <c r="E29" s="115">
        <f t="shared" si="2"/>
        <v>954508.55440519669</v>
      </c>
      <c r="F29" s="115">
        <f t="shared" si="3"/>
        <v>8815321.0655645989</v>
      </c>
      <c r="G29" s="115">
        <f>IF(A29&lt;=$B$7,$B$9+SUM($D$18:D29),"")</f>
        <v>4547328.3282756023</v>
      </c>
      <c r="H29" s="115">
        <f t="shared" si="4"/>
        <v>517874.09216112457</v>
      </c>
      <c r="I29" s="115">
        <f t="shared" si="5"/>
        <v>8297446.9734034743</v>
      </c>
      <c r="J29" s="118">
        <f t="shared" si="6"/>
        <v>0.41235769416862339</v>
      </c>
      <c r="K29" s="115">
        <f t="shared" si="7"/>
        <v>20121964.718355518</v>
      </c>
      <c r="L29" s="115">
        <f t="shared" si="8"/>
        <v>-11824517.744952044</v>
      </c>
      <c r="M29">
        <v>12</v>
      </c>
      <c r="N29">
        <f t="shared" si="9"/>
        <v>2.8531167061100025</v>
      </c>
      <c r="O29">
        <f t="shared" si="10"/>
        <v>94.053810235514163</v>
      </c>
      <c r="P29">
        <f t="shared" si="11"/>
        <v>34.237400473320029</v>
      </c>
    </row>
    <row r="30" spans="1:16" ht="19" customHeight="1" x14ac:dyDescent="0.35">
      <c r="A30" s="112">
        <f t="shared" si="12"/>
        <v>13</v>
      </c>
      <c r="B30" s="115">
        <f t="shared" si="13"/>
        <v>8815321.0655645989</v>
      </c>
      <c r="C30" s="115">
        <f t="shared" si="0"/>
        <v>55615.08169226459</v>
      </c>
      <c r="D30" s="115">
        <f t="shared" si="1"/>
        <v>667380.98030717508</v>
      </c>
      <c r="E30" s="115">
        <f t="shared" si="2"/>
        <v>1155960.8205973839</v>
      </c>
      <c r="F30" s="115">
        <f t="shared" si="3"/>
        <v>10638662.866469158</v>
      </c>
      <c r="G30" s="115">
        <f>IF(A30&lt;=$B$7,$B$9+SUM($D$18:D30),"")</f>
        <v>5214709.3085827772</v>
      </c>
      <c r="H30" s="115">
        <f t="shared" si="4"/>
        <v>662369.19473579759</v>
      </c>
      <c r="I30" s="115">
        <f t="shared" si="5"/>
        <v>9976293.6717333607</v>
      </c>
      <c r="J30" s="118">
        <f t="shared" si="6"/>
        <v>0.46772757706590429</v>
      </c>
      <c r="K30" s="115">
        <f t="shared" si="7"/>
        <v>21329282.601456851</v>
      </c>
      <c r="L30" s="115">
        <f t="shared" si="8"/>
        <v>-11352988.92972349</v>
      </c>
      <c r="M30">
        <v>13</v>
      </c>
      <c r="N30">
        <f t="shared" si="9"/>
        <v>3.1384283767210026</v>
      </c>
      <c r="O30">
        <f t="shared" si="10"/>
        <v>91.81477912941709</v>
      </c>
      <c r="P30">
        <f t="shared" si="11"/>
        <v>37.661140520652033</v>
      </c>
    </row>
    <row r="31" spans="1:16" ht="19" customHeight="1" x14ac:dyDescent="0.35">
      <c r="A31" s="112">
        <f t="shared" si="12"/>
        <v>14</v>
      </c>
      <c r="B31" s="115">
        <f t="shared" si="13"/>
        <v>10638662.866469158</v>
      </c>
      <c r="C31" s="115">
        <f t="shared" si="0"/>
        <v>61176.589861491055</v>
      </c>
      <c r="D31" s="115">
        <f t="shared" si="1"/>
        <v>734119.07833789266</v>
      </c>
      <c r="E31" s="115">
        <f t="shared" si="2"/>
        <v>1391001.9455214015</v>
      </c>
      <c r="F31" s="115">
        <f t="shared" si="3"/>
        <v>12763783.890328452</v>
      </c>
      <c r="G31" s="115">
        <f>IF(A31&lt;=$B$7,$B$9+SUM($D$18:D31),"")</f>
        <v>5948828.38692067</v>
      </c>
      <c r="H31" s="115">
        <f t="shared" si="4"/>
        <v>836244.43792597274</v>
      </c>
      <c r="I31" s="115">
        <f t="shared" si="5"/>
        <v>11927539.45240248</v>
      </c>
      <c r="J31" s="118">
        <f t="shared" si="6"/>
        <v>0.52755622024742121</v>
      </c>
      <c r="K31" s="115">
        <f t="shared" si="7"/>
        <v>22609039.557544261</v>
      </c>
      <c r="L31" s="115">
        <f t="shared" si="8"/>
        <v>-10681500.105141781</v>
      </c>
      <c r="M31">
        <v>14</v>
      </c>
      <c r="N31">
        <f t="shared" si="9"/>
        <v>3.4522712143931029</v>
      </c>
      <c r="O31">
        <f t="shared" si="10"/>
        <v>89.629050066921636</v>
      </c>
      <c r="P31">
        <f t="shared" si="11"/>
        <v>41.427254572717231</v>
      </c>
    </row>
    <row r="32" spans="1:16" ht="19" customHeight="1" x14ac:dyDescent="0.35">
      <c r="A32" s="112">
        <f t="shared" si="12"/>
        <v>15</v>
      </c>
      <c r="B32" s="115">
        <f t="shared" si="13"/>
        <v>12763783.890328452</v>
      </c>
      <c r="C32" s="115">
        <f t="shared" si="0"/>
        <v>67294.248847640163</v>
      </c>
      <c r="D32" s="115">
        <f t="shared" si="1"/>
        <v>807530.9861716819</v>
      </c>
      <c r="E32" s="115">
        <f t="shared" si="2"/>
        <v>1664695.8040981977</v>
      </c>
      <c r="F32" s="115">
        <f t="shared" si="3"/>
        <v>15236010.680598332</v>
      </c>
      <c r="G32" s="115">
        <f>IF(A32&lt;=$B$7,$B$9+SUM($D$18:D32),"")</f>
        <v>6756359.3730923515</v>
      </c>
      <c r="H32" s="115">
        <f t="shared" si="4"/>
        <v>1044331.4134382474</v>
      </c>
      <c r="I32" s="115">
        <f t="shared" si="5"/>
        <v>14191679.267160084</v>
      </c>
      <c r="J32" s="118">
        <f t="shared" si="6"/>
        <v>0.59216919113508615</v>
      </c>
      <c r="K32" s="115">
        <f t="shared" si="7"/>
        <v>23965581.930996925</v>
      </c>
      <c r="L32" s="115">
        <f t="shared" si="8"/>
        <v>-9773902.6638368405</v>
      </c>
      <c r="M32">
        <v>15</v>
      </c>
      <c r="N32">
        <f t="shared" si="9"/>
        <v>3.7974983358324139</v>
      </c>
      <c r="O32">
        <f t="shared" si="10"/>
        <v>87.495354147455402</v>
      </c>
      <c r="P32">
        <f t="shared" si="11"/>
        <v>45.569980029988969</v>
      </c>
    </row>
    <row r="33" spans="1:16" ht="19" customHeight="1" x14ac:dyDescent="0.35">
      <c r="A33" s="112">
        <f t="shared" si="12"/>
        <v>16</v>
      </c>
      <c r="B33" s="115">
        <f t="shared" si="13"/>
        <v>15236010.680598332</v>
      </c>
      <c r="C33" s="115">
        <f t="shared" si="0"/>
        <v>74023.67373240419</v>
      </c>
      <c r="D33" s="115">
        <f t="shared" si="1"/>
        <v>888284.08478885028</v>
      </c>
      <c r="E33" s="115">
        <f t="shared" si="2"/>
        <v>1982828.8940281712</v>
      </c>
      <c r="F33" s="115">
        <f t="shared" si="3"/>
        <v>18107123.659415353</v>
      </c>
      <c r="G33" s="115">
        <f>IF(A33&lt;=$B$7,$B$9+SUM($D$18:D33),"")</f>
        <v>7644643.457881202</v>
      </c>
      <c r="H33" s="115">
        <f t="shared" si="4"/>
        <v>1292185.025191769</v>
      </c>
      <c r="I33" s="115">
        <f t="shared" si="5"/>
        <v>16814938.634223584</v>
      </c>
      <c r="J33" s="118">
        <f t="shared" si="6"/>
        <v>0.66191381042204622</v>
      </c>
      <c r="K33" s="115">
        <f t="shared" si="7"/>
        <v>25403516.846856732</v>
      </c>
      <c r="L33" s="115">
        <f t="shared" si="8"/>
        <v>-8588578.2126331478</v>
      </c>
      <c r="M33">
        <v>16</v>
      </c>
      <c r="N33">
        <f t="shared" si="9"/>
        <v>4.1772481694156554</v>
      </c>
      <c r="O33">
        <f t="shared" si="10"/>
        <v>85.412452677705502</v>
      </c>
      <c r="P33">
        <f t="shared" si="11"/>
        <v>50.126978032987864</v>
      </c>
    </row>
    <row r="34" spans="1:16" ht="19" customHeight="1" x14ac:dyDescent="0.35">
      <c r="A34" s="112">
        <f t="shared" si="12"/>
        <v>17</v>
      </c>
      <c r="B34" s="115">
        <f t="shared" si="13"/>
        <v>18107123.659415353</v>
      </c>
      <c r="C34" s="115">
        <f t="shared" si="0"/>
        <v>81426.041105644603</v>
      </c>
      <c r="D34" s="115">
        <f t="shared" si="1"/>
        <v>977112.49326773523</v>
      </c>
      <c r="E34" s="115">
        <f t="shared" si="2"/>
        <v>2352010.0221159551</v>
      </c>
      <c r="F34" s="115">
        <f t="shared" si="3"/>
        <v>21436246.174799044</v>
      </c>
      <c r="G34" s="115">
        <f>IF(A34&lt;=$B$7,$B$9+SUM($D$18:D34),"")</f>
        <v>8621755.9511489365</v>
      </c>
      <c r="H34" s="115">
        <f t="shared" si="4"/>
        <v>1586186.2779562634</v>
      </c>
      <c r="I34" s="115">
        <f t="shared" si="5"/>
        <v>19850059.896842781</v>
      </c>
      <c r="J34" s="118">
        <f t="shared" si="6"/>
        <v>0.73716059527057842</v>
      </c>
      <c r="K34" s="115">
        <f t="shared" si="7"/>
        <v>26927727.857668139</v>
      </c>
      <c r="L34" s="115">
        <f t="shared" si="8"/>
        <v>-7077667.9608253576</v>
      </c>
      <c r="M34">
        <v>17</v>
      </c>
      <c r="N34">
        <f t="shared" si="9"/>
        <v>4.5949729863572211</v>
      </c>
      <c r="O34">
        <f t="shared" si="10"/>
        <v>83.379136452508973</v>
      </c>
      <c r="P34">
        <f t="shared" si="11"/>
        <v>55.139675836286656</v>
      </c>
    </row>
    <row r="35" spans="1:16" ht="19" customHeight="1" x14ac:dyDescent="0.35">
      <c r="A35" s="112">
        <f t="shared" si="12"/>
        <v>18</v>
      </c>
      <c r="B35" s="115">
        <f t="shared" si="13"/>
        <v>21436246.174799044</v>
      </c>
      <c r="C35" s="115">
        <f t="shared" si="0"/>
        <v>89568.645216209072</v>
      </c>
      <c r="D35" s="115">
        <f t="shared" si="1"/>
        <v>1074823.7425945089</v>
      </c>
      <c r="E35" s="115">
        <f t="shared" si="2"/>
        <v>2779783.4372832417</v>
      </c>
      <c r="F35" s="115">
        <f t="shared" si="3"/>
        <v>25290853.354676794</v>
      </c>
      <c r="G35" s="115">
        <f>IF(A35&lt;=$B$7,$B$9+SUM($D$18:D35),"")</f>
        <v>9696579.693743445</v>
      </c>
      <c r="H35" s="115">
        <f t="shared" si="4"/>
        <v>1933659.2076166687</v>
      </c>
      <c r="I35" s="115">
        <f t="shared" si="5"/>
        <v>23357194.147060126</v>
      </c>
      <c r="J35" s="118">
        <f t="shared" si="6"/>
        <v>0.81830479476219065</v>
      </c>
      <c r="K35" s="115">
        <f t="shared" si="7"/>
        <v>28543391.529128227</v>
      </c>
      <c r="L35" s="115">
        <f t="shared" si="8"/>
        <v>-5186197.3820681013</v>
      </c>
      <c r="M35">
        <v>18</v>
      </c>
      <c r="N35">
        <f t="shared" si="9"/>
        <v>5.0544702849929433</v>
      </c>
      <c r="O35">
        <f t="shared" si="10"/>
        <v>81.394225052862282</v>
      </c>
      <c r="P35">
        <f t="shared" si="11"/>
        <v>60.653643419915319</v>
      </c>
    </row>
    <row r="36" spans="1:16" ht="19" customHeight="1" x14ac:dyDescent="0.35">
      <c r="A36" s="112">
        <f t="shared" si="12"/>
        <v>19</v>
      </c>
      <c r="B36" s="115">
        <f t="shared" si="13"/>
        <v>25290853.354676794</v>
      </c>
      <c r="C36" s="115">
        <f t="shared" si="0"/>
        <v>98525.509737829983</v>
      </c>
      <c r="D36" s="115">
        <f t="shared" si="1"/>
        <v>1182306.1168539599</v>
      </c>
      <c r="E36" s="115">
        <f t="shared" si="2"/>
        <v>3274757.1960429512</v>
      </c>
      <c r="F36" s="115">
        <f t="shared" si="3"/>
        <v>29747916.667573705</v>
      </c>
      <c r="G36" s="115">
        <f>IF(A36&lt;=$B$7,$B$9+SUM($D$18:D36),"")</f>
        <v>10878885.810597405</v>
      </c>
      <c r="H36" s="115">
        <f t="shared" si="4"/>
        <v>2343003.8571220376</v>
      </c>
      <c r="I36" s="115">
        <f t="shared" si="5"/>
        <v>27404912.810451668</v>
      </c>
      <c r="J36" s="118">
        <f t="shared" si="6"/>
        <v>0.90576802354518238</v>
      </c>
      <c r="K36" s="115">
        <f t="shared" si="7"/>
        <v>30255995.020875927</v>
      </c>
      <c r="L36" s="115">
        <f t="shared" si="8"/>
        <v>-2851082.2104242593</v>
      </c>
      <c r="M36">
        <v>19</v>
      </c>
      <c r="N36">
        <f t="shared" si="9"/>
        <v>5.5599173134922379</v>
      </c>
      <c r="O36">
        <f t="shared" si="10"/>
        <v>79.456566160642197</v>
      </c>
      <c r="P36">
        <f t="shared" si="11"/>
        <v>66.719007761906852</v>
      </c>
    </row>
    <row r="37" spans="1:16" ht="19" customHeight="1" x14ac:dyDescent="0.35">
      <c r="A37" s="112">
        <f t="shared" si="12"/>
        <v>20</v>
      </c>
      <c r="B37" s="115">
        <f t="shared" si="13"/>
        <v>29747916.667573705</v>
      </c>
      <c r="C37" s="115">
        <f t="shared" si="0"/>
        <v>108378.06071161301</v>
      </c>
      <c r="D37" s="115">
        <f t="shared" si="1"/>
        <v>1300536.728539356</v>
      </c>
      <c r="E37" s="115">
        <f t="shared" si="2"/>
        <v>3846748.7807284808</v>
      </c>
      <c r="F37" s="115">
        <f t="shared" si="3"/>
        <v>34895202.176841542</v>
      </c>
      <c r="G37" s="115">
        <f>IF(A37&lt;=$B$7,$B$9+SUM($D$18:D37),"")</f>
        <v>12179422.53913676</v>
      </c>
      <c r="H37" s="115">
        <f t="shared" si="4"/>
        <v>2823847.4547130978</v>
      </c>
      <c r="I37" s="115">
        <f t="shared" si="5"/>
        <v>32071354.722128443</v>
      </c>
      <c r="J37" s="118">
        <f t="shared" si="6"/>
        <v>0.99999999999999889</v>
      </c>
      <c r="K37" s="115">
        <f t="shared" si="7"/>
        <v>32071354.722128481</v>
      </c>
      <c r="L37" s="115">
        <f t="shared" si="8"/>
        <v>0</v>
      </c>
      <c r="M37">
        <v>20</v>
      </c>
      <c r="N37">
        <f t="shared" si="9"/>
        <v>6.1159090448414632</v>
      </c>
      <c r="O37">
        <f t="shared" si="10"/>
        <v>77.565034889640501</v>
      </c>
      <c r="P37">
        <f t="shared" si="11"/>
        <v>73.390908538097563</v>
      </c>
    </row>
    <row r="38" spans="1:16" ht="19" customHeight="1" x14ac:dyDescent="0.35">
      <c r="A38" s="112">
        <f t="shared" si="12"/>
        <v>21</v>
      </c>
      <c r="B38" s="115" t="str">
        <f t="shared" si="13"/>
        <v/>
      </c>
      <c r="C38" s="115" t="str">
        <f t="shared" si="0"/>
        <v/>
      </c>
      <c r="D38" s="115" t="str">
        <f t="shared" si="1"/>
        <v/>
      </c>
      <c r="E38" s="115" t="str">
        <f t="shared" si="2"/>
        <v/>
      </c>
      <c r="F38" s="115" t="str">
        <f t="shared" si="3"/>
        <v/>
      </c>
      <c r="G38" s="115" t="str">
        <f>IF(A38&lt;=$B$7,$B$9+SUM($D$18:D38),"")</f>
        <v/>
      </c>
      <c r="H38" s="115" t="str">
        <f t="shared" si="4"/>
        <v/>
      </c>
      <c r="I38" s="115" t="str">
        <f t="shared" si="5"/>
        <v/>
      </c>
      <c r="J38" s="118" t="str">
        <f t="shared" si="6"/>
        <v/>
      </c>
      <c r="K38" s="115" t="str">
        <f t="shared" si="7"/>
        <v/>
      </c>
      <c r="L38" s="115" t="str">
        <f t="shared" si="8"/>
        <v/>
      </c>
      <c r="M38">
        <v>21</v>
      </c>
      <c r="N38">
        <f t="shared" si="9"/>
        <v>0</v>
      </c>
      <c r="O38">
        <f t="shared" si="10"/>
        <v>0</v>
      </c>
      <c r="P38">
        <f t="shared" si="11"/>
        <v>0</v>
      </c>
    </row>
    <row r="39" spans="1:16" ht="19" customHeight="1" x14ac:dyDescent="0.35">
      <c r="A39" s="112">
        <f t="shared" si="12"/>
        <v>22</v>
      </c>
      <c r="B39" s="115" t="str">
        <f t="shared" si="13"/>
        <v/>
      </c>
      <c r="C39" s="115" t="str">
        <f t="shared" si="0"/>
        <v/>
      </c>
      <c r="D39" s="115" t="str">
        <f t="shared" si="1"/>
        <v/>
      </c>
      <c r="E39" s="115" t="str">
        <f t="shared" si="2"/>
        <v/>
      </c>
      <c r="F39" s="115" t="str">
        <f t="shared" si="3"/>
        <v/>
      </c>
      <c r="G39" s="115" t="str">
        <f>IF(A39&lt;=$B$7,$B$9+SUM($D$18:D39),"")</f>
        <v/>
      </c>
      <c r="H39" s="115" t="str">
        <f t="shared" si="4"/>
        <v/>
      </c>
      <c r="I39" s="115" t="str">
        <f t="shared" si="5"/>
        <v/>
      </c>
      <c r="J39" s="118" t="str">
        <f t="shared" si="6"/>
        <v/>
      </c>
      <c r="K39" s="115" t="str">
        <f t="shared" si="7"/>
        <v/>
      </c>
      <c r="L39" s="115" t="str">
        <f t="shared" si="8"/>
        <v/>
      </c>
      <c r="M39">
        <v>22</v>
      </c>
      <c r="N39">
        <f t="shared" si="9"/>
        <v>0</v>
      </c>
      <c r="O39">
        <f t="shared" si="10"/>
        <v>0</v>
      </c>
      <c r="P39">
        <f t="shared" si="11"/>
        <v>0</v>
      </c>
    </row>
    <row r="40" spans="1:16" ht="19" customHeight="1" x14ac:dyDescent="0.35">
      <c r="A40" s="112">
        <f t="shared" si="12"/>
        <v>23</v>
      </c>
      <c r="B40" s="115" t="str">
        <f t="shared" si="13"/>
        <v/>
      </c>
      <c r="C40" s="115" t="str">
        <f t="shared" si="0"/>
        <v/>
      </c>
      <c r="D40" s="115" t="str">
        <f t="shared" si="1"/>
        <v/>
      </c>
      <c r="E40" s="115" t="str">
        <f t="shared" si="2"/>
        <v/>
      </c>
      <c r="F40" s="115" t="str">
        <f t="shared" si="3"/>
        <v/>
      </c>
      <c r="G40" s="115" t="str">
        <f>IF(A40&lt;=$B$7,$B$9+SUM($D$18:D40),"")</f>
        <v/>
      </c>
      <c r="H40" s="115" t="str">
        <f t="shared" si="4"/>
        <v/>
      </c>
      <c r="I40" s="115" t="str">
        <f t="shared" si="5"/>
        <v/>
      </c>
      <c r="J40" s="118" t="str">
        <f t="shared" si="6"/>
        <v/>
      </c>
      <c r="K40" s="115" t="str">
        <f t="shared" si="7"/>
        <v/>
      </c>
      <c r="L40" s="115" t="str">
        <f t="shared" si="8"/>
        <v/>
      </c>
      <c r="M40">
        <v>23</v>
      </c>
      <c r="N40">
        <f t="shared" si="9"/>
        <v>0</v>
      </c>
      <c r="O40">
        <f t="shared" si="10"/>
        <v>0</v>
      </c>
      <c r="P40">
        <f t="shared" si="11"/>
        <v>0</v>
      </c>
    </row>
    <row r="41" spans="1:16" ht="19" customHeight="1" x14ac:dyDescent="0.35">
      <c r="A41" s="112">
        <f t="shared" si="12"/>
        <v>24</v>
      </c>
      <c r="B41" s="115" t="str">
        <f t="shared" si="13"/>
        <v/>
      </c>
      <c r="C41" s="115" t="str">
        <f t="shared" si="0"/>
        <v/>
      </c>
      <c r="D41" s="115" t="str">
        <f t="shared" si="1"/>
        <v/>
      </c>
      <c r="E41" s="115" t="str">
        <f t="shared" si="2"/>
        <v/>
      </c>
      <c r="F41" s="115" t="str">
        <f t="shared" si="3"/>
        <v/>
      </c>
      <c r="G41" s="115" t="str">
        <f>IF(A41&lt;=$B$7,$B$9+SUM($D$18:D41),"")</f>
        <v/>
      </c>
      <c r="H41" s="115" t="str">
        <f t="shared" si="4"/>
        <v/>
      </c>
      <c r="I41" s="115" t="str">
        <f t="shared" si="5"/>
        <v/>
      </c>
      <c r="J41" s="118" t="str">
        <f t="shared" si="6"/>
        <v/>
      </c>
      <c r="K41" s="115" t="str">
        <f t="shared" si="7"/>
        <v/>
      </c>
      <c r="L41" s="115" t="str">
        <f t="shared" si="8"/>
        <v/>
      </c>
      <c r="M41">
        <v>24</v>
      </c>
      <c r="N41">
        <f t="shared" si="9"/>
        <v>0</v>
      </c>
      <c r="O41">
        <f t="shared" si="10"/>
        <v>0</v>
      </c>
      <c r="P41">
        <f t="shared" si="11"/>
        <v>0</v>
      </c>
    </row>
    <row r="42" spans="1:16" ht="19" customHeight="1" x14ac:dyDescent="0.35">
      <c r="A42" s="112">
        <f t="shared" si="12"/>
        <v>25</v>
      </c>
      <c r="B42" s="115" t="str">
        <f t="shared" si="13"/>
        <v/>
      </c>
      <c r="C42" s="115" t="str">
        <f t="shared" si="0"/>
        <v/>
      </c>
      <c r="D42" s="115" t="str">
        <f t="shared" si="1"/>
        <v/>
      </c>
      <c r="E42" s="115" t="str">
        <f t="shared" si="2"/>
        <v/>
      </c>
      <c r="F42" s="115" t="str">
        <f t="shared" si="3"/>
        <v/>
      </c>
      <c r="G42" s="115" t="str">
        <f>IF(A42&lt;=$B$7,$B$9+SUM($D$18:D42),"")</f>
        <v/>
      </c>
      <c r="H42" s="115" t="str">
        <f t="shared" si="4"/>
        <v/>
      </c>
      <c r="I42" s="115" t="str">
        <f t="shared" si="5"/>
        <v/>
      </c>
      <c r="J42" s="118" t="str">
        <f t="shared" si="6"/>
        <v/>
      </c>
      <c r="K42" s="115" t="str">
        <f t="shared" si="7"/>
        <v/>
      </c>
      <c r="L42" s="115" t="str">
        <f t="shared" si="8"/>
        <v/>
      </c>
      <c r="M42">
        <v>25</v>
      </c>
      <c r="N42">
        <f t="shared" si="9"/>
        <v>0</v>
      </c>
      <c r="O42">
        <f t="shared" si="10"/>
        <v>0</v>
      </c>
      <c r="P42">
        <f t="shared" si="11"/>
        <v>0</v>
      </c>
    </row>
    <row r="43" spans="1:16" ht="19" customHeight="1" x14ac:dyDescent="0.35">
      <c r="A43" s="112">
        <f t="shared" si="12"/>
        <v>26</v>
      </c>
      <c r="B43" s="115" t="str">
        <f t="shared" si="13"/>
        <v/>
      </c>
      <c r="C43" s="115" t="str">
        <f t="shared" si="0"/>
        <v/>
      </c>
      <c r="D43" s="115" t="str">
        <f t="shared" si="1"/>
        <v/>
      </c>
      <c r="E43" s="115" t="str">
        <f t="shared" si="2"/>
        <v/>
      </c>
      <c r="F43" s="115" t="str">
        <f t="shared" si="3"/>
        <v/>
      </c>
      <c r="G43" s="115" t="str">
        <f>IF(A43&lt;=$B$7,$B$9+SUM($D$18:D43),"")</f>
        <v/>
      </c>
      <c r="H43" s="115" t="str">
        <f t="shared" si="4"/>
        <v/>
      </c>
      <c r="I43" s="115" t="str">
        <f t="shared" si="5"/>
        <v/>
      </c>
      <c r="J43" s="118" t="str">
        <f t="shared" si="6"/>
        <v/>
      </c>
      <c r="K43" s="115" t="str">
        <f t="shared" si="7"/>
        <v/>
      </c>
      <c r="L43" s="115" t="str">
        <f t="shared" si="8"/>
        <v/>
      </c>
      <c r="M43">
        <v>26</v>
      </c>
      <c r="N43">
        <f t="shared" si="9"/>
        <v>0</v>
      </c>
      <c r="O43">
        <f t="shared" si="10"/>
        <v>0</v>
      </c>
      <c r="P43">
        <f t="shared" si="11"/>
        <v>0</v>
      </c>
    </row>
    <row r="44" spans="1:16" ht="19" customHeight="1" x14ac:dyDescent="0.35">
      <c r="A44" s="112">
        <f t="shared" si="12"/>
        <v>27</v>
      </c>
      <c r="B44" s="115" t="str">
        <f t="shared" si="13"/>
        <v/>
      </c>
      <c r="C44" s="115" t="str">
        <f t="shared" si="0"/>
        <v/>
      </c>
      <c r="D44" s="115" t="str">
        <f t="shared" si="1"/>
        <v/>
      </c>
      <c r="E44" s="115" t="str">
        <f t="shared" si="2"/>
        <v/>
      </c>
      <c r="F44" s="115" t="str">
        <f t="shared" si="3"/>
        <v/>
      </c>
      <c r="G44" s="115" t="str">
        <f>IF(A44&lt;=$B$7,$B$9+SUM($D$18:D44),"")</f>
        <v/>
      </c>
      <c r="H44" s="115" t="str">
        <f t="shared" si="4"/>
        <v/>
      </c>
      <c r="I44" s="115" t="str">
        <f t="shared" si="5"/>
        <v/>
      </c>
      <c r="J44" s="118" t="str">
        <f t="shared" si="6"/>
        <v/>
      </c>
      <c r="K44" s="115" t="str">
        <f t="shared" si="7"/>
        <v/>
      </c>
      <c r="L44" s="115" t="str">
        <f t="shared" si="8"/>
        <v/>
      </c>
      <c r="M44">
        <v>27</v>
      </c>
      <c r="N44">
        <f t="shared" si="9"/>
        <v>0</v>
      </c>
      <c r="O44">
        <f t="shared" si="10"/>
        <v>0</v>
      </c>
      <c r="P44">
        <f t="shared" si="11"/>
        <v>0</v>
      </c>
    </row>
    <row r="45" spans="1:16" ht="19" customHeight="1" x14ac:dyDescent="0.35">
      <c r="A45" s="112">
        <f t="shared" si="12"/>
        <v>28</v>
      </c>
      <c r="B45" s="115" t="str">
        <f t="shared" si="13"/>
        <v/>
      </c>
      <c r="C45" s="115" t="str">
        <f t="shared" si="0"/>
        <v/>
      </c>
      <c r="D45" s="115" t="str">
        <f t="shared" si="1"/>
        <v/>
      </c>
      <c r="E45" s="115" t="str">
        <f t="shared" si="2"/>
        <v/>
      </c>
      <c r="F45" s="115" t="str">
        <f t="shared" si="3"/>
        <v/>
      </c>
      <c r="G45" s="115" t="str">
        <f>IF(A45&lt;=$B$7,$B$9+SUM($D$18:D45),"")</f>
        <v/>
      </c>
      <c r="H45" s="115" t="str">
        <f t="shared" si="4"/>
        <v/>
      </c>
      <c r="I45" s="115" t="str">
        <f t="shared" si="5"/>
        <v/>
      </c>
      <c r="J45" s="118" t="str">
        <f t="shared" si="6"/>
        <v/>
      </c>
      <c r="K45" s="115" t="str">
        <f t="shared" si="7"/>
        <v/>
      </c>
      <c r="L45" s="115" t="str">
        <f t="shared" si="8"/>
        <v/>
      </c>
      <c r="M45">
        <v>28</v>
      </c>
      <c r="N45">
        <f t="shared" si="9"/>
        <v>0</v>
      </c>
      <c r="O45">
        <f t="shared" si="10"/>
        <v>0</v>
      </c>
      <c r="P45">
        <f t="shared" si="11"/>
        <v>0</v>
      </c>
    </row>
    <row r="46" spans="1:16" ht="19" customHeight="1" x14ac:dyDescent="0.35">
      <c r="A46" s="112">
        <f t="shared" si="12"/>
        <v>29</v>
      </c>
      <c r="B46" s="115" t="str">
        <f t="shared" si="13"/>
        <v/>
      </c>
      <c r="C46" s="115" t="str">
        <f t="shared" si="0"/>
        <v/>
      </c>
      <c r="D46" s="115" t="str">
        <f t="shared" si="1"/>
        <v/>
      </c>
      <c r="E46" s="115" t="str">
        <f t="shared" si="2"/>
        <v/>
      </c>
      <c r="F46" s="115" t="str">
        <f t="shared" si="3"/>
        <v/>
      </c>
      <c r="G46" s="115" t="str">
        <f>IF(A46&lt;=$B$7,$B$9+SUM($D$18:D46),"")</f>
        <v/>
      </c>
      <c r="H46" s="115" t="str">
        <f t="shared" si="4"/>
        <v/>
      </c>
      <c r="I46" s="115" t="str">
        <f t="shared" si="5"/>
        <v/>
      </c>
      <c r="J46" s="118" t="str">
        <f t="shared" si="6"/>
        <v/>
      </c>
      <c r="K46" s="115" t="str">
        <f t="shared" si="7"/>
        <v/>
      </c>
      <c r="L46" s="115" t="str">
        <f t="shared" si="8"/>
        <v/>
      </c>
      <c r="M46">
        <v>29</v>
      </c>
      <c r="N46">
        <f t="shared" si="9"/>
        <v>0</v>
      </c>
      <c r="O46">
        <f t="shared" si="10"/>
        <v>0</v>
      </c>
      <c r="P46">
        <f t="shared" si="11"/>
        <v>0</v>
      </c>
    </row>
    <row r="47" spans="1:16" ht="19" customHeight="1" x14ac:dyDescent="0.35">
      <c r="A47" s="113">
        <f t="shared" si="12"/>
        <v>30</v>
      </c>
      <c r="B47" s="116" t="str">
        <f t="shared" si="13"/>
        <v/>
      </c>
      <c r="C47" s="116" t="str">
        <f t="shared" si="0"/>
        <v/>
      </c>
      <c r="D47" s="116" t="str">
        <f t="shared" si="1"/>
        <v/>
      </c>
      <c r="E47" s="116" t="str">
        <f t="shared" si="2"/>
        <v/>
      </c>
      <c r="F47" s="116" t="str">
        <f t="shared" si="3"/>
        <v/>
      </c>
      <c r="G47" s="116" t="str">
        <f>IF(A47&lt;=$B$7,$B$9+SUM($D$18:D47),"")</f>
        <v/>
      </c>
      <c r="H47" s="116" t="str">
        <f t="shared" si="4"/>
        <v/>
      </c>
      <c r="I47" s="116" t="str">
        <f t="shared" si="5"/>
        <v/>
      </c>
      <c r="J47" s="119" t="str">
        <f t="shared" si="6"/>
        <v/>
      </c>
      <c r="K47" s="116" t="str">
        <f t="shared" si="7"/>
        <v/>
      </c>
      <c r="L47" s="116" t="str">
        <f t="shared" si="8"/>
        <v/>
      </c>
      <c r="M47">
        <v>30</v>
      </c>
      <c r="N47">
        <f t="shared" si="9"/>
        <v>0</v>
      </c>
      <c r="O47">
        <f t="shared" si="10"/>
        <v>0</v>
      </c>
      <c r="P47">
        <f t="shared" si="11"/>
        <v>0</v>
      </c>
    </row>
    <row r="49" spans="13:14" x14ac:dyDescent="0.35">
      <c r="M49" t="s">
        <v>810</v>
      </c>
      <c r="N49">
        <f>SUM(O18:O47)</f>
        <v>1969.1797510826732</v>
      </c>
    </row>
    <row r="50" spans="13:14" x14ac:dyDescent="0.35">
      <c r="M50" t="s">
        <v>811</v>
      </c>
      <c r="N50">
        <f>SUM(P18:P47)</f>
        <v>687.29999391907268</v>
      </c>
    </row>
    <row r="51" spans="13:14" x14ac:dyDescent="0.35">
      <c r="M51" t="s">
        <v>812</v>
      </c>
      <c r="N51">
        <f>MAX(0,($E$5-$E$6)/$N$49)</f>
        <v>16286.656768888342</v>
      </c>
    </row>
    <row r="52" spans="13:14" x14ac:dyDescent="0.35">
      <c r="M52" t="s">
        <v>813</v>
      </c>
      <c r="N52">
        <f>$E$6+$N$49*$N$51-$B$9-$N$50*$N$51</f>
        <v>20877535.623909499</v>
      </c>
    </row>
    <row r="53" spans="13:14" x14ac:dyDescent="0.35">
      <c r="M53" t="s">
        <v>814</v>
      </c>
      <c r="N53">
        <f>MAX(0,($E$5-$E$6+($B$12/100)*($E$6-$B$9-$B$13))/($N$49-($B$12/100)*($N$49-$N$50)))</f>
        <v>17720.678956634547</v>
      </c>
    </row>
  </sheetData>
  <mergeCells count="12">
    <mergeCell ref="A16:J16"/>
    <mergeCell ref="A1:L1"/>
    <mergeCell ref="A2:L2"/>
    <mergeCell ref="A4:B4"/>
    <mergeCell ref="D4:F4"/>
    <mergeCell ref="H4:L4"/>
    <mergeCell ref="H5:L5"/>
    <mergeCell ref="H6:L6"/>
    <mergeCell ref="H7:L7"/>
    <mergeCell ref="H8:L8"/>
    <mergeCell ref="H9:L9"/>
    <mergeCell ref="H10:L10"/>
  </mergeCells>
  <conditionalFormatting sqref="J18:J47">
    <cfRule type="dataBar" priority="1">
      <dataBar>
        <cfvo type="min"/>
        <cfvo type="max"/>
        <color rgb="FF638EC6"/>
      </dataBar>
      <extLst>
        <ext xmlns:x14="http://schemas.microsoft.com/office/spreadsheetml/2009/9/main" uri="{B025F937-C7B1-47D3-B67F-A62EFF666E3E}">
          <x14:id>{EBC7FA93-FB93-401C-9F55-FEC5AEC66898}</x14:id>
        </ext>
      </extLst>
    </cfRule>
  </conditionalFormatting>
  <conditionalFormatting sqref="L18:L47">
    <cfRule type="expression" dxfId="5" priority="2">
      <formula>L18&gt;=0</formula>
    </cfRule>
    <cfRule type="expression" dxfId="4" priority="3">
      <formula>L18&lt;0</formula>
    </cfRule>
  </conditionalFormatting>
  <dataValidations count="4">
    <dataValidation type="list" allowBlank="1" showInputMessage="1" showErrorMessage="1" sqref="B5" xr:uid="{23A3C0DB-4877-4CE1-93AF-008D72E33A7B}">
      <formula1>"Retirement,Child Education,Home Purchase,Wedding,Other"</formula1>
    </dataValidation>
    <dataValidation type="decimal" operator="greaterThanOrEqual" allowBlank="1" showInputMessage="1" showErrorMessage="1" errorTitle="Invalid input" error="Value cannot be negative." promptTitle="Non-negative input" prompt="Enter zero or a positive value." sqref="B13 B9 B6" xr:uid="{3A836692-07F2-4836-9FEC-8987145C8F15}">
      <formula1>0</formula1>
    </dataValidation>
    <dataValidation type="whole" allowBlank="1" showInputMessage="1" showErrorMessage="1" errorTitle="Invalid input" error="Years must be 1 to 30." promptTitle="Years to goal" prompt="Enter a whole number from 1 to 30." sqref="B7" xr:uid="{00619EC8-F55B-45C2-96E6-149834BE4495}">
      <formula1>1</formula1>
      <formula2>30</formula2>
    </dataValidation>
    <dataValidation type="decimal" allowBlank="1" showInputMessage="1" showErrorMessage="1" errorTitle="Invalid input" error="Use a value from 0 to 100." promptTitle="Percentage" prompt="Enter a value from 0 to 100." sqref="B8 B10:B12" xr:uid="{8DAE274D-F358-40F8-B613-5AE1950A0D58}">
      <formula1>0</formula1>
      <formula2>100</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BC7FA93-FB93-401C-9F55-FEC5AEC66898}">
            <x14:dataBar minLength="0" maxLength="100" negativeBarColorSameAsPositive="1" axisPosition="none">
              <x14:cfvo type="min"/>
              <x14:cfvo type="max"/>
            </x14:dataBar>
          </x14:cfRule>
          <xm:sqref>J18:J47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0E1D-48A9-4EB9-8094-237F65A7A38E}">
  <dimension ref="A1:L67"/>
  <sheetViews>
    <sheetView workbookViewId="0">
      <selection activeCell="F28" sqref="F28"/>
    </sheetView>
  </sheetViews>
  <sheetFormatPr defaultRowHeight="14.5" x14ac:dyDescent="0.35"/>
  <cols>
    <col min="1" max="1" width="26.08984375" customWidth="1"/>
    <col min="2" max="3" width="19.08984375" customWidth="1"/>
    <col min="4" max="4" width="34.36328125" bestFit="1" customWidth="1"/>
    <col min="5" max="8" width="19.08984375" customWidth="1"/>
    <col min="9" max="12" width="13.08984375" customWidth="1"/>
  </cols>
  <sheetData>
    <row r="1" spans="1:12" ht="32" customHeight="1" x14ac:dyDescent="0.35">
      <c r="A1" s="306" t="s">
        <v>454</v>
      </c>
      <c r="B1" s="306"/>
      <c r="C1" s="306"/>
      <c r="D1" s="306"/>
      <c r="E1" s="306"/>
      <c r="F1" s="306"/>
      <c r="G1" s="306"/>
      <c r="H1" s="306"/>
      <c r="I1" s="306"/>
      <c r="J1" s="306"/>
      <c r="K1" s="306"/>
      <c r="L1" s="306"/>
    </row>
    <row r="2" spans="1:12" ht="24" customHeight="1" x14ac:dyDescent="0.35">
      <c r="A2" s="307" t="s">
        <v>455</v>
      </c>
      <c r="B2" s="307"/>
      <c r="C2" s="307"/>
      <c r="D2" s="307"/>
      <c r="E2" s="307"/>
      <c r="F2" s="307"/>
      <c r="G2" s="307"/>
      <c r="H2" s="307"/>
      <c r="I2" s="307"/>
      <c r="J2" s="307"/>
      <c r="K2" s="307"/>
      <c r="L2" s="307"/>
    </row>
    <row r="3" spans="1:12" x14ac:dyDescent="0.35">
      <c r="A3" s="67"/>
      <c r="B3" s="67"/>
      <c r="C3" s="67"/>
      <c r="D3" s="67"/>
      <c r="E3" s="67"/>
      <c r="F3" s="67"/>
      <c r="G3" s="67"/>
      <c r="H3" s="67"/>
      <c r="I3" s="67"/>
      <c r="J3" s="67"/>
      <c r="K3" s="67"/>
      <c r="L3" s="67"/>
    </row>
    <row r="4" spans="1:12" ht="22" customHeight="1" x14ac:dyDescent="0.35">
      <c r="A4" s="308" t="s">
        <v>456</v>
      </c>
      <c r="B4" s="308"/>
      <c r="C4" s="67"/>
      <c r="D4" s="308" t="s">
        <v>179</v>
      </c>
      <c r="E4" s="308"/>
      <c r="F4" s="308"/>
      <c r="G4" s="67"/>
      <c r="H4" s="308" t="s">
        <v>483</v>
      </c>
      <c r="I4" s="308"/>
      <c r="J4" s="308"/>
      <c r="K4" s="308"/>
      <c r="L4" s="308"/>
    </row>
    <row r="5" spans="1:12" x14ac:dyDescent="0.35">
      <c r="A5" s="66" t="s">
        <v>457</v>
      </c>
      <c r="B5" s="128">
        <v>10000000</v>
      </c>
      <c r="C5" s="67"/>
      <c r="D5" s="66" t="s">
        <v>472</v>
      </c>
      <c r="E5" s="131">
        <f>-PMT($B$6/1200,$B$7*12,$B$5)</f>
        <v>80559.31935518072</v>
      </c>
      <c r="F5" s="67"/>
      <c r="G5" s="67"/>
      <c r="H5" s="305" t="s">
        <v>484</v>
      </c>
      <c r="I5" s="305"/>
      <c r="J5" s="305"/>
      <c r="K5" s="305"/>
      <c r="L5" s="305"/>
    </row>
    <row r="6" spans="1:12" x14ac:dyDescent="0.35">
      <c r="A6" s="66" t="s">
        <v>181</v>
      </c>
      <c r="B6" s="129">
        <f>'Common Assumptions'!$B$7</f>
        <v>7.5</v>
      </c>
      <c r="C6" s="67"/>
      <c r="D6" s="66" t="s">
        <v>473</v>
      </c>
      <c r="E6" s="132">
        <f>($B$13-$B$14)/100</f>
        <v>0.115</v>
      </c>
      <c r="F6" s="67"/>
      <c r="G6" s="67"/>
      <c r="H6" s="305"/>
      <c r="I6" s="305"/>
      <c r="J6" s="305"/>
      <c r="K6" s="305"/>
      <c r="L6" s="305"/>
    </row>
    <row r="7" spans="1:12" x14ac:dyDescent="0.35">
      <c r="A7" s="66" t="s">
        <v>458</v>
      </c>
      <c r="B7" s="130">
        <v>20</v>
      </c>
      <c r="C7" s="67"/>
      <c r="D7" s="66" t="s">
        <v>474</v>
      </c>
      <c r="E7" s="131" cm="1">
        <f t="array" ref="E7">INDEX('PVI Engine'!$L$2:$L$361,$B$7*12)</f>
        <v>12322162.184301388</v>
      </c>
      <c r="F7" s="67"/>
      <c r="G7" s="67"/>
      <c r="H7" s="305" t="s">
        <v>485</v>
      </c>
      <c r="I7" s="305"/>
      <c r="J7" s="305"/>
      <c r="K7" s="305"/>
      <c r="L7" s="305"/>
    </row>
    <row r="8" spans="1:12" x14ac:dyDescent="0.35">
      <c r="A8" s="66" t="s">
        <v>459</v>
      </c>
      <c r="B8" s="128">
        <v>500000</v>
      </c>
      <c r="C8" s="67"/>
      <c r="D8" s="66" t="s">
        <v>475</v>
      </c>
      <c r="E8" s="131" cm="1">
        <f t="array" ref="E8">INDEX('PVI Engine'!$W$2:$W$361,$B$7*12)</f>
        <v>8289116.710812198</v>
      </c>
      <c r="F8" s="67"/>
      <c r="G8" s="67"/>
      <c r="H8" s="305"/>
      <c r="I8" s="305"/>
      <c r="J8" s="305"/>
      <c r="K8" s="305"/>
      <c r="L8" s="305"/>
    </row>
    <row r="9" spans="1:12" x14ac:dyDescent="0.35">
      <c r="A9" s="66" t="s">
        <v>460</v>
      </c>
      <c r="B9" s="130">
        <v>12</v>
      </c>
      <c r="C9" s="67"/>
      <c r="D9" s="66" t="s">
        <v>476</v>
      </c>
      <c r="E9" s="131" cm="1">
        <f t="array" ref="E9">INDEX('PVI Engine'!$AH$2:$AH$361,$B$7*12)</f>
        <v>10096414.292595878</v>
      </c>
      <c r="F9" s="67"/>
      <c r="G9" s="67"/>
      <c r="H9" s="305" t="s">
        <v>486</v>
      </c>
      <c r="I9" s="305"/>
      <c r="J9" s="305"/>
      <c r="K9" s="305"/>
      <c r="L9" s="305"/>
    </row>
    <row r="10" spans="1:12" x14ac:dyDescent="0.35">
      <c r="A10" s="66" t="s">
        <v>461</v>
      </c>
      <c r="B10" s="128">
        <v>10000</v>
      </c>
      <c r="C10" s="67"/>
      <c r="D10" s="66" t="s">
        <v>477</v>
      </c>
      <c r="E10" s="131">
        <f>SUM('PVI Engine'!$C$2:INDEX('PVI Engine'!$C$2:$C$361,$B$7*12))-SUM('PVI Engine'!$N$2:INDEX('PVI Engine'!$N$2:$N$361,$B$7*12))</f>
        <v>3233552.3707653889</v>
      </c>
      <c r="F10" s="67"/>
      <c r="G10" s="67"/>
      <c r="H10" s="305"/>
      <c r="I10" s="305"/>
      <c r="J10" s="305"/>
      <c r="K10" s="305"/>
      <c r="L10" s="305"/>
    </row>
    <row r="11" spans="1:12" x14ac:dyDescent="0.35">
      <c r="A11" s="66" t="s">
        <v>462</v>
      </c>
      <c r="B11" s="130">
        <v>1</v>
      </c>
      <c r="C11" s="67"/>
      <c r="D11" s="66" t="s">
        <v>478</v>
      </c>
      <c r="E11" s="131">
        <f>SUM('PVI Engine'!$C$2:INDEX('PVI Engine'!$C$2:$C$361,$B$7*12))-SUM('PVI Engine'!$Y$2:INDEX('PVI Engine'!$Y$2:$Y$361,$B$7*12))</f>
        <v>1488572.0206064126</v>
      </c>
      <c r="F11" s="67"/>
      <c r="G11" s="67"/>
      <c r="H11" s="305" t="s">
        <v>880</v>
      </c>
      <c r="I11" s="305"/>
      <c r="J11" s="305"/>
      <c r="K11" s="305"/>
      <c r="L11" s="305"/>
    </row>
    <row r="12" spans="1:12" x14ac:dyDescent="0.35">
      <c r="A12" s="66" t="s">
        <v>463</v>
      </c>
      <c r="B12" s="130">
        <v>240</v>
      </c>
      <c r="C12" s="67"/>
      <c r="D12" s="66" t="s">
        <v>479</v>
      </c>
      <c r="E12" s="133">
        <f>IFERROR(MATCH(0,'PVI Engine'!$Q$2:INDEX('PVI Engine'!$Q$2:$Q$361,$B$7*12),0),$B$7*12)</f>
        <v>173</v>
      </c>
      <c r="F12" s="67"/>
      <c r="G12" s="67"/>
      <c r="H12" s="305"/>
      <c r="I12" s="305"/>
      <c r="J12" s="305"/>
      <c r="K12" s="305"/>
      <c r="L12" s="305"/>
    </row>
    <row r="13" spans="1:12" x14ac:dyDescent="0.35">
      <c r="A13" s="66" t="s">
        <v>464</v>
      </c>
      <c r="B13" s="129">
        <f>'Common Assumptions'!$B$6</f>
        <v>12</v>
      </c>
      <c r="C13" s="67"/>
      <c r="D13" s="66" t="s">
        <v>480</v>
      </c>
      <c r="E13" s="131">
        <f>E7-MAX(E8,E9)</f>
        <v>2225747.8917055093</v>
      </c>
      <c r="F13" s="67"/>
      <c r="G13" s="67"/>
      <c r="H13" s="305" t="s">
        <v>487</v>
      </c>
      <c r="I13" s="305"/>
      <c r="J13" s="305"/>
      <c r="K13" s="305"/>
      <c r="L13" s="305"/>
    </row>
    <row r="14" spans="1:12" x14ac:dyDescent="0.35">
      <c r="A14" s="66" t="s">
        <v>465</v>
      </c>
      <c r="B14" s="129">
        <f>'Common Assumptions'!$B$10</f>
        <v>0.5</v>
      </c>
      <c r="C14" s="67"/>
      <c r="D14" s="66" t="s">
        <v>481</v>
      </c>
      <c r="E14" s="134">
        <f>($B$6/(1-$B$15/100))+$B$14</f>
        <v>9.0714285714285712</v>
      </c>
      <c r="F14" s="67"/>
      <c r="G14" s="67"/>
      <c r="H14" s="305"/>
      <c r="I14" s="305"/>
      <c r="J14" s="305"/>
      <c r="K14" s="305"/>
      <c r="L14" s="305"/>
    </row>
    <row r="15" spans="1:12" x14ac:dyDescent="0.35">
      <c r="A15" s="66" t="s">
        <v>86</v>
      </c>
      <c r="B15" s="129">
        <f>'Common Assumptions'!$B$12</f>
        <v>12.5</v>
      </c>
      <c r="C15" s="67"/>
      <c r="D15" s="66" t="s">
        <v>482</v>
      </c>
      <c r="E15" s="310" t="str">
        <f>IF($B$18&lt;&gt;"Yes","BUILD EMERGENCY FUND FIRST",IF(OR($B$20="Debt-free",$B$19="Low"),"LEAN TOWARD PREPAYMENT",IF(E13&gt;0,"MODELED WEALTH FAVOURS INVESTING; WEIGH RISK AND LIQUIDITY","MODELED WEALTH FAVOURS PREPAYMENT")))</f>
        <v>MODELED WEALTH FAVOURS INVESTING; WEIGH RISK AND LIQUIDITY</v>
      </c>
      <c r="F15" s="310"/>
      <c r="G15" s="67"/>
      <c r="H15" s="305" t="s">
        <v>488</v>
      </c>
      <c r="I15" s="305"/>
      <c r="J15" s="305"/>
      <c r="K15" s="305"/>
      <c r="L15" s="305"/>
    </row>
    <row r="16" spans="1:12" x14ac:dyDescent="0.35">
      <c r="A16" s="66" t="s">
        <v>87</v>
      </c>
      <c r="B16" s="128">
        <f>'Common Assumptions'!$B$13</f>
        <v>125000</v>
      </c>
      <c r="C16" s="67"/>
      <c r="D16" s="67"/>
      <c r="E16" s="67"/>
      <c r="F16" s="67"/>
      <c r="G16" s="67"/>
      <c r="H16" s="305"/>
      <c r="I16" s="305"/>
      <c r="J16" s="305"/>
      <c r="K16" s="305"/>
      <c r="L16" s="305"/>
    </row>
    <row r="17" spans="1:12" x14ac:dyDescent="0.35">
      <c r="A17" s="66" t="s">
        <v>184</v>
      </c>
      <c r="B17" s="129">
        <f>'Common Assumptions'!$B$5</f>
        <v>6</v>
      </c>
      <c r="C17" s="67"/>
      <c r="D17" s="67" t="s">
        <v>877</v>
      </c>
      <c r="E17" s="222">
        <f>$E$7/(1+$B$17/100)^$B$7</f>
        <v>3842108.4145221296</v>
      </c>
      <c r="F17" s="67"/>
      <c r="G17" s="67"/>
      <c r="H17" s="67"/>
      <c r="I17" s="67"/>
      <c r="J17" s="67"/>
      <c r="K17" s="67"/>
      <c r="L17" s="67"/>
    </row>
    <row r="18" spans="1:12" x14ac:dyDescent="0.35">
      <c r="A18" s="66" t="s">
        <v>466</v>
      </c>
      <c r="B18" s="121" t="s">
        <v>467</v>
      </c>
      <c r="C18" s="67"/>
      <c r="D18" s="67" t="s">
        <v>878</v>
      </c>
      <c r="E18" s="222">
        <f>$E$8/(1+$B$17/100)^$B$7</f>
        <v>2584585.7721416745</v>
      </c>
      <c r="F18" s="67"/>
      <c r="G18" s="67"/>
      <c r="H18" s="67"/>
      <c r="I18" s="67"/>
      <c r="J18" s="67"/>
      <c r="K18" s="67"/>
      <c r="L18" s="67"/>
    </row>
    <row r="19" spans="1:12" x14ac:dyDescent="0.35">
      <c r="A19" s="66" t="s">
        <v>468</v>
      </c>
      <c r="B19" s="121" t="s">
        <v>469</v>
      </c>
      <c r="C19" s="67"/>
      <c r="D19" s="67" t="s">
        <v>879</v>
      </c>
      <c r="E19" s="222">
        <f>$E$9/(1+$B$17/100)^$B$7</f>
        <v>3148109.7010316155</v>
      </c>
      <c r="F19" s="67"/>
      <c r="G19" s="67"/>
      <c r="H19" s="67"/>
      <c r="I19" s="67"/>
      <c r="J19" s="67"/>
      <c r="K19" s="67"/>
      <c r="L19" s="67"/>
    </row>
    <row r="20" spans="1:12" x14ac:dyDescent="0.35">
      <c r="A20" s="66" t="s">
        <v>470</v>
      </c>
      <c r="B20" s="121" t="s">
        <v>471</v>
      </c>
      <c r="C20" s="67"/>
      <c r="D20" s="67"/>
      <c r="E20" s="223" t="s">
        <v>913</v>
      </c>
      <c r="F20" s="67"/>
      <c r="G20" s="67"/>
      <c r="H20" s="67"/>
      <c r="I20" s="67"/>
      <c r="J20" s="67"/>
      <c r="K20" s="67"/>
      <c r="L20" s="67"/>
    </row>
    <row r="21" spans="1:12" x14ac:dyDescent="0.35">
      <c r="A21" s="67"/>
      <c r="B21" s="67"/>
      <c r="C21" s="67"/>
      <c r="D21" s="67"/>
      <c r="E21" s="230"/>
      <c r="F21" s="67"/>
      <c r="G21" s="67"/>
      <c r="H21" s="67"/>
      <c r="I21" s="67"/>
      <c r="J21" s="67"/>
      <c r="K21" s="67"/>
      <c r="L21" s="67"/>
    </row>
    <row r="22" spans="1:12" x14ac:dyDescent="0.35">
      <c r="A22" s="67"/>
      <c r="B22" s="67"/>
      <c r="C22" s="67"/>
      <c r="D22" s="67"/>
      <c r="E22" s="67"/>
      <c r="F22" s="67"/>
      <c r="G22" s="67"/>
      <c r="H22" s="67"/>
      <c r="I22" s="67"/>
      <c r="J22" s="67"/>
      <c r="K22" s="67"/>
      <c r="L22" s="67"/>
    </row>
    <row r="23" spans="1:12" ht="22" customHeight="1" x14ac:dyDescent="0.35">
      <c r="A23" s="308" t="s">
        <v>489</v>
      </c>
      <c r="B23" s="308"/>
      <c r="C23" s="308"/>
      <c r="D23" s="308"/>
      <c r="E23" s="308"/>
      <c r="F23" s="308"/>
      <c r="G23" s="308"/>
      <c r="H23" s="308"/>
      <c r="I23" s="67"/>
      <c r="J23" s="67"/>
      <c r="K23" s="67"/>
      <c r="L23" s="67"/>
    </row>
    <row r="24" spans="1:12" ht="26" x14ac:dyDescent="0.35">
      <c r="A24" s="123" t="s">
        <v>73</v>
      </c>
      <c r="B24" s="123" t="s">
        <v>490</v>
      </c>
      <c r="C24" s="123" t="s">
        <v>491</v>
      </c>
      <c r="D24" s="123" t="s">
        <v>492</v>
      </c>
      <c r="E24" s="123" t="s">
        <v>493</v>
      </c>
      <c r="F24" s="123" t="s">
        <v>494</v>
      </c>
      <c r="G24" s="123" t="s">
        <v>495</v>
      </c>
      <c r="H24" s="123" t="s">
        <v>496</v>
      </c>
      <c r="I24" s="67"/>
      <c r="J24" s="67"/>
      <c r="K24" s="67"/>
      <c r="L24" s="67"/>
    </row>
    <row r="25" spans="1:12" x14ac:dyDescent="0.35">
      <c r="A25" s="135">
        <v>1</v>
      </c>
      <c r="B25" s="137" cm="1">
        <f t="array" ref="B25">IF(A25&lt;=$B$7,INDEX('PVI Engine'!$F$2:$F$361,A25*12),"")</f>
        <v>9775681.2967818119</v>
      </c>
      <c r="C25" s="137" cm="1">
        <f t="array" ref="C25">IF(A25&lt;=$B$7,INDEX('PVI Engine'!$L$2:$L$361,A25*12),"")</f>
        <v>626531.47283966932</v>
      </c>
      <c r="D25" s="137" cm="1">
        <f t="array" ref="D25">IF(A25&lt;=$B$7,INDEX('PVI Engine'!$Q$2:$Q$361,A25*12),"")</f>
        <v>9151469.138612166</v>
      </c>
      <c r="E25" s="137" cm="1">
        <f t="array" ref="E25">IF(A25&lt;=$B$7,INDEX('PVI Engine'!$W$2:$W$361,A25*12),"")</f>
        <v>0</v>
      </c>
      <c r="F25" s="137" cm="1">
        <f t="array" ref="F25">IF(A25&lt;=$B$7,INDEX('PVI Engine'!$AB$2:$AB$361,A25*12),"")</f>
        <v>9156941.8078468293</v>
      </c>
      <c r="G25" s="137" cm="1">
        <f t="array" ref="G25">IF(A25&lt;=$B$7,INDEX('PVI Engine'!$AH$2:$AH$361,A25*12),"")</f>
        <v>5534.2556432631718</v>
      </c>
      <c r="H25" s="126" t="str">
        <f t="shared" ref="H25:H54" si="0">IF(A25&gt;$B$7,"",IF(C25&gt;=MAX(E25,G25),"Invest",IF(E25&gt;=G25,"Prepay: Tenure","Prepay: EMI")))</f>
        <v>Invest</v>
      </c>
      <c r="I25" s="67"/>
      <c r="J25" s="67"/>
      <c r="K25" s="67"/>
      <c r="L25" s="67"/>
    </row>
    <row r="26" spans="1:12" x14ac:dyDescent="0.35">
      <c r="A26" s="136">
        <v>2</v>
      </c>
      <c r="B26" s="138" cm="1">
        <f t="array" ref="B26">IF(A26&lt;=$B$7,INDEX('PVI Engine'!$F$2:$F$361,A26*12),"")</f>
        <v>9533948.1496607829</v>
      </c>
      <c r="C26" s="138" cm="1">
        <f t="array" ref="C26">IF(A26&lt;=$B$7,INDEX('PVI Engine'!$L$2:$L$361,A26*12),"")</f>
        <v>829035.73113319837</v>
      </c>
      <c r="D26" s="138" cm="1">
        <f t="array" ref="D26">IF(A26&lt;=$B$7,INDEX('PVI Engine'!$Q$2:$Q$361,A26*12),"")</f>
        <v>8737064.621245252</v>
      </c>
      <c r="E26" s="138" cm="1">
        <f t="array" ref="E26">IF(A26&lt;=$B$7,INDEX('PVI Engine'!$W$2:$W$361,A26*12),"")</f>
        <v>0</v>
      </c>
      <c r="F26" s="138" cm="1">
        <f t="array" ref="F26">IF(A26&lt;=$B$7,INDEX('PVI Engine'!$AB$2:$AB$361,A26*12),"")</f>
        <v>8811899.5493074656</v>
      </c>
      <c r="G26" s="138" cm="1">
        <f t="array" ref="G26">IF(A26&lt;=$B$7,INDEX('PVI Engine'!$AH$2:$AH$361,A26*12),"")</f>
        <v>76388.370733831835</v>
      </c>
      <c r="H26" s="124" t="str">
        <f t="shared" si="0"/>
        <v>Invest</v>
      </c>
      <c r="I26" s="67"/>
      <c r="J26" s="67"/>
      <c r="K26" s="67"/>
      <c r="L26" s="67"/>
    </row>
    <row r="27" spans="1:12" x14ac:dyDescent="0.35">
      <c r="A27" s="135">
        <v>3</v>
      </c>
      <c r="B27" s="137" cm="1">
        <f t="array" ref="B27">IF(A27&lt;=$B$7,INDEX('PVI Engine'!$F$2:$F$361,A27*12),"")</f>
        <v>9273448.630099101</v>
      </c>
      <c r="C27" s="137" cm="1">
        <f t="array" ref="C27">IF(A27&lt;=$B$7,INDEX('PVI Engine'!$L$2:$L$361,A27*12),"")</f>
        <v>1047208.5797659268</v>
      </c>
      <c r="D27" s="137" cm="1">
        <f t="array" ref="D27">IF(A27&lt;=$B$7,INDEX('PVI Engine'!$Q$2:$Q$361,A27*12),"")</f>
        <v>8290488.8042174606</v>
      </c>
      <c r="E27" s="137" cm="1">
        <f t="array" ref="E27">IF(A27&lt;=$B$7,INDEX('PVI Engine'!$W$2:$W$361,A27*12),"")</f>
        <v>0</v>
      </c>
      <c r="F27" s="137" cm="1">
        <f t="array" ref="F27">IF(A27&lt;=$B$7,INDEX('PVI Engine'!$AB$2:$AB$361,A27*12),"")</f>
        <v>8452666.9242465142</v>
      </c>
      <c r="G27" s="137" cm="1">
        <f t="array" ref="G27">IF(A27&lt;=$B$7,INDEX('PVI Engine'!$AH$2:$AH$361,A27*12),"")</f>
        <v>168664.45758840136</v>
      </c>
      <c r="H27" s="126" t="str">
        <f t="shared" si="0"/>
        <v>Invest</v>
      </c>
      <c r="I27" s="67"/>
      <c r="J27" s="67"/>
      <c r="K27" s="67"/>
      <c r="L27" s="67"/>
    </row>
    <row r="28" spans="1:12" x14ac:dyDescent="0.35">
      <c r="A28" s="136">
        <v>4</v>
      </c>
      <c r="B28" s="138" cm="1">
        <f t="array" ref="B28">IF(A28&lt;=$B$7,INDEX('PVI Engine'!$F$2:$F$361,A28*12),"")</f>
        <v>8992725.8558330983</v>
      </c>
      <c r="C28" s="138" cm="1">
        <f t="array" ref="C28">IF(A28&lt;=$B$7,INDEX('PVI Engine'!$L$2:$L$361,A28*12),"")</f>
        <v>1284977.3725264266</v>
      </c>
      <c r="D28" s="138" cm="1">
        <f t="array" ref="D28">IF(A28&lt;=$B$7,INDEX('PVI Engine'!$Q$2:$Q$361,A28*12),"")</f>
        <v>7809244.1459275475</v>
      </c>
      <c r="E28" s="138" cm="1">
        <f t="array" ref="E28">IF(A28&lt;=$B$7,INDEX('PVI Engine'!$W$2:$W$361,A28*12),"")</f>
        <v>0</v>
      </c>
      <c r="F28" s="138" cm="1">
        <f t="array" ref="F28">IF(A28&lt;=$B$7,INDEX('PVI Engine'!$AB$2:$AB$361,A28*12),"")</f>
        <v>8078496.4733832832</v>
      </c>
      <c r="G28" s="138" cm="1">
        <f t="array" ref="G28">IF(A28&lt;=$B$7,INDEX('PVI Engine'!$AH$2:$AH$361,A28*12),"")</f>
        <v>285320.76470056316</v>
      </c>
      <c r="H28" s="124" t="str">
        <f t="shared" si="0"/>
        <v>Invest</v>
      </c>
      <c r="I28" s="67"/>
      <c r="J28" s="67"/>
      <c r="K28" s="67"/>
      <c r="L28" s="67"/>
    </row>
    <row r="29" spans="1:12" x14ac:dyDescent="0.35">
      <c r="A29" s="135">
        <v>5</v>
      </c>
      <c r="B29" s="137" cm="1">
        <f t="array" ref="B29">IF(A29&lt;=$B$7,INDEX('PVI Engine'!$F$2:$F$361,A29*12),"")</f>
        <v>8690209.8430427518</v>
      </c>
      <c r="C29" s="137" cm="1">
        <f t="array" ref="C29">IF(A29&lt;=$B$7,INDEX('PVI Engine'!$L$2:$L$361,A29*12),"")</f>
        <v>1549758.9594271807</v>
      </c>
      <c r="D29" s="137" cm="1">
        <f t="array" ref="D29">IF(A29&lt;=$B$7,INDEX('PVI Engine'!$Q$2:$Q$361,A29*12),"")</f>
        <v>7290639.2141290065</v>
      </c>
      <c r="E29" s="137" cm="1">
        <f t="array" ref="E29">IF(A29&lt;=$B$7,INDEX('PVI Engine'!$W$2:$W$361,A29*12),"")</f>
        <v>0</v>
      </c>
      <c r="F29" s="137" cm="1">
        <f t="array" ref="F29">IF(A29&lt;=$B$7,INDEX('PVI Engine'!$AB$2:$AB$361,A29*12),"")</f>
        <v>7688633.242948819</v>
      </c>
      <c r="G29" s="137" cm="1">
        <f t="array" ref="G29">IF(A29&lt;=$B$7,INDEX('PVI Engine'!$AH$2:$AH$361,A29*12),"")</f>
        <v>429725.70176948985</v>
      </c>
      <c r="H29" s="126" t="str">
        <f t="shared" si="0"/>
        <v>Invest</v>
      </c>
      <c r="I29" s="67"/>
      <c r="J29" s="67"/>
      <c r="K29" s="67"/>
      <c r="L29" s="67"/>
    </row>
    <row r="30" spans="1:12" x14ac:dyDescent="0.35">
      <c r="A30" s="136">
        <v>6</v>
      </c>
      <c r="B30" s="138" cm="1">
        <f t="array" ref="B30">IF(A30&lt;=$B$7,INDEX('PVI Engine'!$F$2:$F$361,A30*12),"")</f>
        <v>8364208.725983927</v>
      </c>
      <c r="C30" s="138" cm="1">
        <f t="array" ref="C30">IF(A30&lt;=$B$7,INDEX('PVI Engine'!$L$2:$L$361,A30*12),"")</f>
        <v>1844828.893736768</v>
      </c>
      <c r="D30" s="138" cm="1">
        <f t="array" ref="D30">IF(A30&lt;=$B$7,INDEX('PVI Engine'!$Q$2:$Q$361,A30*12),"")</f>
        <v>6731773.633695391</v>
      </c>
      <c r="E30" s="138" cm="1">
        <f t="array" ref="E30">IF(A30&lt;=$B$7,INDEX('PVI Engine'!$W$2:$W$361,A30*12),"")</f>
        <v>0</v>
      </c>
      <c r="F30" s="138" cm="1">
        <f t="array" ref="F30">IF(A30&lt;=$B$7,INDEX('PVI Engine'!$AB$2:$AB$361,A30*12),"")</f>
        <v>7282324.4521043226</v>
      </c>
      <c r="G30" s="138" cm="1">
        <f t="array" ref="G30">IF(A30&lt;=$B$7,INDEX('PVI Engine'!$AH$2:$AH$361,A30*12),"")</f>
        <v>603643.03708499938</v>
      </c>
      <c r="H30" s="124" t="str">
        <f t="shared" si="0"/>
        <v>Invest</v>
      </c>
      <c r="I30" s="67"/>
      <c r="J30" s="67"/>
      <c r="K30" s="67"/>
      <c r="L30" s="67"/>
    </row>
    <row r="31" spans="1:12" x14ac:dyDescent="0.35">
      <c r="A31" s="135">
        <v>7</v>
      </c>
      <c r="B31" s="137" cm="1">
        <f t="array" ref="B31">IF(A31&lt;=$B$7,INDEX('PVI Engine'!$F$2:$F$361,A31*12),"")</f>
        <v>8012899.2949778559</v>
      </c>
      <c r="C31" s="137" cm="1">
        <f t="array" ref="C31">IF(A31&lt;=$B$7,INDEX('PVI Engine'!$L$2:$L$361,A31*12),"")</f>
        <v>2173859.9201123943</v>
      </c>
      <c r="D31" s="137" cm="1">
        <f t="array" ref="D31">IF(A31&lt;=$B$7,INDEX('PVI Engine'!$Q$2:$Q$361,A31*12),"")</f>
        <v>6129521.8658415293</v>
      </c>
      <c r="E31" s="137" cm="1">
        <f t="array" ref="E31">IF(A31&lt;=$B$7,INDEX('PVI Engine'!$W$2:$W$361,A31*12),"")</f>
        <v>0</v>
      </c>
      <c r="F31" s="137" cm="1">
        <f t="array" ref="F31">IF(A31&lt;=$B$7,INDEX('PVI Engine'!$AB$2:$AB$361,A31*12),"")</f>
        <v>6858832.8436144609</v>
      </c>
      <c r="G31" s="137" cm="1">
        <f t="array" ref="G31">IF(A31&lt;=$B$7,INDEX('PVI Engine'!$AH$2:$AH$361,A31*12),"")</f>
        <v>805544.14669657208</v>
      </c>
      <c r="H31" s="126" t="str">
        <f t="shared" si="0"/>
        <v>Invest</v>
      </c>
      <c r="I31" s="67"/>
      <c r="J31" s="67"/>
      <c r="K31" s="67"/>
      <c r="L31" s="67"/>
    </row>
    <row r="32" spans="1:12" x14ac:dyDescent="0.35">
      <c r="A32" s="136">
        <v>8</v>
      </c>
      <c r="B32" s="138" cm="1">
        <f t="array" ref="B32">IF(A32&lt;=$B$7,INDEX('PVI Engine'!$F$2:$F$361,A32*12),"")</f>
        <v>7634316.7998401495</v>
      </c>
      <c r="C32" s="138" cm="1">
        <f t="array" ref="C32">IF(A32&lt;=$B$7,INDEX('PVI Engine'!$L$2:$L$361,A32*12),"")</f>
        <v>2540970.1377608203</v>
      </c>
      <c r="D32" s="138" cm="1">
        <f t="array" ref="D32">IF(A32&lt;=$B$7,INDEX('PVI Engine'!$Q$2:$Q$361,A32*12),"")</f>
        <v>5480515.7280835323</v>
      </c>
      <c r="E32" s="138" cm="1">
        <f t="array" ref="E32">IF(A32&lt;=$B$7,INDEX('PVI Engine'!$W$2:$W$361,A32*12),"")</f>
        <v>0</v>
      </c>
      <c r="F32" s="138" cm="1">
        <f t="array" ref="F32">IF(A32&lt;=$B$7,INDEX('PVI Engine'!$AB$2:$AB$361,A32*12),"")</f>
        <v>6417455.1363657918</v>
      </c>
      <c r="G32" s="138" cm="1">
        <f t="array" ref="G32">IF(A32&lt;=$B$7,INDEX('PVI Engine'!$AH$2:$AH$361,A32*12),"")</f>
        <v>1045105.0751677615</v>
      </c>
      <c r="H32" s="124" t="str">
        <f t="shared" si="0"/>
        <v>Invest</v>
      </c>
      <c r="I32" s="67"/>
      <c r="J32" s="67"/>
      <c r="K32" s="67"/>
      <c r="L32" s="67"/>
    </row>
    <row r="33" spans="1:12" x14ac:dyDescent="0.35">
      <c r="A33" s="135">
        <v>9</v>
      </c>
      <c r="B33" s="137" cm="1">
        <f t="array" ref="B33">IF(A33&lt;=$B$7,INDEX('PVI Engine'!$F$2:$F$361,A33*12),"")</f>
        <v>7226343.9617235037</v>
      </c>
      <c r="C33" s="137" cm="1">
        <f t="array" ref="C33">IF(A33&lt;=$B$7,INDEX('PVI Engine'!$L$2:$L$361,A33*12),"")</f>
        <v>2950777.0038318243</v>
      </c>
      <c r="D33" s="137" cm="1">
        <f t="array" ref="D33">IF(A33&lt;=$B$7,INDEX('PVI Engine'!$Q$2:$Q$361,A33*12),"")</f>
        <v>4781125.5571778696</v>
      </c>
      <c r="E33" s="137" cm="1">
        <f t="array" ref="E33">IF(A33&lt;=$B$7,INDEX('PVI Engine'!$W$2:$W$361,A33*12),"")</f>
        <v>0</v>
      </c>
      <c r="F33" s="137" cm="1">
        <f t="array" ref="F33">IF(A33&lt;=$B$7,INDEX('PVI Engine'!$AB$2:$AB$361,A33*12),"")</f>
        <v>5957547.6782322973</v>
      </c>
      <c r="G33" s="137" cm="1">
        <f t="array" ref="G33">IF(A33&lt;=$B$7,INDEX('PVI Engine'!$AH$2:$AH$361,A33*12),"")</f>
        <v>1327426.4761895586</v>
      </c>
      <c r="H33" s="126" t="str">
        <f t="shared" si="0"/>
        <v>Invest</v>
      </c>
      <c r="I33" s="67"/>
      <c r="J33" s="67"/>
      <c r="K33" s="67"/>
      <c r="L33" s="67"/>
    </row>
    <row r="34" spans="1:12" x14ac:dyDescent="0.35">
      <c r="A34" s="136">
        <v>10</v>
      </c>
      <c r="B34" s="138" cm="1">
        <f t="array" ref="B34">IF(A34&lt;=$B$7,INDEX('PVI Engine'!$F$2:$F$361,A34*12),"")</f>
        <v>6786699.1319211926</v>
      </c>
      <c r="C34" s="138" cm="1">
        <f t="array" ref="C34">IF(A34&lt;=$B$7,INDEX('PVI Engine'!$L$2:$L$361,A34*12),"")</f>
        <v>3408457.8852268741</v>
      </c>
      <c r="D34" s="138" cm="1">
        <f t="array" ref="D34">IF(A34&lt;=$B$7,INDEX('PVI Engine'!$Q$2:$Q$361,A34*12),"")</f>
        <v>4027439.909690435</v>
      </c>
      <c r="E34" s="138" cm="1">
        <f t="array" ref="E34">IF(A34&lt;=$B$7,INDEX('PVI Engine'!$W$2:$W$361,A34*12),"")</f>
        <v>0</v>
      </c>
      <c r="F34" s="138" cm="1">
        <f t="array" ref="F34">IF(A34&lt;=$B$7,INDEX('PVI Engine'!$AB$2:$AB$361,A34*12),"")</f>
        <v>5478562.4959875178</v>
      </c>
      <c r="G34" s="138" cm="1">
        <f t="array" ref="G34">IF(A34&lt;=$B$7,INDEX('PVI Engine'!$AH$2:$AH$361,A34*12),"")</f>
        <v>1658363.9152532921</v>
      </c>
      <c r="H34" s="124" t="str">
        <f t="shared" si="0"/>
        <v>Invest</v>
      </c>
      <c r="I34" s="67"/>
      <c r="J34" s="67"/>
      <c r="K34" s="67"/>
      <c r="L34" s="67"/>
    </row>
    <row r="35" spans="1:12" x14ac:dyDescent="0.35">
      <c r="A35" s="135">
        <v>11</v>
      </c>
      <c r="B35" s="137" cm="1">
        <f t="array" ref="B35">IF(A35&lt;=$B$7,INDEX('PVI Engine'!$F$2:$F$361,A35*12),"")</f>
        <v>6312923.5314077092</v>
      </c>
      <c r="C35" s="137" cm="1">
        <f t="array" ref="C35">IF(A35&lt;=$B$7,INDEX('PVI Engine'!$L$2:$L$361,A35*12),"")</f>
        <v>3919817.9528794331</v>
      </c>
      <c r="D35" s="137" cm="1">
        <f t="array" ref="D35">IF(A35&lt;=$B$7,INDEX('PVI Engine'!$Q$2:$Q$361,A35*12),"")</f>
        <v>3215243.6866680598</v>
      </c>
      <c r="E35" s="137" cm="1">
        <f t="array" ref="E35">IF(A35&lt;=$B$7,INDEX('PVI Engine'!$W$2:$W$361,A35*12),"")</f>
        <v>0</v>
      </c>
      <c r="F35" s="137" cm="1">
        <f t="array" ref="F35">IF(A35&lt;=$B$7,INDEX('PVI Engine'!$AB$2:$AB$361,A35*12),"")</f>
        <v>4980098.7833955092</v>
      </c>
      <c r="G35" s="137" cm="1">
        <f t="array" ref="G35">IF(A35&lt;=$B$7,INDEX('PVI Engine'!$AH$2:$AH$361,A35*12),"")</f>
        <v>2044661.8332281469</v>
      </c>
      <c r="H35" s="126" t="str">
        <f t="shared" si="0"/>
        <v>Invest</v>
      </c>
      <c r="I35" s="67"/>
      <c r="J35" s="67"/>
      <c r="K35" s="67"/>
      <c r="L35" s="67"/>
    </row>
    <row r="36" spans="1:12" x14ac:dyDescent="0.35">
      <c r="A36" s="136">
        <v>12</v>
      </c>
      <c r="B36" s="138" cm="1">
        <f t="array" ref="B36">IF(A36&lt;=$B$7,INDEX('PVI Engine'!$F$2:$F$361,A36*12),"")</f>
        <v>5802367.4997517904</v>
      </c>
      <c r="C36" s="138" cm="1">
        <f t="array" ref="C36">IF(A36&lt;=$B$7,INDEX('PVI Engine'!$L$2:$L$361,A36*12),"")</f>
        <v>4491366.3088500807</v>
      </c>
      <c r="D36" s="138" cm="1">
        <f t="array" ref="D36">IF(A36&lt;=$B$7,INDEX('PVI Engine'!$Q$2:$Q$361,A36*12),"")</f>
        <v>2339994.5600714069</v>
      </c>
      <c r="E36" s="138" cm="1">
        <f t="array" ref="E36">IF(A36&lt;=$B$7,INDEX('PVI Engine'!$W$2:$W$361,A36*12),"")</f>
        <v>0</v>
      </c>
      <c r="F36" s="138" cm="1">
        <f t="array" ref="F36">IF(A36&lt;=$B$7,INDEX('PVI Engine'!$AB$2:$AB$361,A36*12),"")</f>
        <v>4461978.1122379713</v>
      </c>
      <c r="G36" s="138" cm="1">
        <f t="array" ref="G36">IF(A36&lt;=$B$7,INDEX('PVI Engine'!$AH$2:$AH$361,A36*12),"")</f>
        <v>2494123.0521869836</v>
      </c>
      <c r="H36" s="124" t="str">
        <f t="shared" si="0"/>
        <v>Invest</v>
      </c>
      <c r="I36" s="67"/>
      <c r="J36" s="67"/>
      <c r="K36" s="67"/>
      <c r="L36" s="67"/>
    </row>
    <row r="37" spans="1:12" x14ac:dyDescent="0.35">
      <c r="A37" s="135">
        <v>13</v>
      </c>
      <c r="B37" s="137" cm="1">
        <f t="array" ref="B37">IF(A37&lt;=$B$7,INDEX('PVI Engine'!$F$2:$F$361,A37*12),"")</f>
        <v>5252175.6764968</v>
      </c>
      <c r="C37" s="137" cm="1">
        <f t="array" ref="C37">IF(A37&lt;=$B$7,INDEX('PVI Engine'!$L$2:$L$361,A37*12),"")</f>
        <v>5130401.344542047</v>
      </c>
      <c r="D37" s="137" cm="1">
        <f t="array" ref="D37">IF(A37&lt;=$B$7,INDEX('PVI Engine'!$Q$2:$Q$361,A37*12),"")</f>
        <v>1396797.5691305855</v>
      </c>
      <c r="E37" s="137" cm="1">
        <f t="array" ref="E37">IF(A37&lt;=$B$7,INDEX('PVI Engine'!$W$2:$W$361,A37*12),"")</f>
        <v>0</v>
      </c>
      <c r="F37" s="137" cm="1">
        <f t="array" ref="F37">IF(A37&lt;=$B$7,INDEX('PVI Engine'!$AB$2:$AB$361,A37*12),"")</f>
        <v>3924357.6782889836</v>
      </c>
      <c r="G37" s="137" cm="1">
        <f t="array" ref="G37">IF(A37&lt;=$B$7,INDEX('PVI Engine'!$AH$2:$AH$361,A37*12),"")</f>
        <v>3015830.4488350716</v>
      </c>
      <c r="H37" s="126" t="str">
        <f t="shared" si="0"/>
        <v>Invest</v>
      </c>
      <c r="I37" s="67"/>
      <c r="J37" s="67"/>
      <c r="K37" s="67"/>
      <c r="L37" s="67"/>
    </row>
    <row r="38" spans="1:12" x14ac:dyDescent="0.35">
      <c r="A38" s="136">
        <v>14</v>
      </c>
      <c r="B38" s="138" cm="1">
        <f t="array" ref="B38">IF(A38&lt;=$B$7,INDEX('PVI Engine'!$F$2:$F$361,A38*12),"")</f>
        <v>4659271.0321331862</v>
      </c>
      <c r="C38" s="138" cm="1">
        <f t="array" ref="C38">IF(A38&lt;=$B$7,INDEX('PVI Engine'!$L$2:$L$361,A38*12),"")</f>
        <v>5845106.4493966028</v>
      </c>
      <c r="D38" s="138" cm="1">
        <f t="array" ref="D38">IF(A38&lt;=$B$7,INDEX('PVI Engine'!$Q$2:$Q$361,A38*12),"")</f>
        <v>380377.74454983987</v>
      </c>
      <c r="E38" s="138" cm="1">
        <f t="array" ref="E38">IF(A38&lt;=$B$7,INDEX('PVI Engine'!$W$2:$W$361,A38*12),"")</f>
        <v>0</v>
      </c>
      <c r="F38" s="138" cm="1">
        <f t="array" ref="F38">IF(A38&lt;=$B$7,INDEX('PVI Engine'!$AB$2:$AB$361,A38*12),"")</f>
        <v>3367907.8727215328</v>
      </c>
      <c r="G38" s="138" cm="1">
        <f t="array" ref="G38">IF(A38&lt;=$B$7,INDEX('PVI Engine'!$AH$2:$AH$361,A38*12),"")</f>
        <v>3620450.23513878</v>
      </c>
      <c r="H38" s="124" t="str">
        <f t="shared" si="0"/>
        <v>Invest</v>
      </c>
      <c r="I38" s="67"/>
      <c r="J38" s="67"/>
      <c r="K38" s="67"/>
      <c r="L38" s="67"/>
    </row>
    <row r="39" spans="1:12" x14ac:dyDescent="0.35">
      <c r="A39" s="135">
        <v>15</v>
      </c>
      <c r="B39" s="137" cm="1">
        <f t="array" ref="B39">IF(A39&lt;=$B$7,INDEX('PVI Engine'!$F$2:$F$361,A39*12),"")</f>
        <v>4020337.659353816</v>
      </c>
      <c r="C39" s="137" cm="1">
        <f t="array" ref="C39">IF(A39&lt;=$B$7,INDEX('PVI Engine'!$L$2:$L$361,A39*12),"")</f>
        <v>6644657.3251605649</v>
      </c>
      <c r="D39" s="137" cm="1">
        <f t="array" ref="D39">IF(A39&lt;=$B$7,INDEX('PVI Engine'!$Q$2:$Q$361,A39*12),"")</f>
        <v>0</v>
      </c>
      <c r="E39" s="137" cm="1">
        <f t="array" ref="E39">IF(A39&lt;=$B$7,INDEX('PVI Engine'!$W$2:$W$361,A39*12),"")</f>
        <v>723074.39987971948</v>
      </c>
      <c r="F39" s="137" cm="1">
        <f t="array" ref="F39">IF(A39&lt;=$B$7,INDEX('PVI Engine'!$AB$2:$AB$361,A39*12),"")</f>
        <v>2794106.3649185477</v>
      </c>
      <c r="G39" s="137" cm="1">
        <f t="array" ref="G39">IF(A39&lt;=$B$7,INDEX('PVI Engine'!$AH$2:$AH$361,A39*12),"")</f>
        <v>4320673.6127711786</v>
      </c>
      <c r="H39" s="126" t="str">
        <f t="shared" si="0"/>
        <v>Invest</v>
      </c>
      <c r="I39" s="67"/>
      <c r="J39" s="67"/>
      <c r="K39" s="67"/>
      <c r="L39" s="67"/>
    </row>
    <row r="40" spans="1:12" x14ac:dyDescent="0.35">
      <c r="A40" s="136">
        <v>16</v>
      </c>
      <c r="B40" s="138" cm="1">
        <f t="array" ref="B40">IF(A40&lt;=$B$7,INDEX('PVI Engine'!$F$2:$F$361,A40*12),"")</f>
        <v>3331802.2283497322</v>
      </c>
      <c r="C40" s="138" cm="1">
        <f t="array" ref="C40">IF(A40&lt;=$B$7,INDEX('PVI Engine'!$L$2:$L$361,A40*12),"")</f>
        <v>7539342.3130097548</v>
      </c>
      <c r="D40" s="138" cm="1">
        <f t="array" ref="D40">IF(A40&lt;=$B$7,INDEX('PVI Engine'!$Q$2:$Q$361,A40*12),"")</f>
        <v>0</v>
      </c>
      <c r="E40" s="138" cm="1">
        <f t="array" ref="E40">IF(A40&lt;=$B$7,INDEX('PVI Engine'!$W$2:$W$361,A40*12),"")</f>
        <v>1951000.6615619306</v>
      </c>
      <c r="F40" s="138" cm="1">
        <f t="array" ref="F40">IF(A40&lt;=$B$7,INDEX('PVI Engine'!$AB$2:$AB$361,A40*12),"")</f>
        <v>2205763.3105377122</v>
      </c>
      <c r="G40" s="138" cm="1">
        <f t="array" ref="G40">IF(A40&lt;=$B$7,INDEX('PVI Engine'!$AH$2:$AH$361,A40*12),"")</f>
        <v>5131918.7203467628</v>
      </c>
      <c r="H40" s="124" t="str">
        <f t="shared" si="0"/>
        <v>Invest</v>
      </c>
      <c r="I40" s="67"/>
      <c r="J40" s="67"/>
      <c r="K40" s="67"/>
      <c r="L40" s="67"/>
    </row>
    <row r="41" spans="1:12" x14ac:dyDescent="0.35">
      <c r="A41" s="135">
        <v>17</v>
      </c>
      <c r="B41" s="137" cm="1">
        <f t="array" ref="B41">IF(A41&lt;=$B$7,INDEX('PVI Engine'!$F$2:$F$361,A41*12),"")</f>
        <v>2589814.0024323436</v>
      </c>
      <c r="C41" s="137" cm="1">
        <f t="array" ref="C41">IF(A41&lt;=$B$7,INDEX('PVI Engine'!$L$2:$L$361,A41*12),"")</f>
        <v>8540697.3114586342</v>
      </c>
      <c r="D41" s="137" cm="1">
        <f t="array" ref="D41">IF(A41&lt;=$B$7,INDEX('PVI Engine'!$Q$2:$Q$361,A41*12),"")</f>
        <v>0</v>
      </c>
      <c r="E41" s="137" cm="1">
        <f t="array" ref="E41">IF(A41&lt;=$B$7,INDEX('PVI Engine'!$W$2:$W$361,A41*12),"")</f>
        <v>3297068.0164127341</v>
      </c>
      <c r="F41" s="137" cm="1">
        <f t="array" ref="F41">IF(A41&lt;=$B$7,INDEX('PVI Engine'!$AB$2:$AB$361,A41*12),"")</f>
        <v>1608066.8552651438</v>
      </c>
      <c r="G41" s="137" cm="1">
        <f t="array" ref="G41">IF(A41&lt;=$B$7,INDEX('PVI Engine'!$AH$2:$AH$361,A41*12),"")</f>
        <v>6073595.2868237775</v>
      </c>
      <c r="H41" s="126" t="str">
        <f t="shared" si="0"/>
        <v>Invest</v>
      </c>
      <c r="I41" s="67"/>
      <c r="J41" s="67"/>
      <c r="K41" s="67"/>
      <c r="L41" s="67"/>
    </row>
    <row r="42" spans="1:12" x14ac:dyDescent="0.35">
      <c r="A42" s="136">
        <v>18</v>
      </c>
      <c r="B42" s="138" cm="1">
        <f t="array" ref="B42">IF(A42&lt;=$B$7,INDEX('PVI Engine'!$F$2:$F$361,A42*12),"")</f>
        <v>1790223.3022164134</v>
      </c>
      <c r="C42" s="138" cm="1">
        <f t="array" ref="C42">IF(A42&lt;=$B$7,INDEX('PVI Engine'!$L$2:$L$361,A42*12),"")</f>
        <v>9661657.0543249957</v>
      </c>
      <c r="D42" s="138" cm="1">
        <f t="array" ref="D42">IF(A42&lt;=$B$7,INDEX('PVI Engine'!$Q$2:$Q$361,A42*12),"")</f>
        <v>0</v>
      </c>
      <c r="E42" s="138" cm="1">
        <f t="array" ref="E42">IF(A42&lt;=$B$7,INDEX('PVI Engine'!$W$2:$W$361,A42*12),"")</f>
        <v>4789886.8510087943</v>
      </c>
      <c r="F42" s="138" cm="1">
        <f t="array" ref="F42">IF(A42&lt;=$B$7,INDEX('PVI Engine'!$AB$2:$AB$361,A42*12),"")</f>
        <v>1011045.1869521445</v>
      </c>
      <c r="G42" s="138" cm="1">
        <f t="array" ref="G42">IF(A42&lt;=$B$7,INDEX('PVI Engine'!$AH$2:$AH$361,A42*12),"")</f>
        <v>7171857.0702701593</v>
      </c>
      <c r="H42" s="124" t="str">
        <f t="shared" si="0"/>
        <v>Invest</v>
      </c>
      <c r="I42" s="67"/>
      <c r="J42" s="67"/>
      <c r="K42" s="67"/>
      <c r="L42" s="67"/>
    </row>
    <row r="43" spans="1:12" x14ac:dyDescent="0.35">
      <c r="A43" s="135">
        <v>19</v>
      </c>
      <c r="B43" s="137" cm="1">
        <f t="array" ref="B43">IF(A43&lt;=$B$7,INDEX('PVI Engine'!$F$2:$F$361,A43*12),"")</f>
        <v>928558.29792160785</v>
      </c>
      <c r="C43" s="137" cm="1">
        <f t="array" ref="C43">IF(A43&lt;=$B$7,INDEX('PVI Engine'!$L$2:$L$361,A43*12),"")</f>
        <v>10916724.732559027</v>
      </c>
      <c r="D43" s="137" cm="1">
        <f t="array" ref="D43">IF(A43&lt;=$B$7,INDEX('PVI Engine'!$Q$2:$Q$361,A43*12),"")</f>
        <v>0</v>
      </c>
      <c r="E43" s="137" cm="1">
        <f t="array" ref="E43">IF(A43&lt;=$B$7,INDEX('PVI Engine'!$W$2:$W$361,A43*12),"")</f>
        <v>6447252.1511872774</v>
      </c>
      <c r="F43" s="137" cm="1">
        <f t="array" ref="F43">IF(A43&lt;=$B$7,INDEX('PVI Engine'!$AB$2:$AB$361,A43*12),"")</f>
        <v>437407.72662032273</v>
      </c>
      <c r="G43" s="137" cm="1">
        <f t="array" ref="G43">IF(A43&lt;=$B$7,INDEX('PVI Engine'!$AH$2:$AH$361,A43*12),"")</f>
        <v>8467888.1684910394</v>
      </c>
      <c r="H43" s="126" t="str">
        <f t="shared" si="0"/>
        <v>Invest</v>
      </c>
      <c r="I43" s="67"/>
      <c r="J43" s="67"/>
      <c r="K43" s="67"/>
      <c r="L43" s="67"/>
    </row>
    <row r="44" spans="1:12" x14ac:dyDescent="0.35">
      <c r="A44" s="136">
        <v>20</v>
      </c>
      <c r="B44" s="138" cm="1">
        <f t="array" ref="B44">IF(A44&lt;=$B$7,INDEX('PVI Engine'!$F$2:$F$361,A44*12),"")</f>
        <v>1.0379881132394075E-7</v>
      </c>
      <c r="C44" s="138" cm="1">
        <f t="array" ref="C44">IF(A44&lt;=$B$7,INDEX('PVI Engine'!$L$2:$L$361,A44*12),"")</f>
        <v>12322162.184301388</v>
      </c>
      <c r="D44" s="138" cm="1">
        <f t="array" ref="D44">IF(A44&lt;=$B$7,INDEX('PVI Engine'!$Q$2:$Q$361,A44*12),"")</f>
        <v>0</v>
      </c>
      <c r="E44" s="138" cm="1">
        <f t="array" ref="E44">IF(A44&lt;=$B$7,INDEX('PVI Engine'!$W$2:$W$361,A44*12),"")</f>
        <v>8289116.710812198</v>
      </c>
      <c r="F44" s="138" cm="1">
        <f t="array" ref="F44">IF(A44&lt;=$B$7,INDEX('PVI Engine'!$AB$2:$AB$361,A44*12),"")</f>
        <v>0</v>
      </c>
      <c r="G44" s="138" cm="1">
        <f t="array" ref="G44">IF(A44&lt;=$B$7,INDEX('PVI Engine'!$AH$2:$AH$361,A44*12),"")</f>
        <v>10096414.292595878</v>
      </c>
      <c r="H44" s="124" t="str">
        <f t="shared" si="0"/>
        <v>Invest</v>
      </c>
      <c r="I44" s="67"/>
      <c r="J44" s="67"/>
      <c r="K44" s="67"/>
      <c r="L44" s="67"/>
    </row>
    <row r="45" spans="1:12" x14ac:dyDescent="0.35">
      <c r="A45" s="135">
        <v>21</v>
      </c>
      <c r="B45" s="137" t="str" cm="1">
        <f t="array" ref="B45">IF(A45&lt;=$B$7,INDEX('PVI Engine'!$F$2:$F$361,A45*12),"")</f>
        <v/>
      </c>
      <c r="C45" s="137" t="str" cm="1">
        <f t="array" ref="C45">IF(A45&lt;=$B$7,INDEX('PVI Engine'!$L$2:$L$361,A45*12),"")</f>
        <v/>
      </c>
      <c r="D45" s="137" t="str" cm="1">
        <f t="array" ref="D45">IF(A45&lt;=$B$7,INDEX('PVI Engine'!$Q$2:$Q$361,A45*12),"")</f>
        <v/>
      </c>
      <c r="E45" s="137" t="str" cm="1">
        <f t="array" ref="E45">IF(A45&lt;=$B$7,INDEX('PVI Engine'!$W$2:$W$361,A45*12),"")</f>
        <v/>
      </c>
      <c r="F45" s="137" t="str" cm="1">
        <f t="array" ref="F45">IF(A45&lt;=$B$7,INDEX('PVI Engine'!$AB$2:$AB$361,A45*12),"")</f>
        <v/>
      </c>
      <c r="G45" s="137" t="str" cm="1">
        <f t="array" ref="G45">IF(A45&lt;=$B$7,INDEX('PVI Engine'!$AH$2:$AH$361,A45*12),"")</f>
        <v/>
      </c>
      <c r="H45" s="126" t="str">
        <f t="shared" si="0"/>
        <v/>
      </c>
      <c r="I45" s="67"/>
      <c r="J45" s="67"/>
      <c r="K45" s="67"/>
      <c r="L45" s="67"/>
    </row>
    <row r="46" spans="1:12" x14ac:dyDescent="0.35">
      <c r="A46" s="136">
        <v>22</v>
      </c>
      <c r="B46" s="138" t="str" cm="1">
        <f t="array" ref="B46">IF(A46&lt;=$B$7,INDEX('PVI Engine'!$F$2:$F$361,A46*12),"")</f>
        <v/>
      </c>
      <c r="C46" s="138" t="str" cm="1">
        <f t="array" ref="C46">IF(A46&lt;=$B$7,INDEX('PVI Engine'!$L$2:$L$361,A46*12),"")</f>
        <v/>
      </c>
      <c r="D46" s="138" t="str" cm="1">
        <f t="array" ref="D46">IF(A46&lt;=$B$7,INDEX('PVI Engine'!$Q$2:$Q$361,A46*12),"")</f>
        <v/>
      </c>
      <c r="E46" s="138" t="str" cm="1">
        <f t="array" ref="E46">IF(A46&lt;=$B$7,INDEX('PVI Engine'!$W$2:$W$361,A46*12),"")</f>
        <v/>
      </c>
      <c r="F46" s="138" t="str" cm="1">
        <f t="array" ref="F46">IF(A46&lt;=$B$7,INDEX('PVI Engine'!$AB$2:$AB$361,A46*12),"")</f>
        <v/>
      </c>
      <c r="G46" s="138" t="str" cm="1">
        <f t="array" ref="G46">IF(A46&lt;=$B$7,INDEX('PVI Engine'!$AH$2:$AH$361,A46*12),"")</f>
        <v/>
      </c>
      <c r="H46" s="124" t="str">
        <f t="shared" si="0"/>
        <v/>
      </c>
      <c r="I46" s="67"/>
      <c r="J46" s="67"/>
      <c r="K46" s="67"/>
      <c r="L46" s="67"/>
    </row>
    <row r="47" spans="1:12" x14ac:dyDescent="0.35">
      <c r="A47" s="135">
        <v>23</v>
      </c>
      <c r="B47" s="137" t="str" cm="1">
        <f t="array" ref="B47">IF(A47&lt;=$B$7,INDEX('PVI Engine'!$F$2:$F$361,A47*12),"")</f>
        <v/>
      </c>
      <c r="C47" s="137" t="str" cm="1">
        <f t="array" ref="C47">IF(A47&lt;=$B$7,INDEX('PVI Engine'!$L$2:$L$361,A47*12),"")</f>
        <v/>
      </c>
      <c r="D47" s="137" t="str" cm="1">
        <f t="array" ref="D47">IF(A47&lt;=$B$7,INDEX('PVI Engine'!$Q$2:$Q$361,A47*12),"")</f>
        <v/>
      </c>
      <c r="E47" s="137" t="str" cm="1">
        <f t="array" ref="E47">IF(A47&lt;=$B$7,INDEX('PVI Engine'!$W$2:$W$361,A47*12),"")</f>
        <v/>
      </c>
      <c r="F47" s="137" t="str" cm="1">
        <f t="array" ref="F47">IF(A47&lt;=$B$7,INDEX('PVI Engine'!$AB$2:$AB$361,A47*12),"")</f>
        <v/>
      </c>
      <c r="G47" s="137" t="str" cm="1">
        <f t="array" ref="G47">IF(A47&lt;=$B$7,INDEX('PVI Engine'!$AH$2:$AH$361,A47*12),"")</f>
        <v/>
      </c>
      <c r="H47" s="126" t="str">
        <f t="shared" si="0"/>
        <v/>
      </c>
      <c r="I47" s="67"/>
      <c r="J47" s="67"/>
      <c r="K47" s="67"/>
      <c r="L47" s="67"/>
    </row>
    <row r="48" spans="1:12" x14ac:dyDescent="0.35">
      <c r="A48" s="136">
        <v>24</v>
      </c>
      <c r="B48" s="138" t="str" cm="1">
        <f t="array" ref="B48">IF(A48&lt;=$B$7,INDEX('PVI Engine'!$F$2:$F$361,A48*12),"")</f>
        <v/>
      </c>
      <c r="C48" s="138" t="str" cm="1">
        <f t="array" ref="C48">IF(A48&lt;=$B$7,INDEX('PVI Engine'!$L$2:$L$361,A48*12),"")</f>
        <v/>
      </c>
      <c r="D48" s="138" t="str" cm="1">
        <f t="array" ref="D48">IF(A48&lt;=$B$7,INDEX('PVI Engine'!$Q$2:$Q$361,A48*12),"")</f>
        <v/>
      </c>
      <c r="E48" s="138" t="str" cm="1">
        <f t="array" ref="E48">IF(A48&lt;=$B$7,INDEX('PVI Engine'!$W$2:$W$361,A48*12),"")</f>
        <v/>
      </c>
      <c r="F48" s="138" t="str" cm="1">
        <f t="array" ref="F48">IF(A48&lt;=$B$7,INDEX('PVI Engine'!$AB$2:$AB$361,A48*12),"")</f>
        <v/>
      </c>
      <c r="G48" s="138" t="str" cm="1">
        <f t="array" ref="G48">IF(A48&lt;=$B$7,INDEX('PVI Engine'!$AH$2:$AH$361,A48*12),"")</f>
        <v/>
      </c>
      <c r="H48" s="124" t="str">
        <f t="shared" si="0"/>
        <v/>
      </c>
      <c r="I48" s="67"/>
      <c r="J48" s="67"/>
      <c r="K48" s="67"/>
      <c r="L48" s="67"/>
    </row>
    <row r="49" spans="1:12" x14ac:dyDescent="0.35">
      <c r="A49" s="135">
        <v>25</v>
      </c>
      <c r="B49" s="137" t="str" cm="1">
        <f t="array" ref="B49">IF(A49&lt;=$B$7,INDEX('PVI Engine'!$F$2:$F$361,A49*12),"")</f>
        <v/>
      </c>
      <c r="C49" s="137" t="str" cm="1">
        <f t="array" ref="C49">IF(A49&lt;=$B$7,INDEX('PVI Engine'!$L$2:$L$361,A49*12),"")</f>
        <v/>
      </c>
      <c r="D49" s="137" t="str" cm="1">
        <f t="array" ref="D49">IF(A49&lt;=$B$7,INDEX('PVI Engine'!$Q$2:$Q$361,A49*12),"")</f>
        <v/>
      </c>
      <c r="E49" s="137" t="str" cm="1">
        <f t="array" ref="E49">IF(A49&lt;=$B$7,INDEX('PVI Engine'!$W$2:$W$361,A49*12),"")</f>
        <v/>
      </c>
      <c r="F49" s="137" t="str" cm="1">
        <f t="array" ref="F49">IF(A49&lt;=$B$7,INDEX('PVI Engine'!$AB$2:$AB$361,A49*12),"")</f>
        <v/>
      </c>
      <c r="G49" s="137" t="str" cm="1">
        <f t="array" ref="G49">IF(A49&lt;=$B$7,INDEX('PVI Engine'!$AH$2:$AH$361,A49*12),"")</f>
        <v/>
      </c>
      <c r="H49" s="126" t="str">
        <f t="shared" si="0"/>
        <v/>
      </c>
      <c r="I49" s="67"/>
      <c r="J49" s="67"/>
      <c r="K49" s="67"/>
      <c r="L49" s="67"/>
    </row>
    <row r="50" spans="1:12" x14ac:dyDescent="0.35">
      <c r="A50" s="136">
        <v>26</v>
      </c>
      <c r="B50" s="138" t="str" cm="1">
        <f t="array" ref="B50">IF(A50&lt;=$B$7,INDEX('PVI Engine'!$F$2:$F$361,A50*12),"")</f>
        <v/>
      </c>
      <c r="C50" s="138" t="str" cm="1">
        <f t="array" ref="C50">IF(A50&lt;=$B$7,INDEX('PVI Engine'!$L$2:$L$361,A50*12),"")</f>
        <v/>
      </c>
      <c r="D50" s="138" t="str" cm="1">
        <f t="array" ref="D50">IF(A50&lt;=$B$7,INDEX('PVI Engine'!$Q$2:$Q$361,A50*12),"")</f>
        <v/>
      </c>
      <c r="E50" s="138" t="str" cm="1">
        <f t="array" ref="E50">IF(A50&lt;=$B$7,INDEX('PVI Engine'!$W$2:$W$361,A50*12),"")</f>
        <v/>
      </c>
      <c r="F50" s="138" t="str" cm="1">
        <f t="array" ref="F50">IF(A50&lt;=$B$7,INDEX('PVI Engine'!$AB$2:$AB$361,A50*12),"")</f>
        <v/>
      </c>
      <c r="G50" s="138" t="str" cm="1">
        <f t="array" ref="G50">IF(A50&lt;=$B$7,INDEX('PVI Engine'!$AH$2:$AH$361,A50*12),"")</f>
        <v/>
      </c>
      <c r="H50" s="124" t="str">
        <f t="shared" si="0"/>
        <v/>
      </c>
      <c r="I50" s="67"/>
      <c r="J50" s="67"/>
      <c r="K50" s="67"/>
      <c r="L50" s="67"/>
    </row>
    <row r="51" spans="1:12" x14ac:dyDescent="0.35">
      <c r="A51" s="135">
        <v>27</v>
      </c>
      <c r="B51" s="137" t="str" cm="1">
        <f t="array" ref="B51">IF(A51&lt;=$B$7,INDEX('PVI Engine'!$F$2:$F$361,A51*12),"")</f>
        <v/>
      </c>
      <c r="C51" s="137" t="str" cm="1">
        <f t="array" ref="C51">IF(A51&lt;=$B$7,INDEX('PVI Engine'!$L$2:$L$361,A51*12),"")</f>
        <v/>
      </c>
      <c r="D51" s="137" t="str" cm="1">
        <f t="array" ref="D51">IF(A51&lt;=$B$7,INDEX('PVI Engine'!$Q$2:$Q$361,A51*12),"")</f>
        <v/>
      </c>
      <c r="E51" s="137" t="str" cm="1">
        <f t="array" ref="E51">IF(A51&lt;=$B$7,INDEX('PVI Engine'!$W$2:$W$361,A51*12),"")</f>
        <v/>
      </c>
      <c r="F51" s="137" t="str" cm="1">
        <f t="array" ref="F51">IF(A51&lt;=$B$7,INDEX('PVI Engine'!$AB$2:$AB$361,A51*12),"")</f>
        <v/>
      </c>
      <c r="G51" s="137" t="str" cm="1">
        <f t="array" ref="G51">IF(A51&lt;=$B$7,INDEX('PVI Engine'!$AH$2:$AH$361,A51*12),"")</f>
        <v/>
      </c>
      <c r="H51" s="126" t="str">
        <f t="shared" si="0"/>
        <v/>
      </c>
      <c r="I51" s="67"/>
      <c r="J51" s="67"/>
      <c r="K51" s="67"/>
      <c r="L51" s="67"/>
    </row>
    <row r="52" spans="1:12" x14ac:dyDescent="0.35">
      <c r="A52" s="136">
        <v>28</v>
      </c>
      <c r="B52" s="138" t="str" cm="1">
        <f t="array" ref="B52">IF(A52&lt;=$B$7,INDEX('PVI Engine'!$F$2:$F$361,A52*12),"")</f>
        <v/>
      </c>
      <c r="C52" s="138" t="str" cm="1">
        <f t="array" ref="C52">IF(A52&lt;=$B$7,INDEX('PVI Engine'!$L$2:$L$361,A52*12),"")</f>
        <v/>
      </c>
      <c r="D52" s="138" t="str" cm="1">
        <f t="array" ref="D52">IF(A52&lt;=$B$7,INDEX('PVI Engine'!$Q$2:$Q$361,A52*12),"")</f>
        <v/>
      </c>
      <c r="E52" s="138" t="str" cm="1">
        <f t="array" ref="E52">IF(A52&lt;=$B$7,INDEX('PVI Engine'!$W$2:$W$361,A52*12),"")</f>
        <v/>
      </c>
      <c r="F52" s="138" t="str" cm="1">
        <f t="array" ref="F52">IF(A52&lt;=$B$7,INDEX('PVI Engine'!$AB$2:$AB$361,A52*12),"")</f>
        <v/>
      </c>
      <c r="G52" s="138" t="str" cm="1">
        <f t="array" ref="G52">IF(A52&lt;=$B$7,INDEX('PVI Engine'!$AH$2:$AH$361,A52*12),"")</f>
        <v/>
      </c>
      <c r="H52" s="124" t="str">
        <f t="shared" si="0"/>
        <v/>
      </c>
      <c r="I52" s="67"/>
      <c r="J52" s="67"/>
      <c r="K52" s="67"/>
      <c r="L52" s="67"/>
    </row>
    <row r="53" spans="1:12" x14ac:dyDescent="0.35">
      <c r="A53" s="135">
        <v>29</v>
      </c>
      <c r="B53" s="137" t="str" cm="1">
        <f t="array" ref="B53">IF(A53&lt;=$B$7,INDEX('PVI Engine'!$F$2:$F$361,A53*12),"")</f>
        <v/>
      </c>
      <c r="C53" s="137" t="str" cm="1">
        <f t="array" ref="C53">IF(A53&lt;=$B$7,INDEX('PVI Engine'!$L$2:$L$361,A53*12),"")</f>
        <v/>
      </c>
      <c r="D53" s="137" t="str" cm="1">
        <f t="array" ref="D53">IF(A53&lt;=$B$7,INDEX('PVI Engine'!$Q$2:$Q$361,A53*12),"")</f>
        <v/>
      </c>
      <c r="E53" s="137" t="str" cm="1">
        <f t="array" ref="E53">IF(A53&lt;=$B$7,INDEX('PVI Engine'!$W$2:$W$361,A53*12),"")</f>
        <v/>
      </c>
      <c r="F53" s="137" t="str" cm="1">
        <f t="array" ref="F53">IF(A53&lt;=$B$7,INDEX('PVI Engine'!$AB$2:$AB$361,A53*12),"")</f>
        <v/>
      </c>
      <c r="G53" s="137" t="str" cm="1">
        <f t="array" ref="G53">IF(A53&lt;=$B$7,INDEX('PVI Engine'!$AH$2:$AH$361,A53*12),"")</f>
        <v/>
      </c>
      <c r="H53" s="126" t="str">
        <f t="shared" si="0"/>
        <v/>
      </c>
      <c r="I53" s="67"/>
      <c r="J53" s="67"/>
      <c r="K53" s="67"/>
      <c r="L53" s="67"/>
    </row>
    <row r="54" spans="1:12" x14ac:dyDescent="0.35">
      <c r="A54" s="111">
        <v>30</v>
      </c>
      <c r="B54" s="139" t="str" cm="1">
        <f t="array" ref="B54">IF(A54&lt;=$B$7,INDEX('PVI Engine'!$F$2:$F$361,A54*12),"")</f>
        <v/>
      </c>
      <c r="C54" s="139" t="str" cm="1">
        <f t="array" ref="C54">IF(A54&lt;=$B$7,INDEX('PVI Engine'!$L$2:$L$361,A54*12),"")</f>
        <v/>
      </c>
      <c r="D54" s="139" t="str" cm="1">
        <f t="array" ref="D54">IF(A54&lt;=$B$7,INDEX('PVI Engine'!$Q$2:$Q$361,A54*12),"")</f>
        <v/>
      </c>
      <c r="E54" s="139" t="str" cm="1">
        <f t="array" ref="E54">IF(A54&lt;=$B$7,INDEX('PVI Engine'!$W$2:$W$361,A54*12),"")</f>
        <v/>
      </c>
      <c r="F54" s="139" t="str" cm="1">
        <f t="array" ref="F54">IF(A54&lt;=$B$7,INDEX('PVI Engine'!$AB$2:$AB$361,A54*12),"")</f>
        <v/>
      </c>
      <c r="G54" s="139" t="str" cm="1">
        <f t="array" ref="G54">IF(A54&lt;=$B$7,INDEX('PVI Engine'!$AH$2:$AH$361,A54*12),"")</f>
        <v/>
      </c>
      <c r="H54" s="125" t="str">
        <f t="shared" si="0"/>
        <v/>
      </c>
      <c r="I54" s="67"/>
      <c r="J54" s="67"/>
      <c r="K54" s="67"/>
      <c r="L54" s="67"/>
    </row>
    <row r="55" spans="1:12" x14ac:dyDescent="0.35">
      <c r="A55" s="67"/>
      <c r="B55" s="67"/>
      <c r="C55" s="67"/>
      <c r="D55" s="67"/>
      <c r="E55" s="67"/>
      <c r="F55" s="67"/>
      <c r="G55" s="67"/>
      <c r="H55" s="67"/>
      <c r="I55" s="67"/>
      <c r="J55" s="67"/>
      <c r="K55" s="67"/>
      <c r="L55" s="67"/>
    </row>
    <row r="56" spans="1:12" x14ac:dyDescent="0.35">
      <c r="A56" s="67"/>
      <c r="B56" s="67"/>
      <c r="C56" s="67"/>
      <c r="D56" s="67"/>
      <c r="E56" s="67"/>
      <c r="F56" s="67"/>
      <c r="G56" s="67"/>
      <c r="H56" s="67"/>
      <c r="I56" s="67"/>
      <c r="J56" s="67"/>
      <c r="K56" s="67"/>
      <c r="L56" s="67"/>
    </row>
    <row r="57" spans="1:12" ht="22" customHeight="1" x14ac:dyDescent="0.35">
      <c r="A57" s="308" t="s">
        <v>497</v>
      </c>
      <c r="B57" s="308"/>
      <c r="C57" s="308"/>
      <c r="D57" s="308"/>
      <c r="E57" s="308"/>
      <c r="F57" s="308"/>
      <c r="G57" s="308"/>
      <c r="H57" s="308"/>
      <c r="I57" s="308"/>
      <c r="J57" s="308"/>
      <c r="K57" s="308"/>
      <c r="L57" s="308"/>
    </row>
    <row r="58" spans="1:12" ht="24" customHeight="1" x14ac:dyDescent="0.35">
      <c r="A58" s="122" t="s">
        <v>498</v>
      </c>
      <c r="B58" s="311" t="s">
        <v>499</v>
      </c>
      <c r="C58" s="311"/>
      <c r="D58" s="311"/>
      <c r="E58" s="311"/>
      <c r="F58" s="311"/>
      <c r="G58" s="311"/>
      <c r="H58" s="311"/>
      <c r="I58" s="311"/>
      <c r="J58" s="311"/>
      <c r="K58" s="311"/>
      <c r="L58" s="311"/>
    </row>
    <row r="59" spans="1:12" ht="38" customHeight="1" x14ac:dyDescent="0.35">
      <c r="A59" s="127" t="s">
        <v>500</v>
      </c>
      <c r="B59" s="309" t="s">
        <v>501</v>
      </c>
      <c r="C59" s="309"/>
      <c r="D59" s="309"/>
      <c r="E59" s="309"/>
      <c r="F59" s="309"/>
      <c r="G59" s="309"/>
      <c r="H59" s="309"/>
      <c r="I59" s="309"/>
      <c r="J59" s="309"/>
      <c r="K59" s="309"/>
      <c r="L59" s="309"/>
    </row>
    <row r="60" spans="1:12" ht="38" customHeight="1" x14ac:dyDescent="0.35">
      <c r="A60" s="127" t="s">
        <v>502</v>
      </c>
      <c r="B60" s="309" t="s">
        <v>503</v>
      </c>
      <c r="C60" s="309"/>
      <c r="D60" s="309"/>
      <c r="E60" s="309"/>
      <c r="F60" s="309"/>
      <c r="G60" s="309"/>
      <c r="H60" s="309"/>
      <c r="I60" s="309"/>
      <c r="J60" s="309"/>
      <c r="K60" s="309"/>
      <c r="L60" s="309"/>
    </row>
    <row r="61" spans="1:12" ht="38" customHeight="1" x14ac:dyDescent="0.35">
      <c r="A61" s="127" t="s">
        <v>504</v>
      </c>
      <c r="B61" s="309" t="s">
        <v>505</v>
      </c>
      <c r="C61" s="309"/>
      <c r="D61" s="309"/>
      <c r="E61" s="309"/>
      <c r="F61" s="309"/>
      <c r="G61" s="309"/>
      <c r="H61" s="309"/>
      <c r="I61" s="309"/>
      <c r="J61" s="309"/>
      <c r="K61" s="309"/>
      <c r="L61" s="309"/>
    </row>
    <row r="62" spans="1:12" ht="38" customHeight="1" x14ac:dyDescent="0.35">
      <c r="A62" s="127" t="s">
        <v>506</v>
      </c>
      <c r="B62" s="309" t="s">
        <v>507</v>
      </c>
      <c r="C62" s="309"/>
      <c r="D62" s="309"/>
      <c r="E62" s="309"/>
      <c r="F62" s="309"/>
      <c r="G62" s="309"/>
      <c r="H62" s="309"/>
      <c r="I62" s="309"/>
      <c r="J62" s="309"/>
      <c r="K62" s="309"/>
      <c r="L62" s="309"/>
    </row>
    <row r="63" spans="1:12" ht="38" customHeight="1" x14ac:dyDescent="0.35">
      <c r="A63" s="127" t="s">
        <v>508</v>
      </c>
      <c r="B63" s="309" t="s">
        <v>509</v>
      </c>
      <c r="C63" s="309"/>
      <c r="D63" s="309"/>
      <c r="E63" s="309"/>
      <c r="F63" s="309"/>
      <c r="G63" s="309"/>
      <c r="H63" s="309"/>
      <c r="I63" s="309"/>
      <c r="J63" s="309"/>
      <c r="K63" s="309"/>
      <c r="L63" s="309"/>
    </row>
    <row r="64" spans="1:12" ht="38" customHeight="1" x14ac:dyDescent="0.35">
      <c r="A64" s="127" t="s">
        <v>510</v>
      </c>
      <c r="B64" s="309" t="s">
        <v>511</v>
      </c>
      <c r="C64" s="309"/>
      <c r="D64" s="309"/>
      <c r="E64" s="309"/>
      <c r="F64" s="309"/>
      <c r="G64" s="309"/>
      <c r="H64" s="309"/>
      <c r="I64" s="309"/>
      <c r="J64" s="309"/>
      <c r="K64" s="309"/>
      <c r="L64" s="309"/>
    </row>
    <row r="65" spans="1:12" ht="38" customHeight="1" x14ac:dyDescent="0.35">
      <c r="A65" s="127" t="s">
        <v>512</v>
      </c>
      <c r="B65" s="309" t="s">
        <v>513</v>
      </c>
      <c r="C65" s="309"/>
      <c r="D65" s="309"/>
      <c r="E65" s="309"/>
      <c r="F65" s="309"/>
      <c r="G65" s="309"/>
      <c r="H65" s="309"/>
      <c r="I65" s="309"/>
      <c r="J65" s="309"/>
      <c r="K65" s="309"/>
      <c r="L65" s="309"/>
    </row>
    <row r="66" spans="1:12" ht="42" customHeight="1" x14ac:dyDescent="0.35">
      <c r="A66" s="166" t="s">
        <v>803</v>
      </c>
      <c r="B66" s="309" t="s">
        <v>804</v>
      </c>
      <c r="C66" s="309"/>
      <c r="D66" s="309"/>
      <c r="E66" s="309"/>
      <c r="F66" s="309"/>
      <c r="G66" s="309"/>
      <c r="H66" s="309"/>
      <c r="I66" s="309"/>
      <c r="J66" s="309"/>
      <c r="K66" s="309"/>
      <c r="L66" s="309"/>
    </row>
    <row r="67" spans="1:12" ht="42" customHeight="1" x14ac:dyDescent="0.35">
      <c r="A67" s="166" t="s">
        <v>805</v>
      </c>
      <c r="B67" s="309" t="s">
        <v>806</v>
      </c>
      <c r="C67" s="309"/>
      <c r="D67" s="309"/>
      <c r="E67" s="309"/>
      <c r="F67" s="309"/>
      <c r="G67" s="309"/>
      <c r="H67" s="309"/>
      <c r="I67" s="309"/>
      <c r="J67" s="309"/>
      <c r="K67" s="309"/>
      <c r="L67" s="309"/>
    </row>
  </sheetData>
  <mergeCells count="24">
    <mergeCell ref="B67:L67"/>
    <mergeCell ref="A57:L57"/>
    <mergeCell ref="E15:F15"/>
    <mergeCell ref="B58:L58"/>
    <mergeCell ref="B59:L59"/>
    <mergeCell ref="B60:L60"/>
    <mergeCell ref="B61:L61"/>
    <mergeCell ref="A23:H23"/>
    <mergeCell ref="B62:L62"/>
    <mergeCell ref="B63:L63"/>
    <mergeCell ref="B64:L64"/>
    <mergeCell ref="B65:L65"/>
    <mergeCell ref="B66:L66"/>
    <mergeCell ref="H7:L8"/>
    <mergeCell ref="H9:L10"/>
    <mergeCell ref="H11:L12"/>
    <mergeCell ref="H13:L14"/>
    <mergeCell ref="H15:L16"/>
    <mergeCell ref="H5:L6"/>
    <mergeCell ref="A1:L1"/>
    <mergeCell ref="A2:L2"/>
    <mergeCell ref="A4:B4"/>
    <mergeCell ref="D4:F4"/>
    <mergeCell ref="H4:L4"/>
  </mergeCells>
  <conditionalFormatting sqref="E13">
    <cfRule type="expression" dxfId="3" priority="1">
      <formula>E13&gt;=0</formula>
    </cfRule>
    <cfRule type="expression" dxfId="2" priority="2">
      <formula>E13&lt;0</formula>
    </cfRule>
  </conditionalFormatting>
  <conditionalFormatting sqref="H25:H54">
    <cfRule type="expression" dxfId="1" priority="3">
      <formula>$H25="Invest"</formula>
    </cfRule>
    <cfRule type="expression" dxfId="0" priority="4">
      <formula>LEFT($H25,6)="Prepay"</formula>
    </cfRule>
  </conditionalFormatting>
  <dataValidations count="7">
    <dataValidation allowBlank="1" showInputMessage="1" showErrorMessage="1" errorTitle="Check input" error="Enter a valid planning assumption." sqref="B5:B6 B8 B10 B13:B16" xr:uid="{1165547A-FD3E-4F98-8208-8393C7668EF0}"/>
    <dataValidation type="list" allowBlank="1" showInputMessage="1" showErrorMessage="1" errorTitle="Check input" error="Enter a valid planning assumption." sqref="B18" xr:uid="{803514B6-0E4C-4D3F-A021-BE122801B9EE}">
      <formula1>"Yes,No"</formula1>
    </dataValidation>
    <dataValidation type="list" allowBlank="1" showInputMessage="1" showErrorMessage="1" errorTitle="Check input" error="Enter a valid planning assumption." sqref="B19" xr:uid="{18FB3484-9477-4982-8233-1D4B58933D66}">
      <formula1>"Low,Medium,High"</formula1>
    </dataValidation>
    <dataValidation type="list" allowBlank="1" showInputMessage="1" showErrorMessage="1" errorTitle="Check input" error="Enter a valid planning assumption." sqref="B20" xr:uid="{BBCB3235-5A5D-4BE6-A296-DE4ABD723757}">
      <formula1>"Debt-free,Balanced,Growth"</formula1>
    </dataValidation>
    <dataValidation type="whole" allowBlank="1" showInputMessage="1" showErrorMessage="1" errorTitle="Check input" error="Enter a valid planning assumption." sqref="B7" xr:uid="{4CFA67F5-552B-4B3A-A370-6B4C2A0B28D5}">
      <formula1>1</formula1>
      <formula2>30</formula2>
    </dataValidation>
    <dataValidation type="whole" allowBlank="1" showInputMessage="1" showErrorMessage="1" errorTitle="Check input" error="Enter a valid planning assumption." sqref="B9 B11:B12" xr:uid="{A19B5110-9173-45ED-8189-70305AE4C23E}">
      <formula1>1</formula1>
      <formula2>360</formula2>
    </dataValidation>
    <dataValidation type="decimal" allowBlank="1" showInputMessage="1" showErrorMessage="1" errorTitle="Invalid input" error="Inflation must be 0 to 30." promptTitle="Inflation" prompt="Enter an annual inflation rate from 0% to 30%." sqref="B17" xr:uid="{F6EE815C-2060-4FC0-BCCA-DD4C3385B38B}">
      <formula1>0</formula1>
      <formula2>30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D089-23FF-4217-9F85-D18E91D03C13}">
  <dimension ref="A1:L63"/>
  <sheetViews>
    <sheetView workbookViewId="0">
      <selection activeCell="C20" sqref="C20"/>
    </sheetView>
  </sheetViews>
  <sheetFormatPr defaultRowHeight="14.5" x14ac:dyDescent="0.35"/>
  <cols>
    <col min="1" max="1" width="27.26953125" style="47" customWidth="1"/>
    <col min="2" max="2" width="14.90625" style="47" customWidth="1"/>
    <col min="3" max="3" width="19.6328125" style="47" customWidth="1"/>
    <col min="4" max="4" width="21.453125" style="47" customWidth="1"/>
    <col min="5" max="7" width="18.1796875" style="47" customWidth="1"/>
    <col min="8" max="10" width="20.36328125" style="47" customWidth="1"/>
    <col min="11" max="12" width="15.26953125" style="47" customWidth="1"/>
  </cols>
  <sheetData>
    <row r="1" spans="1:12" ht="23.5" x14ac:dyDescent="0.55000000000000004">
      <c r="A1" s="313" t="s">
        <v>549</v>
      </c>
      <c r="B1" s="313"/>
      <c r="C1" s="313"/>
      <c r="D1" s="313"/>
      <c r="E1" s="313"/>
      <c r="F1" s="313"/>
      <c r="G1" s="313"/>
      <c r="H1" s="313"/>
      <c r="I1" s="313"/>
      <c r="J1" s="313"/>
      <c r="K1" s="313"/>
      <c r="L1" s="313"/>
    </row>
    <row r="2" spans="1:12" x14ac:dyDescent="0.35">
      <c r="A2" s="314" t="s">
        <v>550</v>
      </c>
      <c r="B2" s="314"/>
      <c r="C2" s="314"/>
      <c r="D2" s="314"/>
      <c r="E2" s="314"/>
      <c r="F2" s="314"/>
      <c r="G2" s="314"/>
      <c r="H2" s="314"/>
      <c r="I2" s="314"/>
      <c r="J2" s="314"/>
      <c r="K2" s="314"/>
      <c r="L2" s="314"/>
    </row>
    <row r="4" spans="1:12" x14ac:dyDescent="0.35">
      <c r="A4" s="315" t="s">
        <v>456</v>
      </c>
      <c r="B4" s="315"/>
      <c r="D4" s="315" t="s">
        <v>551</v>
      </c>
      <c r="E4" s="315"/>
      <c r="F4" s="315"/>
      <c r="H4" s="315" t="s">
        <v>483</v>
      </c>
      <c r="I4" s="315"/>
      <c r="J4" s="315"/>
      <c r="K4" s="315"/>
      <c r="L4" s="315"/>
    </row>
    <row r="5" spans="1:12" ht="28" customHeight="1" x14ac:dyDescent="0.35">
      <c r="A5" s="140" t="s">
        <v>552</v>
      </c>
      <c r="B5" s="141">
        <v>40</v>
      </c>
      <c r="D5" s="142" t="s">
        <v>563</v>
      </c>
      <c r="E5" s="48">
        <f>MAX(0,B6-B5)</f>
        <v>20</v>
      </c>
      <c r="H5" s="312" t="str">
        <f>"1. Your first retirement-year lifestyle is about "&amp;TEXT(E7,"₹#,##0")&amp;" per month after inflation."</f>
        <v>1. Your first retirement-year lifestyle is about ₹3,20,714 per month after inflation.</v>
      </c>
      <c r="I5" s="312"/>
      <c r="J5" s="312"/>
      <c r="K5" s="312"/>
      <c r="L5" s="312"/>
    </row>
    <row r="6" spans="1:12" ht="28" customHeight="1" x14ac:dyDescent="0.35">
      <c r="A6" s="140" t="s">
        <v>553</v>
      </c>
      <c r="B6" s="141">
        <v>60</v>
      </c>
      <c r="D6" s="142" t="s">
        <v>564</v>
      </c>
      <c r="E6" s="48">
        <f>IF(B7&lt;=B6,0,MIN(40,B7-B6))</f>
        <v>30</v>
      </c>
      <c r="H6" s="312"/>
      <c r="I6" s="312"/>
      <c r="J6" s="312"/>
      <c r="K6" s="312"/>
      <c r="L6" s="312"/>
    </row>
    <row r="7" spans="1:12" ht="28" customHeight="1" x14ac:dyDescent="0.35">
      <c r="A7" s="140" t="s">
        <v>554</v>
      </c>
      <c r="B7" s="141">
        <v>90</v>
      </c>
      <c r="D7" s="142" t="s">
        <v>565</v>
      </c>
      <c r="E7" s="143">
        <f>B8*(1+B9/100)^E5</f>
        <v>320713.54722128483</v>
      </c>
      <c r="H7" s="312" t="str">
        <f>IF(B7&lt;=B6,"Warning: Life expectancy must be greater than retirement age.","2. The required starting corpus is "&amp;TEXT(E8,"₹#,##0")&amp;" for "&amp;E6&amp;" years of inflation-linked withdrawals.")</f>
        <v>2. The required starting corpus is ₹10,10,93,545 for 30 years of inflation-linked withdrawals.</v>
      </c>
      <c r="I7" s="312"/>
      <c r="J7" s="312"/>
      <c r="K7" s="312"/>
      <c r="L7" s="312"/>
    </row>
    <row r="8" spans="1:12" ht="28" customHeight="1" x14ac:dyDescent="0.35">
      <c r="A8" s="140" t="s">
        <v>555</v>
      </c>
      <c r="B8" s="144">
        <v>100000</v>
      </c>
      <c r="D8" s="142" t="s">
        <v>566</v>
      </c>
      <c r="E8" s="143">
        <f>E7*12*IF(ABS((B16-B17)/100-B9/100)&lt;0.000001,E6,(1-((1+B9/100)/(1+(B16-B17)/100))^E6)/(((B16-B17)/100)-(B9/100)))*(1+(B16-B17)/100)</f>
        <v>101093545.33127256</v>
      </c>
      <c r="H8" s="312"/>
      <c r="I8" s="312"/>
      <c r="J8" s="312"/>
      <c r="K8" s="312"/>
      <c r="L8" s="312"/>
    </row>
    <row r="9" spans="1:12" ht="28" customHeight="1" x14ac:dyDescent="0.35">
      <c r="A9" s="140" t="s">
        <v>184</v>
      </c>
      <c r="B9" s="145">
        <f>'Common Assumptions'!$B$5</f>
        <v>6</v>
      </c>
      <c r="D9" s="142" t="s">
        <v>567</v>
      </c>
      <c r="E9" s="143">
        <f>FV((B12-B13)/1200,E5*12,-B11,-B10,0)</f>
        <v>65986156.632112429</v>
      </c>
      <c r="H9" s="312" t="str">
        <f>"3. Your projected post-tax corpus is "&amp;TEXT(E12,"₹#,##0")&amp;", equal to "&amp;TEXT(E15,"0%")&amp;" of the requirement."</f>
        <v>3. Your projected post-tax corpus is ₹5,95,03,512, equal to 59% of the requirement.</v>
      </c>
      <c r="I9" s="312"/>
      <c r="J9" s="312"/>
      <c r="K9" s="312"/>
      <c r="L9" s="312"/>
    </row>
    <row r="10" spans="1:12" ht="28" customHeight="1" x14ac:dyDescent="0.35">
      <c r="A10" s="140" t="s">
        <v>556</v>
      </c>
      <c r="B10" s="144">
        <v>2000000</v>
      </c>
      <c r="D10" s="142" t="s">
        <v>401</v>
      </c>
      <c r="E10" s="143">
        <f>B10+B11*12*E5</f>
        <v>14000000</v>
      </c>
      <c r="H10" s="312"/>
      <c r="I10" s="312"/>
      <c r="J10" s="312"/>
      <c r="K10" s="312"/>
      <c r="L10" s="312"/>
    </row>
    <row r="11" spans="1:12" ht="28" customHeight="1" x14ac:dyDescent="0.35">
      <c r="A11" s="140" t="s">
        <v>557</v>
      </c>
      <c r="B11" s="144">
        <v>50000</v>
      </c>
      <c r="D11" s="142" t="s">
        <v>568</v>
      </c>
      <c r="E11" s="143">
        <f>MAX(0,(E9-E10-B15)*B14/100)</f>
        <v>6482644.5790140536</v>
      </c>
      <c r="H11" s="312" t="str">
        <f>IF(E13&gt;=0,"4. The model shows a buffer of "&amp;TEXT(E13,"₹#,##0")&amp;". Keep reviewing inflation and returns yearly.","4. The modeled gap is "&amp;TEXT(-E13,"₹#,##0")&amp;". Raising the SIP, retiring later, or lowering retirement spending can close it.")</f>
        <v>4. The modeled gap is ₹4,15,90,033. Raising the SIP, retiring later, or lowering retirement spending can close it.</v>
      </c>
      <c r="I11" s="312"/>
      <c r="J11" s="312"/>
      <c r="K11" s="312"/>
      <c r="L11" s="312"/>
    </row>
    <row r="12" spans="1:12" ht="28" customHeight="1" x14ac:dyDescent="0.35">
      <c r="A12" s="140" t="s">
        <v>558</v>
      </c>
      <c r="B12" s="145">
        <f>'Common Assumptions'!$B$6</f>
        <v>12</v>
      </c>
      <c r="D12" s="142" t="s">
        <v>569</v>
      </c>
      <c r="E12" s="143">
        <f>E9-E11</f>
        <v>59503512.053098373</v>
      </c>
      <c r="H12" s="312"/>
      <c r="I12" s="312"/>
      <c r="J12" s="312"/>
      <c r="K12" s="312"/>
      <c r="L12" s="312"/>
    </row>
    <row r="13" spans="1:12" ht="28" customHeight="1" x14ac:dyDescent="0.35">
      <c r="A13" s="140" t="s">
        <v>559</v>
      </c>
      <c r="B13" s="145">
        <f>'Common Assumptions'!$B$10</f>
        <v>0.5</v>
      </c>
      <c r="D13" s="142" t="s">
        <v>570</v>
      </c>
      <c r="E13" s="146">
        <f>E12-E8</f>
        <v>-41590033.278174184</v>
      </c>
      <c r="H13" s="312" t="s">
        <v>574</v>
      </c>
      <c r="I13" s="312"/>
      <c r="J13" s="312"/>
      <c r="K13" s="312"/>
      <c r="L13" s="312"/>
    </row>
    <row r="14" spans="1:12" ht="28" customHeight="1" x14ac:dyDescent="0.35">
      <c r="A14" s="140" t="s">
        <v>560</v>
      </c>
      <c r="B14" s="145">
        <f>'Common Assumptions'!$B$12</f>
        <v>12.5</v>
      </c>
      <c r="D14" s="142" t="s">
        <v>571</v>
      </c>
      <c r="E14" s="143">
        <f>IF(E5=0,0,IF((B10*(1+(B12-B13)/1200)^(E5*12)+FV((B12-B13)/1200,E5*12,-MAX(0,(E8-B10*(1+(B12-B13)/1200)^(E5*12))/FV((B12-B13)/1200,E5*12,-1,0,0)),0,0)-B10-MAX(0,(E8-B10*(1+(B12-B13)/1200)^(E5*12))/FV((B12-B13)/1200,E5*12,-1,0,0))*E5*12)&lt;=B15,MAX(0,(E8-B10*(1+(B12-B13)/1200)^(E5*12))/FV((B12-B13)/1200,E5*12,-1,0,0)),MAX(0,(E8-B10*(1+(B12-B13)/1200)^(E5*12)+(B14/100)*(B10*(1+(B12-B13)/1200)^(E5*12)-B10-B15))/(FV((B12-B13)/1200,E5*12,-1,0,0)-(B14/100)*(FV((B12-B13)/1200,E5*12,-1,0,0)-E5*12)))))</f>
        <v>99543.591688376822</v>
      </c>
      <c r="H14" s="312"/>
      <c r="I14" s="312"/>
      <c r="J14" s="312"/>
      <c r="K14" s="312"/>
      <c r="L14" s="312"/>
    </row>
    <row r="15" spans="1:12" ht="28" customHeight="1" x14ac:dyDescent="0.35">
      <c r="A15" s="140" t="s">
        <v>87</v>
      </c>
      <c r="B15" s="144">
        <f>'Common Assumptions'!$B$13</f>
        <v>125000</v>
      </c>
      <c r="D15" s="142" t="s">
        <v>572</v>
      </c>
      <c r="E15" s="147">
        <f>IFERROR(E12/E8,0)</f>
        <v>0.58859852879935937</v>
      </c>
      <c r="H15" s="312" t="s">
        <v>575</v>
      </c>
      <c r="I15" s="312"/>
      <c r="J15" s="312"/>
      <c r="K15" s="312"/>
      <c r="L15" s="312"/>
    </row>
    <row r="16" spans="1:12" ht="28" customHeight="1" x14ac:dyDescent="0.35">
      <c r="A16" s="140" t="s">
        <v>561</v>
      </c>
      <c r="B16" s="145">
        <f>'Common Assumptions'!$B$16</f>
        <v>8</v>
      </c>
      <c r="D16" s="142" t="s">
        <v>573</v>
      </c>
      <c r="E16" s="48">
        <f>IF(E12&gt;=E8,E6,IFERROR(MATCH(0,G21:G60,0)-1,E6))</f>
        <v>16</v>
      </c>
      <c r="H16" s="312"/>
      <c r="I16" s="312"/>
      <c r="J16" s="312"/>
      <c r="K16" s="312"/>
      <c r="L16" s="312"/>
    </row>
    <row r="17" spans="1:10" x14ac:dyDescent="0.35">
      <c r="A17" s="140" t="s">
        <v>562</v>
      </c>
      <c r="B17" s="145">
        <v>1</v>
      </c>
    </row>
    <row r="18" spans="1:10" x14ac:dyDescent="0.35">
      <c r="A18" s="140"/>
      <c r="B18" s="141"/>
    </row>
    <row r="19" spans="1:10" x14ac:dyDescent="0.35">
      <c r="A19" s="317" t="s">
        <v>576</v>
      </c>
      <c r="B19" s="317"/>
      <c r="C19" s="317"/>
      <c r="D19" s="317"/>
      <c r="E19" s="317"/>
      <c r="F19" s="317"/>
      <c r="G19" s="317"/>
      <c r="H19" s="317"/>
      <c r="I19" s="317"/>
      <c r="J19" s="317"/>
    </row>
    <row r="20" spans="1:10" ht="29" x14ac:dyDescent="0.35">
      <c r="A20" s="148" t="s">
        <v>577</v>
      </c>
      <c r="B20" s="148" t="s">
        <v>578</v>
      </c>
      <c r="C20" s="148" t="s">
        <v>579</v>
      </c>
      <c r="D20" s="148" t="s">
        <v>580</v>
      </c>
      <c r="E20" s="148" t="s">
        <v>581</v>
      </c>
      <c r="F20" s="148" t="s">
        <v>582</v>
      </c>
      <c r="G20" s="148" t="s">
        <v>583</v>
      </c>
      <c r="H20" s="148" t="s">
        <v>584</v>
      </c>
      <c r="I20" s="148" t="s">
        <v>585</v>
      </c>
      <c r="J20" s="148" t="s">
        <v>586</v>
      </c>
    </row>
    <row r="21" spans="1:10" x14ac:dyDescent="0.35">
      <c r="A21" s="47">
        <f>IF(ROW()-20&lt;=$E$6,ROW()-20,"")</f>
        <v>1</v>
      </c>
      <c r="B21" s="47">
        <f>IF(A21="","",$B$6+A21)</f>
        <v>61</v>
      </c>
      <c r="C21" s="149">
        <f>IF(A21="","",$E$12)</f>
        <v>59503512.053098373</v>
      </c>
      <c r="D21" s="149">
        <f>IF(A21="","",$E$7*12)</f>
        <v>3848562.5666554179</v>
      </c>
      <c r="E21" s="149">
        <f>IF(A21="","",MIN(C21,D21))</f>
        <v>3848562.5666554179</v>
      </c>
      <c r="F21" s="149">
        <f>IF(A21="","",MAX(0,C21-E21)*($B$16-$B$17)/100)</f>
        <v>3895846.4640510068</v>
      </c>
      <c r="G21" s="149">
        <f>IF(A21="","",MAX(0,C21-E21+F21))</f>
        <v>59550795.950493962</v>
      </c>
      <c r="H21" s="149">
        <f>IF(A21="","",$E$8)</f>
        <v>101093545.33127256</v>
      </c>
      <c r="I21" s="149">
        <f>IF(A21="","",D21)</f>
        <v>3848562.5666554179</v>
      </c>
      <c r="J21" s="149">
        <f>IF(A21="","",MAX(0,(H21-I21)*(1+($B$16-$B$17)/100)))</f>
        <v>104052131.55814035</v>
      </c>
    </row>
    <row r="22" spans="1:10" x14ac:dyDescent="0.35">
      <c r="A22" s="47">
        <f>IF(ROW()-20&lt;=$E$6,ROW()-20,"")</f>
        <v>2</v>
      </c>
      <c r="B22" s="47">
        <f>IF(A22="","",$B$6+A22)</f>
        <v>62</v>
      </c>
      <c r="C22" s="149">
        <f>IF(A22="","",G21)</f>
        <v>59550795.950493962</v>
      </c>
      <c r="D22" s="149">
        <f>IF(A22="","",D21*(1+$B$9/100))</f>
        <v>4079476.3206547434</v>
      </c>
      <c r="E22" s="149">
        <f>IF(A22="","",MIN(C22,D22))</f>
        <v>4079476.3206547434</v>
      </c>
      <c r="F22" s="149">
        <f>IF(A22="","",MAX(0,C22-E22)*($B$16-$B$17)/100)</f>
        <v>3882992.3740887451</v>
      </c>
      <c r="G22" s="149">
        <f>IF(A22="","",MAX(0,C22-E22+F22))</f>
        <v>59354312.003927961</v>
      </c>
      <c r="H22" s="149">
        <f>IF(A22="","",J21)</f>
        <v>104052131.55814035</v>
      </c>
      <c r="I22" s="149">
        <f>IF(A22="","",D22)</f>
        <v>4079476.3206547434</v>
      </c>
      <c r="J22" s="149">
        <f>IF(A22="","",MAX(0,(H22-I22)*(1+($B$16-$B$17)/100)))</f>
        <v>106970741.1041096</v>
      </c>
    </row>
    <row r="23" spans="1:10" x14ac:dyDescent="0.35">
      <c r="A23" s="47">
        <f t="shared" ref="A23:A60" si="0">IF(ROW()-20&lt;=$E$6,ROW()-20,"")</f>
        <v>3</v>
      </c>
      <c r="B23" s="47">
        <f t="shared" ref="B23:B60" si="1">IF(A23="","",$B$6+A23)</f>
        <v>63</v>
      </c>
      <c r="C23" s="149">
        <f t="shared" ref="C23:C60" si="2">IF(A23="","",G22)</f>
        <v>59354312.003927961</v>
      </c>
      <c r="D23" s="149">
        <f t="shared" ref="D23:D60" si="3">IF(A23="","",D22*(1+$B$9/100))</f>
        <v>4324244.899894028</v>
      </c>
      <c r="E23" s="149">
        <f t="shared" ref="E23:E60" si="4">IF(A23="","",MIN(C23,D23))</f>
        <v>4324244.899894028</v>
      </c>
      <c r="F23" s="149">
        <f t="shared" ref="F23:F60" si="5">IF(A23="","",MAX(0,C23-E23)*($B$16-$B$17)/100)</f>
        <v>3852104.6972823753</v>
      </c>
      <c r="G23" s="149">
        <f t="shared" ref="G23:G60" si="6">IF(A23="","",MAX(0,C23-E23+F23))</f>
        <v>58882171.801316306</v>
      </c>
      <c r="H23" s="149">
        <f t="shared" ref="H23:H60" si="7">IF(A23="","",J22)</f>
        <v>106970741.1041096</v>
      </c>
      <c r="I23" s="149">
        <f t="shared" ref="I23:I60" si="8">IF(A23="","",D23)</f>
        <v>4324244.899894028</v>
      </c>
      <c r="J23" s="149">
        <f t="shared" ref="J23:J60" si="9">IF(A23="","",MAX(0,(H23-I23)*(1+($B$16-$B$17)/100)))</f>
        <v>109831750.93851067</v>
      </c>
    </row>
    <row r="24" spans="1:10" x14ac:dyDescent="0.35">
      <c r="A24" s="47">
        <f t="shared" si="0"/>
        <v>4</v>
      </c>
      <c r="B24" s="47">
        <f t="shared" si="1"/>
        <v>64</v>
      </c>
      <c r="C24" s="149">
        <f t="shared" si="2"/>
        <v>58882171.801316306</v>
      </c>
      <c r="D24" s="149">
        <f t="shared" si="3"/>
        <v>4583699.59388767</v>
      </c>
      <c r="E24" s="149">
        <f t="shared" si="4"/>
        <v>4583699.59388767</v>
      </c>
      <c r="F24" s="149">
        <f t="shared" si="5"/>
        <v>3800893.0545200044</v>
      </c>
      <c r="G24" s="149">
        <f t="shared" si="6"/>
        <v>58099365.261948638</v>
      </c>
      <c r="H24" s="149">
        <f t="shared" si="7"/>
        <v>109831750.93851067</v>
      </c>
      <c r="I24" s="149">
        <f t="shared" si="8"/>
        <v>4583699.59388767</v>
      </c>
      <c r="J24" s="149">
        <f t="shared" si="9"/>
        <v>112615414.93874662</v>
      </c>
    </row>
    <row r="25" spans="1:10" x14ac:dyDescent="0.35">
      <c r="A25" s="47">
        <f t="shared" si="0"/>
        <v>5</v>
      </c>
      <c r="B25" s="47">
        <f t="shared" si="1"/>
        <v>65</v>
      </c>
      <c r="C25" s="149">
        <f t="shared" si="2"/>
        <v>58099365.261948638</v>
      </c>
      <c r="D25" s="149">
        <f t="shared" si="3"/>
        <v>4858721.5695209308</v>
      </c>
      <c r="E25" s="149">
        <f t="shared" si="4"/>
        <v>4858721.5695209308</v>
      </c>
      <c r="F25" s="149">
        <f t="shared" si="5"/>
        <v>3726845.05846994</v>
      </c>
      <c r="G25" s="149">
        <f t="shared" si="6"/>
        <v>56967488.750897646</v>
      </c>
      <c r="H25" s="149">
        <f t="shared" si="7"/>
        <v>112615414.93874662</v>
      </c>
      <c r="I25" s="149">
        <f t="shared" si="8"/>
        <v>4858721.5695209308</v>
      </c>
      <c r="J25" s="149">
        <f t="shared" si="9"/>
        <v>115299661.90507148</v>
      </c>
    </row>
    <row r="26" spans="1:10" x14ac:dyDescent="0.35">
      <c r="A26" s="47">
        <f t="shared" si="0"/>
        <v>6</v>
      </c>
      <c r="B26" s="47">
        <f t="shared" si="1"/>
        <v>66</v>
      </c>
      <c r="C26" s="149">
        <f t="shared" si="2"/>
        <v>56967488.750897646</v>
      </c>
      <c r="D26" s="149">
        <f t="shared" si="3"/>
        <v>5150244.8636921868</v>
      </c>
      <c r="E26" s="149">
        <f t="shared" si="4"/>
        <v>5150244.8636921868</v>
      </c>
      <c r="F26" s="149">
        <f t="shared" si="5"/>
        <v>3627207.0721043819</v>
      </c>
      <c r="G26" s="149">
        <f t="shared" si="6"/>
        <v>55444450.959309839</v>
      </c>
      <c r="H26" s="149">
        <f t="shared" si="7"/>
        <v>115299661.90507148</v>
      </c>
      <c r="I26" s="149">
        <f t="shared" si="8"/>
        <v>5150244.8636921868</v>
      </c>
      <c r="J26" s="149">
        <f t="shared" si="9"/>
        <v>117859876.23427586</v>
      </c>
    </row>
    <row r="27" spans="1:10" x14ac:dyDescent="0.35">
      <c r="A27" s="47">
        <f t="shared" si="0"/>
        <v>7</v>
      </c>
      <c r="B27" s="47">
        <f t="shared" si="1"/>
        <v>67</v>
      </c>
      <c r="C27" s="149">
        <f t="shared" si="2"/>
        <v>55444450.959309839</v>
      </c>
      <c r="D27" s="149">
        <f t="shared" si="3"/>
        <v>5459259.5555137182</v>
      </c>
      <c r="E27" s="149">
        <f t="shared" si="4"/>
        <v>5459259.5555137182</v>
      </c>
      <c r="F27" s="149">
        <f t="shared" si="5"/>
        <v>3498963.3982657283</v>
      </c>
      <c r="G27" s="149">
        <f t="shared" si="6"/>
        <v>53484154.802061848</v>
      </c>
      <c r="H27" s="149">
        <f t="shared" si="7"/>
        <v>117859876.23427586</v>
      </c>
      <c r="I27" s="149">
        <f t="shared" si="8"/>
        <v>5459259.5555137182</v>
      </c>
      <c r="J27" s="149">
        <f t="shared" si="9"/>
        <v>120268659.84627549</v>
      </c>
    </row>
    <row r="28" spans="1:10" x14ac:dyDescent="0.35">
      <c r="A28" s="47">
        <f t="shared" si="0"/>
        <v>8</v>
      </c>
      <c r="B28" s="47">
        <f t="shared" si="1"/>
        <v>68</v>
      </c>
      <c r="C28" s="149">
        <f t="shared" si="2"/>
        <v>53484154.802061848</v>
      </c>
      <c r="D28" s="149">
        <f t="shared" si="3"/>
        <v>5786815.1288445415</v>
      </c>
      <c r="E28" s="149">
        <f t="shared" si="4"/>
        <v>5786815.1288445415</v>
      </c>
      <c r="F28" s="149">
        <f t="shared" si="5"/>
        <v>3338813.7771252114</v>
      </c>
      <c r="G28" s="149">
        <f t="shared" si="6"/>
        <v>51036153.450342514</v>
      </c>
      <c r="H28" s="149">
        <f t="shared" si="7"/>
        <v>120268659.84627549</v>
      </c>
      <c r="I28" s="149">
        <f t="shared" si="8"/>
        <v>5786815.1288445415</v>
      </c>
      <c r="J28" s="149">
        <f t="shared" si="9"/>
        <v>122495573.84765112</v>
      </c>
    </row>
    <row r="29" spans="1:10" x14ac:dyDescent="0.35">
      <c r="A29" s="47">
        <f t="shared" si="0"/>
        <v>9</v>
      </c>
      <c r="B29" s="47">
        <f t="shared" si="1"/>
        <v>69</v>
      </c>
      <c r="C29" s="149">
        <f t="shared" si="2"/>
        <v>51036153.450342514</v>
      </c>
      <c r="D29" s="149">
        <f t="shared" si="3"/>
        <v>6134024.036575214</v>
      </c>
      <c r="E29" s="149">
        <f t="shared" si="4"/>
        <v>6134024.036575214</v>
      </c>
      <c r="F29" s="149">
        <f t="shared" si="5"/>
        <v>3143149.0589637114</v>
      </c>
      <c r="G29" s="149">
        <f t="shared" si="6"/>
        <v>48045278.472731009</v>
      </c>
      <c r="H29" s="149">
        <f t="shared" si="7"/>
        <v>122495573.84765112</v>
      </c>
      <c r="I29" s="149">
        <f t="shared" si="8"/>
        <v>6134024.036575214</v>
      </c>
      <c r="J29" s="149">
        <f t="shared" si="9"/>
        <v>124506858.29785123</v>
      </c>
    </row>
    <row r="30" spans="1:10" x14ac:dyDescent="0.35">
      <c r="A30" s="47">
        <f t="shared" si="0"/>
        <v>10</v>
      </c>
      <c r="B30" s="47">
        <f t="shared" si="1"/>
        <v>70</v>
      </c>
      <c r="C30" s="149">
        <f t="shared" si="2"/>
        <v>48045278.472731009</v>
      </c>
      <c r="D30" s="149">
        <f t="shared" si="3"/>
        <v>6502065.4787697271</v>
      </c>
      <c r="E30" s="149">
        <f t="shared" si="4"/>
        <v>6502065.4787697271</v>
      </c>
      <c r="F30" s="149">
        <f t="shared" si="5"/>
        <v>2908024.9095772896</v>
      </c>
      <c r="G30" s="149">
        <f t="shared" si="6"/>
        <v>44451237.90353857</v>
      </c>
      <c r="H30" s="149">
        <f t="shared" si="7"/>
        <v>124506858.29785123</v>
      </c>
      <c r="I30" s="149">
        <f t="shared" si="8"/>
        <v>6502065.4787697271</v>
      </c>
      <c r="J30" s="149">
        <f t="shared" si="9"/>
        <v>126265128.31641723</v>
      </c>
    </row>
    <row r="31" spans="1:10" x14ac:dyDescent="0.35">
      <c r="A31" s="47">
        <f t="shared" si="0"/>
        <v>11</v>
      </c>
      <c r="B31" s="47">
        <f t="shared" si="1"/>
        <v>71</v>
      </c>
      <c r="C31" s="149">
        <f t="shared" si="2"/>
        <v>44451237.90353857</v>
      </c>
      <c r="D31" s="149">
        <f t="shared" si="3"/>
        <v>6892189.4074959112</v>
      </c>
      <c r="E31" s="149">
        <f t="shared" si="4"/>
        <v>6892189.4074959112</v>
      </c>
      <c r="F31" s="149">
        <f t="shared" si="5"/>
        <v>2629133.394722986</v>
      </c>
      <c r="G31" s="149">
        <f t="shared" si="6"/>
        <v>40188181.890765645</v>
      </c>
      <c r="H31" s="149">
        <f t="shared" si="7"/>
        <v>126265128.31641723</v>
      </c>
      <c r="I31" s="149">
        <f t="shared" si="8"/>
        <v>6892189.4074959112</v>
      </c>
      <c r="J31" s="149">
        <f t="shared" si="9"/>
        <v>127729044.63254581</v>
      </c>
    </row>
    <row r="32" spans="1:10" x14ac:dyDescent="0.35">
      <c r="A32" s="47">
        <f t="shared" si="0"/>
        <v>12</v>
      </c>
      <c r="B32" s="47">
        <f t="shared" si="1"/>
        <v>72</v>
      </c>
      <c r="C32" s="149">
        <f t="shared" si="2"/>
        <v>40188181.890765645</v>
      </c>
      <c r="D32" s="149">
        <f t="shared" si="3"/>
        <v>7305720.7719456665</v>
      </c>
      <c r="E32" s="149">
        <f t="shared" si="4"/>
        <v>7305720.7719456665</v>
      </c>
      <c r="F32" s="149">
        <f t="shared" si="5"/>
        <v>2301772.2783173984</v>
      </c>
      <c r="G32" s="149">
        <f t="shared" si="6"/>
        <v>35184233.397137374</v>
      </c>
      <c r="H32" s="149">
        <f t="shared" si="7"/>
        <v>127729044.63254581</v>
      </c>
      <c r="I32" s="149">
        <f t="shared" si="8"/>
        <v>7305720.7719456665</v>
      </c>
      <c r="J32" s="149">
        <f t="shared" si="9"/>
        <v>128852956.53084216</v>
      </c>
    </row>
    <row r="33" spans="1:10" x14ac:dyDescent="0.35">
      <c r="A33" s="47">
        <f t="shared" si="0"/>
        <v>13</v>
      </c>
      <c r="B33" s="47">
        <f t="shared" si="1"/>
        <v>73</v>
      </c>
      <c r="C33" s="149">
        <f t="shared" si="2"/>
        <v>35184233.397137374</v>
      </c>
      <c r="D33" s="149">
        <f t="shared" si="3"/>
        <v>7744064.0182624068</v>
      </c>
      <c r="E33" s="149">
        <f t="shared" si="4"/>
        <v>7744064.0182624068</v>
      </c>
      <c r="F33" s="149">
        <f t="shared" si="5"/>
        <v>1920811.8565212477</v>
      </c>
      <c r="G33" s="149">
        <f t="shared" si="6"/>
        <v>29360981.235396214</v>
      </c>
      <c r="H33" s="149">
        <f t="shared" si="7"/>
        <v>128852956.53084216</v>
      </c>
      <c r="I33" s="149">
        <f t="shared" si="8"/>
        <v>7744064.0182624068</v>
      </c>
      <c r="J33" s="149">
        <f t="shared" si="9"/>
        <v>129586514.98846035</v>
      </c>
    </row>
    <row r="34" spans="1:10" x14ac:dyDescent="0.35">
      <c r="A34" s="47">
        <f t="shared" si="0"/>
        <v>14</v>
      </c>
      <c r="B34" s="47">
        <f t="shared" si="1"/>
        <v>74</v>
      </c>
      <c r="C34" s="149">
        <f t="shared" si="2"/>
        <v>29360981.235396214</v>
      </c>
      <c r="D34" s="149">
        <f t="shared" si="3"/>
        <v>8208707.8593581514</v>
      </c>
      <c r="E34" s="149">
        <f t="shared" si="4"/>
        <v>8208707.8593581514</v>
      </c>
      <c r="F34" s="149">
        <f t="shared" si="5"/>
        <v>1480659.1363226643</v>
      </c>
      <c r="G34" s="149">
        <f t="shared" si="6"/>
        <v>22632932.512360729</v>
      </c>
      <c r="H34" s="149">
        <f t="shared" si="7"/>
        <v>129586514.98846035</v>
      </c>
      <c r="I34" s="149">
        <f t="shared" si="8"/>
        <v>8208707.8593581514</v>
      </c>
      <c r="J34" s="149">
        <f t="shared" si="9"/>
        <v>129874253.62813936</v>
      </c>
    </row>
    <row r="35" spans="1:10" x14ac:dyDescent="0.35">
      <c r="A35" s="47">
        <f t="shared" si="0"/>
        <v>15</v>
      </c>
      <c r="B35" s="47">
        <f t="shared" si="1"/>
        <v>75</v>
      </c>
      <c r="C35" s="149">
        <f t="shared" si="2"/>
        <v>22632932.512360729</v>
      </c>
      <c r="D35" s="149">
        <f t="shared" si="3"/>
        <v>8701230.3309196401</v>
      </c>
      <c r="E35" s="149">
        <f t="shared" si="4"/>
        <v>8701230.3309196401</v>
      </c>
      <c r="F35" s="149">
        <f t="shared" si="5"/>
        <v>975219.15270087635</v>
      </c>
      <c r="G35" s="149">
        <f t="shared" si="6"/>
        <v>14906921.334141966</v>
      </c>
      <c r="H35" s="149">
        <f t="shared" si="7"/>
        <v>129874253.62813936</v>
      </c>
      <c r="I35" s="149">
        <f t="shared" si="8"/>
        <v>8701230.3309196401</v>
      </c>
      <c r="J35" s="149">
        <f t="shared" si="9"/>
        <v>129655134.92802511</v>
      </c>
    </row>
    <row r="36" spans="1:10" x14ac:dyDescent="0.35">
      <c r="A36" s="47">
        <f t="shared" si="0"/>
        <v>16</v>
      </c>
      <c r="B36" s="47">
        <f t="shared" si="1"/>
        <v>76</v>
      </c>
      <c r="C36" s="149">
        <f t="shared" si="2"/>
        <v>14906921.334141966</v>
      </c>
      <c r="D36" s="149">
        <f t="shared" si="3"/>
        <v>9223304.1507748198</v>
      </c>
      <c r="E36" s="149">
        <f t="shared" si="4"/>
        <v>9223304.1507748198</v>
      </c>
      <c r="F36" s="149">
        <f t="shared" si="5"/>
        <v>397853.20283570024</v>
      </c>
      <c r="G36" s="149">
        <f t="shared" si="6"/>
        <v>6081470.3862028467</v>
      </c>
      <c r="H36" s="149">
        <f t="shared" si="7"/>
        <v>129655134.92802511</v>
      </c>
      <c r="I36" s="149">
        <f t="shared" si="8"/>
        <v>9223304.1507748198</v>
      </c>
      <c r="J36" s="149">
        <f t="shared" si="9"/>
        <v>128862058.93165782</v>
      </c>
    </row>
    <row r="37" spans="1:10" x14ac:dyDescent="0.35">
      <c r="A37" s="47">
        <f t="shared" si="0"/>
        <v>17</v>
      </c>
      <c r="B37" s="47">
        <f t="shared" si="1"/>
        <v>77</v>
      </c>
      <c r="C37" s="149">
        <f t="shared" si="2"/>
        <v>6081470.3862028467</v>
      </c>
      <c r="D37" s="149">
        <f t="shared" si="3"/>
        <v>9776702.3998213094</v>
      </c>
      <c r="E37" s="149">
        <f t="shared" si="4"/>
        <v>6081470.3862028467</v>
      </c>
      <c r="F37" s="149">
        <f t="shared" si="5"/>
        <v>0</v>
      </c>
      <c r="G37" s="149">
        <f t="shared" si="6"/>
        <v>0</v>
      </c>
      <c r="H37" s="149">
        <f t="shared" si="7"/>
        <v>128862058.93165782</v>
      </c>
      <c r="I37" s="149">
        <f t="shared" si="8"/>
        <v>9776702.3998213094</v>
      </c>
      <c r="J37" s="149">
        <f t="shared" si="9"/>
        <v>127421331.48906507</v>
      </c>
    </row>
    <row r="38" spans="1:10" x14ac:dyDescent="0.35">
      <c r="A38" s="47">
        <f t="shared" si="0"/>
        <v>18</v>
      </c>
      <c r="B38" s="47">
        <f t="shared" si="1"/>
        <v>78</v>
      </c>
      <c r="C38" s="149">
        <f t="shared" si="2"/>
        <v>0</v>
      </c>
      <c r="D38" s="149">
        <f t="shared" si="3"/>
        <v>10363304.543810589</v>
      </c>
      <c r="E38" s="149">
        <f t="shared" si="4"/>
        <v>0</v>
      </c>
      <c r="F38" s="149">
        <f t="shared" si="5"/>
        <v>0</v>
      </c>
      <c r="G38" s="149">
        <f t="shared" si="6"/>
        <v>0</v>
      </c>
      <c r="H38" s="149">
        <f t="shared" si="7"/>
        <v>127421331.48906507</v>
      </c>
      <c r="I38" s="149">
        <f t="shared" si="8"/>
        <v>10363304.543810589</v>
      </c>
      <c r="J38" s="149">
        <f t="shared" si="9"/>
        <v>125252088.8314223</v>
      </c>
    </row>
    <row r="39" spans="1:10" x14ac:dyDescent="0.35">
      <c r="A39" s="47">
        <f t="shared" si="0"/>
        <v>19</v>
      </c>
      <c r="B39" s="47">
        <f t="shared" si="1"/>
        <v>79</v>
      </c>
      <c r="C39" s="149">
        <f t="shared" si="2"/>
        <v>0</v>
      </c>
      <c r="D39" s="149">
        <f t="shared" si="3"/>
        <v>10985102.816439224</v>
      </c>
      <c r="E39" s="149">
        <f t="shared" si="4"/>
        <v>0</v>
      </c>
      <c r="F39" s="149">
        <f t="shared" si="5"/>
        <v>0</v>
      </c>
      <c r="G39" s="149">
        <f t="shared" si="6"/>
        <v>0</v>
      </c>
      <c r="H39" s="149">
        <f t="shared" si="7"/>
        <v>125252088.8314223</v>
      </c>
      <c r="I39" s="149">
        <f t="shared" si="8"/>
        <v>10985102.816439224</v>
      </c>
      <c r="J39" s="149">
        <f t="shared" si="9"/>
        <v>122265675.0360319</v>
      </c>
    </row>
    <row r="40" spans="1:10" x14ac:dyDescent="0.35">
      <c r="A40" s="47">
        <f t="shared" si="0"/>
        <v>20</v>
      </c>
      <c r="B40" s="47">
        <f t="shared" si="1"/>
        <v>80</v>
      </c>
      <c r="C40" s="149">
        <f t="shared" si="2"/>
        <v>0</v>
      </c>
      <c r="D40" s="149">
        <f t="shared" si="3"/>
        <v>11644208.985425578</v>
      </c>
      <c r="E40" s="149">
        <f t="shared" si="4"/>
        <v>0</v>
      </c>
      <c r="F40" s="149">
        <f t="shared" si="5"/>
        <v>0</v>
      </c>
      <c r="G40" s="149">
        <f t="shared" si="6"/>
        <v>0</v>
      </c>
      <c r="H40" s="149">
        <f t="shared" si="7"/>
        <v>122265675.0360319</v>
      </c>
      <c r="I40" s="149">
        <f t="shared" si="8"/>
        <v>11644208.985425578</v>
      </c>
      <c r="J40" s="149">
        <f t="shared" si="9"/>
        <v>118364968.67414877</v>
      </c>
    </row>
    <row r="41" spans="1:10" x14ac:dyDescent="0.35">
      <c r="A41" s="47">
        <f t="shared" si="0"/>
        <v>21</v>
      </c>
      <c r="B41" s="47">
        <f t="shared" si="1"/>
        <v>81</v>
      </c>
      <c r="C41" s="149">
        <f t="shared" si="2"/>
        <v>0</v>
      </c>
      <c r="D41" s="149">
        <f t="shared" si="3"/>
        <v>12342861.524551114</v>
      </c>
      <c r="E41" s="149">
        <f t="shared" si="4"/>
        <v>0</v>
      </c>
      <c r="F41" s="149">
        <f t="shared" si="5"/>
        <v>0</v>
      </c>
      <c r="G41" s="149">
        <f t="shared" si="6"/>
        <v>0</v>
      </c>
      <c r="H41" s="149">
        <f t="shared" si="7"/>
        <v>118364968.67414877</v>
      </c>
      <c r="I41" s="149">
        <f t="shared" si="8"/>
        <v>12342861.524551114</v>
      </c>
      <c r="J41" s="149">
        <f t="shared" si="9"/>
        <v>113443654.6500695</v>
      </c>
    </row>
    <row r="42" spans="1:10" x14ac:dyDescent="0.35">
      <c r="A42" s="47">
        <f t="shared" si="0"/>
        <v>22</v>
      </c>
      <c r="B42" s="47">
        <f t="shared" si="1"/>
        <v>82</v>
      </c>
      <c r="C42" s="149">
        <f t="shared" si="2"/>
        <v>0</v>
      </c>
      <c r="D42" s="149">
        <f t="shared" si="3"/>
        <v>13083433.216024181</v>
      </c>
      <c r="E42" s="149">
        <f t="shared" si="4"/>
        <v>0</v>
      </c>
      <c r="F42" s="149">
        <f t="shared" si="5"/>
        <v>0</v>
      </c>
      <c r="G42" s="149">
        <f t="shared" si="6"/>
        <v>0</v>
      </c>
      <c r="H42" s="149">
        <f t="shared" si="7"/>
        <v>113443654.6500695</v>
      </c>
      <c r="I42" s="149">
        <f t="shared" si="8"/>
        <v>13083433.216024181</v>
      </c>
      <c r="J42" s="149">
        <f t="shared" si="9"/>
        <v>107385436.93442851</v>
      </c>
    </row>
    <row r="43" spans="1:10" x14ac:dyDescent="0.35">
      <c r="A43" s="47">
        <f t="shared" si="0"/>
        <v>23</v>
      </c>
      <c r="B43" s="47">
        <f t="shared" si="1"/>
        <v>83</v>
      </c>
      <c r="C43" s="149">
        <f t="shared" si="2"/>
        <v>0</v>
      </c>
      <c r="D43" s="149">
        <f t="shared" si="3"/>
        <v>13868439.208985632</v>
      </c>
      <c r="E43" s="149">
        <f t="shared" si="4"/>
        <v>0</v>
      </c>
      <c r="F43" s="149">
        <f t="shared" si="5"/>
        <v>0</v>
      </c>
      <c r="G43" s="149">
        <f t="shared" si="6"/>
        <v>0</v>
      </c>
      <c r="H43" s="149">
        <f t="shared" si="7"/>
        <v>107385436.93442851</v>
      </c>
      <c r="I43" s="149">
        <f t="shared" si="8"/>
        <v>13868439.208985632</v>
      </c>
      <c r="J43" s="149">
        <f t="shared" si="9"/>
        <v>100063187.56622389</v>
      </c>
    </row>
    <row r="44" spans="1:10" x14ac:dyDescent="0.35">
      <c r="A44" s="47">
        <f t="shared" si="0"/>
        <v>24</v>
      </c>
      <c r="B44" s="47">
        <f t="shared" si="1"/>
        <v>84</v>
      </c>
      <c r="C44" s="149">
        <f t="shared" si="2"/>
        <v>0</v>
      </c>
      <c r="D44" s="149">
        <f t="shared" si="3"/>
        <v>14700545.561524771</v>
      </c>
      <c r="E44" s="149">
        <f t="shared" si="4"/>
        <v>0</v>
      </c>
      <c r="F44" s="149">
        <f t="shared" si="5"/>
        <v>0</v>
      </c>
      <c r="G44" s="149">
        <f t="shared" si="6"/>
        <v>0</v>
      </c>
      <c r="H44" s="149">
        <f t="shared" si="7"/>
        <v>100063187.56622389</v>
      </c>
      <c r="I44" s="149">
        <f t="shared" si="8"/>
        <v>14700545.561524771</v>
      </c>
      <c r="J44" s="149">
        <f t="shared" si="9"/>
        <v>91338026.945028052</v>
      </c>
    </row>
    <row r="45" spans="1:10" x14ac:dyDescent="0.35">
      <c r="A45" s="47">
        <f t="shared" si="0"/>
        <v>25</v>
      </c>
      <c r="B45" s="47">
        <f t="shared" si="1"/>
        <v>85</v>
      </c>
      <c r="C45" s="149">
        <f t="shared" si="2"/>
        <v>0</v>
      </c>
      <c r="D45" s="149">
        <f t="shared" si="3"/>
        <v>15582578.295216259</v>
      </c>
      <c r="E45" s="149">
        <f t="shared" si="4"/>
        <v>0</v>
      </c>
      <c r="F45" s="149">
        <f t="shared" si="5"/>
        <v>0</v>
      </c>
      <c r="G45" s="149">
        <f t="shared" si="6"/>
        <v>0</v>
      </c>
      <c r="H45" s="149">
        <f t="shared" si="7"/>
        <v>91338026.945028052</v>
      </c>
      <c r="I45" s="149">
        <f t="shared" si="8"/>
        <v>15582578.295216259</v>
      </c>
      <c r="J45" s="149">
        <f t="shared" si="9"/>
        <v>81058330.055298626</v>
      </c>
    </row>
    <row r="46" spans="1:10" x14ac:dyDescent="0.35">
      <c r="A46" s="47">
        <f t="shared" si="0"/>
        <v>26</v>
      </c>
      <c r="B46" s="47">
        <f t="shared" si="1"/>
        <v>86</v>
      </c>
      <c r="C46" s="149">
        <f t="shared" si="2"/>
        <v>0</v>
      </c>
      <c r="D46" s="149">
        <f t="shared" si="3"/>
        <v>16517532.992929235</v>
      </c>
      <c r="E46" s="149">
        <f t="shared" si="4"/>
        <v>0</v>
      </c>
      <c r="F46" s="149">
        <f t="shared" si="5"/>
        <v>0</v>
      </c>
      <c r="G46" s="149">
        <f t="shared" si="6"/>
        <v>0</v>
      </c>
      <c r="H46" s="149">
        <f t="shared" si="7"/>
        <v>81058330.055298626</v>
      </c>
      <c r="I46" s="149">
        <f t="shared" si="8"/>
        <v>16517532.992929235</v>
      </c>
      <c r="J46" s="149">
        <f t="shared" si="9"/>
        <v>69058652.856735259</v>
      </c>
    </row>
    <row r="47" spans="1:10" x14ac:dyDescent="0.35">
      <c r="A47" s="47">
        <f t="shared" si="0"/>
        <v>27</v>
      </c>
      <c r="B47" s="47">
        <f t="shared" si="1"/>
        <v>87</v>
      </c>
      <c r="C47" s="149">
        <f t="shared" si="2"/>
        <v>0</v>
      </c>
      <c r="D47" s="149">
        <f t="shared" si="3"/>
        <v>17508584.972504988</v>
      </c>
      <c r="E47" s="149">
        <f t="shared" si="4"/>
        <v>0</v>
      </c>
      <c r="F47" s="149">
        <f t="shared" si="5"/>
        <v>0</v>
      </c>
      <c r="G47" s="149">
        <f t="shared" si="6"/>
        <v>0</v>
      </c>
      <c r="H47" s="149">
        <f t="shared" si="7"/>
        <v>69058652.856735259</v>
      </c>
      <c r="I47" s="149">
        <f t="shared" si="8"/>
        <v>17508584.972504988</v>
      </c>
      <c r="J47" s="149">
        <f t="shared" si="9"/>
        <v>55158572.636126392</v>
      </c>
    </row>
    <row r="48" spans="1:10" x14ac:dyDescent="0.35">
      <c r="A48" s="47">
        <f t="shared" si="0"/>
        <v>28</v>
      </c>
      <c r="B48" s="47">
        <f t="shared" si="1"/>
        <v>88</v>
      </c>
      <c r="C48" s="149">
        <f t="shared" si="2"/>
        <v>0</v>
      </c>
      <c r="D48" s="149">
        <f t="shared" si="3"/>
        <v>18559100.07085529</v>
      </c>
      <c r="E48" s="149">
        <f t="shared" si="4"/>
        <v>0</v>
      </c>
      <c r="F48" s="149">
        <f t="shared" si="5"/>
        <v>0</v>
      </c>
      <c r="G48" s="149">
        <f t="shared" si="6"/>
        <v>0</v>
      </c>
      <c r="H48" s="149">
        <f t="shared" si="7"/>
        <v>55158572.636126392</v>
      </c>
      <c r="I48" s="149">
        <f t="shared" si="8"/>
        <v>18559100.07085529</v>
      </c>
      <c r="J48" s="149">
        <f t="shared" si="9"/>
        <v>39161435.644840084</v>
      </c>
    </row>
    <row r="49" spans="1:12" x14ac:dyDescent="0.35">
      <c r="A49" s="47">
        <f t="shared" si="0"/>
        <v>29</v>
      </c>
      <c r="B49" s="47">
        <f t="shared" si="1"/>
        <v>89</v>
      </c>
      <c r="C49" s="149">
        <f t="shared" si="2"/>
        <v>0</v>
      </c>
      <c r="D49" s="149">
        <f t="shared" si="3"/>
        <v>19672646.07510661</v>
      </c>
      <c r="E49" s="149">
        <f t="shared" si="4"/>
        <v>0</v>
      </c>
      <c r="F49" s="149">
        <f t="shared" si="5"/>
        <v>0</v>
      </c>
      <c r="G49" s="149">
        <f t="shared" si="6"/>
        <v>0</v>
      </c>
      <c r="H49" s="149">
        <f t="shared" si="7"/>
        <v>39161435.644840084</v>
      </c>
      <c r="I49" s="149">
        <f t="shared" si="8"/>
        <v>19672646.07510661</v>
      </c>
      <c r="J49" s="149">
        <f t="shared" si="9"/>
        <v>20853004.83961482</v>
      </c>
    </row>
    <row r="50" spans="1:12" x14ac:dyDescent="0.35">
      <c r="A50" s="47">
        <f t="shared" si="0"/>
        <v>30</v>
      </c>
      <c r="B50" s="47">
        <f t="shared" si="1"/>
        <v>90</v>
      </c>
      <c r="C50" s="149">
        <f t="shared" si="2"/>
        <v>0</v>
      </c>
      <c r="D50" s="149">
        <f t="shared" si="3"/>
        <v>20853004.839613006</v>
      </c>
      <c r="E50" s="149">
        <f t="shared" si="4"/>
        <v>0</v>
      </c>
      <c r="F50" s="149">
        <f t="shared" si="5"/>
        <v>0</v>
      </c>
      <c r="G50" s="149">
        <f t="shared" si="6"/>
        <v>0</v>
      </c>
      <c r="H50" s="149">
        <f t="shared" si="7"/>
        <v>20853004.83961482</v>
      </c>
      <c r="I50" s="149">
        <f t="shared" si="8"/>
        <v>20853004.839613006</v>
      </c>
      <c r="J50" s="149">
        <f t="shared" si="9"/>
        <v>1.9412115216255189E-6</v>
      </c>
    </row>
    <row r="51" spans="1:12" x14ac:dyDescent="0.35">
      <c r="A51" s="47" t="str">
        <f t="shared" si="0"/>
        <v/>
      </c>
      <c r="B51" s="47" t="str">
        <f t="shared" si="1"/>
        <v/>
      </c>
      <c r="C51" s="149" t="str">
        <f t="shared" si="2"/>
        <v/>
      </c>
      <c r="D51" s="149" t="str">
        <f t="shared" si="3"/>
        <v/>
      </c>
      <c r="E51" s="149" t="str">
        <f t="shared" si="4"/>
        <v/>
      </c>
      <c r="F51" s="149" t="str">
        <f t="shared" si="5"/>
        <v/>
      </c>
      <c r="G51" s="149" t="str">
        <f t="shared" si="6"/>
        <v/>
      </c>
      <c r="H51" s="149" t="str">
        <f t="shared" si="7"/>
        <v/>
      </c>
      <c r="I51" s="149" t="str">
        <f t="shared" si="8"/>
        <v/>
      </c>
      <c r="J51" s="149" t="str">
        <f t="shared" si="9"/>
        <v/>
      </c>
    </row>
    <row r="52" spans="1:12" x14ac:dyDescent="0.35">
      <c r="A52" s="47" t="str">
        <f t="shared" si="0"/>
        <v/>
      </c>
      <c r="B52" s="47" t="str">
        <f t="shared" si="1"/>
        <v/>
      </c>
      <c r="C52" s="149" t="str">
        <f t="shared" si="2"/>
        <v/>
      </c>
      <c r="D52" s="149" t="str">
        <f t="shared" si="3"/>
        <v/>
      </c>
      <c r="E52" s="149" t="str">
        <f t="shared" si="4"/>
        <v/>
      </c>
      <c r="F52" s="149" t="str">
        <f t="shared" si="5"/>
        <v/>
      </c>
      <c r="G52" s="149" t="str">
        <f t="shared" si="6"/>
        <v/>
      </c>
      <c r="H52" s="149" t="str">
        <f t="shared" si="7"/>
        <v/>
      </c>
      <c r="I52" s="149" t="str">
        <f t="shared" si="8"/>
        <v/>
      </c>
      <c r="J52" s="149" t="str">
        <f t="shared" si="9"/>
        <v/>
      </c>
    </row>
    <row r="53" spans="1:12" x14ac:dyDescent="0.35">
      <c r="A53" s="47" t="str">
        <f t="shared" si="0"/>
        <v/>
      </c>
      <c r="B53" s="47" t="str">
        <f t="shared" si="1"/>
        <v/>
      </c>
      <c r="C53" s="149" t="str">
        <f t="shared" si="2"/>
        <v/>
      </c>
      <c r="D53" s="149" t="str">
        <f t="shared" si="3"/>
        <v/>
      </c>
      <c r="E53" s="149" t="str">
        <f t="shared" si="4"/>
        <v/>
      </c>
      <c r="F53" s="149" t="str">
        <f t="shared" si="5"/>
        <v/>
      </c>
      <c r="G53" s="149" t="str">
        <f t="shared" si="6"/>
        <v/>
      </c>
      <c r="H53" s="149" t="str">
        <f t="shared" si="7"/>
        <v/>
      </c>
      <c r="I53" s="149" t="str">
        <f t="shared" si="8"/>
        <v/>
      </c>
      <c r="J53" s="149" t="str">
        <f t="shared" si="9"/>
        <v/>
      </c>
    </row>
    <row r="54" spans="1:12" x14ac:dyDescent="0.35">
      <c r="A54" s="47" t="str">
        <f t="shared" si="0"/>
        <v/>
      </c>
      <c r="B54" s="47" t="str">
        <f t="shared" si="1"/>
        <v/>
      </c>
      <c r="C54" s="149" t="str">
        <f t="shared" si="2"/>
        <v/>
      </c>
      <c r="D54" s="149" t="str">
        <f t="shared" si="3"/>
        <v/>
      </c>
      <c r="E54" s="149" t="str">
        <f t="shared" si="4"/>
        <v/>
      </c>
      <c r="F54" s="149" t="str">
        <f t="shared" si="5"/>
        <v/>
      </c>
      <c r="G54" s="149" t="str">
        <f t="shared" si="6"/>
        <v/>
      </c>
      <c r="H54" s="149" t="str">
        <f t="shared" si="7"/>
        <v/>
      </c>
      <c r="I54" s="149" t="str">
        <f t="shared" si="8"/>
        <v/>
      </c>
      <c r="J54" s="149" t="str">
        <f t="shared" si="9"/>
        <v/>
      </c>
    </row>
    <row r="55" spans="1:12" x14ac:dyDescent="0.35">
      <c r="A55" s="47" t="str">
        <f t="shared" si="0"/>
        <v/>
      </c>
      <c r="B55" s="47" t="str">
        <f t="shared" si="1"/>
        <v/>
      </c>
      <c r="C55" s="149" t="str">
        <f t="shared" si="2"/>
        <v/>
      </c>
      <c r="D55" s="149" t="str">
        <f t="shared" si="3"/>
        <v/>
      </c>
      <c r="E55" s="149" t="str">
        <f t="shared" si="4"/>
        <v/>
      </c>
      <c r="F55" s="149" t="str">
        <f t="shared" si="5"/>
        <v/>
      </c>
      <c r="G55" s="149" t="str">
        <f t="shared" si="6"/>
        <v/>
      </c>
      <c r="H55" s="149" t="str">
        <f t="shared" si="7"/>
        <v/>
      </c>
      <c r="I55" s="149" t="str">
        <f t="shared" si="8"/>
        <v/>
      </c>
      <c r="J55" s="149" t="str">
        <f t="shared" si="9"/>
        <v/>
      </c>
    </row>
    <row r="56" spans="1:12" x14ac:dyDescent="0.35">
      <c r="A56" s="47" t="str">
        <f t="shared" si="0"/>
        <v/>
      </c>
      <c r="B56" s="47" t="str">
        <f t="shared" si="1"/>
        <v/>
      </c>
      <c r="C56" s="149" t="str">
        <f t="shared" si="2"/>
        <v/>
      </c>
      <c r="D56" s="149" t="str">
        <f t="shared" si="3"/>
        <v/>
      </c>
      <c r="E56" s="149" t="str">
        <f t="shared" si="4"/>
        <v/>
      </c>
      <c r="F56" s="149" t="str">
        <f t="shared" si="5"/>
        <v/>
      </c>
      <c r="G56" s="149" t="str">
        <f t="shared" si="6"/>
        <v/>
      </c>
      <c r="H56" s="149" t="str">
        <f t="shared" si="7"/>
        <v/>
      </c>
      <c r="I56" s="149" t="str">
        <f t="shared" si="8"/>
        <v/>
      </c>
      <c r="J56" s="149" t="str">
        <f t="shared" si="9"/>
        <v/>
      </c>
    </row>
    <row r="57" spans="1:12" x14ac:dyDescent="0.35">
      <c r="A57" s="47" t="str">
        <f t="shared" si="0"/>
        <v/>
      </c>
      <c r="B57" s="47" t="str">
        <f t="shared" si="1"/>
        <v/>
      </c>
      <c r="C57" s="149" t="str">
        <f t="shared" si="2"/>
        <v/>
      </c>
      <c r="D57" s="149" t="str">
        <f t="shared" si="3"/>
        <v/>
      </c>
      <c r="E57" s="149" t="str">
        <f t="shared" si="4"/>
        <v/>
      </c>
      <c r="F57" s="149" t="str">
        <f t="shared" si="5"/>
        <v/>
      </c>
      <c r="G57" s="149" t="str">
        <f t="shared" si="6"/>
        <v/>
      </c>
      <c r="H57" s="149" t="str">
        <f t="shared" si="7"/>
        <v/>
      </c>
      <c r="I57" s="149" t="str">
        <f t="shared" si="8"/>
        <v/>
      </c>
      <c r="J57" s="149" t="str">
        <f t="shared" si="9"/>
        <v/>
      </c>
    </row>
    <row r="58" spans="1:12" x14ac:dyDescent="0.35">
      <c r="A58" s="47" t="str">
        <f t="shared" si="0"/>
        <v/>
      </c>
      <c r="B58" s="47" t="str">
        <f t="shared" si="1"/>
        <v/>
      </c>
      <c r="C58" s="149" t="str">
        <f t="shared" si="2"/>
        <v/>
      </c>
      <c r="D58" s="149" t="str">
        <f t="shared" si="3"/>
        <v/>
      </c>
      <c r="E58" s="149" t="str">
        <f t="shared" si="4"/>
        <v/>
      </c>
      <c r="F58" s="149" t="str">
        <f t="shared" si="5"/>
        <v/>
      </c>
      <c r="G58" s="149" t="str">
        <f t="shared" si="6"/>
        <v/>
      </c>
      <c r="H58" s="149" t="str">
        <f t="shared" si="7"/>
        <v/>
      </c>
      <c r="I58" s="149" t="str">
        <f t="shared" si="8"/>
        <v/>
      </c>
      <c r="J58" s="149" t="str">
        <f t="shared" si="9"/>
        <v/>
      </c>
    </row>
    <row r="59" spans="1:12" x14ac:dyDescent="0.35">
      <c r="A59" s="47" t="str">
        <f t="shared" si="0"/>
        <v/>
      </c>
      <c r="B59" s="47" t="str">
        <f t="shared" si="1"/>
        <v/>
      </c>
      <c r="C59" s="149" t="str">
        <f t="shared" si="2"/>
        <v/>
      </c>
      <c r="D59" s="149" t="str">
        <f t="shared" si="3"/>
        <v/>
      </c>
      <c r="E59" s="149" t="str">
        <f t="shared" si="4"/>
        <v/>
      </c>
      <c r="F59" s="149" t="str">
        <f t="shared" si="5"/>
        <v/>
      </c>
      <c r="G59" s="149" t="str">
        <f t="shared" si="6"/>
        <v/>
      </c>
      <c r="H59" s="149" t="str">
        <f t="shared" si="7"/>
        <v/>
      </c>
      <c r="I59" s="149" t="str">
        <f t="shared" si="8"/>
        <v/>
      </c>
      <c r="J59" s="149" t="str">
        <f t="shared" si="9"/>
        <v/>
      </c>
    </row>
    <row r="60" spans="1:12" x14ac:dyDescent="0.35">
      <c r="A60" s="150" t="str">
        <f t="shared" si="0"/>
        <v/>
      </c>
      <c r="B60" s="150" t="str">
        <f t="shared" si="1"/>
        <v/>
      </c>
      <c r="C60" s="151" t="str">
        <f t="shared" si="2"/>
        <v/>
      </c>
      <c r="D60" s="151" t="str">
        <f t="shared" si="3"/>
        <v/>
      </c>
      <c r="E60" s="151" t="str">
        <f t="shared" si="4"/>
        <v/>
      </c>
      <c r="F60" s="151" t="str">
        <f t="shared" si="5"/>
        <v/>
      </c>
      <c r="G60" s="151" t="str">
        <f t="shared" si="6"/>
        <v/>
      </c>
      <c r="H60" s="151" t="str">
        <f t="shared" si="7"/>
        <v/>
      </c>
      <c r="I60" s="151" t="str">
        <f t="shared" si="8"/>
        <v/>
      </c>
      <c r="J60" s="151" t="str">
        <f t="shared" si="9"/>
        <v/>
      </c>
    </row>
    <row r="63" spans="1:12" x14ac:dyDescent="0.35">
      <c r="A63" s="316" t="s">
        <v>587</v>
      </c>
      <c r="B63" s="316"/>
      <c r="C63" s="316"/>
      <c r="D63" s="316"/>
      <c r="E63" s="316"/>
      <c r="F63" s="316"/>
      <c r="G63" s="316"/>
      <c r="H63" s="316"/>
      <c r="I63" s="316"/>
      <c r="J63" s="316"/>
      <c r="K63" s="316"/>
      <c r="L63" s="316"/>
    </row>
  </sheetData>
  <mergeCells count="13">
    <mergeCell ref="A63:L63"/>
    <mergeCell ref="H7:L8"/>
    <mergeCell ref="H9:L10"/>
    <mergeCell ref="H11:L12"/>
    <mergeCell ref="H13:L14"/>
    <mergeCell ref="H15:L16"/>
    <mergeCell ref="A19:J19"/>
    <mergeCell ref="H5:L6"/>
    <mergeCell ref="A1:L1"/>
    <mergeCell ref="A2:L2"/>
    <mergeCell ref="A4:B4"/>
    <mergeCell ref="D4:F4"/>
    <mergeCell ref="H4:L4"/>
  </mergeCells>
  <conditionalFormatting sqref="G21:G60">
    <cfRule type="dataBar" priority="1">
      <dataBar>
        <cfvo type="min"/>
        <cfvo type="max"/>
        <color rgb="FF638EC6"/>
      </dataBar>
      <extLst>
        <ext xmlns:x14="http://schemas.microsoft.com/office/spreadsheetml/2009/9/main" uri="{B025F937-C7B1-47D3-B67F-A62EFF666E3E}">
          <x14:id>{1D3AA53C-C5B0-434C-9F2F-E8BF0747EDFE}</x14:id>
        </ext>
      </extLst>
    </cfRule>
  </conditionalFormatting>
  <dataValidations count="4">
    <dataValidation type="whole" allowBlank="1" showInputMessage="1" showErrorMessage="1" errorTitle="Invalid input" error="Age must be 18 to 120." promptTitle="Age" prompt="Enter a whole-number age from 18 to 120." sqref="B5:B7" xr:uid="{9FB3430E-E36D-46FF-9688-FDB939D395D7}">
      <formula1>18</formula1>
      <formula2>120</formula2>
    </dataValidation>
    <dataValidation type="decimal" operator="greaterThanOrEqual" allowBlank="1" showInputMessage="1" showErrorMessage="1" errorTitle="Invalid input" error="Amount cannot be negative." promptTitle="Monthly expense" prompt="Enter zero or a positive amount." sqref="B8" xr:uid="{4B4AE88A-12EC-4C52-943C-C731FBB95C0E}">
      <formula1>0</formula1>
    </dataValidation>
    <dataValidation type="decimal" operator="greaterThanOrEqual" allowBlank="1" showInputMessage="1" showErrorMessage="1" errorTitle="Invalid input" error="Value cannot be negative." promptTitle="Non-negative input" prompt="Enter zero or a positive value." sqref="B10:B11 B15" xr:uid="{3F34F283-1E06-4E04-9C4C-8A622FF45939}">
      <formula1>0</formula1>
    </dataValidation>
    <dataValidation type="decimal" allowBlank="1" showInputMessage="1" showErrorMessage="1" errorTitle="Invalid input" error="Use a value from 0 to 100." promptTitle="Percentage" prompt="Enter a value from 0 to 100." sqref="B9 B16:B17 B12:B14" xr:uid="{748E0071-A5A2-4293-9801-FB670074D385}">
      <formula1>0</formula1>
      <formula2>100</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D3AA53C-C5B0-434C-9F2F-E8BF0747EDFE}">
            <x14:dataBar minLength="0" maxLength="100" negativeBarColorSameAsPositive="1" axisPosition="none">
              <x14:cfvo type="min"/>
              <x14:cfvo type="max"/>
            </x14:dataBar>
          </x14:cfRule>
          <xm:sqref>G21:G60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3163-8584-418C-B6D5-F72E306B7AE5}">
  <dimension ref="A1:L87"/>
  <sheetViews>
    <sheetView workbookViewId="0">
      <selection activeCell="E5" sqref="E5"/>
    </sheetView>
  </sheetViews>
  <sheetFormatPr defaultRowHeight="14.5" x14ac:dyDescent="0.35"/>
  <cols>
    <col min="1" max="1" width="32.7265625" style="47" customWidth="1"/>
    <col min="2" max="2" width="16.36328125" style="47" customWidth="1"/>
    <col min="3" max="3" width="18.1796875" style="47" customWidth="1"/>
    <col min="4" max="4" width="29.90625" style="47" customWidth="1"/>
    <col min="5" max="7" width="18.1796875" style="47" customWidth="1"/>
    <col min="8" max="12" width="15.6328125" style="47" customWidth="1"/>
  </cols>
  <sheetData>
    <row r="1" spans="1:12" ht="23.5" x14ac:dyDescent="0.55000000000000004">
      <c r="A1" s="313" t="s">
        <v>588</v>
      </c>
      <c r="B1" s="313"/>
      <c r="C1" s="313"/>
      <c r="D1" s="313"/>
      <c r="E1" s="313"/>
      <c r="F1" s="313"/>
      <c r="G1" s="313"/>
      <c r="H1" s="313"/>
      <c r="I1" s="313"/>
      <c r="J1" s="313"/>
      <c r="K1" s="313"/>
      <c r="L1" s="313"/>
    </row>
    <row r="2" spans="1:12" x14ac:dyDescent="0.35">
      <c r="A2" s="314" t="s">
        <v>589</v>
      </c>
      <c r="B2" s="314"/>
      <c r="C2" s="314"/>
      <c r="D2" s="314"/>
      <c r="E2" s="314"/>
      <c r="F2" s="314"/>
      <c r="G2" s="314"/>
      <c r="H2" s="314"/>
      <c r="I2" s="314"/>
      <c r="J2" s="314"/>
      <c r="K2" s="314"/>
      <c r="L2" s="314"/>
    </row>
    <row r="4" spans="1:12" x14ac:dyDescent="0.35">
      <c r="A4" s="315" t="s">
        <v>590</v>
      </c>
      <c r="B4" s="315"/>
      <c r="D4" s="315" t="s">
        <v>591</v>
      </c>
      <c r="E4" s="315"/>
      <c r="F4" s="315"/>
      <c r="H4" s="315" t="s">
        <v>483</v>
      </c>
      <c r="I4" s="315"/>
      <c r="J4" s="315"/>
      <c r="K4" s="315"/>
      <c r="L4" s="315"/>
    </row>
    <row r="5" spans="1:12" ht="28" customHeight="1" x14ac:dyDescent="0.35">
      <c r="A5" s="140" t="s">
        <v>592</v>
      </c>
      <c r="B5" s="144">
        <v>30000</v>
      </c>
      <c r="D5" s="142" t="s">
        <v>610</v>
      </c>
      <c r="E5" s="143">
        <f>SUM(B5:B12)</f>
        <v>95000</v>
      </c>
      <c r="H5" s="312" t="str">
        <f>"1. Essential spending is "&amp;TEXT(E5,"₹#,##0")&amp;" per month; the recommended reserve is "&amp;E7&amp;" months or "&amp;TEXT(E8,"₹#,##0")&amp;"."</f>
        <v>1. Essential spending is ₹95,000 per month; the recommended reserve is 7 months or ₹6,65,000.</v>
      </c>
      <c r="I5" s="312"/>
      <c r="J5" s="312"/>
      <c r="K5" s="312"/>
      <c r="L5" s="312"/>
    </row>
    <row r="6" spans="1:12" ht="28" customHeight="1" x14ac:dyDescent="0.35">
      <c r="A6" s="140" t="s">
        <v>593</v>
      </c>
      <c r="B6" s="144">
        <v>15000</v>
      </c>
      <c r="D6" s="142" t="s">
        <v>611</v>
      </c>
      <c r="E6" s="48">
        <f>IF(B14="Variable",2,IF(B14="Highly variable",4,0))+IF(IFERROR(B15,0)&lt;=1,2,0)+IF(B16&gt;0,1,0)+IF(B17="Yes",1,0)</f>
        <v>1</v>
      </c>
      <c r="H6" s="312"/>
      <c r="I6" s="312"/>
      <c r="J6" s="312"/>
      <c r="K6" s="312"/>
      <c r="L6" s="312"/>
    </row>
    <row r="7" spans="1:12" ht="28" customHeight="1" x14ac:dyDescent="0.35">
      <c r="A7" s="140" t="s">
        <v>594</v>
      </c>
      <c r="B7" s="144">
        <v>5000</v>
      </c>
      <c r="D7" s="142" t="s">
        <v>612</v>
      </c>
      <c r="E7" s="48">
        <f>MIN(12,B13+E6)</f>
        <v>7</v>
      </c>
      <c r="H7" s="312" t="str">
        <f>"2. You are "&amp;TEXT(E13,"0%")&amp;" funded, with "&amp;TEXT(E12,"₹#,##0")&amp;" still to build."</f>
        <v>2. You are 30% funded, with ₹4,65,000 still to build.</v>
      </c>
      <c r="I7" s="312"/>
      <c r="J7" s="312"/>
      <c r="K7" s="312"/>
      <c r="L7" s="312"/>
    </row>
    <row r="8" spans="1:12" ht="28" customHeight="1" x14ac:dyDescent="0.35">
      <c r="A8" s="140" t="s">
        <v>595</v>
      </c>
      <c r="B8" s="144">
        <v>5000</v>
      </c>
      <c r="D8" s="142" t="s">
        <v>613</v>
      </c>
      <c r="E8" s="143">
        <f>E5*E7</f>
        <v>665000</v>
      </c>
      <c r="H8" s="312"/>
      <c r="I8" s="312"/>
      <c r="J8" s="312"/>
      <c r="K8" s="312"/>
      <c r="L8" s="312"/>
    </row>
    <row r="9" spans="1:12" ht="28" customHeight="1" x14ac:dyDescent="0.35">
      <c r="A9" s="140" t="s">
        <v>596</v>
      </c>
      <c r="B9" s="144">
        <v>5000</v>
      </c>
      <c r="D9" s="142" t="s">
        <v>614</v>
      </c>
      <c r="E9" s="143">
        <f>E5</f>
        <v>95000</v>
      </c>
      <c r="H9" s="312" t="str">
        <f>IF(E12=0,"3. The target is fully funded. Redirect new savings to high-priority debt or long-term goals.",IF(ISTEXT(E14),"3. "&amp;E14&amp;".",IF(E14&gt;60,"3. The target takes about "&amp;E14&amp;" months; the schedule shows the first 60 months.","3. At "&amp;TEXT(B19,"₹#,##0")&amp;" per month, the target is reached in about "&amp;E14&amp;" months.")))</f>
        <v>3. At ₹25,000 per month, the target is reached in about 18 months.</v>
      </c>
      <c r="I9" s="312"/>
      <c r="J9" s="312"/>
      <c r="K9" s="312"/>
      <c r="L9" s="312"/>
    </row>
    <row r="10" spans="1:12" ht="28" customHeight="1" x14ac:dyDescent="0.35">
      <c r="A10" s="140" t="s">
        <v>597</v>
      </c>
      <c r="B10" s="144">
        <v>20000</v>
      </c>
      <c r="D10" s="142" t="s">
        <v>615</v>
      </c>
      <c r="E10" s="143">
        <f>MAX(0,E8-E9)</f>
        <v>570000</v>
      </c>
      <c r="H10" s="312"/>
      <c r="I10" s="312"/>
      <c r="J10" s="312"/>
      <c r="K10" s="312"/>
      <c r="L10" s="312"/>
    </row>
    <row r="11" spans="1:12" ht="28" customHeight="1" x14ac:dyDescent="0.35">
      <c r="A11" s="140" t="s">
        <v>598</v>
      </c>
      <c r="B11" s="144">
        <v>10000</v>
      </c>
      <c r="D11" s="142" t="s">
        <v>616</v>
      </c>
      <c r="E11" s="143">
        <f>B18</f>
        <v>200000</v>
      </c>
      <c r="H11" s="312" t="s">
        <v>620</v>
      </c>
      <c r="I11" s="312"/>
      <c r="J11" s="312"/>
      <c r="K11" s="312"/>
      <c r="L11" s="312"/>
    </row>
    <row r="12" spans="1:12" ht="28" customHeight="1" x14ac:dyDescent="0.35">
      <c r="A12" s="140" t="s">
        <v>599</v>
      </c>
      <c r="B12" s="144">
        <v>5000</v>
      </c>
      <c r="D12" s="142" t="s">
        <v>419</v>
      </c>
      <c r="E12" s="143">
        <f>MAX(0,E8-E11)</f>
        <v>465000</v>
      </c>
      <c r="H12" s="312"/>
      <c r="I12" s="312"/>
      <c r="J12" s="312"/>
      <c r="K12" s="312"/>
      <c r="L12" s="312"/>
    </row>
    <row r="13" spans="1:12" ht="28" customHeight="1" x14ac:dyDescent="0.35">
      <c r="A13" s="140" t="s">
        <v>600</v>
      </c>
      <c r="B13" s="141">
        <v>6</v>
      </c>
      <c r="D13" s="142" t="s">
        <v>617</v>
      </c>
      <c r="E13" s="147">
        <f>IFERROR(E11/E8,0)</f>
        <v>0.3007518796992481</v>
      </c>
      <c r="H13" s="312" t="s">
        <v>621</v>
      </c>
      <c r="I13" s="312"/>
      <c r="J13" s="312"/>
      <c r="K13" s="312"/>
      <c r="L13" s="312"/>
    </row>
    <row r="14" spans="1:12" ht="28" customHeight="1" x14ac:dyDescent="0.35">
      <c r="A14" s="140" t="s">
        <v>601</v>
      </c>
      <c r="B14" s="141" t="s">
        <v>608</v>
      </c>
      <c r="D14" s="142" t="s">
        <v>618</v>
      </c>
      <c r="E14" s="48">
        <f>IF(E12=0,0,IF(AND(N(B19)=0,N(B20)=0),"Not reachable with these inputs",IFERROR(ROUNDUP(NPER(B20/1200,-B19,-B18,E8,0),0),"Not reachable with these inputs")))</f>
        <v>18</v>
      </c>
      <c r="H14" s="312"/>
      <c r="I14" s="312"/>
      <c r="J14" s="312"/>
      <c r="K14" s="312"/>
      <c r="L14" s="312"/>
    </row>
    <row r="15" spans="1:12" ht="28" customHeight="1" x14ac:dyDescent="0.35">
      <c r="A15" s="140" t="s">
        <v>602</v>
      </c>
      <c r="B15" s="141">
        <v>2</v>
      </c>
      <c r="D15" s="142" t="s">
        <v>619</v>
      </c>
      <c r="E15" s="147">
        <f>IFERROR(B19/E5,0)</f>
        <v>0.26315789473684209</v>
      </c>
      <c r="H15" s="312" t="s">
        <v>622</v>
      </c>
      <c r="I15" s="312"/>
      <c r="J15" s="312"/>
      <c r="K15" s="312"/>
      <c r="L15" s="312"/>
    </row>
    <row r="16" spans="1:12" ht="28" customHeight="1" x14ac:dyDescent="0.35">
      <c r="A16" s="140" t="s">
        <v>603</v>
      </c>
      <c r="B16" s="141">
        <v>2</v>
      </c>
      <c r="D16" s="142"/>
      <c r="E16" s="48"/>
      <c r="H16" s="312"/>
      <c r="I16" s="312"/>
      <c r="J16" s="312"/>
      <c r="K16" s="312"/>
      <c r="L16" s="312"/>
    </row>
    <row r="17" spans="1:7" x14ac:dyDescent="0.35">
      <c r="A17" s="140" t="s">
        <v>604</v>
      </c>
      <c r="B17" s="141" t="s">
        <v>609</v>
      </c>
    </row>
    <row r="18" spans="1:7" x14ac:dyDescent="0.35">
      <c r="A18" s="140" t="s">
        <v>605</v>
      </c>
      <c r="B18" s="144">
        <v>200000</v>
      </c>
    </row>
    <row r="19" spans="1:7" x14ac:dyDescent="0.35">
      <c r="A19" s="140" t="s">
        <v>606</v>
      </c>
      <c r="B19" s="144">
        <v>25000</v>
      </c>
    </row>
    <row r="20" spans="1:7" x14ac:dyDescent="0.35">
      <c r="A20" s="140" t="s">
        <v>607</v>
      </c>
      <c r="B20" s="145">
        <f>'Common Assumptions'!$B$17</f>
        <v>4</v>
      </c>
    </row>
    <row r="23" spans="1:7" x14ac:dyDescent="0.35">
      <c r="A23" s="317" t="s">
        <v>623</v>
      </c>
      <c r="B23" s="317"/>
      <c r="C23" s="317"/>
      <c r="D23" s="317"/>
      <c r="E23" s="317"/>
      <c r="F23" s="317"/>
      <c r="G23" s="317"/>
    </row>
    <row r="24" spans="1:7" x14ac:dyDescent="0.35">
      <c r="A24" s="148" t="s">
        <v>514</v>
      </c>
      <c r="B24" s="148" t="s">
        <v>74</v>
      </c>
      <c r="C24" s="148" t="s">
        <v>624</v>
      </c>
      <c r="D24" s="148" t="s">
        <v>625</v>
      </c>
      <c r="E24" s="148" t="s">
        <v>78</v>
      </c>
      <c r="F24" s="148" t="s">
        <v>626</v>
      </c>
      <c r="G24" s="148" t="s">
        <v>418</v>
      </c>
    </row>
    <row r="25" spans="1:7" x14ac:dyDescent="0.35">
      <c r="A25" s="47">
        <f>1</f>
        <v>1</v>
      </c>
      <c r="B25" s="149">
        <f>$E$11</f>
        <v>200000</v>
      </c>
      <c r="C25" s="149">
        <f>IF(B25&gt;=$E$8,0,MAX(0,MIN($B$19,$E$8-B25*(1+$B$20/1200))))</f>
        <v>25000</v>
      </c>
      <c r="D25" s="149">
        <f>B25*$B$20/1200</f>
        <v>666.66666666666663</v>
      </c>
      <c r="E25" s="149">
        <f>MIN($E$8,B25+C25+D25)</f>
        <v>225666.66666666666</v>
      </c>
      <c r="F25" s="149">
        <f>$E$8</f>
        <v>665000</v>
      </c>
      <c r="G25" s="152">
        <f>IFERROR(E25/F25,0)</f>
        <v>0.33934837092731829</v>
      </c>
    </row>
    <row r="26" spans="1:7" x14ac:dyDescent="0.35">
      <c r="A26" s="47">
        <f>A25+1</f>
        <v>2</v>
      </c>
      <c r="B26" s="149">
        <f>E25</f>
        <v>225666.66666666666</v>
      </c>
      <c r="C26" s="149">
        <f>IF(B26&gt;=$E$8,0,MAX(0,MIN($B$19,$E$8-B26*(1+$B$20/1200))))</f>
        <v>25000</v>
      </c>
      <c r="D26" s="149">
        <f>B26*$B$20/1200</f>
        <v>752.22222222222217</v>
      </c>
      <c r="E26" s="149">
        <f>MIN($E$8,B26+C26+D26)</f>
        <v>251418.88888888888</v>
      </c>
      <c r="F26" s="149">
        <f>$E$8</f>
        <v>665000</v>
      </c>
      <c r="G26" s="152">
        <f>IFERROR(E26/F26,0)</f>
        <v>0.37807351712614867</v>
      </c>
    </row>
    <row r="27" spans="1:7" x14ac:dyDescent="0.35">
      <c r="A27" s="47">
        <f t="shared" ref="A27:A84" si="0">A26+1</f>
        <v>3</v>
      </c>
      <c r="B27" s="149">
        <f t="shared" ref="B27:B84" si="1">E26</f>
        <v>251418.88888888888</v>
      </c>
      <c r="C27" s="149">
        <f t="shared" ref="C27:C84" si="2">IF(B27&gt;=$E$8,0,MAX(0,MIN($B$19,$E$8-B27*(1+$B$20/1200))))</f>
        <v>25000</v>
      </c>
      <c r="D27" s="149">
        <f t="shared" ref="D27:D84" si="3">B27*$B$20/1200</f>
        <v>838.06296296296296</v>
      </c>
      <c r="E27" s="149">
        <f t="shared" ref="E27:E84" si="4">MIN($E$8,B27+C27+D27)</f>
        <v>277256.95185185183</v>
      </c>
      <c r="F27" s="149">
        <f t="shared" ref="F27:F84" si="5">$E$8</f>
        <v>665000</v>
      </c>
      <c r="G27" s="152">
        <f t="shared" ref="G27:G84" si="6">IFERROR(E27/F27,0)</f>
        <v>0.41692774714564185</v>
      </c>
    </row>
    <row r="28" spans="1:7" x14ac:dyDescent="0.35">
      <c r="A28" s="47">
        <f t="shared" si="0"/>
        <v>4</v>
      </c>
      <c r="B28" s="149">
        <f t="shared" si="1"/>
        <v>277256.95185185183</v>
      </c>
      <c r="C28" s="149">
        <f t="shared" si="2"/>
        <v>25000</v>
      </c>
      <c r="D28" s="149">
        <f t="shared" si="3"/>
        <v>924.1898395061728</v>
      </c>
      <c r="E28" s="149">
        <f t="shared" si="4"/>
        <v>303181.141691358</v>
      </c>
      <c r="F28" s="149">
        <f t="shared" si="5"/>
        <v>665000</v>
      </c>
      <c r="G28" s="152">
        <f t="shared" si="6"/>
        <v>0.45591149126520003</v>
      </c>
    </row>
    <row r="29" spans="1:7" x14ac:dyDescent="0.35">
      <c r="A29" s="47">
        <f t="shared" si="0"/>
        <v>5</v>
      </c>
      <c r="B29" s="149">
        <f t="shared" si="1"/>
        <v>303181.141691358</v>
      </c>
      <c r="C29" s="149">
        <f t="shared" si="2"/>
        <v>25000</v>
      </c>
      <c r="D29" s="149">
        <f t="shared" si="3"/>
        <v>1010.60380563786</v>
      </c>
      <c r="E29" s="149">
        <f t="shared" si="4"/>
        <v>329191.74549699586</v>
      </c>
      <c r="F29" s="149">
        <f t="shared" si="5"/>
        <v>665000</v>
      </c>
      <c r="G29" s="152">
        <f t="shared" si="6"/>
        <v>0.49502518119849004</v>
      </c>
    </row>
    <row r="30" spans="1:7" x14ac:dyDescent="0.35">
      <c r="A30" s="47">
        <f t="shared" si="0"/>
        <v>6</v>
      </c>
      <c r="B30" s="149">
        <f t="shared" si="1"/>
        <v>329191.74549699586</v>
      </c>
      <c r="C30" s="149">
        <f t="shared" si="2"/>
        <v>25000</v>
      </c>
      <c r="D30" s="149">
        <f t="shared" si="3"/>
        <v>1097.3058183233195</v>
      </c>
      <c r="E30" s="149">
        <f t="shared" si="4"/>
        <v>355289.0513153192</v>
      </c>
      <c r="F30" s="149">
        <f t="shared" si="5"/>
        <v>665000</v>
      </c>
      <c r="G30" s="152">
        <f t="shared" si="6"/>
        <v>0.53426925009822435</v>
      </c>
    </row>
    <row r="31" spans="1:7" x14ac:dyDescent="0.35">
      <c r="A31" s="47">
        <f t="shared" si="0"/>
        <v>7</v>
      </c>
      <c r="B31" s="149">
        <f t="shared" si="1"/>
        <v>355289.0513153192</v>
      </c>
      <c r="C31" s="149">
        <f t="shared" si="2"/>
        <v>25000</v>
      </c>
      <c r="D31" s="149">
        <f t="shared" si="3"/>
        <v>1184.2968377177306</v>
      </c>
      <c r="E31" s="149">
        <f t="shared" si="4"/>
        <v>381473.3481530369</v>
      </c>
      <c r="F31" s="149">
        <f t="shared" si="5"/>
        <v>665000</v>
      </c>
      <c r="G31" s="152">
        <f t="shared" si="6"/>
        <v>0.5736441325609577</v>
      </c>
    </row>
    <row r="32" spans="1:7" x14ac:dyDescent="0.35">
      <c r="A32" s="47">
        <f t="shared" si="0"/>
        <v>8</v>
      </c>
      <c r="B32" s="149">
        <f t="shared" si="1"/>
        <v>381473.3481530369</v>
      </c>
      <c r="C32" s="149">
        <f t="shared" si="2"/>
        <v>25000</v>
      </c>
      <c r="D32" s="149">
        <f t="shared" si="3"/>
        <v>1271.5778271767897</v>
      </c>
      <c r="E32" s="149">
        <f t="shared" si="4"/>
        <v>407744.92598021368</v>
      </c>
      <c r="F32" s="149">
        <f t="shared" si="5"/>
        <v>665000</v>
      </c>
      <c r="G32" s="152">
        <f t="shared" si="6"/>
        <v>0.61315026463190025</v>
      </c>
    </row>
    <row r="33" spans="1:7" x14ac:dyDescent="0.35">
      <c r="A33" s="47">
        <f t="shared" si="0"/>
        <v>9</v>
      </c>
      <c r="B33" s="149">
        <f t="shared" si="1"/>
        <v>407744.92598021368</v>
      </c>
      <c r="C33" s="149">
        <f t="shared" si="2"/>
        <v>25000</v>
      </c>
      <c r="D33" s="149">
        <f t="shared" si="3"/>
        <v>1359.1497532673789</v>
      </c>
      <c r="E33" s="149">
        <f t="shared" si="4"/>
        <v>434104.07573348103</v>
      </c>
      <c r="F33" s="149">
        <f t="shared" si="5"/>
        <v>665000</v>
      </c>
      <c r="G33" s="152">
        <f t="shared" si="6"/>
        <v>0.65278808380974596</v>
      </c>
    </row>
    <row r="34" spans="1:7" x14ac:dyDescent="0.35">
      <c r="A34" s="47">
        <f t="shared" si="0"/>
        <v>10</v>
      </c>
      <c r="B34" s="149">
        <f t="shared" si="1"/>
        <v>434104.07573348103</v>
      </c>
      <c r="C34" s="149">
        <f t="shared" si="2"/>
        <v>25000</v>
      </c>
      <c r="D34" s="149">
        <f t="shared" si="3"/>
        <v>1447.01358577827</v>
      </c>
      <c r="E34" s="149">
        <f t="shared" si="4"/>
        <v>460551.08931925928</v>
      </c>
      <c r="F34" s="149">
        <f t="shared" si="5"/>
        <v>665000</v>
      </c>
      <c r="G34" s="152">
        <f t="shared" si="6"/>
        <v>0.69255802905151775</v>
      </c>
    </row>
    <row r="35" spans="1:7" x14ac:dyDescent="0.35">
      <c r="A35" s="47">
        <f t="shared" si="0"/>
        <v>11</v>
      </c>
      <c r="B35" s="149">
        <f t="shared" si="1"/>
        <v>460551.08931925928</v>
      </c>
      <c r="C35" s="149">
        <f t="shared" si="2"/>
        <v>25000</v>
      </c>
      <c r="D35" s="149">
        <f t="shared" si="3"/>
        <v>1535.1702977308641</v>
      </c>
      <c r="E35" s="149">
        <f t="shared" si="4"/>
        <v>487086.25961699017</v>
      </c>
      <c r="F35" s="149">
        <f t="shared" si="5"/>
        <v>665000</v>
      </c>
      <c r="G35" s="152">
        <f t="shared" si="6"/>
        <v>0.73246054077742884</v>
      </c>
    </row>
    <row r="36" spans="1:7" x14ac:dyDescent="0.35">
      <c r="A36" s="47">
        <f t="shared" si="0"/>
        <v>12</v>
      </c>
      <c r="B36" s="149">
        <f t="shared" si="1"/>
        <v>487086.25961699017</v>
      </c>
      <c r="C36" s="149">
        <f t="shared" si="2"/>
        <v>25000</v>
      </c>
      <c r="D36" s="149">
        <f t="shared" si="3"/>
        <v>1623.6208653899673</v>
      </c>
      <c r="E36" s="149">
        <f t="shared" si="4"/>
        <v>513709.88048238016</v>
      </c>
      <c r="F36" s="149">
        <f t="shared" si="5"/>
        <v>665000</v>
      </c>
      <c r="G36" s="152">
        <f t="shared" si="6"/>
        <v>0.77249606087575962</v>
      </c>
    </row>
    <row r="37" spans="1:7" x14ac:dyDescent="0.35">
      <c r="A37" s="47">
        <f t="shared" si="0"/>
        <v>13</v>
      </c>
      <c r="B37" s="149">
        <f t="shared" si="1"/>
        <v>513709.88048238016</v>
      </c>
      <c r="C37" s="149">
        <f t="shared" si="2"/>
        <v>25000</v>
      </c>
      <c r="D37" s="149">
        <f t="shared" si="3"/>
        <v>1712.3662682746005</v>
      </c>
      <c r="E37" s="149">
        <f t="shared" si="4"/>
        <v>540422.24675065477</v>
      </c>
      <c r="F37" s="149">
        <f t="shared" si="5"/>
        <v>665000</v>
      </c>
      <c r="G37" s="152">
        <f t="shared" si="6"/>
        <v>0.81266503270775148</v>
      </c>
    </row>
    <row r="38" spans="1:7" x14ac:dyDescent="0.35">
      <c r="A38" s="47">
        <f t="shared" si="0"/>
        <v>14</v>
      </c>
      <c r="B38" s="149">
        <f t="shared" si="1"/>
        <v>540422.24675065477</v>
      </c>
      <c r="C38" s="149">
        <f t="shared" si="2"/>
        <v>25000</v>
      </c>
      <c r="D38" s="149">
        <f t="shared" si="3"/>
        <v>1801.4074891688492</v>
      </c>
      <c r="E38" s="149">
        <f t="shared" si="4"/>
        <v>567223.65423982358</v>
      </c>
      <c r="F38" s="149">
        <f t="shared" si="5"/>
        <v>665000</v>
      </c>
      <c r="G38" s="152">
        <f t="shared" si="6"/>
        <v>0.85296790111251664</v>
      </c>
    </row>
    <row r="39" spans="1:7" x14ac:dyDescent="0.35">
      <c r="A39" s="47">
        <f t="shared" si="0"/>
        <v>15</v>
      </c>
      <c r="B39" s="149">
        <f t="shared" si="1"/>
        <v>567223.65423982358</v>
      </c>
      <c r="C39" s="149">
        <f t="shared" si="2"/>
        <v>25000</v>
      </c>
      <c r="D39" s="149">
        <f t="shared" si="3"/>
        <v>1890.7455141327453</v>
      </c>
      <c r="E39" s="149">
        <f t="shared" si="4"/>
        <v>594114.39975395636</v>
      </c>
      <c r="F39" s="149">
        <f t="shared" si="5"/>
        <v>665000</v>
      </c>
      <c r="G39" s="152">
        <f t="shared" si="6"/>
        <v>0.89340511241196441</v>
      </c>
    </row>
    <row r="40" spans="1:7" x14ac:dyDescent="0.35">
      <c r="A40" s="47">
        <f t="shared" si="0"/>
        <v>16</v>
      </c>
      <c r="B40" s="149">
        <f t="shared" si="1"/>
        <v>594114.39975395636</v>
      </c>
      <c r="C40" s="149">
        <f t="shared" si="2"/>
        <v>25000</v>
      </c>
      <c r="D40" s="149">
        <f t="shared" si="3"/>
        <v>1980.3813325131878</v>
      </c>
      <c r="E40" s="149">
        <f t="shared" si="4"/>
        <v>621094.78108646953</v>
      </c>
      <c r="F40" s="149">
        <f t="shared" si="5"/>
        <v>665000</v>
      </c>
      <c r="G40" s="152">
        <f t="shared" si="6"/>
        <v>0.93397711441574371</v>
      </c>
    </row>
    <row r="41" spans="1:7" x14ac:dyDescent="0.35">
      <c r="A41" s="47">
        <f t="shared" si="0"/>
        <v>17</v>
      </c>
      <c r="B41" s="149">
        <f t="shared" si="1"/>
        <v>621094.78108646953</v>
      </c>
      <c r="C41" s="149">
        <f t="shared" si="2"/>
        <v>25000</v>
      </c>
      <c r="D41" s="149">
        <f t="shared" si="3"/>
        <v>2070.3159369548985</v>
      </c>
      <c r="E41" s="149">
        <f t="shared" si="4"/>
        <v>648165.09702342446</v>
      </c>
      <c r="F41" s="149">
        <f t="shared" si="5"/>
        <v>665000</v>
      </c>
      <c r="G41" s="152">
        <f t="shared" si="6"/>
        <v>0.97468435642620221</v>
      </c>
    </row>
    <row r="42" spans="1:7" x14ac:dyDescent="0.35">
      <c r="A42" s="47">
        <f t="shared" si="0"/>
        <v>18</v>
      </c>
      <c r="B42" s="149">
        <f t="shared" si="1"/>
        <v>648165.09702342446</v>
      </c>
      <c r="C42" s="149">
        <f t="shared" si="2"/>
        <v>14674.352653164067</v>
      </c>
      <c r="D42" s="149">
        <f t="shared" si="3"/>
        <v>2160.5503234114149</v>
      </c>
      <c r="E42" s="149">
        <f t="shared" si="4"/>
        <v>665000</v>
      </c>
      <c r="F42" s="149">
        <f t="shared" si="5"/>
        <v>665000</v>
      </c>
      <c r="G42" s="152">
        <f t="shared" si="6"/>
        <v>1</v>
      </c>
    </row>
    <row r="43" spans="1:7" x14ac:dyDescent="0.35">
      <c r="A43" s="47">
        <f t="shared" si="0"/>
        <v>19</v>
      </c>
      <c r="B43" s="149">
        <f t="shared" si="1"/>
        <v>665000</v>
      </c>
      <c r="C43" s="149">
        <f t="shared" si="2"/>
        <v>0</v>
      </c>
      <c r="D43" s="149">
        <f t="shared" si="3"/>
        <v>2216.6666666666665</v>
      </c>
      <c r="E43" s="149">
        <f t="shared" si="4"/>
        <v>665000</v>
      </c>
      <c r="F43" s="149">
        <f t="shared" si="5"/>
        <v>665000</v>
      </c>
      <c r="G43" s="152">
        <f t="shared" si="6"/>
        <v>1</v>
      </c>
    </row>
    <row r="44" spans="1:7" x14ac:dyDescent="0.35">
      <c r="A44" s="47">
        <f t="shared" si="0"/>
        <v>20</v>
      </c>
      <c r="B44" s="149">
        <f t="shared" si="1"/>
        <v>665000</v>
      </c>
      <c r="C44" s="149">
        <f t="shared" si="2"/>
        <v>0</v>
      </c>
      <c r="D44" s="149">
        <f t="shared" si="3"/>
        <v>2216.6666666666665</v>
      </c>
      <c r="E44" s="149">
        <f t="shared" si="4"/>
        <v>665000</v>
      </c>
      <c r="F44" s="149">
        <f t="shared" si="5"/>
        <v>665000</v>
      </c>
      <c r="G44" s="152">
        <f t="shared" si="6"/>
        <v>1</v>
      </c>
    </row>
    <row r="45" spans="1:7" x14ac:dyDescent="0.35">
      <c r="A45" s="47">
        <f t="shared" si="0"/>
        <v>21</v>
      </c>
      <c r="B45" s="149">
        <f t="shared" si="1"/>
        <v>665000</v>
      </c>
      <c r="C45" s="149">
        <f t="shared" si="2"/>
        <v>0</v>
      </c>
      <c r="D45" s="149">
        <f t="shared" si="3"/>
        <v>2216.6666666666665</v>
      </c>
      <c r="E45" s="149">
        <f t="shared" si="4"/>
        <v>665000</v>
      </c>
      <c r="F45" s="149">
        <f t="shared" si="5"/>
        <v>665000</v>
      </c>
      <c r="G45" s="152">
        <f t="shared" si="6"/>
        <v>1</v>
      </c>
    </row>
    <row r="46" spans="1:7" x14ac:dyDescent="0.35">
      <c r="A46" s="47">
        <f t="shared" si="0"/>
        <v>22</v>
      </c>
      <c r="B46" s="149">
        <f t="shared" si="1"/>
        <v>665000</v>
      </c>
      <c r="C46" s="149">
        <f t="shared" si="2"/>
        <v>0</v>
      </c>
      <c r="D46" s="149">
        <f t="shared" si="3"/>
        <v>2216.6666666666665</v>
      </c>
      <c r="E46" s="149">
        <f t="shared" si="4"/>
        <v>665000</v>
      </c>
      <c r="F46" s="149">
        <f t="shared" si="5"/>
        <v>665000</v>
      </c>
      <c r="G46" s="152">
        <f t="shared" si="6"/>
        <v>1</v>
      </c>
    </row>
    <row r="47" spans="1:7" x14ac:dyDescent="0.35">
      <c r="A47" s="47">
        <f t="shared" si="0"/>
        <v>23</v>
      </c>
      <c r="B47" s="149">
        <f t="shared" si="1"/>
        <v>665000</v>
      </c>
      <c r="C47" s="149">
        <f t="shared" si="2"/>
        <v>0</v>
      </c>
      <c r="D47" s="149">
        <f t="shared" si="3"/>
        <v>2216.6666666666665</v>
      </c>
      <c r="E47" s="149">
        <f t="shared" si="4"/>
        <v>665000</v>
      </c>
      <c r="F47" s="149">
        <f t="shared" si="5"/>
        <v>665000</v>
      </c>
      <c r="G47" s="152">
        <f t="shared" si="6"/>
        <v>1</v>
      </c>
    </row>
    <row r="48" spans="1:7" x14ac:dyDescent="0.35">
      <c r="A48" s="47">
        <f t="shared" si="0"/>
        <v>24</v>
      </c>
      <c r="B48" s="149">
        <f t="shared" si="1"/>
        <v>665000</v>
      </c>
      <c r="C48" s="149">
        <f t="shared" si="2"/>
        <v>0</v>
      </c>
      <c r="D48" s="149">
        <f t="shared" si="3"/>
        <v>2216.6666666666665</v>
      </c>
      <c r="E48" s="149">
        <f t="shared" si="4"/>
        <v>665000</v>
      </c>
      <c r="F48" s="149">
        <f t="shared" si="5"/>
        <v>665000</v>
      </c>
      <c r="G48" s="152">
        <f t="shared" si="6"/>
        <v>1</v>
      </c>
    </row>
    <row r="49" spans="1:7" x14ac:dyDescent="0.35">
      <c r="A49" s="47">
        <f t="shared" si="0"/>
        <v>25</v>
      </c>
      <c r="B49" s="149">
        <f t="shared" si="1"/>
        <v>665000</v>
      </c>
      <c r="C49" s="149">
        <f t="shared" si="2"/>
        <v>0</v>
      </c>
      <c r="D49" s="149">
        <f t="shared" si="3"/>
        <v>2216.6666666666665</v>
      </c>
      <c r="E49" s="149">
        <f t="shared" si="4"/>
        <v>665000</v>
      </c>
      <c r="F49" s="149">
        <f t="shared" si="5"/>
        <v>665000</v>
      </c>
      <c r="G49" s="152">
        <f t="shared" si="6"/>
        <v>1</v>
      </c>
    </row>
    <row r="50" spans="1:7" x14ac:dyDescent="0.35">
      <c r="A50" s="47">
        <f t="shared" si="0"/>
        <v>26</v>
      </c>
      <c r="B50" s="149">
        <f t="shared" si="1"/>
        <v>665000</v>
      </c>
      <c r="C50" s="149">
        <f t="shared" si="2"/>
        <v>0</v>
      </c>
      <c r="D50" s="149">
        <f t="shared" si="3"/>
        <v>2216.6666666666665</v>
      </c>
      <c r="E50" s="149">
        <f t="shared" si="4"/>
        <v>665000</v>
      </c>
      <c r="F50" s="149">
        <f t="shared" si="5"/>
        <v>665000</v>
      </c>
      <c r="G50" s="152">
        <f t="shared" si="6"/>
        <v>1</v>
      </c>
    </row>
    <row r="51" spans="1:7" x14ac:dyDescent="0.35">
      <c r="A51" s="47">
        <f t="shared" si="0"/>
        <v>27</v>
      </c>
      <c r="B51" s="149">
        <f t="shared" si="1"/>
        <v>665000</v>
      </c>
      <c r="C51" s="149">
        <f t="shared" si="2"/>
        <v>0</v>
      </c>
      <c r="D51" s="149">
        <f t="shared" si="3"/>
        <v>2216.6666666666665</v>
      </c>
      <c r="E51" s="149">
        <f t="shared" si="4"/>
        <v>665000</v>
      </c>
      <c r="F51" s="149">
        <f t="shared" si="5"/>
        <v>665000</v>
      </c>
      <c r="G51" s="152">
        <f t="shared" si="6"/>
        <v>1</v>
      </c>
    </row>
    <row r="52" spans="1:7" x14ac:dyDescent="0.35">
      <c r="A52" s="47">
        <f t="shared" si="0"/>
        <v>28</v>
      </c>
      <c r="B52" s="149">
        <f t="shared" si="1"/>
        <v>665000</v>
      </c>
      <c r="C52" s="149">
        <f t="shared" si="2"/>
        <v>0</v>
      </c>
      <c r="D52" s="149">
        <f t="shared" si="3"/>
        <v>2216.6666666666665</v>
      </c>
      <c r="E52" s="149">
        <f t="shared" si="4"/>
        <v>665000</v>
      </c>
      <c r="F52" s="149">
        <f t="shared" si="5"/>
        <v>665000</v>
      </c>
      <c r="G52" s="152">
        <f t="shared" si="6"/>
        <v>1</v>
      </c>
    </row>
    <row r="53" spans="1:7" x14ac:dyDescent="0.35">
      <c r="A53" s="47">
        <f t="shared" si="0"/>
        <v>29</v>
      </c>
      <c r="B53" s="149">
        <f t="shared" si="1"/>
        <v>665000</v>
      </c>
      <c r="C53" s="149">
        <f t="shared" si="2"/>
        <v>0</v>
      </c>
      <c r="D53" s="149">
        <f t="shared" si="3"/>
        <v>2216.6666666666665</v>
      </c>
      <c r="E53" s="149">
        <f t="shared" si="4"/>
        <v>665000</v>
      </c>
      <c r="F53" s="149">
        <f t="shared" si="5"/>
        <v>665000</v>
      </c>
      <c r="G53" s="152">
        <f t="shared" si="6"/>
        <v>1</v>
      </c>
    </row>
    <row r="54" spans="1:7" x14ac:dyDescent="0.35">
      <c r="A54" s="47">
        <f t="shared" si="0"/>
        <v>30</v>
      </c>
      <c r="B54" s="149">
        <f t="shared" si="1"/>
        <v>665000</v>
      </c>
      <c r="C54" s="149">
        <f t="shared" si="2"/>
        <v>0</v>
      </c>
      <c r="D54" s="149">
        <f t="shared" si="3"/>
        <v>2216.6666666666665</v>
      </c>
      <c r="E54" s="149">
        <f t="shared" si="4"/>
        <v>665000</v>
      </c>
      <c r="F54" s="149">
        <f t="shared" si="5"/>
        <v>665000</v>
      </c>
      <c r="G54" s="152">
        <f t="shared" si="6"/>
        <v>1</v>
      </c>
    </row>
    <row r="55" spans="1:7" x14ac:dyDescent="0.35">
      <c r="A55" s="47">
        <f t="shared" si="0"/>
        <v>31</v>
      </c>
      <c r="B55" s="149">
        <f t="shared" si="1"/>
        <v>665000</v>
      </c>
      <c r="C55" s="149">
        <f t="shared" si="2"/>
        <v>0</v>
      </c>
      <c r="D55" s="149">
        <f t="shared" si="3"/>
        <v>2216.6666666666665</v>
      </c>
      <c r="E55" s="149">
        <f t="shared" si="4"/>
        <v>665000</v>
      </c>
      <c r="F55" s="149">
        <f t="shared" si="5"/>
        <v>665000</v>
      </c>
      <c r="G55" s="152">
        <f t="shared" si="6"/>
        <v>1</v>
      </c>
    </row>
    <row r="56" spans="1:7" x14ac:dyDescent="0.35">
      <c r="A56" s="47">
        <f t="shared" si="0"/>
        <v>32</v>
      </c>
      <c r="B56" s="149">
        <f t="shared" si="1"/>
        <v>665000</v>
      </c>
      <c r="C56" s="149">
        <f t="shared" si="2"/>
        <v>0</v>
      </c>
      <c r="D56" s="149">
        <f t="shared" si="3"/>
        <v>2216.6666666666665</v>
      </c>
      <c r="E56" s="149">
        <f t="shared" si="4"/>
        <v>665000</v>
      </c>
      <c r="F56" s="149">
        <f t="shared" si="5"/>
        <v>665000</v>
      </c>
      <c r="G56" s="152">
        <f t="shared" si="6"/>
        <v>1</v>
      </c>
    </row>
    <row r="57" spans="1:7" x14ac:dyDescent="0.35">
      <c r="A57" s="47">
        <f t="shared" si="0"/>
        <v>33</v>
      </c>
      <c r="B57" s="149">
        <f t="shared" si="1"/>
        <v>665000</v>
      </c>
      <c r="C57" s="149">
        <f t="shared" si="2"/>
        <v>0</v>
      </c>
      <c r="D57" s="149">
        <f t="shared" si="3"/>
        <v>2216.6666666666665</v>
      </c>
      <c r="E57" s="149">
        <f t="shared" si="4"/>
        <v>665000</v>
      </c>
      <c r="F57" s="149">
        <f t="shared" si="5"/>
        <v>665000</v>
      </c>
      <c r="G57" s="152">
        <f t="shared" si="6"/>
        <v>1</v>
      </c>
    </row>
    <row r="58" spans="1:7" x14ac:dyDescent="0.35">
      <c r="A58" s="47">
        <f t="shared" si="0"/>
        <v>34</v>
      </c>
      <c r="B58" s="149">
        <f t="shared" si="1"/>
        <v>665000</v>
      </c>
      <c r="C58" s="149">
        <f t="shared" si="2"/>
        <v>0</v>
      </c>
      <c r="D58" s="149">
        <f t="shared" si="3"/>
        <v>2216.6666666666665</v>
      </c>
      <c r="E58" s="149">
        <f t="shared" si="4"/>
        <v>665000</v>
      </c>
      <c r="F58" s="149">
        <f t="shared" si="5"/>
        <v>665000</v>
      </c>
      <c r="G58" s="152">
        <f t="shared" si="6"/>
        <v>1</v>
      </c>
    </row>
    <row r="59" spans="1:7" x14ac:dyDescent="0.35">
      <c r="A59" s="47">
        <f t="shared" si="0"/>
        <v>35</v>
      </c>
      <c r="B59" s="149">
        <f t="shared" si="1"/>
        <v>665000</v>
      </c>
      <c r="C59" s="149">
        <f t="shared" si="2"/>
        <v>0</v>
      </c>
      <c r="D59" s="149">
        <f t="shared" si="3"/>
        <v>2216.6666666666665</v>
      </c>
      <c r="E59" s="149">
        <f t="shared" si="4"/>
        <v>665000</v>
      </c>
      <c r="F59" s="149">
        <f t="shared" si="5"/>
        <v>665000</v>
      </c>
      <c r="G59" s="152">
        <f t="shared" si="6"/>
        <v>1</v>
      </c>
    </row>
    <row r="60" spans="1:7" x14ac:dyDescent="0.35">
      <c r="A60" s="47">
        <f t="shared" si="0"/>
        <v>36</v>
      </c>
      <c r="B60" s="149">
        <f t="shared" si="1"/>
        <v>665000</v>
      </c>
      <c r="C60" s="149">
        <f t="shared" si="2"/>
        <v>0</v>
      </c>
      <c r="D60" s="149">
        <f t="shared" si="3"/>
        <v>2216.6666666666665</v>
      </c>
      <c r="E60" s="149">
        <f t="shared" si="4"/>
        <v>665000</v>
      </c>
      <c r="F60" s="149">
        <f t="shared" si="5"/>
        <v>665000</v>
      </c>
      <c r="G60" s="152">
        <f t="shared" si="6"/>
        <v>1</v>
      </c>
    </row>
    <row r="61" spans="1:7" x14ac:dyDescent="0.35">
      <c r="A61" s="47">
        <f t="shared" si="0"/>
        <v>37</v>
      </c>
      <c r="B61" s="149">
        <f t="shared" si="1"/>
        <v>665000</v>
      </c>
      <c r="C61" s="149">
        <f t="shared" si="2"/>
        <v>0</v>
      </c>
      <c r="D61" s="149">
        <f t="shared" si="3"/>
        <v>2216.6666666666665</v>
      </c>
      <c r="E61" s="149">
        <f t="shared" si="4"/>
        <v>665000</v>
      </c>
      <c r="F61" s="149">
        <f t="shared" si="5"/>
        <v>665000</v>
      </c>
      <c r="G61" s="152">
        <f t="shared" si="6"/>
        <v>1</v>
      </c>
    </row>
    <row r="62" spans="1:7" x14ac:dyDescent="0.35">
      <c r="A62" s="47">
        <f t="shared" si="0"/>
        <v>38</v>
      </c>
      <c r="B62" s="149">
        <f t="shared" si="1"/>
        <v>665000</v>
      </c>
      <c r="C62" s="149">
        <f t="shared" si="2"/>
        <v>0</v>
      </c>
      <c r="D62" s="149">
        <f t="shared" si="3"/>
        <v>2216.6666666666665</v>
      </c>
      <c r="E62" s="149">
        <f t="shared" si="4"/>
        <v>665000</v>
      </c>
      <c r="F62" s="149">
        <f t="shared" si="5"/>
        <v>665000</v>
      </c>
      <c r="G62" s="152">
        <f t="shared" si="6"/>
        <v>1</v>
      </c>
    </row>
    <row r="63" spans="1:7" x14ac:dyDescent="0.35">
      <c r="A63" s="47">
        <f t="shared" si="0"/>
        <v>39</v>
      </c>
      <c r="B63" s="149">
        <f t="shared" si="1"/>
        <v>665000</v>
      </c>
      <c r="C63" s="149">
        <f t="shared" si="2"/>
        <v>0</v>
      </c>
      <c r="D63" s="149">
        <f t="shared" si="3"/>
        <v>2216.6666666666665</v>
      </c>
      <c r="E63" s="149">
        <f t="shared" si="4"/>
        <v>665000</v>
      </c>
      <c r="F63" s="149">
        <f t="shared" si="5"/>
        <v>665000</v>
      </c>
      <c r="G63" s="152">
        <f t="shared" si="6"/>
        <v>1</v>
      </c>
    </row>
    <row r="64" spans="1:7" x14ac:dyDescent="0.35">
      <c r="A64" s="47">
        <f t="shared" si="0"/>
        <v>40</v>
      </c>
      <c r="B64" s="149">
        <f t="shared" si="1"/>
        <v>665000</v>
      </c>
      <c r="C64" s="149">
        <f t="shared" si="2"/>
        <v>0</v>
      </c>
      <c r="D64" s="149">
        <f t="shared" si="3"/>
        <v>2216.6666666666665</v>
      </c>
      <c r="E64" s="149">
        <f t="shared" si="4"/>
        <v>665000</v>
      </c>
      <c r="F64" s="149">
        <f t="shared" si="5"/>
        <v>665000</v>
      </c>
      <c r="G64" s="152">
        <f t="shared" si="6"/>
        <v>1</v>
      </c>
    </row>
    <row r="65" spans="1:7" x14ac:dyDescent="0.35">
      <c r="A65" s="47">
        <f t="shared" si="0"/>
        <v>41</v>
      </c>
      <c r="B65" s="149">
        <f t="shared" si="1"/>
        <v>665000</v>
      </c>
      <c r="C65" s="149">
        <f t="shared" si="2"/>
        <v>0</v>
      </c>
      <c r="D65" s="149">
        <f t="shared" si="3"/>
        <v>2216.6666666666665</v>
      </c>
      <c r="E65" s="149">
        <f t="shared" si="4"/>
        <v>665000</v>
      </c>
      <c r="F65" s="149">
        <f t="shared" si="5"/>
        <v>665000</v>
      </c>
      <c r="G65" s="152">
        <f t="shared" si="6"/>
        <v>1</v>
      </c>
    </row>
    <row r="66" spans="1:7" x14ac:dyDescent="0.35">
      <c r="A66" s="47">
        <f t="shared" si="0"/>
        <v>42</v>
      </c>
      <c r="B66" s="149">
        <f t="shared" si="1"/>
        <v>665000</v>
      </c>
      <c r="C66" s="149">
        <f t="shared" si="2"/>
        <v>0</v>
      </c>
      <c r="D66" s="149">
        <f t="shared" si="3"/>
        <v>2216.6666666666665</v>
      </c>
      <c r="E66" s="149">
        <f t="shared" si="4"/>
        <v>665000</v>
      </c>
      <c r="F66" s="149">
        <f t="shared" si="5"/>
        <v>665000</v>
      </c>
      <c r="G66" s="152">
        <f t="shared" si="6"/>
        <v>1</v>
      </c>
    </row>
    <row r="67" spans="1:7" x14ac:dyDescent="0.35">
      <c r="A67" s="47">
        <f t="shared" si="0"/>
        <v>43</v>
      </c>
      <c r="B67" s="149">
        <f t="shared" si="1"/>
        <v>665000</v>
      </c>
      <c r="C67" s="149">
        <f t="shared" si="2"/>
        <v>0</v>
      </c>
      <c r="D67" s="149">
        <f t="shared" si="3"/>
        <v>2216.6666666666665</v>
      </c>
      <c r="E67" s="149">
        <f t="shared" si="4"/>
        <v>665000</v>
      </c>
      <c r="F67" s="149">
        <f t="shared" si="5"/>
        <v>665000</v>
      </c>
      <c r="G67" s="152">
        <f t="shared" si="6"/>
        <v>1</v>
      </c>
    </row>
    <row r="68" spans="1:7" x14ac:dyDescent="0.35">
      <c r="A68" s="47">
        <f t="shared" si="0"/>
        <v>44</v>
      </c>
      <c r="B68" s="149">
        <f t="shared" si="1"/>
        <v>665000</v>
      </c>
      <c r="C68" s="149">
        <f t="shared" si="2"/>
        <v>0</v>
      </c>
      <c r="D68" s="149">
        <f t="shared" si="3"/>
        <v>2216.6666666666665</v>
      </c>
      <c r="E68" s="149">
        <f t="shared" si="4"/>
        <v>665000</v>
      </c>
      <c r="F68" s="149">
        <f t="shared" si="5"/>
        <v>665000</v>
      </c>
      <c r="G68" s="152">
        <f t="shared" si="6"/>
        <v>1</v>
      </c>
    </row>
    <row r="69" spans="1:7" x14ac:dyDescent="0.35">
      <c r="A69" s="47">
        <f t="shared" si="0"/>
        <v>45</v>
      </c>
      <c r="B69" s="149">
        <f t="shared" si="1"/>
        <v>665000</v>
      </c>
      <c r="C69" s="149">
        <f t="shared" si="2"/>
        <v>0</v>
      </c>
      <c r="D69" s="149">
        <f t="shared" si="3"/>
        <v>2216.6666666666665</v>
      </c>
      <c r="E69" s="149">
        <f t="shared" si="4"/>
        <v>665000</v>
      </c>
      <c r="F69" s="149">
        <f t="shared" si="5"/>
        <v>665000</v>
      </c>
      <c r="G69" s="152">
        <f t="shared" si="6"/>
        <v>1</v>
      </c>
    </row>
    <row r="70" spans="1:7" x14ac:dyDescent="0.35">
      <c r="A70" s="47">
        <f t="shared" si="0"/>
        <v>46</v>
      </c>
      <c r="B70" s="149">
        <f t="shared" si="1"/>
        <v>665000</v>
      </c>
      <c r="C70" s="149">
        <f t="shared" si="2"/>
        <v>0</v>
      </c>
      <c r="D70" s="149">
        <f t="shared" si="3"/>
        <v>2216.6666666666665</v>
      </c>
      <c r="E70" s="149">
        <f t="shared" si="4"/>
        <v>665000</v>
      </c>
      <c r="F70" s="149">
        <f t="shared" si="5"/>
        <v>665000</v>
      </c>
      <c r="G70" s="152">
        <f t="shared" si="6"/>
        <v>1</v>
      </c>
    </row>
    <row r="71" spans="1:7" x14ac:dyDescent="0.35">
      <c r="A71" s="47">
        <f t="shared" si="0"/>
        <v>47</v>
      </c>
      <c r="B71" s="149">
        <f t="shared" si="1"/>
        <v>665000</v>
      </c>
      <c r="C71" s="149">
        <f t="shared" si="2"/>
        <v>0</v>
      </c>
      <c r="D71" s="149">
        <f t="shared" si="3"/>
        <v>2216.6666666666665</v>
      </c>
      <c r="E71" s="149">
        <f t="shared" si="4"/>
        <v>665000</v>
      </c>
      <c r="F71" s="149">
        <f t="shared" si="5"/>
        <v>665000</v>
      </c>
      <c r="G71" s="152">
        <f t="shared" si="6"/>
        <v>1</v>
      </c>
    </row>
    <row r="72" spans="1:7" x14ac:dyDescent="0.35">
      <c r="A72" s="47">
        <f t="shared" si="0"/>
        <v>48</v>
      </c>
      <c r="B72" s="149">
        <f t="shared" si="1"/>
        <v>665000</v>
      </c>
      <c r="C72" s="149">
        <f t="shared" si="2"/>
        <v>0</v>
      </c>
      <c r="D72" s="149">
        <f t="shared" si="3"/>
        <v>2216.6666666666665</v>
      </c>
      <c r="E72" s="149">
        <f t="shared" si="4"/>
        <v>665000</v>
      </c>
      <c r="F72" s="149">
        <f t="shared" si="5"/>
        <v>665000</v>
      </c>
      <c r="G72" s="152">
        <f t="shared" si="6"/>
        <v>1</v>
      </c>
    </row>
    <row r="73" spans="1:7" x14ac:dyDescent="0.35">
      <c r="A73" s="47">
        <f t="shared" si="0"/>
        <v>49</v>
      </c>
      <c r="B73" s="149">
        <f t="shared" si="1"/>
        <v>665000</v>
      </c>
      <c r="C73" s="149">
        <f t="shared" si="2"/>
        <v>0</v>
      </c>
      <c r="D73" s="149">
        <f t="shared" si="3"/>
        <v>2216.6666666666665</v>
      </c>
      <c r="E73" s="149">
        <f t="shared" si="4"/>
        <v>665000</v>
      </c>
      <c r="F73" s="149">
        <f t="shared" si="5"/>
        <v>665000</v>
      </c>
      <c r="G73" s="152">
        <f t="shared" si="6"/>
        <v>1</v>
      </c>
    </row>
    <row r="74" spans="1:7" x14ac:dyDescent="0.35">
      <c r="A74" s="47">
        <f t="shared" si="0"/>
        <v>50</v>
      </c>
      <c r="B74" s="149">
        <f t="shared" si="1"/>
        <v>665000</v>
      </c>
      <c r="C74" s="149">
        <f t="shared" si="2"/>
        <v>0</v>
      </c>
      <c r="D74" s="149">
        <f t="shared" si="3"/>
        <v>2216.6666666666665</v>
      </c>
      <c r="E74" s="149">
        <f t="shared" si="4"/>
        <v>665000</v>
      </c>
      <c r="F74" s="149">
        <f t="shared" si="5"/>
        <v>665000</v>
      </c>
      <c r="G74" s="152">
        <f t="shared" si="6"/>
        <v>1</v>
      </c>
    </row>
    <row r="75" spans="1:7" x14ac:dyDescent="0.35">
      <c r="A75" s="47">
        <f t="shared" si="0"/>
        <v>51</v>
      </c>
      <c r="B75" s="149">
        <f t="shared" si="1"/>
        <v>665000</v>
      </c>
      <c r="C75" s="149">
        <f t="shared" si="2"/>
        <v>0</v>
      </c>
      <c r="D75" s="149">
        <f t="shared" si="3"/>
        <v>2216.6666666666665</v>
      </c>
      <c r="E75" s="149">
        <f t="shared" si="4"/>
        <v>665000</v>
      </c>
      <c r="F75" s="149">
        <f t="shared" si="5"/>
        <v>665000</v>
      </c>
      <c r="G75" s="152">
        <f t="shared" si="6"/>
        <v>1</v>
      </c>
    </row>
    <row r="76" spans="1:7" x14ac:dyDescent="0.35">
      <c r="A76" s="47">
        <f t="shared" si="0"/>
        <v>52</v>
      </c>
      <c r="B76" s="149">
        <f t="shared" si="1"/>
        <v>665000</v>
      </c>
      <c r="C76" s="149">
        <f t="shared" si="2"/>
        <v>0</v>
      </c>
      <c r="D76" s="149">
        <f t="shared" si="3"/>
        <v>2216.6666666666665</v>
      </c>
      <c r="E76" s="149">
        <f t="shared" si="4"/>
        <v>665000</v>
      </c>
      <c r="F76" s="149">
        <f t="shared" si="5"/>
        <v>665000</v>
      </c>
      <c r="G76" s="152">
        <f t="shared" si="6"/>
        <v>1</v>
      </c>
    </row>
    <row r="77" spans="1:7" x14ac:dyDescent="0.35">
      <c r="A77" s="47">
        <f t="shared" si="0"/>
        <v>53</v>
      </c>
      <c r="B77" s="149">
        <f t="shared" si="1"/>
        <v>665000</v>
      </c>
      <c r="C77" s="149">
        <f t="shared" si="2"/>
        <v>0</v>
      </c>
      <c r="D77" s="149">
        <f t="shared" si="3"/>
        <v>2216.6666666666665</v>
      </c>
      <c r="E77" s="149">
        <f t="shared" si="4"/>
        <v>665000</v>
      </c>
      <c r="F77" s="149">
        <f t="shared" si="5"/>
        <v>665000</v>
      </c>
      <c r="G77" s="152">
        <f t="shared" si="6"/>
        <v>1</v>
      </c>
    </row>
    <row r="78" spans="1:7" x14ac:dyDescent="0.35">
      <c r="A78" s="47">
        <f t="shared" si="0"/>
        <v>54</v>
      </c>
      <c r="B78" s="149">
        <f t="shared" si="1"/>
        <v>665000</v>
      </c>
      <c r="C78" s="149">
        <f t="shared" si="2"/>
        <v>0</v>
      </c>
      <c r="D78" s="149">
        <f t="shared" si="3"/>
        <v>2216.6666666666665</v>
      </c>
      <c r="E78" s="149">
        <f t="shared" si="4"/>
        <v>665000</v>
      </c>
      <c r="F78" s="149">
        <f t="shared" si="5"/>
        <v>665000</v>
      </c>
      <c r="G78" s="152">
        <f t="shared" si="6"/>
        <v>1</v>
      </c>
    </row>
    <row r="79" spans="1:7" x14ac:dyDescent="0.35">
      <c r="A79" s="47">
        <f t="shared" si="0"/>
        <v>55</v>
      </c>
      <c r="B79" s="149">
        <f t="shared" si="1"/>
        <v>665000</v>
      </c>
      <c r="C79" s="149">
        <f t="shared" si="2"/>
        <v>0</v>
      </c>
      <c r="D79" s="149">
        <f t="shared" si="3"/>
        <v>2216.6666666666665</v>
      </c>
      <c r="E79" s="149">
        <f t="shared" si="4"/>
        <v>665000</v>
      </c>
      <c r="F79" s="149">
        <f t="shared" si="5"/>
        <v>665000</v>
      </c>
      <c r="G79" s="152">
        <f t="shared" si="6"/>
        <v>1</v>
      </c>
    </row>
    <row r="80" spans="1:7" x14ac:dyDescent="0.35">
      <c r="A80" s="47">
        <f t="shared" si="0"/>
        <v>56</v>
      </c>
      <c r="B80" s="149">
        <f t="shared" si="1"/>
        <v>665000</v>
      </c>
      <c r="C80" s="149">
        <f t="shared" si="2"/>
        <v>0</v>
      </c>
      <c r="D80" s="149">
        <f t="shared" si="3"/>
        <v>2216.6666666666665</v>
      </c>
      <c r="E80" s="149">
        <f t="shared" si="4"/>
        <v>665000</v>
      </c>
      <c r="F80" s="149">
        <f t="shared" si="5"/>
        <v>665000</v>
      </c>
      <c r="G80" s="152">
        <f t="shared" si="6"/>
        <v>1</v>
      </c>
    </row>
    <row r="81" spans="1:12" x14ac:dyDescent="0.35">
      <c r="A81" s="47">
        <f t="shared" si="0"/>
        <v>57</v>
      </c>
      <c r="B81" s="149">
        <f t="shared" si="1"/>
        <v>665000</v>
      </c>
      <c r="C81" s="149">
        <f t="shared" si="2"/>
        <v>0</v>
      </c>
      <c r="D81" s="149">
        <f t="shared" si="3"/>
        <v>2216.6666666666665</v>
      </c>
      <c r="E81" s="149">
        <f t="shared" si="4"/>
        <v>665000</v>
      </c>
      <c r="F81" s="149">
        <f t="shared" si="5"/>
        <v>665000</v>
      </c>
      <c r="G81" s="152">
        <f t="shared" si="6"/>
        <v>1</v>
      </c>
    </row>
    <row r="82" spans="1:12" x14ac:dyDescent="0.35">
      <c r="A82" s="47">
        <f t="shared" si="0"/>
        <v>58</v>
      </c>
      <c r="B82" s="149">
        <f t="shared" si="1"/>
        <v>665000</v>
      </c>
      <c r="C82" s="149">
        <f t="shared" si="2"/>
        <v>0</v>
      </c>
      <c r="D82" s="149">
        <f t="shared" si="3"/>
        <v>2216.6666666666665</v>
      </c>
      <c r="E82" s="149">
        <f t="shared" si="4"/>
        <v>665000</v>
      </c>
      <c r="F82" s="149">
        <f t="shared" si="5"/>
        <v>665000</v>
      </c>
      <c r="G82" s="152">
        <f t="shared" si="6"/>
        <v>1</v>
      </c>
    </row>
    <row r="83" spans="1:12" x14ac:dyDescent="0.35">
      <c r="A83" s="47">
        <f t="shared" si="0"/>
        <v>59</v>
      </c>
      <c r="B83" s="149">
        <f t="shared" si="1"/>
        <v>665000</v>
      </c>
      <c r="C83" s="149">
        <f t="shared" si="2"/>
        <v>0</v>
      </c>
      <c r="D83" s="149">
        <f t="shared" si="3"/>
        <v>2216.6666666666665</v>
      </c>
      <c r="E83" s="149">
        <f t="shared" si="4"/>
        <v>665000</v>
      </c>
      <c r="F83" s="149">
        <f t="shared" si="5"/>
        <v>665000</v>
      </c>
      <c r="G83" s="152">
        <f t="shared" si="6"/>
        <v>1</v>
      </c>
    </row>
    <row r="84" spans="1:12" x14ac:dyDescent="0.35">
      <c r="A84" s="47">
        <f t="shared" si="0"/>
        <v>60</v>
      </c>
      <c r="B84" s="149">
        <f t="shared" si="1"/>
        <v>665000</v>
      </c>
      <c r="C84" s="149">
        <f t="shared" si="2"/>
        <v>0</v>
      </c>
      <c r="D84" s="149">
        <f t="shared" si="3"/>
        <v>2216.6666666666665</v>
      </c>
      <c r="E84" s="149">
        <f t="shared" si="4"/>
        <v>665000</v>
      </c>
      <c r="F84" s="149">
        <f t="shared" si="5"/>
        <v>665000</v>
      </c>
      <c r="G84" s="152">
        <f t="shared" si="6"/>
        <v>1</v>
      </c>
    </row>
    <row r="87" spans="1:12" x14ac:dyDescent="0.35">
      <c r="A87" s="316" t="s">
        <v>627</v>
      </c>
      <c r="B87" s="316"/>
      <c r="C87" s="316"/>
      <c r="D87" s="316"/>
      <c r="E87" s="316"/>
      <c r="F87" s="316"/>
      <c r="G87" s="316"/>
      <c r="H87" s="316"/>
      <c r="I87" s="316"/>
      <c r="J87" s="316"/>
      <c r="K87" s="316"/>
      <c r="L87" s="316"/>
    </row>
  </sheetData>
  <mergeCells count="13">
    <mergeCell ref="A87:L87"/>
    <mergeCell ref="H7:L8"/>
    <mergeCell ref="H9:L10"/>
    <mergeCell ref="H11:L12"/>
    <mergeCell ref="H13:L14"/>
    <mergeCell ref="H15:L16"/>
    <mergeCell ref="A23:G23"/>
    <mergeCell ref="H5:L6"/>
    <mergeCell ref="A1:L1"/>
    <mergeCell ref="A2:L2"/>
    <mergeCell ref="A4:B4"/>
    <mergeCell ref="D4:F4"/>
    <mergeCell ref="H4:L4"/>
  </mergeCells>
  <conditionalFormatting sqref="G25:G84">
    <cfRule type="dataBar" priority="1">
      <dataBar>
        <cfvo type="min"/>
        <cfvo type="max"/>
        <color rgb="FF638EC6"/>
      </dataBar>
      <extLst>
        <ext xmlns:x14="http://schemas.microsoft.com/office/spreadsheetml/2009/9/main" uri="{B025F937-C7B1-47D3-B67F-A62EFF666E3E}">
          <x14:id>{666C66F1-B6E5-46ED-AE26-A36258EE741F}</x14:id>
        </ext>
      </extLst>
    </cfRule>
  </conditionalFormatting>
  <dataValidations count="8">
    <dataValidation type="list" allowBlank="1" showInputMessage="1" showErrorMessage="1" sqref="B14" xr:uid="{2FBF873D-85B3-4CB5-987A-1604C0ADEFD6}">
      <formula1>"Stable,Variable,Highly variable"</formula1>
    </dataValidation>
    <dataValidation type="list" allowBlank="1" showInputMessage="1" showErrorMessage="1" sqref="B17" xr:uid="{E36B5907-3617-4DB9-AF24-6FEA09CE849B}">
      <formula1>"Yes,No"</formula1>
    </dataValidation>
    <dataValidation type="whole" allowBlank="1" showInputMessage="1" showErrorMessage="1" errorTitle="Invalid input" error="Use a whole number from 0 to 10." promptTitle="Income sources" prompt="Enter 0 to 10; 0 or blank is treated as one source." sqref="B15" xr:uid="{FB93620C-793B-4027-9877-4D175E842FC4}">
      <formula1>0</formula1>
      <formula2>10</formula2>
    </dataValidation>
    <dataValidation type="decimal" operator="greaterThanOrEqual" allowBlank="1" showInputMessage="1" showErrorMessage="1" errorTitle="Invalid input" error="Amount cannot be negative." promptTitle="Monthly contribution" prompt="Enter zero or a positive amount." sqref="B19" xr:uid="{10305F66-59D9-47C9-A9DA-E92C7BCF8694}">
      <formula1>0</formula1>
    </dataValidation>
    <dataValidation type="decimal" allowBlank="1" showInputMessage="1" showErrorMessage="1" errorTitle="Invalid input" error="Return must be 0 to 30." promptTitle="Savings return" prompt="Enter an annual rate from 0% to 30%." sqref="B20" xr:uid="{66CA023E-EEA8-4A1A-838B-4571611FBF5C}">
      <formula1>0</formula1>
      <formula2>30</formula2>
    </dataValidation>
    <dataValidation type="decimal" operator="greaterThanOrEqual" allowBlank="1" showInputMessage="1" showErrorMessage="1" errorTitle="Invalid input" error="Amount cannot be negative." promptTitle="Non-negative amount" prompt="Enter zero or a positive amount." sqref="B5:B12 B18" xr:uid="{E84204B7-A802-4EBB-AA3A-75CFD122692A}">
      <formula1>0</formula1>
    </dataValidation>
    <dataValidation type="whole" allowBlank="1" showInputMessage="1" showErrorMessage="1" errorTitle="Invalid input" error="Months must be 1 to 12." promptTitle="Base coverage" prompt="Enter a whole number from 1 to 12 months." sqref="B13" xr:uid="{0DC776F4-2B7E-4705-B217-E0FBC709B059}">
      <formula1>1</formula1>
      <formula2>12</formula2>
    </dataValidation>
    <dataValidation type="whole" allowBlank="1" showInputMessage="1" showErrorMessage="1" errorTitle="Invalid input" error="Dependants must be 0 to 20." promptTitle="Dependants" prompt="Enter a whole number from 0 to 20." sqref="B16" xr:uid="{8FA7B534-7DAA-40CD-B0D6-E71B68C08928}">
      <formula1>0</formula1>
      <formula2>20</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66C66F1-B6E5-46ED-AE26-A36258EE741F}">
            <x14:dataBar minLength="0" maxLength="100" negativeBarColorSameAsPositive="1" axisPosition="none">
              <x14:cfvo type="min"/>
              <x14:cfvo type="max"/>
            </x14:dataBar>
          </x14:cfRule>
          <xm:sqref>G25:G84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441D-B3D6-4B8D-AED8-AA321748592E}">
  <dimension ref="A1:AH361"/>
  <sheetViews>
    <sheetView workbookViewId="0"/>
  </sheetViews>
  <sheetFormatPr defaultRowHeight="14.5" x14ac:dyDescent="0.35"/>
  <sheetData>
    <row r="1" spans="1:34" x14ac:dyDescent="0.35">
      <c r="A1" t="s">
        <v>514</v>
      </c>
      <c r="B1" t="s">
        <v>515</v>
      </c>
      <c r="C1" t="s">
        <v>516</v>
      </c>
      <c r="D1" t="s">
        <v>517</v>
      </c>
      <c r="E1" t="s">
        <v>518</v>
      </c>
      <c r="F1" t="s">
        <v>519</v>
      </c>
      <c r="G1" t="s">
        <v>520</v>
      </c>
      <c r="H1" t="s">
        <v>521</v>
      </c>
      <c r="I1" t="s">
        <v>522</v>
      </c>
      <c r="J1" t="s">
        <v>523</v>
      </c>
      <c r="K1" t="s">
        <v>524</v>
      </c>
      <c r="L1" t="s">
        <v>525</v>
      </c>
      <c r="M1" t="s">
        <v>526</v>
      </c>
      <c r="N1" t="s">
        <v>527</v>
      </c>
      <c r="O1" t="s">
        <v>528</v>
      </c>
      <c r="P1" t="s">
        <v>529</v>
      </c>
      <c r="Q1" t="s">
        <v>530</v>
      </c>
      <c r="R1" t="s">
        <v>531</v>
      </c>
      <c r="S1" t="s">
        <v>532</v>
      </c>
      <c r="T1" t="s">
        <v>533</v>
      </c>
      <c r="U1" t="s">
        <v>534</v>
      </c>
      <c r="V1" t="s">
        <v>535</v>
      </c>
      <c r="W1" t="s">
        <v>536</v>
      </c>
      <c r="X1" t="s">
        <v>537</v>
      </c>
      <c r="Y1" t="s">
        <v>538</v>
      </c>
      <c r="Z1" t="s">
        <v>539</v>
      </c>
      <c r="AA1" t="s">
        <v>540</v>
      </c>
      <c r="AB1" t="s">
        <v>541</v>
      </c>
      <c r="AC1" t="s">
        <v>542</v>
      </c>
      <c r="AD1" t="s">
        <v>543</v>
      </c>
      <c r="AE1" t="s">
        <v>544</v>
      </c>
      <c r="AF1" t="s">
        <v>545</v>
      </c>
      <c r="AG1" t="s">
        <v>546</v>
      </c>
      <c r="AH1" t="s">
        <v>547</v>
      </c>
    </row>
    <row r="2" spans="1:34" x14ac:dyDescent="0.35">
      <c r="A2">
        <v>1</v>
      </c>
      <c r="B2">
        <f>IF(A2&lt;='Prepay vs Invest'!$B$7*12,'Prepay vs Invest'!$B$5,0)</f>
        <v>10000000</v>
      </c>
      <c r="C2">
        <f>IF(B2&gt;0,B2*'Prepay vs Invest'!$B$6/1200,0)</f>
        <v>62500</v>
      </c>
      <c r="D2">
        <f>IF(B2&gt;0,MIN(-PMT('Prepay vs Invest'!$B$6/1200,'Prepay vs Invest'!$B$7*12,'Prepay vs Invest'!$B$5),B2+C2),0)</f>
        <v>80559.31935518072</v>
      </c>
      <c r="E2">
        <f>MAX(0,D2-C2)</f>
        <v>18059.31935518072</v>
      </c>
      <c r="F2">
        <f>MAX(0,B2+C2-D2)</f>
        <v>9981940.6806448195</v>
      </c>
      <c r="G2">
        <v>0</v>
      </c>
      <c r="H2">
        <f>IF(A2&lt;='Prepay vs Invest'!$B$7*12,IF(AND(A2&gt;='Prepay vs Invest'!$B$11,A2&lt;='Prepay vs Invest'!$B$12),'Prepay vs Invest'!$B$10,0)+IF(A2='Prepay vs Invest'!$B$9,'Prepay vs Invest'!$B$8,0),0)</f>
        <v>10000</v>
      </c>
      <c r="I2">
        <f>G2*(1+MAX(0,'Prepay vs Invest'!$B$13-'Prepay vs Invest'!$B$14)/1200)+H2</f>
        <v>10000</v>
      </c>
      <c r="J2">
        <f>H2</f>
        <v>10000</v>
      </c>
      <c r="K2">
        <f>MAX(0,(I2-J2-'Prepay vs Invest'!$B$16)*'Prepay vs Invest'!$B$15/100)</f>
        <v>0</v>
      </c>
      <c r="L2">
        <f>I2-K2</f>
        <v>10000</v>
      </c>
      <c r="M2">
        <f>'Prepay vs Invest'!$B$5</f>
        <v>10000000</v>
      </c>
      <c r="N2">
        <f>IF(M2&gt;0,M2*'Prepay vs Invest'!$B$6/1200,0)</f>
        <v>62500</v>
      </c>
      <c r="O2">
        <f>IF(M2&gt;0,MIN('Prepay vs Invest'!$E$5,M2+N2),0)</f>
        <v>80559.31935518072</v>
      </c>
      <c r="P2">
        <f>MIN(MAX(0,M2+N2-O2),IF(AND(A2&gt;='Prepay vs Invest'!$B$11,A2&lt;='Prepay vs Invest'!$B$12),'Prepay vs Invest'!$B$10,0)+IF(A2='Prepay vs Invest'!$B$9,'Prepay vs Invest'!$B$8,0))</f>
        <v>10000</v>
      </c>
      <c r="Q2">
        <f>MAX(0,M2+N2-O2-P2)</f>
        <v>9971940.6806448195</v>
      </c>
      <c r="R2">
        <v>0</v>
      </c>
      <c r="S2">
        <f>IF(A2&lt;='Prepay vs Invest'!$B$7*12,MAX(0,'Prepay vs Invest'!$E$5+IF(AND(A2&gt;='Prepay vs Invest'!$B$11,A2&lt;='Prepay vs Invest'!$B$12),'Prepay vs Invest'!$B$10,0)+IF(A2='Prepay vs Invest'!$B$9,'Prepay vs Invest'!$B$8,0)-O2-P2),0)</f>
        <v>0</v>
      </c>
      <c r="T2">
        <f>R2*(1+MAX(0,'Prepay vs Invest'!$B$13-'Prepay vs Invest'!$B$14)/1200)+S2</f>
        <v>0</v>
      </c>
      <c r="U2">
        <f>S2</f>
        <v>0</v>
      </c>
      <c r="V2">
        <f>MAX(0,(T2-U2-'Prepay vs Invest'!$B$16)*'Prepay vs Invest'!$B$15/100)</f>
        <v>0</v>
      </c>
      <c r="W2">
        <f>T2-V2</f>
        <v>0</v>
      </c>
      <c r="X2">
        <f>'Prepay vs Invest'!$B$5</f>
        <v>10000000</v>
      </c>
      <c r="Y2">
        <f>IF(X2&gt;0,X2*'Prepay vs Invest'!$B$6/1200,0)</f>
        <v>62500</v>
      </c>
      <c r="Z2">
        <f>IF(X2&gt;0,MIN(-PMT('Prepay vs Invest'!$B$6/1200,'Prepay vs Invest'!$B$7*12-A2+1,X2),X2+Y2),0)</f>
        <v>80559.31935518072</v>
      </c>
      <c r="AA2">
        <f>MIN(MAX(0,X2+Y2-Z2),IF(AND(A2&gt;='Prepay vs Invest'!$B$11,A2&lt;='Prepay vs Invest'!$B$12),'Prepay vs Invest'!$B$10,0)+IF(A2='Prepay vs Invest'!$B$9,'Prepay vs Invest'!$B$8,0))</f>
        <v>10000</v>
      </c>
      <c r="AB2">
        <f>MAX(0,X2+Y2-Z2-AA2)</f>
        <v>9971940.6806448195</v>
      </c>
      <c r="AC2">
        <v>0</v>
      </c>
      <c r="AD2">
        <f>IF(A2&lt;='Prepay vs Invest'!$B$7*12,MAX(0,'Prepay vs Invest'!$E$5+IF(AND(A2&gt;='Prepay vs Invest'!$B$11,A2&lt;='Prepay vs Invest'!$B$12),'Prepay vs Invest'!$B$10,0)+IF(A2='Prepay vs Invest'!$B$9,'Prepay vs Invest'!$B$8,0)-Z2-AA2),0)</f>
        <v>0</v>
      </c>
      <c r="AE2">
        <f>AC2*(1+MAX(0,'Prepay vs Invest'!$B$13-'Prepay vs Invest'!$B$14)/1200)+AD2</f>
        <v>0</v>
      </c>
      <c r="AF2">
        <f>AD2</f>
        <v>0</v>
      </c>
      <c r="AG2">
        <f>MAX(0,(AE2-AF2-'Prepay vs Invest'!$B$16)*'Prepay vs Invest'!$B$15/100)</f>
        <v>0</v>
      </c>
      <c r="AH2">
        <f>AE2-AG2</f>
        <v>0</v>
      </c>
    </row>
    <row r="3" spans="1:34" x14ac:dyDescent="0.35">
      <c r="A3">
        <f>A2+1</f>
        <v>2</v>
      </c>
      <c r="B3">
        <f>IF(A3&lt;='Prepay vs Invest'!$B$7*12,F2,0)</f>
        <v>9981940.6806448195</v>
      </c>
      <c r="C3">
        <f>IF(B3&gt;0,B3*'Prepay vs Invest'!$B$6/1200,0)</f>
        <v>62387.129254030129</v>
      </c>
      <c r="D3">
        <f>IF(B3&gt;0,MIN(-PMT('Prepay vs Invest'!$B$6/1200,'Prepay vs Invest'!$B$7*12,'Prepay vs Invest'!$B$5),B3+C3),0)</f>
        <v>80559.31935518072</v>
      </c>
      <c r="E3">
        <f t="shared" ref="E3:E66" si="0">MAX(0,D3-C3)</f>
        <v>18172.190101150591</v>
      </c>
      <c r="F3">
        <f t="shared" ref="F3:F66" si="1">MAX(0,B3+C3-D3)</f>
        <v>9963768.4905436691</v>
      </c>
      <c r="G3">
        <f>I2</f>
        <v>10000</v>
      </c>
      <c r="H3">
        <f>IF(A3&lt;='Prepay vs Invest'!$B$7*12,IF(AND(A3&gt;='Prepay vs Invest'!$B$11,A3&lt;='Prepay vs Invest'!$B$12),'Prepay vs Invest'!$B$10,0)+IF(A3='Prepay vs Invest'!$B$9,'Prepay vs Invest'!$B$8,0),0)</f>
        <v>10000</v>
      </c>
      <c r="I3">
        <f>G3*(1+MAX(0,'Prepay vs Invest'!$B$13-'Prepay vs Invest'!$B$14)/1200)+H3</f>
        <v>20095.833333333332</v>
      </c>
      <c r="J3">
        <f>J2+H3</f>
        <v>20000</v>
      </c>
      <c r="K3">
        <f>MAX(0,(I3-J3-'Prepay vs Invest'!$B$16)*'Prepay vs Invest'!$B$15/100)</f>
        <v>0</v>
      </c>
      <c r="L3">
        <f t="shared" ref="L3:L66" si="2">I3-K3</f>
        <v>20095.833333333332</v>
      </c>
      <c r="M3">
        <f>Q2</f>
        <v>9971940.6806448195</v>
      </c>
      <c r="N3">
        <f>IF(M3&gt;0,M3*'Prepay vs Invest'!$B$6/1200,0)</f>
        <v>62324.629254030129</v>
      </c>
      <c r="O3">
        <f>IF(M3&gt;0,MIN('Prepay vs Invest'!$E$5,M3+N3),0)</f>
        <v>80559.31935518072</v>
      </c>
      <c r="P3">
        <f>MIN(MAX(0,M3+N3-O3),IF(AND(A3&gt;='Prepay vs Invest'!$B$11,A3&lt;='Prepay vs Invest'!$B$12),'Prepay vs Invest'!$B$10,0)+IF(A3='Prepay vs Invest'!$B$9,'Prepay vs Invest'!$B$8,0))</f>
        <v>10000</v>
      </c>
      <c r="Q3">
        <f t="shared" ref="Q3:Q66" si="3">MAX(0,M3+N3-O3-P3)</f>
        <v>9943705.9905436691</v>
      </c>
      <c r="R3">
        <f>T2</f>
        <v>0</v>
      </c>
      <c r="S3">
        <f>IF(A3&lt;='Prepay vs Invest'!$B$7*12,MAX(0,'Prepay vs Invest'!$E$5+IF(AND(A3&gt;='Prepay vs Invest'!$B$11,A3&lt;='Prepay vs Invest'!$B$12),'Prepay vs Invest'!$B$10,0)+IF(A3='Prepay vs Invest'!$B$9,'Prepay vs Invest'!$B$8,0)-O3-P3),0)</f>
        <v>0</v>
      </c>
      <c r="T3">
        <f>R3*(1+MAX(0,'Prepay vs Invest'!$B$13-'Prepay vs Invest'!$B$14)/1200)+S3</f>
        <v>0</v>
      </c>
      <c r="U3">
        <f>U2+S3</f>
        <v>0</v>
      </c>
      <c r="V3">
        <f>MAX(0,(T3-U3-'Prepay vs Invest'!$B$16)*'Prepay vs Invest'!$B$15/100)</f>
        <v>0</v>
      </c>
      <c r="W3">
        <f t="shared" ref="W3:W66" si="4">T3-V3</f>
        <v>0</v>
      </c>
      <c r="X3">
        <f>AB2</f>
        <v>9971940.6806448195</v>
      </c>
      <c r="Y3">
        <f>IF(X3&gt;0,X3*'Prepay vs Invest'!$B$6/1200,0)</f>
        <v>62324.629254030129</v>
      </c>
      <c r="Z3">
        <f>IF(X3&gt;0,MIN(-PMT('Prepay vs Invest'!$B$6/1200,'Prepay vs Invest'!$B$7*12-A3+1,X3),X3+Y3),0)</f>
        <v>80478.614287967313</v>
      </c>
      <c r="AA3">
        <f>MIN(MAX(0,X3+Y3-Z3),IF(AND(A3&gt;='Prepay vs Invest'!$B$11,A3&lt;='Prepay vs Invest'!$B$12),'Prepay vs Invest'!$B$10,0)+IF(A3='Prepay vs Invest'!$B$9,'Prepay vs Invest'!$B$8,0))</f>
        <v>10000</v>
      </c>
      <c r="AB3">
        <f t="shared" ref="AB3:AB66" si="5">MAX(0,X3+Y3-Z3-AA3)</f>
        <v>9943786.6956108827</v>
      </c>
      <c r="AC3">
        <f>AE2</f>
        <v>0</v>
      </c>
      <c r="AD3">
        <f>IF(A3&lt;='Prepay vs Invest'!$B$7*12,MAX(0,'Prepay vs Invest'!$E$5+IF(AND(A3&gt;='Prepay vs Invest'!$B$11,A3&lt;='Prepay vs Invest'!$B$12),'Prepay vs Invest'!$B$10,0)+IF(A3='Prepay vs Invest'!$B$9,'Prepay vs Invest'!$B$8,0)-Z3-AA3),0)</f>
        <v>80.705067213406437</v>
      </c>
      <c r="AE3">
        <f>AC3*(1+MAX(0,'Prepay vs Invest'!$B$13-'Prepay vs Invest'!$B$14)/1200)+AD3</f>
        <v>80.705067213406437</v>
      </c>
      <c r="AF3">
        <f>AF2+AD3</f>
        <v>80.705067213406437</v>
      </c>
      <c r="AG3">
        <f>MAX(0,(AE3-AF3-'Prepay vs Invest'!$B$16)*'Prepay vs Invest'!$B$15/100)</f>
        <v>0</v>
      </c>
      <c r="AH3">
        <f t="shared" ref="AH3:AH66" si="6">AE3-AG3</f>
        <v>80.705067213406437</v>
      </c>
    </row>
    <row r="4" spans="1:34" x14ac:dyDescent="0.35">
      <c r="A4">
        <f t="shared" ref="A4:A67" si="7">A3+1</f>
        <v>3</v>
      </c>
      <c r="B4">
        <f>IF(A4&lt;='Prepay vs Invest'!$B$7*12,F3,0)</f>
        <v>9963768.4905436691</v>
      </c>
      <c r="C4">
        <f>IF(B4&gt;0,B4*'Prepay vs Invest'!$B$6/1200,0)</f>
        <v>62273.553065897933</v>
      </c>
      <c r="D4">
        <f>IF(B4&gt;0,MIN(-PMT('Prepay vs Invest'!$B$6/1200,'Prepay vs Invest'!$B$7*12,'Prepay vs Invest'!$B$5),B4+C4),0)</f>
        <v>80559.31935518072</v>
      </c>
      <c r="E4">
        <f t="shared" si="0"/>
        <v>18285.766289282787</v>
      </c>
      <c r="F4">
        <f t="shared" si="1"/>
        <v>9945482.7242543865</v>
      </c>
      <c r="G4">
        <f t="shared" ref="G4:G67" si="8">I3</f>
        <v>20095.833333333332</v>
      </c>
      <c r="H4">
        <f>IF(A4&lt;='Prepay vs Invest'!$B$7*12,IF(AND(A4&gt;='Prepay vs Invest'!$B$11,A4&lt;='Prepay vs Invest'!$B$12),'Prepay vs Invest'!$B$10,0)+IF(A4='Prepay vs Invest'!$B$9,'Prepay vs Invest'!$B$8,0),0)</f>
        <v>10000</v>
      </c>
      <c r="I4">
        <f>G4*(1+MAX(0,'Prepay vs Invest'!$B$13-'Prepay vs Invest'!$B$14)/1200)+H4</f>
        <v>30288.418402777774</v>
      </c>
      <c r="J4">
        <f t="shared" ref="J4:J67" si="9">J3+H4</f>
        <v>30000</v>
      </c>
      <c r="K4">
        <f>MAX(0,(I4-J4-'Prepay vs Invest'!$B$16)*'Prepay vs Invest'!$B$15/100)</f>
        <v>0</v>
      </c>
      <c r="L4">
        <f t="shared" si="2"/>
        <v>30288.418402777774</v>
      </c>
      <c r="M4">
        <f t="shared" ref="M4:M67" si="10">Q3</f>
        <v>9943705.9905436691</v>
      </c>
      <c r="N4">
        <f>IF(M4&gt;0,M4*'Prepay vs Invest'!$B$6/1200,0)</f>
        <v>62148.162440897933</v>
      </c>
      <c r="O4">
        <f>IF(M4&gt;0,MIN('Prepay vs Invest'!$E$5,M4+N4),0)</f>
        <v>80559.31935518072</v>
      </c>
      <c r="P4">
        <f>MIN(MAX(0,M4+N4-O4),IF(AND(A4&gt;='Prepay vs Invest'!$B$11,A4&lt;='Prepay vs Invest'!$B$12),'Prepay vs Invest'!$B$10,0)+IF(A4='Prepay vs Invest'!$B$9,'Prepay vs Invest'!$B$8,0))</f>
        <v>10000</v>
      </c>
      <c r="Q4">
        <f t="shared" si="3"/>
        <v>9915294.8336293865</v>
      </c>
      <c r="R4">
        <f t="shared" ref="R4:R67" si="11">T3</f>
        <v>0</v>
      </c>
      <c r="S4">
        <f>IF(A4&lt;='Prepay vs Invest'!$B$7*12,MAX(0,'Prepay vs Invest'!$E$5+IF(AND(A4&gt;='Prepay vs Invest'!$B$11,A4&lt;='Prepay vs Invest'!$B$12),'Prepay vs Invest'!$B$10,0)+IF(A4='Prepay vs Invest'!$B$9,'Prepay vs Invest'!$B$8,0)-O4-P4),0)</f>
        <v>0</v>
      </c>
      <c r="T4">
        <f>R4*(1+MAX(0,'Prepay vs Invest'!$B$13-'Prepay vs Invest'!$B$14)/1200)+S4</f>
        <v>0</v>
      </c>
      <c r="U4">
        <f t="shared" ref="U4:U67" si="12">U3+S4</f>
        <v>0</v>
      </c>
      <c r="V4">
        <f>MAX(0,(T4-U4-'Prepay vs Invest'!$B$16)*'Prepay vs Invest'!$B$15/100)</f>
        <v>0</v>
      </c>
      <c r="W4">
        <f t="shared" si="4"/>
        <v>0</v>
      </c>
      <c r="X4">
        <f t="shared" ref="X4:X67" si="13">AB3</f>
        <v>9943786.6956108827</v>
      </c>
      <c r="Y4">
        <f>IF(X4&gt;0,X4*'Prepay vs Invest'!$B$6/1200,0)</f>
        <v>62148.66684756802</v>
      </c>
      <c r="Z4">
        <f>IF(X4&gt;0,MIN(-PMT('Prepay vs Invest'!$B$6/1200,'Prepay vs Invest'!$B$7*12-A4+1,X4),X4+Y4),0)</f>
        <v>80397.762028672412</v>
      </c>
      <c r="AA4">
        <f>MIN(MAX(0,X4+Y4-Z4),IF(AND(A4&gt;='Prepay vs Invest'!$B$11,A4&lt;='Prepay vs Invest'!$B$12),'Prepay vs Invest'!$B$10,0)+IF(A4='Prepay vs Invest'!$B$9,'Prepay vs Invest'!$B$8,0))</f>
        <v>10000</v>
      </c>
      <c r="AB4">
        <f t="shared" si="5"/>
        <v>9915537.6004297789</v>
      </c>
      <c r="AC4">
        <f t="shared" ref="AC4:AC67" si="14">AE3</f>
        <v>80.705067213406437</v>
      </c>
      <c r="AD4">
        <f>IF(A4&lt;='Prepay vs Invest'!$B$7*12,MAX(0,'Prepay vs Invest'!$E$5+IF(AND(A4&gt;='Prepay vs Invest'!$B$11,A4&lt;='Prepay vs Invest'!$B$12),'Prepay vs Invest'!$B$10,0)+IF(A4='Prepay vs Invest'!$B$9,'Prepay vs Invest'!$B$8,0)-Z4-AA4),0)</f>
        <v>161.5573265083076</v>
      </c>
      <c r="AE4">
        <f>AC4*(1+MAX(0,'Prepay vs Invest'!$B$13-'Prepay vs Invest'!$B$14)/1200)+AD4</f>
        <v>243.03581728250919</v>
      </c>
      <c r="AF4">
        <f t="shared" ref="AF4:AF67" si="15">AF3+AD4</f>
        <v>242.26239372171403</v>
      </c>
      <c r="AG4">
        <f>MAX(0,(AE4-AF4-'Prepay vs Invest'!$B$16)*'Prepay vs Invest'!$B$15/100)</f>
        <v>0</v>
      </c>
      <c r="AH4">
        <f t="shared" si="6"/>
        <v>243.03581728250919</v>
      </c>
    </row>
    <row r="5" spans="1:34" x14ac:dyDescent="0.35">
      <c r="A5">
        <f t="shared" si="7"/>
        <v>4</v>
      </c>
      <c r="B5">
        <f>IF(A5&lt;='Prepay vs Invest'!$B$7*12,F4,0)</f>
        <v>9945482.7242543865</v>
      </c>
      <c r="C5">
        <f>IF(B5&gt;0,B5*'Prepay vs Invest'!$B$6/1200,0)</f>
        <v>62159.267026589907</v>
      </c>
      <c r="D5">
        <f>IF(B5&gt;0,MIN(-PMT('Prepay vs Invest'!$B$6/1200,'Prepay vs Invest'!$B$7*12,'Prepay vs Invest'!$B$5),B5+C5),0)</f>
        <v>80559.31935518072</v>
      </c>
      <c r="E5">
        <f t="shared" si="0"/>
        <v>18400.052328590813</v>
      </c>
      <c r="F5">
        <f t="shared" si="1"/>
        <v>9927082.6719257962</v>
      </c>
      <c r="G5">
        <f t="shared" si="8"/>
        <v>30288.418402777774</v>
      </c>
      <c r="H5">
        <f>IF(A5&lt;='Prepay vs Invest'!$B$7*12,IF(AND(A5&gt;='Prepay vs Invest'!$B$11,A5&lt;='Prepay vs Invest'!$B$12),'Prepay vs Invest'!$B$10,0)+IF(A5='Prepay vs Invest'!$B$9,'Prepay vs Invest'!$B$8,0),0)</f>
        <v>10000</v>
      </c>
      <c r="I5">
        <f>G5*(1+MAX(0,'Prepay vs Invest'!$B$13-'Prepay vs Invest'!$B$14)/1200)+H5</f>
        <v>40578.682412471055</v>
      </c>
      <c r="J5">
        <f t="shared" si="9"/>
        <v>40000</v>
      </c>
      <c r="K5">
        <f>MAX(0,(I5-J5-'Prepay vs Invest'!$B$16)*'Prepay vs Invest'!$B$15/100)</f>
        <v>0</v>
      </c>
      <c r="L5">
        <f t="shared" si="2"/>
        <v>40578.682412471055</v>
      </c>
      <c r="M5">
        <f t="shared" si="10"/>
        <v>9915294.8336293865</v>
      </c>
      <c r="N5">
        <f>IF(M5&gt;0,M5*'Prepay vs Invest'!$B$6/1200,0)</f>
        <v>61970.592710183657</v>
      </c>
      <c r="O5">
        <f>IF(M5&gt;0,MIN('Prepay vs Invest'!$E$5,M5+N5),0)</f>
        <v>80559.31935518072</v>
      </c>
      <c r="P5">
        <f>MIN(MAX(0,M5+N5-O5),IF(AND(A5&gt;='Prepay vs Invest'!$B$11,A5&lt;='Prepay vs Invest'!$B$12),'Prepay vs Invest'!$B$10,0)+IF(A5='Prepay vs Invest'!$B$9,'Prepay vs Invest'!$B$8,0))</f>
        <v>10000</v>
      </c>
      <c r="Q5">
        <f t="shared" si="3"/>
        <v>9886706.1069843899</v>
      </c>
      <c r="R5">
        <f t="shared" si="11"/>
        <v>0</v>
      </c>
      <c r="S5">
        <f>IF(A5&lt;='Prepay vs Invest'!$B$7*12,MAX(0,'Prepay vs Invest'!$E$5+IF(AND(A5&gt;='Prepay vs Invest'!$B$11,A5&lt;='Prepay vs Invest'!$B$12),'Prepay vs Invest'!$B$10,0)+IF(A5='Prepay vs Invest'!$B$9,'Prepay vs Invest'!$B$8,0)-O5-P5),0)</f>
        <v>0</v>
      </c>
      <c r="T5">
        <f>R5*(1+MAX(0,'Prepay vs Invest'!$B$13-'Prepay vs Invest'!$B$14)/1200)+S5</f>
        <v>0</v>
      </c>
      <c r="U5">
        <f t="shared" si="12"/>
        <v>0</v>
      </c>
      <c r="V5">
        <f>MAX(0,(T5-U5-'Prepay vs Invest'!$B$16)*'Prepay vs Invest'!$B$15/100)</f>
        <v>0</v>
      </c>
      <c r="W5">
        <f t="shared" si="4"/>
        <v>0</v>
      </c>
      <c r="X5">
        <f t="shared" si="13"/>
        <v>9915537.6004297789</v>
      </c>
      <c r="Y5">
        <f>IF(X5&gt;0,X5*'Prepay vs Invest'!$B$6/1200,0)</f>
        <v>61972.110002686124</v>
      </c>
      <c r="Z5">
        <f>IF(X5&gt;0,MIN(-PMT('Prepay vs Invest'!$B$6/1200,'Prepay vs Invest'!$B$7*12-A5+1,X5),X5+Y5),0)</f>
        <v>80316.761114399327</v>
      </c>
      <c r="AA5">
        <f>MIN(MAX(0,X5+Y5-Z5),IF(AND(A5&gt;='Prepay vs Invest'!$B$11,A5&lt;='Prepay vs Invest'!$B$12),'Prepay vs Invest'!$B$10,0)+IF(A5='Prepay vs Invest'!$B$9,'Prepay vs Invest'!$B$8,0))</f>
        <v>10000</v>
      </c>
      <c r="AB5">
        <f t="shared" si="5"/>
        <v>9887192.9493180644</v>
      </c>
      <c r="AC5">
        <f t="shared" si="14"/>
        <v>243.03581728250919</v>
      </c>
      <c r="AD5">
        <f>IF(A5&lt;='Prepay vs Invest'!$B$7*12,MAX(0,'Prepay vs Invest'!$E$5+IF(AND(A5&gt;='Prepay vs Invest'!$B$11,A5&lt;='Prepay vs Invest'!$B$12),'Prepay vs Invest'!$B$10,0)+IF(A5='Prepay vs Invest'!$B$9,'Prepay vs Invest'!$B$8,0)-Z5-AA5),0)</f>
        <v>242.55824078139267</v>
      </c>
      <c r="AE5">
        <f>AC5*(1+MAX(0,'Prepay vs Invest'!$B$13-'Prepay vs Invest'!$B$14)/1200)+AD5</f>
        <v>487.9231513128592</v>
      </c>
      <c r="AF5">
        <f t="shared" si="15"/>
        <v>484.8206345031067</v>
      </c>
      <c r="AG5">
        <f>MAX(0,(AE5-AF5-'Prepay vs Invest'!$B$16)*'Prepay vs Invest'!$B$15/100)</f>
        <v>0</v>
      </c>
      <c r="AH5">
        <f t="shared" si="6"/>
        <v>487.9231513128592</v>
      </c>
    </row>
    <row r="6" spans="1:34" x14ac:dyDescent="0.35">
      <c r="A6">
        <f t="shared" si="7"/>
        <v>5</v>
      </c>
      <c r="B6">
        <f>IF(A6&lt;='Prepay vs Invest'!$B$7*12,F5,0)</f>
        <v>9927082.6719257962</v>
      </c>
      <c r="C6">
        <f>IF(B6&gt;0,B6*'Prepay vs Invest'!$B$6/1200,0)</f>
        <v>62044.266699536231</v>
      </c>
      <c r="D6">
        <f>IF(B6&gt;0,MIN(-PMT('Prepay vs Invest'!$B$6/1200,'Prepay vs Invest'!$B$7*12,'Prepay vs Invest'!$B$5),B6+C6),0)</f>
        <v>80559.31935518072</v>
      </c>
      <c r="E6">
        <f t="shared" si="0"/>
        <v>18515.052655644489</v>
      </c>
      <c r="F6">
        <f t="shared" si="1"/>
        <v>9908567.6192701515</v>
      </c>
      <c r="G6">
        <f t="shared" si="8"/>
        <v>40578.682412471055</v>
      </c>
      <c r="H6">
        <f>IF(A6&lt;='Prepay vs Invest'!$B$7*12,IF(AND(A6&gt;='Prepay vs Invest'!$B$11,A6&lt;='Prepay vs Invest'!$B$12),'Prepay vs Invest'!$B$10,0)+IF(A6='Prepay vs Invest'!$B$9,'Prepay vs Invest'!$B$8,0),0)</f>
        <v>10000</v>
      </c>
      <c r="I6">
        <f>G6*(1+MAX(0,'Prepay vs Invest'!$B$13-'Prepay vs Invest'!$B$14)/1200)+H6</f>
        <v>50967.561452257236</v>
      </c>
      <c r="J6">
        <f t="shared" si="9"/>
        <v>50000</v>
      </c>
      <c r="K6">
        <f>MAX(0,(I6-J6-'Prepay vs Invest'!$B$16)*'Prepay vs Invest'!$B$15/100)</f>
        <v>0</v>
      </c>
      <c r="L6">
        <f t="shared" si="2"/>
        <v>50967.561452257236</v>
      </c>
      <c r="M6">
        <f t="shared" si="10"/>
        <v>9886706.1069843899</v>
      </c>
      <c r="N6">
        <f>IF(M6&gt;0,M6*'Prepay vs Invest'!$B$6/1200,0)</f>
        <v>61791.913168652442</v>
      </c>
      <c r="O6">
        <f>IF(M6&gt;0,MIN('Prepay vs Invest'!$E$5,M6+N6),0)</f>
        <v>80559.31935518072</v>
      </c>
      <c r="P6">
        <f>MIN(MAX(0,M6+N6-O6),IF(AND(A6&gt;='Prepay vs Invest'!$B$11,A6&lt;='Prepay vs Invest'!$B$12),'Prepay vs Invest'!$B$10,0)+IF(A6='Prepay vs Invest'!$B$9,'Prepay vs Invest'!$B$8,0))</f>
        <v>10000</v>
      </c>
      <c r="Q6">
        <f t="shared" si="3"/>
        <v>9857938.7007978614</v>
      </c>
      <c r="R6">
        <f t="shared" si="11"/>
        <v>0</v>
      </c>
      <c r="S6">
        <f>IF(A6&lt;='Prepay vs Invest'!$B$7*12,MAX(0,'Prepay vs Invest'!$E$5+IF(AND(A6&gt;='Prepay vs Invest'!$B$11,A6&lt;='Prepay vs Invest'!$B$12),'Prepay vs Invest'!$B$10,0)+IF(A6='Prepay vs Invest'!$B$9,'Prepay vs Invest'!$B$8,0)-O6-P6),0)</f>
        <v>0</v>
      </c>
      <c r="T6">
        <f>R6*(1+MAX(0,'Prepay vs Invest'!$B$13-'Prepay vs Invest'!$B$14)/1200)+S6</f>
        <v>0</v>
      </c>
      <c r="U6">
        <f t="shared" si="12"/>
        <v>0</v>
      </c>
      <c r="V6">
        <f>MAX(0,(T6-U6-'Prepay vs Invest'!$B$16)*'Prepay vs Invest'!$B$15/100)</f>
        <v>0</v>
      </c>
      <c r="W6">
        <f t="shared" si="4"/>
        <v>0</v>
      </c>
      <c r="X6">
        <f t="shared" si="13"/>
        <v>9887192.9493180644</v>
      </c>
      <c r="Y6">
        <f>IF(X6&gt;0,X6*'Prepay vs Invest'!$B$6/1200,0)</f>
        <v>61794.955933237907</v>
      </c>
      <c r="Z6">
        <f>IF(X6&gt;0,MIN(-PMT('Prepay vs Invest'!$B$6/1200,'Prepay vs Invest'!$B$7*12-A6+1,X6),X6+Y6),0)</f>
        <v>80235.610063262211</v>
      </c>
      <c r="AA6">
        <f>MIN(MAX(0,X6+Y6-Z6),IF(AND(A6&gt;='Prepay vs Invest'!$B$11,A6&lt;='Prepay vs Invest'!$B$12),'Prepay vs Invest'!$B$10,0)+IF(A6='Prepay vs Invest'!$B$9,'Prepay vs Invest'!$B$8,0))</f>
        <v>10000</v>
      </c>
      <c r="AB6">
        <f t="shared" si="5"/>
        <v>9858752.2951880395</v>
      </c>
      <c r="AC6">
        <f t="shared" si="14"/>
        <v>487.9231513128592</v>
      </c>
      <c r="AD6">
        <f>IF(A6&lt;='Prepay vs Invest'!$B$7*12,MAX(0,'Prepay vs Invest'!$E$5+IF(AND(A6&gt;='Prepay vs Invest'!$B$11,A6&lt;='Prepay vs Invest'!$B$12),'Prepay vs Invest'!$B$10,0)+IF(A6='Prepay vs Invest'!$B$9,'Prepay vs Invest'!$B$8,0)-Z6-AA6),0)</f>
        <v>323.70929191850882</v>
      </c>
      <c r="AE6">
        <f>AC6*(1+MAX(0,'Prepay vs Invest'!$B$13-'Prepay vs Invest'!$B$14)/1200)+AD6</f>
        <v>816.30837343144958</v>
      </c>
      <c r="AF6">
        <f t="shared" si="15"/>
        <v>808.52992642161553</v>
      </c>
      <c r="AG6">
        <f>MAX(0,(AE6-AF6-'Prepay vs Invest'!$B$16)*'Prepay vs Invest'!$B$15/100)</f>
        <v>0</v>
      </c>
      <c r="AH6">
        <f t="shared" si="6"/>
        <v>816.30837343144958</v>
      </c>
    </row>
    <row r="7" spans="1:34" x14ac:dyDescent="0.35">
      <c r="A7">
        <f t="shared" si="7"/>
        <v>6</v>
      </c>
      <c r="B7">
        <f>IF(A7&lt;='Prepay vs Invest'!$B$7*12,F6,0)</f>
        <v>9908567.6192701515</v>
      </c>
      <c r="C7">
        <f>IF(B7&gt;0,B7*'Prepay vs Invest'!$B$6/1200,0)</f>
        <v>61928.547620438447</v>
      </c>
      <c r="D7">
        <f>IF(B7&gt;0,MIN(-PMT('Prepay vs Invest'!$B$6/1200,'Prepay vs Invest'!$B$7*12,'Prepay vs Invest'!$B$5),B7+C7),0)</f>
        <v>80559.31935518072</v>
      </c>
      <c r="E7">
        <f t="shared" si="0"/>
        <v>18630.771734742273</v>
      </c>
      <c r="F7">
        <f t="shared" si="1"/>
        <v>9889936.847535409</v>
      </c>
      <c r="G7">
        <f t="shared" si="8"/>
        <v>50967.561452257236</v>
      </c>
      <c r="H7">
        <f>IF(A7&lt;='Prepay vs Invest'!$B$7*12,IF(AND(A7&gt;='Prepay vs Invest'!$B$11,A7&lt;='Prepay vs Invest'!$B$12),'Prepay vs Invest'!$B$10,0)+IF(A7='Prepay vs Invest'!$B$9,'Prepay vs Invest'!$B$8,0),0)</f>
        <v>10000</v>
      </c>
      <c r="I7">
        <f>G7*(1+MAX(0,'Prepay vs Invest'!$B$13-'Prepay vs Invest'!$B$14)/1200)+H7</f>
        <v>61456.000582841363</v>
      </c>
      <c r="J7">
        <f t="shared" si="9"/>
        <v>60000</v>
      </c>
      <c r="K7">
        <f>MAX(0,(I7-J7-'Prepay vs Invest'!$B$16)*'Prepay vs Invest'!$B$15/100)</f>
        <v>0</v>
      </c>
      <c r="L7">
        <f t="shared" si="2"/>
        <v>61456.000582841363</v>
      </c>
      <c r="M7">
        <f t="shared" si="10"/>
        <v>9857938.7007978614</v>
      </c>
      <c r="N7">
        <f>IF(M7&gt;0,M7*'Prepay vs Invest'!$B$6/1200,0)</f>
        <v>61612.116879986635</v>
      </c>
      <c r="O7">
        <f>IF(M7&gt;0,MIN('Prepay vs Invest'!$E$5,M7+N7),0)</f>
        <v>80559.31935518072</v>
      </c>
      <c r="P7">
        <f>MIN(MAX(0,M7+N7-O7),IF(AND(A7&gt;='Prepay vs Invest'!$B$11,A7&lt;='Prepay vs Invest'!$B$12),'Prepay vs Invest'!$B$10,0)+IF(A7='Prepay vs Invest'!$B$9,'Prepay vs Invest'!$B$8,0))</f>
        <v>10000</v>
      </c>
      <c r="Q7">
        <f t="shared" si="3"/>
        <v>9828991.4983226676</v>
      </c>
      <c r="R7">
        <f t="shared" si="11"/>
        <v>0</v>
      </c>
      <c r="S7">
        <f>IF(A7&lt;='Prepay vs Invest'!$B$7*12,MAX(0,'Prepay vs Invest'!$E$5+IF(AND(A7&gt;='Prepay vs Invest'!$B$11,A7&lt;='Prepay vs Invest'!$B$12),'Prepay vs Invest'!$B$10,0)+IF(A7='Prepay vs Invest'!$B$9,'Prepay vs Invest'!$B$8,0)-O7-P7),0)</f>
        <v>0</v>
      </c>
      <c r="T7">
        <f>R7*(1+MAX(0,'Prepay vs Invest'!$B$13-'Prepay vs Invest'!$B$14)/1200)+S7</f>
        <v>0</v>
      </c>
      <c r="U7">
        <f t="shared" si="12"/>
        <v>0</v>
      </c>
      <c r="V7">
        <f>MAX(0,(T7-U7-'Prepay vs Invest'!$B$16)*'Prepay vs Invest'!$B$15/100)</f>
        <v>0</v>
      </c>
      <c r="W7">
        <f t="shared" si="4"/>
        <v>0</v>
      </c>
      <c r="X7">
        <f t="shared" si="13"/>
        <v>9858752.2951880395</v>
      </c>
      <c r="Y7">
        <f>IF(X7&gt;0,X7*'Prepay vs Invest'!$B$6/1200,0)</f>
        <v>61617.20184492525</v>
      </c>
      <c r="Z7">
        <f>IF(X7&gt;0,MIN(-PMT('Prepay vs Invest'!$B$6/1200,'Prepay vs Invest'!$B$7*12-A7+1,X7),X7+Y7),0)</f>
        <v>80154.307374063705</v>
      </c>
      <c r="AA7">
        <f>MIN(MAX(0,X7+Y7-Z7),IF(AND(A7&gt;='Prepay vs Invest'!$B$11,A7&lt;='Prepay vs Invest'!$B$12),'Prepay vs Invest'!$B$10,0)+IF(A7='Prepay vs Invest'!$B$9,'Prepay vs Invest'!$B$8,0))</f>
        <v>10000</v>
      </c>
      <c r="AB7">
        <f t="shared" si="5"/>
        <v>9830215.1896589007</v>
      </c>
      <c r="AC7">
        <f t="shared" si="14"/>
        <v>816.30837343144958</v>
      </c>
      <c r="AD7">
        <f>IF(A7&lt;='Prepay vs Invest'!$B$7*12,MAX(0,'Prepay vs Invest'!$E$5+IF(AND(A7&gt;='Prepay vs Invest'!$B$11,A7&lt;='Prepay vs Invest'!$B$12),'Prepay vs Invest'!$B$10,0)+IF(A7='Prepay vs Invest'!$B$9,'Prepay vs Invest'!$B$8,0)-Z7-AA7),0)</f>
        <v>405.01198111701524</v>
      </c>
      <c r="AE7">
        <f>AC7*(1+MAX(0,'Prepay vs Invest'!$B$13-'Prepay vs Invest'!$B$14)/1200)+AD7</f>
        <v>1229.1433097938495</v>
      </c>
      <c r="AF7">
        <f t="shared" si="15"/>
        <v>1213.5419075386308</v>
      </c>
      <c r="AG7">
        <f>MAX(0,(AE7-AF7-'Prepay vs Invest'!$B$16)*'Prepay vs Invest'!$B$15/100)</f>
        <v>0</v>
      </c>
      <c r="AH7">
        <f t="shared" si="6"/>
        <v>1229.1433097938495</v>
      </c>
    </row>
    <row r="8" spans="1:34" x14ac:dyDescent="0.35">
      <c r="A8">
        <f t="shared" si="7"/>
        <v>7</v>
      </c>
      <c r="B8">
        <f>IF(A8&lt;='Prepay vs Invest'!$B$7*12,F7,0)</f>
        <v>9889936.847535409</v>
      </c>
      <c r="C8">
        <f>IF(B8&gt;0,B8*'Prepay vs Invest'!$B$6/1200,0)</f>
        <v>61812.105297096306</v>
      </c>
      <c r="D8">
        <f>IF(B8&gt;0,MIN(-PMT('Prepay vs Invest'!$B$6/1200,'Prepay vs Invest'!$B$7*12,'Prepay vs Invest'!$B$5),B8+C8),0)</f>
        <v>80559.31935518072</v>
      </c>
      <c r="E8">
        <f t="shared" si="0"/>
        <v>18747.214058084413</v>
      </c>
      <c r="F8">
        <f t="shared" si="1"/>
        <v>9871189.6334773246</v>
      </c>
      <c r="G8">
        <f t="shared" si="8"/>
        <v>61456.000582841363</v>
      </c>
      <c r="H8">
        <f>IF(A8&lt;='Prepay vs Invest'!$B$7*12,IF(AND(A8&gt;='Prepay vs Invest'!$B$11,A8&lt;='Prepay vs Invest'!$B$12),'Prepay vs Invest'!$B$10,0)+IF(A8='Prepay vs Invest'!$B$9,'Prepay vs Invest'!$B$8,0),0)</f>
        <v>10000</v>
      </c>
      <c r="I8">
        <f>G8*(1+MAX(0,'Prepay vs Invest'!$B$13-'Prepay vs Invest'!$B$14)/1200)+H8</f>
        <v>72044.953921760258</v>
      </c>
      <c r="J8">
        <f t="shared" si="9"/>
        <v>70000</v>
      </c>
      <c r="K8">
        <f>MAX(0,(I8-J8-'Prepay vs Invest'!$B$16)*'Prepay vs Invest'!$B$15/100)</f>
        <v>0</v>
      </c>
      <c r="L8">
        <f t="shared" si="2"/>
        <v>72044.953921760258</v>
      </c>
      <c r="M8">
        <f t="shared" si="10"/>
        <v>9828991.4983226676</v>
      </c>
      <c r="N8">
        <f>IF(M8&gt;0,M8*'Prepay vs Invest'!$B$6/1200,0)</f>
        <v>61431.196864516671</v>
      </c>
      <c r="O8">
        <f>IF(M8&gt;0,MIN('Prepay vs Invest'!$E$5,M8+N8),0)</f>
        <v>80559.31935518072</v>
      </c>
      <c r="P8">
        <f>MIN(MAX(0,M8+N8-O8),IF(AND(A8&gt;='Prepay vs Invest'!$B$11,A8&lt;='Prepay vs Invest'!$B$12),'Prepay vs Invest'!$B$10,0)+IF(A8='Prepay vs Invest'!$B$9,'Prepay vs Invest'!$B$8,0))</f>
        <v>10000</v>
      </c>
      <c r="Q8">
        <f t="shared" si="3"/>
        <v>9799863.3758320045</v>
      </c>
      <c r="R8">
        <f t="shared" si="11"/>
        <v>0</v>
      </c>
      <c r="S8">
        <f>IF(A8&lt;='Prepay vs Invest'!$B$7*12,MAX(0,'Prepay vs Invest'!$E$5+IF(AND(A8&gt;='Prepay vs Invest'!$B$11,A8&lt;='Prepay vs Invest'!$B$12),'Prepay vs Invest'!$B$10,0)+IF(A8='Prepay vs Invest'!$B$9,'Prepay vs Invest'!$B$8,0)-O8-P8),0)</f>
        <v>0</v>
      </c>
      <c r="T8">
        <f>R8*(1+MAX(0,'Prepay vs Invest'!$B$13-'Prepay vs Invest'!$B$14)/1200)+S8</f>
        <v>0</v>
      </c>
      <c r="U8">
        <f t="shared" si="12"/>
        <v>0</v>
      </c>
      <c r="V8">
        <f>MAX(0,(T8-U8-'Prepay vs Invest'!$B$16)*'Prepay vs Invest'!$B$15/100)</f>
        <v>0</v>
      </c>
      <c r="W8">
        <f t="shared" si="4"/>
        <v>0</v>
      </c>
      <c r="X8">
        <f t="shared" si="13"/>
        <v>9830215.1896589007</v>
      </c>
      <c r="Y8">
        <f>IF(X8&gt;0,X8*'Prepay vs Invest'!$B$6/1200,0)</f>
        <v>61438.844935368128</v>
      </c>
      <c r="Z8">
        <f>IF(X8&gt;0,MIN(-PMT('Prepay vs Invest'!$B$6/1200,'Prepay vs Invest'!$B$7*12-A8+1,X8),X8+Y8),0)</f>
        <v>80072.851525965671</v>
      </c>
      <c r="AA8">
        <f>MIN(MAX(0,X8+Y8-Z8),IF(AND(A8&gt;='Prepay vs Invest'!$B$11,A8&lt;='Prepay vs Invest'!$B$12),'Prepay vs Invest'!$B$10,0)+IF(A8='Prepay vs Invest'!$B$9,'Prepay vs Invest'!$B$8,0))</f>
        <v>10000</v>
      </c>
      <c r="AB8">
        <f t="shared" si="5"/>
        <v>9801581.1830683034</v>
      </c>
      <c r="AC8">
        <f t="shared" si="14"/>
        <v>1229.1433097938495</v>
      </c>
      <c r="AD8">
        <f>IF(A8&lt;='Prepay vs Invest'!$B$7*12,MAX(0,'Prepay vs Invest'!$E$5+IF(AND(A8&gt;='Prepay vs Invest'!$B$11,A8&lt;='Prepay vs Invest'!$B$12),'Prepay vs Invest'!$B$10,0)+IF(A8='Prepay vs Invest'!$B$9,'Prepay vs Invest'!$B$8,0)-Z8-AA8),0)</f>
        <v>486.46782921504928</v>
      </c>
      <c r="AE8">
        <f>AC8*(1+MAX(0,'Prepay vs Invest'!$B$13-'Prepay vs Invest'!$B$14)/1200)+AD8</f>
        <v>1727.3904290610899</v>
      </c>
      <c r="AF8">
        <f t="shared" si="15"/>
        <v>1700.00973675368</v>
      </c>
      <c r="AG8">
        <f>MAX(0,(AE8-AF8-'Prepay vs Invest'!$B$16)*'Prepay vs Invest'!$B$15/100)</f>
        <v>0</v>
      </c>
      <c r="AH8">
        <f t="shared" si="6"/>
        <v>1727.3904290610899</v>
      </c>
    </row>
    <row r="9" spans="1:34" x14ac:dyDescent="0.35">
      <c r="A9">
        <f t="shared" si="7"/>
        <v>8</v>
      </c>
      <c r="B9">
        <f>IF(A9&lt;='Prepay vs Invest'!$B$7*12,F8,0)</f>
        <v>9871189.6334773246</v>
      </c>
      <c r="C9">
        <f>IF(B9&gt;0,B9*'Prepay vs Invest'!$B$6/1200,0)</f>
        <v>61694.935209233277</v>
      </c>
      <c r="D9">
        <f>IF(B9&gt;0,MIN(-PMT('Prepay vs Invest'!$B$6/1200,'Prepay vs Invest'!$B$7*12,'Prepay vs Invest'!$B$5),B9+C9),0)</f>
        <v>80559.31935518072</v>
      </c>
      <c r="E9">
        <f t="shared" si="0"/>
        <v>18864.384145947442</v>
      </c>
      <c r="F9">
        <f t="shared" si="1"/>
        <v>9852325.2493313774</v>
      </c>
      <c r="G9">
        <f t="shared" si="8"/>
        <v>72044.953921760258</v>
      </c>
      <c r="H9">
        <f>IF(A9&lt;='Prepay vs Invest'!$B$7*12,IF(AND(A9&gt;='Prepay vs Invest'!$B$11,A9&lt;='Prepay vs Invest'!$B$12),'Prepay vs Invest'!$B$10,0)+IF(A9='Prepay vs Invest'!$B$9,'Prepay vs Invest'!$B$8,0),0)</f>
        <v>10000</v>
      </c>
      <c r="I9">
        <f>G9*(1+MAX(0,'Prepay vs Invest'!$B$13-'Prepay vs Invest'!$B$14)/1200)+H9</f>
        <v>82735.384730177117</v>
      </c>
      <c r="J9">
        <f t="shared" si="9"/>
        <v>80000</v>
      </c>
      <c r="K9">
        <f>MAX(0,(I9-J9-'Prepay vs Invest'!$B$16)*'Prepay vs Invest'!$B$15/100)</f>
        <v>0</v>
      </c>
      <c r="L9">
        <f t="shared" si="2"/>
        <v>82735.384730177117</v>
      </c>
      <c r="M9">
        <f t="shared" si="10"/>
        <v>9799863.3758320045</v>
      </c>
      <c r="N9">
        <f>IF(M9&gt;0,M9*'Prepay vs Invest'!$B$6/1200,0)</f>
        <v>61249.146098950034</v>
      </c>
      <c r="O9">
        <f>IF(M9&gt;0,MIN('Prepay vs Invest'!$E$5,M9+N9),0)</f>
        <v>80559.31935518072</v>
      </c>
      <c r="P9">
        <f>MIN(MAX(0,M9+N9-O9),IF(AND(A9&gt;='Prepay vs Invest'!$B$11,A9&lt;='Prepay vs Invest'!$B$12),'Prepay vs Invest'!$B$10,0)+IF(A9='Prepay vs Invest'!$B$9,'Prepay vs Invest'!$B$8,0))</f>
        <v>10000</v>
      </c>
      <c r="Q9">
        <f t="shared" si="3"/>
        <v>9770553.2025757749</v>
      </c>
      <c r="R9">
        <f t="shared" si="11"/>
        <v>0</v>
      </c>
      <c r="S9">
        <f>IF(A9&lt;='Prepay vs Invest'!$B$7*12,MAX(0,'Prepay vs Invest'!$E$5+IF(AND(A9&gt;='Prepay vs Invest'!$B$11,A9&lt;='Prepay vs Invest'!$B$12),'Prepay vs Invest'!$B$10,0)+IF(A9='Prepay vs Invest'!$B$9,'Prepay vs Invest'!$B$8,0)-O9-P9),0)</f>
        <v>0</v>
      </c>
      <c r="T9">
        <f>R9*(1+MAX(0,'Prepay vs Invest'!$B$13-'Prepay vs Invest'!$B$14)/1200)+S9</f>
        <v>0</v>
      </c>
      <c r="U9">
        <f t="shared" si="12"/>
        <v>0</v>
      </c>
      <c r="V9">
        <f>MAX(0,(T9-U9-'Prepay vs Invest'!$B$16)*'Prepay vs Invest'!$B$15/100)</f>
        <v>0</v>
      </c>
      <c r="W9">
        <f t="shared" si="4"/>
        <v>0</v>
      </c>
      <c r="X9">
        <f t="shared" si="13"/>
        <v>9801581.1830683034</v>
      </c>
      <c r="Y9">
        <f>IF(X9&gt;0,X9*'Prepay vs Invest'!$B$6/1200,0)</f>
        <v>61259.882394176893</v>
      </c>
      <c r="Z9">
        <f>IF(X9&gt;0,MIN(-PMT('Prepay vs Invest'!$B$6/1200,'Prepay vs Invest'!$B$7*12-A9+1,X9),X9+Y9),0)</f>
        <v>79991.240978152913</v>
      </c>
      <c r="AA9">
        <f>MIN(MAX(0,X9+Y9-Z9),IF(AND(A9&gt;='Prepay vs Invest'!$B$11,A9&lt;='Prepay vs Invest'!$B$12),'Prepay vs Invest'!$B$10,0)+IF(A9='Prepay vs Invest'!$B$9,'Prepay vs Invest'!$B$8,0))</f>
        <v>10000</v>
      </c>
      <c r="AB9">
        <f t="shared" si="5"/>
        <v>9772849.8244843259</v>
      </c>
      <c r="AC9">
        <f t="shared" si="14"/>
        <v>1727.3904290610899</v>
      </c>
      <c r="AD9">
        <f>IF(A9&lt;='Prepay vs Invest'!$B$7*12,MAX(0,'Prepay vs Invest'!$E$5+IF(AND(A9&gt;='Prepay vs Invest'!$B$11,A9&lt;='Prepay vs Invest'!$B$12),'Prepay vs Invest'!$B$10,0)+IF(A9='Prepay vs Invest'!$B$9,'Prepay vs Invest'!$B$8,0)-Z9-AA9),0)</f>
        <v>568.07837702780671</v>
      </c>
      <c r="AE9">
        <f>AC9*(1+MAX(0,'Prepay vs Invest'!$B$13-'Prepay vs Invest'!$B$14)/1200)+AD9</f>
        <v>2312.0229643673983</v>
      </c>
      <c r="AF9">
        <f t="shared" si="15"/>
        <v>2268.0881137814868</v>
      </c>
      <c r="AG9">
        <f>MAX(0,(AE9-AF9-'Prepay vs Invest'!$B$16)*'Prepay vs Invest'!$B$15/100)</f>
        <v>0</v>
      </c>
      <c r="AH9">
        <f t="shared" si="6"/>
        <v>2312.0229643673983</v>
      </c>
    </row>
    <row r="10" spans="1:34" x14ac:dyDescent="0.35">
      <c r="A10">
        <f t="shared" si="7"/>
        <v>9</v>
      </c>
      <c r="B10">
        <f>IF(A10&lt;='Prepay vs Invest'!$B$7*12,F9,0)</f>
        <v>9852325.2493313774</v>
      </c>
      <c r="C10">
        <f>IF(B10&gt;0,B10*'Prepay vs Invest'!$B$6/1200,0)</f>
        <v>61577.032808321106</v>
      </c>
      <c r="D10">
        <f>IF(B10&gt;0,MIN(-PMT('Prepay vs Invest'!$B$6/1200,'Prepay vs Invest'!$B$7*12,'Prepay vs Invest'!$B$5),B10+C10),0)</f>
        <v>80559.31935518072</v>
      </c>
      <c r="E10">
        <f t="shared" si="0"/>
        <v>18982.286546859614</v>
      </c>
      <c r="F10">
        <f t="shared" si="1"/>
        <v>9833342.9627845176</v>
      </c>
      <c r="G10">
        <f t="shared" si="8"/>
        <v>82735.384730177117</v>
      </c>
      <c r="H10">
        <f>IF(A10&lt;='Prepay vs Invest'!$B$7*12,IF(AND(A10&gt;='Prepay vs Invest'!$B$11,A10&lt;='Prepay vs Invest'!$B$12),'Prepay vs Invest'!$B$10,0)+IF(A10='Prepay vs Invest'!$B$9,'Prepay vs Invest'!$B$8,0),0)</f>
        <v>10000</v>
      </c>
      <c r="I10">
        <f>G10*(1+MAX(0,'Prepay vs Invest'!$B$13-'Prepay vs Invest'!$B$14)/1200)+H10</f>
        <v>93528.265500507972</v>
      </c>
      <c r="J10">
        <f t="shared" si="9"/>
        <v>90000</v>
      </c>
      <c r="K10">
        <f>MAX(0,(I10-J10-'Prepay vs Invest'!$B$16)*'Prepay vs Invest'!$B$15/100)</f>
        <v>0</v>
      </c>
      <c r="L10">
        <f t="shared" si="2"/>
        <v>93528.265500507972</v>
      </c>
      <c r="M10">
        <f t="shared" si="10"/>
        <v>9770553.2025757749</v>
      </c>
      <c r="N10">
        <f>IF(M10&gt;0,M10*'Prepay vs Invest'!$B$6/1200,0)</f>
        <v>61065.957516098591</v>
      </c>
      <c r="O10">
        <f>IF(M10&gt;0,MIN('Prepay vs Invest'!$E$5,M10+N10),0)</f>
        <v>80559.31935518072</v>
      </c>
      <c r="P10">
        <f>MIN(MAX(0,M10+N10-O10),IF(AND(A10&gt;='Prepay vs Invest'!$B$11,A10&lt;='Prepay vs Invest'!$B$12),'Prepay vs Invest'!$B$10,0)+IF(A10='Prepay vs Invest'!$B$9,'Prepay vs Invest'!$B$8,0))</f>
        <v>10000</v>
      </c>
      <c r="Q10">
        <f t="shared" si="3"/>
        <v>9741059.8407366928</v>
      </c>
      <c r="R10">
        <f t="shared" si="11"/>
        <v>0</v>
      </c>
      <c r="S10">
        <f>IF(A10&lt;='Prepay vs Invest'!$B$7*12,MAX(0,'Prepay vs Invest'!$E$5+IF(AND(A10&gt;='Prepay vs Invest'!$B$11,A10&lt;='Prepay vs Invest'!$B$12),'Prepay vs Invest'!$B$10,0)+IF(A10='Prepay vs Invest'!$B$9,'Prepay vs Invest'!$B$8,0)-O10-P10),0)</f>
        <v>0</v>
      </c>
      <c r="T10">
        <f>R10*(1+MAX(0,'Prepay vs Invest'!$B$13-'Prepay vs Invest'!$B$14)/1200)+S10</f>
        <v>0</v>
      </c>
      <c r="U10">
        <f t="shared" si="12"/>
        <v>0</v>
      </c>
      <c r="V10">
        <f>MAX(0,(T10-U10-'Prepay vs Invest'!$B$16)*'Prepay vs Invest'!$B$15/100)</f>
        <v>0</v>
      </c>
      <c r="W10">
        <f t="shared" si="4"/>
        <v>0</v>
      </c>
      <c r="X10">
        <f t="shared" si="13"/>
        <v>9772849.8244843259</v>
      </c>
      <c r="Y10">
        <f>IF(X10&gt;0,X10*'Prepay vs Invest'!$B$6/1200,0)</f>
        <v>61080.311403027037</v>
      </c>
      <c r="Z10">
        <f>IF(X10&gt;0,MIN(-PMT('Prepay vs Invest'!$B$6/1200,'Prepay vs Invest'!$B$7*12-A10+1,X10),X10+Y10),0)</f>
        <v>79909.474169489491</v>
      </c>
      <c r="AA10">
        <f>MIN(MAX(0,X10+Y10-Z10),IF(AND(A10&gt;='Prepay vs Invest'!$B$11,A10&lt;='Prepay vs Invest'!$B$12),'Prepay vs Invest'!$B$10,0)+IF(A10='Prepay vs Invest'!$B$9,'Prepay vs Invest'!$B$8,0))</f>
        <v>10000</v>
      </c>
      <c r="AB10">
        <f t="shared" si="5"/>
        <v>9744020.6617178638</v>
      </c>
      <c r="AC10">
        <f t="shared" si="14"/>
        <v>2312.0229643673983</v>
      </c>
      <c r="AD10">
        <f>IF(A10&lt;='Prepay vs Invest'!$B$7*12,MAX(0,'Prepay vs Invest'!$E$5+IF(AND(A10&gt;='Prepay vs Invest'!$B$11,A10&lt;='Prepay vs Invest'!$B$12),'Prepay vs Invest'!$B$10,0)+IF(A10='Prepay vs Invest'!$B$9,'Prepay vs Invest'!$B$8,0)-Z10-AA10),0)</f>
        <v>649.84518569122883</v>
      </c>
      <c r="AE10">
        <f>AC10*(1+MAX(0,'Prepay vs Invest'!$B$13-'Prepay vs Invest'!$B$14)/1200)+AD10</f>
        <v>2984.0250368004813</v>
      </c>
      <c r="AF10">
        <f t="shared" si="15"/>
        <v>2917.9332994727156</v>
      </c>
      <c r="AG10">
        <f>MAX(0,(AE10-AF10-'Prepay vs Invest'!$B$16)*'Prepay vs Invest'!$B$15/100)</f>
        <v>0</v>
      </c>
      <c r="AH10">
        <f t="shared" si="6"/>
        <v>2984.0250368004813</v>
      </c>
    </row>
    <row r="11" spans="1:34" x14ac:dyDescent="0.35">
      <c r="A11">
        <f t="shared" si="7"/>
        <v>10</v>
      </c>
      <c r="B11">
        <f>IF(A11&lt;='Prepay vs Invest'!$B$7*12,F10,0)</f>
        <v>9833342.9627845176</v>
      </c>
      <c r="C11">
        <f>IF(B11&gt;0,B11*'Prepay vs Invest'!$B$6/1200,0)</f>
        <v>61458.39351740323</v>
      </c>
      <c r="D11">
        <f>IF(B11&gt;0,MIN(-PMT('Prepay vs Invest'!$B$6/1200,'Prepay vs Invest'!$B$7*12,'Prepay vs Invest'!$B$5),B11+C11),0)</f>
        <v>80559.31935518072</v>
      </c>
      <c r="E11">
        <f t="shared" si="0"/>
        <v>19100.92583777749</v>
      </c>
      <c r="F11">
        <f t="shared" si="1"/>
        <v>9814242.03694674</v>
      </c>
      <c r="G11">
        <f t="shared" si="8"/>
        <v>93528.265500507972</v>
      </c>
      <c r="H11">
        <f>IF(A11&lt;='Prepay vs Invest'!$B$7*12,IF(AND(A11&gt;='Prepay vs Invest'!$B$11,A11&lt;='Prepay vs Invest'!$B$12),'Prepay vs Invest'!$B$10,0)+IF(A11='Prepay vs Invest'!$B$9,'Prepay vs Invest'!$B$8,0),0)</f>
        <v>10000</v>
      </c>
      <c r="I11">
        <f>G11*(1+MAX(0,'Prepay vs Invest'!$B$13-'Prepay vs Invest'!$B$14)/1200)+H11</f>
        <v>104424.57804488784</v>
      </c>
      <c r="J11">
        <f t="shared" si="9"/>
        <v>100000</v>
      </c>
      <c r="K11">
        <f>MAX(0,(I11-J11-'Prepay vs Invest'!$B$16)*'Prepay vs Invest'!$B$15/100)</f>
        <v>0</v>
      </c>
      <c r="L11">
        <f t="shared" si="2"/>
        <v>104424.57804488784</v>
      </c>
      <c r="M11">
        <f t="shared" si="10"/>
        <v>9741059.8407366928</v>
      </c>
      <c r="N11">
        <f>IF(M11&gt;0,M11*'Prepay vs Invest'!$B$6/1200,0)</f>
        <v>60881.624004604331</v>
      </c>
      <c r="O11">
        <f>IF(M11&gt;0,MIN('Prepay vs Invest'!$E$5,M11+N11),0)</f>
        <v>80559.31935518072</v>
      </c>
      <c r="P11">
        <f>MIN(MAX(0,M11+N11-O11),IF(AND(A11&gt;='Prepay vs Invest'!$B$11,A11&lt;='Prepay vs Invest'!$B$12),'Prepay vs Invest'!$B$10,0)+IF(A11='Prepay vs Invest'!$B$9,'Prepay vs Invest'!$B$8,0))</f>
        <v>10000</v>
      </c>
      <c r="Q11">
        <f t="shared" si="3"/>
        <v>9711382.1453861166</v>
      </c>
      <c r="R11">
        <f t="shared" si="11"/>
        <v>0</v>
      </c>
      <c r="S11">
        <f>IF(A11&lt;='Prepay vs Invest'!$B$7*12,MAX(0,'Prepay vs Invest'!$E$5+IF(AND(A11&gt;='Prepay vs Invest'!$B$11,A11&lt;='Prepay vs Invest'!$B$12),'Prepay vs Invest'!$B$10,0)+IF(A11='Prepay vs Invest'!$B$9,'Prepay vs Invest'!$B$8,0)-O11-P11),0)</f>
        <v>0</v>
      </c>
      <c r="T11">
        <f>R11*(1+MAX(0,'Prepay vs Invest'!$B$13-'Prepay vs Invest'!$B$14)/1200)+S11</f>
        <v>0</v>
      </c>
      <c r="U11">
        <f t="shared" si="12"/>
        <v>0</v>
      </c>
      <c r="V11">
        <f>MAX(0,(T11-U11-'Prepay vs Invest'!$B$16)*'Prepay vs Invest'!$B$15/100)</f>
        <v>0</v>
      </c>
      <c r="W11">
        <f t="shared" si="4"/>
        <v>0</v>
      </c>
      <c r="X11">
        <f t="shared" si="13"/>
        <v>9744020.6617178638</v>
      </c>
      <c r="Y11">
        <f>IF(X11&gt;0,X11*'Prepay vs Invest'!$B$6/1200,0)</f>
        <v>60900.12913573665</v>
      </c>
      <c r="Z11">
        <f>IF(X11&gt;0,MIN(-PMT('Prepay vs Invest'!$B$6/1200,'Prepay vs Invest'!$B$7*12-A11+1,X11),X11+Y11),0)</f>
        <v>79827.5495181679</v>
      </c>
      <c r="AA11">
        <f>MIN(MAX(0,X11+Y11-Z11),IF(AND(A11&gt;='Prepay vs Invest'!$B$11,A11&lt;='Prepay vs Invest'!$B$12),'Prepay vs Invest'!$B$10,0)+IF(A11='Prepay vs Invest'!$B$9,'Prepay vs Invest'!$B$8,0))</f>
        <v>10000</v>
      </c>
      <c r="AB11">
        <f t="shared" si="5"/>
        <v>9715093.241335433</v>
      </c>
      <c r="AC11">
        <f t="shared" si="14"/>
        <v>2984.0250368004813</v>
      </c>
      <c r="AD11">
        <f>IF(A11&lt;='Prepay vs Invest'!$B$7*12,MAX(0,'Prepay vs Invest'!$E$5+IF(AND(A11&gt;='Prepay vs Invest'!$B$11,A11&lt;='Prepay vs Invest'!$B$12),'Prepay vs Invest'!$B$10,0)+IF(A11='Prepay vs Invest'!$B$9,'Prepay vs Invest'!$B$8,0)-Z11-AA11),0)</f>
        <v>731.76983701282006</v>
      </c>
      <c r="AE11">
        <f>AC11*(1+MAX(0,'Prepay vs Invest'!$B$13-'Prepay vs Invest'!$B$14)/1200)+AD11</f>
        <v>3744.3917804159723</v>
      </c>
      <c r="AF11">
        <f t="shared" si="15"/>
        <v>3649.7031364855357</v>
      </c>
      <c r="AG11">
        <f>MAX(0,(AE11-AF11-'Prepay vs Invest'!$B$16)*'Prepay vs Invest'!$B$15/100)</f>
        <v>0</v>
      </c>
      <c r="AH11">
        <f t="shared" si="6"/>
        <v>3744.3917804159723</v>
      </c>
    </row>
    <row r="12" spans="1:34" x14ac:dyDescent="0.35">
      <c r="A12">
        <f t="shared" si="7"/>
        <v>11</v>
      </c>
      <c r="B12">
        <f>IF(A12&lt;='Prepay vs Invest'!$B$7*12,F11,0)</f>
        <v>9814242.03694674</v>
      </c>
      <c r="C12">
        <f>IF(B12&gt;0,B12*'Prepay vs Invest'!$B$6/1200,0)</f>
        <v>61339.012730917122</v>
      </c>
      <c r="D12">
        <f>IF(B12&gt;0,MIN(-PMT('Prepay vs Invest'!$B$6/1200,'Prepay vs Invest'!$B$7*12,'Prepay vs Invest'!$B$5),B12+C12),0)</f>
        <v>80559.31935518072</v>
      </c>
      <c r="E12">
        <f t="shared" si="0"/>
        <v>19220.306624263598</v>
      </c>
      <c r="F12">
        <f t="shared" si="1"/>
        <v>9795021.7303224765</v>
      </c>
      <c r="G12">
        <f t="shared" si="8"/>
        <v>104424.57804488784</v>
      </c>
      <c r="H12">
        <f>IF(A12&lt;='Prepay vs Invest'!$B$7*12,IF(AND(A12&gt;='Prepay vs Invest'!$B$11,A12&lt;='Prepay vs Invest'!$B$12),'Prepay vs Invest'!$B$10,0)+IF(A12='Prepay vs Invest'!$B$9,'Prepay vs Invest'!$B$8,0),0)</f>
        <v>10000</v>
      </c>
      <c r="I12">
        <f>G12*(1+MAX(0,'Prepay vs Invest'!$B$13-'Prepay vs Invest'!$B$14)/1200)+H12</f>
        <v>115425.31358448467</v>
      </c>
      <c r="J12">
        <f t="shared" si="9"/>
        <v>110000</v>
      </c>
      <c r="K12">
        <f>MAX(0,(I12-J12-'Prepay vs Invest'!$B$16)*'Prepay vs Invest'!$B$15/100)</f>
        <v>0</v>
      </c>
      <c r="L12">
        <f t="shared" si="2"/>
        <v>115425.31358448467</v>
      </c>
      <c r="M12">
        <f t="shared" si="10"/>
        <v>9711382.1453861166</v>
      </c>
      <c r="N12">
        <f>IF(M12&gt;0,M12*'Prepay vs Invest'!$B$6/1200,0)</f>
        <v>60696.138408663224</v>
      </c>
      <c r="O12">
        <f>IF(M12&gt;0,MIN('Prepay vs Invest'!$E$5,M12+N12),0)</f>
        <v>80559.31935518072</v>
      </c>
      <c r="P12">
        <f>MIN(MAX(0,M12+N12-O12),IF(AND(A12&gt;='Prepay vs Invest'!$B$11,A12&lt;='Prepay vs Invest'!$B$12),'Prepay vs Invest'!$B$10,0)+IF(A12='Prepay vs Invest'!$B$9,'Prepay vs Invest'!$B$8,0))</f>
        <v>10000</v>
      </c>
      <c r="Q12">
        <f t="shared" si="3"/>
        <v>9681518.9644395988</v>
      </c>
      <c r="R12">
        <f t="shared" si="11"/>
        <v>0</v>
      </c>
      <c r="S12">
        <f>IF(A12&lt;='Prepay vs Invest'!$B$7*12,MAX(0,'Prepay vs Invest'!$E$5+IF(AND(A12&gt;='Prepay vs Invest'!$B$11,A12&lt;='Prepay vs Invest'!$B$12),'Prepay vs Invest'!$B$10,0)+IF(A12='Prepay vs Invest'!$B$9,'Prepay vs Invest'!$B$8,0)-O12-P12),0)</f>
        <v>0</v>
      </c>
      <c r="T12">
        <f>R12*(1+MAX(0,'Prepay vs Invest'!$B$13-'Prepay vs Invest'!$B$14)/1200)+S12</f>
        <v>0</v>
      </c>
      <c r="U12">
        <f t="shared" si="12"/>
        <v>0</v>
      </c>
      <c r="V12">
        <f>MAX(0,(T12-U12-'Prepay vs Invest'!$B$16)*'Prepay vs Invest'!$B$15/100)</f>
        <v>0</v>
      </c>
      <c r="W12">
        <f t="shared" si="4"/>
        <v>0</v>
      </c>
      <c r="X12">
        <f t="shared" si="13"/>
        <v>9715093.241335433</v>
      </c>
      <c r="Y12">
        <f>IF(X12&gt;0,X12*'Prepay vs Invest'!$B$6/1200,0)</f>
        <v>60719.332758346463</v>
      </c>
      <c r="Z12">
        <f>IF(X12&gt;0,MIN(-PMT('Prepay vs Invest'!$B$6/1200,'Prepay vs Invest'!$B$7*12-A12+1,X12),X12+Y12),0)</f>
        <v>79745.465421350324</v>
      </c>
      <c r="AA12">
        <f>MIN(MAX(0,X12+Y12-Z12),IF(AND(A12&gt;='Prepay vs Invest'!$B$11,A12&lt;='Prepay vs Invest'!$B$12),'Prepay vs Invest'!$B$10,0)+IF(A12='Prepay vs Invest'!$B$9,'Prepay vs Invest'!$B$8,0))</f>
        <v>10000</v>
      </c>
      <c r="AB12">
        <f t="shared" si="5"/>
        <v>9686067.1086724289</v>
      </c>
      <c r="AC12">
        <f t="shared" si="14"/>
        <v>3744.3917804159723</v>
      </c>
      <c r="AD12">
        <f>IF(A12&lt;='Prepay vs Invest'!$B$7*12,MAX(0,'Prepay vs Invest'!$E$5+IF(AND(A12&gt;='Prepay vs Invest'!$B$11,A12&lt;='Prepay vs Invest'!$B$12),'Prepay vs Invest'!$B$10,0)+IF(A12='Prepay vs Invest'!$B$9,'Prepay vs Invest'!$B$8,0)-Z12-AA12),0)</f>
        <v>813.85393383039627</v>
      </c>
      <c r="AE12">
        <f>AC12*(1+MAX(0,'Prepay vs Invest'!$B$13-'Prepay vs Invest'!$B$14)/1200)+AD12</f>
        <v>4594.1294688086882</v>
      </c>
      <c r="AF12">
        <f t="shared" si="15"/>
        <v>4463.5570703159319</v>
      </c>
      <c r="AG12">
        <f>MAX(0,(AE12-AF12-'Prepay vs Invest'!$B$16)*'Prepay vs Invest'!$B$15/100)</f>
        <v>0</v>
      </c>
      <c r="AH12">
        <f t="shared" si="6"/>
        <v>4594.1294688086882</v>
      </c>
    </row>
    <row r="13" spans="1:34" x14ac:dyDescent="0.35">
      <c r="A13">
        <f t="shared" si="7"/>
        <v>12</v>
      </c>
      <c r="B13">
        <f>IF(A13&lt;='Prepay vs Invest'!$B$7*12,F12,0)</f>
        <v>9795021.7303224765</v>
      </c>
      <c r="C13">
        <f>IF(B13&gt;0,B13*'Prepay vs Invest'!$B$6/1200,0)</f>
        <v>61218.885814515474</v>
      </c>
      <c r="D13">
        <f>IF(B13&gt;0,MIN(-PMT('Prepay vs Invest'!$B$6/1200,'Prepay vs Invest'!$B$7*12,'Prepay vs Invest'!$B$5),B13+C13),0)</f>
        <v>80559.31935518072</v>
      </c>
      <c r="E13">
        <f t="shared" si="0"/>
        <v>19340.433540665246</v>
      </c>
      <c r="F13">
        <f t="shared" si="1"/>
        <v>9775681.2967818119</v>
      </c>
      <c r="G13">
        <f t="shared" si="8"/>
        <v>115425.31358448467</v>
      </c>
      <c r="H13">
        <f>IF(A13&lt;='Prepay vs Invest'!$B$7*12,IF(AND(A13&gt;='Prepay vs Invest'!$B$11,A13&lt;='Prepay vs Invest'!$B$12),'Prepay vs Invest'!$B$10,0)+IF(A13='Prepay vs Invest'!$B$9,'Prepay vs Invest'!$B$8,0),0)</f>
        <v>510000</v>
      </c>
      <c r="I13">
        <f>G13*(1+MAX(0,'Prepay vs Invest'!$B$13-'Prepay vs Invest'!$B$14)/1200)+H13</f>
        <v>626531.47283966932</v>
      </c>
      <c r="J13">
        <f t="shared" si="9"/>
        <v>620000</v>
      </c>
      <c r="K13">
        <f>MAX(0,(I13-J13-'Prepay vs Invest'!$B$16)*'Prepay vs Invest'!$B$15/100)</f>
        <v>0</v>
      </c>
      <c r="L13">
        <f t="shared" si="2"/>
        <v>626531.47283966932</v>
      </c>
      <c r="M13">
        <f t="shared" si="10"/>
        <v>9681518.9644395988</v>
      </c>
      <c r="N13">
        <f>IF(M13&gt;0,M13*'Prepay vs Invest'!$B$6/1200,0)</f>
        <v>60509.493527747494</v>
      </c>
      <c r="O13">
        <f>IF(M13&gt;0,MIN('Prepay vs Invest'!$E$5,M13+N13),0)</f>
        <v>80559.31935518072</v>
      </c>
      <c r="P13">
        <f>MIN(MAX(0,M13+N13-O13),IF(AND(A13&gt;='Prepay vs Invest'!$B$11,A13&lt;='Prepay vs Invest'!$B$12),'Prepay vs Invest'!$B$10,0)+IF(A13='Prepay vs Invest'!$B$9,'Prepay vs Invest'!$B$8,0))</f>
        <v>510000</v>
      </c>
      <c r="Q13">
        <f t="shared" si="3"/>
        <v>9151469.138612166</v>
      </c>
      <c r="R13">
        <f t="shared" si="11"/>
        <v>0</v>
      </c>
      <c r="S13">
        <f>IF(A13&lt;='Prepay vs Invest'!$B$7*12,MAX(0,'Prepay vs Invest'!$E$5+IF(AND(A13&gt;='Prepay vs Invest'!$B$11,A13&lt;='Prepay vs Invest'!$B$12),'Prepay vs Invest'!$B$10,0)+IF(A13='Prepay vs Invest'!$B$9,'Prepay vs Invest'!$B$8,0)-O13-P13),0)</f>
        <v>0</v>
      </c>
      <c r="T13">
        <f>R13*(1+MAX(0,'Prepay vs Invest'!$B$13-'Prepay vs Invest'!$B$14)/1200)+S13</f>
        <v>0</v>
      </c>
      <c r="U13">
        <f t="shared" si="12"/>
        <v>0</v>
      </c>
      <c r="V13">
        <f>MAX(0,(T13-U13-'Prepay vs Invest'!$B$16)*'Prepay vs Invest'!$B$15/100)</f>
        <v>0</v>
      </c>
      <c r="W13">
        <f t="shared" si="4"/>
        <v>0</v>
      </c>
      <c r="X13">
        <f t="shared" si="13"/>
        <v>9686067.1086724289</v>
      </c>
      <c r="Y13">
        <f>IF(X13&gt;0,X13*'Prepay vs Invest'!$B$6/1200,0)</f>
        <v>60537.919429202673</v>
      </c>
      <c r="Z13">
        <f>IF(X13&gt;0,MIN(-PMT('Prepay vs Invest'!$B$6/1200,'Prepay vs Invest'!$B$7*12-A13+1,X13),X13+Y13),0)</f>
        <v>79663.22025480232</v>
      </c>
      <c r="AA13">
        <f>MIN(MAX(0,X13+Y13-Z13),IF(AND(A13&gt;='Prepay vs Invest'!$B$11,A13&lt;='Prepay vs Invest'!$B$12),'Prepay vs Invest'!$B$10,0)+IF(A13='Prepay vs Invest'!$B$9,'Prepay vs Invest'!$B$8,0))</f>
        <v>510000</v>
      </c>
      <c r="AB13">
        <f t="shared" si="5"/>
        <v>9156941.8078468293</v>
      </c>
      <c r="AC13">
        <f t="shared" si="14"/>
        <v>4594.1294688086882</v>
      </c>
      <c r="AD13">
        <f>IF(A13&lt;='Prepay vs Invest'!$B$7*12,MAX(0,'Prepay vs Invest'!$E$5+IF(AND(A13&gt;='Prepay vs Invest'!$B$11,A13&lt;='Prepay vs Invest'!$B$12),'Prepay vs Invest'!$B$10,0)+IF(A13='Prepay vs Invest'!$B$9,'Prepay vs Invest'!$B$8,0)-Z13-AA13),0)</f>
        <v>896.09910037840018</v>
      </c>
      <c r="AE13">
        <f>AC13*(1+MAX(0,'Prepay vs Invest'!$B$13-'Prepay vs Invest'!$B$14)/1200)+AD13</f>
        <v>5534.2556432631718</v>
      </c>
      <c r="AF13">
        <f t="shared" si="15"/>
        <v>5359.6561706943321</v>
      </c>
      <c r="AG13">
        <f>MAX(0,(AE13-AF13-'Prepay vs Invest'!$B$16)*'Prepay vs Invest'!$B$15/100)</f>
        <v>0</v>
      </c>
      <c r="AH13">
        <f t="shared" si="6"/>
        <v>5534.2556432631718</v>
      </c>
    </row>
    <row r="14" spans="1:34" x14ac:dyDescent="0.35">
      <c r="A14">
        <f t="shared" si="7"/>
        <v>13</v>
      </c>
      <c r="B14">
        <f>IF(A14&lt;='Prepay vs Invest'!$B$7*12,F13,0)</f>
        <v>9775681.2967818119</v>
      </c>
      <c r="C14">
        <f>IF(B14&gt;0,B14*'Prepay vs Invest'!$B$6/1200,0)</f>
        <v>61098.008104886329</v>
      </c>
      <c r="D14">
        <f>IF(B14&gt;0,MIN(-PMT('Prepay vs Invest'!$B$6/1200,'Prepay vs Invest'!$B$7*12,'Prepay vs Invest'!$B$5),B14+C14),0)</f>
        <v>80559.31935518072</v>
      </c>
      <c r="E14">
        <f t="shared" si="0"/>
        <v>19461.311250294391</v>
      </c>
      <c r="F14">
        <f t="shared" si="1"/>
        <v>9756219.9855315182</v>
      </c>
      <c r="G14">
        <f t="shared" si="8"/>
        <v>626531.47283966932</v>
      </c>
      <c r="H14">
        <f>IF(A14&lt;='Prepay vs Invest'!$B$7*12,IF(AND(A14&gt;='Prepay vs Invest'!$B$11,A14&lt;='Prepay vs Invest'!$B$12),'Prepay vs Invest'!$B$10,0)+IF(A14='Prepay vs Invest'!$B$9,'Prepay vs Invest'!$B$8,0),0)</f>
        <v>10000</v>
      </c>
      <c r="I14">
        <f>G14*(1+MAX(0,'Prepay vs Invest'!$B$13-'Prepay vs Invest'!$B$14)/1200)+H14</f>
        <v>642535.73278771609</v>
      </c>
      <c r="J14">
        <f t="shared" si="9"/>
        <v>630000</v>
      </c>
      <c r="K14">
        <f>MAX(0,(I14-J14-'Prepay vs Invest'!$B$16)*'Prepay vs Invest'!$B$15/100)</f>
        <v>0</v>
      </c>
      <c r="L14">
        <f t="shared" si="2"/>
        <v>642535.73278771609</v>
      </c>
      <c r="M14">
        <f t="shared" si="10"/>
        <v>9151469.138612166</v>
      </c>
      <c r="N14">
        <f>IF(M14&gt;0,M14*'Prepay vs Invest'!$B$6/1200,0)</f>
        <v>57196.682116326047</v>
      </c>
      <c r="O14">
        <f>IF(M14&gt;0,MIN('Prepay vs Invest'!$E$5,M14+N14),0)</f>
        <v>80559.31935518072</v>
      </c>
      <c r="P14">
        <f>MIN(MAX(0,M14+N14-O14),IF(AND(A14&gt;='Prepay vs Invest'!$B$11,A14&lt;='Prepay vs Invest'!$B$12),'Prepay vs Invest'!$B$10,0)+IF(A14='Prepay vs Invest'!$B$9,'Prepay vs Invest'!$B$8,0))</f>
        <v>10000</v>
      </c>
      <c r="Q14">
        <f t="shared" si="3"/>
        <v>9118106.5013733115</v>
      </c>
      <c r="R14">
        <f t="shared" si="11"/>
        <v>0</v>
      </c>
      <c r="S14">
        <f>IF(A14&lt;='Prepay vs Invest'!$B$7*12,MAX(0,'Prepay vs Invest'!$E$5+IF(AND(A14&gt;='Prepay vs Invest'!$B$11,A14&lt;='Prepay vs Invest'!$B$12),'Prepay vs Invest'!$B$10,0)+IF(A14='Prepay vs Invest'!$B$9,'Prepay vs Invest'!$B$8,0)-O14-P14),0)</f>
        <v>0</v>
      </c>
      <c r="T14">
        <f>R14*(1+MAX(0,'Prepay vs Invest'!$B$13-'Prepay vs Invest'!$B$14)/1200)+S14</f>
        <v>0</v>
      </c>
      <c r="U14">
        <f t="shared" si="12"/>
        <v>0</v>
      </c>
      <c r="V14">
        <f>MAX(0,(T14-U14-'Prepay vs Invest'!$B$16)*'Prepay vs Invest'!$B$15/100)</f>
        <v>0</v>
      </c>
      <c r="W14">
        <f t="shared" si="4"/>
        <v>0</v>
      </c>
      <c r="X14">
        <f t="shared" si="13"/>
        <v>9156941.8078468293</v>
      </c>
      <c r="Y14">
        <f>IF(X14&gt;0,X14*'Prepay vs Invest'!$B$6/1200,0)</f>
        <v>57230.886299042679</v>
      </c>
      <c r="Z14">
        <f>IF(X14&gt;0,MIN(-PMT('Prepay vs Invest'!$B$6/1200,'Prepay vs Invest'!$B$7*12-A14+1,X14),X14+Y14),0)</f>
        <v>75460.418258314588</v>
      </c>
      <c r="AA14">
        <f>MIN(MAX(0,X14+Y14-Z14),IF(AND(A14&gt;='Prepay vs Invest'!$B$11,A14&lt;='Prepay vs Invest'!$B$12),'Prepay vs Invest'!$B$10,0)+IF(A14='Prepay vs Invest'!$B$9,'Prepay vs Invest'!$B$8,0))</f>
        <v>10000</v>
      </c>
      <c r="AB14">
        <f t="shared" si="5"/>
        <v>9128712.2758875564</v>
      </c>
      <c r="AC14">
        <f t="shared" si="14"/>
        <v>5534.2556432631718</v>
      </c>
      <c r="AD14">
        <f>IF(A14&lt;='Prepay vs Invest'!$B$7*12,MAX(0,'Prepay vs Invest'!$E$5+IF(AND(A14&gt;='Prepay vs Invest'!$B$11,A14&lt;='Prepay vs Invest'!$B$12),'Prepay vs Invest'!$B$10,0)+IF(A14='Prepay vs Invest'!$B$9,'Prepay vs Invest'!$B$8,0)-Z14-AA14),0)</f>
        <v>5098.9010968661314</v>
      </c>
      <c r="AE14">
        <f>AC14*(1+MAX(0,'Prepay vs Invest'!$B$13-'Prepay vs Invest'!$B$14)/1200)+AD14</f>
        <v>10686.193356710575</v>
      </c>
      <c r="AF14">
        <f t="shared" si="15"/>
        <v>10458.557267560464</v>
      </c>
      <c r="AG14">
        <f>MAX(0,(AE14-AF14-'Prepay vs Invest'!$B$16)*'Prepay vs Invest'!$B$15/100)</f>
        <v>0</v>
      </c>
      <c r="AH14">
        <f t="shared" si="6"/>
        <v>10686.193356710575</v>
      </c>
    </row>
    <row r="15" spans="1:34" x14ac:dyDescent="0.35">
      <c r="A15">
        <f t="shared" si="7"/>
        <v>14</v>
      </c>
      <c r="B15">
        <f>IF(A15&lt;='Prepay vs Invest'!$B$7*12,F14,0)</f>
        <v>9756219.9855315182</v>
      </c>
      <c r="C15">
        <f>IF(B15&gt;0,B15*'Prepay vs Invest'!$B$6/1200,0)</f>
        <v>60976.37490957199</v>
      </c>
      <c r="D15">
        <f>IF(B15&gt;0,MIN(-PMT('Prepay vs Invest'!$B$6/1200,'Prepay vs Invest'!$B$7*12,'Prepay vs Invest'!$B$5),B15+C15),0)</f>
        <v>80559.31935518072</v>
      </c>
      <c r="E15">
        <f t="shared" si="0"/>
        <v>19582.944445608729</v>
      </c>
      <c r="F15">
        <f t="shared" si="1"/>
        <v>9736637.0410859101</v>
      </c>
      <c r="G15">
        <f t="shared" si="8"/>
        <v>642535.73278771609</v>
      </c>
      <c r="H15">
        <f>IF(A15&lt;='Prepay vs Invest'!$B$7*12,IF(AND(A15&gt;='Prepay vs Invest'!$B$11,A15&lt;='Prepay vs Invest'!$B$12),'Prepay vs Invest'!$B$10,0)+IF(A15='Prepay vs Invest'!$B$9,'Prepay vs Invest'!$B$8,0),0)</f>
        <v>10000</v>
      </c>
      <c r="I15">
        <f>G15*(1+MAX(0,'Prepay vs Invest'!$B$13-'Prepay vs Invest'!$B$14)/1200)+H15</f>
        <v>658693.36689359834</v>
      </c>
      <c r="J15">
        <f t="shared" si="9"/>
        <v>640000</v>
      </c>
      <c r="K15">
        <f>MAX(0,(I15-J15-'Prepay vs Invest'!$B$16)*'Prepay vs Invest'!$B$15/100)</f>
        <v>0</v>
      </c>
      <c r="L15">
        <f t="shared" si="2"/>
        <v>658693.36689359834</v>
      </c>
      <c r="M15">
        <f t="shared" si="10"/>
        <v>9118106.5013733115</v>
      </c>
      <c r="N15">
        <f>IF(M15&gt;0,M15*'Prepay vs Invest'!$B$6/1200,0)</f>
        <v>56988.165633583194</v>
      </c>
      <c r="O15">
        <f>IF(M15&gt;0,MIN('Prepay vs Invest'!$E$5,M15+N15),0)</f>
        <v>80559.31935518072</v>
      </c>
      <c r="P15">
        <f>MIN(MAX(0,M15+N15-O15),IF(AND(A15&gt;='Prepay vs Invest'!$B$11,A15&lt;='Prepay vs Invest'!$B$12),'Prepay vs Invest'!$B$10,0)+IF(A15='Prepay vs Invest'!$B$9,'Prepay vs Invest'!$B$8,0))</f>
        <v>10000</v>
      </c>
      <c r="Q15">
        <f t="shared" si="3"/>
        <v>9084535.3476517145</v>
      </c>
      <c r="R15">
        <f t="shared" si="11"/>
        <v>0</v>
      </c>
      <c r="S15">
        <f>IF(A15&lt;='Prepay vs Invest'!$B$7*12,MAX(0,'Prepay vs Invest'!$E$5+IF(AND(A15&gt;='Prepay vs Invest'!$B$11,A15&lt;='Prepay vs Invest'!$B$12),'Prepay vs Invest'!$B$10,0)+IF(A15='Prepay vs Invest'!$B$9,'Prepay vs Invest'!$B$8,0)-O15-P15),0)</f>
        <v>0</v>
      </c>
      <c r="T15">
        <f>R15*(1+MAX(0,'Prepay vs Invest'!$B$13-'Prepay vs Invest'!$B$14)/1200)+S15</f>
        <v>0</v>
      </c>
      <c r="U15">
        <f t="shared" si="12"/>
        <v>0</v>
      </c>
      <c r="V15">
        <f>MAX(0,(T15-U15-'Prepay vs Invest'!$B$16)*'Prepay vs Invest'!$B$15/100)</f>
        <v>0</v>
      </c>
      <c r="W15">
        <f t="shared" si="4"/>
        <v>0</v>
      </c>
      <c r="X15">
        <f t="shared" si="13"/>
        <v>9128712.2758875564</v>
      </c>
      <c r="Y15">
        <f>IF(X15&gt;0,X15*'Prepay vs Invest'!$B$6/1200,0)</f>
        <v>57054.451724297229</v>
      </c>
      <c r="Z15">
        <f>IF(X15&gt;0,MIN(-PMT('Prepay vs Invest'!$B$6/1200,'Prepay vs Invest'!$B$7*12-A15+1,X15),X15+Y15),0)</f>
        <v>75377.845992135015</v>
      </c>
      <c r="AA15">
        <f>MIN(MAX(0,X15+Y15-Z15),IF(AND(A15&gt;='Prepay vs Invest'!$B$11,A15&lt;='Prepay vs Invest'!$B$12),'Prepay vs Invest'!$B$10,0)+IF(A15='Prepay vs Invest'!$B$9,'Prepay vs Invest'!$B$8,0))</f>
        <v>10000</v>
      </c>
      <c r="AB15">
        <f t="shared" si="5"/>
        <v>9100388.8816197179</v>
      </c>
      <c r="AC15">
        <f t="shared" si="14"/>
        <v>10686.193356710575</v>
      </c>
      <c r="AD15">
        <f>IF(A15&lt;='Prepay vs Invest'!$B$7*12,MAX(0,'Prepay vs Invest'!$E$5+IF(AND(A15&gt;='Prepay vs Invest'!$B$11,A15&lt;='Prepay vs Invest'!$B$12),'Prepay vs Invest'!$B$10,0)+IF(A15='Prepay vs Invest'!$B$9,'Prepay vs Invest'!$B$8,0)-Z15-AA15),0)</f>
        <v>5181.4733630457049</v>
      </c>
      <c r="AE15">
        <f>AC15*(1+MAX(0,'Prepay vs Invest'!$B$13-'Prepay vs Invest'!$B$14)/1200)+AD15</f>
        <v>15970.076072758089</v>
      </c>
      <c r="AF15">
        <f t="shared" si="15"/>
        <v>15640.030630606168</v>
      </c>
      <c r="AG15">
        <f>MAX(0,(AE15-AF15-'Prepay vs Invest'!$B$16)*'Prepay vs Invest'!$B$15/100)</f>
        <v>0</v>
      </c>
      <c r="AH15">
        <f t="shared" si="6"/>
        <v>15970.076072758089</v>
      </c>
    </row>
    <row r="16" spans="1:34" x14ac:dyDescent="0.35">
      <c r="A16">
        <f t="shared" si="7"/>
        <v>15</v>
      </c>
      <c r="B16">
        <f>IF(A16&lt;='Prepay vs Invest'!$B$7*12,F15,0)</f>
        <v>9736637.0410859101</v>
      </c>
      <c r="C16">
        <f>IF(B16&gt;0,B16*'Prepay vs Invest'!$B$6/1200,0)</f>
        <v>60853.981506786942</v>
      </c>
      <c r="D16">
        <f>IF(B16&gt;0,MIN(-PMT('Prepay vs Invest'!$B$6/1200,'Prepay vs Invest'!$B$7*12,'Prepay vs Invest'!$B$5),B16+C16),0)</f>
        <v>80559.31935518072</v>
      </c>
      <c r="E16">
        <f t="shared" si="0"/>
        <v>19705.337848393778</v>
      </c>
      <c r="F16">
        <f t="shared" si="1"/>
        <v>9716931.7032375168</v>
      </c>
      <c r="G16">
        <f t="shared" si="8"/>
        <v>658693.36689359834</v>
      </c>
      <c r="H16">
        <f>IF(A16&lt;='Prepay vs Invest'!$B$7*12,IF(AND(A16&gt;='Prepay vs Invest'!$B$11,A16&lt;='Prepay vs Invest'!$B$12),'Prepay vs Invest'!$B$10,0)+IF(A16='Prepay vs Invest'!$B$9,'Prepay vs Invest'!$B$8,0),0)</f>
        <v>10000</v>
      </c>
      <c r="I16">
        <f>G16*(1+MAX(0,'Prepay vs Invest'!$B$13-'Prepay vs Invest'!$B$14)/1200)+H16</f>
        <v>675005.84499299526</v>
      </c>
      <c r="J16">
        <f t="shared" si="9"/>
        <v>650000</v>
      </c>
      <c r="K16">
        <f>MAX(0,(I16-J16-'Prepay vs Invest'!$B$16)*'Prepay vs Invest'!$B$15/100)</f>
        <v>0</v>
      </c>
      <c r="L16">
        <f t="shared" si="2"/>
        <v>675005.84499299526</v>
      </c>
      <c r="M16">
        <f t="shared" si="10"/>
        <v>9084535.3476517145</v>
      </c>
      <c r="N16">
        <f>IF(M16&gt;0,M16*'Prepay vs Invest'!$B$6/1200,0)</f>
        <v>56778.34592282321</v>
      </c>
      <c r="O16">
        <f>IF(M16&gt;0,MIN('Prepay vs Invest'!$E$5,M16+N16),0)</f>
        <v>80559.31935518072</v>
      </c>
      <c r="P16">
        <f>MIN(MAX(0,M16+N16-O16),IF(AND(A16&gt;='Prepay vs Invest'!$B$11,A16&lt;='Prepay vs Invest'!$B$12),'Prepay vs Invest'!$B$10,0)+IF(A16='Prepay vs Invest'!$B$9,'Prepay vs Invest'!$B$8,0))</f>
        <v>10000</v>
      </c>
      <c r="Q16">
        <f t="shared" si="3"/>
        <v>9050754.374219358</v>
      </c>
      <c r="R16">
        <f t="shared" si="11"/>
        <v>0</v>
      </c>
      <c r="S16">
        <f>IF(A16&lt;='Prepay vs Invest'!$B$7*12,MAX(0,'Prepay vs Invest'!$E$5+IF(AND(A16&gt;='Prepay vs Invest'!$B$11,A16&lt;='Prepay vs Invest'!$B$12),'Prepay vs Invest'!$B$10,0)+IF(A16='Prepay vs Invest'!$B$9,'Prepay vs Invest'!$B$8,0)-O16-P16),0)</f>
        <v>0</v>
      </c>
      <c r="T16">
        <f>R16*(1+MAX(0,'Prepay vs Invest'!$B$13-'Prepay vs Invest'!$B$14)/1200)+S16</f>
        <v>0</v>
      </c>
      <c r="U16">
        <f t="shared" si="12"/>
        <v>0</v>
      </c>
      <c r="V16">
        <f>MAX(0,(T16-U16-'Prepay vs Invest'!$B$16)*'Prepay vs Invest'!$B$15/100)</f>
        <v>0</v>
      </c>
      <c r="W16">
        <f t="shared" si="4"/>
        <v>0</v>
      </c>
      <c r="X16">
        <f t="shared" si="13"/>
        <v>9100388.8816197179</v>
      </c>
      <c r="Y16">
        <f>IF(X16&gt;0,X16*'Prepay vs Invest'!$B$6/1200,0)</f>
        <v>56877.430510123238</v>
      </c>
      <c r="Z16">
        <f>IF(X16&gt;0,MIN(-PMT('Prepay vs Invest'!$B$6/1200,'Prepay vs Invest'!$B$7*12-A16+1,X16),X16+Y16),0)</f>
        <v>75295.107651355487</v>
      </c>
      <c r="AA16">
        <f>MIN(MAX(0,X16+Y16-Z16),IF(AND(A16&gt;='Prepay vs Invest'!$B$11,A16&lt;='Prepay vs Invest'!$B$12),'Prepay vs Invest'!$B$10,0)+IF(A16='Prepay vs Invest'!$B$9,'Prepay vs Invest'!$B$8,0))</f>
        <v>10000</v>
      </c>
      <c r="AB16">
        <f t="shared" si="5"/>
        <v>9071971.2044784855</v>
      </c>
      <c r="AC16">
        <f t="shared" si="14"/>
        <v>15970.076072758089</v>
      </c>
      <c r="AD16">
        <f>IF(A16&lt;='Prepay vs Invest'!$B$7*12,MAX(0,'Prepay vs Invest'!$E$5+IF(AND(A16&gt;='Prepay vs Invest'!$B$11,A16&lt;='Prepay vs Invest'!$B$12),'Prepay vs Invest'!$B$10,0)+IF(A16='Prepay vs Invest'!$B$9,'Prepay vs Invest'!$B$8,0)-Z16-AA16),0)</f>
        <v>5264.2117038252327</v>
      </c>
      <c r="AE16">
        <f>AC16*(1+MAX(0,'Prepay vs Invest'!$B$13-'Prepay vs Invest'!$B$14)/1200)+AD16</f>
        <v>21387.33433894725</v>
      </c>
      <c r="AF16">
        <f t="shared" si="15"/>
        <v>20904.242334431401</v>
      </c>
      <c r="AG16">
        <f>MAX(0,(AE16-AF16-'Prepay vs Invest'!$B$16)*'Prepay vs Invest'!$B$15/100)</f>
        <v>0</v>
      </c>
      <c r="AH16">
        <f t="shared" si="6"/>
        <v>21387.33433894725</v>
      </c>
    </row>
    <row r="17" spans="1:34" x14ac:dyDescent="0.35">
      <c r="A17">
        <f t="shared" si="7"/>
        <v>16</v>
      </c>
      <c r="B17">
        <f>IF(A17&lt;='Prepay vs Invest'!$B$7*12,F16,0)</f>
        <v>9716931.7032375168</v>
      </c>
      <c r="C17">
        <f>IF(B17&gt;0,B17*'Prepay vs Invest'!$B$6/1200,0)</f>
        <v>60730.823145234484</v>
      </c>
      <c r="D17">
        <f>IF(B17&gt;0,MIN(-PMT('Prepay vs Invest'!$B$6/1200,'Prepay vs Invest'!$B$7*12,'Prepay vs Invest'!$B$5),B17+C17),0)</f>
        <v>80559.31935518072</v>
      </c>
      <c r="E17">
        <f t="shared" si="0"/>
        <v>19828.496209946235</v>
      </c>
      <c r="F17">
        <f t="shared" si="1"/>
        <v>9697103.2070275713</v>
      </c>
      <c r="G17">
        <f t="shared" si="8"/>
        <v>675005.84499299526</v>
      </c>
      <c r="H17">
        <f>IF(A17&lt;='Prepay vs Invest'!$B$7*12,IF(AND(A17&gt;='Prepay vs Invest'!$B$11,A17&lt;='Prepay vs Invest'!$B$12),'Prepay vs Invest'!$B$10,0)+IF(A17='Prepay vs Invest'!$B$9,'Prepay vs Invest'!$B$8,0),0)</f>
        <v>10000</v>
      </c>
      <c r="I17">
        <f>G17*(1+MAX(0,'Prepay vs Invest'!$B$13-'Prepay vs Invest'!$B$14)/1200)+H17</f>
        <v>691474.65100751142</v>
      </c>
      <c r="J17">
        <f t="shared" si="9"/>
        <v>660000</v>
      </c>
      <c r="K17">
        <f>MAX(0,(I17-J17-'Prepay vs Invest'!$B$16)*'Prepay vs Invest'!$B$15/100)</f>
        <v>0</v>
      </c>
      <c r="L17">
        <f t="shared" si="2"/>
        <v>691474.65100751142</v>
      </c>
      <c r="M17">
        <f t="shared" si="10"/>
        <v>9050754.374219358</v>
      </c>
      <c r="N17">
        <f>IF(M17&gt;0,M17*'Prepay vs Invest'!$B$6/1200,0)</f>
        <v>56567.21483887099</v>
      </c>
      <c r="O17">
        <f>IF(M17&gt;0,MIN('Prepay vs Invest'!$E$5,M17+N17),0)</f>
        <v>80559.31935518072</v>
      </c>
      <c r="P17">
        <f>MIN(MAX(0,M17+N17-O17),IF(AND(A17&gt;='Prepay vs Invest'!$B$11,A17&lt;='Prepay vs Invest'!$B$12),'Prepay vs Invest'!$B$10,0)+IF(A17='Prepay vs Invest'!$B$9,'Prepay vs Invest'!$B$8,0))</f>
        <v>10000</v>
      </c>
      <c r="Q17">
        <f t="shared" si="3"/>
        <v>9016762.2697030492</v>
      </c>
      <c r="R17">
        <f t="shared" si="11"/>
        <v>0</v>
      </c>
      <c r="S17">
        <f>IF(A17&lt;='Prepay vs Invest'!$B$7*12,MAX(0,'Prepay vs Invest'!$E$5+IF(AND(A17&gt;='Prepay vs Invest'!$B$11,A17&lt;='Prepay vs Invest'!$B$12),'Prepay vs Invest'!$B$10,0)+IF(A17='Prepay vs Invest'!$B$9,'Prepay vs Invest'!$B$8,0)-O17-P17),0)</f>
        <v>0</v>
      </c>
      <c r="T17">
        <f>R17*(1+MAX(0,'Prepay vs Invest'!$B$13-'Prepay vs Invest'!$B$14)/1200)+S17</f>
        <v>0</v>
      </c>
      <c r="U17">
        <f t="shared" si="12"/>
        <v>0</v>
      </c>
      <c r="V17">
        <f>MAX(0,(T17-U17-'Prepay vs Invest'!$B$16)*'Prepay vs Invest'!$B$15/100)</f>
        <v>0</v>
      </c>
      <c r="W17">
        <f t="shared" si="4"/>
        <v>0</v>
      </c>
      <c r="X17">
        <f t="shared" si="13"/>
        <v>9071971.2044784855</v>
      </c>
      <c r="Y17">
        <f>IF(X17&gt;0,X17*'Prepay vs Invest'!$B$6/1200,0)</f>
        <v>56699.820027990543</v>
      </c>
      <c r="Z17">
        <f>IF(X17&gt;0,MIN(-PMT('Prepay vs Invest'!$B$6/1200,'Prepay vs Invest'!$B$7*12-A17+1,X17),X17+Y17),0)</f>
        <v>75212.201522326781</v>
      </c>
      <c r="AA17">
        <f>MIN(MAX(0,X17+Y17-Z17),IF(AND(A17&gt;='Prepay vs Invest'!$B$11,A17&lt;='Prepay vs Invest'!$B$12),'Prepay vs Invest'!$B$10,0)+IF(A17='Prepay vs Invest'!$B$9,'Prepay vs Invest'!$B$8,0))</f>
        <v>10000</v>
      </c>
      <c r="AB17">
        <f t="shared" si="5"/>
        <v>9043458.8229841497</v>
      </c>
      <c r="AC17">
        <f t="shared" si="14"/>
        <v>21387.33433894725</v>
      </c>
      <c r="AD17">
        <f>IF(A17&lt;='Prepay vs Invest'!$B$7*12,MAX(0,'Prepay vs Invest'!$E$5+IF(AND(A17&gt;='Prepay vs Invest'!$B$11,A17&lt;='Prepay vs Invest'!$B$12),'Prepay vs Invest'!$B$10,0)+IF(A17='Prepay vs Invest'!$B$9,'Prepay vs Invest'!$B$8,0)-Z17-AA17),0)</f>
        <v>5347.117832853939</v>
      </c>
      <c r="AE17">
        <f>AC17*(1+MAX(0,'Prepay vs Invest'!$B$13-'Prepay vs Invest'!$B$14)/1200)+AD17</f>
        <v>26939.414125882766</v>
      </c>
      <c r="AF17">
        <f t="shared" si="15"/>
        <v>26251.36016728534</v>
      </c>
      <c r="AG17">
        <f>MAX(0,(AE17-AF17-'Prepay vs Invest'!$B$16)*'Prepay vs Invest'!$B$15/100)</f>
        <v>0</v>
      </c>
      <c r="AH17">
        <f t="shared" si="6"/>
        <v>26939.414125882766</v>
      </c>
    </row>
    <row r="18" spans="1:34" x14ac:dyDescent="0.35">
      <c r="A18">
        <f t="shared" si="7"/>
        <v>17</v>
      </c>
      <c r="B18">
        <f>IF(A18&lt;='Prepay vs Invest'!$B$7*12,F17,0)</f>
        <v>9697103.2070275713</v>
      </c>
      <c r="C18">
        <f>IF(B18&gt;0,B18*'Prepay vs Invest'!$B$6/1200,0)</f>
        <v>60606.895043922312</v>
      </c>
      <c r="D18">
        <f>IF(B18&gt;0,MIN(-PMT('Prepay vs Invest'!$B$6/1200,'Prepay vs Invest'!$B$7*12,'Prepay vs Invest'!$B$5),B18+C18),0)</f>
        <v>80559.31935518072</v>
      </c>
      <c r="E18">
        <f t="shared" si="0"/>
        <v>19952.424311258408</v>
      </c>
      <c r="F18">
        <f t="shared" si="1"/>
        <v>9677150.7827163134</v>
      </c>
      <c r="G18">
        <f t="shared" si="8"/>
        <v>691474.65100751142</v>
      </c>
      <c r="H18">
        <f>IF(A18&lt;='Prepay vs Invest'!$B$7*12,IF(AND(A18&gt;='Prepay vs Invest'!$B$11,A18&lt;='Prepay vs Invest'!$B$12),'Prepay vs Invest'!$B$10,0)+IF(A18='Prepay vs Invest'!$B$9,'Prepay vs Invest'!$B$8,0),0)</f>
        <v>10000</v>
      </c>
      <c r="I18">
        <f>G18*(1+MAX(0,'Prepay vs Invest'!$B$13-'Prepay vs Invest'!$B$14)/1200)+H18</f>
        <v>708101.28307966667</v>
      </c>
      <c r="J18">
        <f t="shared" si="9"/>
        <v>670000</v>
      </c>
      <c r="K18">
        <f>MAX(0,(I18-J18-'Prepay vs Invest'!$B$16)*'Prepay vs Invest'!$B$15/100)</f>
        <v>0</v>
      </c>
      <c r="L18">
        <f t="shared" si="2"/>
        <v>708101.28307966667</v>
      </c>
      <c r="M18">
        <f t="shared" si="10"/>
        <v>9016762.2697030492</v>
      </c>
      <c r="N18">
        <f>IF(M18&gt;0,M18*'Prepay vs Invest'!$B$6/1200,0)</f>
        <v>56354.764185644053</v>
      </c>
      <c r="O18">
        <f>IF(M18&gt;0,MIN('Prepay vs Invest'!$E$5,M18+N18),0)</f>
        <v>80559.31935518072</v>
      </c>
      <c r="P18">
        <f>MIN(MAX(0,M18+N18-O18),IF(AND(A18&gt;='Prepay vs Invest'!$B$11,A18&lt;='Prepay vs Invest'!$B$12),'Prepay vs Invest'!$B$10,0)+IF(A18='Prepay vs Invest'!$B$9,'Prepay vs Invest'!$B$8,0))</f>
        <v>10000</v>
      </c>
      <c r="Q18">
        <f t="shared" si="3"/>
        <v>8982557.7145335134</v>
      </c>
      <c r="R18">
        <f t="shared" si="11"/>
        <v>0</v>
      </c>
      <c r="S18">
        <f>IF(A18&lt;='Prepay vs Invest'!$B$7*12,MAX(0,'Prepay vs Invest'!$E$5+IF(AND(A18&gt;='Prepay vs Invest'!$B$11,A18&lt;='Prepay vs Invest'!$B$12),'Prepay vs Invest'!$B$10,0)+IF(A18='Prepay vs Invest'!$B$9,'Prepay vs Invest'!$B$8,0)-O18-P18),0)</f>
        <v>0</v>
      </c>
      <c r="T18">
        <f>R18*(1+MAX(0,'Prepay vs Invest'!$B$13-'Prepay vs Invest'!$B$14)/1200)+S18</f>
        <v>0</v>
      </c>
      <c r="U18">
        <f t="shared" si="12"/>
        <v>0</v>
      </c>
      <c r="V18">
        <f>MAX(0,(T18-U18-'Prepay vs Invest'!$B$16)*'Prepay vs Invest'!$B$15/100)</f>
        <v>0</v>
      </c>
      <c r="W18">
        <f t="shared" si="4"/>
        <v>0</v>
      </c>
      <c r="X18">
        <f t="shared" si="13"/>
        <v>9043458.8229841497</v>
      </c>
      <c r="Y18">
        <f>IF(X18&gt;0,X18*'Prepay vs Invest'!$B$6/1200,0)</f>
        <v>56521.617643650934</v>
      </c>
      <c r="Z18">
        <f>IF(X18&gt;0,MIN(-PMT('Prepay vs Invest'!$B$6/1200,'Prepay vs Invest'!$B$7*12-A18+1,X18),X18+Y18),0)</f>
        <v>75129.125868046031</v>
      </c>
      <c r="AA18">
        <f>MIN(MAX(0,X18+Y18-Z18),IF(AND(A18&gt;='Prepay vs Invest'!$B$11,A18&lt;='Prepay vs Invest'!$B$12),'Prepay vs Invest'!$B$10,0)+IF(A18='Prepay vs Invest'!$B$9,'Prepay vs Invest'!$B$8,0))</f>
        <v>10000</v>
      </c>
      <c r="AB18">
        <f t="shared" si="5"/>
        <v>9014851.3147597536</v>
      </c>
      <c r="AC18">
        <f t="shared" si="14"/>
        <v>26939.414125882766</v>
      </c>
      <c r="AD18">
        <f>IF(A18&lt;='Prepay vs Invest'!$B$7*12,MAX(0,'Prepay vs Invest'!$E$5+IF(AND(A18&gt;='Prepay vs Invest'!$B$11,A18&lt;='Prepay vs Invest'!$B$12),'Prepay vs Invest'!$B$10,0)+IF(A18='Prepay vs Invest'!$B$9,'Prepay vs Invest'!$B$8,0)-Z18-AA18),0)</f>
        <v>5430.1934871346893</v>
      </c>
      <c r="AE18">
        <f>AC18*(1+MAX(0,'Prepay vs Invest'!$B$13-'Prepay vs Invest'!$B$14)/1200)+AD18</f>
        <v>32627.776998390498</v>
      </c>
      <c r="AF18">
        <f t="shared" si="15"/>
        <v>31681.553654420029</v>
      </c>
      <c r="AG18">
        <f>MAX(0,(AE18-AF18-'Prepay vs Invest'!$B$16)*'Prepay vs Invest'!$B$15/100)</f>
        <v>0</v>
      </c>
      <c r="AH18">
        <f t="shared" si="6"/>
        <v>32627.776998390498</v>
      </c>
    </row>
    <row r="19" spans="1:34" x14ac:dyDescent="0.35">
      <c r="A19">
        <f t="shared" si="7"/>
        <v>18</v>
      </c>
      <c r="B19">
        <f>IF(A19&lt;='Prepay vs Invest'!$B$7*12,F18,0)</f>
        <v>9677150.7827163134</v>
      </c>
      <c r="C19">
        <f>IF(B19&gt;0,B19*'Prepay vs Invest'!$B$6/1200,0)</f>
        <v>60482.192391976962</v>
      </c>
      <c r="D19">
        <f>IF(B19&gt;0,MIN(-PMT('Prepay vs Invest'!$B$6/1200,'Prepay vs Invest'!$B$7*12,'Prepay vs Invest'!$B$5),B19+C19),0)</f>
        <v>80559.31935518072</v>
      </c>
      <c r="E19">
        <f t="shared" si="0"/>
        <v>20077.126963203758</v>
      </c>
      <c r="F19">
        <f t="shared" si="1"/>
        <v>9657073.6557531096</v>
      </c>
      <c r="G19">
        <f t="shared" si="8"/>
        <v>708101.28307966667</v>
      </c>
      <c r="H19">
        <f>IF(A19&lt;='Prepay vs Invest'!$B$7*12,IF(AND(A19&gt;='Prepay vs Invest'!$B$11,A19&lt;='Prepay vs Invest'!$B$12),'Prepay vs Invest'!$B$10,0)+IF(A19='Prepay vs Invest'!$B$9,'Prepay vs Invest'!$B$8,0),0)</f>
        <v>10000</v>
      </c>
      <c r="I19">
        <f>G19*(1+MAX(0,'Prepay vs Invest'!$B$13-'Prepay vs Invest'!$B$14)/1200)+H19</f>
        <v>724887.25370918005</v>
      </c>
      <c r="J19">
        <f t="shared" si="9"/>
        <v>680000</v>
      </c>
      <c r="K19">
        <f>MAX(0,(I19-J19-'Prepay vs Invest'!$B$16)*'Prepay vs Invest'!$B$15/100)</f>
        <v>0</v>
      </c>
      <c r="L19">
        <f t="shared" si="2"/>
        <v>724887.25370918005</v>
      </c>
      <c r="M19">
        <f t="shared" si="10"/>
        <v>8982557.7145335134</v>
      </c>
      <c r="N19">
        <f>IF(M19&gt;0,M19*'Prepay vs Invest'!$B$6/1200,0)</f>
        <v>56140.98571583446</v>
      </c>
      <c r="O19">
        <f>IF(M19&gt;0,MIN('Prepay vs Invest'!$E$5,M19+N19),0)</f>
        <v>80559.31935518072</v>
      </c>
      <c r="P19">
        <f>MIN(MAX(0,M19+N19-O19),IF(AND(A19&gt;='Prepay vs Invest'!$B$11,A19&lt;='Prepay vs Invest'!$B$12),'Prepay vs Invest'!$B$10,0)+IF(A19='Prepay vs Invest'!$B$9,'Prepay vs Invest'!$B$8,0))</f>
        <v>10000</v>
      </c>
      <c r="Q19">
        <f t="shared" si="3"/>
        <v>8948139.3808941673</v>
      </c>
      <c r="R19">
        <f t="shared" si="11"/>
        <v>0</v>
      </c>
      <c r="S19">
        <f>IF(A19&lt;='Prepay vs Invest'!$B$7*12,MAX(0,'Prepay vs Invest'!$E$5+IF(AND(A19&gt;='Prepay vs Invest'!$B$11,A19&lt;='Prepay vs Invest'!$B$12),'Prepay vs Invest'!$B$10,0)+IF(A19='Prepay vs Invest'!$B$9,'Prepay vs Invest'!$B$8,0)-O19-P19),0)</f>
        <v>0</v>
      </c>
      <c r="T19">
        <f>R19*(1+MAX(0,'Prepay vs Invest'!$B$13-'Prepay vs Invest'!$B$14)/1200)+S19</f>
        <v>0</v>
      </c>
      <c r="U19">
        <f t="shared" si="12"/>
        <v>0</v>
      </c>
      <c r="V19">
        <f>MAX(0,(T19-U19-'Prepay vs Invest'!$B$16)*'Prepay vs Invest'!$B$15/100)</f>
        <v>0</v>
      </c>
      <c r="W19">
        <f t="shared" si="4"/>
        <v>0</v>
      </c>
      <c r="X19">
        <f t="shared" si="13"/>
        <v>9014851.3147597536</v>
      </c>
      <c r="Y19">
        <f>IF(X19&gt;0,X19*'Prepay vs Invest'!$B$6/1200,0)</f>
        <v>56342.820717248454</v>
      </c>
      <c r="Z19">
        <f>IF(X19&gt;0,MIN(-PMT('Prepay vs Invest'!$B$6/1200,'Prepay vs Invest'!$B$7*12-A19+1,X19),X19+Y19),0)</f>
        <v>75045.878927738915</v>
      </c>
      <c r="AA19">
        <f>MIN(MAX(0,X19+Y19-Z19),IF(AND(A19&gt;='Prepay vs Invest'!$B$11,A19&lt;='Prepay vs Invest'!$B$12),'Prepay vs Invest'!$B$10,0)+IF(A19='Prepay vs Invest'!$B$9,'Prepay vs Invest'!$B$8,0))</f>
        <v>10000</v>
      </c>
      <c r="AB19">
        <f t="shared" si="5"/>
        <v>8986148.2565492634</v>
      </c>
      <c r="AC19">
        <f t="shared" si="14"/>
        <v>32627.776998390498</v>
      </c>
      <c r="AD19">
        <f>IF(A19&lt;='Prepay vs Invest'!$B$7*12,MAX(0,'Prepay vs Invest'!$E$5+IF(AND(A19&gt;='Prepay vs Invest'!$B$11,A19&lt;='Prepay vs Invest'!$B$12),'Prepay vs Invest'!$B$10,0)+IF(A19='Prepay vs Invest'!$B$9,'Prepay vs Invest'!$B$8,0)-Z19-AA19),0)</f>
        <v>5513.4404274418048</v>
      </c>
      <c r="AE19">
        <f>AC19*(1+MAX(0,'Prepay vs Invest'!$B$13-'Prepay vs Invest'!$B$14)/1200)+AD19</f>
        <v>38453.900288733545</v>
      </c>
      <c r="AF19">
        <f t="shared" si="15"/>
        <v>37194.994081861834</v>
      </c>
      <c r="AG19">
        <f>MAX(0,(AE19-AF19-'Prepay vs Invest'!$B$16)*'Prepay vs Invest'!$B$15/100)</f>
        <v>0</v>
      </c>
      <c r="AH19">
        <f t="shared" si="6"/>
        <v>38453.900288733545</v>
      </c>
    </row>
    <row r="20" spans="1:34" x14ac:dyDescent="0.35">
      <c r="A20">
        <f t="shared" si="7"/>
        <v>19</v>
      </c>
      <c r="B20">
        <f>IF(A20&lt;='Prepay vs Invest'!$B$7*12,F19,0)</f>
        <v>9657073.6557531096</v>
      </c>
      <c r="C20">
        <f>IF(B20&gt;0,B20*'Prepay vs Invest'!$B$6/1200,0)</f>
        <v>60356.710348456938</v>
      </c>
      <c r="D20">
        <f>IF(B20&gt;0,MIN(-PMT('Prepay vs Invest'!$B$6/1200,'Prepay vs Invest'!$B$7*12,'Prepay vs Invest'!$B$5),B20+C20),0)</f>
        <v>80559.31935518072</v>
      </c>
      <c r="E20">
        <f t="shared" si="0"/>
        <v>20202.609006723782</v>
      </c>
      <c r="F20">
        <f t="shared" si="1"/>
        <v>9636871.0467463862</v>
      </c>
      <c r="G20">
        <f t="shared" si="8"/>
        <v>724887.25370918005</v>
      </c>
      <c r="H20">
        <f>IF(A20&lt;='Prepay vs Invest'!$B$7*12,IF(AND(A20&gt;='Prepay vs Invest'!$B$11,A20&lt;='Prepay vs Invest'!$B$12),'Prepay vs Invest'!$B$10,0)+IF(A20='Prepay vs Invest'!$B$9,'Prepay vs Invest'!$B$8,0),0)</f>
        <v>10000</v>
      </c>
      <c r="I20">
        <f>G20*(1+MAX(0,'Prepay vs Invest'!$B$13-'Prepay vs Invest'!$B$14)/1200)+H20</f>
        <v>741834.08989055967</v>
      </c>
      <c r="J20">
        <f t="shared" si="9"/>
        <v>690000</v>
      </c>
      <c r="K20">
        <f>MAX(0,(I20-J20-'Prepay vs Invest'!$B$16)*'Prepay vs Invest'!$B$15/100)</f>
        <v>0</v>
      </c>
      <c r="L20">
        <f t="shared" si="2"/>
        <v>741834.08989055967</v>
      </c>
      <c r="M20">
        <f t="shared" si="10"/>
        <v>8948139.3808941673</v>
      </c>
      <c r="N20">
        <f>IF(M20&gt;0,M20*'Prepay vs Invest'!$B$6/1200,0)</f>
        <v>55925.871130588552</v>
      </c>
      <c r="O20">
        <f>IF(M20&gt;0,MIN('Prepay vs Invest'!$E$5,M20+N20),0)</f>
        <v>80559.31935518072</v>
      </c>
      <c r="P20">
        <f>MIN(MAX(0,M20+N20-O20),IF(AND(A20&gt;='Prepay vs Invest'!$B$11,A20&lt;='Prepay vs Invest'!$B$12),'Prepay vs Invest'!$B$10,0)+IF(A20='Prepay vs Invest'!$B$9,'Prepay vs Invest'!$B$8,0))</f>
        <v>10000</v>
      </c>
      <c r="Q20">
        <f t="shared" si="3"/>
        <v>8913505.9326695763</v>
      </c>
      <c r="R20">
        <f t="shared" si="11"/>
        <v>0</v>
      </c>
      <c r="S20">
        <f>IF(A20&lt;='Prepay vs Invest'!$B$7*12,MAX(0,'Prepay vs Invest'!$E$5+IF(AND(A20&gt;='Prepay vs Invest'!$B$11,A20&lt;='Prepay vs Invest'!$B$12),'Prepay vs Invest'!$B$10,0)+IF(A20='Prepay vs Invest'!$B$9,'Prepay vs Invest'!$B$8,0)-O20-P20),0)</f>
        <v>0</v>
      </c>
      <c r="T20">
        <f>R20*(1+MAX(0,'Prepay vs Invest'!$B$13-'Prepay vs Invest'!$B$14)/1200)+S20</f>
        <v>0</v>
      </c>
      <c r="U20">
        <f t="shared" si="12"/>
        <v>0</v>
      </c>
      <c r="V20">
        <f>MAX(0,(T20-U20-'Prepay vs Invest'!$B$16)*'Prepay vs Invest'!$B$15/100)</f>
        <v>0</v>
      </c>
      <c r="W20">
        <f t="shared" si="4"/>
        <v>0</v>
      </c>
      <c r="X20">
        <f t="shared" si="13"/>
        <v>8986148.2565492634</v>
      </c>
      <c r="Y20">
        <f>IF(X20&gt;0,X20*'Prepay vs Invest'!$B$6/1200,0)</f>
        <v>56163.42660343289</v>
      </c>
      <c r="Z20">
        <f>IF(X20&gt;0,MIN(-PMT('Prepay vs Invest'!$B$6/1200,'Prepay vs Invest'!$B$7*12-A20+1,X20),X20+Y20),0)</f>
        <v>74962.458916432268</v>
      </c>
      <c r="AA20">
        <f>MIN(MAX(0,X20+Y20-Z20),IF(AND(A20&gt;='Prepay vs Invest'!$B$11,A20&lt;='Prepay vs Invest'!$B$12),'Prepay vs Invest'!$B$10,0)+IF(A20='Prepay vs Invest'!$B$9,'Prepay vs Invest'!$B$8,0))</f>
        <v>10000</v>
      </c>
      <c r="AB20">
        <f t="shared" si="5"/>
        <v>8957349.224236263</v>
      </c>
      <c r="AC20">
        <f t="shared" si="14"/>
        <v>38453.900288733545</v>
      </c>
      <c r="AD20">
        <f>IF(A20&lt;='Prepay vs Invest'!$B$7*12,MAX(0,'Prepay vs Invest'!$E$5+IF(AND(A20&gt;='Prepay vs Invest'!$B$11,A20&lt;='Prepay vs Invest'!$B$12),'Prepay vs Invest'!$B$10,0)+IF(A20='Prepay vs Invest'!$B$9,'Prepay vs Invest'!$B$8,0)-Z20-AA20),0)</f>
        <v>5596.860438748452</v>
      </c>
      <c r="AE20">
        <f>AC20*(1+MAX(0,'Prepay vs Invest'!$B$13-'Prepay vs Invest'!$B$14)/1200)+AD20</f>
        <v>44419.277271915693</v>
      </c>
      <c r="AF20">
        <f t="shared" si="15"/>
        <v>42791.854520610286</v>
      </c>
      <c r="AG20">
        <f>MAX(0,(AE20-AF20-'Prepay vs Invest'!$B$16)*'Prepay vs Invest'!$B$15/100)</f>
        <v>0</v>
      </c>
      <c r="AH20">
        <f t="shared" si="6"/>
        <v>44419.277271915693</v>
      </c>
    </row>
    <row r="21" spans="1:34" x14ac:dyDescent="0.35">
      <c r="A21">
        <f t="shared" si="7"/>
        <v>20</v>
      </c>
      <c r="B21">
        <f>IF(A21&lt;='Prepay vs Invest'!$B$7*12,F20,0)</f>
        <v>9636871.0467463862</v>
      </c>
      <c r="C21">
        <f>IF(B21&gt;0,B21*'Prepay vs Invest'!$B$6/1200,0)</f>
        <v>60230.44404216492</v>
      </c>
      <c r="D21">
        <f>IF(B21&gt;0,MIN(-PMT('Prepay vs Invest'!$B$6/1200,'Prepay vs Invest'!$B$7*12,'Prepay vs Invest'!$B$5),B21+C21),0)</f>
        <v>80559.31935518072</v>
      </c>
      <c r="E21">
        <f t="shared" si="0"/>
        <v>20328.8753130158</v>
      </c>
      <c r="F21">
        <f t="shared" si="1"/>
        <v>9616542.1714333706</v>
      </c>
      <c r="G21">
        <f t="shared" si="8"/>
        <v>741834.08989055967</v>
      </c>
      <c r="H21">
        <f>IF(A21&lt;='Prepay vs Invest'!$B$7*12,IF(AND(A21&gt;='Prepay vs Invest'!$B$11,A21&lt;='Prepay vs Invest'!$B$12),'Prepay vs Invest'!$B$10,0)+IF(A21='Prepay vs Invest'!$B$9,'Prepay vs Invest'!$B$8,0),0)</f>
        <v>10000</v>
      </c>
      <c r="I21">
        <f>G21*(1+MAX(0,'Prepay vs Invest'!$B$13-'Prepay vs Invest'!$B$14)/1200)+H21</f>
        <v>758943.33325201087</v>
      </c>
      <c r="J21">
        <f t="shared" si="9"/>
        <v>700000</v>
      </c>
      <c r="K21">
        <f>MAX(0,(I21-J21-'Prepay vs Invest'!$B$16)*'Prepay vs Invest'!$B$15/100)</f>
        <v>0</v>
      </c>
      <c r="L21">
        <f t="shared" si="2"/>
        <v>758943.33325201087</v>
      </c>
      <c r="M21">
        <f t="shared" si="10"/>
        <v>8913505.9326695763</v>
      </c>
      <c r="N21">
        <f>IF(M21&gt;0,M21*'Prepay vs Invest'!$B$6/1200,0)</f>
        <v>55709.412079184847</v>
      </c>
      <c r="O21">
        <f>IF(M21&gt;0,MIN('Prepay vs Invest'!$E$5,M21+N21),0)</f>
        <v>80559.31935518072</v>
      </c>
      <c r="P21">
        <f>MIN(MAX(0,M21+N21-O21),IF(AND(A21&gt;='Prepay vs Invest'!$B$11,A21&lt;='Prepay vs Invest'!$B$12),'Prepay vs Invest'!$B$10,0)+IF(A21='Prepay vs Invest'!$B$9,'Prepay vs Invest'!$B$8,0))</f>
        <v>10000</v>
      </c>
      <c r="Q21">
        <f t="shared" si="3"/>
        <v>8878656.025393581</v>
      </c>
      <c r="R21">
        <f t="shared" si="11"/>
        <v>0</v>
      </c>
      <c r="S21">
        <f>IF(A21&lt;='Prepay vs Invest'!$B$7*12,MAX(0,'Prepay vs Invest'!$E$5+IF(AND(A21&gt;='Prepay vs Invest'!$B$11,A21&lt;='Prepay vs Invest'!$B$12),'Prepay vs Invest'!$B$10,0)+IF(A21='Prepay vs Invest'!$B$9,'Prepay vs Invest'!$B$8,0)-O21-P21),0)</f>
        <v>0</v>
      </c>
      <c r="T21">
        <f>R21*(1+MAX(0,'Prepay vs Invest'!$B$13-'Prepay vs Invest'!$B$14)/1200)+S21</f>
        <v>0</v>
      </c>
      <c r="U21">
        <f t="shared" si="12"/>
        <v>0</v>
      </c>
      <c r="V21">
        <f>MAX(0,(T21-U21-'Prepay vs Invest'!$B$16)*'Prepay vs Invest'!$B$15/100)</f>
        <v>0</v>
      </c>
      <c r="W21">
        <f t="shared" si="4"/>
        <v>0</v>
      </c>
      <c r="X21">
        <f t="shared" si="13"/>
        <v>8957349.224236263</v>
      </c>
      <c r="Y21">
        <f>IF(X21&gt;0,X21*'Prepay vs Invest'!$B$6/1200,0)</f>
        <v>55983.432651476651</v>
      </c>
      <c r="Z21">
        <f>IF(X21&gt;0,MIN(-PMT('Prepay vs Invest'!$B$6/1200,'Prepay vs Invest'!$B$7*12-A21+1,X21),X21+Y21),0)</f>
        <v>74878.864024517243</v>
      </c>
      <c r="AA21">
        <f>MIN(MAX(0,X21+Y21-Z21),IF(AND(A21&gt;='Prepay vs Invest'!$B$11,A21&lt;='Prepay vs Invest'!$B$12),'Prepay vs Invest'!$B$10,0)+IF(A21='Prepay vs Invest'!$B$9,'Prepay vs Invest'!$B$8,0))</f>
        <v>10000</v>
      </c>
      <c r="AB21">
        <f t="shared" si="5"/>
        <v>8928453.7928632218</v>
      </c>
      <c r="AC21">
        <f t="shared" si="14"/>
        <v>44419.277271915693</v>
      </c>
      <c r="AD21">
        <f>IF(A21&lt;='Prepay vs Invest'!$B$7*12,MAX(0,'Prepay vs Invest'!$E$5+IF(AND(A21&gt;='Prepay vs Invest'!$B$11,A21&lt;='Prepay vs Invest'!$B$12),'Prepay vs Invest'!$B$10,0)+IF(A21='Prepay vs Invest'!$B$9,'Prepay vs Invest'!$B$8,0)-Z21-AA21),0)</f>
        <v>5680.4553306634771</v>
      </c>
      <c r="AE21">
        <f>AC21*(1+MAX(0,'Prepay vs Invest'!$B$13-'Prepay vs Invest'!$B$14)/1200)+AD21</f>
        <v>50525.41734310169</v>
      </c>
      <c r="AF21">
        <f t="shared" si="15"/>
        <v>48472.309851273763</v>
      </c>
      <c r="AG21">
        <f>MAX(0,(AE21-AF21-'Prepay vs Invest'!$B$16)*'Prepay vs Invest'!$B$15/100)</f>
        <v>0</v>
      </c>
      <c r="AH21">
        <f t="shared" si="6"/>
        <v>50525.41734310169</v>
      </c>
    </row>
    <row r="22" spans="1:34" x14ac:dyDescent="0.35">
      <c r="A22">
        <f t="shared" si="7"/>
        <v>21</v>
      </c>
      <c r="B22">
        <f>IF(A22&lt;='Prepay vs Invest'!$B$7*12,F21,0)</f>
        <v>9616542.1714333706</v>
      </c>
      <c r="C22">
        <f>IF(B22&gt;0,B22*'Prepay vs Invest'!$B$6/1200,0)</f>
        <v>60103.38857145857</v>
      </c>
      <c r="D22">
        <f>IF(B22&gt;0,MIN(-PMT('Prepay vs Invest'!$B$6/1200,'Prepay vs Invest'!$B$7*12,'Prepay vs Invest'!$B$5),B22+C22),0)</f>
        <v>80559.31935518072</v>
      </c>
      <c r="E22">
        <f t="shared" si="0"/>
        <v>20455.930783722149</v>
      </c>
      <c r="F22">
        <f t="shared" si="1"/>
        <v>9596086.240649648</v>
      </c>
      <c r="G22">
        <f t="shared" si="8"/>
        <v>758943.33325201087</v>
      </c>
      <c r="H22">
        <f>IF(A22&lt;='Prepay vs Invest'!$B$7*12,IF(AND(A22&gt;='Prepay vs Invest'!$B$11,A22&lt;='Prepay vs Invest'!$B$12),'Prepay vs Invest'!$B$10,0)+IF(A22='Prepay vs Invest'!$B$9,'Prepay vs Invest'!$B$8,0),0)</f>
        <v>10000</v>
      </c>
      <c r="I22">
        <f>G22*(1+MAX(0,'Prepay vs Invest'!$B$13-'Prepay vs Invest'!$B$14)/1200)+H22</f>
        <v>776216.54019567592</v>
      </c>
      <c r="J22">
        <f t="shared" si="9"/>
        <v>710000</v>
      </c>
      <c r="K22">
        <f>MAX(0,(I22-J22-'Prepay vs Invest'!$B$16)*'Prepay vs Invest'!$B$15/100)</f>
        <v>0</v>
      </c>
      <c r="L22">
        <f t="shared" si="2"/>
        <v>776216.54019567592</v>
      </c>
      <c r="M22">
        <f t="shared" si="10"/>
        <v>8878656.025393581</v>
      </c>
      <c r="N22">
        <f>IF(M22&gt;0,M22*'Prepay vs Invest'!$B$6/1200,0)</f>
        <v>55491.600158709887</v>
      </c>
      <c r="O22">
        <f>IF(M22&gt;0,MIN('Prepay vs Invest'!$E$5,M22+N22),0)</f>
        <v>80559.31935518072</v>
      </c>
      <c r="P22">
        <f>MIN(MAX(0,M22+N22-O22),IF(AND(A22&gt;='Prepay vs Invest'!$B$11,A22&lt;='Prepay vs Invest'!$B$12),'Prepay vs Invest'!$B$10,0)+IF(A22='Prepay vs Invest'!$B$9,'Prepay vs Invest'!$B$8,0))</f>
        <v>10000</v>
      </c>
      <c r="Q22">
        <f t="shared" si="3"/>
        <v>8843588.3061971106</v>
      </c>
      <c r="R22">
        <f t="shared" si="11"/>
        <v>0</v>
      </c>
      <c r="S22">
        <f>IF(A22&lt;='Prepay vs Invest'!$B$7*12,MAX(0,'Prepay vs Invest'!$E$5+IF(AND(A22&gt;='Prepay vs Invest'!$B$11,A22&lt;='Prepay vs Invest'!$B$12),'Prepay vs Invest'!$B$10,0)+IF(A22='Prepay vs Invest'!$B$9,'Prepay vs Invest'!$B$8,0)-O22-P22),0)</f>
        <v>0</v>
      </c>
      <c r="T22">
        <f>R22*(1+MAX(0,'Prepay vs Invest'!$B$13-'Prepay vs Invest'!$B$14)/1200)+S22</f>
        <v>0</v>
      </c>
      <c r="U22">
        <f t="shared" si="12"/>
        <v>0</v>
      </c>
      <c r="V22">
        <f>MAX(0,(T22-U22-'Prepay vs Invest'!$B$16)*'Prepay vs Invest'!$B$15/100)</f>
        <v>0</v>
      </c>
      <c r="W22">
        <f t="shared" si="4"/>
        <v>0</v>
      </c>
      <c r="X22">
        <f t="shared" si="13"/>
        <v>8928453.7928632218</v>
      </c>
      <c r="Y22">
        <f>IF(X22&gt;0,X22*'Prepay vs Invest'!$B$6/1200,0)</f>
        <v>55802.836205395135</v>
      </c>
      <c r="Z22">
        <f>IF(X22&gt;0,MIN(-PMT('Prepay vs Invest'!$B$6/1200,'Prepay vs Invest'!$B$7*12-A22+1,X22),X22+Y22),0)</f>
        <v>74795.092417302236</v>
      </c>
      <c r="AA22">
        <f>MIN(MAX(0,X22+Y22-Z22),IF(AND(A22&gt;='Prepay vs Invest'!$B$11,A22&lt;='Prepay vs Invest'!$B$12),'Prepay vs Invest'!$B$10,0)+IF(A22='Prepay vs Invest'!$B$9,'Prepay vs Invest'!$B$8,0))</f>
        <v>10000</v>
      </c>
      <c r="AB22">
        <f t="shared" si="5"/>
        <v>8899461.5366513152</v>
      </c>
      <c r="AC22">
        <f t="shared" si="14"/>
        <v>50525.41734310169</v>
      </c>
      <c r="AD22">
        <f>IF(A22&lt;='Prepay vs Invest'!$B$7*12,MAX(0,'Prepay vs Invest'!$E$5+IF(AND(A22&gt;='Prepay vs Invest'!$B$11,A22&lt;='Prepay vs Invest'!$B$12),'Prepay vs Invest'!$B$10,0)+IF(A22='Prepay vs Invest'!$B$9,'Prepay vs Invest'!$B$8,0)-Z22-AA22),0)</f>
        <v>5764.226937878484</v>
      </c>
      <c r="AE22">
        <f>AC22*(1+MAX(0,'Prepay vs Invest'!$B$13-'Prepay vs Invest'!$B$14)/1200)+AD22</f>
        <v>56773.846197184896</v>
      </c>
      <c r="AF22">
        <f t="shared" si="15"/>
        <v>54236.536789152247</v>
      </c>
      <c r="AG22">
        <f>MAX(0,(AE22-AF22-'Prepay vs Invest'!$B$16)*'Prepay vs Invest'!$B$15/100)</f>
        <v>0</v>
      </c>
      <c r="AH22">
        <f t="shared" si="6"/>
        <v>56773.846197184896</v>
      </c>
    </row>
    <row r="23" spans="1:34" x14ac:dyDescent="0.35">
      <c r="A23">
        <f t="shared" si="7"/>
        <v>22</v>
      </c>
      <c r="B23">
        <f>IF(A23&lt;='Prepay vs Invest'!$B$7*12,F22,0)</f>
        <v>9596086.240649648</v>
      </c>
      <c r="C23">
        <f>IF(B23&gt;0,B23*'Prepay vs Invest'!$B$6/1200,0)</f>
        <v>59975.539004060302</v>
      </c>
      <c r="D23">
        <f>IF(B23&gt;0,MIN(-PMT('Prepay vs Invest'!$B$6/1200,'Prepay vs Invest'!$B$7*12,'Prepay vs Invest'!$B$5),B23+C23),0)</f>
        <v>80559.31935518072</v>
      </c>
      <c r="E23">
        <f t="shared" si="0"/>
        <v>20583.780351120418</v>
      </c>
      <c r="F23">
        <f t="shared" si="1"/>
        <v>9575502.460298527</v>
      </c>
      <c r="G23">
        <f t="shared" si="8"/>
        <v>776216.54019567592</v>
      </c>
      <c r="H23">
        <f>IF(A23&lt;='Prepay vs Invest'!$B$7*12,IF(AND(A23&gt;='Prepay vs Invest'!$B$11,A23&lt;='Prepay vs Invest'!$B$12),'Prepay vs Invest'!$B$10,0)+IF(A23='Prepay vs Invest'!$B$9,'Prepay vs Invest'!$B$8,0),0)</f>
        <v>10000</v>
      </c>
      <c r="I23">
        <f>G23*(1+MAX(0,'Prepay vs Invest'!$B$13-'Prepay vs Invest'!$B$14)/1200)+H23</f>
        <v>793655.28203921777</v>
      </c>
      <c r="J23">
        <f t="shared" si="9"/>
        <v>720000</v>
      </c>
      <c r="K23">
        <f>MAX(0,(I23-J23-'Prepay vs Invest'!$B$16)*'Prepay vs Invest'!$B$15/100)</f>
        <v>0</v>
      </c>
      <c r="L23">
        <f t="shared" si="2"/>
        <v>793655.28203921777</v>
      </c>
      <c r="M23">
        <f t="shared" si="10"/>
        <v>8843588.3061971106</v>
      </c>
      <c r="N23">
        <f>IF(M23&gt;0,M23*'Prepay vs Invest'!$B$6/1200,0)</f>
        <v>55272.426913731942</v>
      </c>
      <c r="O23">
        <f>IF(M23&gt;0,MIN('Prepay vs Invest'!$E$5,M23+N23),0)</f>
        <v>80559.31935518072</v>
      </c>
      <c r="P23">
        <f>MIN(MAX(0,M23+N23-O23),IF(AND(A23&gt;='Prepay vs Invest'!$B$11,A23&lt;='Prepay vs Invest'!$B$12),'Prepay vs Invest'!$B$10,0)+IF(A23='Prepay vs Invest'!$B$9,'Prepay vs Invest'!$B$8,0))</f>
        <v>10000</v>
      </c>
      <c r="Q23">
        <f t="shared" si="3"/>
        <v>8808301.4137556627</v>
      </c>
      <c r="R23">
        <f t="shared" si="11"/>
        <v>0</v>
      </c>
      <c r="S23">
        <f>IF(A23&lt;='Prepay vs Invest'!$B$7*12,MAX(0,'Prepay vs Invest'!$E$5+IF(AND(A23&gt;='Prepay vs Invest'!$B$11,A23&lt;='Prepay vs Invest'!$B$12),'Prepay vs Invest'!$B$10,0)+IF(A23='Prepay vs Invest'!$B$9,'Prepay vs Invest'!$B$8,0)-O23-P23),0)</f>
        <v>0</v>
      </c>
      <c r="T23">
        <f>R23*(1+MAX(0,'Prepay vs Invest'!$B$13-'Prepay vs Invest'!$B$14)/1200)+S23</f>
        <v>0</v>
      </c>
      <c r="U23">
        <f t="shared" si="12"/>
        <v>0</v>
      </c>
      <c r="V23">
        <f>MAX(0,(T23-U23-'Prepay vs Invest'!$B$16)*'Prepay vs Invest'!$B$15/100)</f>
        <v>0</v>
      </c>
      <c r="W23">
        <f t="shared" si="4"/>
        <v>0</v>
      </c>
      <c r="X23">
        <f t="shared" si="13"/>
        <v>8899461.5366513152</v>
      </c>
      <c r="Y23">
        <f>IF(X23&gt;0,X23*'Prepay vs Invest'!$B$6/1200,0)</f>
        <v>55621.634604070721</v>
      </c>
      <c r="Z23">
        <f>IF(X23&gt;0,MIN(-PMT('Prepay vs Invest'!$B$6/1200,'Prepay vs Invest'!$B$7*12-A23+1,X23),X23+Y23),0)</f>
        <v>74711.14223455594</v>
      </c>
      <c r="AA23">
        <f>MIN(MAX(0,X23+Y23-Z23),IF(AND(A23&gt;='Prepay vs Invest'!$B$11,A23&lt;='Prepay vs Invest'!$B$12),'Prepay vs Invest'!$B$10,0)+IF(A23='Prepay vs Invest'!$B$9,'Prepay vs Invest'!$B$8,0))</f>
        <v>10000</v>
      </c>
      <c r="AB23">
        <f t="shared" si="5"/>
        <v>8870372.0290208291</v>
      </c>
      <c r="AC23">
        <f t="shared" si="14"/>
        <v>56773.846197184896</v>
      </c>
      <c r="AD23">
        <f>IF(A23&lt;='Prepay vs Invest'!$B$7*12,MAX(0,'Prepay vs Invest'!$E$5+IF(AND(A23&gt;='Prepay vs Invest'!$B$11,A23&lt;='Prepay vs Invest'!$B$12),'Prepay vs Invest'!$B$10,0)+IF(A23='Prepay vs Invest'!$B$9,'Prepay vs Invest'!$B$8,0)-Z23-AA23),0)</f>
        <v>5848.1771206247795</v>
      </c>
      <c r="AE23">
        <f>AC23*(1+MAX(0,'Prepay vs Invest'!$B$13-'Prepay vs Invest'!$B$14)/1200)+AD23</f>
        <v>63166.106010532691</v>
      </c>
      <c r="AF23">
        <f t="shared" si="15"/>
        <v>60084.713909777027</v>
      </c>
      <c r="AG23">
        <f>MAX(0,(AE23-AF23-'Prepay vs Invest'!$B$16)*'Prepay vs Invest'!$B$15/100)</f>
        <v>0</v>
      </c>
      <c r="AH23">
        <f t="shared" si="6"/>
        <v>63166.106010532691</v>
      </c>
    </row>
    <row r="24" spans="1:34" x14ac:dyDescent="0.35">
      <c r="A24">
        <f t="shared" si="7"/>
        <v>23</v>
      </c>
      <c r="B24">
        <f>IF(A24&lt;='Prepay vs Invest'!$B$7*12,F23,0)</f>
        <v>9575502.460298527</v>
      </c>
      <c r="C24">
        <f>IF(B24&gt;0,B24*'Prepay vs Invest'!$B$6/1200,0)</f>
        <v>59846.890376865791</v>
      </c>
      <c r="D24">
        <f>IF(B24&gt;0,MIN(-PMT('Prepay vs Invest'!$B$6/1200,'Prepay vs Invest'!$B$7*12,'Prepay vs Invest'!$B$5),B24+C24),0)</f>
        <v>80559.31935518072</v>
      </c>
      <c r="E24">
        <f t="shared" si="0"/>
        <v>20712.428978314929</v>
      </c>
      <c r="F24">
        <f t="shared" si="1"/>
        <v>9554790.0313202124</v>
      </c>
      <c r="G24">
        <f t="shared" si="8"/>
        <v>793655.28203921777</v>
      </c>
      <c r="H24">
        <f>IF(A24&lt;='Prepay vs Invest'!$B$7*12,IF(AND(A24&gt;='Prepay vs Invest'!$B$11,A24&lt;='Prepay vs Invest'!$B$12),'Prepay vs Invest'!$B$10,0)+IF(A24='Prepay vs Invest'!$B$9,'Prepay vs Invest'!$B$8,0),0)</f>
        <v>10000</v>
      </c>
      <c r="I24">
        <f>G24*(1+MAX(0,'Prepay vs Invest'!$B$13-'Prepay vs Invest'!$B$14)/1200)+H24</f>
        <v>811261.14515876025</v>
      </c>
      <c r="J24">
        <f t="shared" si="9"/>
        <v>730000</v>
      </c>
      <c r="K24">
        <f>MAX(0,(I24-J24-'Prepay vs Invest'!$B$16)*'Prepay vs Invest'!$B$15/100)</f>
        <v>0</v>
      </c>
      <c r="L24">
        <f t="shared" si="2"/>
        <v>811261.14515876025</v>
      </c>
      <c r="M24">
        <f t="shared" si="10"/>
        <v>8808301.4137556627</v>
      </c>
      <c r="N24">
        <f>IF(M24&gt;0,M24*'Prepay vs Invest'!$B$6/1200,0)</f>
        <v>55051.883835972898</v>
      </c>
      <c r="O24">
        <f>IF(M24&gt;0,MIN('Prepay vs Invest'!$E$5,M24+N24),0)</f>
        <v>80559.31935518072</v>
      </c>
      <c r="P24">
        <f>MIN(MAX(0,M24+N24-O24),IF(AND(A24&gt;='Prepay vs Invest'!$B$11,A24&lt;='Prepay vs Invest'!$B$12),'Prepay vs Invest'!$B$10,0)+IF(A24='Prepay vs Invest'!$B$9,'Prepay vs Invest'!$B$8,0))</f>
        <v>10000</v>
      </c>
      <c r="Q24">
        <f t="shared" si="3"/>
        <v>8772793.9782364555</v>
      </c>
      <c r="R24">
        <f t="shared" si="11"/>
        <v>0</v>
      </c>
      <c r="S24">
        <f>IF(A24&lt;='Prepay vs Invest'!$B$7*12,MAX(0,'Prepay vs Invest'!$E$5+IF(AND(A24&gt;='Prepay vs Invest'!$B$11,A24&lt;='Prepay vs Invest'!$B$12),'Prepay vs Invest'!$B$10,0)+IF(A24='Prepay vs Invest'!$B$9,'Prepay vs Invest'!$B$8,0)-O24-P24),0)</f>
        <v>0</v>
      </c>
      <c r="T24">
        <f>R24*(1+MAX(0,'Prepay vs Invest'!$B$13-'Prepay vs Invest'!$B$14)/1200)+S24</f>
        <v>0</v>
      </c>
      <c r="U24">
        <f t="shared" si="12"/>
        <v>0</v>
      </c>
      <c r="V24">
        <f>MAX(0,(T24-U24-'Prepay vs Invest'!$B$16)*'Prepay vs Invest'!$B$15/100)</f>
        <v>0</v>
      </c>
      <c r="W24">
        <f t="shared" si="4"/>
        <v>0</v>
      </c>
      <c r="X24">
        <f t="shared" si="13"/>
        <v>8870372.0290208291</v>
      </c>
      <c r="Y24">
        <f>IF(X24&gt;0,X24*'Prepay vs Invest'!$B$6/1200,0)</f>
        <v>55439.825181380183</v>
      </c>
      <c r="Z24">
        <f>IF(X24&gt;0,MIN(-PMT('Prepay vs Invest'!$B$6/1200,'Prepay vs Invest'!$B$7*12-A24+1,X24),X24+Y24),0)</f>
        <v>74627.011590039692</v>
      </c>
      <c r="AA24">
        <f>MIN(MAX(0,X24+Y24-Z24),IF(AND(A24&gt;='Prepay vs Invest'!$B$11,A24&lt;='Prepay vs Invest'!$B$12),'Prepay vs Invest'!$B$10,0)+IF(A24='Prepay vs Invest'!$B$9,'Prepay vs Invest'!$B$8,0))</f>
        <v>10000</v>
      </c>
      <c r="AB24">
        <f t="shared" si="5"/>
        <v>8841184.8426121697</v>
      </c>
      <c r="AC24">
        <f t="shared" si="14"/>
        <v>63166.106010532691</v>
      </c>
      <c r="AD24">
        <f>IF(A24&lt;='Prepay vs Invest'!$B$7*12,MAX(0,'Prepay vs Invest'!$E$5+IF(AND(A24&gt;='Prepay vs Invest'!$B$11,A24&lt;='Prepay vs Invest'!$B$12),'Prepay vs Invest'!$B$10,0)+IF(A24='Prepay vs Invest'!$B$9,'Prepay vs Invest'!$B$8,0)-Z24-AA24),0)</f>
        <v>5932.3077651410276</v>
      </c>
      <c r="AE24">
        <f>AC24*(1+MAX(0,'Prepay vs Invest'!$B$13-'Prepay vs Invest'!$B$14)/1200)+AD24</f>
        <v>69703.755624941317</v>
      </c>
      <c r="AF24">
        <f t="shared" si="15"/>
        <v>66017.021674918054</v>
      </c>
      <c r="AG24">
        <f>MAX(0,(AE24-AF24-'Prepay vs Invest'!$B$16)*'Prepay vs Invest'!$B$15/100)</f>
        <v>0</v>
      </c>
      <c r="AH24">
        <f t="shared" si="6"/>
        <v>69703.755624941317</v>
      </c>
    </row>
    <row r="25" spans="1:34" x14ac:dyDescent="0.35">
      <c r="A25">
        <f t="shared" si="7"/>
        <v>24</v>
      </c>
      <c r="B25">
        <f>IF(A25&lt;='Prepay vs Invest'!$B$7*12,F24,0)</f>
        <v>9554790.0313202124</v>
      </c>
      <c r="C25">
        <f>IF(B25&gt;0,B25*'Prepay vs Invest'!$B$6/1200,0)</f>
        <v>59717.437695751323</v>
      </c>
      <c r="D25">
        <f>IF(B25&gt;0,MIN(-PMT('Prepay vs Invest'!$B$6/1200,'Prepay vs Invest'!$B$7*12,'Prepay vs Invest'!$B$5),B25+C25),0)</f>
        <v>80559.31935518072</v>
      </c>
      <c r="E25">
        <f t="shared" si="0"/>
        <v>20841.881659429397</v>
      </c>
      <c r="F25">
        <f t="shared" si="1"/>
        <v>9533948.1496607829</v>
      </c>
      <c r="G25">
        <f t="shared" si="8"/>
        <v>811261.14515876025</v>
      </c>
      <c r="H25">
        <f>IF(A25&lt;='Prepay vs Invest'!$B$7*12,IF(AND(A25&gt;='Prepay vs Invest'!$B$11,A25&lt;='Prepay vs Invest'!$B$12),'Prepay vs Invest'!$B$10,0)+IF(A25='Prepay vs Invest'!$B$9,'Prepay vs Invest'!$B$8,0),0)</f>
        <v>10000</v>
      </c>
      <c r="I25">
        <f>G25*(1+MAX(0,'Prepay vs Invest'!$B$13-'Prepay vs Invest'!$B$14)/1200)+H25</f>
        <v>829035.73113319837</v>
      </c>
      <c r="J25">
        <f t="shared" si="9"/>
        <v>740000</v>
      </c>
      <c r="K25">
        <f>MAX(0,(I25-J25-'Prepay vs Invest'!$B$16)*'Prepay vs Invest'!$B$15/100)</f>
        <v>0</v>
      </c>
      <c r="L25">
        <f t="shared" si="2"/>
        <v>829035.73113319837</v>
      </c>
      <c r="M25">
        <f t="shared" si="10"/>
        <v>8772793.9782364555</v>
      </c>
      <c r="N25">
        <f>IF(M25&gt;0,M25*'Prepay vs Invest'!$B$6/1200,0)</f>
        <v>54829.962363977851</v>
      </c>
      <c r="O25">
        <f>IF(M25&gt;0,MIN('Prepay vs Invest'!$E$5,M25+N25),0)</f>
        <v>80559.31935518072</v>
      </c>
      <c r="P25">
        <f>MIN(MAX(0,M25+N25-O25),IF(AND(A25&gt;='Prepay vs Invest'!$B$11,A25&lt;='Prepay vs Invest'!$B$12),'Prepay vs Invest'!$B$10,0)+IF(A25='Prepay vs Invest'!$B$9,'Prepay vs Invest'!$B$8,0))</f>
        <v>10000</v>
      </c>
      <c r="Q25">
        <f t="shared" si="3"/>
        <v>8737064.621245252</v>
      </c>
      <c r="R25">
        <f t="shared" si="11"/>
        <v>0</v>
      </c>
      <c r="S25">
        <f>IF(A25&lt;='Prepay vs Invest'!$B$7*12,MAX(0,'Prepay vs Invest'!$E$5+IF(AND(A25&gt;='Prepay vs Invest'!$B$11,A25&lt;='Prepay vs Invest'!$B$12),'Prepay vs Invest'!$B$10,0)+IF(A25='Prepay vs Invest'!$B$9,'Prepay vs Invest'!$B$8,0)-O25-P25),0)</f>
        <v>0</v>
      </c>
      <c r="T25">
        <f>R25*(1+MAX(0,'Prepay vs Invest'!$B$13-'Prepay vs Invest'!$B$14)/1200)+S25</f>
        <v>0</v>
      </c>
      <c r="U25">
        <f t="shared" si="12"/>
        <v>0</v>
      </c>
      <c r="V25">
        <f>MAX(0,(T25-U25-'Prepay vs Invest'!$B$16)*'Prepay vs Invest'!$B$15/100)</f>
        <v>0</v>
      </c>
      <c r="W25">
        <f t="shared" si="4"/>
        <v>0</v>
      </c>
      <c r="X25">
        <f t="shared" si="13"/>
        <v>8841184.8426121697</v>
      </c>
      <c r="Y25">
        <f>IF(X25&gt;0,X25*'Prepay vs Invest'!$B$6/1200,0)</f>
        <v>55257.405266326059</v>
      </c>
      <c r="Z25">
        <f>IF(X25&gt;0,MIN(-PMT('Prepay vs Invest'!$B$6/1200,'Prepay vs Invest'!$B$7*12-A25+1,X25),X25+Y25),0)</f>
        <v>74542.698571029221</v>
      </c>
      <c r="AA25">
        <f>MIN(MAX(0,X25+Y25-Z25),IF(AND(A25&gt;='Prepay vs Invest'!$B$11,A25&lt;='Prepay vs Invest'!$B$12),'Prepay vs Invest'!$B$10,0)+IF(A25='Prepay vs Invest'!$B$9,'Prepay vs Invest'!$B$8,0))</f>
        <v>10000</v>
      </c>
      <c r="AB25">
        <f t="shared" si="5"/>
        <v>8811899.5493074656</v>
      </c>
      <c r="AC25">
        <f t="shared" si="14"/>
        <v>69703.755624941317</v>
      </c>
      <c r="AD25">
        <f>IF(A25&lt;='Prepay vs Invest'!$B$7*12,MAX(0,'Prepay vs Invest'!$E$5+IF(AND(A25&gt;='Prepay vs Invest'!$B$11,A25&lt;='Prepay vs Invest'!$B$12),'Prepay vs Invest'!$B$10,0)+IF(A25='Prepay vs Invest'!$B$9,'Prepay vs Invest'!$B$8,0)-Z25-AA25),0)</f>
        <v>6016.6207841514988</v>
      </c>
      <c r="AE25">
        <f>AC25*(1+MAX(0,'Prepay vs Invest'!$B$13-'Prepay vs Invest'!$B$14)/1200)+AD25</f>
        <v>76388.370733831835</v>
      </c>
      <c r="AF25">
        <f t="shared" si="15"/>
        <v>72033.642459069553</v>
      </c>
      <c r="AG25">
        <f>MAX(0,(AE25-AF25-'Prepay vs Invest'!$B$16)*'Prepay vs Invest'!$B$15/100)</f>
        <v>0</v>
      </c>
      <c r="AH25">
        <f t="shared" si="6"/>
        <v>76388.370733831835</v>
      </c>
    </row>
    <row r="26" spans="1:34" x14ac:dyDescent="0.35">
      <c r="A26">
        <f t="shared" si="7"/>
        <v>25</v>
      </c>
      <c r="B26">
        <f>IF(A26&lt;='Prepay vs Invest'!$B$7*12,F25,0)</f>
        <v>9533948.1496607829</v>
      </c>
      <c r="C26">
        <f>IF(B26&gt;0,B26*'Prepay vs Invest'!$B$6/1200,0)</f>
        <v>59587.175935379884</v>
      </c>
      <c r="D26">
        <f>IF(B26&gt;0,MIN(-PMT('Prepay vs Invest'!$B$6/1200,'Prepay vs Invest'!$B$7*12,'Prepay vs Invest'!$B$5),B26+C26),0)</f>
        <v>80559.31935518072</v>
      </c>
      <c r="E26">
        <f t="shared" si="0"/>
        <v>20972.143419800836</v>
      </c>
      <c r="F26">
        <f t="shared" si="1"/>
        <v>9512976.0062409826</v>
      </c>
      <c r="G26">
        <f t="shared" si="8"/>
        <v>829035.73113319837</v>
      </c>
      <c r="H26">
        <f>IF(A26&lt;='Prepay vs Invest'!$B$7*12,IF(AND(A26&gt;='Prepay vs Invest'!$B$11,A26&lt;='Prepay vs Invest'!$B$12),'Prepay vs Invest'!$B$10,0)+IF(A26='Prepay vs Invest'!$B$9,'Prepay vs Invest'!$B$8,0),0)</f>
        <v>10000</v>
      </c>
      <c r="I26">
        <f>G26*(1+MAX(0,'Prepay vs Invest'!$B$13-'Prepay vs Invest'!$B$14)/1200)+H26</f>
        <v>846980.65688989148</v>
      </c>
      <c r="J26">
        <f t="shared" si="9"/>
        <v>750000</v>
      </c>
      <c r="K26">
        <f>MAX(0,(I26-J26-'Prepay vs Invest'!$B$16)*'Prepay vs Invest'!$B$15/100)</f>
        <v>0</v>
      </c>
      <c r="L26">
        <f t="shared" si="2"/>
        <v>846980.65688989148</v>
      </c>
      <c r="M26">
        <f t="shared" si="10"/>
        <v>8737064.621245252</v>
      </c>
      <c r="N26">
        <f>IF(M26&gt;0,M26*'Prepay vs Invest'!$B$6/1200,0)</f>
        <v>54606.653882782826</v>
      </c>
      <c r="O26">
        <f>IF(M26&gt;0,MIN('Prepay vs Invest'!$E$5,M26+N26),0)</f>
        <v>80559.31935518072</v>
      </c>
      <c r="P26">
        <f>MIN(MAX(0,M26+N26-O26),IF(AND(A26&gt;='Prepay vs Invest'!$B$11,A26&lt;='Prepay vs Invest'!$B$12),'Prepay vs Invest'!$B$10,0)+IF(A26='Prepay vs Invest'!$B$9,'Prepay vs Invest'!$B$8,0))</f>
        <v>10000</v>
      </c>
      <c r="Q26">
        <f t="shared" si="3"/>
        <v>8701111.9557728544</v>
      </c>
      <c r="R26">
        <f t="shared" si="11"/>
        <v>0</v>
      </c>
      <c r="S26">
        <f>IF(A26&lt;='Prepay vs Invest'!$B$7*12,MAX(0,'Prepay vs Invest'!$E$5+IF(AND(A26&gt;='Prepay vs Invest'!$B$11,A26&lt;='Prepay vs Invest'!$B$12),'Prepay vs Invest'!$B$10,0)+IF(A26='Prepay vs Invest'!$B$9,'Prepay vs Invest'!$B$8,0)-O26-P26),0)</f>
        <v>0</v>
      </c>
      <c r="T26">
        <f>R26*(1+MAX(0,'Prepay vs Invest'!$B$13-'Prepay vs Invest'!$B$14)/1200)+S26</f>
        <v>0</v>
      </c>
      <c r="U26">
        <f t="shared" si="12"/>
        <v>0</v>
      </c>
      <c r="V26">
        <f>MAX(0,(T26-U26-'Prepay vs Invest'!$B$16)*'Prepay vs Invest'!$B$15/100)</f>
        <v>0</v>
      </c>
      <c r="W26">
        <f t="shared" si="4"/>
        <v>0</v>
      </c>
      <c r="X26">
        <f t="shared" si="13"/>
        <v>8811899.5493074656</v>
      </c>
      <c r="Y26">
        <f>IF(X26&gt;0,X26*'Prepay vs Invest'!$B$6/1200,0)</f>
        <v>55074.372183171661</v>
      </c>
      <c r="Z26">
        <f>IF(X26&gt;0,MIN(-PMT('Prepay vs Invest'!$B$6/1200,'Prepay vs Invest'!$B$7*12-A26+1,X26),X26+Y26),0)</f>
        <v>74458.201237825182</v>
      </c>
      <c r="AA26">
        <f>MIN(MAX(0,X26+Y26-Z26),IF(AND(A26&gt;='Prepay vs Invest'!$B$11,A26&lt;='Prepay vs Invest'!$B$12),'Prepay vs Invest'!$B$10,0)+IF(A26='Prepay vs Invest'!$B$9,'Prepay vs Invest'!$B$8,0))</f>
        <v>10000</v>
      </c>
      <c r="AB26">
        <f t="shared" si="5"/>
        <v>8782515.7202528119</v>
      </c>
      <c r="AC26">
        <f t="shared" si="14"/>
        <v>76388.370733831835</v>
      </c>
      <c r="AD26">
        <f>IF(A26&lt;='Prepay vs Invest'!$B$7*12,MAX(0,'Prepay vs Invest'!$E$5+IF(AND(A26&gt;='Prepay vs Invest'!$B$11,A26&lt;='Prepay vs Invest'!$B$12),'Prepay vs Invest'!$B$10,0)+IF(A26='Prepay vs Invest'!$B$9,'Prepay vs Invest'!$B$8,0)-Z26-AA26),0)</f>
        <v>6101.1181173555378</v>
      </c>
      <c r="AE26">
        <f>AC26*(1+MAX(0,'Prepay vs Invest'!$B$13-'Prepay vs Invest'!$B$14)/1200)+AD26</f>
        <v>83221.544070719916</v>
      </c>
      <c r="AF26">
        <f t="shared" si="15"/>
        <v>78134.760576425091</v>
      </c>
      <c r="AG26">
        <f>MAX(0,(AE26-AF26-'Prepay vs Invest'!$B$16)*'Prepay vs Invest'!$B$15/100)</f>
        <v>0</v>
      </c>
      <c r="AH26">
        <f t="shared" si="6"/>
        <v>83221.544070719916</v>
      </c>
    </row>
    <row r="27" spans="1:34" x14ac:dyDescent="0.35">
      <c r="A27">
        <f t="shared" si="7"/>
        <v>26</v>
      </c>
      <c r="B27">
        <f>IF(A27&lt;='Prepay vs Invest'!$B$7*12,F26,0)</f>
        <v>9512976.0062409826</v>
      </c>
      <c r="C27">
        <f>IF(B27&gt;0,B27*'Prepay vs Invest'!$B$6/1200,0)</f>
        <v>59456.100039006138</v>
      </c>
      <c r="D27">
        <f>IF(B27&gt;0,MIN(-PMT('Prepay vs Invest'!$B$6/1200,'Prepay vs Invest'!$B$7*12,'Prepay vs Invest'!$B$5),B27+C27),0)</f>
        <v>80559.31935518072</v>
      </c>
      <c r="E27">
        <f t="shared" si="0"/>
        <v>21103.219316174582</v>
      </c>
      <c r="F27">
        <f t="shared" si="1"/>
        <v>9491872.7869248074</v>
      </c>
      <c r="G27">
        <f t="shared" si="8"/>
        <v>846980.65688989148</v>
      </c>
      <c r="H27">
        <f>IF(A27&lt;='Prepay vs Invest'!$B$7*12,IF(AND(A27&gt;='Prepay vs Invest'!$B$11,A27&lt;='Prepay vs Invest'!$B$12),'Prepay vs Invest'!$B$10,0)+IF(A27='Prepay vs Invest'!$B$9,'Prepay vs Invest'!$B$8,0),0)</f>
        <v>10000</v>
      </c>
      <c r="I27">
        <f>G27*(1+MAX(0,'Prepay vs Invest'!$B$13-'Prepay vs Invest'!$B$14)/1200)+H27</f>
        <v>865097.55485175294</v>
      </c>
      <c r="J27">
        <f t="shared" si="9"/>
        <v>760000</v>
      </c>
      <c r="K27">
        <f>MAX(0,(I27-J27-'Prepay vs Invest'!$B$16)*'Prepay vs Invest'!$B$15/100)</f>
        <v>0</v>
      </c>
      <c r="L27">
        <f t="shared" si="2"/>
        <v>865097.55485175294</v>
      </c>
      <c r="M27">
        <f t="shared" si="10"/>
        <v>8701111.9557728544</v>
      </c>
      <c r="N27">
        <f>IF(M27&gt;0,M27*'Prepay vs Invest'!$B$6/1200,0)</f>
        <v>54381.949723580343</v>
      </c>
      <c r="O27">
        <f>IF(M27&gt;0,MIN('Prepay vs Invest'!$E$5,M27+N27),0)</f>
        <v>80559.31935518072</v>
      </c>
      <c r="P27">
        <f>MIN(MAX(0,M27+N27-O27),IF(AND(A27&gt;='Prepay vs Invest'!$B$11,A27&lt;='Prepay vs Invest'!$B$12),'Prepay vs Invest'!$B$10,0)+IF(A27='Prepay vs Invest'!$B$9,'Prepay vs Invest'!$B$8,0))</f>
        <v>10000</v>
      </c>
      <c r="Q27">
        <f t="shared" si="3"/>
        <v>8664934.5861412548</v>
      </c>
      <c r="R27">
        <f t="shared" si="11"/>
        <v>0</v>
      </c>
      <c r="S27">
        <f>IF(A27&lt;='Prepay vs Invest'!$B$7*12,MAX(0,'Prepay vs Invest'!$E$5+IF(AND(A27&gt;='Prepay vs Invest'!$B$11,A27&lt;='Prepay vs Invest'!$B$12),'Prepay vs Invest'!$B$10,0)+IF(A27='Prepay vs Invest'!$B$9,'Prepay vs Invest'!$B$8,0)-O27-P27),0)</f>
        <v>0</v>
      </c>
      <c r="T27">
        <f>R27*(1+MAX(0,'Prepay vs Invest'!$B$13-'Prepay vs Invest'!$B$14)/1200)+S27</f>
        <v>0</v>
      </c>
      <c r="U27">
        <f t="shared" si="12"/>
        <v>0</v>
      </c>
      <c r="V27">
        <f>MAX(0,(T27-U27-'Prepay vs Invest'!$B$16)*'Prepay vs Invest'!$B$15/100)</f>
        <v>0</v>
      </c>
      <c r="W27">
        <f t="shared" si="4"/>
        <v>0</v>
      </c>
      <c r="X27">
        <f t="shared" si="13"/>
        <v>8782515.7202528119</v>
      </c>
      <c r="Y27">
        <f>IF(X27&gt;0,X27*'Prepay vs Invest'!$B$6/1200,0)</f>
        <v>54890.723251580072</v>
      </c>
      <c r="Z27">
        <f>IF(X27&gt;0,MIN(-PMT('Prepay vs Invest'!$B$6/1200,'Prepay vs Invest'!$B$7*12-A27+1,X27),X27+Y27),0)</f>
        <v>74373.517623252483</v>
      </c>
      <c r="AA27">
        <f>MIN(MAX(0,X27+Y27-Z27),IF(AND(A27&gt;='Prepay vs Invest'!$B$11,A27&lt;='Prepay vs Invest'!$B$12),'Prepay vs Invest'!$B$10,0)+IF(A27='Prepay vs Invest'!$B$9,'Prepay vs Invest'!$B$8,0))</f>
        <v>10000</v>
      </c>
      <c r="AB27">
        <f t="shared" si="5"/>
        <v>8753032.9258811381</v>
      </c>
      <c r="AC27">
        <f t="shared" si="14"/>
        <v>83221.544070719916</v>
      </c>
      <c r="AD27">
        <f>IF(A27&lt;='Prepay vs Invest'!$B$7*12,MAX(0,'Prepay vs Invest'!$E$5+IF(AND(A27&gt;='Prepay vs Invest'!$B$11,A27&lt;='Prepay vs Invest'!$B$12),'Prepay vs Invest'!$B$10,0)+IF(A27='Prepay vs Invest'!$B$9,'Prepay vs Invest'!$B$8,0)-Z27-AA27),0)</f>
        <v>6185.8017319282371</v>
      </c>
      <c r="AE27">
        <f>AC27*(1+MAX(0,'Prepay vs Invest'!$B$13-'Prepay vs Invest'!$B$14)/1200)+AD27</f>
        <v>90204.885599992544</v>
      </c>
      <c r="AF27">
        <f t="shared" si="15"/>
        <v>84320.562308353328</v>
      </c>
      <c r="AG27">
        <f>MAX(0,(AE27-AF27-'Prepay vs Invest'!$B$16)*'Prepay vs Invest'!$B$15/100)</f>
        <v>0</v>
      </c>
      <c r="AH27">
        <f t="shared" si="6"/>
        <v>90204.885599992544</v>
      </c>
    </row>
    <row r="28" spans="1:34" x14ac:dyDescent="0.35">
      <c r="A28">
        <f t="shared" si="7"/>
        <v>27</v>
      </c>
      <c r="B28">
        <f>IF(A28&lt;='Prepay vs Invest'!$B$7*12,F27,0)</f>
        <v>9491872.7869248074</v>
      </c>
      <c r="C28">
        <f>IF(B28&gt;0,B28*'Prepay vs Invest'!$B$6/1200,0)</f>
        <v>59324.204918280047</v>
      </c>
      <c r="D28">
        <f>IF(B28&gt;0,MIN(-PMT('Prepay vs Invest'!$B$6/1200,'Prepay vs Invest'!$B$7*12,'Prepay vs Invest'!$B$5),B28+C28),0)</f>
        <v>80559.31935518072</v>
      </c>
      <c r="E28">
        <f t="shared" si="0"/>
        <v>21235.114436900672</v>
      </c>
      <c r="F28">
        <f t="shared" si="1"/>
        <v>9470637.6724879071</v>
      </c>
      <c r="G28">
        <f t="shared" si="8"/>
        <v>865097.55485175294</v>
      </c>
      <c r="H28">
        <f>IF(A28&lt;='Prepay vs Invest'!$B$7*12,IF(AND(A28&gt;='Prepay vs Invest'!$B$11,A28&lt;='Prepay vs Invest'!$B$12),'Prepay vs Invest'!$B$10,0)+IF(A28='Prepay vs Invest'!$B$9,'Prepay vs Invest'!$B$8,0),0)</f>
        <v>10000</v>
      </c>
      <c r="I28">
        <f>G28*(1+MAX(0,'Prepay vs Invest'!$B$13-'Prepay vs Invest'!$B$14)/1200)+H28</f>
        <v>883388.07308574882</v>
      </c>
      <c r="J28">
        <f t="shared" si="9"/>
        <v>770000</v>
      </c>
      <c r="K28">
        <f>MAX(0,(I28-J28-'Prepay vs Invest'!$B$16)*'Prepay vs Invest'!$B$15/100)</f>
        <v>0</v>
      </c>
      <c r="L28">
        <f t="shared" si="2"/>
        <v>883388.07308574882</v>
      </c>
      <c r="M28">
        <f t="shared" si="10"/>
        <v>8664934.5861412548</v>
      </c>
      <c r="N28">
        <f>IF(M28&gt;0,M28*'Prepay vs Invest'!$B$6/1200,0)</f>
        <v>54155.841163382844</v>
      </c>
      <c r="O28">
        <f>IF(M28&gt;0,MIN('Prepay vs Invest'!$E$5,M28+N28),0)</f>
        <v>80559.31935518072</v>
      </c>
      <c r="P28">
        <f>MIN(MAX(0,M28+N28-O28),IF(AND(A28&gt;='Prepay vs Invest'!$B$11,A28&lt;='Prepay vs Invest'!$B$12),'Prepay vs Invest'!$B$10,0)+IF(A28='Prepay vs Invest'!$B$9,'Prepay vs Invest'!$B$8,0))</f>
        <v>10000</v>
      </c>
      <c r="Q28">
        <f t="shared" si="3"/>
        <v>8628531.1079494562</v>
      </c>
      <c r="R28">
        <f t="shared" si="11"/>
        <v>0</v>
      </c>
      <c r="S28">
        <f>IF(A28&lt;='Prepay vs Invest'!$B$7*12,MAX(0,'Prepay vs Invest'!$E$5+IF(AND(A28&gt;='Prepay vs Invest'!$B$11,A28&lt;='Prepay vs Invest'!$B$12),'Prepay vs Invest'!$B$10,0)+IF(A28='Prepay vs Invest'!$B$9,'Prepay vs Invest'!$B$8,0)-O28-P28),0)</f>
        <v>0</v>
      </c>
      <c r="T28">
        <f>R28*(1+MAX(0,'Prepay vs Invest'!$B$13-'Prepay vs Invest'!$B$14)/1200)+S28</f>
        <v>0</v>
      </c>
      <c r="U28">
        <f t="shared" si="12"/>
        <v>0</v>
      </c>
      <c r="V28">
        <f>MAX(0,(T28-U28-'Prepay vs Invest'!$B$16)*'Prepay vs Invest'!$B$15/100)</f>
        <v>0</v>
      </c>
      <c r="W28">
        <f t="shared" si="4"/>
        <v>0</v>
      </c>
      <c r="X28">
        <f t="shared" si="13"/>
        <v>8753032.9258811381</v>
      </c>
      <c r="Y28">
        <f>IF(X28&gt;0,X28*'Prepay vs Invest'!$B$6/1200,0)</f>
        <v>54706.455786757113</v>
      </c>
      <c r="Z28">
        <f>IF(X28&gt;0,MIN(-PMT('Prepay vs Invest'!$B$6/1200,'Prepay vs Invest'!$B$7*12-A28+1,X28),X28+Y28),0)</f>
        <v>74288.645732147736</v>
      </c>
      <c r="AA28">
        <f>MIN(MAX(0,X28+Y28-Z28),IF(AND(A28&gt;='Prepay vs Invest'!$B$11,A28&lt;='Prepay vs Invest'!$B$12),'Prepay vs Invest'!$B$10,0)+IF(A28='Prepay vs Invest'!$B$9,'Prepay vs Invest'!$B$8,0))</f>
        <v>10000</v>
      </c>
      <c r="AB28">
        <f t="shared" si="5"/>
        <v>8723450.7359357476</v>
      </c>
      <c r="AC28">
        <f t="shared" si="14"/>
        <v>90204.885599992544</v>
      </c>
      <c r="AD28">
        <f>IF(A28&lt;='Prepay vs Invest'!$B$7*12,MAX(0,'Prepay vs Invest'!$E$5+IF(AND(A28&gt;='Prepay vs Invest'!$B$11,A28&lt;='Prepay vs Invest'!$B$12),'Prepay vs Invest'!$B$10,0)+IF(A28='Prepay vs Invest'!$B$9,'Prepay vs Invest'!$B$8,0)-Z28-AA28),0)</f>
        <v>6270.6736230329843</v>
      </c>
      <c r="AE28">
        <f>AC28*(1+MAX(0,'Prepay vs Invest'!$B$13-'Prepay vs Invest'!$B$14)/1200)+AD28</f>
        <v>97340.022710025456</v>
      </c>
      <c r="AF28">
        <f t="shared" si="15"/>
        <v>90591.235931386313</v>
      </c>
      <c r="AG28">
        <f>MAX(0,(AE28-AF28-'Prepay vs Invest'!$B$16)*'Prepay vs Invest'!$B$15/100)</f>
        <v>0</v>
      </c>
      <c r="AH28">
        <f t="shared" si="6"/>
        <v>97340.022710025456</v>
      </c>
    </row>
    <row r="29" spans="1:34" x14ac:dyDescent="0.35">
      <c r="A29">
        <f t="shared" si="7"/>
        <v>28</v>
      </c>
      <c r="B29">
        <f>IF(A29&lt;='Prepay vs Invest'!$B$7*12,F28,0)</f>
        <v>9470637.6724879071</v>
      </c>
      <c r="C29">
        <f>IF(B29&gt;0,B29*'Prepay vs Invest'!$B$6/1200,0)</f>
        <v>59191.485453049419</v>
      </c>
      <c r="D29">
        <f>IF(B29&gt;0,MIN(-PMT('Prepay vs Invest'!$B$6/1200,'Prepay vs Invest'!$B$7*12,'Prepay vs Invest'!$B$5),B29+C29),0)</f>
        <v>80559.31935518072</v>
      </c>
      <c r="E29">
        <f t="shared" si="0"/>
        <v>21367.8339021313</v>
      </c>
      <c r="F29">
        <f t="shared" si="1"/>
        <v>9449269.8385857753</v>
      </c>
      <c r="G29">
        <f t="shared" si="8"/>
        <v>883388.07308574882</v>
      </c>
      <c r="H29">
        <f>IF(A29&lt;='Prepay vs Invest'!$B$7*12,IF(AND(A29&gt;='Prepay vs Invest'!$B$11,A29&lt;='Prepay vs Invest'!$B$12),'Prepay vs Invest'!$B$10,0)+IF(A29='Prepay vs Invest'!$B$9,'Prepay vs Invest'!$B$8,0),0)</f>
        <v>10000</v>
      </c>
      <c r="I29">
        <f>G29*(1+MAX(0,'Prepay vs Invest'!$B$13-'Prepay vs Invest'!$B$14)/1200)+H29</f>
        <v>901853.87545282056</v>
      </c>
      <c r="J29">
        <f t="shared" si="9"/>
        <v>780000</v>
      </c>
      <c r="K29">
        <f>MAX(0,(I29-J29-'Prepay vs Invest'!$B$16)*'Prepay vs Invest'!$B$15/100)</f>
        <v>0</v>
      </c>
      <c r="L29">
        <f t="shared" si="2"/>
        <v>901853.87545282056</v>
      </c>
      <c r="M29">
        <f t="shared" si="10"/>
        <v>8628531.1079494562</v>
      </c>
      <c r="N29">
        <f>IF(M29&gt;0,M29*'Prepay vs Invest'!$B$6/1200,0)</f>
        <v>53928.319424684101</v>
      </c>
      <c r="O29">
        <f>IF(M29&gt;0,MIN('Prepay vs Invest'!$E$5,M29+N29),0)</f>
        <v>80559.31935518072</v>
      </c>
      <c r="P29">
        <f>MIN(MAX(0,M29+N29-O29),IF(AND(A29&gt;='Prepay vs Invest'!$B$11,A29&lt;='Prepay vs Invest'!$B$12),'Prepay vs Invest'!$B$10,0)+IF(A29='Prepay vs Invest'!$B$9,'Prepay vs Invest'!$B$8,0))</f>
        <v>10000</v>
      </c>
      <c r="Q29">
        <f t="shared" si="3"/>
        <v>8591900.1080189589</v>
      </c>
      <c r="R29">
        <f t="shared" si="11"/>
        <v>0</v>
      </c>
      <c r="S29">
        <f>IF(A29&lt;='Prepay vs Invest'!$B$7*12,MAX(0,'Prepay vs Invest'!$E$5+IF(AND(A29&gt;='Prepay vs Invest'!$B$11,A29&lt;='Prepay vs Invest'!$B$12),'Prepay vs Invest'!$B$10,0)+IF(A29='Prepay vs Invest'!$B$9,'Prepay vs Invest'!$B$8,0)-O29-P29),0)</f>
        <v>0</v>
      </c>
      <c r="T29">
        <f>R29*(1+MAX(0,'Prepay vs Invest'!$B$13-'Prepay vs Invest'!$B$14)/1200)+S29</f>
        <v>0</v>
      </c>
      <c r="U29">
        <f t="shared" si="12"/>
        <v>0</v>
      </c>
      <c r="V29">
        <f>MAX(0,(T29-U29-'Prepay vs Invest'!$B$16)*'Prepay vs Invest'!$B$15/100)</f>
        <v>0</v>
      </c>
      <c r="W29">
        <f t="shared" si="4"/>
        <v>0</v>
      </c>
      <c r="X29">
        <f t="shared" si="13"/>
        <v>8723450.7359357476</v>
      </c>
      <c r="Y29">
        <f>IF(X29&gt;0,X29*'Prepay vs Invest'!$B$6/1200,0)</f>
        <v>54521.567099598426</v>
      </c>
      <c r="Z29">
        <f>IF(X29&gt;0,MIN(-PMT('Prepay vs Invest'!$B$6/1200,'Prepay vs Invest'!$B$7*12-A29+1,X29),X29+Y29),0)</f>
        <v>74203.583540834879</v>
      </c>
      <c r="AA29">
        <f>MIN(MAX(0,X29+Y29-Z29),IF(AND(A29&gt;='Prepay vs Invest'!$B$11,A29&lt;='Prepay vs Invest'!$B$12),'Prepay vs Invest'!$B$10,0)+IF(A29='Prepay vs Invest'!$B$9,'Prepay vs Invest'!$B$8,0))</f>
        <v>10000</v>
      </c>
      <c r="AB29">
        <f t="shared" si="5"/>
        <v>8693768.7194945123</v>
      </c>
      <c r="AC29">
        <f t="shared" si="14"/>
        <v>97340.022710025456</v>
      </c>
      <c r="AD29">
        <f>IF(A29&lt;='Prepay vs Invest'!$B$7*12,MAX(0,'Prepay vs Invest'!$E$5+IF(AND(A29&gt;='Prepay vs Invest'!$B$11,A29&lt;='Prepay vs Invest'!$B$12),'Prepay vs Invest'!$B$10,0)+IF(A29='Prepay vs Invest'!$B$9,'Prepay vs Invest'!$B$8,0)-Z29-AA29),0)</f>
        <v>6355.7358143458405</v>
      </c>
      <c r="AE29">
        <f>AC29*(1+MAX(0,'Prepay vs Invest'!$B$13-'Prepay vs Invest'!$B$14)/1200)+AD29</f>
        <v>104628.6004086757</v>
      </c>
      <c r="AF29">
        <f t="shared" si="15"/>
        <v>96946.971745732153</v>
      </c>
      <c r="AG29">
        <f>MAX(0,(AE29-AF29-'Prepay vs Invest'!$B$16)*'Prepay vs Invest'!$B$15/100)</f>
        <v>0</v>
      </c>
      <c r="AH29">
        <f t="shared" si="6"/>
        <v>104628.6004086757</v>
      </c>
    </row>
    <row r="30" spans="1:34" x14ac:dyDescent="0.35">
      <c r="A30">
        <f t="shared" si="7"/>
        <v>29</v>
      </c>
      <c r="B30">
        <f>IF(A30&lt;='Prepay vs Invest'!$B$7*12,F29,0)</f>
        <v>9449269.8385857753</v>
      </c>
      <c r="C30">
        <f>IF(B30&gt;0,B30*'Prepay vs Invest'!$B$6/1200,0)</f>
        <v>59057.936491161097</v>
      </c>
      <c r="D30">
        <f>IF(B30&gt;0,MIN(-PMT('Prepay vs Invest'!$B$6/1200,'Prepay vs Invest'!$B$7*12,'Prepay vs Invest'!$B$5),B30+C30),0)</f>
        <v>80559.31935518072</v>
      </c>
      <c r="E30">
        <f t="shared" si="0"/>
        <v>21501.382864019623</v>
      </c>
      <c r="F30">
        <f t="shared" si="1"/>
        <v>9427768.4557217564</v>
      </c>
      <c r="G30">
        <f t="shared" si="8"/>
        <v>901853.87545282056</v>
      </c>
      <c r="H30">
        <f>IF(A30&lt;='Prepay vs Invest'!$B$7*12,IF(AND(A30&gt;='Prepay vs Invest'!$B$11,A30&lt;='Prepay vs Invest'!$B$12),'Prepay vs Invest'!$B$10,0)+IF(A30='Prepay vs Invest'!$B$9,'Prepay vs Invest'!$B$8,0),0)</f>
        <v>10000</v>
      </c>
      <c r="I30">
        <f>G30*(1+MAX(0,'Prepay vs Invest'!$B$13-'Prepay vs Invest'!$B$14)/1200)+H30</f>
        <v>920496.64175924333</v>
      </c>
      <c r="J30">
        <f t="shared" si="9"/>
        <v>790000</v>
      </c>
      <c r="K30">
        <f>MAX(0,(I30-J30-'Prepay vs Invest'!$B$16)*'Prepay vs Invest'!$B$15/100)</f>
        <v>687.08021990541602</v>
      </c>
      <c r="L30">
        <f t="shared" si="2"/>
        <v>919809.56153933797</v>
      </c>
      <c r="M30">
        <f t="shared" si="10"/>
        <v>8591900.1080189589</v>
      </c>
      <c r="N30">
        <f>IF(M30&gt;0,M30*'Prepay vs Invest'!$B$6/1200,0)</f>
        <v>53699.375675118492</v>
      </c>
      <c r="O30">
        <f>IF(M30&gt;0,MIN('Prepay vs Invest'!$E$5,M30+N30),0)</f>
        <v>80559.31935518072</v>
      </c>
      <c r="P30">
        <f>MIN(MAX(0,M30+N30-O30),IF(AND(A30&gt;='Prepay vs Invest'!$B$11,A30&lt;='Prepay vs Invest'!$B$12),'Prepay vs Invest'!$B$10,0)+IF(A30='Prepay vs Invest'!$B$9,'Prepay vs Invest'!$B$8,0))</f>
        <v>10000</v>
      </c>
      <c r="Q30">
        <f t="shared" si="3"/>
        <v>8555040.1643388961</v>
      </c>
      <c r="R30">
        <f t="shared" si="11"/>
        <v>0</v>
      </c>
      <c r="S30">
        <f>IF(A30&lt;='Prepay vs Invest'!$B$7*12,MAX(0,'Prepay vs Invest'!$E$5+IF(AND(A30&gt;='Prepay vs Invest'!$B$11,A30&lt;='Prepay vs Invest'!$B$12),'Prepay vs Invest'!$B$10,0)+IF(A30='Prepay vs Invest'!$B$9,'Prepay vs Invest'!$B$8,0)-O30-P30),0)</f>
        <v>0</v>
      </c>
      <c r="T30">
        <f>R30*(1+MAX(0,'Prepay vs Invest'!$B$13-'Prepay vs Invest'!$B$14)/1200)+S30</f>
        <v>0</v>
      </c>
      <c r="U30">
        <f t="shared" si="12"/>
        <v>0</v>
      </c>
      <c r="V30">
        <f>MAX(0,(T30-U30-'Prepay vs Invest'!$B$16)*'Prepay vs Invest'!$B$15/100)</f>
        <v>0</v>
      </c>
      <c r="W30">
        <f t="shared" si="4"/>
        <v>0</v>
      </c>
      <c r="X30">
        <f t="shared" si="13"/>
        <v>8693768.7194945123</v>
      </c>
      <c r="Y30">
        <f>IF(X30&gt;0,X30*'Prepay vs Invest'!$B$6/1200,0)</f>
        <v>54336.054496840705</v>
      </c>
      <c r="Z30">
        <f>IF(X30&gt;0,MIN(-PMT('Prepay vs Invest'!$B$6/1200,'Prepay vs Invest'!$B$7*12-A30+1,X30),X30+Y30),0)</f>
        <v>74118.328996588301</v>
      </c>
      <c r="AA30">
        <f>MIN(MAX(0,X30+Y30-Z30),IF(AND(A30&gt;='Prepay vs Invest'!$B$11,A30&lt;='Prepay vs Invest'!$B$12),'Prepay vs Invest'!$B$10,0)+IF(A30='Prepay vs Invest'!$B$9,'Prepay vs Invest'!$B$8,0))</f>
        <v>10000</v>
      </c>
      <c r="AB30">
        <f t="shared" si="5"/>
        <v>8663986.4449947663</v>
      </c>
      <c r="AC30">
        <f t="shared" si="14"/>
        <v>104628.6004086757</v>
      </c>
      <c r="AD30">
        <f>IF(A30&lt;='Prepay vs Invest'!$B$7*12,MAX(0,'Prepay vs Invest'!$E$5+IF(AND(A30&gt;='Prepay vs Invest'!$B$11,A30&lt;='Prepay vs Invest'!$B$12),'Prepay vs Invest'!$B$10,0)+IF(A30='Prepay vs Invest'!$B$9,'Prepay vs Invest'!$B$8,0)-Z30-AA30),0)</f>
        <v>6440.9903585924185</v>
      </c>
      <c r="AE30">
        <f>AC30*(1+MAX(0,'Prepay vs Invest'!$B$13-'Prepay vs Invest'!$B$14)/1200)+AD30</f>
        <v>112072.28152118459</v>
      </c>
      <c r="AF30">
        <f t="shared" si="15"/>
        <v>103387.96210432457</v>
      </c>
      <c r="AG30">
        <f>MAX(0,(AE30-AF30-'Prepay vs Invest'!$B$16)*'Prepay vs Invest'!$B$15/100)</f>
        <v>0</v>
      </c>
      <c r="AH30">
        <f t="shared" si="6"/>
        <v>112072.28152118459</v>
      </c>
    </row>
    <row r="31" spans="1:34" x14ac:dyDescent="0.35">
      <c r="A31">
        <f t="shared" si="7"/>
        <v>30</v>
      </c>
      <c r="B31">
        <f>IF(A31&lt;='Prepay vs Invest'!$B$7*12,F30,0)</f>
        <v>9427768.4557217564</v>
      </c>
      <c r="C31">
        <f>IF(B31&gt;0,B31*'Prepay vs Invest'!$B$6/1200,0)</f>
        <v>58923.552848260973</v>
      </c>
      <c r="D31">
        <f>IF(B31&gt;0,MIN(-PMT('Prepay vs Invest'!$B$6/1200,'Prepay vs Invest'!$B$7*12,'Prepay vs Invest'!$B$5),B31+C31),0)</f>
        <v>80559.31935518072</v>
      </c>
      <c r="E31">
        <f t="shared" si="0"/>
        <v>21635.766506919746</v>
      </c>
      <c r="F31">
        <f t="shared" si="1"/>
        <v>9406132.6892148368</v>
      </c>
      <c r="G31">
        <f t="shared" si="8"/>
        <v>920496.64175924333</v>
      </c>
      <c r="H31">
        <f>IF(A31&lt;='Prepay vs Invest'!$B$7*12,IF(AND(A31&gt;='Prepay vs Invest'!$B$11,A31&lt;='Prepay vs Invest'!$B$12),'Prepay vs Invest'!$B$10,0)+IF(A31='Prepay vs Invest'!$B$9,'Prepay vs Invest'!$B$8,0),0)</f>
        <v>10000</v>
      </c>
      <c r="I31">
        <f>G31*(1+MAX(0,'Prepay vs Invest'!$B$13-'Prepay vs Invest'!$B$14)/1200)+H31</f>
        <v>939318.06790943607</v>
      </c>
      <c r="J31">
        <f t="shared" si="9"/>
        <v>800000</v>
      </c>
      <c r="K31">
        <f>MAX(0,(I31-J31-'Prepay vs Invest'!$B$16)*'Prepay vs Invest'!$B$15/100)</f>
        <v>1789.7584886795084</v>
      </c>
      <c r="L31">
        <f t="shared" si="2"/>
        <v>937528.30942075653</v>
      </c>
      <c r="M31">
        <f t="shared" si="10"/>
        <v>8555040.1643388961</v>
      </c>
      <c r="N31">
        <f>IF(M31&gt;0,M31*'Prepay vs Invest'!$B$6/1200,0)</f>
        <v>53469.001027118094</v>
      </c>
      <c r="O31">
        <f>IF(M31&gt;0,MIN('Prepay vs Invest'!$E$5,M31+N31),0)</f>
        <v>80559.31935518072</v>
      </c>
      <c r="P31">
        <f>MIN(MAX(0,M31+N31-O31),IF(AND(A31&gt;='Prepay vs Invest'!$B$11,A31&lt;='Prepay vs Invest'!$B$12),'Prepay vs Invest'!$B$10,0)+IF(A31='Prepay vs Invest'!$B$9,'Prepay vs Invest'!$B$8,0))</f>
        <v>10000</v>
      </c>
      <c r="Q31">
        <f t="shared" si="3"/>
        <v>8517949.846010834</v>
      </c>
      <c r="R31">
        <f t="shared" si="11"/>
        <v>0</v>
      </c>
      <c r="S31">
        <f>IF(A31&lt;='Prepay vs Invest'!$B$7*12,MAX(0,'Prepay vs Invest'!$E$5+IF(AND(A31&gt;='Prepay vs Invest'!$B$11,A31&lt;='Prepay vs Invest'!$B$12),'Prepay vs Invest'!$B$10,0)+IF(A31='Prepay vs Invest'!$B$9,'Prepay vs Invest'!$B$8,0)-O31-P31),0)</f>
        <v>0</v>
      </c>
      <c r="T31">
        <f>R31*(1+MAX(0,'Prepay vs Invest'!$B$13-'Prepay vs Invest'!$B$14)/1200)+S31</f>
        <v>0</v>
      </c>
      <c r="U31">
        <f t="shared" si="12"/>
        <v>0</v>
      </c>
      <c r="V31">
        <f>MAX(0,(T31-U31-'Prepay vs Invest'!$B$16)*'Prepay vs Invest'!$B$15/100)</f>
        <v>0</v>
      </c>
      <c r="W31">
        <f t="shared" si="4"/>
        <v>0</v>
      </c>
      <c r="X31">
        <f t="shared" si="13"/>
        <v>8663986.4449947663</v>
      </c>
      <c r="Y31">
        <f>IF(X31&gt;0,X31*'Prepay vs Invest'!$B$6/1200,0)</f>
        <v>54149.915281217291</v>
      </c>
      <c r="Z31">
        <f>IF(X31&gt;0,MIN(-PMT('Prepay vs Invest'!$B$6/1200,'Prepay vs Invest'!$B$7*12-A31+1,X31),X31+Y31),0)</f>
        <v>74032.880017083211</v>
      </c>
      <c r="AA31">
        <f>MIN(MAX(0,X31+Y31-Z31),IF(AND(A31&gt;='Prepay vs Invest'!$B$11,A31&lt;='Prepay vs Invest'!$B$12),'Prepay vs Invest'!$B$10,0)+IF(A31='Prepay vs Invest'!$B$9,'Prepay vs Invest'!$B$8,0))</f>
        <v>10000</v>
      </c>
      <c r="AB31">
        <f t="shared" si="5"/>
        <v>8634103.4802589007</v>
      </c>
      <c r="AC31">
        <f t="shared" si="14"/>
        <v>112072.28152118459</v>
      </c>
      <c r="AD31">
        <f>IF(A31&lt;='Prepay vs Invest'!$B$7*12,MAX(0,'Prepay vs Invest'!$E$5+IF(AND(A31&gt;='Prepay vs Invest'!$B$11,A31&lt;='Prepay vs Invest'!$B$12),'Prepay vs Invest'!$B$10,0)+IF(A31='Prepay vs Invest'!$B$9,'Prepay vs Invest'!$B$8,0)-Z31-AA31),0)</f>
        <v>6526.4393380975089</v>
      </c>
      <c r="AE31">
        <f>AC31*(1+MAX(0,'Prepay vs Invest'!$B$13-'Prepay vs Invest'!$B$14)/1200)+AD31</f>
        <v>119672.74689052677</v>
      </c>
      <c r="AF31">
        <f t="shared" si="15"/>
        <v>109914.40144242208</v>
      </c>
      <c r="AG31">
        <f>MAX(0,(AE31-AF31-'Prepay vs Invest'!$B$16)*'Prepay vs Invest'!$B$15/100)</f>
        <v>0</v>
      </c>
      <c r="AH31">
        <f t="shared" si="6"/>
        <v>119672.74689052677</v>
      </c>
    </row>
    <row r="32" spans="1:34" x14ac:dyDescent="0.35">
      <c r="A32">
        <f t="shared" si="7"/>
        <v>31</v>
      </c>
      <c r="B32">
        <f>IF(A32&lt;='Prepay vs Invest'!$B$7*12,F31,0)</f>
        <v>9406132.6892148368</v>
      </c>
      <c r="C32">
        <f>IF(B32&gt;0,B32*'Prepay vs Invest'!$B$6/1200,0)</f>
        <v>58788.329307592736</v>
      </c>
      <c r="D32">
        <f>IF(B32&gt;0,MIN(-PMT('Prepay vs Invest'!$B$6/1200,'Prepay vs Invest'!$B$7*12,'Prepay vs Invest'!$B$5),B32+C32),0)</f>
        <v>80559.31935518072</v>
      </c>
      <c r="E32">
        <f t="shared" si="0"/>
        <v>21770.990047587984</v>
      </c>
      <c r="F32">
        <f t="shared" si="1"/>
        <v>9384361.6991672497</v>
      </c>
      <c r="G32">
        <f t="shared" si="8"/>
        <v>939318.06790943607</v>
      </c>
      <c r="H32">
        <f>IF(A32&lt;='Prepay vs Invest'!$B$7*12,IF(AND(A32&gt;='Prepay vs Invest'!$B$11,A32&lt;='Prepay vs Invest'!$B$12),'Prepay vs Invest'!$B$10,0)+IF(A32='Prepay vs Invest'!$B$9,'Prepay vs Invest'!$B$8,0),0)</f>
        <v>10000</v>
      </c>
      <c r="I32">
        <f>G32*(1+MAX(0,'Prepay vs Invest'!$B$13-'Prepay vs Invest'!$B$14)/1200)+H32</f>
        <v>958319.86606023472</v>
      </c>
      <c r="J32">
        <f t="shared" si="9"/>
        <v>810000</v>
      </c>
      <c r="K32">
        <f>MAX(0,(I32-J32-'Prepay vs Invest'!$B$16)*'Prepay vs Invest'!$B$15/100)</f>
        <v>2914.9832575293403</v>
      </c>
      <c r="L32">
        <f t="shared" si="2"/>
        <v>955404.8828027054</v>
      </c>
      <c r="M32">
        <f t="shared" si="10"/>
        <v>8517949.846010834</v>
      </c>
      <c r="N32">
        <f>IF(M32&gt;0,M32*'Prepay vs Invest'!$B$6/1200,0)</f>
        <v>53237.186537567715</v>
      </c>
      <c r="O32">
        <f>IF(M32&gt;0,MIN('Prepay vs Invest'!$E$5,M32+N32),0)</f>
        <v>80559.31935518072</v>
      </c>
      <c r="P32">
        <f>MIN(MAX(0,M32+N32-O32),IF(AND(A32&gt;='Prepay vs Invest'!$B$11,A32&lt;='Prepay vs Invest'!$B$12),'Prepay vs Invest'!$B$10,0)+IF(A32='Prepay vs Invest'!$B$9,'Prepay vs Invest'!$B$8,0))</f>
        <v>10000</v>
      </c>
      <c r="Q32">
        <f t="shared" si="3"/>
        <v>8480627.713193221</v>
      </c>
      <c r="R32">
        <f t="shared" si="11"/>
        <v>0</v>
      </c>
      <c r="S32">
        <f>IF(A32&lt;='Prepay vs Invest'!$B$7*12,MAX(0,'Prepay vs Invest'!$E$5+IF(AND(A32&gt;='Prepay vs Invest'!$B$11,A32&lt;='Prepay vs Invest'!$B$12),'Prepay vs Invest'!$B$10,0)+IF(A32='Prepay vs Invest'!$B$9,'Prepay vs Invest'!$B$8,0)-O32-P32),0)</f>
        <v>0</v>
      </c>
      <c r="T32">
        <f>R32*(1+MAX(0,'Prepay vs Invest'!$B$13-'Prepay vs Invest'!$B$14)/1200)+S32</f>
        <v>0</v>
      </c>
      <c r="U32">
        <f t="shared" si="12"/>
        <v>0</v>
      </c>
      <c r="V32">
        <f>MAX(0,(T32-U32-'Prepay vs Invest'!$B$16)*'Prepay vs Invest'!$B$15/100)</f>
        <v>0</v>
      </c>
      <c r="W32">
        <f t="shared" si="4"/>
        <v>0</v>
      </c>
      <c r="X32">
        <f t="shared" si="13"/>
        <v>8634103.4802589007</v>
      </c>
      <c r="Y32">
        <f>IF(X32&gt;0,X32*'Prepay vs Invest'!$B$6/1200,0)</f>
        <v>53963.146751618129</v>
      </c>
      <c r="Z32">
        <f>IF(X32&gt;0,MIN(-PMT('Prepay vs Invest'!$B$6/1200,'Prepay vs Invest'!$B$7*12-A32+1,X32),X32+Y32),0)</f>
        <v>73947.234489833165</v>
      </c>
      <c r="AA32">
        <f>MIN(MAX(0,X32+Y32-Z32),IF(AND(A32&gt;='Prepay vs Invest'!$B$11,A32&lt;='Prepay vs Invest'!$B$12),'Prepay vs Invest'!$B$10,0)+IF(A32='Prepay vs Invest'!$B$9,'Prepay vs Invest'!$B$8,0))</f>
        <v>10000</v>
      </c>
      <c r="AB32">
        <f t="shared" si="5"/>
        <v>8604119.3925206847</v>
      </c>
      <c r="AC32">
        <f t="shared" si="14"/>
        <v>119672.74689052677</v>
      </c>
      <c r="AD32">
        <f>IF(A32&lt;='Prepay vs Invest'!$B$7*12,MAX(0,'Prepay vs Invest'!$E$5+IF(AND(A32&gt;='Prepay vs Invest'!$B$11,A32&lt;='Prepay vs Invest'!$B$12),'Prepay vs Invest'!$B$10,0)+IF(A32='Prepay vs Invest'!$B$9,'Prepay vs Invest'!$B$8,0)-Z32-AA32),0)</f>
        <v>6612.084865347555</v>
      </c>
      <c r="AE32">
        <f>AC32*(1+MAX(0,'Prepay vs Invest'!$B$13-'Prepay vs Invest'!$B$14)/1200)+AD32</f>
        <v>127431.69558024187</v>
      </c>
      <c r="AF32">
        <f t="shared" si="15"/>
        <v>116526.48630776964</v>
      </c>
      <c r="AG32">
        <f>MAX(0,(AE32-AF32-'Prepay vs Invest'!$B$16)*'Prepay vs Invest'!$B$15/100)</f>
        <v>0</v>
      </c>
      <c r="AH32">
        <f t="shared" si="6"/>
        <v>127431.69558024187</v>
      </c>
    </row>
    <row r="33" spans="1:34" x14ac:dyDescent="0.35">
      <c r="A33">
        <f t="shared" si="7"/>
        <v>32</v>
      </c>
      <c r="B33">
        <f>IF(A33&lt;='Prepay vs Invest'!$B$7*12,F32,0)</f>
        <v>9384361.6991672497</v>
      </c>
      <c r="C33">
        <f>IF(B33&gt;0,B33*'Prepay vs Invest'!$B$6/1200,0)</f>
        <v>58652.260619795306</v>
      </c>
      <c r="D33">
        <f>IF(B33&gt;0,MIN(-PMT('Prepay vs Invest'!$B$6/1200,'Prepay vs Invest'!$B$7*12,'Prepay vs Invest'!$B$5),B33+C33),0)</f>
        <v>80559.31935518072</v>
      </c>
      <c r="E33">
        <f t="shared" si="0"/>
        <v>21907.058735385413</v>
      </c>
      <c r="F33">
        <f t="shared" si="1"/>
        <v>9362454.6404318642</v>
      </c>
      <c r="G33">
        <f t="shared" si="8"/>
        <v>958319.86606023472</v>
      </c>
      <c r="H33">
        <f>IF(A33&lt;='Prepay vs Invest'!$B$7*12,IF(AND(A33&gt;='Prepay vs Invest'!$B$11,A33&lt;='Prepay vs Invest'!$B$12),'Prepay vs Invest'!$B$10,0)+IF(A33='Prepay vs Invest'!$B$9,'Prepay vs Invest'!$B$8,0),0)</f>
        <v>10000</v>
      </c>
      <c r="I33">
        <f>G33*(1+MAX(0,'Prepay vs Invest'!$B$13-'Prepay vs Invest'!$B$14)/1200)+H33</f>
        <v>977503.76477664523</v>
      </c>
      <c r="J33">
        <f t="shared" si="9"/>
        <v>820000</v>
      </c>
      <c r="K33">
        <f>MAX(0,(I33-J33-'Prepay vs Invest'!$B$16)*'Prepay vs Invest'!$B$15/100)</f>
        <v>4062.9705970806535</v>
      </c>
      <c r="L33">
        <f t="shared" si="2"/>
        <v>973440.79417956457</v>
      </c>
      <c r="M33">
        <f t="shared" si="10"/>
        <v>8480627.713193221</v>
      </c>
      <c r="N33">
        <f>IF(M33&gt;0,M33*'Prepay vs Invest'!$B$6/1200,0)</f>
        <v>53003.923207457628</v>
      </c>
      <c r="O33">
        <f>IF(M33&gt;0,MIN('Prepay vs Invest'!$E$5,M33+N33),0)</f>
        <v>80559.31935518072</v>
      </c>
      <c r="P33">
        <f>MIN(MAX(0,M33+N33-O33),IF(AND(A33&gt;='Prepay vs Invest'!$B$11,A33&lt;='Prepay vs Invest'!$B$12),'Prepay vs Invest'!$B$10,0)+IF(A33='Prepay vs Invest'!$B$9,'Prepay vs Invest'!$B$8,0))</f>
        <v>10000</v>
      </c>
      <c r="Q33">
        <f t="shared" si="3"/>
        <v>8443072.3170454986</v>
      </c>
      <c r="R33">
        <f t="shared" si="11"/>
        <v>0</v>
      </c>
      <c r="S33">
        <f>IF(A33&lt;='Prepay vs Invest'!$B$7*12,MAX(0,'Prepay vs Invest'!$E$5+IF(AND(A33&gt;='Prepay vs Invest'!$B$11,A33&lt;='Prepay vs Invest'!$B$12),'Prepay vs Invest'!$B$10,0)+IF(A33='Prepay vs Invest'!$B$9,'Prepay vs Invest'!$B$8,0)-O33-P33),0)</f>
        <v>0</v>
      </c>
      <c r="T33">
        <f>R33*(1+MAX(0,'Prepay vs Invest'!$B$13-'Prepay vs Invest'!$B$14)/1200)+S33</f>
        <v>0</v>
      </c>
      <c r="U33">
        <f t="shared" si="12"/>
        <v>0</v>
      </c>
      <c r="V33">
        <f>MAX(0,(T33-U33-'Prepay vs Invest'!$B$16)*'Prepay vs Invest'!$B$15/100)</f>
        <v>0</v>
      </c>
      <c r="W33">
        <f t="shared" si="4"/>
        <v>0</v>
      </c>
      <c r="X33">
        <f t="shared" si="13"/>
        <v>8604119.3925206847</v>
      </c>
      <c r="Y33">
        <f>IF(X33&gt;0,X33*'Prepay vs Invest'!$B$6/1200,0)</f>
        <v>53775.746203254283</v>
      </c>
      <c r="Z33">
        <f>IF(X33&gt;0,MIN(-PMT('Prepay vs Invest'!$B$6/1200,'Prepay vs Invest'!$B$7*12-A33+1,X33),X33+Y33),0)</f>
        <v>73861.390271613884</v>
      </c>
      <c r="AA33">
        <f>MIN(MAX(0,X33+Y33-Z33),IF(AND(A33&gt;='Prepay vs Invest'!$B$11,A33&lt;='Prepay vs Invest'!$B$12),'Prepay vs Invest'!$B$10,0)+IF(A33='Prepay vs Invest'!$B$9,'Prepay vs Invest'!$B$8,0))</f>
        <v>10000</v>
      </c>
      <c r="AB33">
        <f t="shared" si="5"/>
        <v>8574033.7484523263</v>
      </c>
      <c r="AC33">
        <f t="shared" si="14"/>
        <v>127431.69558024187</v>
      </c>
      <c r="AD33">
        <f>IF(A33&lt;='Prepay vs Invest'!$B$7*12,MAX(0,'Prepay vs Invest'!$E$5+IF(AND(A33&gt;='Prepay vs Invest'!$B$11,A33&lt;='Prepay vs Invest'!$B$12),'Prepay vs Invest'!$B$10,0)+IF(A33='Prepay vs Invest'!$B$9,'Prepay vs Invest'!$B$8,0)-Z33-AA33),0)</f>
        <v>6697.9290835668362</v>
      </c>
      <c r="AE33">
        <f>AC33*(1+MAX(0,'Prepay vs Invest'!$B$13-'Prepay vs Invest'!$B$14)/1200)+AD33</f>
        <v>135350.84507978603</v>
      </c>
      <c r="AF33">
        <f t="shared" si="15"/>
        <v>123224.41539133647</v>
      </c>
      <c r="AG33">
        <f>MAX(0,(AE33-AF33-'Prepay vs Invest'!$B$16)*'Prepay vs Invest'!$B$15/100)</f>
        <v>0</v>
      </c>
      <c r="AH33">
        <f t="shared" si="6"/>
        <v>135350.84507978603</v>
      </c>
    </row>
    <row r="34" spans="1:34" x14ac:dyDescent="0.35">
      <c r="A34">
        <f t="shared" si="7"/>
        <v>33</v>
      </c>
      <c r="B34">
        <f>IF(A34&lt;='Prepay vs Invest'!$B$7*12,F33,0)</f>
        <v>9362454.6404318642</v>
      </c>
      <c r="C34">
        <f>IF(B34&gt;0,B34*'Prepay vs Invest'!$B$6/1200,0)</f>
        <v>58515.341502699157</v>
      </c>
      <c r="D34">
        <f>IF(B34&gt;0,MIN(-PMT('Prepay vs Invest'!$B$6/1200,'Prepay vs Invest'!$B$7*12,'Prepay vs Invest'!$B$5),B34+C34),0)</f>
        <v>80559.31935518072</v>
      </c>
      <c r="E34">
        <f t="shared" si="0"/>
        <v>22043.977852481563</v>
      </c>
      <c r="F34">
        <f t="shared" si="1"/>
        <v>9340410.6625793837</v>
      </c>
      <c r="G34">
        <f t="shared" si="8"/>
        <v>977503.76477664523</v>
      </c>
      <c r="H34">
        <f>IF(A34&lt;='Prepay vs Invest'!$B$7*12,IF(AND(A34&gt;='Prepay vs Invest'!$B$11,A34&lt;='Prepay vs Invest'!$B$12),'Prepay vs Invest'!$B$10,0)+IF(A34='Prepay vs Invest'!$B$9,'Prepay vs Invest'!$B$8,0),0)</f>
        <v>10000</v>
      </c>
      <c r="I34">
        <f>G34*(1+MAX(0,'Prepay vs Invest'!$B$13-'Prepay vs Invest'!$B$14)/1200)+H34</f>
        <v>996871.50918908801</v>
      </c>
      <c r="J34">
        <f t="shared" si="9"/>
        <v>830000</v>
      </c>
      <c r="K34">
        <f>MAX(0,(I34-J34-'Prepay vs Invest'!$B$16)*'Prepay vs Invest'!$B$15/100)</f>
        <v>5233.9386486360017</v>
      </c>
      <c r="L34">
        <f t="shared" si="2"/>
        <v>991637.57054045203</v>
      </c>
      <c r="M34">
        <f t="shared" si="10"/>
        <v>8443072.3170454986</v>
      </c>
      <c r="N34">
        <f>IF(M34&gt;0,M34*'Prepay vs Invest'!$B$6/1200,0)</f>
        <v>52769.201981534366</v>
      </c>
      <c r="O34">
        <f>IF(M34&gt;0,MIN('Prepay vs Invest'!$E$5,M34+N34),0)</f>
        <v>80559.31935518072</v>
      </c>
      <c r="P34">
        <f>MIN(MAX(0,M34+N34-O34),IF(AND(A34&gt;='Prepay vs Invest'!$B$11,A34&lt;='Prepay vs Invest'!$B$12),'Prepay vs Invest'!$B$10,0)+IF(A34='Prepay vs Invest'!$B$9,'Prepay vs Invest'!$B$8,0))</f>
        <v>10000</v>
      </c>
      <c r="Q34">
        <f t="shared" si="3"/>
        <v>8405282.1996718533</v>
      </c>
      <c r="R34">
        <f t="shared" si="11"/>
        <v>0</v>
      </c>
      <c r="S34">
        <f>IF(A34&lt;='Prepay vs Invest'!$B$7*12,MAX(0,'Prepay vs Invest'!$E$5+IF(AND(A34&gt;='Prepay vs Invest'!$B$11,A34&lt;='Prepay vs Invest'!$B$12),'Prepay vs Invest'!$B$10,0)+IF(A34='Prepay vs Invest'!$B$9,'Prepay vs Invest'!$B$8,0)-O34-P34),0)</f>
        <v>0</v>
      </c>
      <c r="T34">
        <f>R34*(1+MAX(0,'Prepay vs Invest'!$B$13-'Prepay vs Invest'!$B$14)/1200)+S34</f>
        <v>0</v>
      </c>
      <c r="U34">
        <f t="shared" si="12"/>
        <v>0</v>
      </c>
      <c r="V34">
        <f>MAX(0,(T34-U34-'Prepay vs Invest'!$B$16)*'Prepay vs Invest'!$B$15/100)</f>
        <v>0</v>
      </c>
      <c r="W34">
        <f t="shared" si="4"/>
        <v>0</v>
      </c>
      <c r="X34">
        <f t="shared" si="13"/>
        <v>8574033.7484523263</v>
      </c>
      <c r="Y34">
        <f>IF(X34&gt;0,X34*'Prepay vs Invest'!$B$6/1200,0)</f>
        <v>53587.710927827044</v>
      </c>
      <c r="Z34">
        <f>IF(X34&gt;0,MIN(-PMT('Prepay vs Invest'!$B$6/1200,'Prepay vs Invest'!$B$7*12-A34+1,X34),X34+Y34),0)</f>
        <v>73775.345187873478</v>
      </c>
      <c r="AA34">
        <f>MIN(MAX(0,X34+Y34-Z34),IF(AND(A34&gt;='Prepay vs Invest'!$B$11,A34&lt;='Prepay vs Invest'!$B$12),'Prepay vs Invest'!$B$10,0)+IF(A34='Prepay vs Invest'!$B$9,'Prepay vs Invest'!$B$8,0))</f>
        <v>10000</v>
      </c>
      <c r="AB34">
        <f t="shared" si="5"/>
        <v>8543846.1141922809</v>
      </c>
      <c r="AC34">
        <f t="shared" si="14"/>
        <v>135350.84507978603</v>
      </c>
      <c r="AD34">
        <f>IF(A34&lt;='Prepay vs Invest'!$B$7*12,MAX(0,'Prepay vs Invest'!$E$5+IF(AND(A34&gt;='Prepay vs Invest'!$B$11,A34&lt;='Prepay vs Invest'!$B$12),'Prepay vs Invest'!$B$10,0)+IF(A34='Prepay vs Invest'!$B$9,'Prepay vs Invest'!$B$8,0)-Z34-AA34),0)</f>
        <v>6783.9741673072422</v>
      </c>
      <c r="AE34">
        <f>AC34*(1+MAX(0,'Prepay vs Invest'!$B$13-'Prepay vs Invest'!$B$14)/1200)+AD34</f>
        <v>143431.9315124412</v>
      </c>
      <c r="AF34">
        <f t="shared" si="15"/>
        <v>130008.38955864371</v>
      </c>
      <c r="AG34">
        <f>MAX(0,(AE34-AF34-'Prepay vs Invest'!$B$16)*'Prepay vs Invest'!$B$15/100)</f>
        <v>0</v>
      </c>
      <c r="AH34">
        <f t="shared" si="6"/>
        <v>143431.9315124412</v>
      </c>
    </row>
    <row r="35" spans="1:34" x14ac:dyDescent="0.35">
      <c r="A35">
        <f t="shared" si="7"/>
        <v>34</v>
      </c>
      <c r="B35">
        <f>IF(A35&lt;='Prepay vs Invest'!$B$7*12,F34,0)</f>
        <v>9340410.6625793837</v>
      </c>
      <c r="C35">
        <f>IF(B35&gt;0,B35*'Prepay vs Invest'!$B$6/1200,0)</f>
        <v>58377.56664112115</v>
      </c>
      <c r="D35">
        <f>IF(B35&gt;0,MIN(-PMT('Prepay vs Invest'!$B$6/1200,'Prepay vs Invest'!$B$7*12,'Prepay vs Invest'!$B$5),B35+C35),0)</f>
        <v>80559.31935518072</v>
      </c>
      <c r="E35">
        <f t="shared" si="0"/>
        <v>22181.75271405957</v>
      </c>
      <c r="F35">
        <f t="shared" si="1"/>
        <v>9318228.9098653235</v>
      </c>
      <c r="G35">
        <f t="shared" si="8"/>
        <v>996871.50918908801</v>
      </c>
      <c r="H35">
        <f>IF(A35&lt;='Prepay vs Invest'!$B$7*12,IF(AND(A35&gt;='Prepay vs Invest'!$B$11,A35&lt;='Prepay vs Invest'!$B$12),'Prepay vs Invest'!$B$10,0)+IF(A35='Prepay vs Invest'!$B$9,'Prepay vs Invest'!$B$8,0),0)</f>
        <v>10000</v>
      </c>
      <c r="I35">
        <f>G35*(1+MAX(0,'Prepay vs Invest'!$B$13-'Prepay vs Invest'!$B$14)/1200)+H35</f>
        <v>1016424.8611521501</v>
      </c>
      <c r="J35">
        <f t="shared" si="9"/>
        <v>840000</v>
      </c>
      <c r="K35">
        <f>MAX(0,(I35-J35-'Prepay vs Invest'!$B$16)*'Prepay vs Invest'!$B$15/100)</f>
        <v>6428.1076440187617</v>
      </c>
      <c r="L35">
        <f t="shared" si="2"/>
        <v>1009996.7535081314</v>
      </c>
      <c r="M35">
        <f t="shared" si="10"/>
        <v>8405282.1996718533</v>
      </c>
      <c r="N35">
        <f>IF(M35&gt;0,M35*'Prepay vs Invest'!$B$6/1200,0)</f>
        <v>52533.013747949088</v>
      </c>
      <c r="O35">
        <f>IF(M35&gt;0,MIN('Prepay vs Invest'!$E$5,M35+N35),0)</f>
        <v>80559.31935518072</v>
      </c>
      <c r="P35">
        <f>MIN(MAX(0,M35+N35-O35),IF(AND(A35&gt;='Prepay vs Invest'!$B$11,A35&lt;='Prepay vs Invest'!$B$12),'Prepay vs Invest'!$B$10,0)+IF(A35='Prepay vs Invest'!$B$9,'Prepay vs Invest'!$B$8,0))</f>
        <v>10000</v>
      </c>
      <c r="Q35">
        <f t="shared" si="3"/>
        <v>8367255.894064622</v>
      </c>
      <c r="R35">
        <f t="shared" si="11"/>
        <v>0</v>
      </c>
      <c r="S35">
        <f>IF(A35&lt;='Prepay vs Invest'!$B$7*12,MAX(0,'Prepay vs Invest'!$E$5+IF(AND(A35&gt;='Prepay vs Invest'!$B$11,A35&lt;='Prepay vs Invest'!$B$12),'Prepay vs Invest'!$B$10,0)+IF(A35='Prepay vs Invest'!$B$9,'Prepay vs Invest'!$B$8,0)-O35-P35),0)</f>
        <v>0</v>
      </c>
      <c r="T35">
        <f>R35*(1+MAX(0,'Prepay vs Invest'!$B$13-'Prepay vs Invest'!$B$14)/1200)+S35</f>
        <v>0</v>
      </c>
      <c r="U35">
        <f t="shared" si="12"/>
        <v>0</v>
      </c>
      <c r="V35">
        <f>MAX(0,(T35-U35-'Prepay vs Invest'!$B$16)*'Prepay vs Invest'!$B$15/100)</f>
        <v>0</v>
      </c>
      <c r="W35">
        <f t="shared" si="4"/>
        <v>0</v>
      </c>
      <c r="X35">
        <f t="shared" si="13"/>
        <v>8543846.1141922809</v>
      </c>
      <c r="Y35">
        <f>IF(X35&gt;0,X35*'Prepay vs Invest'!$B$6/1200,0)</f>
        <v>53399.038213701759</v>
      </c>
      <c r="Z35">
        <f>IF(X35&gt;0,MIN(-PMT('Prepay vs Invest'!$B$6/1200,'Prepay vs Invest'!$B$7*12-A35+1,X35),X35+Y35),0)</f>
        <v>73689.09703212812</v>
      </c>
      <c r="AA35">
        <f>MIN(MAX(0,X35+Y35-Z35),IF(AND(A35&gt;='Prepay vs Invest'!$B$11,A35&lt;='Prepay vs Invest'!$B$12),'Prepay vs Invest'!$B$10,0)+IF(A35='Prepay vs Invest'!$B$9,'Prepay vs Invest'!$B$8,0))</f>
        <v>10000</v>
      </c>
      <c r="AB35">
        <f t="shared" si="5"/>
        <v>8513556.0553738549</v>
      </c>
      <c r="AC35">
        <f t="shared" si="14"/>
        <v>143431.9315124412</v>
      </c>
      <c r="AD35">
        <f>IF(A35&lt;='Prepay vs Invest'!$B$7*12,MAX(0,'Prepay vs Invest'!$E$5+IF(AND(A35&gt;='Prepay vs Invest'!$B$11,A35&lt;='Prepay vs Invest'!$B$12),'Prepay vs Invest'!$B$10,0)+IF(A35='Prepay vs Invest'!$B$9,'Prepay vs Invest'!$B$8,0)-Z35-AA35),0)</f>
        <v>6870.2223230525997</v>
      </c>
      <c r="AE35">
        <f>AC35*(1+MAX(0,'Prepay vs Invest'!$B$13-'Prepay vs Invest'!$B$14)/1200)+AD35</f>
        <v>151676.70984582137</v>
      </c>
      <c r="AF35">
        <f t="shared" si="15"/>
        <v>136878.61188169633</v>
      </c>
      <c r="AG35">
        <f>MAX(0,(AE35-AF35-'Prepay vs Invest'!$B$16)*'Prepay vs Invest'!$B$15/100)</f>
        <v>0</v>
      </c>
      <c r="AH35">
        <f t="shared" si="6"/>
        <v>151676.70984582137</v>
      </c>
    </row>
    <row r="36" spans="1:34" x14ac:dyDescent="0.35">
      <c r="A36">
        <f t="shared" si="7"/>
        <v>35</v>
      </c>
      <c r="B36">
        <f>IF(A36&lt;='Prepay vs Invest'!$B$7*12,F35,0)</f>
        <v>9318228.9098653235</v>
      </c>
      <c r="C36">
        <f>IF(B36&gt;0,B36*'Prepay vs Invest'!$B$6/1200,0)</f>
        <v>58238.93068665827</v>
      </c>
      <c r="D36">
        <f>IF(B36&gt;0,MIN(-PMT('Prepay vs Invest'!$B$6/1200,'Prepay vs Invest'!$B$7*12,'Prepay vs Invest'!$B$5),B36+C36),0)</f>
        <v>80559.31935518072</v>
      </c>
      <c r="E36">
        <f t="shared" si="0"/>
        <v>22320.38866852245</v>
      </c>
      <c r="F36">
        <f t="shared" si="1"/>
        <v>9295908.5211968012</v>
      </c>
      <c r="G36">
        <f t="shared" si="8"/>
        <v>1016424.8611521501</v>
      </c>
      <c r="H36">
        <f>IF(A36&lt;='Prepay vs Invest'!$B$7*12,IF(AND(A36&gt;='Prepay vs Invest'!$B$11,A36&lt;='Prepay vs Invest'!$B$12),'Prepay vs Invest'!$B$10,0)+IF(A36='Prepay vs Invest'!$B$9,'Prepay vs Invest'!$B$8,0),0)</f>
        <v>10000</v>
      </c>
      <c r="I36">
        <f>G36*(1+MAX(0,'Prepay vs Invest'!$B$13-'Prepay vs Invest'!$B$14)/1200)+H36</f>
        <v>1036165.5994048581</v>
      </c>
      <c r="J36">
        <f t="shared" si="9"/>
        <v>850000</v>
      </c>
      <c r="K36">
        <f>MAX(0,(I36-J36-'Prepay vs Invest'!$B$16)*'Prepay vs Invest'!$B$15/100)</f>
        <v>7645.6999256072586</v>
      </c>
      <c r="L36">
        <f t="shared" si="2"/>
        <v>1028519.8994792508</v>
      </c>
      <c r="M36">
        <f t="shared" si="10"/>
        <v>8367255.894064622</v>
      </c>
      <c r="N36">
        <f>IF(M36&gt;0,M36*'Prepay vs Invest'!$B$6/1200,0)</f>
        <v>52295.349337903892</v>
      </c>
      <c r="O36">
        <f>IF(M36&gt;0,MIN('Prepay vs Invest'!$E$5,M36+N36),0)</f>
        <v>80559.31935518072</v>
      </c>
      <c r="P36">
        <f>MIN(MAX(0,M36+N36-O36),IF(AND(A36&gt;='Prepay vs Invest'!$B$11,A36&lt;='Prepay vs Invest'!$B$12),'Prepay vs Invest'!$B$10,0)+IF(A36='Prepay vs Invest'!$B$9,'Prepay vs Invest'!$B$8,0))</f>
        <v>10000</v>
      </c>
      <c r="Q36">
        <f t="shared" si="3"/>
        <v>8328991.9240473453</v>
      </c>
      <c r="R36">
        <f t="shared" si="11"/>
        <v>0</v>
      </c>
      <c r="S36">
        <f>IF(A36&lt;='Prepay vs Invest'!$B$7*12,MAX(0,'Prepay vs Invest'!$E$5+IF(AND(A36&gt;='Prepay vs Invest'!$B$11,A36&lt;='Prepay vs Invest'!$B$12),'Prepay vs Invest'!$B$10,0)+IF(A36='Prepay vs Invest'!$B$9,'Prepay vs Invest'!$B$8,0)-O36-P36),0)</f>
        <v>0</v>
      </c>
      <c r="T36">
        <f>R36*(1+MAX(0,'Prepay vs Invest'!$B$13-'Prepay vs Invest'!$B$14)/1200)+S36</f>
        <v>0</v>
      </c>
      <c r="U36">
        <f t="shared" si="12"/>
        <v>0</v>
      </c>
      <c r="V36">
        <f>MAX(0,(T36-U36-'Prepay vs Invest'!$B$16)*'Prepay vs Invest'!$B$15/100)</f>
        <v>0</v>
      </c>
      <c r="W36">
        <f t="shared" si="4"/>
        <v>0</v>
      </c>
      <c r="X36">
        <f t="shared" si="13"/>
        <v>8513556.0553738549</v>
      </c>
      <c r="Y36">
        <f>IF(X36&gt;0,X36*'Prepay vs Invest'!$B$6/1200,0)</f>
        <v>53209.725346086598</v>
      </c>
      <c r="Z36">
        <f>IF(X36&gt;0,MIN(-PMT('Prepay vs Invest'!$B$6/1200,'Prepay vs Invest'!$B$7*12-A36+1,X36),X36+Y36),0)</f>
        <v>73602.643565343387</v>
      </c>
      <c r="AA36">
        <f>MIN(MAX(0,X36+Y36-Z36),IF(AND(A36&gt;='Prepay vs Invest'!$B$11,A36&lt;='Prepay vs Invest'!$B$12),'Prepay vs Invest'!$B$10,0)+IF(A36='Prepay vs Invest'!$B$9,'Prepay vs Invest'!$B$8,0))</f>
        <v>10000</v>
      </c>
      <c r="AB36">
        <f t="shared" si="5"/>
        <v>8483163.1371545978</v>
      </c>
      <c r="AC36">
        <f t="shared" si="14"/>
        <v>151676.70984582137</v>
      </c>
      <c r="AD36">
        <f>IF(A36&lt;='Prepay vs Invest'!$B$7*12,MAX(0,'Prepay vs Invest'!$E$5+IF(AND(A36&gt;='Prepay vs Invest'!$B$11,A36&lt;='Prepay vs Invest'!$B$12),'Prepay vs Invest'!$B$10,0)+IF(A36='Prepay vs Invest'!$B$9,'Prepay vs Invest'!$B$8,0)-Z36-AA36),0)</f>
        <v>6956.6757898373326</v>
      </c>
      <c r="AE36">
        <f>AC36*(1+MAX(0,'Prepay vs Invest'!$B$13-'Prepay vs Invest'!$B$14)/1200)+AD36</f>
        <v>160086.95410501451</v>
      </c>
      <c r="AF36">
        <f t="shared" si="15"/>
        <v>143835.28767153365</v>
      </c>
      <c r="AG36">
        <f>MAX(0,(AE36-AF36-'Prepay vs Invest'!$B$16)*'Prepay vs Invest'!$B$15/100)</f>
        <v>0</v>
      </c>
      <c r="AH36">
        <f t="shared" si="6"/>
        <v>160086.95410501451</v>
      </c>
    </row>
    <row r="37" spans="1:34" x14ac:dyDescent="0.35">
      <c r="A37">
        <f t="shared" si="7"/>
        <v>36</v>
      </c>
      <c r="B37">
        <f>IF(A37&lt;='Prepay vs Invest'!$B$7*12,F36,0)</f>
        <v>9295908.5211968012</v>
      </c>
      <c r="C37">
        <f>IF(B37&gt;0,B37*'Prepay vs Invest'!$B$6/1200,0)</f>
        <v>58099.428257480002</v>
      </c>
      <c r="D37">
        <f>IF(B37&gt;0,MIN(-PMT('Prepay vs Invest'!$B$6/1200,'Prepay vs Invest'!$B$7*12,'Prepay vs Invest'!$B$5),B37+C37),0)</f>
        <v>80559.31935518072</v>
      </c>
      <c r="E37">
        <f t="shared" si="0"/>
        <v>22459.891097700718</v>
      </c>
      <c r="F37">
        <f t="shared" si="1"/>
        <v>9273448.630099101</v>
      </c>
      <c r="G37">
        <f t="shared" si="8"/>
        <v>1036165.5994048581</v>
      </c>
      <c r="H37">
        <f>IF(A37&lt;='Prepay vs Invest'!$B$7*12,IF(AND(A37&gt;='Prepay vs Invest'!$B$11,A37&lt;='Prepay vs Invest'!$B$12),'Prepay vs Invest'!$B$10,0)+IF(A37='Prepay vs Invest'!$B$9,'Prepay vs Invest'!$B$8,0),0)</f>
        <v>10000</v>
      </c>
      <c r="I37">
        <f>G37*(1+MAX(0,'Prepay vs Invest'!$B$13-'Prepay vs Invest'!$B$14)/1200)+H37</f>
        <v>1056095.5197324879</v>
      </c>
      <c r="J37">
        <f t="shared" si="9"/>
        <v>860000</v>
      </c>
      <c r="K37">
        <f>MAX(0,(I37-J37-'Prepay vs Invest'!$B$16)*'Prepay vs Invest'!$B$15/100)</f>
        <v>8886.9399665609817</v>
      </c>
      <c r="L37">
        <f t="shared" si="2"/>
        <v>1047208.5797659268</v>
      </c>
      <c r="M37">
        <f t="shared" si="10"/>
        <v>8328991.9240473453</v>
      </c>
      <c r="N37">
        <f>IF(M37&gt;0,M37*'Prepay vs Invest'!$B$6/1200,0)</f>
        <v>52056.199525295902</v>
      </c>
      <c r="O37">
        <f>IF(M37&gt;0,MIN('Prepay vs Invest'!$E$5,M37+N37),0)</f>
        <v>80559.31935518072</v>
      </c>
      <c r="P37">
        <f>MIN(MAX(0,M37+N37-O37),IF(AND(A37&gt;='Prepay vs Invest'!$B$11,A37&lt;='Prepay vs Invest'!$B$12),'Prepay vs Invest'!$B$10,0)+IF(A37='Prepay vs Invest'!$B$9,'Prepay vs Invest'!$B$8,0))</f>
        <v>10000</v>
      </c>
      <c r="Q37">
        <f t="shared" si="3"/>
        <v>8290488.8042174606</v>
      </c>
      <c r="R37">
        <f t="shared" si="11"/>
        <v>0</v>
      </c>
      <c r="S37">
        <f>IF(A37&lt;='Prepay vs Invest'!$B$7*12,MAX(0,'Prepay vs Invest'!$E$5+IF(AND(A37&gt;='Prepay vs Invest'!$B$11,A37&lt;='Prepay vs Invest'!$B$12),'Prepay vs Invest'!$B$10,0)+IF(A37='Prepay vs Invest'!$B$9,'Prepay vs Invest'!$B$8,0)-O37-P37),0)</f>
        <v>0</v>
      </c>
      <c r="T37">
        <f>R37*(1+MAX(0,'Prepay vs Invest'!$B$13-'Prepay vs Invest'!$B$14)/1200)+S37</f>
        <v>0</v>
      </c>
      <c r="U37">
        <f t="shared" si="12"/>
        <v>0</v>
      </c>
      <c r="V37">
        <f>MAX(0,(T37-U37-'Prepay vs Invest'!$B$16)*'Prepay vs Invest'!$B$15/100)</f>
        <v>0</v>
      </c>
      <c r="W37">
        <f t="shared" si="4"/>
        <v>0</v>
      </c>
      <c r="X37">
        <f t="shared" si="13"/>
        <v>8483163.1371545978</v>
      </c>
      <c r="Y37">
        <f>IF(X37&gt;0,X37*'Prepay vs Invest'!$B$6/1200,0)</f>
        <v>53019.769607216236</v>
      </c>
      <c r="Z37">
        <f>IF(X37&gt;0,MIN(-PMT('Prepay vs Invest'!$B$6/1200,'Prepay vs Invest'!$B$7*12-A37+1,X37),X37+Y37),0)</f>
        <v>73515.982515300246</v>
      </c>
      <c r="AA37">
        <f>MIN(MAX(0,X37+Y37-Z37),IF(AND(A37&gt;='Prepay vs Invest'!$B$11,A37&lt;='Prepay vs Invest'!$B$12),'Prepay vs Invest'!$B$10,0)+IF(A37='Prepay vs Invest'!$B$9,'Prepay vs Invest'!$B$8,0))</f>
        <v>10000</v>
      </c>
      <c r="AB37">
        <f t="shared" si="5"/>
        <v>8452666.9242465142</v>
      </c>
      <c r="AC37">
        <f t="shared" si="14"/>
        <v>160086.95410501451</v>
      </c>
      <c r="AD37">
        <f>IF(A37&lt;='Prepay vs Invest'!$B$7*12,MAX(0,'Prepay vs Invest'!$E$5+IF(AND(A37&gt;='Prepay vs Invest'!$B$11,A37&lt;='Prepay vs Invest'!$B$12),'Prepay vs Invest'!$B$10,0)+IF(A37='Prepay vs Invest'!$B$9,'Prepay vs Invest'!$B$8,0)-Z37-AA37),0)</f>
        <v>7043.3368398804741</v>
      </c>
      <c r="AE37">
        <f>AC37*(1+MAX(0,'Prepay vs Invest'!$B$13-'Prepay vs Invest'!$B$14)/1200)+AD37</f>
        <v>168664.45758840136</v>
      </c>
      <c r="AF37">
        <f t="shared" si="15"/>
        <v>150878.62451141412</v>
      </c>
      <c r="AG37">
        <f>MAX(0,(AE37-AF37-'Prepay vs Invest'!$B$16)*'Prepay vs Invest'!$B$15/100)</f>
        <v>0</v>
      </c>
      <c r="AH37">
        <f t="shared" si="6"/>
        <v>168664.45758840136</v>
      </c>
    </row>
    <row r="38" spans="1:34" x14ac:dyDescent="0.35">
      <c r="A38">
        <f t="shared" si="7"/>
        <v>37</v>
      </c>
      <c r="B38">
        <f>IF(A38&lt;='Prepay vs Invest'!$B$7*12,F37,0)</f>
        <v>9273448.630099101</v>
      </c>
      <c r="C38">
        <f>IF(B38&gt;0,B38*'Prepay vs Invest'!$B$6/1200,0)</f>
        <v>57959.053938119388</v>
      </c>
      <c r="D38">
        <f>IF(B38&gt;0,MIN(-PMT('Prepay vs Invest'!$B$6/1200,'Prepay vs Invest'!$B$7*12,'Prepay vs Invest'!$B$5),B38+C38),0)</f>
        <v>80559.31935518072</v>
      </c>
      <c r="E38">
        <f t="shared" si="0"/>
        <v>22600.265417061331</v>
      </c>
      <c r="F38">
        <f t="shared" si="1"/>
        <v>9250848.3646820392</v>
      </c>
      <c r="G38">
        <f t="shared" si="8"/>
        <v>1056095.5197324879</v>
      </c>
      <c r="H38">
        <f>IF(A38&lt;='Prepay vs Invest'!$B$7*12,IF(AND(A38&gt;='Prepay vs Invest'!$B$11,A38&lt;='Prepay vs Invest'!$B$12),'Prepay vs Invest'!$B$10,0)+IF(A38='Prepay vs Invest'!$B$9,'Prepay vs Invest'!$B$8,0),0)</f>
        <v>10000</v>
      </c>
      <c r="I38">
        <f>G38*(1+MAX(0,'Prepay vs Invest'!$B$13-'Prepay vs Invest'!$B$14)/1200)+H38</f>
        <v>1076216.4351299242</v>
      </c>
      <c r="J38">
        <f t="shared" si="9"/>
        <v>870000</v>
      </c>
      <c r="K38">
        <f>MAX(0,(I38-J38-'Prepay vs Invest'!$B$16)*'Prepay vs Invest'!$B$15/100)</f>
        <v>10152.054391240526</v>
      </c>
      <c r="L38">
        <f t="shared" si="2"/>
        <v>1066064.3807386837</v>
      </c>
      <c r="M38">
        <f t="shared" si="10"/>
        <v>8290488.8042174606</v>
      </c>
      <c r="N38">
        <f>IF(M38&gt;0,M38*'Prepay vs Invest'!$B$6/1200,0)</f>
        <v>51815.555026359129</v>
      </c>
      <c r="O38">
        <f>IF(M38&gt;0,MIN('Prepay vs Invest'!$E$5,M38+N38),0)</f>
        <v>80559.31935518072</v>
      </c>
      <c r="P38">
        <f>MIN(MAX(0,M38+N38-O38),IF(AND(A38&gt;='Prepay vs Invest'!$B$11,A38&lt;='Prepay vs Invest'!$B$12),'Prepay vs Invest'!$B$10,0)+IF(A38='Prepay vs Invest'!$B$9,'Prepay vs Invest'!$B$8,0))</f>
        <v>10000</v>
      </c>
      <c r="Q38">
        <f t="shared" si="3"/>
        <v>8251745.039888639</v>
      </c>
      <c r="R38">
        <f t="shared" si="11"/>
        <v>0</v>
      </c>
      <c r="S38">
        <f>IF(A38&lt;='Prepay vs Invest'!$B$7*12,MAX(0,'Prepay vs Invest'!$E$5+IF(AND(A38&gt;='Prepay vs Invest'!$B$11,A38&lt;='Prepay vs Invest'!$B$12),'Prepay vs Invest'!$B$10,0)+IF(A38='Prepay vs Invest'!$B$9,'Prepay vs Invest'!$B$8,0)-O38-P38),0)</f>
        <v>0</v>
      </c>
      <c r="T38">
        <f>R38*(1+MAX(0,'Prepay vs Invest'!$B$13-'Prepay vs Invest'!$B$14)/1200)+S38</f>
        <v>0</v>
      </c>
      <c r="U38">
        <f t="shared" si="12"/>
        <v>0</v>
      </c>
      <c r="V38">
        <f>MAX(0,(T38-U38-'Prepay vs Invest'!$B$16)*'Prepay vs Invest'!$B$15/100)</f>
        <v>0</v>
      </c>
      <c r="W38">
        <f t="shared" si="4"/>
        <v>0</v>
      </c>
      <c r="X38">
        <f t="shared" si="13"/>
        <v>8452666.9242465142</v>
      </c>
      <c r="Y38">
        <f>IF(X38&gt;0,X38*'Prepay vs Invest'!$B$6/1200,0)</f>
        <v>52829.168276540709</v>
      </c>
      <c r="Z38">
        <f>IF(X38&gt;0,MIN(-PMT('Prepay vs Invest'!$B$6/1200,'Prepay vs Invest'!$B$7*12-A38+1,X38),X38+Y38),0)</f>
        <v>73429.111575945819</v>
      </c>
      <c r="AA38">
        <f>MIN(MAX(0,X38+Y38-Z38),IF(AND(A38&gt;='Prepay vs Invest'!$B$11,A38&lt;='Prepay vs Invest'!$B$12),'Prepay vs Invest'!$B$10,0)+IF(A38='Prepay vs Invest'!$B$9,'Prepay vs Invest'!$B$8,0))</f>
        <v>10000</v>
      </c>
      <c r="AB38">
        <f t="shared" si="5"/>
        <v>8422066.9809471089</v>
      </c>
      <c r="AC38">
        <f t="shared" si="14"/>
        <v>168664.45758840136</v>
      </c>
      <c r="AD38">
        <f>IF(A38&lt;='Prepay vs Invest'!$B$7*12,MAX(0,'Prepay vs Invest'!$E$5+IF(AND(A38&gt;='Prepay vs Invest'!$B$11,A38&lt;='Prepay vs Invest'!$B$12),'Prepay vs Invest'!$B$10,0)+IF(A38='Prepay vs Invest'!$B$9,'Prepay vs Invest'!$B$8,0)-Z38-AA38),0)</f>
        <v>7130.207779234901</v>
      </c>
      <c r="AE38">
        <f>AC38*(1+MAX(0,'Prepay vs Invest'!$B$13-'Prepay vs Invest'!$B$14)/1200)+AD38</f>
        <v>177411.03308619175</v>
      </c>
      <c r="AF38">
        <f t="shared" si="15"/>
        <v>158008.83229064901</v>
      </c>
      <c r="AG38">
        <f>MAX(0,(AE38-AF38-'Prepay vs Invest'!$B$16)*'Prepay vs Invest'!$B$15/100)</f>
        <v>0</v>
      </c>
      <c r="AH38">
        <f t="shared" si="6"/>
        <v>177411.03308619175</v>
      </c>
    </row>
    <row r="39" spans="1:34" x14ac:dyDescent="0.35">
      <c r="A39">
        <f t="shared" si="7"/>
        <v>38</v>
      </c>
      <c r="B39">
        <f>IF(A39&lt;='Prepay vs Invest'!$B$7*12,F38,0)</f>
        <v>9250848.3646820392</v>
      </c>
      <c r="C39">
        <f>IF(B39&gt;0,B39*'Prepay vs Invest'!$B$6/1200,0)</f>
        <v>57817.802279262738</v>
      </c>
      <c r="D39">
        <f>IF(B39&gt;0,MIN(-PMT('Prepay vs Invest'!$B$6/1200,'Prepay vs Invest'!$B$7*12,'Prepay vs Invest'!$B$5),B39+C39),0)</f>
        <v>80559.31935518072</v>
      </c>
      <c r="E39">
        <f t="shared" si="0"/>
        <v>22741.517075917982</v>
      </c>
      <c r="F39">
        <f t="shared" si="1"/>
        <v>9228106.8476061206</v>
      </c>
      <c r="G39">
        <f t="shared" si="8"/>
        <v>1076216.4351299242</v>
      </c>
      <c r="H39">
        <f>IF(A39&lt;='Prepay vs Invest'!$B$7*12,IF(AND(A39&gt;='Prepay vs Invest'!$B$11,A39&lt;='Prepay vs Invest'!$B$12),'Prepay vs Invest'!$B$10,0)+IF(A39='Prepay vs Invest'!$B$9,'Prepay vs Invest'!$B$8,0),0)</f>
        <v>10000</v>
      </c>
      <c r="I39">
        <f>G39*(1+MAX(0,'Prepay vs Invest'!$B$13-'Prepay vs Invest'!$B$14)/1200)+H39</f>
        <v>1096530.175966586</v>
      </c>
      <c r="J39">
        <f t="shared" si="9"/>
        <v>880000</v>
      </c>
      <c r="K39">
        <f>MAX(0,(I39-J39-'Prepay vs Invest'!$B$16)*'Prepay vs Invest'!$B$15/100)</f>
        <v>11441.271995823248</v>
      </c>
      <c r="L39">
        <f t="shared" si="2"/>
        <v>1085088.9039707626</v>
      </c>
      <c r="M39">
        <f t="shared" si="10"/>
        <v>8251745.039888639</v>
      </c>
      <c r="N39">
        <f>IF(M39&gt;0,M39*'Prepay vs Invest'!$B$6/1200,0)</f>
        <v>51573.406499303994</v>
      </c>
      <c r="O39">
        <f>IF(M39&gt;0,MIN('Prepay vs Invest'!$E$5,M39+N39),0)</f>
        <v>80559.31935518072</v>
      </c>
      <c r="P39">
        <f>MIN(MAX(0,M39+N39-O39),IF(AND(A39&gt;='Prepay vs Invest'!$B$11,A39&lt;='Prepay vs Invest'!$B$12),'Prepay vs Invest'!$B$10,0)+IF(A39='Prepay vs Invest'!$B$9,'Prepay vs Invest'!$B$8,0))</f>
        <v>10000</v>
      </c>
      <c r="Q39">
        <f t="shared" si="3"/>
        <v>8212759.1270327624</v>
      </c>
      <c r="R39">
        <f t="shared" si="11"/>
        <v>0</v>
      </c>
      <c r="S39">
        <f>IF(A39&lt;='Prepay vs Invest'!$B$7*12,MAX(0,'Prepay vs Invest'!$E$5+IF(AND(A39&gt;='Prepay vs Invest'!$B$11,A39&lt;='Prepay vs Invest'!$B$12),'Prepay vs Invest'!$B$10,0)+IF(A39='Prepay vs Invest'!$B$9,'Prepay vs Invest'!$B$8,0)-O39-P39),0)</f>
        <v>0</v>
      </c>
      <c r="T39">
        <f>R39*(1+MAX(0,'Prepay vs Invest'!$B$13-'Prepay vs Invest'!$B$14)/1200)+S39</f>
        <v>0</v>
      </c>
      <c r="U39">
        <f t="shared" si="12"/>
        <v>0</v>
      </c>
      <c r="V39">
        <f>MAX(0,(T39-U39-'Prepay vs Invest'!$B$16)*'Prepay vs Invest'!$B$15/100)</f>
        <v>0</v>
      </c>
      <c r="W39">
        <f t="shared" si="4"/>
        <v>0</v>
      </c>
      <c r="X39">
        <f t="shared" si="13"/>
        <v>8422066.9809471089</v>
      </c>
      <c r="Y39">
        <f>IF(X39&gt;0,X39*'Prepay vs Invest'!$B$6/1200,0)</f>
        <v>52637.918630919434</v>
      </c>
      <c r="Z39">
        <f>IF(X39&gt;0,MIN(-PMT('Prepay vs Invest'!$B$6/1200,'Prepay vs Invest'!$B$7*12-A39+1,X39),X39+Y39),0)</f>
        <v>73342.028406727797</v>
      </c>
      <c r="AA39">
        <f>MIN(MAX(0,X39+Y39-Z39),IF(AND(A39&gt;='Prepay vs Invest'!$B$11,A39&lt;='Prepay vs Invest'!$B$12),'Prepay vs Invest'!$B$10,0)+IF(A39='Prepay vs Invest'!$B$9,'Prepay vs Invest'!$B$8,0))</f>
        <v>10000</v>
      </c>
      <c r="AB39">
        <f t="shared" si="5"/>
        <v>8391362.8711713012</v>
      </c>
      <c r="AC39">
        <f t="shared" si="14"/>
        <v>177411.03308619175</v>
      </c>
      <c r="AD39">
        <f>IF(A39&lt;='Prepay vs Invest'!$B$7*12,MAX(0,'Prepay vs Invest'!$E$5+IF(AND(A39&gt;='Prepay vs Invest'!$B$11,A39&lt;='Prepay vs Invest'!$B$12),'Prepay vs Invest'!$B$10,0)+IF(A39='Prepay vs Invest'!$B$9,'Prepay vs Invest'!$B$8,0)-Z39-AA39),0)</f>
        <v>7217.2909484529227</v>
      </c>
      <c r="AE39">
        <f>AC39*(1+MAX(0,'Prepay vs Invest'!$B$13-'Prepay vs Invest'!$B$14)/1200)+AD39</f>
        <v>186328.51310172066</v>
      </c>
      <c r="AF39">
        <f t="shared" si="15"/>
        <v>165226.12323910193</v>
      </c>
      <c r="AG39">
        <f>MAX(0,(AE39-AF39-'Prepay vs Invest'!$B$16)*'Prepay vs Invest'!$B$15/100)</f>
        <v>0</v>
      </c>
      <c r="AH39">
        <f t="shared" si="6"/>
        <v>186328.51310172066</v>
      </c>
    </row>
    <row r="40" spans="1:34" x14ac:dyDescent="0.35">
      <c r="A40">
        <f t="shared" si="7"/>
        <v>39</v>
      </c>
      <c r="B40">
        <f>IF(A40&lt;='Prepay vs Invest'!$B$7*12,F39,0)</f>
        <v>9228106.8476061206</v>
      </c>
      <c r="C40">
        <f>IF(B40&gt;0,B40*'Prepay vs Invest'!$B$6/1200,0)</f>
        <v>57675.667797538255</v>
      </c>
      <c r="D40">
        <f>IF(B40&gt;0,MIN(-PMT('Prepay vs Invest'!$B$6/1200,'Prepay vs Invest'!$B$7*12,'Prepay vs Invest'!$B$5),B40+C40),0)</f>
        <v>80559.31935518072</v>
      </c>
      <c r="E40">
        <f t="shared" si="0"/>
        <v>22883.651557642464</v>
      </c>
      <c r="F40">
        <f t="shared" si="1"/>
        <v>9205223.1960484777</v>
      </c>
      <c r="G40">
        <f t="shared" si="8"/>
        <v>1096530.175966586</v>
      </c>
      <c r="H40">
        <f>IF(A40&lt;='Prepay vs Invest'!$B$7*12,IF(AND(A40&gt;='Prepay vs Invest'!$B$11,A40&lt;='Prepay vs Invest'!$B$12),'Prepay vs Invest'!$B$10,0)+IF(A40='Prepay vs Invest'!$B$9,'Prepay vs Invest'!$B$8,0),0)</f>
        <v>10000</v>
      </c>
      <c r="I40">
        <f>G40*(1+MAX(0,'Prepay vs Invest'!$B$13-'Prepay vs Invest'!$B$14)/1200)+H40</f>
        <v>1117038.5901529323</v>
      </c>
      <c r="J40">
        <f t="shared" si="9"/>
        <v>890000</v>
      </c>
      <c r="K40">
        <f>MAX(0,(I40-J40-'Prepay vs Invest'!$B$16)*'Prepay vs Invest'!$B$15/100)</f>
        <v>12754.823769116541</v>
      </c>
      <c r="L40">
        <f t="shared" si="2"/>
        <v>1104283.7663838158</v>
      </c>
      <c r="M40">
        <f t="shared" si="10"/>
        <v>8212759.1270327624</v>
      </c>
      <c r="N40">
        <f>IF(M40&gt;0,M40*'Prepay vs Invest'!$B$6/1200,0)</f>
        <v>51329.744543954766</v>
      </c>
      <c r="O40">
        <f>IF(M40&gt;0,MIN('Prepay vs Invest'!$E$5,M40+N40),0)</f>
        <v>80559.31935518072</v>
      </c>
      <c r="P40">
        <f>MIN(MAX(0,M40+N40-O40),IF(AND(A40&gt;='Prepay vs Invest'!$B$11,A40&lt;='Prepay vs Invest'!$B$12),'Prepay vs Invest'!$B$10,0)+IF(A40='Prepay vs Invest'!$B$9,'Prepay vs Invest'!$B$8,0))</f>
        <v>10000</v>
      </c>
      <c r="Q40">
        <f t="shared" si="3"/>
        <v>8173529.5522215366</v>
      </c>
      <c r="R40">
        <f t="shared" si="11"/>
        <v>0</v>
      </c>
      <c r="S40">
        <f>IF(A40&lt;='Prepay vs Invest'!$B$7*12,MAX(0,'Prepay vs Invest'!$E$5+IF(AND(A40&gt;='Prepay vs Invest'!$B$11,A40&lt;='Prepay vs Invest'!$B$12),'Prepay vs Invest'!$B$10,0)+IF(A40='Prepay vs Invest'!$B$9,'Prepay vs Invest'!$B$8,0)-O40-P40),0)</f>
        <v>0</v>
      </c>
      <c r="T40">
        <f>R40*(1+MAX(0,'Prepay vs Invest'!$B$13-'Prepay vs Invest'!$B$14)/1200)+S40</f>
        <v>0</v>
      </c>
      <c r="U40">
        <f t="shared" si="12"/>
        <v>0</v>
      </c>
      <c r="V40">
        <f>MAX(0,(T40-U40-'Prepay vs Invest'!$B$16)*'Prepay vs Invest'!$B$15/100)</f>
        <v>0</v>
      </c>
      <c r="W40">
        <f t="shared" si="4"/>
        <v>0</v>
      </c>
      <c r="X40">
        <f t="shared" si="13"/>
        <v>8391362.8711713012</v>
      </c>
      <c r="Y40">
        <f>IF(X40&gt;0,X40*'Prepay vs Invest'!$B$6/1200,0)</f>
        <v>52446.017944820633</v>
      </c>
      <c r="Z40">
        <f>IF(X40&gt;0,MIN(-PMT('Prepay vs Invest'!$B$6/1200,'Prepay vs Invest'!$B$7*12-A40+1,X40),X40+Y40),0)</f>
        <v>73254.730631912724</v>
      </c>
      <c r="AA40">
        <f>MIN(MAX(0,X40+Y40-Z40),IF(AND(A40&gt;='Prepay vs Invest'!$B$11,A40&lt;='Prepay vs Invest'!$B$12),'Prepay vs Invest'!$B$10,0)+IF(A40='Prepay vs Invest'!$B$9,'Prepay vs Invest'!$B$8,0))</f>
        <v>10000</v>
      </c>
      <c r="AB40">
        <f t="shared" si="5"/>
        <v>8360554.1584842084</v>
      </c>
      <c r="AC40">
        <f t="shared" si="14"/>
        <v>186328.51310172066</v>
      </c>
      <c r="AD40">
        <f>IF(A40&lt;='Prepay vs Invest'!$B$7*12,MAX(0,'Prepay vs Invest'!$E$5+IF(AND(A40&gt;='Prepay vs Invest'!$B$11,A40&lt;='Prepay vs Invest'!$B$12),'Prepay vs Invest'!$B$10,0)+IF(A40='Prepay vs Invest'!$B$9,'Prepay vs Invest'!$B$8,0)-Z40-AA40),0)</f>
        <v>7304.5887232679961</v>
      </c>
      <c r="AE40">
        <f>AC40*(1+MAX(0,'Prepay vs Invest'!$B$13-'Prepay vs Invest'!$B$14)/1200)+AD40</f>
        <v>195418.75007554679</v>
      </c>
      <c r="AF40">
        <f t="shared" si="15"/>
        <v>172530.71196236991</v>
      </c>
      <c r="AG40">
        <f>MAX(0,(AE40-AF40-'Prepay vs Invest'!$B$16)*'Prepay vs Invest'!$B$15/100)</f>
        <v>0</v>
      </c>
      <c r="AH40">
        <f t="shared" si="6"/>
        <v>195418.75007554679</v>
      </c>
    </row>
    <row r="41" spans="1:34" x14ac:dyDescent="0.35">
      <c r="A41">
        <f t="shared" si="7"/>
        <v>40</v>
      </c>
      <c r="B41">
        <f>IF(A41&lt;='Prepay vs Invest'!$B$7*12,F40,0)</f>
        <v>9205223.1960484777</v>
      </c>
      <c r="C41">
        <f>IF(B41&gt;0,B41*'Prepay vs Invest'!$B$6/1200,0)</f>
        <v>57532.644975302988</v>
      </c>
      <c r="D41">
        <f>IF(B41&gt;0,MIN(-PMT('Prepay vs Invest'!$B$6/1200,'Prepay vs Invest'!$B$7*12,'Prepay vs Invest'!$B$5),B41+C41),0)</f>
        <v>80559.31935518072</v>
      </c>
      <c r="E41">
        <f t="shared" si="0"/>
        <v>23026.674379877732</v>
      </c>
      <c r="F41">
        <f t="shared" si="1"/>
        <v>9182196.5216685999</v>
      </c>
      <c r="G41">
        <f t="shared" si="8"/>
        <v>1117038.5901529323</v>
      </c>
      <c r="H41">
        <f>IF(A41&lt;='Prepay vs Invest'!$B$7*12,IF(AND(A41&gt;='Prepay vs Invest'!$B$11,A41&lt;='Prepay vs Invest'!$B$12),'Prepay vs Invest'!$B$10,0)+IF(A41='Prepay vs Invest'!$B$9,'Prepay vs Invest'!$B$8,0),0)</f>
        <v>10000</v>
      </c>
      <c r="I41">
        <f>G41*(1+MAX(0,'Prepay vs Invest'!$B$13-'Prepay vs Invest'!$B$14)/1200)+H41</f>
        <v>1137743.5433085645</v>
      </c>
      <c r="J41">
        <f t="shared" si="9"/>
        <v>900000</v>
      </c>
      <c r="K41">
        <f>MAX(0,(I41-J41-'Prepay vs Invest'!$B$16)*'Prepay vs Invest'!$B$15/100)</f>
        <v>14092.942913570558</v>
      </c>
      <c r="L41">
        <f t="shared" si="2"/>
        <v>1123650.600394994</v>
      </c>
      <c r="M41">
        <f t="shared" si="10"/>
        <v>8173529.5522215366</v>
      </c>
      <c r="N41">
        <f>IF(M41&gt;0,M41*'Prepay vs Invest'!$B$6/1200,0)</f>
        <v>51084.559701384605</v>
      </c>
      <c r="O41">
        <f>IF(M41&gt;0,MIN('Prepay vs Invest'!$E$5,M41+N41),0)</f>
        <v>80559.31935518072</v>
      </c>
      <c r="P41">
        <f>MIN(MAX(0,M41+N41-O41),IF(AND(A41&gt;='Prepay vs Invest'!$B$11,A41&lt;='Prepay vs Invest'!$B$12),'Prepay vs Invest'!$B$10,0)+IF(A41='Prepay vs Invest'!$B$9,'Prepay vs Invest'!$B$8,0))</f>
        <v>10000</v>
      </c>
      <c r="Q41">
        <f t="shared" si="3"/>
        <v>8134054.7925677411</v>
      </c>
      <c r="R41">
        <f t="shared" si="11"/>
        <v>0</v>
      </c>
      <c r="S41">
        <f>IF(A41&lt;='Prepay vs Invest'!$B$7*12,MAX(0,'Prepay vs Invest'!$E$5+IF(AND(A41&gt;='Prepay vs Invest'!$B$11,A41&lt;='Prepay vs Invest'!$B$12),'Prepay vs Invest'!$B$10,0)+IF(A41='Prepay vs Invest'!$B$9,'Prepay vs Invest'!$B$8,0)-O41-P41),0)</f>
        <v>0</v>
      </c>
      <c r="T41">
        <f>R41*(1+MAX(0,'Prepay vs Invest'!$B$13-'Prepay vs Invest'!$B$14)/1200)+S41</f>
        <v>0</v>
      </c>
      <c r="U41">
        <f t="shared" si="12"/>
        <v>0</v>
      </c>
      <c r="V41">
        <f>MAX(0,(T41-U41-'Prepay vs Invest'!$B$16)*'Prepay vs Invest'!$B$15/100)</f>
        <v>0</v>
      </c>
      <c r="W41">
        <f t="shared" si="4"/>
        <v>0</v>
      </c>
      <c r="X41">
        <f t="shared" si="13"/>
        <v>8360554.1584842084</v>
      </c>
      <c r="Y41">
        <f>IF(X41&gt;0,X41*'Prepay vs Invest'!$B$6/1200,0)</f>
        <v>52253.463490526301</v>
      </c>
      <c r="Z41">
        <f>IF(X41&gt;0,MIN(-PMT('Prepay vs Invest'!$B$6/1200,'Prepay vs Invest'!$B$7*12-A41+1,X41),X41+Y41),0)</f>
        <v>73167.215839887082</v>
      </c>
      <c r="AA41">
        <f>MIN(MAX(0,X41+Y41-Z41),IF(AND(A41&gt;='Prepay vs Invest'!$B$11,A41&lt;='Prepay vs Invest'!$B$12),'Prepay vs Invest'!$B$10,0)+IF(A41='Prepay vs Invest'!$B$9,'Prepay vs Invest'!$B$8,0))</f>
        <v>10000</v>
      </c>
      <c r="AB41">
        <f t="shared" si="5"/>
        <v>8329640.4061348476</v>
      </c>
      <c r="AC41">
        <f t="shared" si="14"/>
        <v>195418.75007554679</v>
      </c>
      <c r="AD41">
        <f>IF(A41&lt;='Prepay vs Invest'!$B$7*12,MAX(0,'Prepay vs Invest'!$E$5+IF(AND(A41&gt;='Prepay vs Invest'!$B$11,A41&lt;='Prepay vs Invest'!$B$12),'Prepay vs Invest'!$B$10,0)+IF(A41='Prepay vs Invest'!$B$9,'Prepay vs Invest'!$B$8,0)-Z41-AA41),0)</f>
        <v>7392.1035152936383</v>
      </c>
      <c r="AE41">
        <f>AC41*(1+MAX(0,'Prepay vs Invest'!$B$13-'Prepay vs Invest'!$B$14)/1200)+AD41</f>
        <v>204683.61661239772</v>
      </c>
      <c r="AF41">
        <f t="shared" si="15"/>
        <v>179922.81547766353</v>
      </c>
      <c r="AG41">
        <f>MAX(0,(AE41-AF41-'Prepay vs Invest'!$B$16)*'Prepay vs Invest'!$B$15/100)</f>
        <v>0</v>
      </c>
      <c r="AH41">
        <f t="shared" si="6"/>
        <v>204683.61661239772</v>
      </c>
    </row>
    <row r="42" spans="1:34" x14ac:dyDescent="0.35">
      <c r="A42">
        <f t="shared" si="7"/>
        <v>41</v>
      </c>
      <c r="B42">
        <f>IF(A42&lt;='Prepay vs Invest'!$B$7*12,F41,0)</f>
        <v>9182196.5216685999</v>
      </c>
      <c r="C42">
        <f>IF(B42&gt;0,B42*'Prepay vs Invest'!$B$6/1200,0)</f>
        <v>57388.728260428747</v>
      </c>
      <c r="D42">
        <f>IF(B42&gt;0,MIN(-PMT('Prepay vs Invest'!$B$6/1200,'Prepay vs Invest'!$B$7*12,'Prepay vs Invest'!$B$5),B42+C42),0)</f>
        <v>80559.31935518072</v>
      </c>
      <c r="E42">
        <f t="shared" si="0"/>
        <v>23170.591094751973</v>
      </c>
      <c r="F42">
        <f t="shared" si="1"/>
        <v>9159025.930573849</v>
      </c>
      <c r="G42">
        <f t="shared" si="8"/>
        <v>1137743.5433085645</v>
      </c>
      <c r="H42">
        <f>IF(A42&lt;='Prepay vs Invest'!$B$7*12,IF(AND(A42&gt;='Prepay vs Invest'!$B$11,A42&lt;='Prepay vs Invest'!$B$12),'Prepay vs Invest'!$B$10,0)+IF(A42='Prepay vs Invest'!$B$9,'Prepay vs Invest'!$B$8,0),0)</f>
        <v>10000</v>
      </c>
      <c r="I42">
        <f>G42*(1+MAX(0,'Prepay vs Invest'!$B$13-'Prepay vs Invest'!$B$14)/1200)+H42</f>
        <v>1158646.9189319382</v>
      </c>
      <c r="J42">
        <f t="shared" si="9"/>
        <v>910000</v>
      </c>
      <c r="K42">
        <f>MAX(0,(I42-J42-'Prepay vs Invest'!$B$16)*'Prepay vs Invest'!$B$15/100)</f>
        <v>15455.86486649228</v>
      </c>
      <c r="L42">
        <f t="shared" si="2"/>
        <v>1143191.0540654459</v>
      </c>
      <c r="M42">
        <f t="shared" si="10"/>
        <v>8134054.7925677411</v>
      </c>
      <c r="N42">
        <f>IF(M42&gt;0,M42*'Prepay vs Invest'!$B$6/1200,0)</f>
        <v>50837.842453548379</v>
      </c>
      <c r="O42">
        <f>IF(M42&gt;0,MIN('Prepay vs Invest'!$E$5,M42+N42),0)</f>
        <v>80559.31935518072</v>
      </c>
      <c r="P42">
        <f>MIN(MAX(0,M42+N42-O42),IF(AND(A42&gt;='Prepay vs Invest'!$B$11,A42&lt;='Prepay vs Invest'!$B$12),'Prepay vs Invest'!$B$10,0)+IF(A42='Prepay vs Invest'!$B$9,'Prepay vs Invest'!$B$8,0))</f>
        <v>10000</v>
      </c>
      <c r="Q42">
        <f t="shared" si="3"/>
        <v>8094333.3156661093</v>
      </c>
      <c r="R42">
        <f t="shared" si="11"/>
        <v>0</v>
      </c>
      <c r="S42">
        <f>IF(A42&lt;='Prepay vs Invest'!$B$7*12,MAX(0,'Prepay vs Invest'!$E$5+IF(AND(A42&gt;='Prepay vs Invest'!$B$11,A42&lt;='Prepay vs Invest'!$B$12),'Prepay vs Invest'!$B$10,0)+IF(A42='Prepay vs Invest'!$B$9,'Prepay vs Invest'!$B$8,0)-O42-P42),0)</f>
        <v>0</v>
      </c>
      <c r="T42">
        <f>R42*(1+MAX(0,'Prepay vs Invest'!$B$13-'Prepay vs Invest'!$B$14)/1200)+S42</f>
        <v>0</v>
      </c>
      <c r="U42">
        <f t="shared" si="12"/>
        <v>0</v>
      </c>
      <c r="V42">
        <f>MAX(0,(T42-U42-'Prepay vs Invest'!$B$16)*'Prepay vs Invest'!$B$15/100)</f>
        <v>0</v>
      </c>
      <c r="W42">
        <f t="shared" si="4"/>
        <v>0</v>
      </c>
      <c r="X42">
        <f t="shared" si="13"/>
        <v>8329640.4061348476</v>
      </c>
      <c r="Y42">
        <f>IF(X42&gt;0,X42*'Prepay vs Invest'!$B$6/1200,0)</f>
        <v>52060.2525383428</v>
      </c>
      <c r="Z42">
        <f>IF(X42&gt;0,MIN(-PMT('Prepay vs Invest'!$B$6/1200,'Prepay vs Invest'!$B$7*12-A42+1,X42),X42+Y42),0)</f>
        <v>73079.481582441062</v>
      </c>
      <c r="AA42">
        <f>MIN(MAX(0,X42+Y42-Z42),IF(AND(A42&gt;='Prepay vs Invest'!$B$11,A42&lt;='Prepay vs Invest'!$B$12),'Prepay vs Invest'!$B$10,0)+IF(A42='Prepay vs Invest'!$B$9,'Prepay vs Invest'!$B$8,0))</f>
        <v>10000</v>
      </c>
      <c r="AB42">
        <f t="shared" si="5"/>
        <v>8298621.1770907491</v>
      </c>
      <c r="AC42">
        <f t="shared" si="14"/>
        <v>204683.61661239772</v>
      </c>
      <c r="AD42">
        <f>IF(A42&lt;='Prepay vs Invest'!$B$7*12,MAX(0,'Prepay vs Invest'!$E$5+IF(AND(A42&gt;='Prepay vs Invest'!$B$11,A42&lt;='Prepay vs Invest'!$B$12),'Prepay vs Invest'!$B$10,0)+IF(A42='Prepay vs Invest'!$B$9,'Prepay vs Invest'!$B$8,0)-Z42-AA42),0)</f>
        <v>7479.8377727396582</v>
      </c>
      <c r="AE42">
        <f>AC42*(1+MAX(0,'Prepay vs Invest'!$B$13-'Prepay vs Invest'!$B$14)/1200)+AD42</f>
        <v>214125.00571100618</v>
      </c>
      <c r="AF42">
        <f t="shared" si="15"/>
        <v>187402.65325040318</v>
      </c>
      <c r="AG42">
        <f>MAX(0,(AE42-AF42-'Prepay vs Invest'!$B$16)*'Prepay vs Invest'!$B$15/100)</f>
        <v>0</v>
      </c>
      <c r="AH42">
        <f t="shared" si="6"/>
        <v>214125.00571100618</v>
      </c>
    </row>
    <row r="43" spans="1:34" x14ac:dyDescent="0.35">
      <c r="A43">
        <f t="shared" si="7"/>
        <v>42</v>
      </c>
      <c r="B43">
        <f>IF(A43&lt;='Prepay vs Invest'!$B$7*12,F42,0)</f>
        <v>9159025.930573849</v>
      </c>
      <c r="C43">
        <f>IF(B43&gt;0,B43*'Prepay vs Invest'!$B$6/1200,0)</f>
        <v>57243.912066086552</v>
      </c>
      <c r="D43">
        <f>IF(B43&gt;0,MIN(-PMT('Prepay vs Invest'!$B$6/1200,'Prepay vs Invest'!$B$7*12,'Prepay vs Invest'!$B$5),B43+C43),0)</f>
        <v>80559.31935518072</v>
      </c>
      <c r="E43">
        <f t="shared" si="0"/>
        <v>23315.407289094168</v>
      </c>
      <c r="F43">
        <f t="shared" si="1"/>
        <v>9135710.5232847556</v>
      </c>
      <c r="G43">
        <f t="shared" si="8"/>
        <v>1158646.9189319382</v>
      </c>
      <c r="H43">
        <f>IF(A43&lt;='Prepay vs Invest'!$B$7*12,IF(AND(A43&gt;='Prepay vs Invest'!$B$11,A43&lt;='Prepay vs Invest'!$B$12),'Prepay vs Invest'!$B$10,0)+IF(A43='Prepay vs Invest'!$B$9,'Prepay vs Invest'!$B$8,0),0)</f>
        <v>10000</v>
      </c>
      <c r="I43">
        <f>G43*(1+MAX(0,'Prepay vs Invest'!$B$13-'Prepay vs Invest'!$B$14)/1200)+H43</f>
        <v>1179750.6185717026</v>
      </c>
      <c r="J43">
        <f t="shared" si="9"/>
        <v>920000</v>
      </c>
      <c r="K43">
        <f>MAX(0,(I43-J43-'Prepay vs Invest'!$B$16)*'Prepay vs Invest'!$B$15/100)</f>
        <v>16843.827321462828</v>
      </c>
      <c r="L43">
        <f t="shared" si="2"/>
        <v>1162906.7912502398</v>
      </c>
      <c r="M43">
        <f t="shared" si="10"/>
        <v>8094333.3156661093</v>
      </c>
      <c r="N43">
        <f>IF(M43&gt;0,M43*'Prepay vs Invest'!$B$6/1200,0)</f>
        <v>50589.583222913185</v>
      </c>
      <c r="O43">
        <f>IF(M43&gt;0,MIN('Prepay vs Invest'!$E$5,M43+N43),0)</f>
        <v>80559.31935518072</v>
      </c>
      <c r="P43">
        <f>MIN(MAX(0,M43+N43-O43),IF(AND(A43&gt;='Prepay vs Invest'!$B$11,A43&lt;='Prepay vs Invest'!$B$12),'Prepay vs Invest'!$B$10,0)+IF(A43='Prepay vs Invest'!$B$9,'Prepay vs Invest'!$B$8,0))</f>
        <v>10000</v>
      </c>
      <c r="Q43">
        <f t="shared" si="3"/>
        <v>8054363.5795338424</v>
      </c>
      <c r="R43">
        <f t="shared" si="11"/>
        <v>0</v>
      </c>
      <c r="S43">
        <f>IF(A43&lt;='Prepay vs Invest'!$B$7*12,MAX(0,'Prepay vs Invest'!$E$5+IF(AND(A43&gt;='Prepay vs Invest'!$B$11,A43&lt;='Prepay vs Invest'!$B$12),'Prepay vs Invest'!$B$10,0)+IF(A43='Prepay vs Invest'!$B$9,'Prepay vs Invest'!$B$8,0)-O43-P43),0)</f>
        <v>0</v>
      </c>
      <c r="T43">
        <f>R43*(1+MAX(0,'Prepay vs Invest'!$B$13-'Prepay vs Invest'!$B$14)/1200)+S43</f>
        <v>0</v>
      </c>
      <c r="U43">
        <f t="shared" si="12"/>
        <v>0</v>
      </c>
      <c r="V43">
        <f>MAX(0,(T43-U43-'Prepay vs Invest'!$B$16)*'Prepay vs Invest'!$B$15/100)</f>
        <v>0</v>
      </c>
      <c r="W43">
        <f t="shared" si="4"/>
        <v>0</v>
      </c>
      <c r="X43">
        <f t="shared" si="13"/>
        <v>8298621.1770907491</v>
      </c>
      <c r="Y43">
        <f>IF(X43&gt;0,X43*'Prepay vs Invest'!$B$6/1200,0)</f>
        <v>51866.382356817179</v>
      </c>
      <c r="Z43">
        <f>IF(X43&gt;0,MIN(-PMT('Prepay vs Invest'!$B$6/1200,'Prepay vs Invest'!$B$7*12-A43+1,X43),X43+Y43),0)</f>
        <v>72991.525374034391</v>
      </c>
      <c r="AA43">
        <f>MIN(MAX(0,X43+Y43-Z43),IF(AND(A43&gt;='Prepay vs Invest'!$B$11,A43&lt;='Prepay vs Invest'!$B$12),'Prepay vs Invest'!$B$10,0)+IF(A43='Prepay vs Invest'!$B$9,'Prepay vs Invest'!$B$8,0))</f>
        <v>10000</v>
      </c>
      <c r="AB43">
        <f t="shared" si="5"/>
        <v>8267496.0340735316</v>
      </c>
      <c r="AC43">
        <f t="shared" si="14"/>
        <v>214125.00571100618</v>
      </c>
      <c r="AD43">
        <f>IF(A43&lt;='Prepay vs Invest'!$B$7*12,MAX(0,'Prepay vs Invest'!$E$5+IF(AND(A43&gt;='Prepay vs Invest'!$B$11,A43&lt;='Prepay vs Invest'!$B$12),'Prepay vs Invest'!$B$10,0)+IF(A43='Prepay vs Invest'!$B$9,'Prepay vs Invest'!$B$8,0)-Z43-AA43),0)</f>
        <v>7567.7939811463293</v>
      </c>
      <c r="AE43">
        <f>AC43*(1+MAX(0,'Prepay vs Invest'!$B$13-'Prepay vs Invest'!$B$14)/1200)+AD43</f>
        <v>223744.83099688296</v>
      </c>
      <c r="AF43">
        <f t="shared" si="15"/>
        <v>194970.44723154951</v>
      </c>
      <c r="AG43">
        <f>MAX(0,(AE43-AF43-'Prepay vs Invest'!$B$16)*'Prepay vs Invest'!$B$15/100)</f>
        <v>0</v>
      </c>
      <c r="AH43">
        <f t="shared" si="6"/>
        <v>223744.83099688296</v>
      </c>
    </row>
    <row r="44" spans="1:34" x14ac:dyDescent="0.35">
      <c r="A44">
        <f t="shared" si="7"/>
        <v>43</v>
      </c>
      <c r="B44">
        <f>IF(A44&lt;='Prepay vs Invest'!$B$7*12,F43,0)</f>
        <v>9135710.5232847556</v>
      </c>
      <c r="C44">
        <f>IF(B44&gt;0,B44*'Prepay vs Invest'!$B$6/1200,0)</f>
        <v>57098.19077052972</v>
      </c>
      <c r="D44">
        <f>IF(B44&gt;0,MIN(-PMT('Prepay vs Invest'!$B$6/1200,'Prepay vs Invest'!$B$7*12,'Prepay vs Invest'!$B$5),B44+C44),0)</f>
        <v>80559.31935518072</v>
      </c>
      <c r="E44">
        <f t="shared" si="0"/>
        <v>23461.128584651</v>
      </c>
      <c r="F44">
        <f t="shared" si="1"/>
        <v>9112249.3947001044</v>
      </c>
      <c r="G44">
        <f t="shared" si="8"/>
        <v>1179750.6185717026</v>
      </c>
      <c r="H44">
        <f>IF(A44&lt;='Prepay vs Invest'!$B$7*12,IF(AND(A44&gt;='Prepay vs Invest'!$B$11,A44&lt;='Prepay vs Invest'!$B$12),'Prepay vs Invest'!$B$10,0)+IF(A44='Prepay vs Invest'!$B$9,'Prepay vs Invest'!$B$8,0),0)</f>
        <v>10000</v>
      </c>
      <c r="I44">
        <f>G44*(1+MAX(0,'Prepay vs Invest'!$B$13-'Prepay vs Invest'!$B$14)/1200)+H44</f>
        <v>1201056.5619996814</v>
      </c>
      <c r="J44">
        <f t="shared" si="9"/>
        <v>930000</v>
      </c>
      <c r="K44">
        <f>MAX(0,(I44-J44-'Prepay vs Invest'!$B$16)*'Prepay vs Invest'!$B$15/100)</f>
        <v>18257.070249960176</v>
      </c>
      <c r="L44">
        <f t="shared" si="2"/>
        <v>1182799.4917497211</v>
      </c>
      <c r="M44">
        <f t="shared" si="10"/>
        <v>8054363.5795338424</v>
      </c>
      <c r="N44">
        <f>IF(M44&gt;0,M44*'Prepay vs Invest'!$B$6/1200,0)</f>
        <v>50339.772372086511</v>
      </c>
      <c r="O44">
        <f>IF(M44&gt;0,MIN('Prepay vs Invest'!$E$5,M44+N44),0)</f>
        <v>80559.31935518072</v>
      </c>
      <c r="P44">
        <f>MIN(MAX(0,M44+N44-O44),IF(AND(A44&gt;='Prepay vs Invest'!$B$11,A44&lt;='Prepay vs Invest'!$B$12),'Prepay vs Invest'!$B$10,0)+IF(A44='Prepay vs Invest'!$B$9,'Prepay vs Invest'!$B$8,0))</f>
        <v>10000</v>
      </c>
      <c r="Q44">
        <f t="shared" si="3"/>
        <v>8014144.0325507484</v>
      </c>
      <c r="R44">
        <f t="shared" si="11"/>
        <v>0</v>
      </c>
      <c r="S44">
        <f>IF(A44&lt;='Prepay vs Invest'!$B$7*12,MAX(0,'Prepay vs Invest'!$E$5+IF(AND(A44&gt;='Prepay vs Invest'!$B$11,A44&lt;='Prepay vs Invest'!$B$12),'Prepay vs Invest'!$B$10,0)+IF(A44='Prepay vs Invest'!$B$9,'Prepay vs Invest'!$B$8,0)-O44-P44),0)</f>
        <v>0</v>
      </c>
      <c r="T44">
        <f>R44*(1+MAX(0,'Prepay vs Invest'!$B$13-'Prepay vs Invest'!$B$14)/1200)+S44</f>
        <v>0</v>
      </c>
      <c r="U44">
        <f t="shared" si="12"/>
        <v>0</v>
      </c>
      <c r="V44">
        <f>MAX(0,(T44-U44-'Prepay vs Invest'!$B$16)*'Prepay vs Invest'!$B$15/100)</f>
        <v>0</v>
      </c>
      <c r="W44">
        <f t="shared" si="4"/>
        <v>0</v>
      </c>
      <c r="X44">
        <f t="shared" si="13"/>
        <v>8267496.0340735316</v>
      </c>
      <c r="Y44">
        <f>IF(X44&gt;0,X44*'Prepay vs Invest'!$B$6/1200,0)</f>
        <v>51671.850212959573</v>
      </c>
      <c r="Z44">
        <f>IF(X44&gt;0,MIN(-PMT('Prepay vs Invest'!$B$6/1200,'Prepay vs Invest'!$B$7*12-A44+1,X44),X44+Y44),0)</f>
        <v>72903.344691043341</v>
      </c>
      <c r="AA44">
        <f>MIN(MAX(0,X44+Y44-Z44),IF(AND(A44&gt;='Prepay vs Invest'!$B$11,A44&lt;='Prepay vs Invest'!$B$12),'Prepay vs Invest'!$B$10,0)+IF(A44='Prepay vs Invest'!$B$9,'Prepay vs Invest'!$B$8,0))</f>
        <v>10000</v>
      </c>
      <c r="AB44">
        <f t="shared" si="5"/>
        <v>8236264.5395954475</v>
      </c>
      <c r="AC44">
        <f t="shared" si="14"/>
        <v>223744.83099688296</v>
      </c>
      <c r="AD44">
        <f>IF(A44&lt;='Prepay vs Invest'!$B$7*12,MAX(0,'Prepay vs Invest'!$E$5+IF(AND(A44&gt;='Prepay vs Invest'!$B$11,A44&lt;='Prepay vs Invest'!$B$12),'Prepay vs Invest'!$B$10,0)+IF(A44='Prepay vs Invest'!$B$9,'Prepay vs Invest'!$B$8,0)-Z44-AA44),0)</f>
        <v>7655.9746641373786</v>
      </c>
      <c r="AE44">
        <f>AC44*(1+MAX(0,'Prepay vs Invest'!$B$13-'Prepay vs Invest'!$B$14)/1200)+AD44</f>
        <v>233545.02695807378</v>
      </c>
      <c r="AF44">
        <f t="shared" si="15"/>
        <v>202626.42189568689</v>
      </c>
      <c r="AG44">
        <f>MAX(0,(AE44-AF44-'Prepay vs Invest'!$B$16)*'Prepay vs Invest'!$B$15/100)</f>
        <v>0</v>
      </c>
      <c r="AH44">
        <f t="shared" si="6"/>
        <v>233545.02695807378</v>
      </c>
    </row>
    <row r="45" spans="1:34" x14ac:dyDescent="0.35">
      <c r="A45">
        <f t="shared" si="7"/>
        <v>44</v>
      </c>
      <c r="B45">
        <f>IF(A45&lt;='Prepay vs Invest'!$B$7*12,F44,0)</f>
        <v>9112249.3947001044</v>
      </c>
      <c r="C45">
        <f>IF(B45&gt;0,B45*'Prepay vs Invest'!$B$6/1200,0)</f>
        <v>56951.558716875646</v>
      </c>
      <c r="D45">
        <f>IF(B45&gt;0,MIN(-PMT('Prepay vs Invest'!$B$6/1200,'Prepay vs Invest'!$B$7*12,'Prepay vs Invest'!$B$5),B45+C45),0)</f>
        <v>80559.31935518072</v>
      </c>
      <c r="E45">
        <f t="shared" si="0"/>
        <v>23607.760638305073</v>
      </c>
      <c r="F45">
        <f t="shared" si="1"/>
        <v>9088641.6340618003</v>
      </c>
      <c r="G45">
        <f t="shared" si="8"/>
        <v>1201056.5619996814</v>
      </c>
      <c r="H45">
        <f>IF(A45&lt;='Prepay vs Invest'!$B$7*12,IF(AND(A45&gt;='Prepay vs Invest'!$B$11,A45&lt;='Prepay vs Invest'!$B$12),'Prepay vs Invest'!$B$10,0)+IF(A45='Prepay vs Invest'!$B$9,'Prepay vs Invest'!$B$8,0),0)</f>
        <v>10000</v>
      </c>
      <c r="I45">
        <f>G45*(1+MAX(0,'Prepay vs Invest'!$B$13-'Prepay vs Invest'!$B$14)/1200)+H45</f>
        <v>1222566.6873855116</v>
      </c>
      <c r="J45">
        <f t="shared" si="9"/>
        <v>940000</v>
      </c>
      <c r="K45">
        <f>MAX(0,(I45-J45-'Prepay vs Invest'!$B$16)*'Prepay vs Invest'!$B$15/100)</f>
        <v>19695.835923188948</v>
      </c>
      <c r="L45">
        <f t="shared" si="2"/>
        <v>1202870.8514623228</v>
      </c>
      <c r="M45">
        <f t="shared" si="10"/>
        <v>8014144.0325507484</v>
      </c>
      <c r="N45">
        <f>IF(M45&gt;0,M45*'Prepay vs Invest'!$B$6/1200,0)</f>
        <v>50088.400203442179</v>
      </c>
      <c r="O45">
        <f>IF(M45&gt;0,MIN('Prepay vs Invest'!$E$5,M45+N45),0)</f>
        <v>80559.31935518072</v>
      </c>
      <c r="P45">
        <f>MIN(MAX(0,M45+N45-O45),IF(AND(A45&gt;='Prepay vs Invest'!$B$11,A45&lt;='Prepay vs Invest'!$B$12),'Prepay vs Invest'!$B$10,0)+IF(A45='Prepay vs Invest'!$B$9,'Prepay vs Invest'!$B$8,0))</f>
        <v>10000</v>
      </c>
      <c r="Q45">
        <f t="shared" si="3"/>
        <v>7973673.1133990102</v>
      </c>
      <c r="R45">
        <f t="shared" si="11"/>
        <v>0</v>
      </c>
      <c r="S45">
        <f>IF(A45&lt;='Prepay vs Invest'!$B$7*12,MAX(0,'Prepay vs Invest'!$E$5+IF(AND(A45&gt;='Prepay vs Invest'!$B$11,A45&lt;='Prepay vs Invest'!$B$12),'Prepay vs Invest'!$B$10,0)+IF(A45='Prepay vs Invest'!$B$9,'Prepay vs Invest'!$B$8,0)-O45-P45),0)</f>
        <v>0</v>
      </c>
      <c r="T45">
        <f>R45*(1+MAX(0,'Prepay vs Invest'!$B$13-'Prepay vs Invest'!$B$14)/1200)+S45</f>
        <v>0</v>
      </c>
      <c r="U45">
        <f t="shared" si="12"/>
        <v>0</v>
      </c>
      <c r="V45">
        <f>MAX(0,(T45-U45-'Prepay vs Invest'!$B$16)*'Prepay vs Invest'!$B$15/100)</f>
        <v>0</v>
      </c>
      <c r="W45">
        <f t="shared" si="4"/>
        <v>0</v>
      </c>
      <c r="X45">
        <f t="shared" si="13"/>
        <v>8236264.5395954475</v>
      </c>
      <c r="Y45">
        <f>IF(X45&gt;0,X45*'Prepay vs Invest'!$B$6/1200,0)</f>
        <v>51476.653372471541</v>
      </c>
      <c r="Z45">
        <f>IF(X45&gt;0,MIN(-PMT('Prepay vs Invest'!$B$6/1200,'Prepay vs Invest'!$B$7*12-A45+1,X45),X45+Y45),0)</f>
        <v>72814.936970989016</v>
      </c>
      <c r="AA45">
        <f>MIN(MAX(0,X45+Y45-Z45),IF(AND(A45&gt;='Prepay vs Invest'!$B$11,A45&lt;='Prepay vs Invest'!$B$12),'Prepay vs Invest'!$B$10,0)+IF(A45='Prepay vs Invest'!$B$9,'Prepay vs Invest'!$B$8,0))</f>
        <v>10000</v>
      </c>
      <c r="AB45">
        <f t="shared" si="5"/>
        <v>8204926.2559969295</v>
      </c>
      <c r="AC45">
        <f t="shared" si="14"/>
        <v>233545.02695807378</v>
      </c>
      <c r="AD45">
        <f>IF(A45&lt;='Prepay vs Invest'!$B$7*12,MAX(0,'Prepay vs Invest'!$E$5+IF(AND(A45&gt;='Prepay vs Invest'!$B$11,A45&lt;='Prepay vs Invest'!$B$12),'Prepay vs Invest'!$B$10,0)+IF(A45='Prepay vs Invest'!$B$9,'Prepay vs Invest'!$B$8,0)-Z45-AA45),0)</f>
        <v>7744.3823841917037</v>
      </c>
      <c r="AE45">
        <f>AC45*(1+MAX(0,'Prepay vs Invest'!$B$13-'Prepay vs Invest'!$B$14)/1200)+AD45</f>
        <v>243527.54918394701</v>
      </c>
      <c r="AF45">
        <f t="shared" si="15"/>
        <v>210370.80427987859</v>
      </c>
      <c r="AG45">
        <f>MAX(0,(AE45-AF45-'Prepay vs Invest'!$B$16)*'Prepay vs Invest'!$B$15/100)</f>
        <v>0</v>
      </c>
      <c r="AH45">
        <f t="shared" si="6"/>
        <v>243527.54918394701</v>
      </c>
    </row>
    <row r="46" spans="1:34" x14ac:dyDescent="0.35">
      <c r="A46">
        <f t="shared" si="7"/>
        <v>45</v>
      </c>
      <c r="B46">
        <f>IF(A46&lt;='Prepay vs Invest'!$B$7*12,F45,0)</f>
        <v>9088641.6340618003</v>
      </c>
      <c r="C46">
        <f>IF(B46&gt;0,B46*'Prepay vs Invest'!$B$6/1200,0)</f>
        <v>56804.010212886249</v>
      </c>
      <c r="D46">
        <f>IF(B46&gt;0,MIN(-PMT('Prepay vs Invest'!$B$6/1200,'Prepay vs Invest'!$B$7*12,'Prepay vs Invest'!$B$5),B46+C46),0)</f>
        <v>80559.31935518072</v>
      </c>
      <c r="E46">
        <f t="shared" si="0"/>
        <v>23755.309142294471</v>
      </c>
      <c r="F46">
        <f t="shared" si="1"/>
        <v>9064886.3249195069</v>
      </c>
      <c r="G46">
        <f t="shared" si="8"/>
        <v>1222566.6873855116</v>
      </c>
      <c r="H46">
        <f>IF(A46&lt;='Prepay vs Invest'!$B$7*12,IF(AND(A46&gt;='Prepay vs Invest'!$B$11,A46&lt;='Prepay vs Invest'!$B$12),'Prepay vs Invest'!$B$10,0)+IF(A46='Prepay vs Invest'!$B$9,'Prepay vs Invest'!$B$8,0),0)</f>
        <v>10000</v>
      </c>
      <c r="I46">
        <f>G46*(1+MAX(0,'Prepay vs Invest'!$B$13-'Prepay vs Invest'!$B$14)/1200)+H46</f>
        <v>1244282.951472956</v>
      </c>
      <c r="J46">
        <f t="shared" si="9"/>
        <v>950000</v>
      </c>
      <c r="K46">
        <f>MAX(0,(I46-J46-'Prepay vs Invest'!$B$16)*'Prepay vs Invest'!$B$15/100)</f>
        <v>21160.368934119499</v>
      </c>
      <c r="L46">
        <f t="shared" si="2"/>
        <v>1223122.5825388364</v>
      </c>
      <c r="M46">
        <f t="shared" si="10"/>
        <v>7973673.1133990102</v>
      </c>
      <c r="N46">
        <f>IF(M46&gt;0,M46*'Prepay vs Invest'!$B$6/1200,0)</f>
        <v>49835.456958743809</v>
      </c>
      <c r="O46">
        <f>IF(M46&gt;0,MIN('Prepay vs Invest'!$E$5,M46+N46),0)</f>
        <v>80559.31935518072</v>
      </c>
      <c r="P46">
        <f>MIN(MAX(0,M46+N46-O46),IF(AND(A46&gt;='Prepay vs Invest'!$B$11,A46&lt;='Prepay vs Invest'!$B$12),'Prepay vs Invest'!$B$10,0)+IF(A46='Prepay vs Invest'!$B$9,'Prepay vs Invest'!$B$8,0))</f>
        <v>10000</v>
      </c>
      <c r="Q46">
        <f t="shared" si="3"/>
        <v>7932949.2510025734</v>
      </c>
      <c r="R46">
        <f t="shared" si="11"/>
        <v>0</v>
      </c>
      <c r="S46">
        <f>IF(A46&lt;='Prepay vs Invest'!$B$7*12,MAX(0,'Prepay vs Invest'!$E$5+IF(AND(A46&gt;='Prepay vs Invest'!$B$11,A46&lt;='Prepay vs Invest'!$B$12),'Prepay vs Invest'!$B$10,0)+IF(A46='Prepay vs Invest'!$B$9,'Prepay vs Invest'!$B$8,0)-O46-P46),0)</f>
        <v>0</v>
      </c>
      <c r="T46">
        <f>R46*(1+MAX(0,'Prepay vs Invest'!$B$13-'Prepay vs Invest'!$B$14)/1200)+S46</f>
        <v>0</v>
      </c>
      <c r="U46">
        <f t="shared" si="12"/>
        <v>0</v>
      </c>
      <c r="V46">
        <f>MAX(0,(T46-U46-'Prepay vs Invest'!$B$16)*'Prepay vs Invest'!$B$15/100)</f>
        <v>0</v>
      </c>
      <c r="W46">
        <f t="shared" si="4"/>
        <v>0</v>
      </c>
      <c r="X46">
        <f t="shared" si="13"/>
        <v>8204926.2559969295</v>
      </c>
      <c r="Y46">
        <f>IF(X46&gt;0,X46*'Prepay vs Invest'!$B$6/1200,0)</f>
        <v>51280.789099980808</v>
      </c>
      <c r="Z46">
        <f>IF(X46&gt;0,MIN(-PMT('Prepay vs Invest'!$B$6/1200,'Prepay vs Invest'!$B$7*12-A46+1,X46),X46+Y46),0)</f>
        <v>72726.299611745722</v>
      </c>
      <c r="AA46">
        <f>MIN(MAX(0,X46+Y46-Z46),IF(AND(A46&gt;='Prepay vs Invest'!$B$11,A46&lt;='Prepay vs Invest'!$B$12),'Prepay vs Invest'!$B$10,0)+IF(A46='Prepay vs Invest'!$B$9,'Prepay vs Invest'!$B$8,0))</f>
        <v>10000</v>
      </c>
      <c r="AB46">
        <f t="shared" si="5"/>
        <v>8173480.7454851652</v>
      </c>
      <c r="AC46">
        <f t="shared" si="14"/>
        <v>243527.54918394701</v>
      </c>
      <c r="AD46">
        <f>IF(A46&lt;='Prepay vs Invest'!$B$7*12,MAX(0,'Prepay vs Invest'!$E$5+IF(AND(A46&gt;='Prepay vs Invest'!$B$11,A46&lt;='Prepay vs Invest'!$B$12),'Prepay vs Invest'!$B$10,0)+IF(A46='Prepay vs Invest'!$B$9,'Prepay vs Invest'!$B$8,0)-Z46-AA46),0)</f>
        <v>7833.0197434349975</v>
      </c>
      <c r="AE46">
        <f>AC46*(1+MAX(0,'Prepay vs Invest'!$B$13-'Prepay vs Invest'!$B$14)/1200)+AD46</f>
        <v>253694.37460706147</v>
      </c>
      <c r="AF46">
        <f t="shared" si="15"/>
        <v>218203.82402331359</v>
      </c>
      <c r="AG46">
        <f>MAX(0,(AE46-AF46-'Prepay vs Invest'!$B$16)*'Prepay vs Invest'!$B$15/100)</f>
        <v>0</v>
      </c>
      <c r="AH46">
        <f t="shared" si="6"/>
        <v>253694.37460706147</v>
      </c>
    </row>
    <row r="47" spans="1:34" x14ac:dyDescent="0.35">
      <c r="A47">
        <f t="shared" si="7"/>
        <v>46</v>
      </c>
      <c r="B47">
        <f>IF(A47&lt;='Prepay vs Invest'!$B$7*12,F46,0)</f>
        <v>9064886.3249195069</v>
      </c>
      <c r="C47">
        <f>IF(B47&gt;0,B47*'Prepay vs Invest'!$B$6/1200,0)</f>
        <v>56655.539530746915</v>
      </c>
      <c r="D47">
        <f>IF(B47&gt;0,MIN(-PMT('Prepay vs Invest'!$B$6/1200,'Prepay vs Invest'!$B$7*12,'Prepay vs Invest'!$B$5),B47+C47),0)</f>
        <v>80559.31935518072</v>
      </c>
      <c r="E47">
        <f t="shared" si="0"/>
        <v>23903.779824433805</v>
      </c>
      <c r="F47">
        <f t="shared" si="1"/>
        <v>9040982.5450950731</v>
      </c>
      <c r="G47">
        <f t="shared" si="8"/>
        <v>1244282.951472956</v>
      </c>
      <c r="H47">
        <f>IF(A47&lt;='Prepay vs Invest'!$B$7*12,IF(AND(A47&gt;='Prepay vs Invest'!$B$11,A47&lt;='Prepay vs Invest'!$B$12),'Prepay vs Invest'!$B$10,0)+IF(A47='Prepay vs Invest'!$B$9,'Prepay vs Invest'!$B$8,0),0)</f>
        <v>10000</v>
      </c>
      <c r="I47">
        <f>G47*(1+MAX(0,'Prepay vs Invest'!$B$13-'Prepay vs Invest'!$B$14)/1200)+H47</f>
        <v>1266207.3297579051</v>
      </c>
      <c r="J47">
        <f t="shared" si="9"/>
        <v>960000</v>
      </c>
      <c r="K47">
        <f>MAX(0,(I47-J47-'Prepay vs Invest'!$B$16)*'Prepay vs Invest'!$B$15/100)</f>
        <v>22650.916219738134</v>
      </c>
      <c r="L47">
        <f t="shared" si="2"/>
        <v>1243556.413538167</v>
      </c>
      <c r="M47">
        <f t="shared" si="10"/>
        <v>7932949.2510025734</v>
      </c>
      <c r="N47">
        <f>IF(M47&gt;0,M47*'Prepay vs Invest'!$B$6/1200,0)</f>
        <v>49580.932818766079</v>
      </c>
      <c r="O47">
        <f>IF(M47&gt;0,MIN('Prepay vs Invest'!$E$5,M47+N47),0)</f>
        <v>80559.31935518072</v>
      </c>
      <c r="P47">
        <f>MIN(MAX(0,M47+N47-O47),IF(AND(A47&gt;='Prepay vs Invest'!$B$11,A47&lt;='Prepay vs Invest'!$B$12),'Prepay vs Invest'!$B$10,0)+IF(A47='Prepay vs Invest'!$B$9,'Prepay vs Invest'!$B$8,0))</f>
        <v>10000</v>
      </c>
      <c r="Q47">
        <f t="shared" si="3"/>
        <v>7891970.8644661587</v>
      </c>
      <c r="R47">
        <f t="shared" si="11"/>
        <v>0</v>
      </c>
      <c r="S47">
        <f>IF(A47&lt;='Prepay vs Invest'!$B$7*12,MAX(0,'Prepay vs Invest'!$E$5+IF(AND(A47&gt;='Prepay vs Invest'!$B$11,A47&lt;='Prepay vs Invest'!$B$12),'Prepay vs Invest'!$B$10,0)+IF(A47='Prepay vs Invest'!$B$9,'Prepay vs Invest'!$B$8,0)-O47-P47),0)</f>
        <v>0</v>
      </c>
      <c r="T47">
        <f>R47*(1+MAX(0,'Prepay vs Invest'!$B$13-'Prepay vs Invest'!$B$14)/1200)+S47</f>
        <v>0</v>
      </c>
      <c r="U47">
        <f t="shared" si="12"/>
        <v>0</v>
      </c>
      <c r="V47">
        <f>MAX(0,(T47-U47-'Prepay vs Invest'!$B$16)*'Prepay vs Invest'!$B$15/100)</f>
        <v>0</v>
      </c>
      <c r="W47">
        <f t="shared" si="4"/>
        <v>0</v>
      </c>
      <c r="X47">
        <f t="shared" si="13"/>
        <v>8173480.7454851652</v>
      </c>
      <c r="Y47">
        <f>IF(X47&gt;0,X47*'Prepay vs Invest'!$B$6/1200,0)</f>
        <v>51084.254659282276</v>
      </c>
      <c r="Z47">
        <f>IF(X47&gt;0,MIN(-PMT('Prepay vs Invest'!$B$6/1200,'Prepay vs Invest'!$B$7*12-A47+1,X47),X47+Y47),0)</f>
        <v>72637.429970729121</v>
      </c>
      <c r="AA47">
        <f>MIN(MAX(0,X47+Y47-Z47),IF(AND(A47&gt;='Prepay vs Invest'!$B$11,A47&lt;='Prepay vs Invest'!$B$12),'Prepay vs Invest'!$B$10,0)+IF(A47='Prepay vs Invest'!$B$9,'Prepay vs Invest'!$B$8,0))</f>
        <v>10000</v>
      </c>
      <c r="AB47">
        <f t="shared" si="5"/>
        <v>8141927.570173718</v>
      </c>
      <c r="AC47">
        <f t="shared" si="14"/>
        <v>253694.37460706147</v>
      </c>
      <c r="AD47">
        <f>IF(A47&lt;='Prepay vs Invest'!$B$7*12,MAX(0,'Prepay vs Invest'!$E$5+IF(AND(A47&gt;='Prepay vs Invest'!$B$11,A47&lt;='Prepay vs Invest'!$B$12),'Prepay vs Invest'!$B$10,0)+IF(A47='Prepay vs Invest'!$B$9,'Prepay vs Invest'!$B$8,0)-Z47-AA47),0)</f>
        <v>7921.8893844515987</v>
      </c>
      <c r="AE47">
        <f>AC47*(1+MAX(0,'Prepay vs Invest'!$B$13-'Prepay vs Invest'!$B$14)/1200)+AD47</f>
        <v>264047.50174816407</v>
      </c>
      <c r="AF47">
        <f t="shared" si="15"/>
        <v>226125.7134077652</v>
      </c>
      <c r="AG47">
        <f>MAX(0,(AE47-AF47-'Prepay vs Invest'!$B$16)*'Prepay vs Invest'!$B$15/100)</f>
        <v>0</v>
      </c>
      <c r="AH47">
        <f t="shared" si="6"/>
        <v>264047.50174816407</v>
      </c>
    </row>
    <row r="48" spans="1:34" x14ac:dyDescent="0.35">
      <c r="A48">
        <f t="shared" si="7"/>
        <v>47</v>
      </c>
      <c r="B48">
        <f>IF(A48&lt;='Prepay vs Invest'!$B$7*12,F47,0)</f>
        <v>9040982.5450950731</v>
      </c>
      <c r="C48">
        <f>IF(B48&gt;0,B48*'Prepay vs Invest'!$B$6/1200,0)</f>
        <v>56506.140906844201</v>
      </c>
      <c r="D48">
        <f>IF(B48&gt;0,MIN(-PMT('Prepay vs Invest'!$B$6/1200,'Prepay vs Invest'!$B$7*12,'Prepay vs Invest'!$B$5),B48+C48),0)</f>
        <v>80559.31935518072</v>
      </c>
      <c r="E48">
        <f t="shared" si="0"/>
        <v>24053.178448336519</v>
      </c>
      <c r="F48">
        <f t="shared" si="1"/>
        <v>9016929.3666467369</v>
      </c>
      <c r="G48">
        <f t="shared" si="8"/>
        <v>1266207.3297579051</v>
      </c>
      <c r="H48">
        <f>IF(A48&lt;='Prepay vs Invest'!$B$7*12,IF(AND(A48&gt;='Prepay vs Invest'!$B$11,A48&lt;='Prepay vs Invest'!$B$12),'Prepay vs Invest'!$B$10,0)+IF(A48='Prepay vs Invest'!$B$9,'Prepay vs Invest'!$B$8,0),0)</f>
        <v>10000</v>
      </c>
      <c r="I48">
        <f>G48*(1+MAX(0,'Prepay vs Invest'!$B$13-'Prepay vs Invest'!$B$14)/1200)+H48</f>
        <v>1288341.8166680851</v>
      </c>
      <c r="J48">
        <f t="shared" si="9"/>
        <v>970000</v>
      </c>
      <c r="K48">
        <f>MAX(0,(I48-J48-'Prepay vs Invest'!$B$16)*'Prepay vs Invest'!$B$15/100)</f>
        <v>24167.727083510632</v>
      </c>
      <c r="L48">
        <f t="shared" si="2"/>
        <v>1264174.0895845743</v>
      </c>
      <c r="M48">
        <f t="shared" si="10"/>
        <v>7891970.8644661587</v>
      </c>
      <c r="N48">
        <f>IF(M48&gt;0,M48*'Prepay vs Invest'!$B$6/1200,0)</f>
        <v>49324.817902913492</v>
      </c>
      <c r="O48">
        <f>IF(M48&gt;0,MIN('Prepay vs Invest'!$E$5,M48+N48),0)</f>
        <v>80559.31935518072</v>
      </c>
      <c r="P48">
        <f>MIN(MAX(0,M48+N48-O48),IF(AND(A48&gt;='Prepay vs Invest'!$B$11,A48&lt;='Prepay vs Invest'!$B$12),'Prepay vs Invest'!$B$10,0)+IF(A48='Prepay vs Invest'!$B$9,'Prepay vs Invest'!$B$8,0))</f>
        <v>10000</v>
      </c>
      <c r="Q48">
        <f t="shared" si="3"/>
        <v>7850736.3630138915</v>
      </c>
      <c r="R48">
        <f t="shared" si="11"/>
        <v>0</v>
      </c>
      <c r="S48">
        <f>IF(A48&lt;='Prepay vs Invest'!$B$7*12,MAX(0,'Prepay vs Invest'!$E$5+IF(AND(A48&gt;='Prepay vs Invest'!$B$11,A48&lt;='Prepay vs Invest'!$B$12),'Prepay vs Invest'!$B$10,0)+IF(A48='Prepay vs Invest'!$B$9,'Prepay vs Invest'!$B$8,0)-O48-P48),0)</f>
        <v>0</v>
      </c>
      <c r="T48">
        <f>R48*(1+MAX(0,'Prepay vs Invest'!$B$13-'Prepay vs Invest'!$B$14)/1200)+S48</f>
        <v>0</v>
      </c>
      <c r="U48">
        <f t="shared" si="12"/>
        <v>0</v>
      </c>
      <c r="V48">
        <f>MAX(0,(T48-U48-'Prepay vs Invest'!$B$16)*'Prepay vs Invest'!$B$15/100)</f>
        <v>0</v>
      </c>
      <c r="W48">
        <f t="shared" si="4"/>
        <v>0</v>
      </c>
      <c r="X48">
        <f t="shared" si="13"/>
        <v>8141927.570173718</v>
      </c>
      <c r="Y48">
        <f>IF(X48&gt;0,X48*'Prepay vs Invest'!$B$6/1200,0)</f>
        <v>50887.047313585739</v>
      </c>
      <c r="Z48">
        <f>IF(X48&gt;0,MIN(-PMT('Prepay vs Invest'!$B$6/1200,'Prepay vs Invest'!$B$7*12-A48+1,X48),X48+Y48),0)</f>
        <v>72548.325364063465</v>
      </c>
      <c r="AA48">
        <f>MIN(MAX(0,X48+Y48-Z48),IF(AND(A48&gt;='Prepay vs Invest'!$B$11,A48&lt;='Prepay vs Invest'!$B$12),'Prepay vs Invest'!$B$10,0)+IF(A48='Prepay vs Invest'!$B$9,'Prepay vs Invest'!$B$8,0))</f>
        <v>10000</v>
      </c>
      <c r="AB48">
        <f t="shared" si="5"/>
        <v>8110266.2921232404</v>
      </c>
      <c r="AC48">
        <f t="shared" si="14"/>
        <v>264047.50174816407</v>
      </c>
      <c r="AD48">
        <f>IF(A48&lt;='Prepay vs Invest'!$B$7*12,MAX(0,'Prepay vs Invest'!$E$5+IF(AND(A48&gt;='Prepay vs Invest'!$B$11,A48&lt;='Prepay vs Invest'!$B$12),'Prepay vs Invest'!$B$10,0)+IF(A48='Prepay vs Invest'!$B$9,'Prepay vs Invest'!$B$8,0)-Z48-AA48),0)</f>
        <v>8010.9939911172551</v>
      </c>
      <c r="AE48">
        <f>AC48*(1+MAX(0,'Prepay vs Invest'!$B$13-'Prepay vs Invest'!$B$14)/1200)+AD48</f>
        <v>274588.95096436783</v>
      </c>
      <c r="AF48">
        <f t="shared" si="15"/>
        <v>234136.70739888246</v>
      </c>
      <c r="AG48">
        <f>MAX(0,(AE48-AF48-'Prepay vs Invest'!$B$16)*'Prepay vs Invest'!$B$15/100)</f>
        <v>0</v>
      </c>
      <c r="AH48">
        <f t="shared" si="6"/>
        <v>274588.95096436783</v>
      </c>
    </row>
    <row r="49" spans="1:34" x14ac:dyDescent="0.35">
      <c r="A49">
        <f t="shared" si="7"/>
        <v>48</v>
      </c>
      <c r="B49">
        <f>IF(A49&lt;='Prepay vs Invest'!$B$7*12,F48,0)</f>
        <v>9016929.3666467369</v>
      </c>
      <c r="C49">
        <f>IF(B49&gt;0,B49*'Prepay vs Invest'!$B$6/1200,0)</f>
        <v>56355.808541542108</v>
      </c>
      <c r="D49">
        <f>IF(B49&gt;0,MIN(-PMT('Prepay vs Invest'!$B$6/1200,'Prepay vs Invest'!$B$7*12,'Prepay vs Invest'!$B$5),B49+C49),0)</f>
        <v>80559.31935518072</v>
      </c>
      <c r="E49">
        <f t="shared" si="0"/>
        <v>24203.510813638612</v>
      </c>
      <c r="F49">
        <f t="shared" si="1"/>
        <v>8992725.8558330983</v>
      </c>
      <c r="G49">
        <f t="shared" si="8"/>
        <v>1288341.8166680851</v>
      </c>
      <c r="H49">
        <f>IF(A49&lt;='Prepay vs Invest'!$B$7*12,IF(AND(A49&gt;='Prepay vs Invest'!$B$11,A49&lt;='Prepay vs Invest'!$B$12),'Prepay vs Invest'!$B$10,0)+IF(A49='Prepay vs Invest'!$B$9,'Prepay vs Invest'!$B$8,0),0)</f>
        <v>10000</v>
      </c>
      <c r="I49">
        <f>G49*(1+MAX(0,'Prepay vs Invest'!$B$13-'Prepay vs Invest'!$B$14)/1200)+H49</f>
        <v>1310688.4257444874</v>
      </c>
      <c r="J49">
        <f t="shared" si="9"/>
        <v>980000</v>
      </c>
      <c r="K49">
        <f>MAX(0,(I49-J49-'Prepay vs Invest'!$B$16)*'Prepay vs Invest'!$B$15/100)</f>
        <v>25711.053218060926</v>
      </c>
      <c r="L49">
        <f t="shared" si="2"/>
        <v>1284977.3725264266</v>
      </c>
      <c r="M49">
        <f t="shared" si="10"/>
        <v>7850736.3630138915</v>
      </c>
      <c r="N49">
        <f>IF(M49&gt;0,M49*'Prepay vs Invest'!$B$6/1200,0)</f>
        <v>49067.102268836818</v>
      </c>
      <c r="O49">
        <f>IF(M49&gt;0,MIN('Prepay vs Invest'!$E$5,M49+N49),0)</f>
        <v>80559.31935518072</v>
      </c>
      <c r="P49">
        <f>MIN(MAX(0,M49+N49-O49),IF(AND(A49&gt;='Prepay vs Invest'!$B$11,A49&lt;='Prepay vs Invest'!$B$12),'Prepay vs Invest'!$B$10,0)+IF(A49='Prepay vs Invest'!$B$9,'Prepay vs Invest'!$B$8,0))</f>
        <v>10000</v>
      </c>
      <c r="Q49">
        <f t="shared" si="3"/>
        <v>7809244.1459275475</v>
      </c>
      <c r="R49">
        <f t="shared" si="11"/>
        <v>0</v>
      </c>
      <c r="S49">
        <f>IF(A49&lt;='Prepay vs Invest'!$B$7*12,MAX(0,'Prepay vs Invest'!$E$5+IF(AND(A49&gt;='Prepay vs Invest'!$B$11,A49&lt;='Prepay vs Invest'!$B$12),'Prepay vs Invest'!$B$10,0)+IF(A49='Prepay vs Invest'!$B$9,'Prepay vs Invest'!$B$8,0)-O49-P49),0)</f>
        <v>0</v>
      </c>
      <c r="T49">
        <f>R49*(1+MAX(0,'Prepay vs Invest'!$B$13-'Prepay vs Invest'!$B$14)/1200)+S49</f>
        <v>0</v>
      </c>
      <c r="U49">
        <f t="shared" si="12"/>
        <v>0</v>
      </c>
      <c r="V49">
        <f>MAX(0,(T49-U49-'Prepay vs Invest'!$B$16)*'Prepay vs Invest'!$B$15/100)</f>
        <v>0</v>
      </c>
      <c r="W49">
        <f t="shared" si="4"/>
        <v>0</v>
      </c>
      <c r="X49">
        <f t="shared" si="13"/>
        <v>8110266.2921232404</v>
      </c>
      <c r="Y49">
        <f>IF(X49&gt;0,X49*'Prepay vs Invest'!$B$6/1200,0)</f>
        <v>50689.164325770253</v>
      </c>
      <c r="Z49">
        <f>IF(X49&gt;0,MIN(-PMT('Prepay vs Invest'!$B$6/1200,'Prepay vs Invest'!$B$7*12-A49+1,X49),X49+Y49),0)</f>
        <v>72458.98306572721</v>
      </c>
      <c r="AA49">
        <f>MIN(MAX(0,X49+Y49-Z49),IF(AND(A49&gt;='Prepay vs Invest'!$B$11,A49&lt;='Prepay vs Invest'!$B$12),'Prepay vs Invest'!$B$10,0)+IF(A49='Prepay vs Invest'!$B$9,'Prepay vs Invest'!$B$8,0))</f>
        <v>10000</v>
      </c>
      <c r="AB49">
        <f t="shared" si="5"/>
        <v>8078496.4733832832</v>
      </c>
      <c r="AC49">
        <f t="shared" si="14"/>
        <v>274588.95096436783</v>
      </c>
      <c r="AD49">
        <f>IF(A49&lt;='Prepay vs Invest'!$B$7*12,MAX(0,'Prepay vs Invest'!$E$5+IF(AND(A49&gt;='Prepay vs Invest'!$B$11,A49&lt;='Prepay vs Invest'!$B$12),'Prepay vs Invest'!$B$10,0)+IF(A49='Prepay vs Invest'!$B$9,'Prepay vs Invest'!$B$8,0)-Z49-AA49),0)</f>
        <v>8100.3362894535094</v>
      </c>
      <c r="AE49">
        <f>AC49*(1+MAX(0,'Prepay vs Invest'!$B$13-'Prepay vs Invest'!$B$14)/1200)+AD49</f>
        <v>285320.76470056316</v>
      </c>
      <c r="AF49">
        <f t="shared" si="15"/>
        <v>242237.04368833598</v>
      </c>
      <c r="AG49">
        <f>MAX(0,(AE49-AF49-'Prepay vs Invest'!$B$16)*'Prepay vs Invest'!$B$15/100)</f>
        <v>0</v>
      </c>
      <c r="AH49">
        <f t="shared" si="6"/>
        <v>285320.76470056316</v>
      </c>
    </row>
    <row r="50" spans="1:34" x14ac:dyDescent="0.35">
      <c r="A50">
        <f t="shared" si="7"/>
        <v>49</v>
      </c>
      <c r="B50">
        <f>IF(A50&lt;='Prepay vs Invest'!$B$7*12,F49,0)</f>
        <v>8992725.8558330983</v>
      </c>
      <c r="C50">
        <f>IF(B50&gt;0,B50*'Prepay vs Invest'!$B$6/1200,0)</f>
        <v>56204.53659895686</v>
      </c>
      <c r="D50">
        <f>IF(B50&gt;0,MIN(-PMT('Prepay vs Invest'!$B$6/1200,'Prepay vs Invest'!$B$7*12,'Prepay vs Invest'!$B$5),B50+C50),0)</f>
        <v>80559.31935518072</v>
      </c>
      <c r="E50">
        <f t="shared" si="0"/>
        <v>24354.78275622386</v>
      </c>
      <c r="F50">
        <f t="shared" si="1"/>
        <v>8968371.073076874</v>
      </c>
      <c r="G50">
        <f t="shared" si="8"/>
        <v>1310688.4257444874</v>
      </c>
      <c r="H50">
        <f>IF(A50&lt;='Prepay vs Invest'!$B$7*12,IF(AND(A50&gt;='Prepay vs Invest'!$B$11,A50&lt;='Prepay vs Invest'!$B$12),'Prepay vs Invest'!$B$10,0)+IF(A50='Prepay vs Invest'!$B$9,'Prepay vs Invest'!$B$8,0),0)</f>
        <v>10000</v>
      </c>
      <c r="I50">
        <f>G50*(1+MAX(0,'Prepay vs Invest'!$B$13-'Prepay vs Invest'!$B$14)/1200)+H50</f>
        <v>1333249.1898245388</v>
      </c>
      <c r="J50">
        <f t="shared" si="9"/>
        <v>990000</v>
      </c>
      <c r="K50">
        <f>MAX(0,(I50-J50-'Prepay vs Invest'!$B$16)*'Prepay vs Invest'!$B$15/100)</f>
        <v>27281.148728067343</v>
      </c>
      <c r="L50">
        <f t="shared" si="2"/>
        <v>1305968.0410964715</v>
      </c>
      <c r="M50">
        <f t="shared" si="10"/>
        <v>7809244.1459275475</v>
      </c>
      <c r="N50">
        <f>IF(M50&gt;0,M50*'Prepay vs Invest'!$B$6/1200,0)</f>
        <v>48807.775912047175</v>
      </c>
      <c r="O50">
        <f>IF(M50&gt;0,MIN('Prepay vs Invest'!$E$5,M50+N50),0)</f>
        <v>80559.31935518072</v>
      </c>
      <c r="P50">
        <f>MIN(MAX(0,M50+N50-O50),IF(AND(A50&gt;='Prepay vs Invest'!$B$11,A50&lt;='Prepay vs Invest'!$B$12),'Prepay vs Invest'!$B$10,0)+IF(A50='Prepay vs Invest'!$B$9,'Prepay vs Invest'!$B$8,0))</f>
        <v>10000</v>
      </c>
      <c r="Q50">
        <f t="shared" si="3"/>
        <v>7767492.6024844144</v>
      </c>
      <c r="R50">
        <f t="shared" si="11"/>
        <v>0</v>
      </c>
      <c r="S50">
        <f>IF(A50&lt;='Prepay vs Invest'!$B$7*12,MAX(0,'Prepay vs Invest'!$E$5+IF(AND(A50&gt;='Prepay vs Invest'!$B$11,A50&lt;='Prepay vs Invest'!$B$12),'Prepay vs Invest'!$B$10,0)+IF(A50='Prepay vs Invest'!$B$9,'Prepay vs Invest'!$B$8,0)-O50-P50),0)</f>
        <v>0</v>
      </c>
      <c r="T50">
        <f>R50*(1+MAX(0,'Prepay vs Invest'!$B$13-'Prepay vs Invest'!$B$14)/1200)+S50</f>
        <v>0</v>
      </c>
      <c r="U50">
        <f t="shared" si="12"/>
        <v>0</v>
      </c>
      <c r="V50">
        <f>MAX(0,(T50-U50-'Prepay vs Invest'!$B$16)*'Prepay vs Invest'!$B$15/100)</f>
        <v>0</v>
      </c>
      <c r="W50">
        <f t="shared" si="4"/>
        <v>0</v>
      </c>
      <c r="X50">
        <f t="shared" si="13"/>
        <v>8078496.4733832832</v>
      </c>
      <c r="Y50">
        <f>IF(X50&gt;0,X50*'Prepay vs Invest'!$B$6/1200,0)</f>
        <v>50490.602958645526</v>
      </c>
      <c r="Z50">
        <f>IF(X50&gt;0,MIN(-PMT('Prepay vs Invest'!$B$6/1200,'Prepay vs Invest'!$B$7*12-A50+1,X50),X50+Y50),0)</f>
        <v>72369.400306676558</v>
      </c>
      <c r="AA50">
        <f>MIN(MAX(0,X50+Y50-Z50),IF(AND(A50&gt;='Prepay vs Invest'!$B$11,A50&lt;='Prepay vs Invest'!$B$12),'Prepay vs Invest'!$B$10,0)+IF(A50='Prepay vs Invest'!$B$9,'Prepay vs Invest'!$B$8,0))</f>
        <v>10000</v>
      </c>
      <c r="AB50">
        <f t="shared" si="5"/>
        <v>8046617.6760352524</v>
      </c>
      <c r="AC50">
        <f t="shared" si="14"/>
        <v>285320.76470056316</v>
      </c>
      <c r="AD50">
        <f>IF(A50&lt;='Prepay vs Invest'!$B$7*12,MAX(0,'Prepay vs Invest'!$E$5+IF(AND(A50&gt;='Prepay vs Invest'!$B$11,A50&lt;='Prepay vs Invest'!$B$12),'Prepay vs Invest'!$B$10,0)+IF(A50='Prepay vs Invest'!$B$9,'Prepay vs Invest'!$B$8,0)-Z50-AA50),0)</f>
        <v>8189.9190485041618</v>
      </c>
      <c r="AE50">
        <f>AC50*(1+MAX(0,'Prepay vs Invest'!$B$13-'Prepay vs Invest'!$B$14)/1200)+AD50</f>
        <v>296245.00774411438</v>
      </c>
      <c r="AF50">
        <f t="shared" si="15"/>
        <v>250426.96273684013</v>
      </c>
      <c r="AG50">
        <f>MAX(0,(AE50-AF50-'Prepay vs Invest'!$B$16)*'Prepay vs Invest'!$B$15/100)</f>
        <v>0</v>
      </c>
      <c r="AH50">
        <f t="shared" si="6"/>
        <v>296245.00774411438</v>
      </c>
    </row>
    <row r="51" spans="1:34" x14ac:dyDescent="0.35">
      <c r="A51">
        <f t="shared" si="7"/>
        <v>50</v>
      </c>
      <c r="B51">
        <f>IF(A51&lt;='Prepay vs Invest'!$B$7*12,F50,0)</f>
        <v>8968371.073076874</v>
      </c>
      <c r="C51">
        <f>IF(B51&gt;0,B51*'Prepay vs Invest'!$B$6/1200,0)</f>
        <v>56052.319206730463</v>
      </c>
      <c r="D51">
        <f>IF(B51&gt;0,MIN(-PMT('Prepay vs Invest'!$B$6/1200,'Prepay vs Invest'!$B$7*12,'Prepay vs Invest'!$B$5),B51+C51),0)</f>
        <v>80559.31935518072</v>
      </c>
      <c r="E51">
        <f t="shared" si="0"/>
        <v>24507.000148450257</v>
      </c>
      <c r="F51">
        <f t="shared" si="1"/>
        <v>8943864.0729284231</v>
      </c>
      <c r="G51">
        <f t="shared" si="8"/>
        <v>1333249.1898245388</v>
      </c>
      <c r="H51">
        <f>IF(A51&lt;='Prepay vs Invest'!$B$7*12,IF(AND(A51&gt;='Prepay vs Invest'!$B$11,A51&lt;='Prepay vs Invest'!$B$12),'Prepay vs Invest'!$B$10,0)+IF(A51='Prepay vs Invest'!$B$9,'Prepay vs Invest'!$B$8,0),0)</f>
        <v>10000</v>
      </c>
      <c r="I51">
        <f>G51*(1+MAX(0,'Prepay vs Invest'!$B$13-'Prepay vs Invest'!$B$14)/1200)+H51</f>
        <v>1356026.1612270239</v>
      </c>
      <c r="J51">
        <f t="shared" si="9"/>
        <v>1000000</v>
      </c>
      <c r="K51">
        <f>MAX(0,(I51-J51-'Prepay vs Invest'!$B$16)*'Prepay vs Invest'!$B$15/100)</f>
        <v>28878.270153377991</v>
      </c>
      <c r="L51">
        <f t="shared" si="2"/>
        <v>1327147.891073646</v>
      </c>
      <c r="M51">
        <f t="shared" si="10"/>
        <v>7767492.6024844144</v>
      </c>
      <c r="N51">
        <f>IF(M51&gt;0,M51*'Prepay vs Invest'!$B$6/1200,0)</f>
        <v>48546.828765527585</v>
      </c>
      <c r="O51">
        <f>IF(M51&gt;0,MIN('Prepay vs Invest'!$E$5,M51+N51),0)</f>
        <v>80559.31935518072</v>
      </c>
      <c r="P51">
        <f>MIN(MAX(0,M51+N51-O51),IF(AND(A51&gt;='Prepay vs Invest'!$B$11,A51&lt;='Prepay vs Invest'!$B$12),'Prepay vs Invest'!$B$10,0)+IF(A51='Prepay vs Invest'!$B$9,'Prepay vs Invest'!$B$8,0))</f>
        <v>10000</v>
      </c>
      <c r="Q51">
        <f t="shared" si="3"/>
        <v>7725480.1118947612</v>
      </c>
      <c r="R51">
        <f t="shared" si="11"/>
        <v>0</v>
      </c>
      <c r="S51">
        <f>IF(A51&lt;='Prepay vs Invest'!$B$7*12,MAX(0,'Prepay vs Invest'!$E$5+IF(AND(A51&gt;='Prepay vs Invest'!$B$11,A51&lt;='Prepay vs Invest'!$B$12),'Prepay vs Invest'!$B$10,0)+IF(A51='Prepay vs Invest'!$B$9,'Prepay vs Invest'!$B$8,0)-O51-P51),0)</f>
        <v>0</v>
      </c>
      <c r="T51">
        <f>R51*(1+MAX(0,'Prepay vs Invest'!$B$13-'Prepay vs Invest'!$B$14)/1200)+S51</f>
        <v>0</v>
      </c>
      <c r="U51">
        <f t="shared" si="12"/>
        <v>0</v>
      </c>
      <c r="V51">
        <f>MAX(0,(T51-U51-'Prepay vs Invest'!$B$16)*'Prepay vs Invest'!$B$15/100)</f>
        <v>0</v>
      </c>
      <c r="W51">
        <f t="shared" si="4"/>
        <v>0</v>
      </c>
      <c r="X51">
        <f t="shared" si="13"/>
        <v>8046617.6760352524</v>
      </c>
      <c r="Y51">
        <f>IF(X51&gt;0,X51*'Prepay vs Invest'!$B$6/1200,0)</f>
        <v>50291.360475220325</v>
      </c>
      <c r="Z51">
        <f>IF(X51&gt;0,MIN(-PMT('Prepay vs Invest'!$B$6/1200,'Prepay vs Invest'!$B$7*12-A51+1,X51),X51+Y51),0)</f>
        <v>72279.574273945778</v>
      </c>
      <c r="AA51">
        <f>MIN(MAX(0,X51+Y51-Z51),IF(AND(A51&gt;='Prepay vs Invest'!$B$11,A51&lt;='Prepay vs Invest'!$B$12),'Prepay vs Invest'!$B$10,0)+IF(A51='Prepay vs Invest'!$B$9,'Prepay vs Invest'!$B$8,0))</f>
        <v>10000</v>
      </c>
      <c r="AB51">
        <f t="shared" si="5"/>
        <v>8014629.4622365274</v>
      </c>
      <c r="AC51">
        <f t="shared" si="14"/>
        <v>296245.00774411438</v>
      </c>
      <c r="AD51">
        <f>IF(A51&lt;='Prepay vs Invest'!$B$7*12,MAX(0,'Prepay vs Invest'!$E$5+IF(AND(A51&gt;='Prepay vs Invest'!$B$11,A51&lt;='Prepay vs Invest'!$B$12),'Prepay vs Invest'!$B$10,0)+IF(A51='Prepay vs Invest'!$B$9,'Prepay vs Invest'!$B$8,0)-Z51-AA51),0)</f>
        <v>8279.7450812349416</v>
      </c>
      <c r="AE51">
        <f>AC51*(1+MAX(0,'Prepay vs Invest'!$B$13-'Prepay vs Invest'!$B$14)/1200)+AD51</f>
        <v>307363.76748289709</v>
      </c>
      <c r="AF51">
        <f t="shared" si="15"/>
        <v>258706.70781807508</v>
      </c>
      <c r="AG51">
        <f>MAX(0,(AE51-AF51-'Prepay vs Invest'!$B$16)*'Prepay vs Invest'!$B$15/100)</f>
        <v>0</v>
      </c>
      <c r="AH51">
        <f t="shared" si="6"/>
        <v>307363.76748289709</v>
      </c>
    </row>
    <row r="52" spans="1:34" x14ac:dyDescent="0.35">
      <c r="A52">
        <f t="shared" si="7"/>
        <v>51</v>
      </c>
      <c r="B52">
        <f>IF(A52&lt;='Prepay vs Invest'!$B$7*12,F51,0)</f>
        <v>8943864.0729284231</v>
      </c>
      <c r="C52">
        <f>IF(B52&gt;0,B52*'Prepay vs Invest'!$B$6/1200,0)</f>
        <v>55899.150455802643</v>
      </c>
      <c r="D52">
        <f>IF(B52&gt;0,MIN(-PMT('Prepay vs Invest'!$B$6/1200,'Prepay vs Invest'!$B$7*12,'Prepay vs Invest'!$B$5),B52+C52),0)</f>
        <v>80559.31935518072</v>
      </c>
      <c r="E52">
        <f t="shared" si="0"/>
        <v>24660.168899378077</v>
      </c>
      <c r="F52">
        <f t="shared" si="1"/>
        <v>8919203.9040290453</v>
      </c>
      <c r="G52">
        <f t="shared" si="8"/>
        <v>1356026.1612270239</v>
      </c>
      <c r="H52">
        <f>IF(A52&lt;='Prepay vs Invest'!$B$7*12,IF(AND(A52&gt;='Prepay vs Invest'!$B$11,A52&lt;='Prepay vs Invest'!$B$12),'Prepay vs Invest'!$B$10,0)+IF(A52='Prepay vs Invest'!$B$9,'Prepay vs Invest'!$B$8,0),0)</f>
        <v>10000</v>
      </c>
      <c r="I52">
        <f>G52*(1+MAX(0,'Prepay vs Invest'!$B$13-'Prepay vs Invest'!$B$14)/1200)+H52</f>
        <v>1379021.4119387828</v>
      </c>
      <c r="J52">
        <f t="shared" si="9"/>
        <v>1010000</v>
      </c>
      <c r="K52">
        <f>MAX(0,(I52-J52-'Prepay vs Invest'!$B$16)*'Prepay vs Invest'!$B$15/100)</f>
        <v>30502.676492347848</v>
      </c>
      <c r="L52">
        <f t="shared" si="2"/>
        <v>1348518.7354464349</v>
      </c>
      <c r="M52">
        <f t="shared" si="10"/>
        <v>7725480.1118947612</v>
      </c>
      <c r="N52">
        <f>IF(M52&gt;0,M52*'Prepay vs Invest'!$B$6/1200,0)</f>
        <v>48284.250699342258</v>
      </c>
      <c r="O52">
        <f>IF(M52&gt;0,MIN('Prepay vs Invest'!$E$5,M52+N52),0)</f>
        <v>80559.31935518072</v>
      </c>
      <c r="P52">
        <f>MIN(MAX(0,M52+N52-O52),IF(AND(A52&gt;='Prepay vs Invest'!$B$11,A52&lt;='Prepay vs Invest'!$B$12),'Prepay vs Invest'!$B$10,0)+IF(A52='Prepay vs Invest'!$B$9,'Prepay vs Invest'!$B$8,0))</f>
        <v>10000</v>
      </c>
      <c r="Q52">
        <f t="shared" si="3"/>
        <v>7683205.043238923</v>
      </c>
      <c r="R52">
        <f t="shared" si="11"/>
        <v>0</v>
      </c>
      <c r="S52">
        <f>IF(A52&lt;='Prepay vs Invest'!$B$7*12,MAX(0,'Prepay vs Invest'!$E$5+IF(AND(A52&gt;='Prepay vs Invest'!$B$11,A52&lt;='Prepay vs Invest'!$B$12),'Prepay vs Invest'!$B$10,0)+IF(A52='Prepay vs Invest'!$B$9,'Prepay vs Invest'!$B$8,0)-O52-P52),0)</f>
        <v>0</v>
      </c>
      <c r="T52">
        <f>R52*(1+MAX(0,'Prepay vs Invest'!$B$13-'Prepay vs Invest'!$B$14)/1200)+S52</f>
        <v>0</v>
      </c>
      <c r="U52">
        <f t="shared" si="12"/>
        <v>0</v>
      </c>
      <c r="V52">
        <f>MAX(0,(T52-U52-'Prepay vs Invest'!$B$16)*'Prepay vs Invest'!$B$15/100)</f>
        <v>0</v>
      </c>
      <c r="W52">
        <f t="shared" si="4"/>
        <v>0</v>
      </c>
      <c r="X52">
        <f t="shared" si="13"/>
        <v>8014629.4622365274</v>
      </c>
      <c r="Y52">
        <f>IF(X52&gt;0,X52*'Prepay vs Invest'!$B$6/1200,0)</f>
        <v>50091.4341389783</v>
      </c>
      <c r="Z52">
        <f>IF(X52&gt;0,MIN(-PMT('Prepay vs Invest'!$B$6/1200,'Prepay vs Invest'!$B$7*12-A52+1,X52),X52+Y52),0)</f>
        <v>72189.502109724257</v>
      </c>
      <c r="AA52">
        <f>MIN(MAX(0,X52+Y52-Z52),IF(AND(A52&gt;='Prepay vs Invest'!$B$11,A52&lt;='Prepay vs Invest'!$B$12),'Prepay vs Invest'!$B$10,0)+IF(A52='Prepay vs Invest'!$B$9,'Prepay vs Invest'!$B$8,0))</f>
        <v>10000</v>
      </c>
      <c r="AB52">
        <f t="shared" si="5"/>
        <v>7982531.3942657812</v>
      </c>
      <c r="AC52">
        <f t="shared" si="14"/>
        <v>307363.76748289709</v>
      </c>
      <c r="AD52">
        <f>IF(A52&lt;='Prepay vs Invest'!$B$7*12,MAX(0,'Prepay vs Invest'!$E$5+IF(AND(A52&gt;='Prepay vs Invest'!$B$11,A52&lt;='Prepay vs Invest'!$B$12),'Prepay vs Invest'!$B$10,0)+IF(A52='Prepay vs Invest'!$B$9,'Prepay vs Invest'!$B$8,0)-Z52-AA52),0)</f>
        <v>8369.8172454564628</v>
      </c>
      <c r="AE52">
        <f>AC52*(1+MAX(0,'Prepay vs Invest'!$B$13-'Prepay vs Invest'!$B$14)/1200)+AD52</f>
        <v>318679.15416673128</v>
      </c>
      <c r="AF52">
        <f t="shared" si="15"/>
        <v>267076.52506353153</v>
      </c>
      <c r="AG52">
        <f>MAX(0,(AE52-AF52-'Prepay vs Invest'!$B$16)*'Prepay vs Invest'!$B$15/100)</f>
        <v>0</v>
      </c>
      <c r="AH52">
        <f t="shared" si="6"/>
        <v>318679.15416673128</v>
      </c>
    </row>
    <row r="53" spans="1:34" x14ac:dyDescent="0.35">
      <c r="A53">
        <f t="shared" si="7"/>
        <v>52</v>
      </c>
      <c r="B53">
        <f>IF(A53&lt;='Prepay vs Invest'!$B$7*12,F52,0)</f>
        <v>8919203.9040290453</v>
      </c>
      <c r="C53">
        <f>IF(B53&gt;0,B53*'Prepay vs Invest'!$B$6/1200,0)</f>
        <v>55745.024400181537</v>
      </c>
      <c r="D53">
        <f>IF(B53&gt;0,MIN(-PMT('Prepay vs Invest'!$B$6/1200,'Prepay vs Invest'!$B$7*12,'Prepay vs Invest'!$B$5),B53+C53),0)</f>
        <v>80559.31935518072</v>
      </c>
      <c r="E53">
        <f t="shared" si="0"/>
        <v>24814.294954999183</v>
      </c>
      <c r="F53">
        <f t="shared" si="1"/>
        <v>8894389.6090740468</v>
      </c>
      <c r="G53">
        <f t="shared" si="8"/>
        <v>1379021.4119387828</v>
      </c>
      <c r="H53">
        <f>IF(A53&lt;='Prepay vs Invest'!$B$7*12,IF(AND(A53&gt;='Prepay vs Invest'!$B$11,A53&lt;='Prepay vs Invest'!$B$12),'Prepay vs Invest'!$B$10,0)+IF(A53='Prepay vs Invest'!$B$9,'Prepay vs Invest'!$B$8,0),0)</f>
        <v>10000</v>
      </c>
      <c r="I53">
        <f>G53*(1+MAX(0,'Prepay vs Invest'!$B$13-'Prepay vs Invest'!$B$14)/1200)+H53</f>
        <v>1402237.0338031959</v>
      </c>
      <c r="J53">
        <f t="shared" si="9"/>
        <v>1020000</v>
      </c>
      <c r="K53">
        <f>MAX(0,(I53-J53-'Prepay vs Invest'!$B$16)*'Prepay vs Invest'!$B$15/100)</f>
        <v>32154.629225399491</v>
      </c>
      <c r="L53">
        <f t="shared" si="2"/>
        <v>1370082.4045777963</v>
      </c>
      <c r="M53">
        <f t="shared" si="10"/>
        <v>7683205.043238923</v>
      </c>
      <c r="N53">
        <f>IF(M53&gt;0,M53*'Prepay vs Invest'!$B$6/1200,0)</f>
        <v>48020.031520243268</v>
      </c>
      <c r="O53">
        <f>IF(M53&gt;0,MIN('Prepay vs Invest'!$E$5,M53+N53),0)</f>
        <v>80559.31935518072</v>
      </c>
      <c r="P53">
        <f>MIN(MAX(0,M53+N53-O53),IF(AND(A53&gt;='Prepay vs Invest'!$B$11,A53&lt;='Prepay vs Invest'!$B$12),'Prepay vs Invest'!$B$10,0)+IF(A53='Prepay vs Invest'!$B$9,'Prepay vs Invest'!$B$8,0))</f>
        <v>10000</v>
      </c>
      <c r="Q53">
        <f t="shared" si="3"/>
        <v>7640665.7554039862</v>
      </c>
      <c r="R53">
        <f t="shared" si="11"/>
        <v>0</v>
      </c>
      <c r="S53">
        <f>IF(A53&lt;='Prepay vs Invest'!$B$7*12,MAX(0,'Prepay vs Invest'!$E$5+IF(AND(A53&gt;='Prepay vs Invest'!$B$11,A53&lt;='Prepay vs Invest'!$B$12),'Prepay vs Invest'!$B$10,0)+IF(A53='Prepay vs Invest'!$B$9,'Prepay vs Invest'!$B$8,0)-O53-P53),0)</f>
        <v>0</v>
      </c>
      <c r="T53">
        <f>R53*(1+MAX(0,'Prepay vs Invest'!$B$13-'Prepay vs Invest'!$B$14)/1200)+S53</f>
        <v>0</v>
      </c>
      <c r="U53">
        <f t="shared" si="12"/>
        <v>0</v>
      </c>
      <c r="V53">
        <f>MAX(0,(T53-U53-'Prepay vs Invest'!$B$16)*'Prepay vs Invest'!$B$15/100)</f>
        <v>0</v>
      </c>
      <c r="W53">
        <f t="shared" si="4"/>
        <v>0</v>
      </c>
      <c r="X53">
        <f t="shared" si="13"/>
        <v>7982531.3942657812</v>
      </c>
      <c r="Y53">
        <f>IF(X53&gt;0,X53*'Prepay vs Invest'!$B$6/1200,0)</f>
        <v>49890.821214161129</v>
      </c>
      <c r="Z53">
        <f>IF(X53&gt;0,MIN(-PMT('Prepay vs Invest'!$B$6/1200,'Prepay vs Invest'!$B$7*12-A53+1,X53),X53+Y53),0)</f>
        <v>72099.180910408715</v>
      </c>
      <c r="AA53">
        <f>MIN(MAX(0,X53+Y53-Z53),IF(AND(A53&gt;='Prepay vs Invest'!$B$11,A53&lt;='Prepay vs Invest'!$B$12),'Prepay vs Invest'!$B$10,0)+IF(A53='Prepay vs Invest'!$B$9,'Prepay vs Invest'!$B$8,0))</f>
        <v>10000</v>
      </c>
      <c r="AB53">
        <f t="shared" si="5"/>
        <v>7950323.0345695335</v>
      </c>
      <c r="AC53">
        <f t="shared" si="14"/>
        <v>318679.15416673128</v>
      </c>
      <c r="AD53">
        <f>IF(A53&lt;='Prepay vs Invest'!$B$7*12,MAX(0,'Prepay vs Invest'!$E$5+IF(AND(A53&gt;='Prepay vs Invest'!$B$11,A53&lt;='Prepay vs Invest'!$B$12),'Prepay vs Invest'!$B$10,0)+IF(A53='Prepay vs Invest'!$B$9,'Prepay vs Invest'!$B$8,0)-Z53-AA53),0)</f>
        <v>8460.1384447720047</v>
      </c>
      <c r="AE53">
        <f>AC53*(1+MAX(0,'Prepay vs Invest'!$B$13-'Prepay vs Invest'!$B$14)/1200)+AD53</f>
        <v>330193.30117226776</v>
      </c>
      <c r="AF53">
        <f t="shared" si="15"/>
        <v>275536.66350830352</v>
      </c>
      <c r="AG53">
        <f>MAX(0,(AE53-AF53-'Prepay vs Invest'!$B$16)*'Prepay vs Invest'!$B$15/100)</f>
        <v>0</v>
      </c>
      <c r="AH53">
        <f t="shared" si="6"/>
        <v>330193.30117226776</v>
      </c>
    </row>
    <row r="54" spans="1:34" x14ac:dyDescent="0.35">
      <c r="A54">
        <f t="shared" si="7"/>
        <v>53</v>
      </c>
      <c r="B54">
        <f>IF(A54&lt;='Prepay vs Invest'!$B$7*12,F53,0)</f>
        <v>8894389.6090740468</v>
      </c>
      <c r="C54">
        <f>IF(B54&gt;0,B54*'Prepay vs Invest'!$B$6/1200,0)</f>
        <v>55589.935056712799</v>
      </c>
      <c r="D54">
        <f>IF(B54&gt;0,MIN(-PMT('Prepay vs Invest'!$B$6/1200,'Prepay vs Invest'!$B$7*12,'Prepay vs Invest'!$B$5),B54+C54),0)</f>
        <v>80559.31935518072</v>
      </c>
      <c r="E54">
        <f t="shared" si="0"/>
        <v>24969.384298467921</v>
      </c>
      <c r="F54">
        <f t="shared" si="1"/>
        <v>8869420.2247755788</v>
      </c>
      <c r="G54">
        <f t="shared" si="8"/>
        <v>1402237.0338031959</v>
      </c>
      <c r="H54">
        <f>IF(A54&lt;='Prepay vs Invest'!$B$7*12,IF(AND(A54&gt;='Prepay vs Invest'!$B$11,A54&lt;='Prepay vs Invest'!$B$12),'Prepay vs Invest'!$B$10,0)+IF(A54='Prepay vs Invest'!$B$9,'Prepay vs Invest'!$B$8,0),0)</f>
        <v>10000</v>
      </c>
      <c r="I54">
        <f>G54*(1+MAX(0,'Prepay vs Invest'!$B$13-'Prepay vs Invest'!$B$14)/1200)+H54</f>
        <v>1425675.1387104765</v>
      </c>
      <c r="J54">
        <f t="shared" si="9"/>
        <v>1030000</v>
      </c>
      <c r="K54">
        <f>MAX(0,(I54-J54-'Prepay vs Invest'!$B$16)*'Prepay vs Invest'!$B$15/100)</f>
        <v>33834.392338809557</v>
      </c>
      <c r="L54">
        <f t="shared" si="2"/>
        <v>1391840.7463716669</v>
      </c>
      <c r="M54">
        <f t="shared" si="10"/>
        <v>7640665.7554039862</v>
      </c>
      <c r="N54">
        <f>IF(M54&gt;0,M54*'Prepay vs Invest'!$B$6/1200,0)</f>
        <v>47754.16097127492</v>
      </c>
      <c r="O54">
        <f>IF(M54&gt;0,MIN('Prepay vs Invest'!$E$5,M54+N54),0)</f>
        <v>80559.31935518072</v>
      </c>
      <c r="P54">
        <f>MIN(MAX(0,M54+N54-O54),IF(AND(A54&gt;='Prepay vs Invest'!$B$11,A54&lt;='Prepay vs Invest'!$B$12),'Prepay vs Invest'!$B$10,0)+IF(A54='Prepay vs Invest'!$B$9,'Prepay vs Invest'!$B$8,0))</f>
        <v>10000</v>
      </c>
      <c r="Q54">
        <f t="shared" si="3"/>
        <v>7597860.5970200803</v>
      </c>
      <c r="R54">
        <f t="shared" si="11"/>
        <v>0</v>
      </c>
      <c r="S54">
        <f>IF(A54&lt;='Prepay vs Invest'!$B$7*12,MAX(0,'Prepay vs Invest'!$E$5+IF(AND(A54&gt;='Prepay vs Invest'!$B$11,A54&lt;='Prepay vs Invest'!$B$12),'Prepay vs Invest'!$B$10,0)+IF(A54='Prepay vs Invest'!$B$9,'Prepay vs Invest'!$B$8,0)-O54-P54),0)</f>
        <v>0</v>
      </c>
      <c r="T54">
        <f>R54*(1+MAX(0,'Prepay vs Invest'!$B$13-'Prepay vs Invest'!$B$14)/1200)+S54</f>
        <v>0</v>
      </c>
      <c r="U54">
        <f t="shared" si="12"/>
        <v>0</v>
      </c>
      <c r="V54">
        <f>MAX(0,(T54-U54-'Prepay vs Invest'!$B$16)*'Prepay vs Invest'!$B$15/100)</f>
        <v>0</v>
      </c>
      <c r="W54">
        <f t="shared" si="4"/>
        <v>0</v>
      </c>
      <c r="X54">
        <f t="shared" si="13"/>
        <v>7950323.0345695335</v>
      </c>
      <c r="Y54">
        <f>IF(X54&gt;0,X54*'Prepay vs Invest'!$B$6/1200,0)</f>
        <v>49689.518966059586</v>
      </c>
      <c r="Z54">
        <f>IF(X54&gt;0,MIN(-PMT('Prepay vs Invest'!$B$6/1200,'Prepay vs Invest'!$B$7*12-A54+1,X54),X54+Y54),0)</f>
        <v>72008.607725630543</v>
      </c>
      <c r="AA54">
        <f>MIN(MAX(0,X54+Y54-Z54),IF(AND(A54&gt;='Prepay vs Invest'!$B$11,A54&lt;='Prepay vs Invest'!$B$12),'Prepay vs Invest'!$B$10,0)+IF(A54='Prepay vs Invest'!$B$9,'Prepay vs Invest'!$B$8,0))</f>
        <v>10000</v>
      </c>
      <c r="AB54">
        <f t="shared" si="5"/>
        <v>7918003.9458099622</v>
      </c>
      <c r="AC54">
        <f t="shared" si="14"/>
        <v>330193.30117226776</v>
      </c>
      <c r="AD54">
        <f>IF(A54&lt;='Prepay vs Invest'!$B$7*12,MAX(0,'Prepay vs Invest'!$E$5+IF(AND(A54&gt;='Prepay vs Invest'!$B$11,A54&lt;='Prepay vs Invest'!$B$12),'Prepay vs Invest'!$B$10,0)+IF(A54='Prepay vs Invest'!$B$9,'Prepay vs Invest'!$B$8,0)-Z54-AA54),0)</f>
        <v>8550.7116295501764</v>
      </c>
      <c r="AE54">
        <f>AC54*(1+MAX(0,'Prepay vs Invest'!$B$13-'Prepay vs Invest'!$B$14)/1200)+AD54</f>
        <v>341908.36527138553</v>
      </c>
      <c r="AF54">
        <f t="shared" si="15"/>
        <v>284087.37513785367</v>
      </c>
      <c r="AG54">
        <f>MAX(0,(AE54-AF54-'Prepay vs Invest'!$B$16)*'Prepay vs Invest'!$B$15/100)</f>
        <v>0</v>
      </c>
      <c r="AH54">
        <f t="shared" si="6"/>
        <v>341908.36527138553</v>
      </c>
    </row>
    <row r="55" spans="1:34" x14ac:dyDescent="0.35">
      <c r="A55">
        <f t="shared" si="7"/>
        <v>54</v>
      </c>
      <c r="B55">
        <f>IF(A55&lt;='Prepay vs Invest'!$B$7*12,F54,0)</f>
        <v>8869420.2247755788</v>
      </c>
      <c r="C55">
        <f>IF(B55&gt;0,B55*'Prepay vs Invest'!$B$6/1200,0)</f>
        <v>55433.876404847368</v>
      </c>
      <c r="D55">
        <f>IF(B55&gt;0,MIN(-PMT('Prepay vs Invest'!$B$6/1200,'Prepay vs Invest'!$B$7*12,'Prepay vs Invest'!$B$5),B55+C55),0)</f>
        <v>80559.31935518072</v>
      </c>
      <c r="E55">
        <f t="shared" si="0"/>
        <v>25125.442950333352</v>
      </c>
      <c r="F55">
        <f t="shared" si="1"/>
        <v>8844294.7818252463</v>
      </c>
      <c r="G55">
        <f t="shared" si="8"/>
        <v>1425675.1387104765</v>
      </c>
      <c r="H55">
        <f>IF(A55&lt;='Prepay vs Invest'!$B$7*12,IF(AND(A55&gt;='Prepay vs Invest'!$B$11,A55&lt;='Prepay vs Invest'!$B$12),'Prepay vs Invest'!$B$10,0)+IF(A55='Prepay vs Invest'!$B$9,'Prepay vs Invest'!$B$8,0),0)</f>
        <v>10000</v>
      </c>
      <c r="I55">
        <f>G55*(1+MAX(0,'Prepay vs Invest'!$B$13-'Prepay vs Invest'!$B$14)/1200)+H55</f>
        <v>1449337.8587897851</v>
      </c>
      <c r="J55">
        <f t="shared" si="9"/>
        <v>1040000</v>
      </c>
      <c r="K55">
        <f>MAX(0,(I55-J55-'Prepay vs Invest'!$B$16)*'Prepay vs Invest'!$B$15/100)</f>
        <v>35542.232348723133</v>
      </c>
      <c r="L55">
        <f t="shared" si="2"/>
        <v>1413795.626441062</v>
      </c>
      <c r="M55">
        <f t="shared" si="10"/>
        <v>7597860.5970200803</v>
      </c>
      <c r="N55">
        <f>IF(M55&gt;0,M55*'Prepay vs Invest'!$B$6/1200,0)</f>
        <v>47486.628731375502</v>
      </c>
      <c r="O55">
        <f>IF(M55&gt;0,MIN('Prepay vs Invest'!$E$5,M55+N55),0)</f>
        <v>80559.31935518072</v>
      </c>
      <c r="P55">
        <f>MIN(MAX(0,M55+N55-O55),IF(AND(A55&gt;='Prepay vs Invest'!$B$11,A55&lt;='Prepay vs Invest'!$B$12),'Prepay vs Invest'!$B$10,0)+IF(A55='Prepay vs Invest'!$B$9,'Prepay vs Invest'!$B$8,0))</f>
        <v>10000</v>
      </c>
      <c r="Q55">
        <f t="shared" si="3"/>
        <v>7554787.9063962754</v>
      </c>
      <c r="R55">
        <f t="shared" si="11"/>
        <v>0</v>
      </c>
      <c r="S55">
        <f>IF(A55&lt;='Prepay vs Invest'!$B$7*12,MAX(0,'Prepay vs Invest'!$E$5+IF(AND(A55&gt;='Prepay vs Invest'!$B$11,A55&lt;='Prepay vs Invest'!$B$12),'Prepay vs Invest'!$B$10,0)+IF(A55='Prepay vs Invest'!$B$9,'Prepay vs Invest'!$B$8,0)-O55-P55),0)</f>
        <v>0</v>
      </c>
      <c r="T55">
        <f>R55*(1+MAX(0,'Prepay vs Invest'!$B$13-'Prepay vs Invest'!$B$14)/1200)+S55</f>
        <v>0</v>
      </c>
      <c r="U55">
        <f t="shared" si="12"/>
        <v>0</v>
      </c>
      <c r="V55">
        <f>MAX(0,(T55-U55-'Prepay vs Invest'!$B$16)*'Prepay vs Invest'!$B$15/100)</f>
        <v>0</v>
      </c>
      <c r="W55">
        <f t="shared" si="4"/>
        <v>0</v>
      </c>
      <c r="X55">
        <f t="shared" si="13"/>
        <v>7918003.9458099622</v>
      </c>
      <c r="Y55">
        <f>IF(X55&gt;0,X55*'Prepay vs Invest'!$B$6/1200,0)</f>
        <v>49487.524661312265</v>
      </c>
      <c r="Z55">
        <f>IF(X55&gt;0,MIN(-PMT('Prepay vs Invest'!$B$6/1200,'Prepay vs Invest'!$B$7*12-A55+1,X55),X55+Y55),0)</f>
        <v>71917.779557256974</v>
      </c>
      <c r="AA55">
        <f>MIN(MAX(0,X55+Y55-Z55),IF(AND(A55&gt;='Prepay vs Invest'!$B$11,A55&lt;='Prepay vs Invest'!$B$12),'Prepay vs Invest'!$B$10,0)+IF(A55='Prepay vs Invest'!$B$9,'Prepay vs Invest'!$B$8,0))</f>
        <v>10000</v>
      </c>
      <c r="AB55">
        <f t="shared" si="5"/>
        <v>7885573.6909140171</v>
      </c>
      <c r="AC55">
        <f t="shared" si="14"/>
        <v>341908.36527138553</v>
      </c>
      <c r="AD55">
        <f>IF(A55&lt;='Prepay vs Invest'!$B$7*12,MAX(0,'Prepay vs Invest'!$E$5+IF(AND(A55&gt;='Prepay vs Invest'!$B$11,A55&lt;='Prepay vs Invest'!$B$12),'Prepay vs Invest'!$B$10,0)+IF(A55='Prepay vs Invest'!$B$9,'Prepay vs Invest'!$B$8,0)-Z55-AA55),0)</f>
        <v>8641.5397979237459</v>
      </c>
      <c r="AE55">
        <f>AC55*(1+MAX(0,'Prepay vs Invest'!$B$13-'Prepay vs Invest'!$B$14)/1200)+AD55</f>
        <v>353826.52690316003</v>
      </c>
      <c r="AF55">
        <f t="shared" si="15"/>
        <v>292728.91493577743</v>
      </c>
      <c r="AG55">
        <f>MAX(0,(AE55-AF55-'Prepay vs Invest'!$B$16)*'Prepay vs Invest'!$B$15/100)</f>
        <v>0</v>
      </c>
      <c r="AH55">
        <f t="shared" si="6"/>
        <v>353826.52690316003</v>
      </c>
    </row>
    <row r="56" spans="1:34" x14ac:dyDescent="0.35">
      <c r="A56">
        <f t="shared" si="7"/>
        <v>55</v>
      </c>
      <c r="B56">
        <f>IF(A56&lt;='Prepay vs Invest'!$B$7*12,F55,0)</f>
        <v>8844294.7818252463</v>
      </c>
      <c r="C56">
        <f>IF(B56&gt;0,B56*'Prepay vs Invest'!$B$6/1200,0)</f>
        <v>55276.842386407792</v>
      </c>
      <c r="D56">
        <f>IF(B56&gt;0,MIN(-PMT('Prepay vs Invest'!$B$6/1200,'Prepay vs Invest'!$B$7*12,'Prepay vs Invest'!$B$5),B56+C56),0)</f>
        <v>80559.31935518072</v>
      </c>
      <c r="E56">
        <f t="shared" si="0"/>
        <v>25282.476968772928</v>
      </c>
      <c r="F56">
        <f t="shared" si="1"/>
        <v>8819012.3048564736</v>
      </c>
      <c r="G56">
        <f t="shared" si="8"/>
        <v>1449337.8587897851</v>
      </c>
      <c r="H56">
        <f>IF(A56&lt;='Prepay vs Invest'!$B$7*12,IF(AND(A56&gt;='Prepay vs Invest'!$B$11,A56&lt;='Prepay vs Invest'!$B$12),'Prepay vs Invest'!$B$10,0)+IF(A56='Prepay vs Invest'!$B$9,'Prepay vs Invest'!$B$8,0),0)</f>
        <v>10000</v>
      </c>
      <c r="I56">
        <f>G56*(1+MAX(0,'Prepay vs Invest'!$B$13-'Prepay vs Invest'!$B$14)/1200)+H56</f>
        <v>1473227.346603187</v>
      </c>
      <c r="J56">
        <f t="shared" si="9"/>
        <v>1050000</v>
      </c>
      <c r="K56">
        <f>MAX(0,(I56-J56-'Prepay vs Invest'!$B$16)*'Prepay vs Invest'!$B$15/100)</f>
        <v>37278.418325398379</v>
      </c>
      <c r="L56">
        <f t="shared" si="2"/>
        <v>1435948.9282777887</v>
      </c>
      <c r="M56">
        <f t="shared" si="10"/>
        <v>7554787.9063962754</v>
      </c>
      <c r="N56">
        <f>IF(M56&gt;0,M56*'Prepay vs Invest'!$B$6/1200,0)</f>
        <v>47217.424414976726</v>
      </c>
      <c r="O56">
        <f>IF(M56&gt;0,MIN('Prepay vs Invest'!$E$5,M56+N56),0)</f>
        <v>80559.31935518072</v>
      </c>
      <c r="P56">
        <f>MIN(MAX(0,M56+N56-O56),IF(AND(A56&gt;='Prepay vs Invest'!$B$11,A56&lt;='Prepay vs Invest'!$B$12),'Prepay vs Invest'!$B$10,0)+IF(A56='Prepay vs Invest'!$B$9,'Prepay vs Invest'!$B$8,0))</f>
        <v>10000</v>
      </c>
      <c r="Q56">
        <f t="shared" si="3"/>
        <v>7511446.0114560714</v>
      </c>
      <c r="R56">
        <f t="shared" si="11"/>
        <v>0</v>
      </c>
      <c r="S56">
        <f>IF(A56&lt;='Prepay vs Invest'!$B$7*12,MAX(0,'Prepay vs Invest'!$E$5+IF(AND(A56&gt;='Prepay vs Invest'!$B$11,A56&lt;='Prepay vs Invest'!$B$12),'Prepay vs Invest'!$B$10,0)+IF(A56='Prepay vs Invest'!$B$9,'Prepay vs Invest'!$B$8,0)-O56-P56),0)</f>
        <v>0</v>
      </c>
      <c r="T56">
        <f>R56*(1+MAX(0,'Prepay vs Invest'!$B$13-'Prepay vs Invest'!$B$14)/1200)+S56</f>
        <v>0</v>
      </c>
      <c r="U56">
        <f t="shared" si="12"/>
        <v>0</v>
      </c>
      <c r="V56">
        <f>MAX(0,(T56-U56-'Prepay vs Invest'!$B$16)*'Prepay vs Invest'!$B$15/100)</f>
        <v>0</v>
      </c>
      <c r="W56">
        <f t="shared" si="4"/>
        <v>0</v>
      </c>
      <c r="X56">
        <f t="shared" si="13"/>
        <v>7885573.6909140171</v>
      </c>
      <c r="Y56">
        <f>IF(X56&gt;0,X56*'Prepay vs Invest'!$B$6/1200,0)</f>
        <v>49284.835568212606</v>
      </c>
      <c r="Z56">
        <f>IF(X56&gt;0,MIN(-PMT('Prepay vs Invest'!$B$6/1200,'Prepay vs Invest'!$B$7*12-A56+1,X56),X56+Y56),0)</f>
        <v>71826.693358365534</v>
      </c>
      <c r="AA56">
        <f>MIN(MAX(0,X56+Y56-Z56),IF(AND(A56&gt;='Prepay vs Invest'!$B$11,A56&lt;='Prepay vs Invest'!$B$12),'Prepay vs Invest'!$B$10,0)+IF(A56='Prepay vs Invest'!$B$9,'Prepay vs Invest'!$B$8,0))</f>
        <v>10000</v>
      </c>
      <c r="AB56">
        <f t="shared" si="5"/>
        <v>7853031.8331238646</v>
      </c>
      <c r="AC56">
        <f t="shared" si="14"/>
        <v>353826.52690316003</v>
      </c>
      <c r="AD56">
        <f>IF(A56&lt;='Prepay vs Invest'!$B$7*12,MAX(0,'Prepay vs Invest'!$E$5+IF(AND(A56&gt;='Prepay vs Invest'!$B$11,A56&lt;='Prepay vs Invest'!$B$12),'Prepay vs Invest'!$B$10,0)+IF(A56='Prepay vs Invest'!$B$9,'Prepay vs Invest'!$B$8,0)-Z56-AA56),0)</f>
        <v>8732.6259968151862</v>
      </c>
      <c r="AE56">
        <f>AC56*(1+MAX(0,'Prepay vs Invest'!$B$13-'Prepay vs Invest'!$B$14)/1200)+AD56</f>
        <v>365949.99044946383</v>
      </c>
      <c r="AF56">
        <f t="shared" si="15"/>
        <v>301461.54093259259</v>
      </c>
      <c r="AG56">
        <f>MAX(0,(AE56-AF56-'Prepay vs Invest'!$B$16)*'Prepay vs Invest'!$B$15/100)</f>
        <v>0</v>
      </c>
      <c r="AH56">
        <f t="shared" si="6"/>
        <v>365949.99044946383</v>
      </c>
    </row>
    <row r="57" spans="1:34" x14ac:dyDescent="0.35">
      <c r="A57">
        <f t="shared" si="7"/>
        <v>56</v>
      </c>
      <c r="B57">
        <f>IF(A57&lt;='Prepay vs Invest'!$B$7*12,F56,0)</f>
        <v>8819012.3048564736</v>
      </c>
      <c r="C57">
        <f>IF(B57&gt;0,B57*'Prepay vs Invest'!$B$6/1200,0)</f>
        <v>55118.826905352958</v>
      </c>
      <c r="D57">
        <f>IF(B57&gt;0,MIN(-PMT('Prepay vs Invest'!$B$6/1200,'Prepay vs Invest'!$B$7*12,'Prepay vs Invest'!$B$5),B57+C57),0)</f>
        <v>80559.31935518072</v>
      </c>
      <c r="E57">
        <f t="shared" si="0"/>
        <v>25440.492449827761</v>
      </c>
      <c r="F57">
        <f t="shared" si="1"/>
        <v>8793571.8124066461</v>
      </c>
      <c r="G57">
        <f t="shared" si="8"/>
        <v>1473227.346603187</v>
      </c>
      <c r="H57">
        <f>IF(A57&lt;='Prepay vs Invest'!$B$7*12,IF(AND(A57&gt;='Prepay vs Invest'!$B$11,A57&lt;='Prepay vs Invest'!$B$12),'Prepay vs Invest'!$B$10,0)+IF(A57='Prepay vs Invest'!$B$9,'Prepay vs Invest'!$B$8,0),0)</f>
        <v>10000</v>
      </c>
      <c r="I57">
        <f>G57*(1+MAX(0,'Prepay vs Invest'!$B$13-'Prepay vs Invest'!$B$14)/1200)+H57</f>
        <v>1497345.7753414675</v>
      </c>
      <c r="J57">
        <f t="shared" si="9"/>
        <v>1060000</v>
      </c>
      <c r="K57">
        <f>MAX(0,(I57-J57-'Prepay vs Invest'!$B$16)*'Prepay vs Invest'!$B$15/100)</f>
        <v>39043.221917683433</v>
      </c>
      <c r="L57">
        <f t="shared" si="2"/>
        <v>1458302.553423784</v>
      </c>
      <c r="M57">
        <f t="shared" si="10"/>
        <v>7511446.0114560714</v>
      </c>
      <c r="N57">
        <f>IF(M57&gt;0,M57*'Prepay vs Invest'!$B$6/1200,0)</f>
        <v>46946.537571600449</v>
      </c>
      <c r="O57">
        <f>IF(M57&gt;0,MIN('Prepay vs Invest'!$E$5,M57+N57),0)</f>
        <v>80559.31935518072</v>
      </c>
      <c r="P57">
        <f>MIN(MAX(0,M57+N57-O57),IF(AND(A57&gt;='Prepay vs Invest'!$B$11,A57&lt;='Prepay vs Invest'!$B$12),'Prepay vs Invest'!$B$10,0)+IF(A57='Prepay vs Invest'!$B$9,'Prepay vs Invest'!$B$8,0))</f>
        <v>10000</v>
      </c>
      <c r="Q57">
        <f t="shared" si="3"/>
        <v>7467833.2296724916</v>
      </c>
      <c r="R57">
        <f t="shared" si="11"/>
        <v>0</v>
      </c>
      <c r="S57">
        <f>IF(A57&lt;='Prepay vs Invest'!$B$7*12,MAX(0,'Prepay vs Invest'!$E$5+IF(AND(A57&gt;='Prepay vs Invest'!$B$11,A57&lt;='Prepay vs Invest'!$B$12),'Prepay vs Invest'!$B$10,0)+IF(A57='Prepay vs Invest'!$B$9,'Prepay vs Invest'!$B$8,0)-O57-P57),0)</f>
        <v>0</v>
      </c>
      <c r="T57">
        <f>R57*(1+MAX(0,'Prepay vs Invest'!$B$13-'Prepay vs Invest'!$B$14)/1200)+S57</f>
        <v>0</v>
      </c>
      <c r="U57">
        <f t="shared" si="12"/>
        <v>0</v>
      </c>
      <c r="V57">
        <f>MAX(0,(T57-U57-'Prepay vs Invest'!$B$16)*'Prepay vs Invest'!$B$15/100)</f>
        <v>0</v>
      </c>
      <c r="W57">
        <f t="shared" si="4"/>
        <v>0</v>
      </c>
      <c r="X57">
        <f t="shared" si="13"/>
        <v>7853031.8331238646</v>
      </c>
      <c r="Y57">
        <f>IF(X57&gt;0,X57*'Prepay vs Invest'!$B$6/1200,0)</f>
        <v>49081.448957024157</v>
      </c>
      <c r="Z57">
        <f>IF(X57&gt;0,MIN(-PMT('Prepay vs Invest'!$B$6/1200,'Prepay vs Invest'!$B$7*12-A57+1,X57),X57+Y57),0)</f>
        <v>71735.346032190675</v>
      </c>
      <c r="AA57">
        <f>MIN(MAX(0,X57+Y57-Z57),IF(AND(A57&gt;='Prepay vs Invest'!$B$11,A57&lt;='Prepay vs Invest'!$B$12),'Prepay vs Invest'!$B$10,0)+IF(A57='Prepay vs Invest'!$B$9,'Prepay vs Invest'!$B$8,0))</f>
        <v>10000</v>
      </c>
      <c r="AB57">
        <f t="shared" si="5"/>
        <v>7820377.9360486977</v>
      </c>
      <c r="AC57">
        <f t="shared" si="14"/>
        <v>365949.99044946383</v>
      </c>
      <c r="AD57">
        <f>IF(A57&lt;='Prepay vs Invest'!$B$7*12,MAX(0,'Prepay vs Invest'!$E$5+IF(AND(A57&gt;='Prepay vs Invest'!$B$11,A57&lt;='Prepay vs Invest'!$B$12),'Prepay vs Invest'!$B$10,0)+IF(A57='Prepay vs Invest'!$B$9,'Prepay vs Invest'!$B$8,0)-Z57-AA57),0)</f>
        <v>8823.9733229900448</v>
      </c>
      <c r="AE57">
        <f>AC57*(1+MAX(0,'Prepay vs Invest'!$B$13-'Prepay vs Invest'!$B$14)/1200)+AD57</f>
        <v>378280.98451426125</v>
      </c>
      <c r="AF57">
        <f t="shared" si="15"/>
        <v>310285.51425558265</v>
      </c>
      <c r="AG57">
        <f>MAX(0,(AE57-AF57-'Prepay vs Invest'!$B$16)*'Prepay vs Invest'!$B$15/100)</f>
        <v>0</v>
      </c>
      <c r="AH57">
        <f t="shared" si="6"/>
        <v>378280.98451426125</v>
      </c>
    </row>
    <row r="58" spans="1:34" x14ac:dyDescent="0.35">
      <c r="A58">
        <f t="shared" si="7"/>
        <v>57</v>
      </c>
      <c r="B58">
        <f>IF(A58&lt;='Prepay vs Invest'!$B$7*12,F57,0)</f>
        <v>8793571.8124066461</v>
      </c>
      <c r="C58">
        <f>IF(B58&gt;0,B58*'Prepay vs Invest'!$B$6/1200,0)</f>
        <v>54959.823827541542</v>
      </c>
      <c r="D58">
        <f>IF(B58&gt;0,MIN(-PMT('Prepay vs Invest'!$B$6/1200,'Prepay vs Invest'!$B$7*12,'Prepay vs Invest'!$B$5),B58+C58),0)</f>
        <v>80559.31935518072</v>
      </c>
      <c r="E58">
        <f t="shared" si="0"/>
        <v>25599.495527639177</v>
      </c>
      <c r="F58">
        <f t="shared" si="1"/>
        <v>8767972.316879008</v>
      </c>
      <c r="G58">
        <f t="shared" si="8"/>
        <v>1497345.7753414675</v>
      </c>
      <c r="H58">
        <f>IF(A58&lt;='Prepay vs Invest'!$B$7*12,IF(AND(A58&gt;='Prepay vs Invest'!$B$11,A58&lt;='Prepay vs Invest'!$B$12),'Prepay vs Invest'!$B$10,0)+IF(A58='Prepay vs Invest'!$B$9,'Prepay vs Invest'!$B$8,0),0)</f>
        <v>10000</v>
      </c>
      <c r="I58">
        <f>G58*(1+MAX(0,'Prepay vs Invest'!$B$13-'Prepay vs Invest'!$B$14)/1200)+H58</f>
        <v>1521695.3390218231</v>
      </c>
      <c r="J58">
        <f t="shared" si="9"/>
        <v>1070000</v>
      </c>
      <c r="K58">
        <f>MAX(0,(I58-J58-'Prepay vs Invest'!$B$16)*'Prepay vs Invest'!$B$15/100)</f>
        <v>40836.917377727892</v>
      </c>
      <c r="L58">
        <f t="shared" si="2"/>
        <v>1480858.4216440953</v>
      </c>
      <c r="M58">
        <f t="shared" si="10"/>
        <v>7467833.2296724916</v>
      </c>
      <c r="N58">
        <f>IF(M58&gt;0,M58*'Prepay vs Invest'!$B$6/1200,0)</f>
        <v>46673.957685453075</v>
      </c>
      <c r="O58">
        <f>IF(M58&gt;0,MIN('Prepay vs Invest'!$E$5,M58+N58),0)</f>
        <v>80559.31935518072</v>
      </c>
      <c r="P58">
        <f>MIN(MAX(0,M58+N58-O58),IF(AND(A58&gt;='Prepay vs Invest'!$B$11,A58&lt;='Prepay vs Invest'!$B$12),'Prepay vs Invest'!$B$10,0)+IF(A58='Prepay vs Invest'!$B$9,'Prepay vs Invest'!$B$8,0))</f>
        <v>10000</v>
      </c>
      <c r="Q58">
        <f t="shared" si="3"/>
        <v>7423947.8680027639</v>
      </c>
      <c r="R58">
        <f t="shared" si="11"/>
        <v>0</v>
      </c>
      <c r="S58">
        <f>IF(A58&lt;='Prepay vs Invest'!$B$7*12,MAX(0,'Prepay vs Invest'!$E$5+IF(AND(A58&gt;='Prepay vs Invest'!$B$11,A58&lt;='Prepay vs Invest'!$B$12),'Prepay vs Invest'!$B$10,0)+IF(A58='Prepay vs Invest'!$B$9,'Prepay vs Invest'!$B$8,0)-O58-P58),0)</f>
        <v>0</v>
      </c>
      <c r="T58">
        <f>R58*(1+MAX(0,'Prepay vs Invest'!$B$13-'Prepay vs Invest'!$B$14)/1200)+S58</f>
        <v>0</v>
      </c>
      <c r="U58">
        <f t="shared" si="12"/>
        <v>0</v>
      </c>
      <c r="V58">
        <f>MAX(0,(T58-U58-'Prepay vs Invest'!$B$16)*'Prepay vs Invest'!$B$15/100)</f>
        <v>0</v>
      </c>
      <c r="W58">
        <f t="shared" si="4"/>
        <v>0</v>
      </c>
      <c r="X58">
        <f t="shared" si="13"/>
        <v>7820377.9360486977</v>
      </c>
      <c r="Y58">
        <f>IF(X58&gt;0,X58*'Prepay vs Invest'!$B$6/1200,0)</f>
        <v>48877.362100304359</v>
      </c>
      <c r="Z58">
        <f>IF(X58&gt;0,MIN(-PMT('Prepay vs Invest'!$B$6/1200,'Prepay vs Invest'!$B$7*12-A58+1,X58),X58+Y58),0)</f>
        <v>71643.734431041856</v>
      </c>
      <c r="AA58">
        <f>MIN(MAX(0,X58+Y58-Z58),IF(AND(A58&gt;='Prepay vs Invest'!$B$11,A58&lt;='Prepay vs Invest'!$B$12),'Prepay vs Invest'!$B$10,0)+IF(A58='Prepay vs Invest'!$B$9,'Prepay vs Invest'!$B$8,0))</f>
        <v>10000</v>
      </c>
      <c r="AB58">
        <f t="shared" si="5"/>
        <v>7787611.5637179604</v>
      </c>
      <c r="AC58">
        <f t="shared" si="14"/>
        <v>378280.98451426125</v>
      </c>
      <c r="AD58">
        <f>IF(A58&lt;='Prepay vs Invest'!$B$7*12,MAX(0,'Prepay vs Invest'!$E$5+IF(AND(A58&gt;='Prepay vs Invest'!$B$11,A58&lt;='Prepay vs Invest'!$B$12),'Prepay vs Invest'!$B$10,0)+IF(A58='Prepay vs Invest'!$B$9,'Prepay vs Invest'!$B$8,0)-Z58-AA58),0)</f>
        <v>8915.5849241388642</v>
      </c>
      <c r="AE58">
        <f>AC58*(1+MAX(0,'Prepay vs Invest'!$B$13-'Prepay vs Invest'!$B$14)/1200)+AD58</f>
        <v>390821.76220666175</v>
      </c>
      <c r="AF58">
        <f t="shared" si="15"/>
        <v>319201.0991797215</v>
      </c>
      <c r="AG58">
        <f>MAX(0,(AE58-AF58-'Prepay vs Invest'!$B$16)*'Prepay vs Invest'!$B$15/100)</f>
        <v>0</v>
      </c>
      <c r="AH58">
        <f t="shared" si="6"/>
        <v>390821.76220666175</v>
      </c>
    </row>
    <row r="59" spans="1:34" x14ac:dyDescent="0.35">
      <c r="A59">
        <f t="shared" si="7"/>
        <v>58</v>
      </c>
      <c r="B59">
        <f>IF(A59&lt;='Prepay vs Invest'!$B$7*12,F58,0)</f>
        <v>8767972.316879008</v>
      </c>
      <c r="C59">
        <f>IF(B59&gt;0,B59*'Prepay vs Invest'!$B$6/1200,0)</f>
        <v>54799.826980493803</v>
      </c>
      <c r="D59">
        <f>IF(B59&gt;0,MIN(-PMT('Prepay vs Invest'!$B$6/1200,'Prepay vs Invest'!$B$7*12,'Prepay vs Invest'!$B$5),B59+C59),0)</f>
        <v>80559.31935518072</v>
      </c>
      <c r="E59">
        <f t="shared" si="0"/>
        <v>25759.492374686917</v>
      </c>
      <c r="F59">
        <f t="shared" si="1"/>
        <v>8742212.8245043214</v>
      </c>
      <c r="G59">
        <f t="shared" si="8"/>
        <v>1521695.3390218231</v>
      </c>
      <c r="H59">
        <f>IF(A59&lt;='Prepay vs Invest'!$B$7*12,IF(AND(A59&gt;='Prepay vs Invest'!$B$11,A59&lt;='Prepay vs Invest'!$B$12),'Prepay vs Invest'!$B$10,0)+IF(A59='Prepay vs Invest'!$B$9,'Prepay vs Invest'!$B$8,0),0)</f>
        <v>10000</v>
      </c>
      <c r="I59">
        <f>G59*(1+MAX(0,'Prepay vs Invest'!$B$13-'Prepay vs Invest'!$B$14)/1200)+H59</f>
        <v>1546278.2526874489</v>
      </c>
      <c r="J59">
        <f t="shared" si="9"/>
        <v>1080000</v>
      </c>
      <c r="K59">
        <f>MAX(0,(I59-J59-'Prepay vs Invest'!$B$16)*'Prepay vs Invest'!$B$15/100)</f>
        <v>42659.781585931109</v>
      </c>
      <c r="L59">
        <f t="shared" si="2"/>
        <v>1503618.4711015178</v>
      </c>
      <c r="M59">
        <f t="shared" si="10"/>
        <v>7423947.8680027639</v>
      </c>
      <c r="N59">
        <f>IF(M59&gt;0,M59*'Prepay vs Invest'!$B$6/1200,0)</f>
        <v>46399.674175017281</v>
      </c>
      <c r="O59">
        <f>IF(M59&gt;0,MIN('Prepay vs Invest'!$E$5,M59+N59),0)</f>
        <v>80559.31935518072</v>
      </c>
      <c r="P59">
        <f>MIN(MAX(0,M59+N59-O59),IF(AND(A59&gt;='Prepay vs Invest'!$B$11,A59&lt;='Prepay vs Invest'!$B$12),'Prepay vs Invest'!$B$10,0)+IF(A59='Prepay vs Invest'!$B$9,'Prepay vs Invest'!$B$8,0))</f>
        <v>10000</v>
      </c>
      <c r="Q59">
        <f t="shared" si="3"/>
        <v>7379788.222822601</v>
      </c>
      <c r="R59">
        <f t="shared" si="11"/>
        <v>0</v>
      </c>
      <c r="S59">
        <f>IF(A59&lt;='Prepay vs Invest'!$B$7*12,MAX(0,'Prepay vs Invest'!$E$5+IF(AND(A59&gt;='Prepay vs Invest'!$B$11,A59&lt;='Prepay vs Invest'!$B$12),'Prepay vs Invest'!$B$10,0)+IF(A59='Prepay vs Invest'!$B$9,'Prepay vs Invest'!$B$8,0)-O59-P59),0)</f>
        <v>0</v>
      </c>
      <c r="T59">
        <f>R59*(1+MAX(0,'Prepay vs Invest'!$B$13-'Prepay vs Invest'!$B$14)/1200)+S59</f>
        <v>0</v>
      </c>
      <c r="U59">
        <f t="shared" si="12"/>
        <v>0</v>
      </c>
      <c r="V59">
        <f>MAX(0,(T59-U59-'Prepay vs Invest'!$B$16)*'Prepay vs Invest'!$B$15/100)</f>
        <v>0</v>
      </c>
      <c r="W59">
        <f t="shared" si="4"/>
        <v>0</v>
      </c>
      <c r="X59">
        <f t="shared" si="13"/>
        <v>7787611.5637179604</v>
      </c>
      <c r="Y59">
        <f>IF(X59&gt;0,X59*'Prepay vs Invest'!$B$6/1200,0)</f>
        <v>48672.572273237252</v>
      </c>
      <c r="Z59">
        <f>IF(X59&gt;0,MIN(-PMT('Prepay vs Invest'!$B$6/1200,'Prepay vs Invest'!$B$7*12-A59+1,X59),X59+Y59),0)</f>
        <v>71551.855355192005</v>
      </c>
      <c r="AA59">
        <f>MIN(MAX(0,X59+Y59-Z59),IF(AND(A59&gt;='Prepay vs Invest'!$B$11,A59&lt;='Prepay vs Invest'!$B$12),'Prepay vs Invest'!$B$10,0)+IF(A59='Prepay vs Invest'!$B$9,'Prepay vs Invest'!$B$8,0))</f>
        <v>10000</v>
      </c>
      <c r="AB59">
        <f t="shared" si="5"/>
        <v>7754732.280636006</v>
      </c>
      <c r="AC59">
        <f t="shared" si="14"/>
        <v>390821.76220666175</v>
      </c>
      <c r="AD59">
        <f>IF(A59&lt;='Prepay vs Invest'!$B$7*12,MAX(0,'Prepay vs Invest'!$E$5+IF(AND(A59&gt;='Prepay vs Invest'!$B$11,A59&lt;='Prepay vs Invest'!$B$12),'Prepay vs Invest'!$B$10,0)+IF(A59='Prepay vs Invest'!$B$9,'Prepay vs Invest'!$B$8,0)-Z59-AA59),0)</f>
        <v>9007.4639999887149</v>
      </c>
      <c r="AE59">
        <f>AC59*(1+MAX(0,'Prepay vs Invest'!$B$13-'Prepay vs Invest'!$B$14)/1200)+AD59</f>
        <v>403574.60142779758</v>
      </c>
      <c r="AF59">
        <f t="shared" si="15"/>
        <v>328208.56317971018</v>
      </c>
      <c r="AG59">
        <f>MAX(0,(AE59-AF59-'Prepay vs Invest'!$B$16)*'Prepay vs Invest'!$B$15/100)</f>
        <v>0</v>
      </c>
      <c r="AH59">
        <f t="shared" si="6"/>
        <v>403574.60142779758</v>
      </c>
    </row>
    <row r="60" spans="1:34" x14ac:dyDescent="0.35">
      <c r="A60">
        <f t="shared" si="7"/>
        <v>59</v>
      </c>
      <c r="B60">
        <f>IF(A60&lt;='Prepay vs Invest'!$B$7*12,F59,0)</f>
        <v>8742212.8245043214</v>
      </c>
      <c r="C60">
        <f>IF(B60&gt;0,B60*'Prepay vs Invest'!$B$6/1200,0)</f>
        <v>54638.830153152012</v>
      </c>
      <c r="D60">
        <f>IF(B60&gt;0,MIN(-PMT('Prepay vs Invest'!$B$6/1200,'Prepay vs Invest'!$B$7*12,'Prepay vs Invest'!$B$5),B60+C60),0)</f>
        <v>80559.31935518072</v>
      </c>
      <c r="E60">
        <f t="shared" si="0"/>
        <v>25920.489202028708</v>
      </c>
      <c r="F60">
        <f t="shared" si="1"/>
        <v>8716292.3353022933</v>
      </c>
      <c r="G60">
        <f t="shared" si="8"/>
        <v>1546278.2526874489</v>
      </c>
      <c r="H60">
        <f>IF(A60&lt;='Prepay vs Invest'!$B$7*12,IF(AND(A60&gt;='Prepay vs Invest'!$B$11,A60&lt;='Prepay vs Invest'!$B$12),'Prepay vs Invest'!$B$10,0)+IF(A60='Prepay vs Invest'!$B$9,'Prepay vs Invest'!$B$8,0),0)</f>
        <v>10000</v>
      </c>
      <c r="I60">
        <f>G60*(1+MAX(0,'Prepay vs Invest'!$B$13-'Prepay vs Invest'!$B$14)/1200)+H60</f>
        <v>1571096.7526090369</v>
      </c>
      <c r="J60">
        <f t="shared" si="9"/>
        <v>1090000</v>
      </c>
      <c r="K60">
        <f>MAX(0,(I60-J60-'Prepay vs Invest'!$B$16)*'Prepay vs Invest'!$B$15/100)</f>
        <v>44512.094076129608</v>
      </c>
      <c r="L60">
        <f t="shared" si="2"/>
        <v>1526584.6585329073</v>
      </c>
      <c r="M60">
        <f t="shared" si="10"/>
        <v>7379788.222822601</v>
      </c>
      <c r="N60">
        <f>IF(M60&gt;0,M60*'Prepay vs Invest'!$B$6/1200,0)</f>
        <v>46123.676392641253</v>
      </c>
      <c r="O60">
        <f>IF(M60&gt;0,MIN('Prepay vs Invest'!$E$5,M60+N60),0)</f>
        <v>80559.31935518072</v>
      </c>
      <c r="P60">
        <f>MIN(MAX(0,M60+N60-O60),IF(AND(A60&gt;='Prepay vs Invest'!$B$11,A60&lt;='Prepay vs Invest'!$B$12),'Prepay vs Invest'!$B$10,0)+IF(A60='Prepay vs Invest'!$B$9,'Prepay vs Invest'!$B$8,0))</f>
        <v>10000</v>
      </c>
      <c r="Q60">
        <f t="shared" si="3"/>
        <v>7335352.5798600614</v>
      </c>
      <c r="R60">
        <f t="shared" si="11"/>
        <v>0</v>
      </c>
      <c r="S60">
        <f>IF(A60&lt;='Prepay vs Invest'!$B$7*12,MAX(0,'Prepay vs Invest'!$E$5+IF(AND(A60&gt;='Prepay vs Invest'!$B$11,A60&lt;='Prepay vs Invest'!$B$12),'Prepay vs Invest'!$B$10,0)+IF(A60='Prepay vs Invest'!$B$9,'Prepay vs Invest'!$B$8,0)-O60-P60),0)</f>
        <v>0</v>
      </c>
      <c r="T60">
        <f>R60*(1+MAX(0,'Prepay vs Invest'!$B$13-'Prepay vs Invest'!$B$14)/1200)+S60</f>
        <v>0</v>
      </c>
      <c r="U60">
        <f t="shared" si="12"/>
        <v>0</v>
      </c>
      <c r="V60">
        <f>MAX(0,(T60-U60-'Prepay vs Invest'!$B$16)*'Prepay vs Invest'!$B$15/100)</f>
        <v>0</v>
      </c>
      <c r="W60">
        <f t="shared" si="4"/>
        <v>0</v>
      </c>
      <c r="X60">
        <f t="shared" si="13"/>
        <v>7754732.280636006</v>
      </c>
      <c r="Y60">
        <f>IF(X60&gt;0,X60*'Prepay vs Invest'!$B$6/1200,0)</f>
        <v>48467.076753975038</v>
      </c>
      <c r="Z60">
        <f>IF(X60&gt;0,MIN(-PMT('Prepay vs Invest'!$B$6/1200,'Prepay vs Invest'!$B$7*12-A60+1,X60),X60+Y60),0)</f>
        <v>71459.705551735635</v>
      </c>
      <c r="AA60">
        <f>MIN(MAX(0,X60+Y60-Z60),IF(AND(A60&gt;='Prepay vs Invest'!$B$11,A60&lt;='Prepay vs Invest'!$B$12),'Prepay vs Invest'!$B$10,0)+IF(A60='Prepay vs Invest'!$B$9,'Prepay vs Invest'!$B$8,0))</f>
        <v>10000</v>
      </c>
      <c r="AB60">
        <f t="shared" si="5"/>
        <v>7721739.6518382449</v>
      </c>
      <c r="AC60">
        <f t="shared" si="14"/>
        <v>403574.60142779758</v>
      </c>
      <c r="AD60">
        <f>IF(A60&lt;='Prepay vs Invest'!$B$7*12,MAX(0,'Prepay vs Invest'!$E$5+IF(AND(A60&gt;='Prepay vs Invest'!$B$11,A60&lt;='Prepay vs Invest'!$B$12),'Prepay vs Invest'!$B$10,0)+IF(A60='Prepay vs Invest'!$B$9,'Prepay vs Invest'!$B$8,0)-Z60-AA60),0)</f>
        <v>9099.6138034450851</v>
      </c>
      <c r="AE60">
        <f>AC60*(1+MAX(0,'Prepay vs Invest'!$B$13-'Prepay vs Invest'!$B$14)/1200)+AD60</f>
        <v>416541.80516159238</v>
      </c>
      <c r="AF60">
        <f t="shared" si="15"/>
        <v>337308.17698315525</v>
      </c>
      <c r="AG60">
        <f>MAX(0,(AE60-AF60-'Prepay vs Invest'!$B$16)*'Prepay vs Invest'!$B$15/100)</f>
        <v>0</v>
      </c>
      <c r="AH60">
        <f t="shared" si="6"/>
        <v>416541.80516159238</v>
      </c>
    </row>
    <row r="61" spans="1:34" x14ac:dyDescent="0.35">
      <c r="A61">
        <f t="shared" si="7"/>
        <v>60</v>
      </c>
      <c r="B61">
        <f>IF(A61&lt;='Prepay vs Invest'!$B$7*12,F60,0)</f>
        <v>8716292.3353022933</v>
      </c>
      <c r="C61">
        <f>IF(B61&gt;0,B61*'Prepay vs Invest'!$B$6/1200,0)</f>
        <v>54476.827095639332</v>
      </c>
      <c r="D61">
        <f>IF(B61&gt;0,MIN(-PMT('Prepay vs Invest'!$B$6/1200,'Prepay vs Invest'!$B$7*12,'Prepay vs Invest'!$B$5),B61+C61),0)</f>
        <v>80559.31935518072</v>
      </c>
      <c r="E61">
        <f t="shared" si="0"/>
        <v>26082.492259541388</v>
      </c>
      <c r="F61">
        <f t="shared" si="1"/>
        <v>8690209.8430427518</v>
      </c>
      <c r="G61">
        <f t="shared" si="8"/>
        <v>1571096.7526090369</v>
      </c>
      <c r="H61">
        <f>IF(A61&lt;='Prepay vs Invest'!$B$7*12,IF(AND(A61&gt;='Prepay vs Invest'!$B$11,A61&lt;='Prepay vs Invest'!$B$12),'Prepay vs Invest'!$B$10,0)+IF(A61='Prepay vs Invest'!$B$9,'Prepay vs Invest'!$B$8,0),0)</f>
        <v>10000</v>
      </c>
      <c r="I61">
        <f>G61*(1+MAX(0,'Prepay vs Invest'!$B$13-'Prepay vs Invest'!$B$14)/1200)+H61</f>
        <v>1596153.0964882066</v>
      </c>
      <c r="J61">
        <f t="shared" si="9"/>
        <v>1100000</v>
      </c>
      <c r="K61">
        <f>MAX(0,(I61-J61-'Prepay vs Invest'!$B$16)*'Prepay vs Invest'!$B$15/100)</f>
        <v>46394.137061025838</v>
      </c>
      <c r="L61">
        <f t="shared" si="2"/>
        <v>1549758.9594271807</v>
      </c>
      <c r="M61">
        <f t="shared" si="10"/>
        <v>7335352.5798600614</v>
      </c>
      <c r="N61">
        <f>IF(M61&gt;0,M61*'Prepay vs Invest'!$B$6/1200,0)</f>
        <v>45845.953624125381</v>
      </c>
      <c r="O61">
        <f>IF(M61&gt;0,MIN('Prepay vs Invest'!$E$5,M61+N61),0)</f>
        <v>80559.31935518072</v>
      </c>
      <c r="P61">
        <f>MIN(MAX(0,M61+N61-O61),IF(AND(A61&gt;='Prepay vs Invest'!$B$11,A61&lt;='Prepay vs Invest'!$B$12),'Prepay vs Invest'!$B$10,0)+IF(A61='Prepay vs Invest'!$B$9,'Prepay vs Invest'!$B$8,0))</f>
        <v>10000</v>
      </c>
      <c r="Q61">
        <f t="shared" si="3"/>
        <v>7290639.2141290065</v>
      </c>
      <c r="R61">
        <f t="shared" si="11"/>
        <v>0</v>
      </c>
      <c r="S61">
        <f>IF(A61&lt;='Prepay vs Invest'!$B$7*12,MAX(0,'Prepay vs Invest'!$E$5+IF(AND(A61&gt;='Prepay vs Invest'!$B$11,A61&lt;='Prepay vs Invest'!$B$12),'Prepay vs Invest'!$B$10,0)+IF(A61='Prepay vs Invest'!$B$9,'Prepay vs Invest'!$B$8,0)-O61-P61),0)</f>
        <v>0</v>
      </c>
      <c r="T61">
        <f>R61*(1+MAX(0,'Prepay vs Invest'!$B$13-'Prepay vs Invest'!$B$14)/1200)+S61</f>
        <v>0</v>
      </c>
      <c r="U61">
        <f t="shared" si="12"/>
        <v>0</v>
      </c>
      <c r="V61">
        <f>MAX(0,(T61-U61-'Prepay vs Invest'!$B$16)*'Prepay vs Invest'!$B$15/100)</f>
        <v>0</v>
      </c>
      <c r="W61">
        <f t="shared" si="4"/>
        <v>0</v>
      </c>
      <c r="X61">
        <f t="shared" si="13"/>
        <v>7721739.6518382449</v>
      </c>
      <c r="Y61">
        <f>IF(X61&gt;0,X61*'Prepay vs Invest'!$B$6/1200,0)</f>
        <v>48260.872823989033</v>
      </c>
      <c r="Z61">
        <f>IF(X61&gt;0,MIN(-PMT('Prepay vs Invest'!$B$6/1200,'Prepay vs Invest'!$B$7*12-A61+1,X61),X61+Y61),0)</f>
        <v>71367.281713415185</v>
      </c>
      <c r="AA61">
        <f>MIN(MAX(0,X61+Y61-Z61),IF(AND(A61&gt;='Prepay vs Invest'!$B$11,A61&lt;='Prepay vs Invest'!$B$12),'Prepay vs Invest'!$B$10,0)+IF(A61='Prepay vs Invest'!$B$9,'Prepay vs Invest'!$B$8,0))</f>
        <v>10000</v>
      </c>
      <c r="AB61">
        <f t="shared" si="5"/>
        <v>7688633.242948819</v>
      </c>
      <c r="AC61">
        <f t="shared" si="14"/>
        <v>416541.80516159238</v>
      </c>
      <c r="AD61">
        <f>IF(A61&lt;='Prepay vs Invest'!$B$7*12,MAX(0,'Prepay vs Invest'!$E$5+IF(AND(A61&gt;='Prepay vs Invest'!$B$11,A61&lt;='Prepay vs Invest'!$B$12),'Prepay vs Invest'!$B$10,0)+IF(A61='Prepay vs Invest'!$B$9,'Prepay vs Invest'!$B$8,0)-Z61-AA61),0)</f>
        <v>9192.0376417655352</v>
      </c>
      <c r="AE61">
        <f>AC61*(1+MAX(0,'Prepay vs Invest'!$B$13-'Prepay vs Invest'!$B$14)/1200)+AD61</f>
        <v>429725.70176948985</v>
      </c>
      <c r="AF61">
        <f t="shared" si="15"/>
        <v>346500.2146249208</v>
      </c>
      <c r="AG61">
        <f>MAX(0,(AE61-AF61-'Prepay vs Invest'!$B$16)*'Prepay vs Invest'!$B$15/100)</f>
        <v>0</v>
      </c>
      <c r="AH61">
        <f t="shared" si="6"/>
        <v>429725.70176948985</v>
      </c>
    </row>
    <row r="62" spans="1:34" x14ac:dyDescent="0.35">
      <c r="A62">
        <f t="shared" si="7"/>
        <v>61</v>
      </c>
      <c r="B62">
        <f>IF(A62&lt;='Prepay vs Invest'!$B$7*12,F61,0)</f>
        <v>8690209.8430427518</v>
      </c>
      <c r="C62">
        <f>IF(B62&gt;0,B62*'Prepay vs Invest'!$B$6/1200,0)</f>
        <v>54313.811519017203</v>
      </c>
      <c r="D62">
        <f>IF(B62&gt;0,MIN(-PMT('Prepay vs Invest'!$B$6/1200,'Prepay vs Invest'!$B$7*12,'Prepay vs Invest'!$B$5),B62+C62),0)</f>
        <v>80559.31935518072</v>
      </c>
      <c r="E62">
        <f t="shared" si="0"/>
        <v>26245.507836163517</v>
      </c>
      <c r="F62">
        <f t="shared" si="1"/>
        <v>8663964.3352065887</v>
      </c>
      <c r="G62">
        <f t="shared" si="8"/>
        <v>1596153.0964882066</v>
      </c>
      <c r="H62">
        <f>IF(A62&lt;='Prepay vs Invest'!$B$7*12,IF(AND(A62&gt;='Prepay vs Invest'!$B$11,A62&lt;='Prepay vs Invest'!$B$12),'Prepay vs Invest'!$B$10,0)+IF(A62='Prepay vs Invest'!$B$9,'Prepay vs Invest'!$B$8,0),0)</f>
        <v>10000</v>
      </c>
      <c r="I62">
        <f>G62*(1+MAX(0,'Prepay vs Invest'!$B$13-'Prepay vs Invest'!$B$14)/1200)+H62</f>
        <v>1621449.5636628852</v>
      </c>
      <c r="J62">
        <f t="shared" si="9"/>
        <v>1110000</v>
      </c>
      <c r="K62">
        <f>MAX(0,(I62-J62-'Prepay vs Invest'!$B$16)*'Prepay vs Invest'!$B$15/100)</f>
        <v>48306.195457860653</v>
      </c>
      <c r="L62">
        <f t="shared" si="2"/>
        <v>1573143.3682050246</v>
      </c>
      <c r="M62">
        <f t="shared" si="10"/>
        <v>7290639.2141290065</v>
      </c>
      <c r="N62">
        <f>IF(M62&gt;0,M62*'Prepay vs Invest'!$B$6/1200,0)</f>
        <v>45566.495088306292</v>
      </c>
      <c r="O62">
        <f>IF(M62&gt;0,MIN('Prepay vs Invest'!$E$5,M62+N62),0)</f>
        <v>80559.31935518072</v>
      </c>
      <c r="P62">
        <f>MIN(MAX(0,M62+N62-O62),IF(AND(A62&gt;='Prepay vs Invest'!$B$11,A62&lt;='Prepay vs Invest'!$B$12),'Prepay vs Invest'!$B$10,0)+IF(A62='Prepay vs Invest'!$B$9,'Prepay vs Invest'!$B$8,0))</f>
        <v>10000</v>
      </c>
      <c r="Q62">
        <f t="shared" si="3"/>
        <v>7245646.3898621323</v>
      </c>
      <c r="R62">
        <f t="shared" si="11"/>
        <v>0</v>
      </c>
      <c r="S62">
        <f>IF(A62&lt;='Prepay vs Invest'!$B$7*12,MAX(0,'Prepay vs Invest'!$E$5+IF(AND(A62&gt;='Prepay vs Invest'!$B$11,A62&lt;='Prepay vs Invest'!$B$12),'Prepay vs Invest'!$B$10,0)+IF(A62='Prepay vs Invest'!$B$9,'Prepay vs Invest'!$B$8,0)-O62-P62),0)</f>
        <v>0</v>
      </c>
      <c r="T62">
        <f>R62*(1+MAX(0,'Prepay vs Invest'!$B$13-'Prepay vs Invest'!$B$14)/1200)+S62</f>
        <v>0</v>
      </c>
      <c r="U62">
        <f t="shared" si="12"/>
        <v>0</v>
      </c>
      <c r="V62">
        <f>MAX(0,(T62-U62-'Prepay vs Invest'!$B$16)*'Prepay vs Invest'!$B$15/100)</f>
        <v>0</v>
      </c>
      <c r="W62">
        <f t="shared" si="4"/>
        <v>0</v>
      </c>
      <c r="X62">
        <f t="shared" si="13"/>
        <v>7688633.242948819</v>
      </c>
      <c r="Y62">
        <f>IF(X62&gt;0,X62*'Prepay vs Invest'!$B$6/1200,0)</f>
        <v>48053.957768430118</v>
      </c>
      <c r="Z62">
        <f>IF(X62&gt;0,MIN(-PMT('Prepay vs Invest'!$B$6/1200,'Prepay vs Invest'!$B$7*12-A62+1,X62),X62+Y62),0)</f>
        <v>71274.580477414915</v>
      </c>
      <c r="AA62">
        <f>MIN(MAX(0,X62+Y62-Z62),IF(AND(A62&gt;='Prepay vs Invest'!$B$11,A62&lt;='Prepay vs Invest'!$B$12),'Prepay vs Invest'!$B$10,0)+IF(A62='Prepay vs Invest'!$B$9,'Prepay vs Invest'!$B$8,0))</f>
        <v>10000</v>
      </c>
      <c r="AB62">
        <f t="shared" si="5"/>
        <v>7655412.6202398343</v>
      </c>
      <c r="AC62">
        <f t="shared" si="14"/>
        <v>429725.70176948985</v>
      </c>
      <c r="AD62">
        <f>IF(A62&lt;='Prepay vs Invest'!$B$7*12,MAX(0,'Prepay vs Invest'!$E$5+IF(AND(A62&gt;='Prepay vs Invest'!$B$11,A62&lt;='Prepay vs Invest'!$B$12),'Prepay vs Invest'!$B$10,0)+IF(A62='Prepay vs Invest'!$B$9,'Prepay vs Invest'!$B$8,0)-Z62-AA62),0)</f>
        <v>9284.7388777658052</v>
      </c>
      <c r="AE62">
        <f>AC62*(1+MAX(0,'Prepay vs Invest'!$B$13-'Prepay vs Invest'!$B$14)/1200)+AD62</f>
        <v>443128.64528921328</v>
      </c>
      <c r="AF62">
        <f t="shared" si="15"/>
        <v>355784.95350268658</v>
      </c>
      <c r="AG62">
        <f>MAX(0,(AE62-AF62-'Prepay vs Invest'!$B$16)*'Prepay vs Invest'!$B$15/100)</f>
        <v>0</v>
      </c>
      <c r="AH62">
        <f t="shared" si="6"/>
        <v>443128.64528921328</v>
      </c>
    </row>
    <row r="63" spans="1:34" x14ac:dyDescent="0.35">
      <c r="A63">
        <f t="shared" si="7"/>
        <v>62</v>
      </c>
      <c r="B63">
        <f>IF(A63&lt;='Prepay vs Invest'!$B$7*12,F62,0)</f>
        <v>8663964.3352065887</v>
      </c>
      <c r="C63">
        <f>IF(B63&gt;0,B63*'Prepay vs Invest'!$B$6/1200,0)</f>
        <v>54149.77709504118</v>
      </c>
      <c r="D63">
        <f>IF(B63&gt;0,MIN(-PMT('Prepay vs Invest'!$B$6/1200,'Prepay vs Invest'!$B$7*12,'Prepay vs Invest'!$B$5),B63+C63),0)</f>
        <v>80559.31935518072</v>
      </c>
      <c r="E63">
        <f t="shared" si="0"/>
        <v>26409.54226013954</v>
      </c>
      <c r="F63">
        <f t="shared" si="1"/>
        <v>8637554.7929464485</v>
      </c>
      <c r="G63">
        <f t="shared" si="8"/>
        <v>1621449.5636628852</v>
      </c>
      <c r="H63">
        <f>IF(A63&lt;='Prepay vs Invest'!$B$7*12,IF(AND(A63&gt;='Prepay vs Invest'!$B$11,A63&lt;='Prepay vs Invest'!$B$12),'Prepay vs Invest'!$B$10,0)+IF(A63='Prepay vs Invest'!$B$9,'Prepay vs Invest'!$B$8,0),0)</f>
        <v>10000</v>
      </c>
      <c r="I63">
        <f>G63*(1+MAX(0,'Prepay vs Invest'!$B$13-'Prepay vs Invest'!$B$14)/1200)+H63</f>
        <v>1646988.4553146544</v>
      </c>
      <c r="J63">
        <f t="shared" si="9"/>
        <v>1120000</v>
      </c>
      <c r="K63">
        <f>MAX(0,(I63-J63-'Prepay vs Invest'!$B$16)*'Prepay vs Invest'!$B$15/100)</f>
        <v>50248.556914331799</v>
      </c>
      <c r="L63">
        <f t="shared" si="2"/>
        <v>1596739.8984003225</v>
      </c>
      <c r="M63">
        <f t="shared" si="10"/>
        <v>7245646.3898621323</v>
      </c>
      <c r="N63">
        <f>IF(M63&gt;0,M63*'Prepay vs Invest'!$B$6/1200,0)</f>
        <v>45285.289936638328</v>
      </c>
      <c r="O63">
        <f>IF(M63&gt;0,MIN('Prepay vs Invest'!$E$5,M63+N63),0)</f>
        <v>80559.31935518072</v>
      </c>
      <c r="P63">
        <f>MIN(MAX(0,M63+N63-O63),IF(AND(A63&gt;='Prepay vs Invest'!$B$11,A63&lt;='Prepay vs Invest'!$B$12),'Prepay vs Invest'!$B$10,0)+IF(A63='Prepay vs Invest'!$B$9,'Prepay vs Invest'!$B$8,0))</f>
        <v>10000</v>
      </c>
      <c r="Q63">
        <f t="shared" si="3"/>
        <v>7200372.3604435902</v>
      </c>
      <c r="R63">
        <f t="shared" si="11"/>
        <v>0</v>
      </c>
      <c r="S63">
        <f>IF(A63&lt;='Prepay vs Invest'!$B$7*12,MAX(0,'Prepay vs Invest'!$E$5+IF(AND(A63&gt;='Prepay vs Invest'!$B$11,A63&lt;='Prepay vs Invest'!$B$12),'Prepay vs Invest'!$B$10,0)+IF(A63='Prepay vs Invest'!$B$9,'Prepay vs Invest'!$B$8,0)-O63-P63),0)</f>
        <v>0</v>
      </c>
      <c r="T63">
        <f>R63*(1+MAX(0,'Prepay vs Invest'!$B$13-'Prepay vs Invest'!$B$14)/1200)+S63</f>
        <v>0</v>
      </c>
      <c r="U63">
        <f t="shared" si="12"/>
        <v>0</v>
      </c>
      <c r="V63">
        <f>MAX(0,(T63-U63-'Prepay vs Invest'!$B$16)*'Prepay vs Invest'!$B$15/100)</f>
        <v>0</v>
      </c>
      <c r="W63">
        <f t="shared" si="4"/>
        <v>0</v>
      </c>
      <c r="X63">
        <f t="shared" si="13"/>
        <v>7655412.6202398343</v>
      </c>
      <c r="Y63">
        <f>IF(X63&gt;0,X63*'Prepay vs Invest'!$B$6/1200,0)</f>
        <v>47846.328876498963</v>
      </c>
      <c r="Z63">
        <f>IF(X63&gt;0,MIN(-PMT('Prepay vs Invest'!$B$6/1200,'Prepay vs Invest'!$B$7*12-A63+1,X63),X63+Y63),0)</f>
        <v>71181.598424121097</v>
      </c>
      <c r="AA63">
        <f>MIN(MAX(0,X63+Y63-Z63),IF(AND(A63&gt;='Prepay vs Invest'!$B$11,A63&lt;='Prepay vs Invest'!$B$12),'Prepay vs Invest'!$B$10,0)+IF(A63='Prepay vs Invest'!$B$9,'Prepay vs Invest'!$B$8,0))</f>
        <v>10000</v>
      </c>
      <c r="AB63">
        <f t="shared" si="5"/>
        <v>7622077.3506922126</v>
      </c>
      <c r="AC63">
        <f t="shared" si="14"/>
        <v>443128.64528921328</v>
      </c>
      <c r="AD63">
        <f>IF(A63&lt;='Prepay vs Invest'!$B$7*12,MAX(0,'Prepay vs Invest'!$E$5+IF(AND(A63&gt;='Prepay vs Invest'!$B$11,A63&lt;='Prepay vs Invest'!$B$12),'Prepay vs Invest'!$B$10,0)+IF(A63='Prepay vs Invest'!$B$9,'Prepay vs Invest'!$B$8,0)-Z63-AA63),0)</f>
        <v>9377.7209310596227</v>
      </c>
      <c r="AE63">
        <f>AC63*(1+MAX(0,'Prepay vs Invest'!$B$13-'Prepay vs Invest'!$B$14)/1200)+AD63</f>
        <v>456753.01573762787</v>
      </c>
      <c r="AF63">
        <f t="shared" si="15"/>
        <v>365162.6744337462</v>
      </c>
      <c r="AG63">
        <f>MAX(0,(AE63-AF63-'Prepay vs Invest'!$B$16)*'Prepay vs Invest'!$B$15/100)</f>
        <v>0</v>
      </c>
      <c r="AH63">
        <f t="shared" si="6"/>
        <v>456753.01573762787</v>
      </c>
    </row>
    <row r="64" spans="1:34" x14ac:dyDescent="0.35">
      <c r="A64">
        <f t="shared" si="7"/>
        <v>63</v>
      </c>
      <c r="B64">
        <f>IF(A64&lt;='Prepay vs Invest'!$B$7*12,F63,0)</f>
        <v>8637554.7929464485</v>
      </c>
      <c r="C64">
        <f>IF(B64&gt;0,B64*'Prepay vs Invest'!$B$6/1200,0)</f>
        <v>53984.717455915306</v>
      </c>
      <c r="D64">
        <f>IF(B64&gt;0,MIN(-PMT('Prepay vs Invest'!$B$6/1200,'Prepay vs Invest'!$B$7*12,'Prepay vs Invest'!$B$5),B64+C64),0)</f>
        <v>80559.31935518072</v>
      </c>
      <c r="E64">
        <f t="shared" si="0"/>
        <v>26574.601899265414</v>
      </c>
      <c r="F64">
        <f t="shared" si="1"/>
        <v>8610980.1910471842</v>
      </c>
      <c r="G64">
        <f t="shared" si="8"/>
        <v>1646988.4553146544</v>
      </c>
      <c r="H64">
        <f>IF(A64&lt;='Prepay vs Invest'!$B$7*12,IF(AND(A64&gt;='Prepay vs Invest'!$B$11,A64&lt;='Prepay vs Invest'!$B$12),'Prepay vs Invest'!$B$10,0)+IF(A64='Prepay vs Invest'!$B$9,'Prepay vs Invest'!$B$8,0),0)</f>
        <v>10000</v>
      </c>
      <c r="I64">
        <f>G64*(1+MAX(0,'Prepay vs Invest'!$B$13-'Prepay vs Invest'!$B$14)/1200)+H64</f>
        <v>1672772.0946780865</v>
      </c>
      <c r="J64">
        <f t="shared" si="9"/>
        <v>1130000</v>
      </c>
      <c r="K64">
        <f>MAX(0,(I64-J64-'Prepay vs Invest'!$B$16)*'Prepay vs Invest'!$B$15/100)</f>
        <v>52221.511834760808</v>
      </c>
      <c r="L64">
        <f t="shared" si="2"/>
        <v>1620550.5828433256</v>
      </c>
      <c r="M64">
        <f t="shared" si="10"/>
        <v>7200372.3604435902</v>
      </c>
      <c r="N64">
        <f>IF(M64&gt;0,M64*'Prepay vs Invest'!$B$6/1200,0)</f>
        <v>45002.32725277244</v>
      </c>
      <c r="O64">
        <f>IF(M64&gt;0,MIN('Prepay vs Invest'!$E$5,M64+N64),0)</f>
        <v>80559.31935518072</v>
      </c>
      <c r="P64">
        <f>MIN(MAX(0,M64+N64-O64),IF(AND(A64&gt;='Prepay vs Invest'!$B$11,A64&lt;='Prepay vs Invest'!$B$12),'Prepay vs Invest'!$B$10,0)+IF(A64='Prepay vs Invest'!$B$9,'Prepay vs Invest'!$B$8,0))</f>
        <v>10000</v>
      </c>
      <c r="Q64">
        <f t="shared" si="3"/>
        <v>7154815.3683411824</v>
      </c>
      <c r="R64">
        <f t="shared" si="11"/>
        <v>0</v>
      </c>
      <c r="S64">
        <f>IF(A64&lt;='Prepay vs Invest'!$B$7*12,MAX(0,'Prepay vs Invest'!$E$5+IF(AND(A64&gt;='Prepay vs Invest'!$B$11,A64&lt;='Prepay vs Invest'!$B$12),'Prepay vs Invest'!$B$10,0)+IF(A64='Prepay vs Invest'!$B$9,'Prepay vs Invest'!$B$8,0)-O64-P64),0)</f>
        <v>0</v>
      </c>
      <c r="T64">
        <f>R64*(1+MAX(0,'Prepay vs Invest'!$B$13-'Prepay vs Invest'!$B$14)/1200)+S64</f>
        <v>0</v>
      </c>
      <c r="U64">
        <f t="shared" si="12"/>
        <v>0</v>
      </c>
      <c r="V64">
        <f>MAX(0,(T64-U64-'Prepay vs Invest'!$B$16)*'Prepay vs Invest'!$B$15/100)</f>
        <v>0</v>
      </c>
      <c r="W64">
        <f t="shared" si="4"/>
        <v>0</v>
      </c>
      <c r="X64">
        <f t="shared" si="13"/>
        <v>7622077.3506922126</v>
      </c>
      <c r="Y64">
        <f>IF(X64&gt;0,X64*'Prepay vs Invest'!$B$6/1200,0)</f>
        <v>47637.983441826327</v>
      </c>
      <c r="Z64">
        <f>IF(X64&gt;0,MIN(-PMT('Prepay vs Invest'!$B$6/1200,'Prepay vs Invest'!$B$7*12-A64+1,X64),X64+Y64),0)</f>
        <v>71088.332075847444</v>
      </c>
      <c r="AA64">
        <f>MIN(MAX(0,X64+Y64-Z64),IF(AND(A64&gt;='Prepay vs Invest'!$B$11,A64&lt;='Prepay vs Invest'!$B$12),'Prepay vs Invest'!$B$10,0)+IF(A64='Prepay vs Invest'!$B$9,'Prepay vs Invest'!$B$8,0))</f>
        <v>10000</v>
      </c>
      <c r="AB64">
        <f t="shared" si="5"/>
        <v>7588627.0020581912</v>
      </c>
      <c r="AC64">
        <f t="shared" si="14"/>
        <v>456753.01573762787</v>
      </c>
      <c r="AD64">
        <f>IF(A64&lt;='Prepay vs Invest'!$B$7*12,MAX(0,'Prepay vs Invest'!$E$5+IF(AND(A64&gt;='Prepay vs Invest'!$B$11,A64&lt;='Prepay vs Invest'!$B$12),'Prepay vs Invest'!$B$10,0)+IF(A64='Prepay vs Invest'!$B$9,'Prepay vs Invest'!$B$8,0)-Z64-AA64),0)</f>
        <v>9470.9872793332761</v>
      </c>
      <c r="AE64">
        <f>AC64*(1+MAX(0,'Prepay vs Invest'!$B$13-'Prepay vs Invest'!$B$14)/1200)+AD64</f>
        <v>470601.21941778006</v>
      </c>
      <c r="AF64">
        <f t="shared" si="15"/>
        <v>374633.66171307949</v>
      </c>
      <c r="AG64">
        <f>MAX(0,(AE64-AF64-'Prepay vs Invest'!$B$16)*'Prepay vs Invest'!$B$15/100)</f>
        <v>0</v>
      </c>
      <c r="AH64">
        <f t="shared" si="6"/>
        <v>470601.21941778006</v>
      </c>
    </row>
    <row r="65" spans="1:34" x14ac:dyDescent="0.35">
      <c r="A65">
        <f t="shared" si="7"/>
        <v>64</v>
      </c>
      <c r="B65">
        <f>IF(A65&lt;='Prepay vs Invest'!$B$7*12,F64,0)</f>
        <v>8610980.1910471842</v>
      </c>
      <c r="C65">
        <f>IF(B65&gt;0,B65*'Prepay vs Invest'!$B$6/1200,0)</f>
        <v>53818.626194044897</v>
      </c>
      <c r="D65">
        <f>IF(B65&gt;0,MIN(-PMT('Prepay vs Invest'!$B$6/1200,'Prepay vs Invest'!$B$7*12,'Prepay vs Invest'!$B$5),B65+C65),0)</f>
        <v>80559.31935518072</v>
      </c>
      <c r="E65">
        <f t="shared" si="0"/>
        <v>26740.693161135823</v>
      </c>
      <c r="F65">
        <f t="shared" si="1"/>
        <v>8584239.4978860486</v>
      </c>
      <c r="G65">
        <f t="shared" si="8"/>
        <v>1672772.0946780865</v>
      </c>
      <c r="H65">
        <f>IF(A65&lt;='Prepay vs Invest'!$B$7*12,IF(AND(A65&gt;='Prepay vs Invest'!$B$11,A65&lt;='Prepay vs Invest'!$B$12),'Prepay vs Invest'!$B$10,0)+IF(A65='Prepay vs Invest'!$B$9,'Prepay vs Invest'!$B$8,0),0)</f>
        <v>10000</v>
      </c>
      <c r="I65">
        <f>G65*(1+MAX(0,'Prepay vs Invest'!$B$13-'Prepay vs Invest'!$B$14)/1200)+H65</f>
        <v>1698802.8272520846</v>
      </c>
      <c r="J65">
        <f t="shared" si="9"/>
        <v>1140000</v>
      </c>
      <c r="K65">
        <f>MAX(0,(I65-J65-'Prepay vs Invest'!$B$16)*'Prepay vs Invest'!$B$15/100)</f>
        <v>54225.353406510578</v>
      </c>
      <c r="L65">
        <f t="shared" si="2"/>
        <v>1644577.4738455741</v>
      </c>
      <c r="M65">
        <f t="shared" si="10"/>
        <v>7154815.3683411824</v>
      </c>
      <c r="N65">
        <f>IF(M65&gt;0,M65*'Prepay vs Invest'!$B$6/1200,0)</f>
        <v>44717.596052132394</v>
      </c>
      <c r="O65">
        <f>IF(M65&gt;0,MIN('Prepay vs Invest'!$E$5,M65+N65),0)</f>
        <v>80559.31935518072</v>
      </c>
      <c r="P65">
        <f>MIN(MAX(0,M65+N65-O65),IF(AND(A65&gt;='Prepay vs Invest'!$B$11,A65&lt;='Prepay vs Invest'!$B$12),'Prepay vs Invest'!$B$10,0)+IF(A65='Prepay vs Invest'!$B$9,'Prepay vs Invest'!$B$8,0))</f>
        <v>10000</v>
      </c>
      <c r="Q65">
        <f t="shared" si="3"/>
        <v>7108973.6450381344</v>
      </c>
      <c r="R65">
        <f t="shared" si="11"/>
        <v>0</v>
      </c>
      <c r="S65">
        <f>IF(A65&lt;='Prepay vs Invest'!$B$7*12,MAX(0,'Prepay vs Invest'!$E$5+IF(AND(A65&gt;='Prepay vs Invest'!$B$11,A65&lt;='Prepay vs Invest'!$B$12),'Prepay vs Invest'!$B$10,0)+IF(A65='Prepay vs Invest'!$B$9,'Prepay vs Invest'!$B$8,0)-O65-P65),0)</f>
        <v>0</v>
      </c>
      <c r="T65">
        <f>R65*(1+MAX(0,'Prepay vs Invest'!$B$13-'Prepay vs Invest'!$B$14)/1200)+S65</f>
        <v>0</v>
      </c>
      <c r="U65">
        <f t="shared" si="12"/>
        <v>0</v>
      </c>
      <c r="V65">
        <f>MAX(0,(T65-U65-'Prepay vs Invest'!$B$16)*'Prepay vs Invest'!$B$15/100)</f>
        <v>0</v>
      </c>
      <c r="W65">
        <f t="shared" si="4"/>
        <v>0</v>
      </c>
      <c r="X65">
        <f t="shared" si="13"/>
        <v>7588627.0020581912</v>
      </c>
      <c r="Y65">
        <f>IF(X65&gt;0,X65*'Prepay vs Invest'!$B$6/1200,0)</f>
        <v>47428.918762863694</v>
      </c>
      <c r="Z65">
        <f>IF(X65&gt;0,MIN(-PMT('Prepay vs Invest'!$B$6/1200,'Prepay vs Invest'!$B$7*12-A65+1,X65),X65+Y65),0)</f>
        <v>70994.777895524341</v>
      </c>
      <c r="AA65">
        <f>MIN(MAX(0,X65+Y65-Z65),IF(AND(A65&gt;='Prepay vs Invest'!$B$11,A65&lt;='Prepay vs Invest'!$B$12),'Prepay vs Invest'!$B$10,0)+IF(A65='Prepay vs Invest'!$B$9,'Prepay vs Invest'!$B$8,0))</f>
        <v>10000</v>
      </c>
      <c r="AB65">
        <f t="shared" si="5"/>
        <v>7555061.1429255307</v>
      </c>
      <c r="AC65">
        <f t="shared" si="14"/>
        <v>470601.21941778006</v>
      </c>
      <c r="AD65">
        <f>IF(A65&lt;='Prepay vs Invest'!$B$7*12,MAX(0,'Prepay vs Invest'!$E$5+IF(AND(A65&gt;='Prepay vs Invest'!$B$11,A65&lt;='Prepay vs Invest'!$B$12),'Prepay vs Invest'!$B$10,0)+IF(A65='Prepay vs Invest'!$B$9,'Prepay vs Invest'!$B$8,0)-Z65-AA65),0)</f>
        <v>9564.5414596563787</v>
      </c>
      <c r="AE65">
        <f>AC65*(1+MAX(0,'Prepay vs Invest'!$B$13-'Prepay vs Invest'!$B$14)/1200)+AD65</f>
        <v>484675.68923019012</v>
      </c>
      <c r="AF65">
        <f t="shared" si="15"/>
        <v>384198.20317273587</v>
      </c>
      <c r="AG65">
        <f>MAX(0,(AE65-AF65-'Prepay vs Invest'!$B$16)*'Prepay vs Invest'!$B$15/100)</f>
        <v>0</v>
      </c>
      <c r="AH65">
        <f t="shared" si="6"/>
        <v>484675.68923019012</v>
      </c>
    </row>
    <row r="66" spans="1:34" x14ac:dyDescent="0.35">
      <c r="A66">
        <f t="shared" si="7"/>
        <v>65</v>
      </c>
      <c r="B66">
        <f>IF(A66&lt;='Prepay vs Invest'!$B$7*12,F65,0)</f>
        <v>8584239.4978860486</v>
      </c>
      <c r="C66">
        <f>IF(B66&gt;0,B66*'Prepay vs Invest'!$B$6/1200,0)</f>
        <v>53651.496861787804</v>
      </c>
      <c r="D66">
        <f>IF(B66&gt;0,MIN(-PMT('Prepay vs Invest'!$B$6/1200,'Prepay vs Invest'!$B$7*12,'Prepay vs Invest'!$B$5),B66+C66),0)</f>
        <v>80559.31935518072</v>
      </c>
      <c r="E66">
        <f t="shared" si="0"/>
        <v>26907.822493392916</v>
      </c>
      <c r="F66">
        <f t="shared" si="1"/>
        <v>8557331.6753926557</v>
      </c>
      <c r="G66">
        <f t="shared" si="8"/>
        <v>1698802.8272520846</v>
      </c>
      <c r="H66">
        <f>IF(A66&lt;='Prepay vs Invest'!$B$7*12,IF(AND(A66&gt;='Prepay vs Invest'!$B$11,A66&lt;='Prepay vs Invest'!$B$12),'Prepay vs Invest'!$B$10,0)+IF(A66='Prepay vs Invest'!$B$9,'Prepay vs Invest'!$B$8,0),0)</f>
        <v>10000</v>
      </c>
      <c r="I66">
        <f>G66*(1+MAX(0,'Prepay vs Invest'!$B$13-'Prepay vs Invest'!$B$14)/1200)+H66</f>
        <v>1725083.0210132503</v>
      </c>
      <c r="J66">
        <f t="shared" si="9"/>
        <v>1150000</v>
      </c>
      <c r="K66">
        <f>MAX(0,(I66-J66-'Prepay vs Invest'!$B$16)*'Prepay vs Invest'!$B$15/100)</f>
        <v>56260.377626656293</v>
      </c>
      <c r="L66">
        <f t="shared" si="2"/>
        <v>1668822.643386594</v>
      </c>
      <c r="M66">
        <f t="shared" si="10"/>
        <v>7108973.6450381344</v>
      </c>
      <c r="N66">
        <f>IF(M66&gt;0,M66*'Prepay vs Invest'!$B$6/1200,0)</f>
        <v>44431.08528148834</v>
      </c>
      <c r="O66">
        <f>IF(M66&gt;0,MIN('Prepay vs Invest'!$E$5,M66+N66),0)</f>
        <v>80559.31935518072</v>
      </c>
      <c r="P66">
        <f>MIN(MAX(0,M66+N66-O66),IF(AND(A66&gt;='Prepay vs Invest'!$B$11,A66&lt;='Prepay vs Invest'!$B$12),'Prepay vs Invest'!$B$10,0)+IF(A66='Prepay vs Invest'!$B$9,'Prepay vs Invest'!$B$8,0))</f>
        <v>10000</v>
      </c>
      <c r="Q66">
        <f t="shared" si="3"/>
        <v>7062845.4109644424</v>
      </c>
      <c r="R66">
        <f t="shared" si="11"/>
        <v>0</v>
      </c>
      <c r="S66">
        <f>IF(A66&lt;='Prepay vs Invest'!$B$7*12,MAX(0,'Prepay vs Invest'!$E$5+IF(AND(A66&gt;='Prepay vs Invest'!$B$11,A66&lt;='Prepay vs Invest'!$B$12),'Prepay vs Invest'!$B$10,0)+IF(A66='Prepay vs Invest'!$B$9,'Prepay vs Invest'!$B$8,0)-O66-P66),0)</f>
        <v>0</v>
      </c>
      <c r="T66">
        <f>R66*(1+MAX(0,'Prepay vs Invest'!$B$13-'Prepay vs Invest'!$B$14)/1200)+S66</f>
        <v>0</v>
      </c>
      <c r="U66">
        <f t="shared" si="12"/>
        <v>0</v>
      </c>
      <c r="V66">
        <f>MAX(0,(T66-U66-'Prepay vs Invest'!$B$16)*'Prepay vs Invest'!$B$15/100)</f>
        <v>0</v>
      </c>
      <c r="W66">
        <f t="shared" si="4"/>
        <v>0</v>
      </c>
      <c r="X66">
        <f t="shared" si="13"/>
        <v>7555061.1429255307</v>
      </c>
      <c r="Y66">
        <f>IF(X66&gt;0,X66*'Prepay vs Invest'!$B$6/1200,0)</f>
        <v>47219.132143284565</v>
      </c>
      <c r="Z66">
        <f>IF(X66&gt;0,MIN(-PMT('Prepay vs Invest'!$B$6/1200,'Prepay vs Invest'!$B$7*12-A66+1,X66),X66+Y66),0)</f>
        <v>70900.932285351169</v>
      </c>
      <c r="AA66">
        <f>MIN(MAX(0,X66+Y66-Z66),IF(AND(A66&gt;='Prepay vs Invest'!$B$11,A66&lt;='Prepay vs Invest'!$B$12),'Prepay vs Invest'!$B$10,0)+IF(A66='Prepay vs Invest'!$B$9,'Prepay vs Invest'!$B$8,0))</f>
        <v>10000</v>
      </c>
      <c r="AB66">
        <f t="shared" si="5"/>
        <v>7521379.3427834641</v>
      </c>
      <c r="AC66">
        <f t="shared" si="14"/>
        <v>484675.68923019012</v>
      </c>
      <c r="AD66">
        <f>IF(A66&lt;='Prepay vs Invest'!$B$7*12,MAX(0,'Prepay vs Invest'!$E$5+IF(AND(A66&gt;='Prepay vs Invest'!$B$11,A66&lt;='Prepay vs Invest'!$B$12),'Prepay vs Invest'!$B$10,0)+IF(A66='Prepay vs Invest'!$B$9,'Prepay vs Invest'!$B$8,0)-Z66-AA66),0)</f>
        <v>9658.3870698295505</v>
      </c>
      <c r="AE66">
        <f>AC66*(1+MAX(0,'Prepay vs Invest'!$B$13-'Prepay vs Invest'!$B$14)/1200)+AD66</f>
        <v>498978.88498847565</v>
      </c>
      <c r="AF66">
        <f t="shared" si="15"/>
        <v>393856.59024256543</v>
      </c>
      <c r="AG66">
        <f>MAX(0,(AE66-AF66-'Prepay vs Invest'!$B$16)*'Prepay vs Invest'!$B$15/100)</f>
        <v>0</v>
      </c>
      <c r="AH66">
        <f t="shared" si="6"/>
        <v>498978.88498847565</v>
      </c>
    </row>
    <row r="67" spans="1:34" x14ac:dyDescent="0.35">
      <c r="A67">
        <f t="shared" si="7"/>
        <v>66</v>
      </c>
      <c r="B67">
        <f>IF(A67&lt;='Prepay vs Invest'!$B$7*12,F66,0)</f>
        <v>8557331.6753926557</v>
      </c>
      <c r="C67">
        <f>IF(B67&gt;0,B67*'Prepay vs Invest'!$B$6/1200,0)</f>
        <v>53483.322971204099</v>
      </c>
      <c r="D67">
        <f>IF(B67&gt;0,MIN(-PMT('Prepay vs Invest'!$B$6/1200,'Prepay vs Invest'!$B$7*12,'Prepay vs Invest'!$B$5),B67+C67),0)</f>
        <v>80559.31935518072</v>
      </c>
      <c r="E67">
        <f t="shared" ref="E67:E130" si="16">MAX(0,D67-C67)</f>
        <v>27075.996383976621</v>
      </c>
      <c r="F67">
        <f t="shared" ref="F67:F130" si="17">MAX(0,B67+C67-D67)</f>
        <v>8530255.6790086795</v>
      </c>
      <c r="G67">
        <f t="shared" si="8"/>
        <v>1725083.0210132503</v>
      </c>
      <c r="H67">
        <f>IF(A67&lt;='Prepay vs Invest'!$B$7*12,IF(AND(A67&gt;='Prepay vs Invest'!$B$11,A67&lt;='Prepay vs Invest'!$B$12),'Prepay vs Invest'!$B$10,0)+IF(A67='Prepay vs Invest'!$B$9,'Prepay vs Invest'!$B$8,0),0)</f>
        <v>10000</v>
      </c>
      <c r="I67">
        <f>G67*(1+MAX(0,'Prepay vs Invest'!$B$13-'Prepay vs Invest'!$B$14)/1200)+H67</f>
        <v>1751615.0666312939</v>
      </c>
      <c r="J67">
        <f t="shared" si="9"/>
        <v>1160000</v>
      </c>
      <c r="K67">
        <f>MAX(0,(I67-J67-'Prepay vs Invest'!$B$16)*'Prepay vs Invest'!$B$15/100)</f>
        <v>58326.883328911739</v>
      </c>
      <c r="L67">
        <f t="shared" ref="L67:L130" si="18">I67-K67</f>
        <v>1693288.183302382</v>
      </c>
      <c r="M67">
        <f t="shared" si="10"/>
        <v>7062845.4109644424</v>
      </c>
      <c r="N67">
        <f>IF(M67&gt;0,M67*'Prepay vs Invest'!$B$6/1200,0)</f>
        <v>44142.783818527765</v>
      </c>
      <c r="O67">
        <f>IF(M67&gt;0,MIN('Prepay vs Invest'!$E$5,M67+N67),0)</f>
        <v>80559.31935518072</v>
      </c>
      <c r="P67">
        <f>MIN(MAX(0,M67+N67-O67),IF(AND(A67&gt;='Prepay vs Invest'!$B$11,A67&lt;='Prepay vs Invest'!$B$12),'Prepay vs Invest'!$B$10,0)+IF(A67='Prepay vs Invest'!$B$9,'Prepay vs Invest'!$B$8,0))</f>
        <v>10000</v>
      </c>
      <c r="Q67">
        <f t="shared" ref="Q67:Q130" si="19">MAX(0,M67+N67-O67-P67)</f>
        <v>7016428.87542779</v>
      </c>
      <c r="R67">
        <f t="shared" si="11"/>
        <v>0</v>
      </c>
      <c r="S67">
        <f>IF(A67&lt;='Prepay vs Invest'!$B$7*12,MAX(0,'Prepay vs Invest'!$E$5+IF(AND(A67&gt;='Prepay vs Invest'!$B$11,A67&lt;='Prepay vs Invest'!$B$12),'Prepay vs Invest'!$B$10,0)+IF(A67='Prepay vs Invest'!$B$9,'Prepay vs Invest'!$B$8,0)-O67-P67),0)</f>
        <v>0</v>
      </c>
      <c r="T67">
        <f>R67*(1+MAX(0,'Prepay vs Invest'!$B$13-'Prepay vs Invest'!$B$14)/1200)+S67</f>
        <v>0</v>
      </c>
      <c r="U67">
        <f t="shared" si="12"/>
        <v>0</v>
      </c>
      <c r="V67">
        <f>MAX(0,(T67-U67-'Prepay vs Invest'!$B$16)*'Prepay vs Invest'!$B$15/100)</f>
        <v>0</v>
      </c>
      <c r="W67">
        <f t="shared" ref="W67:W130" si="20">T67-V67</f>
        <v>0</v>
      </c>
      <c r="X67">
        <f t="shared" si="13"/>
        <v>7521379.3427834641</v>
      </c>
      <c r="Y67">
        <f>IF(X67&gt;0,X67*'Prepay vs Invest'!$B$6/1200,0)</f>
        <v>47008.620892396648</v>
      </c>
      <c r="Z67">
        <f>IF(X67&gt;0,MIN(-PMT('Prepay vs Invest'!$B$6/1200,'Prepay vs Invest'!$B$7*12-A67+1,X67),X67+Y67),0)</f>
        <v>70806.79158540981</v>
      </c>
      <c r="AA67">
        <f>MIN(MAX(0,X67+Y67-Z67),IF(AND(A67&gt;='Prepay vs Invest'!$B$11,A67&lt;='Prepay vs Invest'!$B$12),'Prepay vs Invest'!$B$10,0)+IF(A67='Prepay vs Invest'!$B$9,'Prepay vs Invest'!$B$8,0))</f>
        <v>10000</v>
      </c>
      <c r="AB67">
        <f t="shared" ref="AB67:AB130" si="21">MAX(0,X67+Y67-Z67-AA67)</f>
        <v>7487581.1720904503</v>
      </c>
      <c r="AC67">
        <f t="shared" si="14"/>
        <v>498978.88498847565</v>
      </c>
      <c r="AD67">
        <f>IF(A67&lt;='Prepay vs Invest'!$B$7*12,MAX(0,'Prepay vs Invest'!$E$5+IF(AND(A67&gt;='Prepay vs Invest'!$B$11,A67&lt;='Prepay vs Invest'!$B$12),'Prepay vs Invest'!$B$10,0)+IF(A67='Prepay vs Invest'!$B$9,'Prepay vs Invest'!$B$8,0)-Z67-AA67),0)</f>
        <v>9752.5277697709098</v>
      </c>
      <c r="AE67">
        <f>AC67*(1+MAX(0,'Prepay vs Invest'!$B$13-'Prepay vs Invest'!$B$14)/1200)+AD67</f>
        <v>513513.29373938614</v>
      </c>
      <c r="AF67">
        <f t="shared" si="15"/>
        <v>403609.11801233632</v>
      </c>
      <c r="AG67">
        <f>MAX(0,(AE67-AF67-'Prepay vs Invest'!$B$16)*'Prepay vs Invest'!$B$15/100)</f>
        <v>0</v>
      </c>
      <c r="AH67">
        <f t="shared" ref="AH67:AH130" si="22">AE67-AG67</f>
        <v>513513.29373938614</v>
      </c>
    </row>
    <row r="68" spans="1:34" x14ac:dyDescent="0.35">
      <c r="A68">
        <f t="shared" ref="A68:A131" si="23">A67+1</f>
        <v>67</v>
      </c>
      <c r="B68">
        <f>IF(A68&lt;='Prepay vs Invest'!$B$7*12,F67,0)</f>
        <v>8530255.6790086795</v>
      </c>
      <c r="C68">
        <f>IF(B68&gt;0,B68*'Prepay vs Invest'!$B$6/1200,0)</f>
        <v>53314.097993804251</v>
      </c>
      <c r="D68">
        <f>IF(B68&gt;0,MIN(-PMT('Prepay vs Invest'!$B$6/1200,'Prepay vs Invest'!$B$7*12,'Prepay vs Invest'!$B$5),B68+C68),0)</f>
        <v>80559.31935518072</v>
      </c>
      <c r="E68">
        <f t="shared" si="16"/>
        <v>27245.221361376469</v>
      </c>
      <c r="F68">
        <f t="shared" si="17"/>
        <v>8503010.4576473031</v>
      </c>
      <c r="G68">
        <f t="shared" ref="G68:G131" si="24">I67</f>
        <v>1751615.0666312939</v>
      </c>
      <c r="H68">
        <f>IF(A68&lt;='Prepay vs Invest'!$B$7*12,IF(AND(A68&gt;='Prepay vs Invest'!$B$11,A68&lt;='Prepay vs Invest'!$B$12),'Prepay vs Invest'!$B$10,0)+IF(A68='Prepay vs Invest'!$B$9,'Prepay vs Invest'!$B$8,0),0)</f>
        <v>10000</v>
      </c>
      <c r="I68">
        <f>G68*(1+MAX(0,'Prepay vs Invest'!$B$13-'Prepay vs Invest'!$B$14)/1200)+H68</f>
        <v>1778401.3776865103</v>
      </c>
      <c r="J68">
        <f t="shared" ref="J68:J131" si="25">J67+H68</f>
        <v>1170000</v>
      </c>
      <c r="K68">
        <f>MAX(0,(I68-J68-'Prepay vs Invest'!$B$16)*'Prepay vs Invest'!$B$15/100)</f>
        <v>60425.172210813791</v>
      </c>
      <c r="L68">
        <f t="shared" si="18"/>
        <v>1717976.2054756966</v>
      </c>
      <c r="M68">
        <f t="shared" ref="M68:M131" si="26">Q67</f>
        <v>7016428.87542779</v>
      </c>
      <c r="N68">
        <f>IF(M68&gt;0,M68*'Prepay vs Invest'!$B$6/1200,0)</f>
        <v>43852.680471423693</v>
      </c>
      <c r="O68">
        <f>IF(M68&gt;0,MIN('Prepay vs Invest'!$E$5,M68+N68),0)</f>
        <v>80559.31935518072</v>
      </c>
      <c r="P68">
        <f>MIN(MAX(0,M68+N68-O68),IF(AND(A68&gt;='Prepay vs Invest'!$B$11,A68&lt;='Prepay vs Invest'!$B$12),'Prepay vs Invest'!$B$10,0)+IF(A68='Prepay vs Invest'!$B$9,'Prepay vs Invest'!$B$8,0))</f>
        <v>10000</v>
      </c>
      <c r="Q68">
        <f t="shared" si="19"/>
        <v>6969722.2365440335</v>
      </c>
      <c r="R68">
        <f t="shared" ref="R68:R131" si="27">T67</f>
        <v>0</v>
      </c>
      <c r="S68">
        <f>IF(A68&lt;='Prepay vs Invest'!$B$7*12,MAX(0,'Prepay vs Invest'!$E$5+IF(AND(A68&gt;='Prepay vs Invest'!$B$11,A68&lt;='Prepay vs Invest'!$B$12),'Prepay vs Invest'!$B$10,0)+IF(A68='Prepay vs Invest'!$B$9,'Prepay vs Invest'!$B$8,0)-O68-P68),0)</f>
        <v>0</v>
      </c>
      <c r="T68">
        <f>R68*(1+MAX(0,'Prepay vs Invest'!$B$13-'Prepay vs Invest'!$B$14)/1200)+S68</f>
        <v>0</v>
      </c>
      <c r="U68">
        <f t="shared" ref="U68:U131" si="28">U67+S68</f>
        <v>0</v>
      </c>
      <c r="V68">
        <f>MAX(0,(T68-U68-'Prepay vs Invest'!$B$16)*'Prepay vs Invest'!$B$15/100)</f>
        <v>0</v>
      </c>
      <c r="W68">
        <f t="shared" si="20"/>
        <v>0</v>
      </c>
      <c r="X68">
        <f t="shared" ref="X68:X131" si="29">AB67</f>
        <v>7487581.1720904503</v>
      </c>
      <c r="Y68">
        <f>IF(X68&gt;0,X68*'Prepay vs Invest'!$B$6/1200,0)</f>
        <v>46797.382325565311</v>
      </c>
      <c r="Z68">
        <f>IF(X68&gt;0,MIN(-PMT('Prepay vs Invest'!$B$6/1200,'Prepay vs Invest'!$B$7*12-A68+1,X68),X68+Y68),0)</f>
        <v>70712.352072238558</v>
      </c>
      <c r="AA68">
        <f>MIN(MAX(0,X68+Y68-Z68),IF(AND(A68&gt;='Prepay vs Invest'!$B$11,A68&lt;='Prepay vs Invest'!$B$12),'Prepay vs Invest'!$B$10,0)+IF(A68='Prepay vs Invest'!$B$9,'Prepay vs Invest'!$B$8,0))</f>
        <v>10000</v>
      </c>
      <c r="AB68">
        <f t="shared" si="21"/>
        <v>7453666.2023437768</v>
      </c>
      <c r="AC68">
        <f t="shared" ref="AC68:AC131" si="30">AE67</f>
        <v>513513.29373938614</v>
      </c>
      <c r="AD68">
        <f>IF(A68&lt;='Prepay vs Invest'!$B$7*12,MAX(0,'Prepay vs Invest'!$E$5+IF(AND(A68&gt;='Prepay vs Invest'!$B$11,A68&lt;='Prepay vs Invest'!$B$12),'Prepay vs Invest'!$B$10,0)+IF(A68='Prepay vs Invest'!$B$9,'Prepay vs Invest'!$B$8,0)-Z68-AA68),0)</f>
        <v>9846.9672829421615</v>
      </c>
      <c r="AE68">
        <f>AC68*(1+MAX(0,'Prepay vs Invest'!$B$13-'Prepay vs Invest'!$B$14)/1200)+AD68</f>
        <v>528281.43008733075</v>
      </c>
      <c r="AF68">
        <f t="shared" ref="AF68:AF131" si="31">AF67+AD68</f>
        <v>413456.08529527846</v>
      </c>
      <c r="AG68">
        <f>MAX(0,(AE68-AF68-'Prepay vs Invest'!$B$16)*'Prepay vs Invest'!$B$15/100)</f>
        <v>0</v>
      </c>
      <c r="AH68">
        <f t="shared" si="22"/>
        <v>528281.43008733075</v>
      </c>
    </row>
    <row r="69" spans="1:34" x14ac:dyDescent="0.35">
      <c r="A69">
        <f t="shared" si="23"/>
        <v>68</v>
      </c>
      <c r="B69">
        <f>IF(A69&lt;='Prepay vs Invest'!$B$7*12,F68,0)</f>
        <v>8503010.4576473031</v>
      </c>
      <c r="C69">
        <f>IF(B69&gt;0,B69*'Prepay vs Invest'!$B$6/1200,0)</f>
        <v>53143.815360295644</v>
      </c>
      <c r="D69">
        <f>IF(B69&gt;0,MIN(-PMT('Prepay vs Invest'!$B$6/1200,'Prepay vs Invest'!$B$7*12,'Prepay vs Invest'!$B$5),B69+C69),0)</f>
        <v>80559.31935518072</v>
      </c>
      <c r="E69">
        <f t="shared" si="16"/>
        <v>27415.503994885075</v>
      </c>
      <c r="F69">
        <f t="shared" si="17"/>
        <v>8475594.9536524191</v>
      </c>
      <c r="G69">
        <f t="shared" si="24"/>
        <v>1778401.3776865103</v>
      </c>
      <c r="H69">
        <f>IF(A69&lt;='Prepay vs Invest'!$B$7*12,IF(AND(A69&gt;='Prepay vs Invest'!$B$11,A69&lt;='Prepay vs Invest'!$B$12),'Prepay vs Invest'!$B$10,0)+IF(A69='Prepay vs Invest'!$B$9,'Prepay vs Invest'!$B$8,0),0)</f>
        <v>10000</v>
      </c>
      <c r="I69">
        <f>G69*(1+MAX(0,'Prepay vs Invest'!$B$13-'Prepay vs Invest'!$B$14)/1200)+H69</f>
        <v>1805444.3908893394</v>
      </c>
      <c r="J69">
        <f t="shared" si="25"/>
        <v>1180000</v>
      </c>
      <c r="K69">
        <f>MAX(0,(I69-J69-'Prepay vs Invest'!$B$16)*'Prepay vs Invest'!$B$15/100)</f>
        <v>62555.548861167423</v>
      </c>
      <c r="L69">
        <f t="shared" si="18"/>
        <v>1742888.842028172</v>
      </c>
      <c r="M69">
        <f t="shared" si="26"/>
        <v>6969722.2365440335</v>
      </c>
      <c r="N69">
        <f>IF(M69&gt;0,M69*'Prepay vs Invest'!$B$6/1200,0)</f>
        <v>43560.763978400209</v>
      </c>
      <c r="O69">
        <f>IF(M69&gt;0,MIN('Prepay vs Invest'!$E$5,M69+N69),0)</f>
        <v>80559.31935518072</v>
      </c>
      <c r="P69">
        <f>MIN(MAX(0,M69+N69-O69),IF(AND(A69&gt;='Prepay vs Invest'!$B$11,A69&lt;='Prepay vs Invest'!$B$12),'Prepay vs Invest'!$B$10,0)+IF(A69='Prepay vs Invest'!$B$9,'Prepay vs Invest'!$B$8,0))</f>
        <v>10000</v>
      </c>
      <c r="Q69">
        <f t="shared" si="19"/>
        <v>6922723.6811672533</v>
      </c>
      <c r="R69">
        <f t="shared" si="27"/>
        <v>0</v>
      </c>
      <c r="S69">
        <f>IF(A69&lt;='Prepay vs Invest'!$B$7*12,MAX(0,'Prepay vs Invest'!$E$5+IF(AND(A69&gt;='Prepay vs Invest'!$B$11,A69&lt;='Prepay vs Invest'!$B$12),'Prepay vs Invest'!$B$10,0)+IF(A69='Prepay vs Invest'!$B$9,'Prepay vs Invest'!$B$8,0)-O69-P69),0)</f>
        <v>0</v>
      </c>
      <c r="T69">
        <f>R69*(1+MAX(0,'Prepay vs Invest'!$B$13-'Prepay vs Invest'!$B$14)/1200)+S69</f>
        <v>0</v>
      </c>
      <c r="U69">
        <f t="shared" si="28"/>
        <v>0</v>
      </c>
      <c r="V69">
        <f>MAX(0,(T69-U69-'Prepay vs Invest'!$B$16)*'Prepay vs Invest'!$B$15/100)</f>
        <v>0</v>
      </c>
      <c r="W69">
        <f t="shared" si="20"/>
        <v>0</v>
      </c>
      <c r="X69">
        <f t="shared" si="29"/>
        <v>7453666.2023437768</v>
      </c>
      <c r="Y69">
        <f>IF(X69&gt;0,X69*'Prepay vs Invest'!$B$6/1200,0)</f>
        <v>46585.413764648605</v>
      </c>
      <c r="Z69">
        <f>IF(X69&gt;0,MIN(-PMT('Prepay vs Invest'!$B$6/1200,'Prepay vs Invest'!$B$7*12-A69+1,X69),X69+Y69),0)</f>
        <v>70617.609957364737</v>
      </c>
      <c r="AA69">
        <f>MIN(MAX(0,X69+Y69-Z69),IF(AND(A69&gt;='Prepay vs Invest'!$B$11,A69&lt;='Prepay vs Invest'!$B$12),'Prepay vs Invest'!$B$10,0)+IF(A69='Prepay vs Invest'!$B$9,'Prepay vs Invest'!$B$8,0))</f>
        <v>10000</v>
      </c>
      <c r="AB69">
        <f t="shared" si="21"/>
        <v>7419634.0061510606</v>
      </c>
      <c r="AC69">
        <f t="shared" si="30"/>
        <v>528281.43008733075</v>
      </c>
      <c r="AD69">
        <f>IF(A69&lt;='Prepay vs Invest'!$B$7*12,MAX(0,'Prepay vs Invest'!$E$5+IF(AND(A69&gt;='Prepay vs Invest'!$B$11,A69&lt;='Prepay vs Invest'!$B$12),'Prepay vs Invest'!$B$10,0)+IF(A69='Prepay vs Invest'!$B$9,'Prepay vs Invest'!$B$8,0)-Z69-AA69),0)</f>
        <v>9941.7093978159828</v>
      </c>
      <c r="AE69">
        <f>AC69*(1+MAX(0,'Prepay vs Invest'!$B$13-'Prepay vs Invest'!$B$14)/1200)+AD69</f>
        <v>543285.83652348362</v>
      </c>
      <c r="AF69">
        <f t="shared" si="31"/>
        <v>423397.79469309445</v>
      </c>
      <c r="AG69">
        <f>MAX(0,(AE69-AF69-'Prepay vs Invest'!$B$16)*'Prepay vs Invest'!$B$15/100)</f>
        <v>0</v>
      </c>
      <c r="AH69">
        <f t="shared" si="22"/>
        <v>543285.83652348362</v>
      </c>
    </row>
    <row r="70" spans="1:34" x14ac:dyDescent="0.35">
      <c r="A70">
        <f t="shared" si="23"/>
        <v>69</v>
      </c>
      <c r="B70">
        <f>IF(A70&lt;='Prepay vs Invest'!$B$7*12,F69,0)</f>
        <v>8475594.9536524191</v>
      </c>
      <c r="C70">
        <f>IF(B70&gt;0,B70*'Prepay vs Invest'!$B$6/1200,0)</f>
        <v>52972.468460327626</v>
      </c>
      <c r="D70">
        <f>IF(B70&gt;0,MIN(-PMT('Prepay vs Invest'!$B$6/1200,'Prepay vs Invest'!$B$7*12,'Prepay vs Invest'!$B$5),B70+C70),0)</f>
        <v>80559.31935518072</v>
      </c>
      <c r="E70">
        <f t="shared" si="16"/>
        <v>27586.850894853094</v>
      </c>
      <c r="F70">
        <f t="shared" si="17"/>
        <v>8448008.1027575657</v>
      </c>
      <c r="G70">
        <f t="shared" si="24"/>
        <v>1805444.3908893394</v>
      </c>
      <c r="H70">
        <f>IF(A70&lt;='Prepay vs Invest'!$B$7*12,IF(AND(A70&gt;='Prepay vs Invest'!$B$11,A70&lt;='Prepay vs Invest'!$B$12),'Prepay vs Invest'!$B$10,0)+IF(A70='Prepay vs Invest'!$B$9,'Prepay vs Invest'!$B$8,0),0)</f>
        <v>10000</v>
      </c>
      <c r="I70">
        <f>G70*(1+MAX(0,'Prepay vs Invest'!$B$13-'Prepay vs Invest'!$B$14)/1200)+H70</f>
        <v>1832746.5663020287</v>
      </c>
      <c r="J70">
        <f t="shared" si="25"/>
        <v>1190000</v>
      </c>
      <c r="K70">
        <f>MAX(0,(I70-J70-'Prepay vs Invest'!$B$16)*'Prepay vs Invest'!$B$15/100)</f>
        <v>64718.32078775359</v>
      </c>
      <c r="L70">
        <f t="shared" si="18"/>
        <v>1768028.245514275</v>
      </c>
      <c r="M70">
        <f t="shared" si="26"/>
        <v>6922723.6811672533</v>
      </c>
      <c r="N70">
        <f>IF(M70&gt;0,M70*'Prepay vs Invest'!$B$6/1200,0)</f>
        <v>43267.023007295327</v>
      </c>
      <c r="O70">
        <f>IF(M70&gt;0,MIN('Prepay vs Invest'!$E$5,M70+N70),0)</f>
        <v>80559.31935518072</v>
      </c>
      <c r="P70">
        <f>MIN(MAX(0,M70+N70-O70),IF(AND(A70&gt;='Prepay vs Invest'!$B$11,A70&lt;='Prepay vs Invest'!$B$12),'Prepay vs Invest'!$B$10,0)+IF(A70='Prepay vs Invest'!$B$9,'Prepay vs Invest'!$B$8,0))</f>
        <v>10000</v>
      </c>
      <c r="Q70">
        <f t="shared" si="19"/>
        <v>6875431.3848193679</v>
      </c>
      <c r="R70">
        <f t="shared" si="27"/>
        <v>0</v>
      </c>
      <c r="S70">
        <f>IF(A70&lt;='Prepay vs Invest'!$B$7*12,MAX(0,'Prepay vs Invest'!$E$5+IF(AND(A70&gt;='Prepay vs Invest'!$B$11,A70&lt;='Prepay vs Invest'!$B$12),'Prepay vs Invest'!$B$10,0)+IF(A70='Prepay vs Invest'!$B$9,'Prepay vs Invest'!$B$8,0)-O70-P70),0)</f>
        <v>0</v>
      </c>
      <c r="T70">
        <f>R70*(1+MAX(0,'Prepay vs Invest'!$B$13-'Prepay vs Invest'!$B$14)/1200)+S70</f>
        <v>0</v>
      </c>
      <c r="U70">
        <f t="shared" si="28"/>
        <v>0</v>
      </c>
      <c r="V70">
        <f>MAX(0,(T70-U70-'Prepay vs Invest'!$B$16)*'Prepay vs Invest'!$B$15/100)</f>
        <v>0</v>
      </c>
      <c r="W70">
        <f t="shared" si="20"/>
        <v>0</v>
      </c>
      <c r="X70">
        <f t="shared" si="29"/>
        <v>7419634.0061510606</v>
      </c>
      <c r="Y70">
        <f>IF(X70&gt;0,X70*'Prepay vs Invest'!$B$6/1200,0)</f>
        <v>46372.712538444124</v>
      </c>
      <c r="Z70">
        <f>IF(X70&gt;0,MIN(-PMT('Prepay vs Invest'!$B$6/1200,'Prepay vs Invest'!$B$7*12-A70+1,X70),X70+Y70),0)</f>
        <v>70522.561385794586</v>
      </c>
      <c r="AA70">
        <f>MIN(MAX(0,X70+Y70-Z70),IF(AND(A70&gt;='Prepay vs Invest'!$B$11,A70&lt;='Prepay vs Invest'!$B$12),'Prepay vs Invest'!$B$10,0)+IF(A70='Prepay vs Invest'!$B$9,'Prepay vs Invest'!$B$8,0))</f>
        <v>10000</v>
      </c>
      <c r="AB70">
        <f t="shared" si="21"/>
        <v>7385484.1573037105</v>
      </c>
      <c r="AC70">
        <f t="shared" si="30"/>
        <v>543285.83652348362</v>
      </c>
      <c r="AD70">
        <f>IF(A70&lt;='Prepay vs Invest'!$B$7*12,MAX(0,'Prepay vs Invest'!$E$5+IF(AND(A70&gt;='Prepay vs Invest'!$B$11,A70&lt;='Prepay vs Invest'!$B$12),'Prepay vs Invest'!$B$10,0)+IF(A70='Prepay vs Invest'!$B$9,'Prepay vs Invest'!$B$8,0)-Z70-AA70),0)</f>
        <v>10036.757969386133</v>
      </c>
      <c r="AE70">
        <f>AC70*(1+MAX(0,'Prepay vs Invest'!$B$13-'Prepay vs Invest'!$B$14)/1200)+AD70</f>
        <v>558529.08375955315</v>
      </c>
      <c r="AF70">
        <f t="shared" si="31"/>
        <v>433434.55266248056</v>
      </c>
      <c r="AG70">
        <f>MAX(0,(AE70-AF70-'Prepay vs Invest'!$B$16)*'Prepay vs Invest'!$B$15/100)</f>
        <v>11.816387134073011</v>
      </c>
      <c r="AH70">
        <f t="shared" si="22"/>
        <v>558517.26737241913</v>
      </c>
    </row>
    <row r="71" spans="1:34" x14ac:dyDescent="0.35">
      <c r="A71">
        <f t="shared" si="23"/>
        <v>70</v>
      </c>
      <c r="B71">
        <f>IF(A71&lt;='Prepay vs Invest'!$B$7*12,F70,0)</f>
        <v>8448008.1027575657</v>
      </c>
      <c r="C71">
        <f>IF(B71&gt;0,B71*'Prepay vs Invest'!$B$6/1200,0)</f>
        <v>52800.050642234783</v>
      </c>
      <c r="D71">
        <f>IF(B71&gt;0,MIN(-PMT('Prepay vs Invest'!$B$6/1200,'Prepay vs Invest'!$B$7*12,'Prepay vs Invest'!$B$5),B71+C71),0)</f>
        <v>80559.31935518072</v>
      </c>
      <c r="E71">
        <f t="shared" si="16"/>
        <v>27759.268712945937</v>
      </c>
      <c r="F71">
        <f t="shared" si="17"/>
        <v>8420248.8340446204</v>
      </c>
      <c r="G71">
        <f t="shared" si="24"/>
        <v>1832746.5663020287</v>
      </c>
      <c r="H71">
        <f>IF(A71&lt;='Prepay vs Invest'!$B$7*12,IF(AND(A71&gt;='Prepay vs Invest'!$B$11,A71&lt;='Prepay vs Invest'!$B$12),'Prepay vs Invest'!$B$10,0)+IF(A71='Prepay vs Invest'!$B$9,'Prepay vs Invest'!$B$8,0),0)</f>
        <v>10000</v>
      </c>
      <c r="I71">
        <f>G71*(1+MAX(0,'Prepay vs Invest'!$B$13-'Prepay vs Invest'!$B$14)/1200)+H71</f>
        <v>1860310.387562423</v>
      </c>
      <c r="J71">
        <f t="shared" si="25"/>
        <v>1200000</v>
      </c>
      <c r="K71">
        <f>MAX(0,(I71-J71-'Prepay vs Invest'!$B$16)*'Prepay vs Invest'!$B$15/100)</f>
        <v>66913.798445302877</v>
      </c>
      <c r="L71">
        <f t="shared" si="18"/>
        <v>1793396.58911712</v>
      </c>
      <c r="M71">
        <f t="shared" si="26"/>
        <v>6875431.3848193679</v>
      </c>
      <c r="N71">
        <f>IF(M71&gt;0,M71*'Prepay vs Invest'!$B$6/1200,0)</f>
        <v>42971.446155121048</v>
      </c>
      <c r="O71">
        <f>IF(M71&gt;0,MIN('Prepay vs Invest'!$E$5,M71+N71),0)</f>
        <v>80559.31935518072</v>
      </c>
      <c r="P71">
        <f>MIN(MAX(0,M71+N71-O71),IF(AND(A71&gt;='Prepay vs Invest'!$B$11,A71&lt;='Prepay vs Invest'!$B$12),'Prepay vs Invest'!$B$10,0)+IF(A71='Prepay vs Invest'!$B$9,'Prepay vs Invest'!$B$8,0))</f>
        <v>10000</v>
      </c>
      <c r="Q71">
        <f t="shared" si="19"/>
        <v>6827843.511619308</v>
      </c>
      <c r="R71">
        <f t="shared" si="27"/>
        <v>0</v>
      </c>
      <c r="S71">
        <f>IF(A71&lt;='Prepay vs Invest'!$B$7*12,MAX(0,'Prepay vs Invest'!$E$5+IF(AND(A71&gt;='Prepay vs Invest'!$B$11,A71&lt;='Prepay vs Invest'!$B$12),'Prepay vs Invest'!$B$10,0)+IF(A71='Prepay vs Invest'!$B$9,'Prepay vs Invest'!$B$8,0)-O71-P71),0)</f>
        <v>0</v>
      </c>
      <c r="T71">
        <f>R71*(1+MAX(0,'Prepay vs Invest'!$B$13-'Prepay vs Invest'!$B$14)/1200)+S71</f>
        <v>0</v>
      </c>
      <c r="U71">
        <f t="shared" si="28"/>
        <v>0</v>
      </c>
      <c r="V71">
        <f>MAX(0,(T71-U71-'Prepay vs Invest'!$B$16)*'Prepay vs Invest'!$B$15/100)</f>
        <v>0</v>
      </c>
      <c r="W71">
        <f t="shared" si="20"/>
        <v>0</v>
      </c>
      <c r="X71">
        <f t="shared" si="29"/>
        <v>7385484.1573037105</v>
      </c>
      <c r="Y71">
        <f>IF(X71&gt;0,X71*'Prepay vs Invest'!$B$6/1200,0)</f>
        <v>46159.275983148189</v>
      </c>
      <c r="Z71">
        <f>IF(X71&gt;0,MIN(-PMT('Prepay vs Invest'!$B$6/1200,'Prepay vs Invest'!$B$7*12-A71+1,X71),X71+Y71),0)</f>
        <v>70427.202434459221</v>
      </c>
      <c r="AA71">
        <f>MIN(MAX(0,X71+Y71-Z71),IF(AND(A71&gt;='Prepay vs Invest'!$B$11,A71&lt;='Prepay vs Invest'!$B$12),'Prepay vs Invest'!$B$10,0)+IF(A71='Prepay vs Invest'!$B$9,'Prepay vs Invest'!$B$8,0))</f>
        <v>10000</v>
      </c>
      <c r="AB71">
        <f t="shared" si="21"/>
        <v>7351216.2308524</v>
      </c>
      <c r="AC71">
        <f t="shared" si="30"/>
        <v>558529.08375955315</v>
      </c>
      <c r="AD71">
        <f>IF(A71&lt;='Prepay vs Invest'!$B$7*12,MAX(0,'Prepay vs Invest'!$E$5+IF(AND(A71&gt;='Prepay vs Invest'!$B$11,A71&lt;='Prepay vs Invest'!$B$12),'Prepay vs Invest'!$B$10,0)+IF(A71='Prepay vs Invest'!$B$9,'Prepay vs Invest'!$B$8,0)-Z71-AA71),0)</f>
        <v>10132.116920721499</v>
      </c>
      <c r="AE71">
        <f>AC71*(1+MAX(0,'Prepay vs Invest'!$B$13-'Prepay vs Invest'!$B$14)/1200)+AD71</f>
        <v>574013.7710663036</v>
      </c>
      <c r="AF71">
        <f t="shared" si="31"/>
        <v>443566.66958320205</v>
      </c>
      <c r="AG71">
        <f>MAX(0,(AE71-AF71-'Prepay vs Invest'!$B$16)*'Prepay vs Invest'!$B$15/100)</f>
        <v>680.88768538769364</v>
      </c>
      <c r="AH71">
        <f t="shared" si="22"/>
        <v>573332.88338091585</v>
      </c>
    </row>
    <row r="72" spans="1:34" x14ac:dyDescent="0.35">
      <c r="A72">
        <f t="shared" si="23"/>
        <v>71</v>
      </c>
      <c r="B72">
        <f>IF(A72&lt;='Prepay vs Invest'!$B$7*12,F71,0)</f>
        <v>8420248.8340446204</v>
      </c>
      <c r="C72">
        <f>IF(B72&gt;0,B72*'Prepay vs Invest'!$B$6/1200,0)</f>
        <v>52626.555212778876</v>
      </c>
      <c r="D72">
        <f>IF(B72&gt;0,MIN(-PMT('Prepay vs Invest'!$B$6/1200,'Prepay vs Invest'!$B$7*12,'Prepay vs Invest'!$B$5),B72+C72),0)</f>
        <v>80559.31935518072</v>
      </c>
      <c r="E72">
        <f t="shared" si="16"/>
        <v>27932.764142401844</v>
      </c>
      <c r="F72">
        <f t="shared" si="17"/>
        <v>8392316.0699022189</v>
      </c>
      <c r="G72">
        <f t="shared" si="24"/>
        <v>1860310.387562423</v>
      </c>
      <c r="H72">
        <f>IF(A72&lt;='Prepay vs Invest'!$B$7*12,IF(AND(A72&gt;='Prepay vs Invest'!$B$11,A72&lt;='Prepay vs Invest'!$B$12),'Prepay vs Invest'!$B$10,0)+IF(A72='Prepay vs Invest'!$B$9,'Prepay vs Invest'!$B$8,0),0)</f>
        <v>10000</v>
      </c>
      <c r="I72">
        <f>G72*(1+MAX(0,'Prepay vs Invest'!$B$13-'Prepay vs Invest'!$B$14)/1200)+H72</f>
        <v>1888138.362109896</v>
      </c>
      <c r="J72">
        <f t="shared" si="25"/>
        <v>1210000</v>
      </c>
      <c r="K72">
        <f>MAX(0,(I72-J72-'Prepay vs Invest'!$B$16)*'Prepay vs Invest'!$B$15/100)</f>
        <v>69142.295263737004</v>
      </c>
      <c r="L72">
        <f t="shared" si="18"/>
        <v>1818996.0668461591</v>
      </c>
      <c r="M72">
        <f t="shared" si="26"/>
        <v>6827843.511619308</v>
      </c>
      <c r="N72">
        <f>IF(M72&gt;0,M72*'Prepay vs Invest'!$B$6/1200,0)</f>
        <v>42674.021947620669</v>
      </c>
      <c r="O72">
        <f>IF(M72&gt;0,MIN('Prepay vs Invest'!$E$5,M72+N72),0)</f>
        <v>80559.31935518072</v>
      </c>
      <c r="P72">
        <f>MIN(MAX(0,M72+N72-O72),IF(AND(A72&gt;='Prepay vs Invest'!$B$11,A72&lt;='Prepay vs Invest'!$B$12),'Prepay vs Invest'!$B$10,0)+IF(A72='Prepay vs Invest'!$B$9,'Prepay vs Invest'!$B$8,0))</f>
        <v>10000</v>
      </c>
      <c r="Q72">
        <f t="shared" si="19"/>
        <v>6779958.214211748</v>
      </c>
      <c r="R72">
        <f t="shared" si="27"/>
        <v>0</v>
      </c>
      <c r="S72">
        <f>IF(A72&lt;='Prepay vs Invest'!$B$7*12,MAX(0,'Prepay vs Invest'!$E$5+IF(AND(A72&gt;='Prepay vs Invest'!$B$11,A72&lt;='Prepay vs Invest'!$B$12),'Prepay vs Invest'!$B$10,0)+IF(A72='Prepay vs Invest'!$B$9,'Prepay vs Invest'!$B$8,0)-O72-P72),0)</f>
        <v>0</v>
      </c>
      <c r="T72">
        <f>R72*(1+MAX(0,'Prepay vs Invest'!$B$13-'Prepay vs Invest'!$B$14)/1200)+S72</f>
        <v>0</v>
      </c>
      <c r="U72">
        <f t="shared" si="28"/>
        <v>0</v>
      </c>
      <c r="V72">
        <f>MAX(0,(T72-U72-'Prepay vs Invest'!$B$16)*'Prepay vs Invest'!$B$15/100)</f>
        <v>0</v>
      </c>
      <c r="W72">
        <f t="shared" si="20"/>
        <v>0</v>
      </c>
      <c r="X72">
        <f t="shared" si="29"/>
        <v>7351216.2308524</v>
      </c>
      <c r="Y72">
        <f>IF(X72&gt;0,X72*'Prepay vs Invest'!$B$6/1200,0)</f>
        <v>45945.101442827501</v>
      </c>
      <c r="Z72">
        <f>IF(X72&gt;0,MIN(-PMT('Prepay vs Invest'!$B$6/1200,'Prepay vs Invest'!$B$7*12-A72+1,X72),X72+Y72),0)</f>
        <v>70331.529110614603</v>
      </c>
      <c r="AA72">
        <f>MIN(MAX(0,X72+Y72-Z72),IF(AND(A72&gt;='Prepay vs Invest'!$B$11,A72&lt;='Prepay vs Invest'!$B$12),'Prepay vs Invest'!$B$10,0)+IF(A72='Prepay vs Invest'!$B$9,'Prepay vs Invest'!$B$8,0))</f>
        <v>10000</v>
      </c>
      <c r="AB72">
        <f t="shared" si="21"/>
        <v>7316829.8031846136</v>
      </c>
      <c r="AC72">
        <f t="shared" si="30"/>
        <v>574013.7710663036</v>
      </c>
      <c r="AD72">
        <f>IF(A72&lt;='Prepay vs Invest'!$B$7*12,MAX(0,'Prepay vs Invest'!$E$5+IF(AND(A72&gt;='Prepay vs Invest'!$B$11,A72&lt;='Prepay vs Invest'!$B$12),'Prepay vs Invest'!$B$10,0)+IF(A72='Prepay vs Invest'!$B$9,'Prepay vs Invest'!$B$8,0)-Z72-AA72),0)</f>
        <v>10227.790244566117</v>
      </c>
      <c r="AE72">
        <f>AC72*(1+MAX(0,'Prepay vs Invest'!$B$13-'Prepay vs Invest'!$B$14)/1200)+AD72</f>
        <v>589742.52661692176</v>
      </c>
      <c r="AF72">
        <f t="shared" si="31"/>
        <v>453794.45982776815</v>
      </c>
      <c r="AG72">
        <f>MAX(0,(AE72-AF72-'Prepay vs Invest'!$B$16)*'Prepay vs Invest'!$B$15/100)</f>
        <v>1368.5083486442018</v>
      </c>
      <c r="AH72">
        <f t="shared" si="22"/>
        <v>588374.01826827752</v>
      </c>
    </row>
    <row r="73" spans="1:34" x14ac:dyDescent="0.35">
      <c r="A73">
        <f t="shared" si="23"/>
        <v>72</v>
      </c>
      <c r="B73">
        <f>IF(A73&lt;='Prepay vs Invest'!$B$7*12,F72,0)</f>
        <v>8392316.0699022189</v>
      </c>
      <c r="C73">
        <f>IF(B73&gt;0,B73*'Prepay vs Invest'!$B$6/1200,0)</f>
        <v>52451.975436888868</v>
      </c>
      <c r="D73">
        <f>IF(B73&gt;0,MIN(-PMT('Prepay vs Invest'!$B$6/1200,'Prepay vs Invest'!$B$7*12,'Prepay vs Invest'!$B$5),B73+C73),0)</f>
        <v>80559.31935518072</v>
      </c>
      <c r="E73">
        <f t="shared" si="16"/>
        <v>28107.343918291852</v>
      </c>
      <c r="F73">
        <f t="shared" si="17"/>
        <v>8364208.725983927</v>
      </c>
      <c r="G73">
        <f t="shared" si="24"/>
        <v>1888138.362109896</v>
      </c>
      <c r="H73">
        <f>IF(A73&lt;='Prepay vs Invest'!$B$7*12,IF(AND(A73&gt;='Prepay vs Invest'!$B$11,A73&lt;='Prepay vs Invest'!$B$12),'Prepay vs Invest'!$B$10,0)+IF(A73='Prepay vs Invest'!$B$9,'Prepay vs Invest'!$B$8,0),0)</f>
        <v>10000</v>
      </c>
      <c r="I73">
        <f>G73*(1+MAX(0,'Prepay vs Invest'!$B$13-'Prepay vs Invest'!$B$14)/1200)+H73</f>
        <v>1916233.0214134492</v>
      </c>
      <c r="J73">
        <f t="shared" si="25"/>
        <v>1220000</v>
      </c>
      <c r="K73">
        <f>MAX(0,(I73-J73-'Prepay vs Invest'!$B$16)*'Prepay vs Invest'!$B$15/100)</f>
        <v>71404.12767668115</v>
      </c>
      <c r="L73">
        <f t="shared" si="18"/>
        <v>1844828.893736768</v>
      </c>
      <c r="M73">
        <f t="shared" si="26"/>
        <v>6779958.214211748</v>
      </c>
      <c r="N73">
        <f>IF(M73&gt;0,M73*'Prepay vs Invest'!$B$6/1200,0)</f>
        <v>42374.738838823425</v>
      </c>
      <c r="O73">
        <f>IF(M73&gt;0,MIN('Prepay vs Invest'!$E$5,M73+N73),0)</f>
        <v>80559.31935518072</v>
      </c>
      <c r="P73">
        <f>MIN(MAX(0,M73+N73-O73),IF(AND(A73&gt;='Prepay vs Invest'!$B$11,A73&lt;='Prepay vs Invest'!$B$12),'Prepay vs Invest'!$B$10,0)+IF(A73='Prepay vs Invest'!$B$9,'Prepay vs Invest'!$B$8,0))</f>
        <v>10000</v>
      </c>
      <c r="Q73">
        <f t="shared" si="19"/>
        <v>6731773.633695391</v>
      </c>
      <c r="R73">
        <f t="shared" si="27"/>
        <v>0</v>
      </c>
      <c r="S73">
        <f>IF(A73&lt;='Prepay vs Invest'!$B$7*12,MAX(0,'Prepay vs Invest'!$E$5+IF(AND(A73&gt;='Prepay vs Invest'!$B$11,A73&lt;='Prepay vs Invest'!$B$12),'Prepay vs Invest'!$B$10,0)+IF(A73='Prepay vs Invest'!$B$9,'Prepay vs Invest'!$B$8,0)-O73-P73),0)</f>
        <v>0</v>
      </c>
      <c r="T73">
        <f>R73*(1+MAX(0,'Prepay vs Invest'!$B$13-'Prepay vs Invest'!$B$14)/1200)+S73</f>
        <v>0</v>
      </c>
      <c r="U73">
        <f t="shared" si="28"/>
        <v>0</v>
      </c>
      <c r="V73">
        <f>MAX(0,(T73-U73-'Prepay vs Invest'!$B$16)*'Prepay vs Invest'!$B$15/100)</f>
        <v>0</v>
      </c>
      <c r="W73">
        <f t="shared" si="20"/>
        <v>0</v>
      </c>
      <c r="X73">
        <f t="shared" si="29"/>
        <v>7316829.8031846136</v>
      </c>
      <c r="Y73">
        <f>IF(X73&gt;0,X73*'Prepay vs Invest'!$B$6/1200,0)</f>
        <v>45730.186269903832</v>
      </c>
      <c r="Z73">
        <f>IF(X73&gt;0,MIN(-PMT('Prepay vs Invest'!$B$6/1200,'Prepay vs Invest'!$B$7*12-A73+1,X73),X73+Y73),0)</f>
        <v>70235.5373501945</v>
      </c>
      <c r="AA73">
        <f>MIN(MAX(0,X73+Y73-Z73),IF(AND(A73&gt;='Prepay vs Invest'!$B$11,A73&lt;='Prepay vs Invest'!$B$12),'Prepay vs Invest'!$B$10,0)+IF(A73='Prepay vs Invest'!$B$9,'Prepay vs Invest'!$B$8,0))</f>
        <v>10000</v>
      </c>
      <c r="AB73">
        <f t="shared" si="21"/>
        <v>7282324.4521043226</v>
      </c>
      <c r="AC73">
        <f t="shared" si="30"/>
        <v>589742.52661692176</v>
      </c>
      <c r="AD73">
        <f>IF(A73&lt;='Prepay vs Invest'!$B$7*12,MAX(0,'Prepay vs Invest'!$E$5+IF(AND(A73&gt;='Prepay vs Invest'!$B$11,A73&lt;='Prepay vs Invest'!$B$12),'Prepay vs Invest'!$B$10,0)+IF(A73='Prepay vs Invest'!$B$9,'Prepay vs Invest'!$B$8,0)-Z73-AA73),0)</f>
        <v>10323.78200498622</v>
      </c>
      <c r="AE73">
        <f>AC73*(1+MAX(0,'Prepay vs Invest'!$B$13-'Prepay vs Invest'!$B$14)/1200)+AD73</f>
        <v>605718.00783532008</v>
      </c>
      <c r="AF73">
        <f t="shared" si="31"/>
        <v>464118.24183275434</v>
      </c>
      <c r="AG73">
        <f>MAX(0,(AE73-AF73-'Prepay vs Invest'!$B$16)*'Prepay vs Invest'!$B$15/100)</f>
        <v>2074.9707503207173</v>
      </c>
      <c r="AH73">
        <f t="shared" si="22"/>
        <v>603643.03708499938</v>
      </c>
    </row>
    <row r="74" spans="1:34" x14ac:dyDescent="0.35">
      <c r="A74">
        <f t="shared" si="23"/>
        <v>73</v>
      </c>
      <c r="B74">
        <f>IF(A74&lt;='Prepay vs Invest'!$B$7*12,F73,0)</f>
        <v>8364208.725983927</v>
      </c>
      <c r="C74">
        <f>IF(B74&gt;0,B74*'Prepay vs Invest'!$B$6/1200,0)</f>
        <v>52276.304537399541</v>
      </c>
      <c r="D74">
        <f>IF(B74&gt;0,MIN(-PMT('Prepay vs Invest'!$B$6/1200,'Prepay vs Invest'!$B$7*12,'Prepay vs Invest'!$B$5),B74+C74),0)</f>
        <v>80559.31935518072</v>
      </c>
      <c r="E74">
        <f t="shared" si="16"/>
        <v>28283.014817781179</v>
      </c>
      <c r="F74">
        <f t="shared" si="17"/>
        <v>8335925.7111661453</v>
      </c>
      <c r="G74">
        <f t="shared" si="24"/>
        <v>1916233.0214134492</v>
      </c>
      <c r="H74">
        <f>IF(A74&lt;='Prepay vs Invest'!$B$7*12,IF(AND(A74&gt;='Prepay vs Invest'!$B$11,A74&lt;='Prepay vs Invest'!$B$12),'Prepay vs Invest'!$B$10,0)+IF(A74='Prepay vs Invest'!$B$9,'Prepay vs Invest'!$B$8,0),0)</f>
        <v>10000</v>
      </c>
      <c r="I74">
        <f>G74*(1+MAX(0,'Prepay vs Invest'!$B$13-'Prepay vs Invest'!$B$14)/1200)+H74</f>
        <v>1944596.9212019946</v>
      </c>
      <c r="J74">
        <f t="shared" si="25"/>
        <v>1230000</v>
      </c>
      <c r="K74">
        <f>MAX(0,(I74-J74-'Prepay vs Invest'!$B$16)*'Prepay vs Invest'!$B$15/100)</f>
        <v>73699.61515024933</v>
      </c>
      <c r="L74">
        <f t="shared" si="18"/>
        <v>1870897.3060517453</v>
      </c>
      <c r="M74">
        <f t="shared" si="26"/>
        <v>6731773.633695391</v>
      </c>
      <c r="N74">
        <f>IF(M74&gt;0,M74*'Prepay vs Invest'!$B$6/1200,0)</f>
        <v>42073.585210596189</v>
      </c>
      <c r="O74">
        <f>IF(M74&gt;0,MIN('Prepay vs Invest'!$E$5,M74+N74),0)</f>
        <v>80559.31935518072</v>
      </c>
      <c r="P74">
        <f>MIN(MAX(0,M74+N74-O74),IF(AND(A74&gt;='Prepay vs Invest'!$B$11,A74&lt;='Prepay vs Invest'!$B$12),'Prepay vs Invest'!$B$10,0)+IF(A74='Prepay vs Invest'!$B$9,'Prepay vs Invest'!$B$8,0))</f>
        <v>10000</v>
      </c>
      <c r="Q74">
        <f t="shared" si="19"/>
        <v>6683287.8995508067</v>
      </c>
      <c r="R74">
        <f t="shared" si="27"/>
        <v>0</v>
      </c>
      <c r="S74">
        <f>IF(A74&lt;='Prepay vs Invest'!$B$7*12,MAX(0,'Prepay vs Invest'!$E$5+IF(AND(A74&gt;='Prepay vs Invest'!$B$11,A74&lt;='Prepay vs Invest'!$B$12),'Prepay vs Invest'!$B$10,0)+IF(A74='Prepay vs Invest'!$B$9,'Prepay vs Invest'!$B$8,0)-O74-P74),0)</f>
        <v>0</v>
      </c>
      <c r="T74">
        <f>R74*(1+MAX(0,'Prepay vs Invest'!$B$13-'Prepay vs Invest'!$B$14)/1200)+S74</f>
        <v>0</v>
      </c>
      <c r="U74">
        <f t="shared" si="28"/>
        <v>0</v>
      </c>
      <c r="V74">
        <f>MAX(0,(T74-U74-'Prepay vs Invest'!$B$16)*'Prepay vs Invest'!$B$15/100)</f>
        <v>0</v>
      </c>
      <c r="W74">
        <f t="shared" si="20"/>
        <v>0</v>
      </c>
      <c r="X74">
        <f t="shared" si="29"/>
        <v>7282324.4521043226</v>
      </c>
      <c r="Y74">
        <f>IF(X74&gt;0,X74*'Prepay vs Invest'!$B$6/1200,0)</f>
        <v>45514.527825652011</v>
      </c>
      <c r="Z74">
        <f>IF(X74&gt;0,MIN(-PMT('Prepay vs Invest'!$B$6/1200,'Prepay vs Invest'!$B$7*12-A74+1,X74),X74+Y74),0)</f>
        <v>70139.223016114192</v>
      </c>
      <c r="AA74">
        <f>MIN(MAX(0,X74+Y74-Z74),IF(AND(A74&gt;='Prepay vs Invest'!$B$11,A74&lt;='Prepay vs Invest'!$B$12),'Prepay vs Invest'!$B$10,0)+IF(A74='Prepay vs Invest'!$B$9,'Prepay vs Invest'!$B$8,0))</f>
        <v>10000</v>
      </c>
      <c r="AB74">
        <f t="shared" si="21"/>
        <v>7247699.7569138603</v>
      </c>
      <c r="AC74">
        <f t="shared" si="30"/>
        <v>605718.00783532008</v>
      </c>
      <c r="AD74">
        <f>IF(A74&lt;='Prepay vs Invest'!$B$7*12,MAX(0,'Prepay vs Invest'!$E$5+IF(AND(A74&gt;='Prepay vs Invest'!$B$11,A74&lt;='Prepay vs Invest'!$B$12),'Prepay vs Invest'!$B$10,0)+IF(A74='Prepay vs Invest'!$B$9,'Prepay vs Invest'!$B$8,0)-Z74-AA74),0)</f>
        <v>10420.096339066527</v>
      </c>
      <c r="AE74">
        <f>AC74*(1+MAX(0,'Prepay vs Invest'!$B$13-'Prepay vs Invest'!$B$14)/1200)+AD74</f>
        <v>621942.90174947504</v>
      </c>
      <c r="AF74">
        <f t="shared" si="31"/>
        <v>474538.33817182085</v>
      </c>
      <c r="AG74">
        <f>MAX(0,(AE74-AF74-'Prepay vs Invest'!$B$16)*'Prepay vs Invest'!$B$15/100)</f>
        <v>2800.5704472067737</v>
      </c>
      <c r="AH74">
        <f t="shared" si="22"/>
        <v>619142.33130226831</v>
      </c>
    </row>
    <row r="75" spans="1:34" x14ac:dyDescent="0.35">
      <c r="A75">
        <f t="shared" si="23"/>
        <v>74</v>
      </c>
      <c r="B75">
        <f>IF(A75&lt;='Prepay vs Invest'!$B$7*12,F74,0)</f>
        <v>8335925.7111661453</v>
      </c>
      <c r="C75">
        <f>IF(B75&gt;0,B75*'Prepay vs Invest'!$B$6/1200,0)</f>
        <v>52099.535694788407</v>
      </c>
      <c r="D75">
        <f>IF(B75&gt;0,MIN(-PMT('Prepay vs Invest'!$B$6/1200,'Prepay vs Invest'!$B$7*12,'Prepay vs Invest'!$B$5),B75+C75),0)</f>
        <v>80559.31935518072</v>
      </c>
      <c r="E75">
        <f t="shared" si="16"/>
        <v>28459.783660392313</v>
      </c>
      <c r="F75">
        <f t="shared" si="17"/>
        <v>8307465.927505753</v>
      </c>
      <c r="G75">
        <f t="shared" si="24"/>
        <v>1944596.9212019946</v>
      </c>
      <c r="H75">
        <f>IF(A75&lt;='Prepay vs Invest'!$B$7*12,IF(AND(A75&gt;='Prepay vs Invest'!$B$11,A75&lt;='Prepay vs Invest'!$B$12),'Prepay vs Invest'!$B$10,0)+IF(A75='Prepay vs Invest'!$B$9,'Prepay vs Invest'!$B$8,0),0)</f>
        <v>10000</v>
      </c>
      <c r="I75">
        <f>G75*(1+MAX(0,'Prepay vs Invest'!$B$13-'Prepay vs Invest'!$B$14)/1200)+H75</f>
        <v>1973232.641696847</v>
      </c>
      <c r="J75">
        <f t="shared" si="25"/>
        <v>1240000</v>
      </c>
      <c r="K75">
        <f>MAX(0,(I75-J75-'Prepay vs Invest'!$B$16)*'Prepay vs Invest'!$B$15/100)</f>
        <v>76029.08021210588</v>
      </c>
      <c r="L75">
        <f t="shared" si="18"/>
        <v>1897203.561484741</v>
      </c>
      <c r="M75">
        <f t="shared" si="26"/>
        <v>6683287.8995508067</v>
      </c>
      <c r="N75">
        <f>IF(M75&gt;0,M75*'Prepay vs Invest'!$B$6/1200,0)</f>
        <v>41770.549372192538</v>
      </c>
      <c r="O75">
        <f>IF(M75&gt;0,MIN('Prepay vs Invest'!$E$5,M75+N75),0)</f>
        <v>80559.31935518072</v>
      </c>
      <c r="P75">
        <f>MIN(MAX(0,M75+N75-O75),IF(AND(A75&gt;='Prepay vs Invest'!$B$11,A75&lt;='Prepay vs Invest'!$B$12),'Prepay vs Invest'!$B$10,0)+IF(A75='Prepay vs Invest'!$B$9,'Prepay vs Invest'!$B$8,0))</f>
        <v>10000</v>
      </c>
      <c r="Q75">
        <f t="shared" si="19"/>
        <v>6634499.1295678187</v>
      </c>
      <c r="R75">
        <f t="shared" si="27"/>
        <v>0</v>
      </c>
      <c r="S75">
        <f>IF(A75&lt;='Prepay vs Invest'!$B$7*12,MAX(0,'Prepay vs Invest'!$E$5+IF(AND(A75&gt;='Prepay vs Invest'!$B$11,A75&lt;='Prepay vs Invest'!$B$12),'Prepay vs Invest'!$B$10,0)+IF(A75='Prepay vs Invest'!$B$9,'Prepay vs Invest'!$B$8,0)-O75-P75),0)</f>
        <v>0</v>
      </c>
      <c r="T75">
        <f>R75*(1+MAX(0,'Prepay vs Invest'!$B$13-'Prepay vs Invest'!$B$14)/1200)+S75</f>
        <v>0</v>
      </c>
      <c r="U75">
        <f t="shared" si="28"/>
        <v>0</v>
      </c>
      <c r="V75">
        <f>MAX(0,(T75-U75-'Prepay vs Invest'!$B$16)*'Prepay vs Invest'!$B$15/100)</f>
        <v>0</v>
      </c>
      <c r="W75">
        <f t="shared" si="20"/>
        <v>0</v>
      </c>
      <c r="X75">
        <f t="shared" si="29"/>
        <v>7247699.7569138603</v>
      </c>
      <c r="Y75">
        <f>IF(X75&gt;0,X75*'Prepay vs Invest'!$B$6/1200,0)</f>
        <v>45298.123480711627</v>
      </c>
      <c r="Z75">
        <f>IF(X75&gt;0,MIN(-PMT('Prepay vs Invest'!$B$6/1200,'Prepay vs Invest'!$B$7*12-A75+1,X75),X75+Y75),0)</f>
        <v>70042.581896523523</v>
      </c>
      <c r="AA75">
        <f>MIN(MAX(0,X75+Y75-Z75),IF(AND(A75&gt;='Prepay vs Invest'!$B$11,A75&lt;='Prepay vs Invest'!$B$12),'Prepay vs Invest'!$B$10,0)+IF(A75='Prepay vs Invest'!$B$9,'Prepay vs Invest'!$B$8,0))</f>
        <v>10000</v>
      </c>
      <c r="AB75">
        <f t="shared" si="21"/>
        <v>7212955.2984980484</v>
      </c>
      <c r="AC75">
        <f t="shared" si="30"/>
        <v>621942.90174947504</v>
      </c>
      <c r="AD75">
        <f>IF(A75&lt;='Prepay vs Invest'!$B$7*12,MAX(0,'Prepay vs Invest'!$E$5+IF(AND(A75&gt;='Prepay vs Invest'!$B$11,A75&lt;='Prepay vs Invest'!$B$12),'Prepay vs Invest'!$B$10,0)+IF(A75='Prepay vs Invest'!$B$9,'Prepay vs Invest'!$B$8,0)-Z75-AA75),0)</f>
        <v>10516.737458657197</v>
      </c>
      <c r="AE75">
        <f>AC75*(1+MAX(0,'Prepay vs Invest'!$B$13-'Prepay vs Invest'!$B$14)/1200)+AD75</f>
        <v>638419.92534989805</v>
      </c>
      <c r="AF75">
        <f t="shared" si="31"/>
        <v>485055.07563047804</v>
      </c>
      <c r="AG75">
        <f>MAX(0,(AE75-AF75-'Prepay vs Invest'!$B$16)*'Prepay vs Invest'!$B$15/100)</f>
        <v>3545.6062149275026</v>
      </c>
      <c r="AH75">
        <f t="shared" si="22"/>
        <v>634874.31913497054</v>
      </c>
    </row>
    <row r="76" spans="1:34" x14ac:dyDescent="0.35">
      <c r="A76">
        <f t="shared" si="23"/>
        <v>75</v>
      </c>
      <c r="B76">
        <f>IF(A76&lt;='Prepay vs Invest'!$B$7*12,F75,0)</f>
        <v>8307465.927505753</v>
      </c>
      <c r="C76">
        <f>IF(B76&gt;0,B76*'Prepay vs Invest'!$B$6/1200,0)</f>
        <v>51921.662046910962</v>
      </c>
      <c r="D76">
        <f>IF(B76&gt;0,MIN(-PMT('Prepay vs Invest'!$B$6/1200,'Prepay vs Invest'!$B$7*12,'Prepay vs Invest'!$B$5),B76+C76),0)</f>
        <v>80559.31935518072</v>
      </c>
      <c r="E76">
        <f t="shared" si="16"/>
        <v>28637.657308269758</v>
      </c>
      <c r="F76">
        <f t="shared" si="17"/>
        <v>8278828.2701974837</v>
      </c>
      <c r="G76">
        <f t="shared" si="24"/>
        <v>1973232.641696847</v>
      </c>
      <c r="H76">
        <f>IF(A76&lt;='Prepay vs Invest'!$B$7*12,IF(AND(A76&gt;='Prepay vs Invest'!$B$11,A76&lt;='Prepay vs Invest'!$B$12),'Prepay vs Invest'!$B$10,0)+IF(A76='Prepay vs Invest'!$B$9,'Prepay vs Invest'!$B$8,0),0)</f>
        <v>10000</v>
      </c>
      <c r="I76">
        <f>G76*(1+MAX(0,'Prepay vs Invest'!$B$13-'Prepay vs Invest'!$B$14)/1200)+H76</f>
        <v>2002142.7878464416</v>
      </c>
      <c r="J76">
        <f t="shared" si="25"/>
        <v>1250000</v>
      </c>
      <c r="K76">
        <f>MAX(0,(I76-J76-'Prepay vs Invest'!$B$16)*'Prepay vs Invest'!$B$15/100)</f>
        <v>78392.848480805202</v>
      </c>
      <c r="L76">
        <f t="shared" si="18"/>
        <v>1923749.9393656363</v>
      </c>
      <c r="M76">
        <f t="shared" si="26"/>
        <v>6634499.1295678187</v>
      </c>
      <c r="N76">
        <f>IF(M76&gt;0,M76*'Prepay vs Invest'!$B$6/1200,0)</f>
        <v>41465.61955979887</v>
      </c>
      <c r="O76">
        <f>IF(M76&gt;0,MIN('Prepay vs Invest'!$E$5,M76+N76),0)</f>
        <v>80559.31935518072</v>
      </c>
      <c r="P76">
        <f>MIN(MAX(0,M76+N76-O76),IF(AND(A76&gt;='Prepay vs Invest'!$B$11,A76&lt;='Prepay vs Invest'!$B$12),'Prepay vs Invest'!$B$10,0)+IF(A76='Prepay vs Invest'!$B$9,'Prepay vs Invest'!$B$8,0))</f>
        <v>10000</v>
      </c>
      <c r="Q76">
        <f t="shared" si="19"/>
        <v>6585405.4297724376</v>
      </c>
      <c r="R76">
        <f t="shared" si="27"/>
        <v>0</v>
      </c>
      <c r="S76">
        <f>IF(A76&lt;='Prepay vs Invest'!$B$7*12,MAX(0,'Prepay vs Invest'!$E$5+IF(AND(A76&gt;='Prepay vs Invest'!$B$11,A76&lt;='Prepay vs Invest'!$B$12),'Prepay vs Invest'!$B$10,0)+IF(A76='Prepay vs Invest'!$B$9,'Prepay vs Invest'!$B$8,0)-O76-P76),0)</f>
        <v>0</v>
      </c>
      <c r="T76">
        <f>R76*(1+MAX(0,'Prepay vs Invest'!$B$13-'Prepay vs Invest'!$B$14)/1200)+S76</f>
        <v>0</v>
      </c>
      <c r="U76">
        <f t="shared" si="28"/>
        <v>0</v>
      </c>
      <c r="V76">
        <f>MAX(0,(T76-U76-'Prepay vs Invest'!$B$16)*'Prepay vs Invest'!$B$15/100)</f>
        <v>0</v>
      </c>
      <c r="W76">
        <f t="shared" si="20"/>
        <v>0</v>
      </c>
      <c r="X76">
        <f t="shared" si="29"/>
        <v>7212955.2984980484</v>
      </c>
      <c r="Y76">
        <f>IF(X76&gt;0,X76*'Prepay vs Invest'!$B$6/1200,0)</f>
        <v>45080.970615612801</v>
      </c>
      <c r="Z76">
        <f>IF(X76&gt;0,MIN(-PMT('Prepay vs Invest'!$B$6/1200,'Prepay vs Invest'!$B$7*12-A76+1,X76),X76+Y76),0)</f>
        <v>69945.609703007256</v>
      </c>
      <c r="AA76">
        <f>MIN(MAX(0,X76+Y76-Z76),IF(AND(A76&gt;='Prepay vs Invest'!$B$11,A76&lt;='Prepay vs Invest'!$B$12),'Prepay vs Invest'!$B$10,0)+IF(A76='Prepay vs Invest'!$B$9,'Prepay vs Invest'!$B$8,0))</f>
        <v>10000</v>
      </c>
      <c r="AB76">
        <f t="shared" si="21"/>
        <v>7178090.6594106536</v>
      </c>
      <c r="AC76">
        <f t="shared" si="30"/>
        <v>638419.92534989805</v>
      </c>
      <c r="AD76">
        <f>IF(A76&lt;='Prepay vs Invest'!$B$7*12,MAX(0,'Prepay vs Invest'!$E$5+IF(AND(A76&gt;='Prepay vs Invest'!$B$11,A76&lt;='Prepay vs Invest'!$B$12),'Prepay vs Invest'!$B$10,0)+IF(A76='Prepay vs Invest'!$B$9,'Prepay vs Invest'!$B$8,0)-Z76-AA76),0)</f>
        <v>10613.709652173464</v>
      </c>
      <c r="AE76">
        <f>AC76*(1+MAX(0,'Prepay vs Invest'!$B$13-'Prepay vs Invest'!$B$14)/1200)+AD76</f>
        <v>655151.82595334132</v>
      </c>
      <c r="AF76">
        <f t="shared" si="31"/>
        <v>495668.78528265149</v>
      </c>
      <c r="AG76">
        <f>MAX(0,(AE76-AF76-'Prepay vs Invest'!$B$16)*'Prepay vs Invest'!$B$15/100)</f>
        <v>4310.3800838362295</v>
      </c>
      <c r="AH76">
        <f t="shared" si="22"/>
        <v>650841.44586950506</v>
      </c>
    </row>
    <row r="77" spans="1:34" x14ac:dyDescent="0.35">
      <c r="A77">
        <f t="shared" si="23"/>
        <v>76</v>
      </c>
      <c r="B77">
        <f>IF(A77&lt;='Prepay vs Invest'!$B$7*12,F76,0)</f>
        <v>8278828.2701974837</v>
      </c>
      <c r="C77">
        <f>IF(B77&gt;0,B77*'Prepay vs Invest'!$B$6/1200,0)</f>
        <v>51742.676688734275</v>
      </c>
      <c r="D77">
        <f>IF(B77&gt;0,MIN(-PMT('Prepay vs Invest'!$B$6/1200,'Prepay vs Invest'!$B$7*12,'Prepay vs Invest'!$B$5),B77+C77),0)</f>
        <v>80559.31935518072</v>
      </c>
      <c r="E77">
        <f t="shared" si="16"/>
        <v>28816.642666446445</v>
      </c>
      <c r="F77">
        <f t="shared" si="17"/>
        <v>8250011.6275310377</v>
      </c>
      <c r="G77">
        <f t="shared" si="24"/>
        <v>2002142.7878464416</v>
      </c>
      <c r="H77">
        <f>IF(A77&lt;='Prepay vs Invest'!$B$7*12,IF(AND(A77&gt;='Prepay vs Invest'!$B$11,A77&lt;='Prepay vs Invest'!$B$12),'Prepay vs Invest'!$B$10,0)+IF(A77='Prepay vs Invest'!$B$9,'Prepay vs Invest'!$B$8,0),0)</f>
        <v>10000</v>
      </c>
      <c r="I77">
        <f>G77*(1+MAX(0,'Prepay vs Invest'!$B$13-'Prepay vs Invest'!$B$14)/1200)+H77</f>
        <v>2031329.9895633033</v>
      </c>
      <c r="J77">
        <f t="shared" si="25"/>
        <v>1260000</v>
      </c>
      <c r="K77">
        <f>MAX(0,(I77-J77-'Prepay vs Invest'!$B$16)*'Prepay vs Invest'!$B$15/100)</f>
        <v>80791.248695412913</v>
      </c>
      <c r="L77">
        <f t="shared" si="18"/>
        <v>1950538.7408678904</v>
      </c>
      <c r="M77">
        <f t="shared" si="26"/>
        <v>6585405.4297724376</v>
      </c>
      <c r="N77">
        <f>IF(M77&gt;0,M77*'Prepay vs Invest'!$B$6/1200,0)</f>
        <v>41158.783936077736</v>
      </c>
      <c r="O77">
        <f>IF(M77&gt;0,MIN('Prepay vs Invest'!$E$5,M77+N77),0)</f>
        <v>80559.31935518072</v>
      </c>
      <c r="P77">
        <f>MIN(MAX(0,M77+N77-O77),IF(AND(A77&gt;='Prepay vs Invest'!$B$11,A77&lt;='Prepay vs Invest'!$B$12),'Prepay vs Invest'!$B$10,0)+IF(A77='Prepay vs Invest'!$B$9,'Prepay vs Invest'!$B$8,0))</f>
        <v>10000</v>
      </c>
      <c r="Q77">
        <f t="shared" si="19"/>
        <v>6536004.8943533348</v>
      </c>
      <c r="R77">
        <f t="shared" si="27"/>
        <v>0</v>
      </c>
      <c r="S77">
        <f>IF(A77&lt;='Prepay vs Invest'!$B$7*12,MAX(0,'Prepay vs Invest'!$E$5+IF(AND(A77&gt;='Prepay vs Invest'!$B$11,A77&lt;='Prepay vs Invest'!$B$12),'Prepay vs Invest'!$B$10,0)+IF(A77='Prepay vs Invest'!$B$9,'Prepay vs Invest'!$B$8,0)-O77-P77),0)</f>
        <v>0</v>
      </c>
      <c r="T77">
        <f>R77*(1+MAX(0,'Prepay vs Invest'!$B$13-'Prepay vs Invest'!$B$14)/1200)+S77</f>
        <v>0</v>
      </c>
      <c r="U77">
        <f t="shared" si="28"/>
        <v>0</v>
      </c>
      <c r="V77">
        <f>MAX(0,(T77-U77-'Prepay vs Invest'!$B$16)*'Prepay vs Invest'!$B$15/100)</f>
        <v>0</v>
      </c>
      <c r="W77">
        <f t="shared" si="20"/>
        <v>0</v>
      </c>
      <c r="X77">
        <f t="shared" si="29"/>
        <v>7178090.6594106536</v>
      </c>
      <c r="Y77">
        <f>IF(X77&gt;0,X77*'Prepay vs Invest'!$B$6/1200,0)</f>
        <v>44863.066621316582</v>
      </c>
      <c r="Z77">
        <f>IF(X77&gt;0,MIN(-PMT('Prepay vs Invest'!$B$6/1200,'Prepay vs Invest'!$B$7*12-A77+1,X77),X77+Y77),0)</f>
        <v>69848.302068731049</v>
      </c>
      <c r="AA77">
        <f>MIN(MAX(0,X77+Y77-Z77),IF(AND(A77&gt;='Prepay vs Invest'!$B$11,A77&lt;='Prepay vs Invest'!$B$12),'Prepay vs Invest'!$B$10,0)+IF(A77='Prepay vs Invest'!$B$9,'Prepay vs Invest'!$B$8,0))</f>
        <v>10000</v>
      </c>
      <c r="AB77">
        <f t="shared" si="21"/>
        <v>7143105.4239632394</v>
      </c>
      <c r="AC77">
        <f t="shared" si="30"/>
        <v>655151.82595334132</v>
      </c>
      <c r="AD77">
        <f>IF(A77&lt;='Prepay vs Invest'!$B$7*12,MAX(0,'Prepay vs Invest'!$E$5+IF(AND(A77&gt;='Prepay vs Invest'!$B$11,A77&lt;='Prepay vs Invest'!$B$12),'Prepay vs Invest'!$B$10,0)+IF(A77='Prepay vs Invest'!$B$9,'Prepay vs Invest'!$B$8,0)-Z77-AA77),0)</f>
        <v>10711.017286449671</v>
      </c>
      <c r="AE77">
        <f>AC77*(1+MAX(0,'Prepay vs Invest'!$B$13-'Prepay vs Invest'!$B$14)/1200)+AD77</f>
        <v>672141.38157184375</v>
      </c>
      <c r="AF77">
        <f t="shared" si="31"/>
        <v>506379.80256910116</v>
      </c>
      <c r="AG77">
        <f>MAX(0,(AE77-AF77-'Prepay vs Invest'!$B$16)*'Prepay vs Invest'!$B$15/100)</f>
        <v>5095.1973753428247</v>
      </c>
      <c r="AH77">
        <f t="shared" si="22"/>
        <v>667046.18419650092</v>
      </c>
    </row>
    <row r="78" spans="1:34" x14ac:dyDescent="0.35">
      <c r="A78">
        <f t="shared" si="23"/>
        <v>77</v>
      </c>
      <c r="B78">
        <f>IF(A78&lt;='Prepay vs Invest'!$B$7*12,F77,0)</f>
        <v>8250011.6275310377</v>
      </c>
      <c r="C78">
        <f>IF(B78&gt;0,B78*'Prepay vs Invest'!$B$6/1200,0)</f>
        <v>51562.572672068985</v>
      </c>
      <c r="D78">
        <f>IF(B78&gt;0,MIN(-PMT('Prepay vs Invest'!$B$6/1200,'Prepay vs Invest'!$B$7*12,'Prepay vs Invest'!$B$5),B78+C78),0)</f>
        <v>80559.31935518072</v>
      </c>
      <c r="E78">
        <f t="shared" si="16"/>
        <v>28996.746683111734</v>
      </c>
      <c r="F78">
        <f t="shared" si="17"/>
        <v>8221014.8808479263</v>
      </c>
      <c r="G78">
        <f t="shared" si="24"/>
        <v>2031329.9895633033</v>
      </c>
      <c r="H78">
        <f>IF(A78&lt;='Prepay vs Invest'!$B$7*12,IF(AND(A78&gt;='Prepay vs Invest'!$B$11,A78&lt;='Prepay vs Invest'!$B$12),'Prepay vs Invest'!$B$10,0)+IF(A78='Prepay vs Invest'!$B$9,'Prepay vs Invest'!$B$8,0),0)</f>
        <v>10000</v>
      </c>
      <c r="I78">
        <f>G78*(1+MAX(0,'Prepay vs Invest'!$B$13-'Prepay vs Invest'!$B$14)/1200)+H78</f>
        <v>2060796.9019632849</v>
      </c>
      <c r="J78">
        <f t="shared" si="25"/>
        <v>1270000</v>
      </c>
      <c r="K78">
        <f>MAX(0,(I78-J78-'Prepay vs Invest'!$B$16)*'Prepay vs Invest'!$B$15/100)</f>
        <v>83224.612745410617</v>
      </c>
      <c r="L78">
        <f t="shared" si="18"/>
        <v>1977572.2892178744</v>
      </c>
      <c r="M78">
        <f t="shared" si="26"/>
        <v>6536004.8943533348</v>
      </c>
      <c r="N78">
        <f>IF(M78&gt;0,M78*'Prepay vs Invest'!$B$6/1200,0)</f>
        <v>40850.030589708345</v>
      </c>
      <c r="O78">
        <f>IF(M78&gt;0,MIN('Prepay vs Invest'!$E$5,M78+N78),0)</f>
        <v>80559.31935518072</v>
      </c>
      <c r="P78">
        <f>MIN(MAX(0,M78+N78-O78),IF(AND(A78&gt;='Prepay vs Invest'!$B$11,A78&lt;='Prepay vs Invest'!$B$12),'Prepay vs Invest'!$B$10,0)+IF(A78='Prepay vs Invest'!$B$9,'Prepay vs Invest'!$B$8,0))</f>
        <v>10000</v>
      </c>
      <c r="Q78">
        <f t="shared" si="19"/>
        <v>6486295.6055878624</v>
      </c>
      <c r="R78">
        <f t="shared" si="27"/>
        <v>0</v>
      </c>
      <c r="S78">
        <f>IF(A78&lt;='Prepay vs Invest'!$B$7*12,MAX(0,'Prepay vs Invest'!$E$5+IF(AND(A78&gt;='Prepay vs Invest'!$B$11,A78&lt;='Prepay vs Invest'!$B$12),'Prepay vs Invest'!$B$10,0)+IF(A78='Prepay vs Invest'!$B$9,'Prepay vs Invest'!$B$8,0)-O78-P78),0)</f>
        <v>0</v>
      </c>
      <c r="T78">
        <f>R78*(1+MAX(0,'Prepay vs Invest'!$B$13-'Prepay vs Invest'!$B$14)/1200)+S78</f>
        <v>0</v>
      </c>
      <c r="U78">
        <f t="shared" si="28"/>
        <v>0</v>
      </c>
      <c r="V78">
        <f>MAX(0,(T78-U78-'Prepay vs Invest'!$B$16)*'Prepay vs Invest'!$B$15/100)</f>
        <v>0</v>
      </c>
      <c r="W78">
        <f t="shared" si="20"/>
        <v>0</v>
      </c>
      <c r="X78">
        <f t="shared" si="29"/>
        <v>7143105.4239632394</v>
      </c>
      <c r="Y78">
        <f>IF(X78&gt;0,X78*'Prepay vs Invest'!$B$6/1200,0)</f>
        <v>44644.408899770249</v>
      </c>
      <c r="Z78">
        <f>IF(X78&gt;0,MIN(-PMT('Prepay vs Invest'!$B$6/1200,'Prepay vs Invest'!$B$7*12-A78+1,X78),X78+Y78),0)</f>
        <v>69750.654546530786</v>
      </c>
      <c r="AA78">
        <f>MIN(MAX(0,X78+Y78-Z78),IF(AND(A78&gt;='Prepay vs Invest'!$B$11,A78&lt;='Prepay vs Invest'!$B$12),'Prepay vs Invest'!$B$10,0)+IF(A78='Prepay vs Invest'!$B$9,'Prepay vs Invest'!$B$8,0))</f>
        <v>10000</v>
      </c>
      <c r="AB78">
        <f t="shared" si="21"/>
        <v>7107999.1783164786</v>
      </c>
      <c r="AC78">
        <f t="shared" si="30"/>
        <v>672141.38157184375</v>
      </c>
      <c r="AD78">
        <f>IF(A78&lt;='Prepay vs Invest'!$B$7*12,MAX(0,'Prepay vs Invest'!$E$5+IF(AND(A78&gt;='Prepay vs Invest'!$B$11,A78&lt;='Prepay vs Invest'!$B$12),'Prepay vs Invest'!$B$10,0)+IF(A78='Prepay vs Invest'!$B$9,'Prepay vs Invest'!$B$8,0)-Z78-AA78),0)</f>
        <v>10808.664808649934</v>
      </c>
      <c r="AE78">
        <f>AC78*(1+MAX(0,'Prepay vs Invest'!$B$13-'Prepay vs Invest'!$B$14)/1200)+AD78</f>
        <v>689391.40128722379</v>
      </c>
      <c r="AF78">
        <f t="shared" si="31"/>
        <v>517188.46737775108</v>
      </c>
      <c r="AG78">
        <f>MAX(0,(AE78-AF78-'Prepay vs Invest'!$B$16)*'Prepay vs Invest'!$B$15/100)</f>
        <v>5900.3667386840898</v>
      </c>
      <c r="AH78">
        <f t="shared" si="22"/>
        <v>683491.03454853967</v>
      </c>
    </row>
    <row r="79" spans="1:34" x14ac:dyDescent="0.35">
      <c r="A79">
        <f t="shared" si="23"/>
        <v>78</v>
      </c>
      <c r="B79">
        <f>IF(A79&lt;='Prepay vs Invest'!$B$7*12,F78,0)</f>
        <v>8221014.8808479263</v>
      </c>
      <c r="C79">
        <f>IF(B79&gt;0,B79*'Prepay vs Invest'!$B$6/1200,0)</f>
        <v>51381.343005299539</v>
      </c>
      <c r="D79">
        <f>IF(B79&gt;0,MIN(-PMT('Prepay vs Invest'!$B$6/1200,'Prepay vs Invest'!$B$7*12,'Prepay vs Invest'!$B$5),B79+C79),0)</f>
        <v>80559.31935518072</v>
      </c>
      <c r="E79">
        <f t="shared" si="16"/>
        <v>29177.976349881181</v>
      </c>
      <c r="F79">
        <f t="shared" si="17"/>
        <v>8191836.9044980453</v>
      </c>
      <c r="G79">
        <f t="shared" si="24"/>
        <v>2060796.9019632849</v>
      </c>
      <c r="H79">
        <f>IF(A79&lt;='Prepay vs Invest'!$B$7*12,IF(AND(A79&gt;='Prepay vs Invest'!$B$11,A79&lt;='Prepay vs Invest'!$B$12),'Prepay vs Invest'!$B$10,0)+IF(A79='Prepay vs Invest'!$B$9,'Prepay vs Invest'!$B$8,0),0)</f>
        <v>10000</v>
      </c>
      <c r="I79">
        <f>G79*(1+MAX(0,'Prepay vs Invest'!$B$13-'Prepay vs Invest'!$B$14)/1200)+H79</f>
        <v>2090546.2056070997</v>
      </c>
      <c r="J79">
        <f t="shared" si="25"/>
        <v>1280000</v>
      </c>
      <c r="K79">
        <f>MAX(0,(I79-J79-'Prepay vs Invest'!$B$16)*'Prepay vs Invest'!$B$15/100)</f>
        <v>85693.275700887461</v>
      </c>
      <c r="L79">
        <f t="shared" si="18"/>
        <v>2004852.9299062123</v>
      </c>
      <c r="M79">
        <f t="shared" si="26"/>
        <v>6486295.6055878624</v>
      </c>
      <c r="N79">
        <f>IF(M79&gt;0,M79*'Prepay vs Invest'!$B$6/1200,0)</f>
        <v>40539.347534924134</v>
      </c>
      <c r="O79">
        <f>IF(M79&gt;0,MIN('Prepay vs Invest'!$E$5,M79+N79),0)</f>
        <v>80559.31935518072</v>
      </c>
      <c r="P79">
        <f>MIN(MAX(0,M79+N79-O79),IF(AND(A79&gt;='Prepay vs Invest'!$B$11,A79&lt;='Prepay vs Invest'!$B$12),'Prepay vs Invest'!$B$10,0)+IF(A79='Prepay vs Invest'!$B$9,'Prepay vs Invest'!$B$8,0))</f>
        <v>10000</v>
      </c>
      <c r="Q79">
        <f t="shared" si="19"/>
        <v>6436275.6337676058</v>
      </c>
      <c r="R79">
        <f t="shared" si="27"/>
        <v>0</v>
      </c>
      <c r="S79">
        <f>IF(A79&lt;='Prepay vs Invest'!$B$7*12,MAX(0,'Prepay vs Invest'!$E$5+IF(AND(A79&gt;='Prepay vs Invest'!$B$11,A79&lt;='Prepay vs Invest'!$B$12),'Prepay vs Invest'!$B$10,0)+IF(A79='Prepay vs Invest'!$B$9,'Prepay vs Invest'!$B$8,0)-O79-P79),0)</f>
        <v>0</v>
      </c>
      <c r="T79">
        <f>R79*(1+MAX(0,'Prepay vs Invest'!$B$13-'Prepay vs Invest'!$B$14)/1200)+S79</f>
        <v>0</v>
      </c>
      <c r="U79">
        <f t="shared" si="28"/>
        <v>0</v>
      </c>
      <c r="V79">
        <f>MAX(0,(T79-U79-'Prepay vs Invest'!$B$16)*'Prepay vs Invest'!$B$15/100)</f>
        <v>0</v>
      </c>
      <c r="W79">
        <f t="shared" si="20"/>
        <v>0</v>
      </c>
      <c r="X79">
        <f t="shared" si="29"/>
        <v>7107999.1783164786</v>
      </c>
      <c r="Y79">
        <f>IF(X79&gt;0,X79*'Prepay vs Invest'!$B$6/1200,0)</f>
        <v>44424.994864477994</v>
      </c>
      <c r="Z79">
        <f>IF(X79&gt;0,MIN(-PMT('Prepay vs Invest'!$B$6/1200,'Prepay vs Invest'!$B$7*12-A79+1,X79),X79+Y79),0)</f>
        <v>69652.662606943297</v>
      </c>
      <c r="AA79">
        <f>MIN(MAX(0,X79+Y79-Z79),IF(AND(A79&gt;='Prepay vs Invest'!$B$11,A79&lt;='Prepay vs Invest'!$B$12),'Prepay vs Invest'!$B$10,0)+IF(A79='Prepay vs Invest'!$B$9,'Prepay vs Invest'!$B$8,0))</f>
        <v>10000</v>
      </c>
      <c r="AB79">
        <f t="shared" si="21"/>
        <v>7072771.510574013</v>
      </c>
      <c r="AC79">
        <f t="shared" si="30"/>
        <v>689391.40128722379</v>
      </c>
      <c r="AD79">
        <f>IF(A79&lt;='Prepay vs Invest'!$B$7*12,MAX(0,'Prepay vs Invest'!$E$5+IF(AND(A79&gt;='Prepay vs Invest'!$B$11,A79&lt;='Prepay vs Invest'!$B$12),'Prepay vs Invest'!$B$10,0)+IF(A79='Prepay vs Invest'!$B$9,'Prepay vs Invest'!$B$8,0)-Z79-AA79),0)</f>
        <v>10906.656748237423</v>
      </c>
      <c r="AE79">
        <f>AC79*(1+MAX(0,'Prepay vs Invest'!$B$13-'Prepay vs Invest'!$B$14)/1200)+AD79</f>
        <v>706904.72563113039</v>
      </c>
      <c r="AF79">
        <f t="shared" si="31"/>
        <v>528095.12412598846</v>
      </c>
      <c r="AG79">
        <f>MAX(0,(AE79-AF79-'Prepay vs Invest'!$B$16)*'Prepay vs Invest'!$B$15/100)</f>
        <v>6726.2001881427423</v>
      </c>
      <c r="AH79">
        <f t="shared" si="22"/>
        <v>700178.52544298768</v>
      </c>
    </row>
    <row r="80" spans="1:34" x14ac:dyDescent="0.35">
      <c r="A80">
        <f t="shared" si="23"/>
        <v>79</v>
      </c>
      <c r="B80">
        <f>IF(A80&lt;='Prepay vs Invest'!$B$7*12,F79,0)</f>
        <v>8191836.9044980453</v>
      </c>
      <c r="C80">
        <f>IF(B80&gt;0,B80*'Prepay vs Invest'!$B$6/1200,0)</f>
        <v>51198.980653112783</v>
      </c>
      <c r="D80">
        <f>IF(B80&gt;0,MIN(-PMT('Prepay vs Invest'!$B$6/1200,'Prepay vs Invest'!$B$7*12,'Prepay vs Invest'!$B$5),B80+C80),0)</f>
        <v>80559.31935518072</v>
      </c>
      <c r="E80">
        <f t="shared" si="16"/>
        <v>29360.338702067937</v>
      </c>
      <c r="F80">
        <f t="shared" si="17"/>
        <v>8162476.5657959776</v>
      </c>
      <c r="G80">
        <f t="shared" si="24"/>
        <v>2090546.2056070997</v>
      </c>
      <c r="H80">
        <f>IF(A80&lt;='Prepay vs Invest'!$B$7*12,IF(AND(A80&gt;='Prepay vs Invest'!$B$11,A80&lt;='Prepay vs Invest'!$B$12),'Prepay vs Invest'!$B$10,0)+IF(A80='Prepay vs Invest'!$B$9,'Prepay vs Invest'!$B$8,0),0)</f>
        <v>10000</v>
      </c>
      <c r="I80">
        <f>G80*(1+MAX(0,'Prepay vs Invest'!$B$13-'Prepay vs Invest'!$B$14)/1200)+H80</f>
        <v>2120580.6067441674</v>
      </c>
      <c r="J80">
        <f t="shared" si="25"/>
        <v>1290000</v>
      </c>
      <c r="K80">
        <f>MAX(0,(I80-J80-'Prepay vs Invest'!$B$16)*'Prepay vs Invest'!$B$15/100)</f>
        <v>88197.575843020924</v>
      </c>
      <c r="L80">
        <f t="shared" si="18"/>
        <v>2032383.0309011466</v>
      </c>
      <c r="M80">
        <f t="shared" si="26"/>
        <v>6436275.6337676058</v>
      </c>
      <c r="N80">
        <f>IF(M80&gt;0,M80*'Prepay vs Invest'!$B$6/1200,0)</f>
        <v>40226.722711047536</v>
      </c>
      <c r="O80">
        <f>IF(M80&gt;0,MIN('Prepay vs Invest'!$E$5,M80+N80),0)</f>
        <v>80559.31935518072</v>
      </c>
      <c r="P80">
        <f>MIN(MAX(0,M80+N80-O80),IF(AND(A80&gt;='Prepay vs Invest'!$B$11,A80&lt;='Prepay vs Invest'!$B$12),'Prepay vs Invest'!$B$10,0)+IF(A80='Prepay vs Invest'!$B$9,'Prepay vs Invest'!$B$8,0))</f>
        <v>10000</v>
      </c>
      <c r="Q80">
        <f t="shared" si="19"/>
        <v>6385943.0371234724</v>
      </c>
      <c r="R80">
        <f t="shared" si="27"/>
        <v>0</v>
      </c>
      <c r="S80">
        <f>IF(A80&lt;='Prepay vs Invest'!$B$7*12,MAX(0,'Prepay vs Invest'!$E$5+IF(AND(A80&gt;='Prepay vs Invest'!$B$11,A80&lt;='Prepay vs Invest'!$B$12),'Prepay vs Invest'!$B$10,0)+IF(A80='Prepay vs Invest'!$B$9,'Prepay vs Invest'!$B$8,0)-O80-P80),0)</f>
        <v>0</v>
      </c>
      <c r="T80">
        <f>R80*(1+MAX(0,'Prepay vs Invest'!$B$13-'Prepay vs Invest'!$B$14)/1200)+S80</f>
        <v>0</v>
      </c>
      <c r="U80">
        <f t="shared" si="28"/>
        <v>0</v>
      </c>
      <c r="V80">
        <f>MAX(0,(T80-U80-'Prepay vs Invest'!$B$16)*'Prepay vs Invest'!$B$15/100)</f>
        <v>0</v>
      </c>
      <c r="W80">
        <f t="shared" si="20"/>
        <v>0</v>
      </c>
      <c r="X80">
        <f t="shared" si="29"/>
        <v>7072771.510574013</v>
      </c>
      <c r="Y80">
        <f>IF(X80&gt;0,X80*'Prepay vs Invest'!$B$6/1200,0)</f>
        <v>44204.821941087583</v>
      </c>
      <c r="Z80">
        <f>IF(X80&gt;0,MIN(-PMT('Prepay vs Invest'!$B$6/1200,'Prepay vs Invest'!$B$7*12-A80+1,X80),X80+Y80),0)</f>
        <v>69554.321636176479</v>
      </c>
      <c r="AA80">
        <f>MIN(MAX(0,X80+Y80-Z80),IF(AND(A80&gt;='Prepay vs Invest'!$B$11,A80&lt;='Prepay vs Invest'!$B$12),'Prepay vs Invest'!$B$10,0)+IF(A80='Prepay vs Invest'!$B$9,'Prepay vs Invest'!$B$8,0))</f>
        <v>10000</v>
      </c>
      <c r="AB80">
        <f t="shared" si="21"/>
        <v>7037422.0108789243</v>
      </c>
      <c r="AC80">
        <f t="shared" si="30"/>
        <v>706904.72563113039</v>
      </c>
      <c r="AD80">
        <f>IF(A80&lt;='Prepay vs Invest'!$B$7*12,MAX(0,'Prepay vs Invest'!$E$5+IF(AND(A80&gt;='Prepay vs Invest'!$B$11,A80&lt;='Prepay vs Invest'!$B$12),'Prepay vs Invest'!$B$10,0)+IF(A80='Prepay vs Invest'!$B$9,'Prepay vs Invest'!$B$8,0)-Z80-AA80),0)</f>
        <v>11004.997719004241</v>
      </c>
      <c r="AE80">
        <f>AC80*(1+MAX(0,'Prepay vs Invest'!$B$13-'Prepay vs Invest'!$B$14)/1200)+AD80</f>
        <v>724684.22697076632</v>
      </c>
      <c r="AF80">
        <f t="shared" si="31"/>
        <v>539100.12184499274</v>
      </c>
      <c r="AG80">
        <f>MAX(0,(AE80-AF80-'Prepay vs Invest'!$B$16)*'Prepay vs Invest'!$B$15/100)</f>
        <v>7573.0131407216986</v>
      </c>
      <c r="AH80">
        <f t="shared" si="22"/>
        <v>717111.21383004461</v>
      </c>
    </row>
    <row r="81" spans="1:34" x14ac:dyDescent="0.35">
      <c r="A81">
        <f t="shared" si="23"/>
        <v>80</v>
      </c>
      <c r="B81">
        <f>IF(A81&lt;='Prepay vs Invest'!$B$7*12,F80,0)</f>
        <v>8162476.5657959776</v>
      </c>
      <c r="C81">
        <f>IF(B81&gt;0,B81*'Prepay vs Invest'!$B$6/1200,0)</f>
        <v>51015.478536224859</v>
      </c>
      <c r="D81">
        <f>IF(B81&gt;0,MIN(-PMT('Prepay vs Invest'!$B$6/1200,'Prepay vs Invest'!$B$7*12,'Prepay vs Invest'!$B$5),B81+C81),0)</f>
        <v>80559.31935518072</v>
      </c>
      <c r="E81">
        <f t="shared" si="16"/>
        <v>29543.840818955861</v>
      </c>
      <c r="F81">
        <f t="shared" si="17"/>
        <v>8132932.724977022</v>
      </c>
      <c r="G81">
        <f t="shared" si="24"/>
        <v>2120580.6067441674</v>
      </c>
      <c r="H81">
        <f>IF(A81&lt;='Prepay vs Invest'!$B$7*12,IF(AND(A81&gt;='Prepay vs Invest'!$B$11,A81&lt;='Prepay vs Invest'!$B$12),'Prepay vs Invest'!$B$10,0)+IF(A81='Prepay vs Invest'!$B$9,'Prepay vs Invest'!$B$8,0),0)</f>
        <v>10000</v>
      </c>
      <c r="I81">
        <f>G81*(1+MAX(0,'Prepay vs Invest'!$B$13-'Prepay vs Invest'!$B$14)/1200)+H81</f>
        <v>2150902.837558799</v>
      </c>
      <c r="J81">
        <f t="shared" si="25"/>
        <v>1300000</v>
      </c>
      <c r="K81">
        <f>MAX(0,(I81-J81-'Prepay vs Invest'!$B$16)*'Prepay vs Invest'!$B$15/100)</f>
        <v>90737.85469484987</v>
      </c>
      <c r="L81">
        <f t="shared" si="18"/>
        <v>2060164.9828639491</v>
      </c>
      <c r="M81">
        <f t="shared" si="26"/>
        <v>6385943.0371234724</v>
      </c>
      <c r="N81">
        <f>IF(M81&gt;0,M81*'Prepay vs Invest'!$B$6/1200,0)</f>
        <v>39912.143982021706</v>
      </c>
      <c r="O81">
        <f>IF(M81&gt;0,MIN('Prepay vs Invest'!$E$5,M81+N81),0)</f>
        <v>80559.31935518072</v>
      </c>
      <c r="P81">
        <f>MIN(MAX(0,M81+N81-O81),IF(AND(A81&gt;='Prepay vs Invest'!$B$11,A81&lt;='Prepay vs Invest'!$B$12),'Prepay vs Invest'!$B$10,0)+IF(A81='Prepay vs Invest'!$B$9,'Prepay vs Invest'!$B$8,0))</f>
        <v>10000</v>
      </c>
      <c r="Q81">
        <f t="shared" si="19"/>
        <v>6335295.861750314</v>
      </c>
      <c r="R81">
        <f t="shared" si="27"/>
        <v>0</v>
      </c>
      <c r="S81">
        <f>IF(A81&lt;='Prepay vs Invest'!$B$7*12,MAX(0,'Prepay vs Invest'!$E$5+IF(AND(A81&gt;='Prepay vs Invest'!$B$11,A81&lt;='Prepay vs Invest'!$B$12),'Prepay vs Invest'!$B$10,0)+IF(A81='Prepay vs Invest'!$B$9,'Prepay vs Invest'!$B$8,0)-O81-P81),0)</f>
        <v>0</v>
      </c>
      <c r="T81">
        <f>R81*(1+MAX(0,'Prepay vs Invest'!$B$13-'Prepay vs Invest'!$B$14)/1200)+S81</f>
        <v>0</v>
      </c>
      <c r="U81">
        <f t="shared" si="28"/>
        <v>0</v>
      </c>
      <c r="V81">
        <f>MAX(0,(T81-U81-'Prepay vs Invest'!$B$16)*'Prepay vs Invest'!$B$15/100)</f>
        <v>0</v>
      </c>
      <c r="W81">
        <f t="shared" si="20"/>
        <v>0</v>
      </c>
      <c r="X81">
        <f t="shared" si="29"/>
        <v>7037422.0108789243</v>
      </c>
      <c r="Y81">
        <f>IF(X81&gt;0,X81*'Prepay vs Invest'!$B$6/1200,0)</f>
        <v>43983.887567993275</v>
      </c>
      <c r="Z81">
        <f>IF(X81&gt;0,MIN(-PMT('Prepay vs Invest'!$B$6/1200,'Prepay vs Invest'!$B$7*12-A81+1,X81),X81+Y81),0)</f>
        <v>69455.626934016167</v>
      </c>
      <c r="AA81">
        <f>MIN(MAX(0,X81+Y81-Z81),IF(AND(A81&gt;='Prepay vs Invest'!$B$11,A81&lt;='Prepay vs Invest'!$B$12),'Prepay vs Invest'!$B$10,0)+IF(A81='Prepay vs Invest'!$B$9,'Prepay vs Invest'!$B$8,0))</f>
        <v>10000</v>
      </c>
      <c r="AB81">
        <f t="shared" si="21"/>
        <v>7001950.2715129014</v>
      </c>
      <c r="AC81">
        <f t="shared" si="30"/>
        <v>724684.22697076632</v>
      </c>
      <c r="AD81">
        <f>IF(A81&lt;='Prepay vs Invest'!$B$7*12,MAX(0,'Prepay vs Invest'!$E$5+IF(AND(A81&gt;='Prepay vs Invest'!$B$11,A81&lt;='Prepay vs Invest'!$B$12),'Prepay vs Invest'!$B$10,0)+IF(A81='Prepay vs Invest'!$B$9,'Prepay vs Invest'!$B$8,0)-Z81-AA81),0)</f>
        <v>11103.692421164553</v>
      </c>
      <c r="AE81">
        <f>AC81*(1+MAX(0,'Prepay vs Invest'!$B$13-'Prepay vs Invest'!$B$14)/1200)+AD81</f>
        <v>742732.80990040069</v>
      </c>
      <c r="AF81">
        <f t="shared" si="31"/>
        <v>550203.81426615734</v>
      </c>
      <c r="AG81">
        <f>MAX(0,(AE81-AF81-'Prepay vs Invest'!$B$16)*'Prepay vs Invest'!$B$15/100)</f>
        <v>8441.1244542804197</v>
      </c>
      <c r="AH81">
        <f t="shared" si="22"/>
        <v>734291.68544612033</v>
      </c>
    </row>
    <row r="82" spans="1:34" x14ac:dyDescent="0.35">
      <c r="A82">
        <f t="shared" si="23"/>
        <v>81</v>
      </c>
      <c r="B82">
        <f>IF(A82&lt;='Prepay vs Invest'!$B$7*12,F81,0)</f>
        <v>8132932.724977022</v>
      </c>
      <c r="C82">
        <f>IF(B82&gt;0,B82*'Prepay vs Invest'!$B$6/1200,0)</f>
        <v>50830.829531106392</v>
      </c>
      <c r="D82">
        <f>IF(B82&gt;0,MIN(-PMT('Prepay vs Invest'!$B$6/1200,'Prepay vs Invest'!$B$7*12,'Prepay vs Invest'!$B$5),B82+C82),0)</f>
        <v>80559.31935518072</v>
      </c>
      <c r="E82">
        <f t="shared" si="16"/>
        <v>29728.489824074328</v>
      </c>
      <c r="F82">
        <f t="shared" si="17"/>
        <v>8103204.2351529477</v>
      </c>
      <c r="G82">
        <f t="shared" si="24"/>
        <v>2150902.837558799</v>
      </c>
      <c r="H82">
        <f>IF(A82&lt;='Prepay vs Invest'!$B$7*12,IF(AND(A82&gt;='Prepay vs Invest'!$B$11,A82&lt;='Prepay vs Invest'!$B$12),'Prepay vs Invest'!$B$10,0)+IF(A82='Prepay vs Invest'!$B$9,'Prepay vs Invest'!$B$8,0),0)</f>
        <v>10000</v>
      </c>
      <c r="I82">
        <f>G82*(1+MAX(0,'Prepay vs Invest'!$B$13-'Prepay vs Invest'!$B$14)/1200)+H82</f>
        <v>2181515.6564187375</v>
      </c>
      <c r="J82">
        <f t="shared" si="25"/>
        <v>1310000</v>
      </c>
      <c r="K82">
        <f>MAX(0,(I82-J82-'Prepay vs Invest'!$B$16)*'Prepay vs Invest'!$B$15/100)</f>
        <v>93314.457052342186</v>
      </c>
      <c r="L82">
        <f t="shared" si="18"/>
        <v>2088201.1993663954</v>
      </c>
      <c r="M82">
        <f t="shared" si="26"/>
        <v>6335295.861750314</v>
      </c>
      <c r="N82">
        <f>IF(M82&gt;0,M82*'Prepay vs Invest'!$B$6/1200,0)</f>
        <v>39595.599135939461</v>
      </c>
      <c r="O82">
        <f>IF(M82&gt;0,MIN('Prepay vs Invest'!$E$5,M82+N82),0)</f>
        <v>80559.31935518072</v>
      </c>
      <c r="P82">
        <f>MIN(MAX(0,M82+N82-O82),IF(AND(A82&gt;='Prepay vs Invest'!$B$11,A82&lt;='Prepay vs Invest'!$B$12),'Prepay vs Invest'!$B$10,0)+IF(A82='Prepay vs Invest'!$B$9,'Prepay vs Invest'!$B$8,0))</f>
        <v>10000</v>
      </c>
      <c r="Q82">
        <f t="shared" si="19"/>
        <v>6284332.1415310726</v>
      </c>
      <c r="R82">
        <f t="shared" si="27"/>
        <v>0</v>
      </c>
      <c r="S82">
        <f>IF(A82&lt;='Prepay vs Invest'!$B$7*12,MAX(0,'Prepay vs Invest'!$E$5+IF(AND(A82&gt;='Prepay vs Invest'!$B$11,A82&lt;='Prepay vs Invest'!$B$12),'Prepay vs Invest'!$B$10,0)+IF(A82='Prepay vs Invest'!$B$9,'Prepay vs Invest'!$B$8,0)-O82-P82),0)</f>
        <v>0</v>
      </c>
      <c r="T82">
        <f>R82*(1+MAX(0,'Prepay vs Invest'!$B$13-'Prepay vs Invest'!$B$14)/1200)+S82</f>
        <v>0</v>
      </c>
      <c r="U82">
        <f t="shared" si="28"/>
        <v>0</v>
      </c>
      <c r="V82">
        <f>MAX(0,(T82-U82-'Prepay vs Invest'!$B$16)*'Prepay vs Invest'!$B$15/100)</f>
        <v>0</v>
      </c>
      <c r="W82">
        <f t="shared" si="20"/>
        <v>0</v>
      </c>
      <c r="X82">
        <f t="shared" si="29"/>
        <v>7001950.2715129014</v>
      </c>
      <c r="Y82">
        <f>IF(X82&gt;0,X82*'Prepay vs Invest'!$B$6/1200,0)</f>
        <v>43762.189196955638</v>
      </c>
      <c r="Z82">
        <f>IF(X82&gt;0,MIN(-PMT('Prepay vs Invest'!$B$6/1200,'Prepay vs Invest'!$B$7*12-A82+1,X82),X82+Y82),0)</f>
        <v>69356.573711667748</v>
      </c>
      <c r="AA82">
        <f>MIN(MAX(0,X82+Y82-Z82),IF(AND(A82&gt;='Prepay vs Invest'!$B$11,A82&lt;='Prepay vs Invest'!$B$12),'Prepay vs Invest'!$B$10,0)+IF(A82='Prepay vs Invest'!$B$9,'Prepay vs Invest'!$B$8,0))</f>
        <v>10000</v>
      </c>
      <c r="AB82">
        <f t="shared" si="21"/>
        <v>6966355.8869981887</v>
      </c>
      <c r="AC82">
        <f t="shared" si="30"/>
        <v>742732.80990040069</v>
      </c>
      <c r="AD82">
        <f>IF(A82&lt;='Prepay vs Invest'!$B$7*12,MAX(0,'Prepay vs Invest'!$E$5+IF(AND(A82&gt;='Prepay vs Invest'!$B$11,A82&lt;='Prepay vs Invest'!$B$12),'Prepay vs Invest'!$B$10,0)+IF(A82='Prepay vs Invest'!$B$9,'Prepay vs Invest'!$B$8,0)-Z82-AA82),0)</f>
        <v>11202.745643512972</v>
      </c>
      <c r="AE82">
        <f>AC82*(1+MAX(0,'Prepay vs Invest'!$B$13-'Prepay vs Invest'!$B$14)/1200)+AD82</f>
        <v>761053.41163879237</v>
      </c>
      <c r="AF82">
        <f t="shared" si="31"/>
        <v>561406.55990967026</v>
      </c>
      <c r="AG82">
        <f>MAX(0,(AE82-AF82-'Prepay vs Invest'!$B$16)*'Prepay vs Invest'!$B$15/100)</f>
        <v>9330.8564661402634</v>
      </c>
      <c r="AH82">
        <f t="shared" si="22"/>
        <v>751722.55517265212</v>
      </c>
    </row>
    <row r="83" spans="1:34" x14ac:dyDescent="0.35">
      <c r="A83">
        <f t="shared" si="23"/>
        <v>82</v>
      </c>
      <c r="B83">
        <f>IF(A83&lt;='Prepay vs Invest'!$B$7*12,F82,0)</f>
        <v>8103204.2351529477</v>
      </c>
      <c r="C83">
        <f>IF(B83&gt;0,B83*'Prepay vs Invest'!$B$6/1200,0)</f>
        <v>50645.026469705925</v>
      </c>
      <c r="D83">
        <f>IF(B83&gt;0,MIN(-PMT('Prepay vs Invest'!$B$6/1200,'Prepay vs Invest'!$B$7*12,'Prepay vs Invest'!$B$5),B83+C83),0)</f>
        <v>80559.31935518072</v>
      </c>
      <c r="E83">
        <f t="shared" si="16"/>
        <v>29914.292885474795</v>
      </c>
      <c r="F83">
        <f t="shared" si="17"/>
        <v>8073289.9422674729</v>
      </c>
      <c r="G83">
        <f t="shared" si="24"/>
        <v>2181515.6564187375</v>
      </c>
      <c r="H83">
        <f>IF(A83&lt;='Prepay vs Invest'!$B$7*12,IF(AND(A83&gt;='Prepay vs Invest'!$B$11,A83&lt;='Prepay vs Invest'!$B$12),'Prepay vs Invest'!$B$10,0)+IF(A83='Prepay vs Invest'!$B$9,'Prepay vs Invest'!$B$8,0),0)</f>
        <v>10000</v>
      </c>
      <c r="I83">
        <f>G83*(1+MAX(0,'Prepay vs Invest'!$B$13-'Prepay vs Invest'!$B$14)/1200)+H83</f>
        <v>2212421.8481260836</v>
      </c>
      <c r="J83">
        <f t="shared" si="25"/>
        <v>1320000</v>
      </c>
      <c r="K83">
        <f>MAX(0,(I83-J83-'Prepay vs Invest'!$B$16)*'Prepay vs Invest'!$B$15/100)</f>
        <v>95927.731015760452</v>
      </c>
      <c r="L83">
        <f t="shared" si="18"/>
        <v>2116494.1171103232</v>
      </c>
      <c r="M83">
        <f t="shared" si="26"/>
        <v>6284332.1415310726</v>
      </c>
      <c r="N83">
        <f>IF(M83&gt;0,M83*'Prepay vs Invest'!$B$6/1200,0)</f>
        <v>39277.075884569203</v>
      </c>
      <c r="O83">
        <f>IF(M83&gt;0,MIN('Prepay vs Invest'!$E$5,M83+N83),0)</f>
        <v>80559.31935518072</v>
      </c>
      <c r="P83">
        <f>MIN(MAX(0,M83+N83-O83),IF(AND(A83&gt;='Prepay vs Invest'!$B$11,A83&lt;='Prepay vs Invest'!$B$12),'Prepay vs Invest'!$B$10,0)+IF(A83='Prepay vs Invest'!$B$9,'Prepay vs Invest'!$B$8,0))</f>
        <v>10000</v>
      </c>
      <c r="Q83">
        <f t="shared" si="19"/>
        <v>6233049.8980604615</v>
      </c>
      <c r="R83">
        <f t="shared" si="27"/>
        <v>0</v>
      </c>
      <c r="S83">
        <f>IF(A83&lt;='Prepay vs Invest'!$B$7*12,MAX(0,'Prepay vs Invest'!$E$5+IF(AND(A83&gt;='Prepay vs Invest'!$B$11,A83&lt;='Prepay vs Invest'!$B$12),'Prepay vs Invest'!$B$10,0)+IF(A83='Prepay vs Invest'!$B$9,'Prepay vs Invest'!$B$8,0)-O83-P83),0)</f>
        <v>0</v>
      </c>
      <c r="T83">
        <f>R83*(1+MAX(0,'Prepay vs Invest'!$B$13-'Prepay vs Invest'!$B$14)/1200)+S83</f>
        <v>0</v>
      </c>
      <c r="U83">
        <f t="shared" si="28"/>
        <v>0</v>
      </c>
      <c r="V83">
        <f>MAX(0,(T83-U83-'Prepay vs Invest'!$B$16)*'Prepay vs Invest'!$B$15/100)</f>
        <v>0</v>
      </c>
      <c r="W83">
        <f t="shared" si="20"/>
        <v>0</v>
      </c>
      <c r="X83">
        <f t="shared" si="29"/>
        <v>6966355.8869981887</v>
      </c>
      <c r="Y83">
        <f>IF(X83&gt;0,X83*'Prepay vs Invest'!$B$6/1200,0)</f>
        <v>43539.724293738676</v>
      </c>
      <c r="Z83">
        <f>IF(X83&gt;0,MIN(-PMT('Prepay vs Invest'!$B$6/1200,'Prepay vs Invest'!$B$7*12-A83+1,X83),X83+Y83),0)</f>
        <v>69257.157089529908</v>
      </c>
      <c r="AA83">
        <f>MIN(MAX(0,X83+Y83-Z83),IF(AND(A83&gt;='Prepay vs Invest'!$B$11,A83&lt;='Prepay vs Invest'!$B$12),'Prepay vs Invest'!$B$10,0)+IF(A83='Prepay vs Invest'!$B$9,'Prepay vs Invest'!$B$8,0))</f>
        <v>10000</v>
      </c>
      <c r="AB83">
        <f t="shared" si="21"/>
        <v>6930638.4542023977</v>
      </c>
      <c r="AC83">
        <f t="shared" si="30"/>
        <v>761053.41163879237</v>
      </c>
      <c r="AD83">
        <f>IF(A83&lt;='Prepay vs Invest'!$B$7*12,MAX(0,'Prepay vs Invest'!$E$5+IF(AND(A83&gt;='Prepay vs Invest'!$B$11,A83&lt;='Prepay vs Invest'!$B$12),'Prepay vs Invest'!$B$10,0)+IF(A83='Prepay vs Invest'!$B$9,'Prepay vs Invest'!$B$8,0)-Z83-AA83),0)</f>
        <v>11302.162265650812</v>
      </c>
      <c r="AE83">
        <f>AC83*(1+MAX(0,'Prepay vs Invest'!$B$13-'Prepay vs Invest'!$B$14)/1200)+AD83</f>
        <v>779649.00243264821</v>
      </c>
      <c r="AF83">
        <f t="shared" si="31"/>
        <v>572708.72217532108</v>
      </c>
      <c r="AG83">
        <f>MAX(0,(AE83-AF83-'Prepay vs Invest'!$B$16)*'Prepay vs Invest'!$B$15/100)</f>
        <v>10242.535032165892</v>
      </c>
      <c r="AH83">
        <f t="shared" si="22"/>
        <v>769406.46740048227</v>
      </c>
    </row>
    <row r="84" spans="1:34" x14ac:dyDescent="0.35">
      <c r="A84">
        <f t="shared" si="23"/>
        <v>83</v>
      </c>
      <c r="B84">
        <f>IF(A84&lt;='Prepay vs Invest'!$B$7*12,F83,0)</f>
        <v>8073289.9422674729</v>
      </c>
      <c r="C84">
        <f>IF(B84&gt;0,B84*'Prepay vs Invest'!$B$6/1200,0)</f>
        <v>50458.062139171707</v>
      </c>
      <c r="D84">
        <f>IF(B84&gt;0,MIN(-PMT('Prepay vs Invest'!$B$6/1200,'Prepay vs Invest'!$B$7*12,'Prepay vs Invest'!$B$5),B84+C84),0)</f>
        <v>80559.31935518072</v>
      </c>
      <c r="E84">
        <f t="shared" si="16"/>
        <v>30101.257216009013</v>
      </c>
      <c r="F84">
        <f t="shared" si="17"/>
        <v>8043188.6850514645</v>
      </c>
      <c r="G84">
        <f t="shared" si="24"/>
        <v>2212421.8481260836</v>
      </c>
      <c r="H84">
        <f>IF(A84&lt;='Prepay vs Invest'!$B$7*12,IF(AND(A84&gt;='Prepay vs Invest'!$B$11,A84&lt;='Prepay vs Invest'!$B$12),'Prepay vs Invest'!$B$10,0)+IF(A84='Prepay vs Invest'!$B$9,'Prepay vs Invest'!$B$8,0),0)</f>
        <v>10000</v>
      </c>
      <c r="I84">
        <f>G84*(1+MAX(0,'Prepay vs Invest'!$B$13-'Prepay vs Invest'!$B$14)/1200)+H84</f>
        <v>2243624.2241706252</v>
      </c>
      <c r="J84">
        <f t="shared" si="25"/>
        <v>1330000</v>
      </c>
      <c r="K84">
        <f>MAX(0,(I84-J84-'Prepay vs Invest'!$B$16)*'Prepay vs Invest'!$B$15/100)</f>
        <v>98578.028021328151</v>
      </c>
      <c r="L84">
        <f t="shared" si="18"/>
        <v>2145046.1961492971</v>
      </c>
      <c r="M84">
        <f t="shared" si="26"/>
        <v>6233049.8980604615</v>
      </c>
      <c r="N84">
        <f>IF(M84&gt;0,M84*'Prepay vs Invest'!$B$6/1200,0)</f>
        <v>38956.56186287789</v>
      </c>
      <c r="O84">
        <f>IF(M84&gt;0,MIN('Prepay vs Invest'!$E$5,M84+N84),0)</f>
        <v>80559.31935518072</v>
      </c>
      <c r="P84">
        <f>MIN(MAX(0,M84+N84-O84),IF(AND(A84&gt;='Prepay vs Invest'!$B$11,A84&lt;='Prepay vs Invest'!$B$12),'Prepay vs Invest'!$B$10,0)+IF(A84='Prepay vs Invest'!$B$9,'Prepay vs Invest'!$B$8,0))</f>
        <v>10000</v>
      </c>
      <c r="Q84">
        <f t="shared" si="19"/>
        <v>6181447.1405681586</v>
      </c>
      <c r="R84">
        <f t="shared" si="27"/>
        <v>0</v>
      </c>
      <c r="S84">
        <f>IF(A84&lt;='Prepay vs Invest'!$B$7*12,MAX(0,'Prepay vs Invest'!$E$5+IF(AND(A84&gt;='Prepay vs Invest'!$B$11,A84&lt;='Prepay vs Invest'!$B$12),'Prepay vs Invest'!$B$10,0)+IF(A84='Prepay vs Invest'!$B$9,'Prepay vs Invest'!$B$8,0)-O84-P84),0)</f>
        <v>0</v>
      </c>
      <c r="T84">
        <f>R84*(1+MAX(0,'Prepay vs Invest'!$B$13-'Prepay vs Invest'!$B$14)/1200)+S84</f>
        <v>0</v>
      </c>
      <c r="U84">
        <f t="shared" si="28"/>
        <v>0</v>
      </c>
      <c r="V84">
        <f>MAX(0,(T84-U84-'Prepay vs Invest'!$B$16)*'Prepay vs Invest'!$B$15/100)</f>
        <v>0</v>
      </c>
      <c r="W84">
        <f t="shared" si="20"/>
        <v>0</v>
      </c>
      <c r="X84">
        <f t="shared" si="29"/>
        <v>6930638.4542023977</v>
      </c>
      <c r="Y84">
        <f>IF(X84&gt;0,X84*'Prepay vs Invest'!$B$6/1200,0)</f>
        <v>43316.490338764983</v>
      </c>
      <c r="Z84">
        <f>IF(X84&gt;0,MIN(-PMT('Prepay vs Invest'!$B$6/1200,'Prepay vs Invest'!$B$7*12-A84+1,X84),X84+Y84),0)</f>
        <v>69157.372094897903</v>
      </c>
      <c r="AA84">
        <f>MIN(MAX(0,X84+Y84-Z84),IF(AND(A84&gt;='Prepay vs Invest'!$B$11,A84&lt;='Prepay vs Invest'!$B$12),'Prepay vs Invest'!$B$10,0)+IF(A84='Prepay vs Invest'!$B$9,'Prepay vs Invest'!$B$8,0))</f>
        <v>10000</v>
      </c>
      <c r="AB84">
        <f t="shared" si="21"/>
        <v>6894797.5724462653</v>
      </c>
      <c r="AC84">
        <f t="shared" si="30"/>
        <v>779649.00243264821</v>
      </c>
      <c r="AD84">
        <f>IF(A84&lt;='Prepay vs Invest'!$B$7*12,MAX(0,'Prepay vs Invest'!$E$5+IF(AND(A84&gt;='Prepay vs Invest'!$B$11,A84&lt;='Prepay vs Invest'!$B$12),'Prepay vs Invest'!$B$10,0)+IF(A84='Prepay vs Invest'!$B$9,'Prepay vs Invest'!$B$8,0)-Z84-AA84),0)</f>
        <v>11401.947260282817</v>
      </c>
      <c r="AE84">
        <f>AC84*(1+MAX(0,'Prepay vs Invest'!$B$13-'Prepay vs Invest'!$B$14)/1200)+AD84</f>
        <v>798522.58596624387</v>
      </c>
      <c r="AF84">
        <f t="shared" si="31"/>
        <v>584110.66943560389</v>
      </c>
      <c r="AG84">
        <f>MAX(0,(AE84-AF84-'Prepay vs Invest'!$B$16)*'Prepay vs Invest'!$B$15/100)</f>
        <v>11176.489566329998</v>
      </c>
      <c r="AH84">
        <f t="shared" si="22"/>
        <v>787346.09639991389</v>
      </c>
    </row>
    <row r="85" spans="1:34" x14ac:dyDescent="0.35">
      <c r="A85">
        <f t="shared" si="23"/>
        <v>84</v>
      </c>
      <c r="B85">
        <f>IF(A85&lt;='Prepay vs Invest'!$B$7*12,F84,0)</f>
        <v>8043188.6850514645</v>
      </c>
      <c r="C85">
        <f>IF(B85&gt;0,B85*'Prepay vs Invest'!$B$6/1200,0)</f>
        <v>50269.929281571647</v>
      </c>
      <c r="D85">
        <f>IF(B85&gt;0,MIN(-PMT('Prepay vs Invest'!$B$6/1200,'Prepay vs Invest'!$B$7*12,'Prepay vs Invest'!$B$5),B85+C85),0)</f>
        <v>80559.31935518072</v>
      </c>
      <c r="E85">
        <f t="shared" si="16"/>
        <v>30289.390073609073</v>
      </c>
      <c r="F85">
        <f t="shared" si="17"/>
        <v>8012899.2949778559</v>
      </c>
      <c r="G85">
        <f t="shared" si="24"/>
        <v>2243624.2241706252</v>
      </c>
      <c r="H85">
        <f>IF(A85&lt;='Prepay vs Invest'!$B$7*12,IF(AND(A85&gt;='Prepay vs Invest'!$B$11,A85&lt;='Prepay vs Invest'!$B$12),'Prepay vs Invest'!$B$10,0)+IF(A85='Prepay vs Invest'!$B$9,'Prepay vs Invest'!$B$8,0),0)</f>
        <v>10000</v>
      </c>
      <c r="I85">
        <f>G85*(1+MAX(0,'Prepay vs Invest'!$B$13-'Prepay vs Invest'!$B$14)/1200)+H85</f>
        <v>2275125.6229855935</v>
      </c>
      <c r="J85">
        <f t="shared" si="25"/>
        <v>1340000</v>
      </c>
      <c r="K85">
        <f>MAX(0,(I85-J85-'Prepay vs Invest'!$B$16)*'Prepay vs Invest'!$B$15/100)</f>
        <v>101265.70287319919</v>
      </c>
      <c r="L85">
        <f t="shared" si="18"/>
        <v>2173859.9201123943</v>
      </c>
      <c r="M85">
        <f t="shared" si="26"/>
        <v>6181447.1405681586</v>
      </c>
      <c r="N85">
        <f>IF(M85&gt;0,M85*'Prepay vs Invest'!$B$6/1200,0)</f>
        <v>38634.044628550997</v>
      </c>
      <c r="O85">
        <f>IF(M85&gt;0,MIN('Prepay vs Invest'!$E$5,M85+N85),0)</f>
        <v>80559.31935518072</v>
      </c>
      <c r="P85">
        <f>MIN(MAX(0,M85+N85-O85),IF(AND(A85&gt;='Prepay vs Invest'!$B$11,A85&lt;='Prepay vs Invest'!$B$12),'Prepay vs Invest'!$B$10,0)+IF(A85='Prepay vs Invest'!$B$9,'Prepay vs Invest'!$B$8,0))</f>
        <v>10000</v>
      </c>
      <c r="Q85">
        <f t="shared" si="19"/>
        <v>6129521.8658415293</v>
      </c>
      <c r="R85">
        <f t="shared" si="27"/>
        <v>0</v>
      </c>
      <c r="S85">
        <f>IF(A85&lt;='Prepay vs Invest'!$B$7*12,MAX(0,'Prepay vs Invest'!$E$5+IF(AND(A85&gt;='Prepay vs Invest'!$B$11,A85&lt;='Prepay vs Invest'!$B$12),'Prepay vs Invest'!$B$10,0)+IF(A85='Prepay vs Invest'!$B$9,'Prepay vs Invest'!$B$8,0)-O85-P85),0)</f>
        <v>0</v>
      </c>
      <c r="T85">
        <f>R85*(1+MAX(0,'Prepay vs Invest'!$B$13-'Prepay vs Invest'!$B$14)/1200)+S85</f>
        <v>0</v>
      </c>
      <c r="U85">
        <f t="shared" si="28"/>
        <v>0</v>
      </c>
      <c r="V85">
        <f>MAX(0,(T85-U85-'Prepay vs Invest'!$B$16)*'Prepay vs Invest'!$B$15/100)</f>
        <v>0</v>
      </c>
      <c r="W85">
        <f t="shared" si="20"/>
        <v>0</v>
      </c>
      <c r="X85">
        <f t="shared" si="29"/>
        <v>6894797.5724462653</v>
      </c>
      <c r="Y85">
        <f>IF(X85&gt;0,X85*'Prepay vs Invest'!$B$6/1200,0)</f>
        <v>43092.484827789158</v>
      </c>
      <c r="Z85">
        <f>IF(X85&gt;0,MIN(-PMT('Prepay vs Invest'!$B$6/1200,'Prepay vs Invest'!$B$7*12-A85+1,X85),X85+Y85),0)</f>
        <v>69057.213659593646</v>
      </c>
      <c r="AA85">
        <f>MIN(MAX(0,X85+Y85-Z85),IF(AND(A85&gt;='Prepay vs Invest'!$B$11,A85&lt;='Prepay vs Invest'!$B$12),'Prepay vs Invest'!$B$10,0)+IF(A85='Prepay vs Invest'!$B$9,'Prepay vs Invest'!$B$8,0))</f>
        <v>10000</v>
      </c>
      <c r="AB85">
        <f t="shared" si="21"/>
        <v>6858832.8436144609</v>
      </c>
      <c r="AC85">
        <f t="shared" si="30"/>
        <v>798522.58596624387</v>
      </c>
      <c r="AD85">
        <f>IF(A85&lt;='Prepay vs Invest'!$B$7*12,MAX(0,'Prepay vs Invest'!$E$5+IF(AND(A85&gt;='Prepay vs Invest'!$B$11,A85&lt;='Prepay vs Invest'!$B$12),'Prepay vs Invest'!$B$10,0)+IF(A85='Prepay vs Invest'!$B$9,'Prepay vs Invest'!$B$8,0)-Z85-AA85),0)</f>
        <v>11502.105695587074</v>
      </c>
      <c r="AE85">
        <f>AC85*(1+MAX(0,'Prepay vs Invest'!$B$13-'Prepay vs Invest'!$B$14)/1200)+AD85</f>
        <v>817677.19977734075</v>
      </c>
      <c r="AF85">
        <f t="shared" si="31"/>
        <v>595612.77513119101</v>
      </c>
      <c r="AG85">
        <f>MAX(0,(AE85-AF85-'Prepay vs Invest'!$B$16)*'Prepay vs Invest'!$B$15/100)</f>
        <v>12133.053080768717</v>
      </c>
      <c r="AH85">
        <f t="shared" si="22"/>
        <v>805544.14669657208</v>
      </c>
    </row>
    <row r="86" spans="1:34" x14ac:dyDescent="0.35">
      <c r="A86">
        <f t="shared" si="23"/>
        <v>85</v>
      </c>
      <c r="B86">
        <f>IF(A86&lt;='Prepay vs Invest'!$B$7*12,F85,0)</f>
        <v>8012899.2949778559</v>
      </c>
      <c r="C86">
        <f>IF(B86&gt;0,B86*'Prepay vs Invest'!$B$6/1200,0)</f>
        <v>50080.620593611595</v>
      </c>
      <c r="D86">
        <f>IF(B86&gt;0,MIN(-PMT('Prepay vs Invest'!$B$6/1200,'Prepay vs Invest'!$B$7*12,'Prepay vs Invest'!$B$5),B86+C86),0)</f>
        <v>80559.31935518072</v>
      </c>
      <c r="E86">
        <f t="shared" si="16"/>
        <v>30478.698761569125</v>
      </c>
      <c r="F86">
        <f t="shared" si="17"/>
        <v>7982420.5962162865</v>
      </c>
      <c r="G86">
        <f t="shared" si="24"/>
        <v>2275125.6229855935</v>
      </c>
      <c r="H86">
        <f>IF(A86&lt;='Prepay vs Invest'!$B$7*12,IF(AND(A86&gt;='Prepay vs Invest'!$B$11,A86&lt;='Prepay vs Invest'!$B$12),'Prepay vs Invest'!$B$10,0)+IF(A86='Prepay vs Invest'!$B$9,'Prepay vs Invest'!$B$8,0),0)</f>
        <v>10000</v>
      </c>
      <c r="I86">
        <f>G86*(1+MAX(0,'Prepay vs Invest'!$B$13-'Prepay vs Invest'!$B$14)/1200)+H86</f>
        <v>2306928.9102058718</v>
      </c>
      <c r="J86">
        <f t="shared" si="25"/>
        <v>1350000</v>
      </c>
      <c r="K86">
        <f>MAX(0,(I86-J86-'Prepay vs Invest'!$B$16)*'Prepay vs Invest'!$B$15/100)</f>
        <v>103991.11377573397</v>
      </c>
      <c r="L86">
        <f t="shared" si="18"/>
        <v>2202937.7964301379</v>
      </c>
      <c r="M86">
        <f t="shared" si="26"/>
        <v>6129521.8658415293</v>
      </c>
      <c r="N86">
        <f>IF(M86&gt;0,M86*'Prepay vs Invest'!$B$6/1200,0)</f>
        <v>38309.511661509561</v>
      </c>
      <c r="O86">
        <f>IF(M86&gt;0,MIN('Prepay vs Invest'!$E$5,M86+N86),0)</f>
        <v>80559.31935518072</v>
      </c>
      <c r="P86">
        <f>MIN(MAX(0,M86+N86-O86),IF(AND(A86&gt;='Prepay vs Invest'!$B$11,A86&lt;='Prepay vs Invest'!$B$12),'Prepay vs Invest'!$B$10,0)+IF(A86='Prepay vs Invest'!$B$9,'Prepay vs Invest'!$B$8,0))</f>
        <v>10000</v>
      </c>
      <c r="Q86">
        <f t="shared" si="19"/>
        <v>6077272.0581478588</v>
      </c>
      <c r="R86">
        <f t="shared" si="27"/>
        <v>0</v>
      </c>
      <c r="S86">
        <f>IF(A86&lt;='Prepay vs Invest'!$B$7*12,MAX(0,'Prepay vs Invest'!$E$5+IF(AND(A86&gt;='Prepay vs Invest'!$B$11,A86&lt;='Prepay vs Invest'!$B$12),'Prepay vs Invest'!$B$10,0)+IF(A86='Prepay vs Invest'!$B$9,'Prepay vs Invest'!$B$8,0)-O86-P86),0)</f>
        <v>0</v>
      </c>
      <c r="T86">
        <f>R86*(1+MAX(0,'Prepay vs Invest'!$B$13-'Prepay vs Invest'!$B$14)/1200)+S86</f>
        <v>0</v>
      </c>
      <c r="U86">
        <f t="shared" si="28"/>
        <v>0</v>
      </c>
      <c r="V86">
        <f>MAX(0,(T86-U86-'Prepay vs Invest'!$B$16)*'Prepay vs Invest'!$B$15/100)</f>
        <v>0</v>
      </c>
      <c r="W86">
        <f t="shared" si="20"/>
        <v>0</v>
      </c>
      <c r="X86">
        <f t="shared" si="29"/>
        <v>6858832.8436144609</v>
      </c>
      <c r="Y86">
        <f>IF(X86&gt;0,X86*'Prepay vs Invest'!$B$6/1200,0)</f>
        <v>42867.705272590385</v>
      </c>
      <c r="Z86">
        <f>IF(X86&gt;0,MIN(-PMT('Prepay vs Invest'!$B$6/1200,'Prepay vs Invest'!$B$7*12-A86+1,X86),X86+Y86),0)</f>
        <v>68956.676617519915</v>
      </c>
      <c r="AA86">
        <f>MIN(MAX(0,X86+Y86-Z86),IF(AND(A86&gt;='Prepay vs Invest'!$B$11,A86&lt;='Prepay vs Invest'!$B$12),'Prepay vs Invest'!$B$10,0)+IF(A86='Prepay vs Invest'!$B$9,'Prepay vs Invest'!$B$8,0))</f>
        <v>10000</v>
      </c>
      <c r="AB86">
        <f t="shared" si="21"/>
        <v>6822743.8722695317</v>
      </c>
      <c r="AC86">
        <f t="shared" si="30"/>
        <v>817677.19977734075</v>
      </c>
      <c r="AD86">
        <f>IF(A86&lt;='Prepay vs Invest'!$B$7*12,MAX(0,'Prepay vs Invest'!$E$5+IF(AND(A86&gt;='Prepay vs Invest'!$B$11,A86&lt;='Prepay vs Invest'!$B$12),'Prepay vs Invest'!$B$10,0)+IF(A86='Prepay vs Invest'!$B$9,'Prepay vs Invest'!$B$8,0)-Z86-AA86),0)</f>
        <v>11602.642737660804</v>
      </c>
      <c r="AE86">
        <f>AC86*(1+MAX(0,'Prepay vs Invest'!$B$13-'Prepay vs Invest'!$B$14)/1200)+AD86</f>
        <v>837115.91567953432</v>
      </c>
      <c r="AF86">
        <f t="shared" si="31"/>
        <v>607215.4178688518</v>
      </c>
      <c r="AG86">
        <f>MAX(0,(AE86-AF86-'Prepay vs Invest'!$B$16)*'Prepay vs Invest'!$B$15/100)</f>
        <v>13112.562226335313</v>
      </c>
      <c r="AH86">
        <f t="shared" si="22"/>
        <v>824003.35345319903</v>
      </c>
    </row>
    <row r="87" spans="1:34" x14ac:dyDescent="0.35">
      <c r="A87">
        <f t="shared" si="23"/>
        <v>86</v>
      </c>
      <c r="B87">
        <f>IF(A87&lt;='Prepay vs Invest'!$B$7*12,F86,0)</f>
        <v>7982420.5962162865</v>
      </c>
      <c r="C87">
        <f>IF(B87&gt;0,B87*'Prepay vs Invest'!$B$6/1200,0)</f>
        <v>49890.128726351788</v>
      </c>
      <c r="D87">
        <f>IF(B87&gt;0,MIN(-PMT('Prepay vs Invest'!$B$6/1200,'Prepay vs Invest'!$B$7*12,'Prepay vs Invest'!$B$5),B87+C87),0)</f>
        <v>80559.31935518072</v>
      </c>
      <c r="E87">
        <f t="shared" si="16"/>
        <v>30669.190628828932</v>
      </c>
      <c r="F87">
        <f t="shared" si="17"/>
        <v>7951751.4055874581</v>
      </c>
      <c r="G87">
        <f t="shared" si="24"/>
        <v>2306928.9102058718</v>
      </c>
      <c r="H87">
        <f>IF(A87&lt;='Prepay vs Invest'!$B$7*12,IF(AND(A87&gt;='Prepay vs Invest'!$B$11,A87&lt;='Prepay vs Invest'!$B$12),'Prepay vs Invest'!$B$10,0)+IF(A87='Prepay vs Invest'!$B$9,'Prepay vs Invest'!$B$8,0),0)</f>
        <v>10000</v>
      </c>
      <c r="I87">
        <f>G87*(1+MAX(0,'Prepay vs Invest'!$B$13-'Prepay vs Invest'!$B$14)/1200)+H87</f>
        <v>2339036.9789286777</v>
      </c>
      <c r="J87">
        <f t="shared" si="25"/>
        <v>1360000</v>
      </c>
      <c r="K87">
        <f>MAX(0,(I87-J87-'Prepay vs Invest'!$B$16)*'Prepay vs Invest'!$B$15/100)</f>
        <v>106754.62236608472</v>
      </c>
      <c r="L87">
        <f t="shared" si="18"/>
        <v>2232282.356562593</v>
      </c>
      <c r="M87">
        <f t="shared" si="26"/>
        <v>6077272.0581478588</v>
      </c>
      <c r="N87">
        <f>IF(M87&gt;0,M87*'Prepay vs Invest'!$B$6/1200,0)</f>
        <v>37982.950363424119</v>
      </c>
      <c r="O87">
        <f>IF(M87&gt;0,MIN('Prepay vs Invest'!$E$5,M87+N87),0)</f>
        <v>80559.31935518072</v>
      </c>
      <c r="P87">
        <f>MIN(MAX(0,M87+N87-O87),IF(AND(A87&gt;='Prepay vs Invest'!$B$11,A87&lt;='Prepay vs Invest'!$B$12),'Prepay vs Invest'!$B$10,0)+IF(A87='Prepay vs Invest'!$B$9,'Prepay vs Invest'!$B$8,0))</f>
        <v>10000</v>
      </c>
      <c r="Q87">
        <f t="shared" si="19"/>
        <v>6024695.689156102</v>
      </c>
      <c r="R87">
        <f t="shared" si="27"/>
        <v>0</v>
      </c>
      <c r="S87">
        <f>IF(A87&lt;='Prepay vs Invest'!$B$7*12,MAX(0,'Prepay vs Invest'!$E$5+IF(AND(A87&gt;='Prepay vs Invest'!$B$11,A87&lt;='Prepay vs Invest'!$B$12),'Prepay vs Invest'!$B$10,0)+IF(A87='Prepay vs Invest'!$B$9,'Prepay vs Invest'!$B$8,0)-O87-P87),0)</f>
        <v>0</v>
      </c>
      <c r="T87">
        <f>R87*(1+MAX(0,'Prepay vs Invest'!$B$13-'Prepay vs Invest'!$B$14)/1200)+S87</f>
        <v>0</v>
      </c>
      <c r="U87">
        <f t="shared" si="28"/>
        <v>0</v>
      </c>
      <c r="V87">
        <f>MAX(0,(T87-U87-'Prepay vs Invest'!$B$16)*'Prepay vs Invest'!$B$15/100)</f>
        <v>0</v>
      </c>
      <c r="W87">
        <f t="shared" si="20"/>
        <v>0</v>
      </c>
      <c r="X87">
        <f t="shared" si="29"/>
        <v>6822743.8722695317</v>
      </c>
      <c r="Y87">
        <f>IF(X87&gt;0,X87*'Prepay vs Invest'!$B$6/1200,0)</f>
        <v>42642.149201684573</v>
      </c>
      <c r="Z87">
        <f>IF(X87&gt;0,MIN(-PMT('Prepay vs Invest'!$B$6/1200,'Prepay vs Invest'!$B$7*12-A87+1,X87),X87+Y87),0)</f>
        <v>68855.755702135721</v>
      </c>
      <c r="AA87">
        <f>MIN(MAX(0,X87+Y87-Z87),IF(AND(A87&gt;='Prepay vs Invest'!$B$11,A87&lt;='Prepay vs Invest'!$B$12),'Prepay vs Invest'!$B$10,0)+IF(A87='Prepay vs Invest'!$B$9,'Prepay vs Invest'!$B$8,0))</f>
        <v>10000</v>
      </c>
      <c r="AB87">
        <f t="shared" si="21"/>
        <v>6786530.2657690803</v>
      </c>
      <c r="AC87">
        <f t="shared" si="30"/>
        <v>837115.91567953432</v>
      </c>
      <c r="AD87">
        <f>IF(A87&lt;='Prepay vs Invest'!$B$7*12,MAX(0,'Prepay vs Invest'!$E$5+IF(AND(A87&gt;='Prepay vs Invest'!$B$11,A87&lt;='Prepay vs Invest'!$B$12),'Prepay vs Invest'!$B$10,0)+IF(A87='Prepay vs Invest'!$B$9,'Prepay vs Invest'!$B$8,0)-Z87-AA87),0)</f>
        <v>11703.563653044999</v>
      </c>
      <c r="AE87">
        <f>AC87*(1+MAX(0,'Prepay vs Invest'!$B$13-'Prepay vs Invest'!$B$14)/1200)+AD87</f>
        <v>856841.84019117476</v>
      </c>
      <c r="AF87">
        <f t="shared" si="31"/>
        <v>618918.98152189679</v>
      </c>
      <c r="AG87">
        <f>MAX(0,(AE87-AF87-'Prepay vs Invest'!$B$16)*'Prepay vs Invest'!$B$15/100)</f>
        <v>14115.357333659749</v>
      </c>
      <c r="AH87">
        <f t="shared" si="22"/>
        <v>842726.48285751499</v>
      </c>
    </row>
    <row r="88" spans="1:34" x14ac:dyDescent="0.35">
      <c r="A88">
        <f t="shared" si="23"/>
        <v>87</v>
      </c>
      <c r="B88">
        <f>IF(A88&lt;='Prepay vs Invest'!$B$7*12,F87,0)</f>
        <v>7951751.4055874581</v>
      </c>
      <c r="C88">
        <f>IF(B88&gt;0,B88*'Prepay vs Invest'!$B$6/1200,0)</f>
        <v>49698.446284921607</v>
      </c>
      <c r="D88">
        <f>IF(B88&gt;0,MIN(-PMT('Prepay vs Invest'!$B$6/1200,'Prepay vs Invest'!$B$7*12,'Prepay vs Invest'!$B$5),B88+C88),0)</f>
        <v>80559.31935518072</v>
      </c>
      <c r="E88">
        <f t="shared" si="16"/>
        <v>30860.873070259113</v>
      </c>
      <c r="F88">
        <f t="shared" si="17"/>
        <v>7920890.5325171994</v>
      </c>
      <c r="G88">
        <f t="shared" si="24"/>
        <v>2339036.9789286777</v>
      </c>
      <c r="H88">
        <f>IF(A88&lt;='Prepay vs Invest'!$B$7*12,IF(AND(A88&gt;='Prepay vs Invest'!$B$11,A88&lt;='Prepay vs Invest'!$B$12),'Prepay vs Invest'!$B$10,0)+IF(A88='Prepay vs Invest'!$B$9,'Prepay vs Invest'!$B$8,0),0)</f>
        <v>10000</v>
      </c>
      <c r="I88">
        <f>G88*(1+MAX(0,'Prepay vs Invest'!$B$13-'Prepay vs Invest'!$B$14)/1200)+H88</f>
        <v>2371452.7499767439</v>
      </c>
      <c r="J88">
        <f t="shared" si="25"/>
        <v>1370000</v>
      </c>
      <c r="K88">
        <f>MAX(0,(I88-J88-'Prepay vs Invest'!$B$16)*'Prepay vs Invest'!$B$15/100)</f>
        <v>109556.59374709299</v>
      </c>
      <c r="L88">
        <f t="shared" si="18"/>
        <v>2261896.1562296511</v>
      </c>
      <c r="M88">
        <f t="shared" si="26"/>
        <v>6024695.689156102</v>
      </c>
      <c r="N88">
        <f>IF(M88&gt;0,M88*'Prepay vs Invest'!$B$6/1200,0)</f>
        <v>37654.348057225638</v>
      </c>
      <c r="O88">
        <f>IF(M88&gt;0,MIN('Prepay vs Invest'!$E$5,M88+N88),0)</f>
        <v>80559.31935518072</v>
      </c>
      <c r="P88">
        <f>MIN(MAX(0,M88+N88-O88),IF(AND(A88&gt;='Prepay vs Invest'!$B$11,A88&lt;='Prepay vs Invest'!$B$12),'Prepay vs Invest'!$B$10,0)+IF(A88='Prepay vs Invest'!$B$9,'Prepay vs Invest'!$B$8,0))</f>
        <v>10000</v>
      </c>
      <c r="Q88">
        <f t="shared" si="19"/>
        <v>5971790.7178581469</v>
      </c>
      <c r="R88">
        <f t="shared" si="27"/>
        <v>0</v>
      </c>
      <c r="S88">
        <f>IF(A88&lt;='Prepay vs Invest'!$B$7*12,MAX(0,'Prepay vs Invest'!$E$5+IF(AND(A88&gt;='Prepay vs Invest'!$B$11,A88&lt;='Prepay vs Invest'!$B$12),'Prepay vs Invest'!$B$10,0)+IF(A88='Prepay vs Invest'!$B$9,'Prepay vs Invest'!$B$8,0)-O88-P88),0)</f>
        <v>0</v>
      </c>
      <c r="T88">
        <f>R88*(1+MAX(0,'Prepay vs Invest'!$B$13-'Prepay vs Invest'!$B$14)/1200)+S88</f>
        <v>0</v>
      </c>
      <c r="U88">
        <f t="shared" si="28"/>
        <v>0</v>
      </c>
      <c r="V88">
        <f>MAX(0,(T88-U88-'Prepay vs Invest'!$B$16)*'Prepay vs Invest'!$B$15/100)</f>
        <v>0</v>
      </c>
      <c r="W88">
        <f t="shared" si="20"/>
        <v>0</v>
      </c>
      <c r="X88">
        <f t="shared" si="29"/>
        <v>6786530.2657690803</v>
      </c>
      <c r="Y88">
        <f>IF(X88&gt;0,X88*'Prepay vs Invest'!$B$6/1200,0)</f>
        <v>42415.814161056755</v>
      </c>
      <c r="Z88">
        <f>IF(X88&gt;0,MIN(-PMT('Prepay vs Invest'!$B$6/1200,'Prepay vs Invest'!$B$7*12-A88+1,X88),X88+Y88),0)</f>
        <v>68754.445543849608</v>
      </c>
      <c r="AA88">
        <f>MIN(MAX(0,X88+Y88-Z88),IF(AND(A88&gt;='Prepay vs Invest'!$B$11,A88&lt;='Prepay vs Invest'!$B$12),'Prepay vs Invest'!$B$10,0)+IF(A88='Prepay vs Invest'!$B$9,'Prepay vs Invest'!$B$8,0))</f>
        <v>10000</v>
      </c>
      <c r="AB88">
        <f t="shared" si="21"/>
        <v>6750191.6343862871</v>
      </c>
      <c r="AC88">
        <f t="shared" si="30"/>
        <v>856841.84019117476</v>
      </c>
      <c r="AD88">
        <f>IF(A88&lt;='Prepay vs Invest'!$B$7*12,MAX(0,'Prepay vs Invest'!$E$5+IF(AND(A88&gt;='Prepay vs Invest'!$B$11,A88&lt;='Prepay vs Invest'!$B$12),'Prepay vs Invest'!$B$10,0)+IF(A88='Prepay vs Invest'!$B$9,'Prepay vs Invest'!$B$8,0)-Z88-AA88),0)</f>
        <v>11804.873811331112</v>
      </c>
      <c r="AE88">
        <f>AC88*(1+MAX(0,'Prepay vs Invest'!$B$13-'Prepay vs Invest'!$B$14)/1200)+AD88</f>
        <v>876858.11497100454</v>
      </c>
      <c r="AF88">
        <f t="shared" si="31"/>
        <v>630723.8553332279</v>
      </c>
      <c r="AG88">
        <f>MAX(0,(AE88-AF88-'Prepay vs Invest'!$B$16)*'Prepay vs Invest'!$B$15/100)</f>
        <v>15141.782454722081</v>
      </c>
      <c r="AH88">
        <f t="shared" si="22"/>
        <v>861716.33251628245</v>
      </c>
    </row>
    <row r="89" spans="1:34" x14ac:dyDescent="0.35">
      <c r="A89">
        <f t="shared" si="23"/>
        <v>88</v>
      </c>
      <c r="B89">
        <f>IF(A89&lt;='Prepay vs Invest'!$B$7*12,F88,0)</f>
        <v>7920890.5325171994</v>
      </c>
      <c r="C89">
        <f>IF(B89&gt;0,B89*'Prepay vs Invest'!$B$6/1200,0)</f>
        <v>49505.565828232495</v>
      </c>
      <c r="D89">
        <f>IF(B89&gt;0,MIN(-PMT('Prepay vs Invest'!$B$6/1200,'Prepay vs Invest'!$B$7*12,'Prepay vs Invest'!$B$5),B89+C89),0)</f>
        <v>80559.31935518072</v>
      </c>
      <c r="E89">
        <f t="shared" si="16"/>
        <v>31053.753526948225</v>
      </c>
      <c r="F89">
        <f t="shared" si="17"/>
        <v>7889836.778990251</v>
      </c>
      <c r="G89">
        <f t="shared" si="24"/>
        <v>2371452.7499767439</v>
      </c>
      <c r="H89">
        <f>IF(A89&lt;='Prepay vs Invest'!$B$7*12,IF(AND(A89&gt;='Prepay vs Invest'!$B$11,A89&lt;='Prepay vs Invest'!$B$12),'Prepay vs Invest'!$B$10,0)+IF(A89='Prepay vs Invest'!$B$9,'Prepay vs Invest'!$B$8,0),0)</f>
        <v>10000</v>
      </c>
      <c r="I89">
        <f>G89*(1+MAX(0,'Prepay vs Invest'!$B$13-'Prepay vs Invest'!$B$14)/1200)+H89</f>
        <v>2404179.1721640211</v>
      </c>
      <c r="J89">
        <f t="shared" si="25"/>
        <v>1380000</v>
      </c>
      <c r="K89">
        <f>MAX(0,(I89-J89-'Prepay vs Invest'!$B$16)*'Prepay vs Invest'!$B$15/100)</f>
        <v>112397.39652050265</v>
      </c>
      <c r="L89">
        <f t="shared" si="18"/>
        <v>2291781.7756435182</v>
      </c>
      <c r="M89">
        <f t="shared" si="26"/>
        <v>5971790.7178581469</v>
      </c>
      <c r="N89">
        <f>IF(M89&gt;0,M89*'Prepay vs Invest'!$B$6/1200,0)</f>
        <v>37323.691986613419</v>
      </c>
      <c r="O89">
        <f>IF(M89&gt;0,MIN('Prepay vs Invest'!$E$5,M89+N89),0)</f>
        <v>80559.31935518072</v>
      </c>
      <c r="P89">
        <f>MIN(MAX(0,M89+N89-O89),IF(AND(A89&gt;='Prepay vs Invest'!$B$11,A89&lt;='Prepay vs Invest'!$B$12),'Prepay vs Invest'!$B$10,0)+IF(A89='Prepay vs Invest'!$B$9,'Prepay vs Invest'!$B$8,0))</f>
        <v>10000</v>
      </c>
      <c r="Q89">
        <f t="shared" si="19"/>
        <v>5918555.0904895794</v>
      </c>
      <c r="R89">
        <f t="shared" si="27"/>
        <v>0</v>
      </c>
      <c r="S89">
        <f>IF(A89&lt;='Prepay vs Invest'!$B$7*12,MAX(0,'Prepay vs Invest'!$E$5+IF(AND(A89&gt;='Prepay vs Invest'!$B$11,A89&lt;='Prepay vs Invest'!$B$12),'Prepay vs Invest'!$B$10,0)+IF(A89='Prepay vs Invest'!$B$9,'Prepay vs Invest'!$B$8,0)-O89-P89),0)</f>
        <v>0</v>
      </c>
      <c r="T89">
        <f>R89*(1+MAX(0,'Prepay vs Invest'!$B$13-'Prepay vs Invest'!$B$14)/1200)+S89</f>
        <v>0</v>
      </c>
      <c r="U89">
        <f t="shared" si="28"/>
        <v>0</v>
      </c>
      <c r="V89">
        <f>MAX(0,(T89-U89-'Prepay vs Invest'!$B$16)*'Prepay vs Invest'!$B$15/100)</f>
        <v>0</v>
      </c>
      <c r="W89">
        <f t="shared" si="20"/>
        <v>0</v>
      </c>
      <c r="X89">
        <f t="shared" si="29"/>
        <v>6750191.6343862871</v>
      </c>
      <c r="Y89">
        <f>IF(X89&gt;0,X89*'Prepay vs Invest'!$B$6/1200,0)</f>
        <v>42188.697714914291</v>
      </c>
      <c r="Z89">
        <f>IF(X89&gt;0,MIN(-PMT('Prepay vs Invest'!$B$6/1200,'Prepay vs Invest'!$B$7*12-A89+1,X89),X89+Y89),0)</f>
        <v>68652.740667327875</v>
      </c>
      <c r="AA89">
        <f>MIN(MAX(0,X89+Y89-Z89),IF(AND(A89&gt;='Prepay vs Invest'!$B$11,A89&lt;='Prepay vs Invest'!$B$12),'Prepay vs Invest'!$B$10,0)+IF(A89='Prepay vs Invest'!$B$9,'Prepay vs Invest'!$B$8,0))</f>
        <v>10000</v>
      </c>
      <c r="AB89">
        <f t="shared" si="21"/>
        <v>6713727.5914338734</v>
      </c>
      <c r="AC89">
        <f t="shared" si="30"/>
        <v>876858.11497100454</v>
      </c>
      <c r="AD89">
        <f>IF(A89&lt;='Prepay vs Invest'!$B$7*12,MAX(0,'Prepay vs Invest'!$E$5+IF(AND(A89&gt;='Prepay vs Invest'!$B$11,A89&lt;='Prepay vs Invest'!$B$12),'Prepay vs Invest'!$B$10,0)+IF(A89='Prepay vs Invest'!$B$9,'Prepay vs Invest'!$B$8,0)-Z89-AA89),0)</f>
        <v>11906.578687852845</v>
      </c>
      <c r="AE89">
        <f>AC89*(1+MAX(0,'Prepay vs Invest'!$B$13-'Prepay vs Invest'!$B$14)/1200)+AD89</f>
        <v>897167.91726066277</v>
      </c>
      <c r="AF89">
        <f t="shared" si="31"/>
        <v>642630.43402108073</v>
      </c>
      <c r="AG89">
        <f>MAX(0,(AE89-AF89-'Prepay vs Invest'!$B$16)*'Prepay vs Invest'!$B$15/100)</f>
        <v>16192.185404947753</v>
      </c>
      <c r="AH89">
        <f t="shared" si="22"/>
        <v>880975.73185571504</v>
      </c>
    </row>
    <row r="90" spans="1:34" x14ac:dyDescent="0.35">
      <c r="A90">
        <f t="shared" si="23"/>
        <v>89</v>
      </c>
      <c r="B90">
        <f>IF(A90&lt;='Prepay vs Invest'!$B$7*12,F89,0)</f>
        <v>7889836.778990251</v>
      </c>
      <c r="C90">
        <f>IF(B90&gt;0,B90*'Prepay vs Invest'!$B$6/1200,0)</f>
        <v>49311.479868689064</v>
      </c>
      <c r="D90">
        <f>IF(B90&gt;0,MIN(-PMT('Prepay vs Invest'!$B$6/1200,'Prepay vs Invest'!$B$7*12,'Prepay vs Invest'!$B$5),B90+C90),0)</f>
        <v>80559.31935518072</v>
      </c>
      <c r="E90">
        <f t="shared" si="16"/>
        <v>31247.839486491655</v>
      </c>
      <c r="F90">
        <f t="shared" si="17"/>
        <v>7858588.9395037591</v>
      </c>
      <c r="G90">
        <f t="shared" si="24"/>
        <v>2404179.1721640211</v>
      </c>
      <c r="H90">
        <f>IF(A90&lt;='Prepay vs Invest'!$B$7*12,IF(AND(A90&gt;='Prepay vs Invest'!$B$11,A90&lt;='Prepay vs Invest'!$B$12),'Prepay vs Invest'!$B$10,0)+IF(A90='Prepay vs Invest'!$B$9,'Prepay vs Invest'!$B$8,0),0)</f>
        <v>10000</v>
      </c>
      <c r="I90">
        <f>G90*(1+MAX(0,'Prepay vs Invest'!$B$13-'Prepay vs Invest'!$B$14)/1200)+H90</f>
        <v>2437219.2225639261</v>
      </c>
      <c r="J90">
        <f t="shared" si="25"/>
        <v>1390000</v>
      </c>
      <c r="K90">
        <f>MAX(0,(I90-J90-'Prepay vs Invest'!$B$16)*'Prepay vs Invest'!$B$15/100)</f>
        <v>115277.40282049077</v>
      </c>
      <c r="L90">
        <f t="shared" si="18"/>
        <v>2321941.8197434354</v>
      </c>
      <c r="M90">
        <f t="shared" si="26"/>
        <v>5918555.0904895794</v>
      </c>
      <c r="N90">
        <f>IF(M90&gt;0,M90*'Prepay vs Invest'!$B$6/1200,0)</f>
        <v>36990.969315559872</v>
      </c>
      <c r="O90">
        <f>IF(M90&gt;0,MIN('Prepay vs Invest'!$E$5,M90+N90),0)</f>
        <v>80559.31935518072</v>
      </c>
      <c r="P90">
        <f>MIN(MAX(0,M90+N90-O90),IF(AND(A90&gt;='Prepay vs Invest'!$B$11,A90&lt;='Prepay vs Invest'!$B$12),'Prepay vs Invest'!$B$10,0)+IF(A90='Prepay vs Invest'!$B$9,'Prepay vs Invest'!$B$8,0))</f>
        <v>10000</v>
      </c>
      <c r="Q90">
        <f t="shared" si="19"/>
        <v>5864986.7404499585</v>
      </c>
      <c r="R90">
        <f t="shared" si="27"/>
        <v>0</v>
      </c>
      <c r="S90">
        <f>IF(A90&lt;='Prepay vs Invest'!$B$7*12,MAX(0,'Prepay vs Invest'!$E$5+IF(AND(A90&gt;='Prepay vs Invest'!$B$11,A90&lt;='Prepay vs Invest'!$B$12),'Prepay vs Invest'!$B$10,0)+IF(A90='Prepay vs Invest'!$B$9,'Prepay vs Invest'!$B$8,0)-O90-P90),0)</f>
        <v>0</v>
      </c>
      <c r="T90">
        <f>R90*(1+MAX(0,'Prepay vs Invest'!$B$13-'Prepay vs Invest'!$B$14)/1200)+S90</f>
        <v>0</v>
      </c>
      <c r="U90">
        <f t="shared" si="28"/>
        <v>0</v>
      </c>
      <c r="V90">
        <f>MAX(0,(T90-U90-'Prepay vs Invest'!$B$16)*'Prepay vs Invest'!$B$15/100)</f>
        <v>0</v>
      </c>
      <c r="W90">
        <f t="shared" si="20"/>
        <v>0</v>
      </c>
      <c r="X90">
        <f t="shared" si="29"/>
        <v>6713727.5914338734</v>
      </c>
      <c r="Y90">
        <f>IF(X90&gt;0,X90*'Prepay vs Invest'!$B$6/1200,0)</f>
        <v>41960.797446461715</v>
      </c>
      <c r="Z90">
        <f>IF(X90&gt;0,MIN(-PMT('Prepay vs Invest'!$B$6/1200,'Prepay vs Invest'!$B$7*12-A90+1,X90),X90+Y90),0)</f>
        <v>68550.635488714179</v>
      </c>
      <c r="AA90">
        <f>MIN(MAX(0,X90+Y90-Z90),IF(AND(A90&gt;='Prepay vs Invest'!$B$11,A90&lt;='Prepay vs Invest'!$B$12),'Prepay vs Invest'!$B$10,0)+IF(A90='Prepay vs Invest'!$B$9,'Prepay vs Invest'!$B$8,0))</f>
        <v>10000</v>
      </c>
      <c r="AB90">
        <f t="shared" si="21"/>
        <v>6677137.7533916207</v>
      </c>
      <c r="AC90">
        <f t="shared" si="30"/>
        <v>897167.91726066277</v>
      </c>
      <c r="AD90">
        <f>IF(A90&lt;='Prepay vs Invest'!$B$7*12,MAX(0,'Prepay vs Invest'!$E$5+IF(AND(A90&gt;='Prepay vs Invest'!$B$11,A90&lt;='Prepay vs Invest'!$B$12),'Prepay vs Invest'!$B$10,0)+IF(A90='Prepay vs Invest'!$B$9,'Prepay vs Invest'!$B$8,0)-Z90-AA90),0)</f>
        <v>12008.683866466541</v>
      </c>
      <c r="AE90">
        <f>AC90*(1+MAX(0,'Prepay vs Invest'!$B$13-'Prepay vs Invest'!$B$14)/1200)+AD90</f>
        <v>917774.46033421054</v>
      </c>
      <c r="AF90">
        <f t="shared" si="31"/>
        <v>654639.11788754724</v>
      </c>
      <c r="AG90">
        <f>MAX(0,(AE90-AF90-'Prepay vs Invest'!$B$16)*'Prepay vs Invest'!$B$15/100)</f>
        <v>17266.917805832913</v>
      </c>
      <c r="AH90">
        <f t="shared" si="22"/>
        <v>900507.54252837761</v>
      </c>
    </row>
    <row r="91" spans="1:34" x14ac:dyDescent="0.35">
      <c r="A91">
        <f t="shared" si="23"/>
        <v>90</v>
      </c>
      <c r="B91">
        <f>IF(A91&lt;='Prepay vs Invest'!$B$7*12,F90,0)</f>
        <v>7858588.9395037591</v>
      </c>
      <c r="C91">
        <f>IF(B91&gt;0,B91*'Prepay vs Invest'!$B$6/1200,0)</f>
        <v>49116.180871898498</v>
      </c>
      <c r="D91">
        <f>IF(B91&gt;0,MIN(-PMT('Prepay vs Invest'!$B$6/1200,'Prepay vs Invest'!$B$7*12,'Prepay vs Invest'!$B$5),B91+C91),0)</f>
        <v>80559.31935518072</v>
      </c>
      <c r="E91">
        <f t="shared" si="16"/>
        <v>31443.138483282222</v>
      </c>
      <c r="F91">
        <f t="shared" si="17"/>
        <v>7827145.801020477</v>
      </c>
      <c r="G91">
        <f t="shared" si="24"/>
        <v>2437219.2225639261</v>
      </c>
      <c r="H91">
        <f>IF(A91&lt;='Prepay vs Invest'!$B$7*12,IF(AND(A91&gt;='Prepay vs Invest'!$B$11,A91&lt;='Prepay vs Invest'!$B$12),'Prepay vs Invest'!$B$10,0)+IF(A91='Prepay vs Invest'!$B$9,'Prepay vs Invest'!$B$8,0),0)</f>
        <v>10000</v>
      </c>
      <c r="I91">
        <f>G91*(1+MAX(0,'Prepay vs Invest'!$B$13-'Prepay vs Invest'!$B$14)/1200)+H91</f>
        <v>2470575.9067801638</v>
      </c>
      <c r="J91">
        <f t="shared" si="25"/>
        <v>1400000</v>
      </c>
      <c r="K91">
        <f>MAX(0,(I91-J91-'Prepay vs Invest'!$B$16)*'Prepay vs Invest'!$B$15/100)</f>
        <v>118196.98834752047</v>
      </c>
      <c r="L91">
        <f t="shared" si="18"/>
        <v>2352378.9184326432</v>
      </c>
      <c r="M91">
        <f t="shared" si="26"/>
        <v>5864986.7404499585</v>
      </c>
      <c r="N91">
        <f>IF(M91&gt;0,M91*'Prepay vs Invest'!$B$6/1200,0)</f>
        <v>36656.167127812238</v>
      </c>
      <c r="O91">
        <f>IF(M91&gt;0,MIN('Prepay vs Invest'!$E$5,M91+N91),0)</f>
        <v>80559.31935518072</v>
      </c>
      <c r="P91">
        <f>MIN(MAX(0,M91+N91-O91),IF(AND(A91&gt;='Prepay vs Invest'!$B$11,A91&lt;='Prepay vs Invest'!$B$12),'Prepay vs Invest'!$B$10,0)+IF(A91='Prepay vs Invest'!$B$9,'Prepay vs Invest'!$B$8,0))</f>
        <v>10000</v>
      </c>
      <c r="Q91">
        <f t="shared" si="19"/>
        <v>5811083.5882225903</v>
      </c>
      <c r="R91">
        <f t="shared" si="27"/>
        <v>0</v>
      </c>
      <c r="S91">
        <f>IF(A91&lt;='Prepay vs Invest'!$B$7*12,MAX(0,'Prepay vs Invest'!$E$5+IF(AND(A91&gt;='Prepay vs Invest'!$B$11,A91&lt;='Prepay vs Invest'!$B$12),'Prepay vs Invest'!$B$10,0)+IF(A91='Prepay vs Invest'!$B$9,'Prepay vs Invest'!$B$8,0)-O91-P91),0)</f>
        <v>0</v>
      </c>
      <c r="T91">
        <f>R91*(1+MAX(0,'Prepay vs Invest'!$B$13-'Prepay vs Invest'!$B$14)/1200)+S91</f>
        <v>0</v>
      </c>
      <c r="U91">
        <f t="shared" si="28"/>
        <v>0</v>
      </c>
      <c r="V91">
        <f>MAX(0,(T91-U91-'Prepay vs Invest'!$B$16)*'Prepay vs Invest'!$B$15/100)</f>
        <v>0</v>
      </c>
      <c r="W91">
        <f t="shared" si="20"/>
        <v>0</v>
      </c>
      <c r="X91">
        <f t="shared" si="29"/>
        <v>6677137.7533916207</v>
      </c>
      <c r="Y91">
        <f>IF(X91&gt;0,X91*'Prepay vs Invest'!$B$6/1200,0)</f>
        <v>41732.110958697631</v>
      </c>
      <c r="Z91">
        <f>IF(X91&gt;0,MIN(-PMT('Prepay vs Invest'!$B$6/1200,'Prepay vs Invest'!$B$7*12-A91+1,X91),X91+Y91),0)</f>
        <v>68448.124312757092</v>
      </c>
      <c r="AA91">
        <f>MIN(MAX(0,X91+Y91-Z91),IF(AND(A91&gt;='Prepay vs Invest'!$B$11,A91&lt;='Prepay vs Invest'!$B$12),'Prepay vs Invest'!$B$10,0)+IF(A91='Prepay vs Invest'!$B$9,'Prepay vs Invest'!$B$8,0))</f>
        <v>10000</v>
      </c>
      <c r="AB91">
        <f t="shared" si="21"/>
        <v>6640421.7400375605</v>
      </c>
      <c r="AC91">
        <f t="shared" si="30"/>
        <v>917774.46033421054</v>
      </c>
      <c r="AD91">
        <f>IF(A91&lt;='Prepay vs Invest'!$B$7*12,MAX(0,'Prepay vs Invest'!$E$5+IF(AND(A91&gt;='Prepay vs Invest'!$B$11,A91&lt;='Prepay vs Invest'!$B$12),'Prepay vs Invest'!$B$10,0)+IF(A91='Prepay vs Invest'!$B$9,'Prepay vs Invest'!$B$8,0)-Z91-AA91),0)</f>
        <v>12111.195042423627</v>
      </c>
      <c r="AE91">
        <f>AC91*(1+MAX(0,'Prepay vs Invest'!$B$13-'Prepay vs Invest'!$B$14)/1200)+AD91</f>
        <v>938680.99395483697</v>
      </c>
      <c r="AF91">
        <f t="shared" si="31"/>
        <v>666750.31292997091</v>
      </c>
      <c r="AG91">
        <f>MAX(0,(AE91-AF91-'Prepay vs Invest'!$B$16)*'Prepay vs Invest'!$B$15/100)</f>
        <v>18366.335128108258</v>
      </c>
      <c r="AH91">
        <f t="shared" si="22"/>
        <v>920314.6588267287</v>
      </c>
    </row>
    <row r="92" spans="1:34" x14ac:dyDescent="0.35">
      <c r="A92">
        <f t="shared" si="23"/>
        <v>91</v>
      </c>
      <c r="B92">
        <f>IF(A92&lt;='Prepay vs Invest'!$B$7*12,F91,0)</f>
        <v>7827145.801020477</v>
      </c>
      <c r="C92">
        <f>IF(B92&gt;0,B92*'Prepay vs Invest'!$B$6/1200,0)</f>
        <v>48919.661256377985</v>
      </c>
      <c r="D92">
        <f>IF(B92&gt;0,MIN(-PMT('Prepay vs Invest'!$B$6/1200,'Prepay vs Invest'!$B$7*12,'Prepay vs Invest'!$B$5),B92+C92),0)</f>
        <v>80559.31935518072</v>
      </c>
      <c r="E92">
        <f t="shared" si="16"/>
        <v>31639.658098802734</v>
      </c>
      <c r="F92">
        <f t="shared" si="17"/>
        <v>7795506.1429216741</v>
      </c>
      <c r="G92">
        <f t="shared" si="24"/>
        <v>2470575.9067801638</v>
      </c>
      <c r="H92">
        <f>IF(A92&lt;='Prepay vs Invest'!$B$7*12,IF(AND(A92&gt;='Prepay vs Invest'!$B$11,A92&lt;='Prepay vs Invest'!$B$12),'Prepay vs Invest'!$B$10,0)+IF(A92='Prepay vs Invest'!$B$9,'Prepay vs Invest'!$B$8,0),0)</f>
        <v>10000</v>
      </c>
      <c r="I92">
        <f>G92*(1+MAX(0,'Prepay vs Invest'!$B$13-'Prepay vs Invest'!$B$14)/1200)+H92</f>
        <v>2504252.2592201401</v>
      </c>
      <c r="J92">
        <f t="shared" si="25"/>
        <v>1410000</v>
      </c>
      <c r="K92">
        <f>MAX(0,(I92-J92-'Prepay vs Invest'!$B$16)*'Prepay vs Invest'!$B$15/100)</f>
        <v>121156.53240251749</v>
      </c>
      <c r="L92">
        <f t="shared" si="18"/>
        <v>2383095.7268176228</v>
      </c>
      <c r="M92">
        <f t="shared" si="26"/>
        <v>5811083.5882225903</v>
      </c>
      <c r="N92">
        <f>IF(M92&gt;0,M92*'Prepay vs Invest'!$B$6/1200,0)</f>
        <v>36319.272426391188</v>
      </c>
      <c r="O92">
        <f>IF(M92&gt;0,MIN('Prepay vs Invest'!$E$5,M92+N92),0)</f>
        <v>80559.31935518072</v>
      </c>
      <c r="P92">
        <f>MIN(MAX(0,M92+N92-O92),IF(AND(A92&gt;='Prepay vs Invest'!$B$11,A92&lt;='Prepay vs Invest'!$B$12),'Prepay vs Invest'!$B$10,0)+IF(A92='Prepay vs Invest'!$B$9,'Prepay vs Invest'!$B$8,0))</f>
        <v>10000</v>
      </c>
      <c r="Q92">
        <f t="shared" si="19"/>
        <v>5756843.5412938008</v>
      </c>
      <c r="R92">
        <f t="shared" si="27"/>
        <v>0</v>
      </c>
      <c r="S92">
        <f>IF(A92&lt;='Prepay vs Invest'!$B$7*12,MAX(0,'Prepay vs Invest'!$E$5+IF(AND(A92&gt;='Prepay vs Invest'!$B$11,A92&lt;='Prepay vs Invest'!$B$12),'Prepay vs Invest'!$B$10,0)+IF(A92='Prepay vs Invest'!$B$9,'Prepay vs Invest'!$B$8,0)-O92-P92),0)</f>
        <v>0</v>
      </c>
      <c r="T92">
        <f>R92*(1+MAX(0,'Prepay vs Invest'!$B$13-'Prepay vs Invest'!$B$14)/1200)+S92</f>
        <v>0</v>
      </c>
      <c r="U92">
        <f t="shared" si="28"/>
        <v>0</v>
      </c>
      <c r="V92">
        <f>MAX(0,(T92-U92-'Prepay vs Invest'!$B$16)*'Prepay vs Invest'!$B$15/100)</f>
        <v>0</v>
      </c>
      <c r="W92">
        <f t="shared" si="20"/>
        <v>0</v>
      </c>
      <c r="X92">
        <f t="shared" si="29"/>
        <v>6640421.7400375605</v>
      </c>
      <c r="Y92">
        <f>IF(X92&gt;0,X92*'Prepay vs Invest'!$B$6/1200,0)</f>
        <v>41502.635875234751</v>
      </c>
      <c r="Z92">
        <f>IF(X92&gt;0,MIN(-PMT('Prepay vs Invest'!$B$6/1200,'Prepay vs Invest'!$B$7*12-A92+1,X92),X92+Y92),0)</f>
        <v>68345.201329842064</v>
      </c>
      <c r="AA92">
        <f>MIN(MAX(0,X92+Y92-Z92),IF(AND(A92&gt;='Prepay vs Invest'!$B$11,A92&lt;='Prepay vs Invest'!$B$12),'Prepay vs Invest'!$B$10,0)+IF(A92='Prepay vs Invest'!$B$9,'Prepay vs Invest'!$B$8,0))</f>
        <v>10000</v>
      </c>
      <c r="AB92">
        <f t="shared" si="21"/>
        <v>6603579.1745829526</v>
      </c>
      <c r="AC92">
        <f t="shared" si="30"/>
        <v>938680.99395483697</v>
      </c>
      <c r="AD92">
        <f>IF(A92&lt;='Prepay vs Invest'!$B$7*12,MAX(0,'Prepay vs Invest'!$E$5+IF(AND(A92&gt;='Prepay vs Invest'!$B$11,A92&lt;='Prepay vs Invest'!$B$12),'Prepay vs Invest'!$B$10,0)+IF(A92='Prepay vs Invest'!$B$9,'Prepay vs Invest'!$B$8,0)-Z92-AA92),0)</f>
        <v>12214.118025338656</v>
      </c>
      <c r="AE92">
        <f>AC92*(1+MAX(0,'Prepay vs Invest'!$B$13-'Prepay vs Invest'!$B$14)/1200)+AD92</f>
        <v>959890.80483890942</v>
      </c>
      <c r="AF92">
        <f t="shared" si="31"/>
        <v>678964.43095530954</v>
      </c>
      <c r="AG92">
        <f>MAX(0,(AE92-AF92-'Prepay vs Invest'!$B$16)*'Prepay vs Invest'!$B$15/100)</f>
        <v>19490.796735449985</v>
      </c>
      <c r="AH92">
        <f t="shared" si="22"/>
        <v>940400.00810345937</v>
      </c>
    </row>
    <row r="93" spans="1:34" x14ac:dyDescent="0.35">
      <c r="A93">
        <f t="shared" si="23"/>
        <v>92</v>
      </c>
      <c r="B93">
        <f>IF(A93&lt;='Prepay vs Invest'!$B$7*12,F92,0)</f>
        <v>7795506.1429216741</v>
      </c>
      <c r="C93">
        <f>IF(B93&gt;0,B93*'Prepay vs Invest'!$B$6/1200,0)</f>
        <v>48721.913393260467</v>
      </c>
      <c r="D93">
        <f>IF(B93&gt;0,MIN(-PMT('Prepay vs Invest'!$B$6/1200,'Prepay vs Invest'!$B$7*12,'Prepay vs Invest'!$B$5),B93+C93),0)</f>
        <v>80559.31935518072</v>
      </c>
      <c r="E93">
        <f t="shared" si="16"/>
        <v>31837.405961920253</v>
      </c>
      <c r="F93">
        <f t="shared" si="17"/>
        <v>7763668.7369597545</v>
      </c>
      <c r="G93">
        <f t="shared" si="24"/>
        <v>2504252.2592201401</v>
      </c>
      <c r="H93">
        <f>IF(A93&lt;='Prepay vs Invest'!$B$7*12,IF(AND(A93&gt;='Prepay vs Invest'!$B$11,A93&lt;='Prepay vs Invest'!$B$12),'Prepay vs Invest'!$B$10,0)+IF(A93='Prepay vs Invest'!$B$9,'Prepay vs Invest'!$B$8,0),0)</f>
        <v>10000</v>
      </c>
      <c r="I93">
        <f>G93*(1+MAX(0,'Prepay vs Invest'!$B$13-'Prepay vs Invest'!$B$14)/1200)+H93</f>
        <v>2538251.3433709997</v>
      </c>
      <c r="J93">
        <f t="shared" si="25"/>
        <v>1420000</v>
      </c>
      <c r="K93">
        <f>MAX(0,(I93-J93-'Prepay vs Invest'!$B$16)*'Prepay vs Invest'!$B$15/100)</f>
        <v>124156.41792137496</v>
      </c>
      <c r="L93">
        <f t="shared" si="18"/>
        <v>2414094.9254496247</v>
      </c>
      <c r="M93">
        <f t="shared" si="26"/>
        <v>5756843.5412938008</v>
      </c>
      <c r="N93">
        <f>IF(M93&gt;0,M93*'Prepay vs Invest'!$B$6/1200,0)</f>
        <v>35980.272133086255</v>
      </c>
      <c r="O93">
        <f>IF(M93&gt;0,MIN('Prepay vs Invest'!$E$5,M93+N93),0)</f>
        <v>80559.31935518072</v>
      </c>
      <c r="P93">
        <f>MIN(MAX(0,M93+N93-O93),IF(AND(A93&gt;='Prepay vs Invest'!$B$11,A93&lt;='Prepay vs Invest'!$B$12),'Prepay vs Invest'!$B$10,0)+IF(A93='Prepay vs Invest'!$B$9,'Prepay vs Invest'!$B$8,0))</f>
        <v>10000</v>
      </c>
      <c r="Q93">
        <f t="shared" si="19"/>
        <v>5702264.4940717062</v>
      </c>
      <c r="R93">
        <f t="shared" si="27"/>
        <v>0</v>
      </c>
      <c r="S93">
        <f>IF(A93&lt;='Prepay vs Invest'!$B$7*12,MAX(0,'Prepay vs Invest'!$E$5+IF(AND(A93&gt;='Prepay vs Invest'!$B$11,A93&lt;='Prepay vs Invest'!$B$12),'Prepay vs Invest'!$B$10,0)+IF(A93='Prepay vs Invest'!$B$9,'Prepay vs Invest'!$B$8,0)-O93-P93),0)</f>
        <v>0</v>
      </c>
      <c r="T93">
        <f>R93*(1+MAX(0,'Prepay vs Invest'!$B$13-'Prepay vs Invest'!$B$14)/1200)+S93</f>
        <v>0</v>
      </c>
      <c r="U93">
        <f t="shared" si="28"/>
        <v>0</v>
      </c>
      <c r="V93">
        <f>MAX(0,(T93-U93-'Prepay vs Invest'!$B$16)*'Prepay vs Invest'!$B$15/100)</f>
        <v>0</v>
      </c>
      <c r="W93">
        <f t="shared" si="20"/>
        <v>0</v>
      </c>
      <c r="X93">
        <f t="shared" si="29"/>
        <v>6603579.1745829526</v>
      </c>
      <c r="Y93">
        <f>IF(X93&gt;0,X93*'Prepay vs Invest'!$B$6/1200,0)</f>
        <v>41272.369841143453</v>
      </c>
      <c r="Z93">
        <f>IF(X93&gt;0,MIN(-PMT('Prepay vs Invest'!$B$6/1200,'Prepay vs Invest'!$B$7*12-A93+1,X93),X93+Y93),0)</f>
        <v>68241.8606129236</v>
      </c>
      <c r="AA93">
        <f>MIN(MAX(0,X93+Y93-Z93),IF(AND(A93&gt;='Prepay vs Invest'!$B$11,A93&lt;='Prepay vs Invest'!$B$12),'Prepay vs Invest'!$B$10,0)+IF(A93='Prepay vs Invest'!$B$9,'Prepay vs Invest'!$B$8,0))</f>
        <v>10000</v>
      </c>
      <c r="AB93">
        <f t="shared" si="21"/>
        <v>6566609.6838111728</v>
      </c>
      <c r="AC93">
        <f t="shared" si="30"/>
        <v>959890.80483890942</v>
      </c>
      <c r="AD93">
        <f>IF(A93&lt;='Prepay vs Invest'!$B$7*12,MAX(0,'Prepay vs Invest'!$E$5+IF(AND(A93&gt;='Prepay vs Invest'!$B$11,A93&lt;='Prepay vs Invest'!$B$12),'Prepay vs Invest'!$B$10,0)+IF(A93='Prepay vs Invest'!$B$9,'Prepay vs Invest'!$B$8,0)-Z93-AA93),0)</f>
        <v>12317.45874225712</v>
      </c>
      <c r="AE93">
        <f>AC93*(1+MAX(0,'Prepay vs Invest'!$B$13-'Prepay vs Invest'!$B$14)/1200)+AD93</f>
        <v>981407.21712753933</v>
      </c>
      <c r="AF93">
        <f t="shared" si="31"/>
        <v>691281.88969756663</v>
      </c>
      <c r="AG93">
        <f>MAX(0,(AE93-AF93-'Prepay vs Invest'!$B$16)*'Prepay vs Invest'!$B$15/100)</f>
        <v>20640.665928746588</v>
      </c>
      <c r="AH93">
        <f t="shared" si="22"/>
        <v>960766.55119879276</v>
      </c>
    </row>
    <row r="94" spans="1:34" x14ac:dyDescent="0.35">
      <c r="A94">
        <f t="shared" si="23"/>
        <v>93</v>
      </c>
      <c r="B94">
        <f>IF(A94&lt;='Prepay vs Invest'!$B$7*12,F93,0)</f>
        <v>7763668.7369597545</v>
      </c>
      <c r="C94">
        <f>IF(B94&gt;0,B94*'Prepay vs Invest'!$B$6/1200,0)</f>
        <v>48522.929605998463</v>
      </c>
      <c r="D94">
        <f>IF(B94&gt;0,MIN(-PMT('Prepay vs Invest'!$B$6/1200,'Prepay vs Invest'!$B$7*12,'Prepay vs Invest'!$B$5),B94+C94),0)</f>
        <v>80559.31935518072</v>
      </c>
      <c r="E94">
        <f t="shared" si="16"/>
        <v>32036.389749182257</v>
      </c>
      <c r="F94">
        <f t="shared" si="17"/>
        <v>7731632.3472105721</v>
      </c>
      <c r="G94">
        <f t="shared" si="24"/>
        <v>2538251.3433709997</v>
      </c>
      <c r="H94">
        <f>IF(A94&lt;='Prepay vs Invest'!$B$7*12,IF(AND(A94&gt;='Prepay vs Invest'!$B$11,A94&lt;='Prepay vs Invest'!$B$12),'Prepay vs Invest'!$B$10,0)+IF(A94='Prepay vs Invest'!$B$9,'Prepay vs Invest'!$B$8,0),0)</f>
        <v>10000</v>
      </c>
      <c r="I94">
        <f>G94*(1+MAX(0,'Prepay vs Invest'!$B$13-'Prepay vs Invest'!$B$14)/1200)+H94</f>
        <v>2572576.252078305</v>
      </c>
      <c r="J94">
        <f t="shared" si="25"/>
        <v>1430000</v>
      </c>
      <c r="K94">
        <f>MAX(0,(I94-J94-'Prepay vs Invest'!$B$16)*'Prepay vs Invest'!$B$15/100)</f>
        <v>127197.03150978812</v>
      </c>
      <c r="L94">
        <f t="shared" si="18"/>
        <v>2445379.2205685168</v>
      </c>
      <c r="M94">
        <f t="shared" si="26"/>
        <v>5702264.4940717062</v>
      </c>
      <c r="N94">
        <f>IF(M94&gt;0,M94*'Prepay vs Invest'!$B$6/1200,0)</f>
        <v>35639.153087948165</v>
      </c>
      <c r="O94">
        <f>IF(M94&gt;0,MIN('Prepay vs Invest'!$E$5,M94+N94),0)</f>
        <v>80559.31935518072</v>
      </c>
      <c r="P94">
        <f>MIN(MAX(0,M94+N94-O94),IF(AND(A94&gt;='Prepay vs Invest'!$B$11,A94&lt;='Prepay vs Invest'!$B$12),'Prepay vs Invest'!$B$10,0)+IF(A94='Prepay vs Invest'!$B$9,'Prepay vs Invest'!$B$8,0))</f>
        <v>10000</v>
      </c>
      <c r="Q94">
        <f t="shared" si="19"/>
        <v>5647344.3278044742</v>
      </c>
      <c r="R94">
        <f t="shared" si="27"/>
        <v>0</v>
      </c>
      <c r="S94">
        <f>IF(A94&lt;='Prepay vs Invest'!$B$7*12,MAX(0,'Prepay vs Invest'!$E$5+IF(AND(A94&gt;='Prepay vs Invest'!$B$11,A94&lt;='Prepay vs Invest'!$B$12),'Prepay vs Invest'!$B$10,0)+IF(A94='Prepay vs Invest'!$B$9,'Prepay vs Invest'!$B$8,0)-O94-P94),0)</f>
        <v>0</v>
      </c>
      <c r="T94">
        <f>R94*(1+MAX(0,'Prepay vs Invest'!$B$13-'Prepay vs Invest'!$B$14)/1200)+S94</f>
        <v>0</v>
      </c>
      <c r="U94">
        <f t="shared" si="28"/>
        <v>0</v>
      </c>
      <c r="V94">
        <f>MAX(0,(T94-U94-'Prepay vs Invest'!$B$16)*'Prepay vs Invest'!$B$15/100)</f>
        <v>0</v>
      </c>
      <c r="W94">
        <f t="shared" si="20"/>
        <v>0</v>
      </c>
      <c r="X94">
        <f t="shared" si="29"/>
        <v>6566609.6838111728</v>
      </c>
      <c r="Y94">
        <f>IF(X94&gt;0,X94*'Prepay vs Invest'!$B$6/1200,0)</f>
        <v>41041.310523819833</v>
      </c>
      <c r="Z94">
        <f>IF(X94&gt;0,MIN(-PMT('Prepay vs Invest'!$B$6/1200,'Prepay vs Invest'!$B$7*12-A94+1,X94),X94+Y94),0)</f>
        <v>68138.096114353903</v>
      </c>
      <c r="AA94">
        <f>MIN(MAX(0,X94+Y94-Z94),IF(AND(A94&gt;='Prepay vs Invest'!$B$11,A94&lt;='Prepay vs Invest'!$B$12),'Prepay vs Invest'!$B$10,0)+IF(A94='Prepay vs Invest'!$B$9,'Prepay vs Invest'!$B$8,0))</f>
        <v>10000</v>
      </c>
      <c r="AB94">
        <f t="shared" si="21"/>
        <v>6529512.8982206387</v>
      </c>
      <c r="AC94">
        <f t="shared" si="30"/>
        <v>981407.21712753933</v>
      </c>
      <c r="AD94">
        <f>IF(A94&lt;='Prepay vs Invest'!$B$7*12,MAX(0,'Prepay vs Invest'!$E$5+IF(AND(A94&gt;='Prepay vs Invest'!$B$11,A94&lt;='Prepay vs Invest'!$B$12),'Prepay vs Invest'!$B$10,0)+IF(A94='Prepay vs Invest'!$B$9,'Prepay vs Invest'!$B$8,0)-Z94-AA94),0)</f>
        <v>12421.223240826817</v>
      </c>
      <c r="AE94">
        <f>AC94*(1+MAX(0,'Prepay vs Invest'!$B$13-'Prepay vs Invest'!$B$14)/1200)+AD94</f>
        <v>1003233.5928658384</v>
      </c>
      <c r="AF94">
        <f t="shared" si="31"/>
        <v>703703.11293839349</v>
      </c>
      <c r="AG94">
        <f>MAX(0,(AE94-AF94-'Prepay vs Invest'!$B$16)*'Prepay vs Invest'!$B$15/100)</f>
        <v>21816.309990930618</v>
      </c>
      <c r="AH94">
        <f t="shared" si="22"/>
        <v>981417.28287490783</v>
      </c>
    </row>
    <row r="95" spans="1:34" x14ac:dyDescent="0.35">
      <c r="A95">
        <f t="shared" si="23"/>
        <v>94</v>
      </c>
      <c r="B95">
        <f>IF(A95&lt;='Prepay vs Invest'!$B$7*12,F94,0)</f>
        <v>7731632.3472105721</v>
      </c>
      <c r="C95">
        <f>IF(B95&gt;0,B95*'Prepay vs Invest'!$B$6/1200,0)</f>
        <v>48322.702170066077</v>
      </c>
      <c r="D95">
        <f>IF(B95&gt;0,MIN(-PMT('Prepay vs Invest'!$B$6/1200,'Prepay vs Invest'!$B$7*12,'Prepay vs Invest'!$B$5),B95+C95),0)</f>
        <v>80559.31935518072</v>
      </c>
      <c r="E95">
        <f t="shared" si="16"/>
        <v>32236.617185114643</v>
      </c>
      <c r="F95">
        <f t="shared" si="17"/>
        <v>7699395.7300254581</v>
      </c>
      <c r="G95">
        <f t="shared" si="24"/>
        <v>2572576.252078305</v>
      </c>
      <c r="H95">
        <f>IF(A95&lt;='Prepay vs Invest'!$B$7*12,IF(AND(A95&gt;='Prepay vs Invest'!$B$11,A95&lt;='Prepay vs Invest'!$B$12),'Prepay vs Invest'!$B$10,0)+IF(A95='Prepay vs Invest'!$B$9,'Prepay vs Invest'!$B$8,0),0)</f>
        <v>10000</v>
      </c>
      <c r="I95">
        <f>G95*(1+MAX(0,'Prepay vs Invest'!$B$13-'Prepay vs Invest'!$B$14)/1200)+H95</f>
        <v>2607230.1078273887</v>
      </c>
      <c r="J95">
        <f t="shared" si="25"/>
        <v>1440000</v>
      </c>
      <c r="K95">
        <f>MAX(0,(I95-J95-'Prepay vs Invest'!$B$16)*'Prepay vs Invest'!$B$15/100)</f>
        <v>130278.76347842359</v>
      </c>
      <c r="L95">
        <f t="shared" si="18"/>
        <v>2476951.3443489652</v>
      </c>
      <c r="M95">
        <f t="shared" si="26"/>
        <v>5647344.3278044742</v>
      </c>
      <c r="N95">
        <f>IF(M95&gt;0,M95*'Prepay vs Invest'!$B$6/1200,0)</f>
        <v>35295.902048777964</v>
      </c>
      <c r="O95">
        <f>IF(M95&gt;0,MIN('Prepay vs Invest'!$E$5,M95+N95),0)</f>
        <v>80559.31935518072</v>
      </c>
      <c r="P95">
        <f>MIN(MAX(0,M95+N95-O95),IF(AND(A95&gt;='Prepay vs Invest'!$B$11,A95&lt;='Prepay vs Invest'!$B$12),'Prepay vs Invest'!$B$10,0)+IF(A95='Prepay vs Invest'!$B$9,'Prepay vs Invest'!$B$8,0))</f>
        <v>10000</v>
      </c>
      <c r="Q95">
        <f t="shared" si="19"/>
        <v>5592080.9104980715</v>
      </c>
      <c r="R95">
        <f t="shared" si="27"/>
        <v>0</v>
      </c>
      <c r="S95">
        <f>IF(A95&lt;='Prepay vs Invest'!$B$7*12,MAX(0,'Prepay vs Invest'!$E$5+IF(AND(A95&gt;='Prepay vs Invest'!$B$11,A95&lt;='Prepay vs Invest'!$B$12),'Prepay vs Invest'!$B$10,0)+IF(A95='Prepay vs Invest'!$B$9,'Prepay vs Invest'!$B$8,0)-O95-P95),0)</f>
        <v>0</v>
      </c>
      <c r="T95">
        <f>R95*(1+MAX(0,'Prepay vs Invest'!$B$13-'Prepay vs Invest'!$B$14)/1200)+S95</f>
        <v>0</v>
      </c>
      <c r="U95">
        <f t="shared" si="28"/>
        <v>0</v>
      </c>
      <c r="V95">
        <f>MAX(0,(T95-U95-'Prepay vs Invest'!$B$16)*'Prepay vs Invest'!$B$15/100)</f>
        <v>0</v>
      </c>
      <c r="W95">
        <f t="shared" si="20"/>
        <v>0</v>
      </c>
      <c r="X95">
        <f t="shared" si="29"/>
        <v>6529512.8982206387</v>
      </c>
      <c r="Y95">
        <f>IF(X95&gt;0,X95*'Prepay vs Invest'!$B$6/1200,0)</f>
        <v>40809.455613878992</v>
      </c>
      <c r="Z95">
        <f>IF(X95&gt;0,MIN(-PMT('Prepay vs Invest'!$B$6/1200,'Prepay vs Invest'!$B$7*12-A95+1,X95),X95+Y95),0)</f>
        <v>68033.90166260369</v>
      </c>
      <c r="AA95">
        <f>MIN(MAX(0,X95+Y95-Z95),IF(AND(A95&gt;='Prepay vs Invest'!$B$11,A95&lt;='Prepay vs Invest'!$B$12),'Prepay vs Invest'!$B$10,0)+IF(A95='Prepay vs Invest'!$B$9,'Prepay vs Invest'!$B$8,0))</f>
        <v>10000</v>
      </c>
      <c r="AB95">
        <f t="shared" si="21"/>
        <v>6492288.4521719133</v>
      </c>
      <c r="AC95">
        <f t="shared" si="30"/>
        <v>1003233.5928658384</v>
      </c>
      <c r="AD95">
        <f>IF(A95&lt;='Prepay vs Invest'!$B$7*12,MAX(0,'Prepay vs Invest'!$E$5+IF(AND(A95&gt;='Prepay vs Invest'!$B$11,A95&lt;='Prepay vs Invest'!$B$12),'Prepay vs Invest'!$B$10,0)+IF(A95='Prepay vs Invest'!$B$9,'Prepay vs Invest'!$B$8,0)-Z95-AA95),0)</f>
        <v>12525.41769257703</v>
      </c>
      <c r="AE95">
        <f>AC95*(1+MAX(0,'Prepay vs Invest'!$B$13-'Prepay vs Invest'!$B$14)/1200)+AD95</f>
        <v>1025373.3324900463</v>
      </c>
      <c r="AF95">
        <f t="shared" si="31"/>
        <v>716228.53063097049</v>
      </c>
      <c r="AG95">
        <f>MAX(0,(AE95-AF95-'Prepay vs Invest'!$B$16)*'Prepay vs Invest'!$B$15/100)</f>
        <v>23018.100232384473</v>
      </c>
      <c r="AH95">
        <f t="shared" si="22"/>
        <v>1002355.2322576618</v>
      </c>
    </row>
    <row r="96" spans="1:34" x14ac:dyDescent="0.35">
      <c r="A96">
        <f t="shared" si="23"/>
        <v>95</v>
      </c>
      <c r="B96">
        <f>IF(A96&lt;='Prepay vs Invest'!$B$7*12,F95,0)</f>
        <v>7699395.7300254581</v>
      </c>
      <c r="C96">
        <f>IF(B96&gt;0,B96*'Prepay vs Invest'!$B$6/1200,0)</f>
        <v>48121.223312659116</v>
      </c>
      <c r="D96">
        <f>IF(B96&gt;0,MIN(-PMT('Prepay vs Invest'!$B$6/1200,'Prepay vs Invest'!$B$7*12,'Prepay vs Invest'!$B$5),B96+C96),0)</f>
        <v>80559.31935518072</v>
      </c>
      <c r="E96">
        <f t="shared" si="16"/>
        <v>32438.096042521604</v>
      </c>
      <c r="F96">
        <f t="shared" si="17"/>
        <v>7666957.6339829369</v>
      </c>
      <c r="G96">
        <f t="shared" si="24"/>
        <v>2607230.1078273887</v>
      </c>
      <c r="H96">
        <f>IF(A96&lt;='Prepay vs Invest'!$B$7*12,IF(AND(A96&gt;='Prepay vs Invest'!$B$11,A96&lt;='Prepay vs Invest'!$B$12),'Prepay vs Invest'!$B$10,0)+IF(A96='Prepay vs Invest'!$B$9,'Prepay vs Invest'!$B$8,0),0)</f>
        <v>10000</v>
      </c>
      <c r="I96">
        <f>G96*(1+MAX(0,'Prepay vs Invest'!$B$13-'Prepay vs Invest'!$B$14)/1200)+H96</f>
        <v>2642216.063027401</v>
      </c>
      <c r="J96">
        <f t="shared" si="25"/>
        <v>1450000</v>
      </c>
      <c r="K96">
        <f>MAX(0,(I96-J96-'Prepay vs Invest'!$B$16)*'Prepay vs Invest'!$B$15/100)</f>
        <v>133402.00787842512</v>
      </c>
      <c r="L96">
        <f t="shared" si="18"/>
        <v>2508814.0551489759</v>
      </c>
      <c r="M96">
        <f t="shared" si="26"/>
        <v>5592080.9104980715</v>
      </c>
      <c r="N96">
        <f>IF(M96&gt;0,M96*'Prepay vs Invest'!$B$6/1200,0)</f>
        <v>34950.505690612947</v>
      </c>
      <c r="O96">
        <f>IF(M96&gt;0,MIN('Prepay vs Invest'!$E$5,M96+N96),0)</f>
        <v>80559.31935518072</v>
      </c>
      <c r="P96">
        <f>MIN(MAX(0,M96+N96-O96),IF(AND(A96&gt;='Prepay vs Invest'!$B$11,A96&lt;='Prepay vs Invest'!$B$12),'Prepay vs Invest'!$B$10,0)+IF(A96='Prepay vs Invest'!$B$9,'Prepay vs Invest'!$B$8,0))</f>
        <v>10000</v>
      </c>
      <c r="Q96">
        <f t="shared" si="19"/>
        <v>5536472.0968335038</v>
      </c>
      <c r="R96">
        <f t="shared" si="27"/>
        <v>0</v>
      </c>
      <c r="S96">
        <f>IF(A96&lt;='Prepay vs Invest'!$B$7*12,MAX(0,'Prepay vs Invest'!$E$5+IF(AND(A96&gt;='Prepay vs Invest'!$B$11,A96&lt;='Prepay vs Invest'!$B$12),'Prepay vs Invest'!$B$10,0)+IF(A96='Prepay vs Invest'!$B$9,'Prepay vs Invest'!$B$8,0)-O96-P96),0)</f>
        <v>0</v>
      </c>
      <c r="T96">
        <f>R96*(1+MAX(0,'Prepay vs Invest'!$B$13-'Prepay vs Invest'!$B$14)/1200)+S96</f>
        <v>0</v>
      </c>
      <c r="U96">
        <f t="shared" si="28"/>
        <v>0</v>
      </c>
      <c r="V96">
        <f>MAX(0,(T96-U96-'Prepay vs Invest'!$B$16)*'Prepay vs Invest'!$B$15/100)</f>
        <v>0</v>
      </c>
      <c r="W96">
        <f t="shared" si="20"/>
        <v>0</v>
      </c>
      <c r="X96">
        <f t="shared" si="29"/>
        <v>6492288.4521719133</v>
      </c>
      <c r="Y96">
        <f>IF(X96&gt;0,X96*'Prepay vs Invest'!$B$6/1200,0)</f>
        <v>40576.802826074461</v>
      </c>
      <c r="Z96">
        <f>IF(X96&gt;0,MIN(-PMT('Prepay vs Invest'!$B$6/1200,'Prepay vs Invest'!$B$7*12-A96+1,X96),X96+Y96),0)</f>
        <v>67929.270958870649</v>
      </c>
      <c r="AA96">
        <f>MIN(MAX(0,X96+Y96-Z96),IF(AND(A96&gt;='Prepay vs Invest'!$B$11,A96&lt;='Prepay vs Invest'!$B$12),'Prepay vs Invest'!$B$10,0)+IF(A96='Prepay vs Invest'!$B$9,'Prepay vs Invest'!$B$8,0))</f>
        <v>10000</v>
      </c>
      <c r="AB96">
        <f t="shared" si="21"/>
        <v>6454935.9840391176</v>
      </c>
      <c r="AC96">
        <f t="shared" si="30"/>
        <v>1025373.3324900463</v>
      </c>
      <c r="AD96">
        <f>IF(A96&lt;='Prepay vs Invest'!$B$7*12,MAX(0,'Prepay vs Invest'!$E$5+IF(AND(A96&gt;='Prepay vs Invest'!$B$11,A96&lt;='Prepay vs Invest'!$B$12),'Prepay vs Invest'!$B$10,0)+IF(A96='Prepay vs Invest'!$B$9,'Prepay vs Invest'!$B$8,0)-Z96-AA96),0)</f>
        <v>12630.048396310071</v>
      </c>
      <c r="AE96">
        <f>AC96*(1+MAX(0,'Prepay vs Invest'!$B$13-'Prepay vs Invest'!$B$14)/1200)+AD96</f>
        <v>1047829.8753227192</v>
      </c>
      <c r="AF96">
        <f t="shared" si="31"/>
        <v>728858.57902728056</v>
      </c>
      <c r="AG96">
        <f>MAX(0,(AE96-AF96-'Prepay vs Invest'!$B$16)*'Prepay vs Invest'!$B$15/100)</f>
        <v>24246.412036929833</v>
      </c>
      <c r="AH96">
        <f t="shared" si="22"/>
        <v>1023583.4632857894</v>
      </c>
    </row>
    <row r="97" spans="1:34" x14ac:dyDescent="0.35">
      <c r="A97">
        <f t="shared" si="23"/>
        <v>96</v>
      </c>
      <c r="B97">
        <f>IF(A97&lt;='Prepay vs Invest'!$B$7*12,F96,0)</f>
        <v>7666957.6339829369</v>
      </c>
      <c r="C97">
        <f>IF(B97&gt;0,B97*'Prepay vs Invest'!$B$6/1200,0)</f>
        <v>47918.485212393352</v>
      </c>
      <c r="D97">
        <f>IF(B97&gt;0,MIN(-PMT('Prepay vs Invest'!$B$6/1200,'Prepay vs Invest'!$B$7*12,'Prepay vs Invest'!$B$5),B97+C97),0)</f>
        <v>80559.31935518072</v>
      </c>
      <c r="E97">
        <f t="shared" si="16"/>
        <v>32640.834142787367</v>
      </c>
      <c r="F97">
        <f t="shared" si="17"/>
        <v>7634316.7998401495</v>
      </c>
      <c r="G97">
        <f t="shared" si="24"/>
        <v>2642216.063027401</v>
      </c>
      <c r="H97">
        <f>IF(A97&lt;='Prepay vs Invest'!$B$7*12,IF(AND(A97&gt;='Prepay vs Invest'!$B$11,A97&lt;='Prepay vs Invest'!$B$12),'Prepay vs Invest'!$B$10,0)+IF(A97='Prepay vs Invest'!$B$9,'Prepay vs Invest'!$B$8,0),0)</f>
        <v>10000</v>
      </c>
      <c r="I97">
        <f>G97*(1+MAX(0,'Prepay vs Invest'!$B$13-'Prepay vs Invest'!$B$14)/1200)+H97</f>
        <v>2677537.3002980803</v>
      </c>
      <c r="J97">
        <f t="shared" si="25"/>
        <v>1460000</v>
      </c>
      <c r="K97">
        <f>MAX(0,(I97-J97-'Prepay vs Invest'!$B$16)*'Prepay vs Invest'!$B$15/100)</f>
        <v>136567.16253726004</v>
      </c>
      <c r="L97">
        <f t="shared" si="18"/>
        <v>2540970.1377608203</v>
      </c>
      <c r="M97">
        <f t="shared" si="26"/>
        <v>5536472.0968335038</v>
      </c>
      <c r="N97">
        <f>IF(M97&gt;0,M97*'Prepay vs Invest'!$B$6/1200,0)</f>
        <v>34602.9506052094</v>
      </c>
      <c r="O97">
        <f>IF(M97&gt;0,MIN('Prepay vs Invest'!$E$5,M97+N97),0)</f>
        <v>80559.31935518072</v>
      </c>
      <c r="P97">
        <f>MIN(MAX(0,M97+N97-O97),IF(AND(A97&gt;='Prepay vs Invest'!$B$11,A97&lt;='Prepay vs Invest'!$B$12),'Prepay vs Invest'!$B$10,0)+IF(A97='Prepay vs Invest'!$B$9,'Prepay vs Invest'!$B$8,0))</f>
        <v>10000</v>
      </c>
      <c r="Q97">
        <f t="shared" si="19"/>
        <v>5480515.7280835323</v>
      </c>
      <c r="R97">
        <f t="shared" si="27"/>
        <v>0</v>
      </c>
      <c r="S97">
        <f>IF(A97&lt;='Prepay vs Invest'!$B$7*12,MAX(0,'Prepay vs Invest'!$E$5+IF(AND(A97&gt;='Prepay vs Invest'!$B$11,A97&lt;='Prepay vs Invest'!$B$12),'Prepay vs Invest'!$B$10,0)+IF(A97='Prepay vs Invest'!$B$9,'Prepay vs Invest'!$B$8,0)-O97-P97),0)</f>
        <v>0</v>
      </c>
      <c r="T97">
        <f>R97*(1+MAX(0,'Prepay vs Invest'!$B$13-'Prepay vs Invest'!$B$14)/1200)+S97</f>
        <v>0</v>
      </c>
      <c r="U97">
        <f t="shared" si="28"/>
        <v>0</v>
      </c>
      <c r="V97">
        <f>MAX(0,(T97-U97-'Prepay vs Invest'!$B$16)*'Prepay vs Invest'!$B$15/100)</f>
        <v>0</v>
      </c>
      <c r="W97">
        <f t="shared" si="20"/>
        <v>0</v>
      </c>
      <c r="X97">
        <f t="shared" si="29"/>
        <v>6454935.9840391176</v>
      </c>
      <c r="Y97">
        <f>IF(X97&gt;0,X97*'Prepay vs Invest'!$B$6/1200,0)</f>
        <v>40343.349900244488</v>
      </c>
      <c r="Z97">
        <f>IF(X97&gt;0,MIN(-PMT('Prepay vs Invest'!$B$6/1200,'Prepay vs Invest'!$B$7*12-A97+1,X97),X97+Y97),0)</f>
        <v>67824.197573570971</v>
      </c>
      <c r="AA97">
        <f>MIN(MAX(0,X97+Y97-Z97),IF(AND(A97&gt;='Prepay vs Invest'!$B$11,A97&lt;='Prepay vs Invest'!$B$12),'Prepay vs Invest'!$B$10,0)+IF(A97='Prepay vs Invest'!$B$9,'Prepay vs Invest'!$B$8,0))</f>
        <v>10000</v>
      </c>
      <c r="AB97">
        <f t="shared" si="21"/>
        <v>6417455.1363657918</v>
      </c>
      <c r="AC97">
        <f t="shared" si="30"/>
        <v>1047829.8753227192</v>
      </c>
      <c r="AD97">
        <f>IF(A97&lt;='Prepay vs Invest'!$B$7*12,MAX(0,'Prepay vs Invest'!$E$5+IF(AND(A97&gt;='Prepay vs Invest'!$B$11,A97&lt;='Prepay vs Invest'!$B$12),'Prepay vs Invest'!$B$10,0)+IF(A97='Prepay vs Invest'!$B$9,'Prepay vs Invest'!$B$8,0)-Z97-AA97),0)</f>
        <v>12735.121781609749</v>
      </c>
      <c r="AE97">
        <f>AC97*(1+MAX(0,'Prepay vs Invest'!$B$13-'Prepay vs Invest'!$B$14)/1200)+AD97</f>
        <v>1070606.7000761717</v>
      </c>
      <c r="AF97">
        <f t="shared" si="31"/>
        <v>741593.70080889028</v>
      </c>
      <c r="AG97">
        <f>MAX(0,(AE97-AF97-'Prepay vs Invest'!$B$16)*'Prepay vs Invest'!$B$15/100)</f>
        <v>25501.624908410173</v>
      </c>
      <c r="AH97">
        <f t="shared" si="22"/>
        <v>1045105.0751677615</v>
      </c>
    </row>
    <row r="98" spans="1:34" x14ac:dyDescent="0.35">
      <c r="A98">
        <f t="shared" si="23"/>
        <v>97</v>
      </c>
      <c r="B98">
        <f>IF(A98&lt;='Prepay vs Invest'!$B$7*12,F97,0)</f>
        <v>7634316.7998401495</v>
      </c>
      <c r="C98">
        <f>IF(B98&gt;0,B98*'Prepay vs Invest'!$B$6/1200,0)</f>
        <v>47714.479999000934</v>
      </c>
      <c r="D98">
        <f>IF(B98&gt;0,MIN(-PMT('Prepay vs Invest'!$B$6/1200,'Prepay vs Invest'!$B$7*12,'Prepay vs Invest'!$B$5),B98+C98),0)</f>
        <v>80559.31935518072</v>
      </c>
      <c r="E98">
        <f t="shared" si="16"/>
        <v>32844.839356179786</v>
      </c>
      <c r="F98">
        <f t="shared" si="17"/>
        <v>7601471.9604839701</v>
      </c>
      <c r="G98">
        <f t="shared" si="24"/>
        <v>2677537.3002980803</v>
      </c>
      <c r="H98">
        <f>IF(A98&lt;='Prepay vs Invest'!$B$7*12,IF(AND(A98&gt;='Prepay vs Invest'!$B$11,A98&lt;='Prepay vs Invest'!$B$12),'Prepay vs Invest'!$B$10,0)+IF(A98='Prepay vs Invest'!$B$9,'Prepay vs Invest'!$B$8,0),0)</f>
        <v>10000</v>
      </c>
      <c r="I98">
        <f>G98*(1+MAX(0,'Prepay vs Invest'!$B$13-'Prepay vs Invest'!$B$14)/1200)+H98</f>
        <v>2713197.0327592702</v>
      </c>
      <c r="J98">
        <f t="shared" si="25"/>
        <v>1470000</v>
      </c>
      <c r="K98">
        <f>MAX(0,(I98-J98-'Prepay vs Invest'!$B$16)*'Prepay vs Invest'!$B$15/100)</f>
        <v>139774.62909490877</v>
      </c>
      <c r="L98">
        <f t="shared" si="18"/>
        <v>2573422.4036643612</v>
      </c>
      <c r="M98">
        <f t="shared" si="26"/>
        <v>5480515.7280835323</v>
      </c>
      <c r="N98">
        <f>IF(M98&gt;0,M98*'Prepay vs Invest'!$B$6/1200,0)</f>
        <v>34253.223300522077</v>
      </c>
      <c r="O98">
        <f>IF(M98&gt;0,MIN('Prepay vs Invest'!$E$5,M98+N98),0)</f>
        <v>80559.31935518072</v>
      </c>
      <c r="P98">
        <f>MIN(MAX(0,M98+N98-O98),IF(AND(A98&gt;='Prepay vs Invest'!$B$11,A98&lt;='Prepay vs Invest'!$B$12),'Prepay vs Invest'!$B$10,0)+IF(A98='Prepay vs Invest'!$B$9,'Prepay vs Invest'!$B$8,0))</f>
        <v>10000</v>
      </c>
      <c r="Q98">
        <f t="shared" si="19"/>
        <v>5424209.632028874</v>
      </c>
      <c r="R98">
        <f t="shared" si="27"/>
        <v>0</v>
      </c>
      <c r="S98">
        <f>IF(A98&lt;='Prepay vs Invest'!$B$7*12,MAX(0,'Prepay vs Invest'!$E$5+IF(AND(A98&gt;='Prepay vs Invest'!$B$11,A98&lt;='Prepay vs Invest'!$B$12),'Prepay vs Invest'!$B$10,0)+IF(A98='Prepay vs Invest'!$B$9,'Prepay vs Invest'!$B$8,0)-O98-P98),0)</f>
        <v>0</v>
      </c>
      <c r="T98">
        <f>R98*(1+MAX(0,'Prepay vs Invest'!$B$13-'Prepay vs Invest'!$B$14)/1200)+S98</f>
        <v>0</v>
      </c>
      <c r="U98">
        <f t="shared" si="28"/>
        <v>0</v>
      </c>
      <c r="V98">
        <f>MAX(0,(T98-U98-'Prepay vs Invest'!$B$16)*'Prepay vs Invest'!$B$15/100)</f>
        <v>0</v>
      </c>
      <c r="W98">
        <f t="shared" si="20"/>
        <v>0</v>
      </c>
      <c r="X98">
        <f t="shared" si="29"/>
        <v>6417455.1363657918</v>
      </c>
      <c r="Y98">
        <f>IF(X98&gt;0,X98*'Prepay vs Invest'!$B$6/1200,0)</f>
        <v>40109.094602286204</v>
      </c>
      <c r="Z98">
        <f>IF(X98&gt;0,MIN(-PMT('Prepay vs Invest'!$B$6/1200,'Prepay vs Invest'!$B$7*12-A98+1,X98),X98+Y98),0)</f>
        <v>67718.674942709127</v>
      </c>
      <c r="AA98">
        <f>MIN(MAX(0,X98+Y98-Z98),IF(AND(A98&gt;='Prepay vs Invest'!$B$11,A98&lt;='Prepay vs Invest'!$B$12),'Prepay vs Invest'!$B$10,0)+IF(A98='Prepay vs Invest'!$B$9,'Prepay vs Invest'!$B$8,0))</f>
        <v>10000</v>
      </c>
      <c r="AB98">
        <f t="shared" si="21"/>
        <v>6379845.5560253682</v>
      </c>
      <c r="AC98">
        <f t="shared" si="30"/>
        <v>1070606.7000761717</v>
      </c>
      <c r="AD98">
        <f>IF(A98&lt;='Prepay vs Invest'!$B$7*12,MAX(0,'Prepay vs Invest'!$E$5+IF(AND(A98&gt;='Prepay vs Invest'!$B$11,A98&lt;='Prepay vs Invest'!$B$12),'Prepay vs Invest'!$B$10,0)+IF(A98='Prepay vs Invest'!$B$9,'Prepay vs Invest'!$B$8,0)-Z98-AA98),0)</f>
        <v>12840.644412471593</v>
      </c>
      <c r="AE98">
        <f>AC98*(1+MAX(0,'Prepay vs Invest'!$B$13-'Prepay vs Invest'!$B$14)/1200)+AD98</f>
        <v>1093707.3253643732</v>
      </c>
      <c r="AF98">
        <f t="shared" si="31"/>
        <v>754434.34522136184</v>
      </c>
      <c r="AG98">
        <f>MAX(0,(AE98-AF98-'Prepay vs Invest'!$B$16)*'Prepay vs Invest'!$B$15/100)</f>
        <v>26784.122517876414</v>
      </c>
      <c r="AH98">
        <f t="shared" si="22"/>
        <v>1066923.2028464968</v>
      </c>
    </row>
    <row r="99" spans="1:34" x14ac:dyDescent="0.35">
      <c r="A99">
        <f t="shared" si="23"/>
        <v>98</v>
      </c>
      <c r="B99">
        <f>IF(A99&lt;='Prepay vs Invest'!$B$7*12,F98,0)</f>
        <v>7601471.9604839701</v>
      </c>
      <c r="C99">
        <f>IF(B99&gt;0,B99*'Prepay vs Invest'!$B$6/1200,0)</f>
        <v>47509.199753024812</v>
      </c>
      <c r="D99">
        <f>IF(B99&gt;0,MIN(-PMT('Prepay vs Invest'!$B$6/1200,'Prepay vs Invest'!$B$7*12,'Prepay vs Invest'!$B$5),B99+C99),0)</f>
        <v>80559.31935518072</v>
      </c>
      <c r="E99">
        <f t="shared" si="16"/>
        <v>33050.119602155908</v>
      </c>
      <c r="F99">
        <f t="shared" si="17"/>
        <v>7568421.8408818142</v>
      </c>
      <c r="G99">
        <f t="shared" si="24"/>
        <v>2713197.0327592702</v>
      </c>
      <c r="H99">
        <f>IF(A99&lt;='Prepay vs Invest'!$B$7*12,IF(AND(A99&gt;='Prepay vs Invest'!$B$11,A99&lt;='Prepay vs Invest'!$B$12),'Prepay vs Invest'!$B$10,0)+IF(A99='Prepay vs Invest'!$B$9,'Prepay vs Invest'!$B$8,0),0)</f>
        <v>10000</v>
      </c>
      <c r="I99">
        <f>G99*(1+MAX(0,'Prepay vs Invest'!$B$13-'Prepay vs Invest'!$B$14)/1200)+H99</f>
        <v>2749198.5043232129</v>
      </c>
      <c r="J99">
        <f t="shared" si="25"/>
        <v>1480000</v>
      </c>
      <c r="K99">
        <f>MAX(0,(I99-J99-'Prepay vs Invest'!$B$16)*'Prepay vs Invest'!$B$15/100)</f>
        <v>143024.81304040161</v>
      </c>
      <c r="L99">
        <f t="shared" si="18"/>
        <v>2606173.6912828111</v>
      </c>
      <c r="M99">
        <f t="shared" si="26"/>
        <v>5424209.632028874</v>
      </c>
      <c r="N99">
        <f>IF(M99&gt;0,M99*'Prepay vs Invest'!$B$6/1200,0)</f>
        <v>33901.310200180458</v>
      </c>
      <c r="O99">
        <f>IF(M99&gt;0,MIN('Prepay vs Invest'!$E$5,M99+N99),0)</f>
        <v>80559.31935518072</v>
      </c>
      <c r="P99">
        <f>MIN(MAX(0,M99+N99-O99),IF(AND(A99&gt;='Prepay vs Invest'!$B$11,A99&lt;='Prepay vs Invest'!$B$12),'Prepay vs Invest'!$B$10,0)+IF(A99='Prepay vs Invest'!$B$9,'Prepay vs Invest'!$B$8,0))</f>
        <v>10000</v>
      </c>
      <c r="Q99">
        <f t="shared" si="19"/>
        <v>5367551.6228738744</v>
      </c>
      <c r="R99">
        <f t="shared" si="27"/>
        <v>0</v>
      </c>
      <c r="S99">
        <f>IF(A99&lt;='Prepay vs Invest'!$B$7*12,MAX(0,'Prepay vs Invest'!$E$5+IF(AND(A99&gt;='Prepay vs Invest'!$B$11,A99&lt;='Prepay vs Invest'!$B$12),'Prepay vs Invest'!$B$10,0)+IF(A99='Prepay vs Invest'!$B$9,'Prepay vs Invest'!$B$8,0)-O99-P99),0)</f>
        <v>0</v>
      </c>
      <c r="T99">
        <f>R99*(1+MAX(0,'Prepay vs Invest'!$B$13-'Prepay vs Invest'!$B$14)/1200)+S99</f>
        <v>0</v>
      </c>
      <c r="U99">
        <f t="shared" si="28"/>
        <v>0</v>
      </c>
      <c r="V99">
        <f>MAX(0,(T99-U99-'Prepay vs Invest'!$B$16)*'Prepay vs Invest'!$B$15/100)</f>
        <v>0</v>
      </c>
      <c r="W99">
        <f t="shared" si="20"/>
        <v>0</v>
      </c>
      <c r="X99">
        <f t="shared" si="29"/>
        <v>6379845.5560253682</v>
      </c>
      <c r="Y99">
        <f>IF(X99&gt;0,X99*'Prepay vs Invest'!$B$6/1200,0)</f>
        <v>39874.034725158548</v>
      </c>
      <c r="Z99">
        <f>IF(X99&gt;0,MIN(-PMT('Prepay vs Invest'!$B$6/1200,'Prepay vs Invest'!$B$7*12-A99+1,X99),X99+Y99),0)</f>
        <v>67612.696364120697</v>
      </c>
      <c r="AA99">
        <f>MIN(MAX(0,X99+Y99-Z99),IF(AND(A99&gt;='Prepay vs Invest'!$B$11,A99&lt;='Prepay vs Invest'!$B$12),'Prepay vs Invest'!$B$10,0)+IF(A99='Prepay vs Invest'!$B$9,'Prepay vs Invest'!$B$8,0))</f>
        <v>10000</v>
      </c>
      <c r="AB99">
        <f t="shared" si="21"/>
        <v>6342106.8943864061</v>
      </c>
      <c r="AC99">
        <f t="shared" si="30"/>
        <v>1093707.3253643732</v>
      </c>
      <c r="AD99">
        <f>IF(A99&lt;='Prepay vs Invest'!$B$7*12,MAX(0,'Prepay vs Invest'!$E$5+IF(AND(A99&gt;='Prepay vs Invest'!$B$11,A99&lt;='Prepay vs Invest'!$B$12),'Prepay vs Invest'!$B$10,0)+IF(A99='Prepay vs Invest'!$B$9,'Prepay vs Invest'!$B$8,0)-Z99-AA99),0)</f>
        <v>12946.622991060023</v>
      </c>
      <c r="AE99">
        <f>AC99*(1+MAX(0,'Prepay vs Invest'!$B$13-'Prepay vs Invest'!$B$14)/1200)+AD99</f>
        <v>1117135.3102235082</v>
      </c>
      <c r="AF99">
        <f t="shared" si="31"/>
        <v>767380.96821242187</v>
      </c>
      <c r="AG99">
        <f>MAX(0,(AE99-AF99-'Prepay vs Invest'!$B$16)*'Prepay vs Invest'!$B$15/100)</f>
        <v>28094.292751385787</v>
      </c>
      <c r="AH99">
        <f t="shared" si="22"/>
        <v>1089041.0174721223</v>
      </c>
    </row>
    <row r="100" spans="1:34" x14ac:dyDescent="0.35">
      <c r="A100">
        <f t="shared" si="23"/>
        <v>99</v>
      </c>
      <c r="B100">
        <f>IF(A100&lt;='Prepay vs Invest'!$B$7*12,F99,0)</f>
        <v>7568421.8408818142</v>
      </c>
      <c r="C100">
        <f>IF(B100&gt;0,B100*'Prepay vs Invest'!$B$6/1200,0)</f>
        <v>47302.636505511342</v>
      </c>
      <c r="D100">
        <f>IF(B100&gt;0,MIN(-PMT('Prepay vs Invest'!$B$6/1200,'Prepay vs Invest'!$B$7*12,'Prepay vs Invest'!$B$5),B100+C100),0)</f>
        <v>80559.31935518072</v>
      </c>
      <c r="E100">
        <f t="shared" si="16"/>
        <v>33256.682849669378</v>
      </c>
      <c r="F100">
        <f t="shared" si="17"/>
        <v>7535165.1580321454</v>
      </c>
      <c r="G100">
        <f t="shared" si="24"/>
        <v>2749198.5043232129</v>
      </c>
      <c r="H100">
        <f>IF(A100&lt;='Prepay vs Invest'!$B$7*12,IF(AND(A100&gt;='Prepay vs Invest'!$B$11,A100&lt;='Prepay vs Invest'!$B$12),'Prepay vs Invest'!$B$10,0)+IF(A100='Prepay vs Invest'!$B$9,'Prepay vs Invest'!$B$8,0),0)</f>
        <v>10000</v>
      </c>
      <c r="I100">
        <f>G100*(1+MAX(0,'Prepay vs Invest'!$B$13-'Prepay vs Invest'!$B$14)/1200)+H100</f>
        <v>2785544.9899896435</v>
      </c>
      <c r="J100">
        <f t="shared" si="25"/>
        <v>1490000</v>
      </c>
      <c r="K100">
        <f>MAX(0,(I100-J100-'Prepay vs Invest'!$B$16)*'Prepay vs Invest'!$B$15/100)</f>
        <v>146318.12374870543</v>
      </c>
      <c r="L100">
        <f t="shared" si="18"/>
        <v>2639226.8662409382</v>
      </c>
      <c r="M100">
        <f t="shared" si="26"/>
        <v>5367551.6228738744</v>
      </c>
      <c r="N100">
        <f>IF(M100&gt;0,M100*'Prepay vs Invest'!$B$6/1200,0)</f>
        <v>33547.197642961713</v>
      </c>
      <c r="O100">
        <f>IF(M100&gt;0,MIN('Prepay vs Invest'!$E$5,M100+N100),0)</f>
        <v>80559.31935518072</v>
      </c>
      <c r="P100">
        <f>MIN(MAX(0,M100+N100-O100),IF(AND(A100&gt;='Prepay vs Invest'!$B$11,A100&lt;='Prepay vs Invest'!$B$12),'Prepay vs Invest'!$B$10,0)+IF(A100='Prepay vs Invest'!$B$9,'Prepay vs Invest'!$B$8,0))</f>
        <v>10000</v>
      </c>
      <c r="Q100">
        <f t="shared" si="19"/>
        <v>5310539.5011616554</v>
      </c>
      <c r="R100">
        <f t="shared" si="27"/>
        <v>0</v>
      </c>
      <c r="S100">
        <f>IF(A100&lt;='Prepay vs Invest'!$B$7*12,MAX(0,'Prepay vs Invest'!$E$5+IF(AND(A100&gt;='Prepay vs Invest'!$B$11,A100&lt;='Prepay vs Invest'!$B$12),'Prepay vs Invest'!$B$10,0)+IF(A100='Prepay vs Invest'!$B$9,'Prepay vs Invest'!$B$8,0)-O100-P100),0)</f>
        <v>0</v>
      </c>
      <c r="T100">
        <f>R100*(1+MAX(0,'Prepay vs Invest'!$B$13-'Prepay vs Invest'!$B$14)/1200)+S100</f>
        <v>0</v>
      </c>
      <c r="U100">
        <f t="shared" si="28"/>
        <v>0</v>
      </c>
      <c r="V100">
        <f>MAX(0,(T100-U100-'Prepay vs Invest'!$B$16)*'Prepay vs Invest'!$B$15/100)</f>
        <v>0</v>
      </c>
      <c r="W100">
        <f t="shared" si="20"/>
        <v>0</v>
      </c>
      <c r="X100">
        <f t="shared" si="29"/>
        <v>6342106.8943864061</v>
      </c>
      <c r="Y100">
        <f>IF(X100&gt;0,X100*'Prepay vs Invest'!$B$6/1200,0)</f>
        <v>39638.168089915038</v>
      </c>
      <c r="Z100">
        <f>IF(X100&gt;0,MIN(-PMT('Prepay vs Invest'!$B$6/1200,'Prepay vs Invest'!$B$7*12-A100+1,X100),X100+Y100),0)</f>
        <v>67506.254993582887</v>
      </c>
      <c r="AA100">
        <f>MIN(MAX(0,X100+Y100-Z100),IF(AND(A100&gt;='Prepay vs Invest'!$B$11,A100&lt;='Prepay vs Invest'!$B$12),'Prepay vs Invest'!$B$10,0)+IF(A100='Prepay vs Invest'!$B$9,'Prepay vs Invest'!$B$8,0))</f>
        <v>10000</v>
      </c>
      <c r="AB100">
        <f t="shared" si="21"/>
        <v>6304238.807482738</v>
      </c>
      <c r="AC100">
        <f t="shared" si="30"/>
        <v>1117135.3102235082</v>
      </c>
      <c r="AD100">
        <f>IF(A100&lt;='Prepay vs Invest'!$B$7*12,MAX(0,'Prepay vs Invest'!$E$5+IF(AND(A100&gt;='Prepay vs Invest'!$B$11,A100&lt;='Prepay vs Invest'!$B$12),'Prepay vs Invest'!$B$10,0)+IF(A100='Prepay vs Invest'!$B$9,'Prepay vs Invest'!$B$8,0)-Z100-AA100),0)</f>
        <v>13053.064361597833</v>
      </c>
      <c r="AE100">
        <f>AC100*(1+MAX(0,'Prepay vs Invest'!$B$13-'Prepay vs Invest'!$B$14)/1200)+AD100</f>
        <v>1140894.2546414146</v>
      </c>
      <c r="AF100">
        <f t="shared" si="31"/>
        <v>780434.03257401974</v>
      </c>
      <c r="AG100">
        <f>MAX(0,(AE100-AF100-'Prepay vs Invest'!$B$16)*'Prepay vs Invest'!$B$15/100)</f>
        <v>29432.527758424359</v>
      </c>
      <c r="AH100">
        <f t="shared" si="22"/>
        <v>1111461.7268829902</v>
      </c>
    </row>
    <row r="101" spans="1:34" x14ac:dyDescent="0.35">
      <c r="A101">
        <f t="shared" si="23"/>
        <v>100</v>
      </c>
      <c r="B101">
        <f>IF(A101&lt;='Prepay vs Invest'!$B$7*12,F100,0)</f>
        <v>7535165.1580321454</v>
      </c>
      <c r="C101">
        <f>IF(B101&gt;0,B101*'Prepay vs Invest'!$B$6/1200,0)</f>
        <v>47094.782237700907</v>
      </c>
      <c r="D101">
        <f>IF(B101&gt;0,MIN(-PMT('Prepay vs Invest'!$B$6/1200,'Prepay vs Invest'!$B$7*12,'Prepay vs Invest'!$B$5),B101+C101),0)</f>
        <v>80559.31935518072</v>
      </c>
      <c r="E101">
        <f t="shared" si="16"/>
        <v>33464.537117479813</v>
      </c>
      <c r="F101">
        <f t="shared" si="17"/>
        <v>7501700.620914666</v>
      </c>
      <c r="G101">
        <f t="shared" si="24"/>
        <v>2785544.9899896435</v>
      </c>
      <c r="H101">
        <f>IF(A101&lt;='Prepay vs Invest'!$B$7*12,IF(AND(A101&gt;='Prepay vs Invest'!$B$11,A101&lt;='Prepay vs Invest'!$B$12),'Prepay vs Invest'!$B$10,0)+IF(A101='Prepay vs Invest'!$B$9,'Prepay vs Invest'!$B$8,0),0)</f>
        <v>10000</v>
      </c>
      <c r="I101">
        <f>G101*(1+MAX(0,'Prepay vs Invest'!$B$13-'Prepay vs Invest'!$B$14)/1200)+H101</f>
        <v>2822239.7961437106</v>
      </c>
      <c r="J101">
        <f t="shared" si="25"/>
        <v>1500000</v>
      </c>
      <c r="K101">
        <f>MAX(0,(I101-J101-'Prepay vs Invest'!$B$16)*'Prepay vs Invest'!$B$15/100)</f>
        <v>149654.97451796383</v>
      </c>
      <c r="L101">
        <f t="shared" si="18"/>
        <v>2672584.8216257468</v>
      </c>
      <c r="M101">
        <f t="shared" si="26"/>
        <v>5310539.5011616554</v>
      </c>
      <c r="N101">
        <f>IF(M101&gt;0,M101*'Prepay vs Invest'!$B$6/1200,0)</f>
        <v>33190.871882260348</v>
      </c>
      <c r="O101">
        <f>IF(M101&gt;0,MIN('Prepay vs Invest'!$E$5,M101+N101),0)</f>
        <v>80559.31935518072</v>
      </c>
      <c r="P101">
        <f>MIN(MAX(0,M101+N101-O101),IF(AND(A101&gt;='Prepay vs Invest'!$B$11,A101&lt;='Prepay vs Invest'!$B$12),'Prepay vs Invest'!$B$10,0)+IF(A101='Prepay vs Invest'!$B$9,'Prepay vs Invest'!$B$8,0))</f>
        <v>10000</v>
      </c>
      <c r="Q101">
        <f t="shared" si="19"/>
        <v>5253171.0536887357</v>
      </c>
      <c r="R101">
        <f t="shared" si="27"/>
        <v>0</v>
      </c>
      <c r="S101">
        <f>IF(A101&lt;='Prepay vs Invest'!$B$7*12,MAX(0,'Prepay vs Invest'!$E$5+IF(AND(A101&gt;='Prepay vs Invest'!$B$11,A101&lt;='Prepay vs Invest'!$B$12),'Prepay vs Invest'!$B$10,0)+IF(A101='Prepay vs Invest'!$B$9,'Prepay vs Invest'!$B$8,0)-O101-P101),0)</f>
        <v>0</v>
      </c>
      <c r="T101">
        <f>R101*(1+MAX(0,'Prepay vs Invest'!$B$13-'Prepay vs Invest'!$B$14)/1200)+S101</f>
        <v>0</v>
      </c>
      <c r="U101">
        <f t="shared" si="28"/>
        <v>0</v>
      </c>
      <c r="V101">
        <f>MAX(0,(T101-U101-'Prepay vs Invest'!$B$16)*'Prepay vs Invest'!$B$15/100)</f>
        <v>0</v>
      </c>
      <c r="W101">
        <f t="shared" si="20"/>
        <v>0</v>
      </c>
      <c r="X101">
        <f t="shared" si="29"/>
        <v>6304238.807482738</v>
      </c>
      <c r="Y101">
        <f>IF(X101&gt;0,X101*'Prepay vs Invest'!$B$6/1200,0)</f>
        <v>39401.492546767113</v>
      </c>
      <c r="Z101">
        <f>IF(X101&gt;0,MIN(-PMT('Prepay vs Invest'!$B$6/1200,'Prepay vs Invest'!$B$7*12-A101+1,X101),X101+Y101),0)</f>
        <v>67399.343840787114</v>
      </c>
      <c r="AA101">
        <f>MIN(MAX(0,X101+Y101-Z101),IF(AND(A101&gt;='Prepay vs Invest'!$B$11,A101&lt;='Prepay vs Invest'!$B$12),'Prepay vs Invest'!$B$10,0)+IF(A101='Prepay vs Invest'!$B$9,'Prepay vs Invest'!$B$8,0))</f>
        <v>10000</v>
      </c>
      <c r="AB101">
        <f t="shared" si="21"/>
        <v>6266240.9561887179</v>
      </c>
      <c r="AC101">
        <f t="shared" si="30"/>
        <v>1140894.2546414146</v>
      </c>
      <c r="AD101">
        <f>IF(A101&lt;='Prepay vs Invest'!$B$7*12,MAX(0,'Prepay vs Invest'!$E$5+IF(AND(A101&gt;='Prepay vs Invest'!$B$11,A101&lt;='Prepay vs Invest'!$B$12),'Prepay vs Invest'!$B$10,0)+IF(A101='Prepay vs Invest'!$B$9,'Prepay vs Invest'!$B$8,0)-Z101-AA101),0)</f>
        <v>13159.975514393605</v>
      </c>
      <c r="AE101">
        <f>AC101*(1+MAX(0,'Prepay vs Invest'!$B$13-'Prepay vs Invest'!$B$14)/1200)+AD101</f>
        <v>1164987.8000961216</v>
      </c>
      <c r="AF101">
        <f t="shared" si="31"/>
        <v>793594.00808841339</v>
      </c>
      <c r="AG101">
        <f>MAX(0,(AE101-AF101-'Prepay vs Invest'!$B$16)*'Prepay vs Invest'!$B$15/100)</f>
        <v>30799.224000963528</v>
      </c>
      <c r="AH101">
        <f t="shared" si="22"/>
        <v>1134188.576095158</v>
      </c>
    </row>
    <row r="102" spans="1:34" x14ac:dyDescent="0.35">
      <c r="A102">
        <f t="shared" si="23"/>
        <v>101</v>
      </c>
      <c r="B102">
        <f>IF(A102&lt;='Prepay vs Invest'!$B$7*12,F101,0)</f>
        <v>7501700.620914666</v>
      </c>
      <c r="C102">
        <f>IF(B102&gt;0,B102*'Prepay vs Invest'!$B$6/1200,0)</f>
        <v>46885.628880716664</v>
      </c>
      <c r="D102">
        <f>IF(B102&gt;0,MIN(-PMT('Prepay vs Invest'!$B$6/1200,'Prepay vs Invest'!$B$7*12,'Prepay vs Invest'!$B$5),B102+C102),0)</f>
        <v>80559.31935518072</v>
      </c>
      <c r="E102">
        <f t="shared" si="16"/>
        <v>33673.690474464056</v>
      </c>
      <c r="F102">
        <f t="shared" si="17"/>
        <v>7468026.9304402024</v>
      </c>
      <c r="G102">
        <f t="shared" si="24"/>
        <v>2822239.7961437106</v>
      </c>
      <c r="H102">
        <f>IF(A102&lt;='Prepay vs Invest'!$B$7*12,IF(AND(A102&gt;='Prepay vs Invest'!$B$11,A102&lt;='Prepay vs Invest'!$B$12),'Prepay vs Invest'!$B$10,0)+IF(A102='Prepay vs Invest'!$B$9,'Prepay vs Invest'!$B$8,0),0)</f>
        <v>10000</v>
      </c>
      <c r="I102">
        <f>G102*(1+MAX(0,'Prepay vs Invest'!$B$13-'Prepay vs Invest'!$B$14)/1200)+H102</f>
        <v>2859286.2608567541</v>
      </c>
      <c r="J102">
        <f t="shared" si="25"/>
        <v>1510000</v>
      </c>
      <c r="K102">
        <f>MAX(0,(I102-J102-'Prepay vs Invest'!$B$16)*'Prepay vs Invest'!$B$15/100)</f>
        <v>153035.78260709427</v>
      </c>
      <c r="L102">
        <f t="shared" si="18"/>
        <v>2706250.4782496598</v>
      </c>
      <c r="M102">
        <f t="shared" si="26"/>
        <v>5253171.0536887357</v>
      </c>
      <c r="N102">
        <f>IF(M102&gt;0,M102*'Prepay vs Invest'!$B$6/1200,0)</f>
        <v>32832.319085554598</v>
      </c>
      <c r="O102">
        <f>IF(M102&gt;0,MIN('Prepay vs Invest'!$E$5,M102+N102),0)</f>
        <v>80559.31935518072</v>
      </c>
      <c r="P102">
        <f>MIN(MAX(0,M102+N102-O102),IF(AND(A102&gt;='Prepay vs Invest'!$B$11,A102&lt;='Prepay vs Invest'!$B$12),'Prepay vs Invest'!$B$10,0)+IF(A102='Prepay vs Invest'!$B$9,'Prepay vs Invest'!$B$8,0))</f>
        <v>10000</v>
      </c>
      <c r="Q102">
        <f t="shared" si="19"/>
        <v>5195444.0534191094</v>
      </c>
      <c r="R102">
        <f t="shared" si="27"/>
        <v>0</v>
      </c>
      <c r="S102">
        <f>IF(A102&lt;='Prepay vs Invest'!$B$7*12,MAX(0,'Prepay vs Invest'!$E$5+IF(AND(A102&gt;='Prepay vs Invest'!$B$11,A102&lt;='Prepay vs Invest'!$B$12),'Prepay vs Invest'!$B$10,0)+IF(A102='Prepay vs Invest'!$B$9,'Prepay vs Invest'!$B$8,0)-O102-P102),0)</f>
        <v>0</v>
      </c>
      <c r="T102">
        <f>R102*(1+MAX(0,'Prepay vs Invest'!$B$13-'Prepay vs Invest'!$B$14)/1200)+S102</f>
        <v>0</v>
      </c>
      <c r="U102">
        <f t="shared" si="28"/>
        <v>0</v>
      </c>
      <c r="V102">
        <f>MAX(0,(T102-U102-'Prepay vs Invest'!$B$16)*'Prepay vs Invest'!$B$15/100)</f>
        <v>0</v>
      </c>
      <c r="W102">
        <f t="shared" si="20"/>
        <v>0</v>
      </c>
      <c r="X102">
        <f t="shared" si="29"/>
        <v>6266240.9561887179</v>
      </c>
      <c r="Y102">
        <f>IF(X102&gt;0,X102*'Prepay vs Invest'!$B$6/1200,0)</f>
        <v>39164.005976179484</v>
      </c>
      <c r="Z102">
        <f>IF(X102&gt;0,MIN(-PMT('Prepay vs Invest'!$B$6/1200,'Prepay vs Invest'!$B$7*12-A102+1,X102),X102+Y102),0)</f>
        <v>67291.955765167848</v>
      </c>
      <c r="AA102">
        <f>MIN(MAX(0,X102+Y102-Z102),IF(AND(A102&gt;='Prepay vs Invest'!$B$11,A102&lt;='Prepay vs Invest'!$B$12),'Prepay vs Invest'!$B$10,0)+IF(A102='Prepay vs Invest'!$B$9,'Prepay vs Invest'!$B$8,0))</f>
        <v>10000</v>
      </c>
      <c r="AB102">
        <f t="shared" si="21"/>
        <v>6228113.0063997293</v>
      </c>
      <c r="AC102">
        <f t="shared" si="30"/>
        <v>1164987.8000961216</v>
      </c>
      <c r="AD102">
        <f>IF(A102&lt;='Prepay vs Invest'!$B$7*12,MAX(0,'Prepay vs Invest'!$E$5+IF(AND(A102&gt;='Prepay vs Invest'!$B$11,A102&lt;='Prepay vs Invest'!$B$12),'Prepay vs Invest'!$B$10,0)+IF(A102='Prepay vs Invest'!$B$9,'Prepay vs Invest'!$B$8,0)-Z102-AA102),0)</f>
        <v>13267.363590012872</v>
      </c>
      <c r="AE102">
        <f>AC102*(1+MAX(0,'Prepay vs Invest'!$B$13-'Prepay vs Invest'!$B$14)/1200)+AD102</f>
        <v>1189419.6301037222</v>
      </c>
      <c r="AF102">
        <f t="shared" si="31"/>
        <v>806861.37167842628</v>
      </c>
      <c r="AG102">
        <f>MAX(0,(AE102-AF102-'Prepay vs Invest'!$B$16)*'Prepay vs Invest'!$B$15/100)</f>
        <v>32194.782303161992</v>
      </c>
      <c r="AH102">
        <f t="shared" si="22"/>
        <v>1157224.8478005603</v>
      </c>
    </row>
    <row r="103" spans="1:34" x14ac:dyDescent="0.35">
      <c r="A103">
        <f t="shared" si="23"/>
        <v>102</v>
      </c>
      <c r="B103">
        <f>IF(A103&lt;='Prepay vs Invest'!$B$7*12,F102,0)</f>
        <v>7468026.9304402024</v>
      </c>
      <c r="C103">
        <f>IF(B103&gt;0,B103*'Prepay vs Invest'!$B$6/1200,0)</f>
        <v>46675.168315251263</v>
      </c>
      <c r="D103">
        <f>IF(B103&gt;0,MIN(-PMT('Prepay vs Invest'!$B$6/1200,'Prepay vs Invest'!$B$7*12,'Prepay vs Invest'!$B$5),B103+C103),0)</f>
        <v>80559.31935518072</v>
      </c>
      <c r="E103">
        <f t="shared" si="16"/>
        <v>33884.151039929457</v>
      </c>
      <c r="F103">
        <f t="shared" si="17"/>
        <v>7434142.7794002732</v>
      </c>
      <c r="G103">
        <f t="shared" si="24"/>
        <v>2859286.2608567541</v>
      </c>
      <c r="H103">
        <f>IF(A103&lt;='Prepay vs Invest'!$B$7*12,IF(AND(A103&gt;='Prepay vs Invest'!$B$11,A103&lt;='Prepay vs Invest'!$B$12),'Prepay vs Invest'!$B$10,0)+IF(A103='Prepay vs Invest'!$B$9,'Prepay vs Invest'!$B$8,0),0)</f>
        <v>10000</v>
      </c>
      <c r="I103">
        <f>G103*(1+MAX(0,'Prepay vs Invest'!$B$13-'Prepay vs Invest'!$B$14)/1200)+H103</f>
        <v>2896687.7541899644</v>
      </c>
      <c r="J103">
        <f t="shared" si="25"/>
        <v>1520000</v>
      </c>
      <c r="K103">
        <f>MAX(0,(I103-J103-'Prepay vs Invest'!$B$16)*'Prepay vs Invest'!$B$15/100)</f>
        <v>156460.96927374555</v>
      </c>
      <c r="L103">
        <f t="shared" si="18"/>
        <v>2740226.7849162188</v>
      </c>
      <c r="M103">
        <f t="shared" si="26"/>
        <v>5195444.0534191094</v>
      </c>
      <c r="N103">
        <f>IF(M103&gt;0,M103*'Prepay vs Invest'!$B$6/1200,0)</f>
        <v>32471.525333869431</v>
      </c>
      <c r="O103">
        <f>IF(M103&gt;0,MIN('Prepay vs Invest'!$E$5,M103+N103),0)</f>
        <v>80559.31935518072</v>
      </c>
      <c r="P103">
        <f>MIN(MAX(0,M103+N103-O103),IF(AND(A103&gt;='Prepay vs Invest'!$B$11,A103&lt;='Prepay vs Invest'!$B$12),'Prepay vs Invest'!$B$10,0)+IF(A103='Prepay vs Invest'!$B$9,'Prepay vs Invest'!$B$8,0))</f>
        <v>10000</v>
      </c>
      <c r="Q103">
        <f t="shared" si="19"/>
        <v>5137356.2593977982</v>
      </c>
      <c r="R103">
        <f t="shared" si="27"/>
        <v>0</v>
      </c>
      <c r="S103">
        <f>IF(A103&lt;='Prepay vs Invest'!$B$7*12,MAX(0,'Prepay vs Invest'!$E$5+IF(AND(A103&gt;='Prepay vs Invest'!$B$11,A103&lt;='Prepay vs Invest'!$B$12),'Prepay vs Invest'!$B$10,0)+IF(A103='Prepay vs Invest'!$B$9,'Prepay vs Invest'!$B$8,0)-O103-P103),0)</f>
        <v>0</v>
      </c>
      <c r="T103">
        <f>R103*(1+MAX(0,'Prepay vs Invest'!$B$13-'Prepay vs Invest'!$B$14)/1200)+S103</f>
        <v>0</v>
      </c>
      <c r="U103">
        <f t="shared" si="28"/>
        <v>0</v>
      </c>
      <c r="V103">
        <f>MAX(0,(T103-U103-'Prepay vs Invest'!$B$16)*'Prepay vs Invest'!$B$15/100)</f>
        <v>0</v>
      </c>
      <c r="W103">
        <f t="shared" si="20"/>
        <v>0</v>
      </c>
      <c r="X103">
        <f t="shared" si="29"/>
        <v>6228113.0063997293</v>
      </c>
      <c r="Y103">
        <f>IF(X103&gt;0,X103*'Prepay vs Invest'!$B$6/1200,0)</f>
        <v>38925.706289998307</v>
      </c>
      <c r="Z103">
        <f>IF(X103&gt;0,MIN(-PMT('Prepay vs Invest'!$B$6/1200,'Prepay vs Invest'!$B$7*12-A103+1,X103),X103+Y103),0)</f>
        <v>67184.083471581442</v>
      </c>
      <c r="AA103">
        <f>MIN(MAX(0,X103+Y103-Z103),IF(AND(A103&gt;='Prepay vs Invest'!$B$11,A103&lt;='Prepay vs Invest'!$B$12),'Prepay vs Invest'!$B$10,0)+IF(A103='Prepay vs Invest'!$B$9,'Prepay vs Invest'!$B$8,0))</f>
        <v>10000</v>
      </c>
      <c r="AB103">
        <f t="shared" si="21"/>
        <v>6189854.6292181462</v>
      </c>
      <c r="AC103">
        <f t="shared" si="30"/>
        <v>1189419.6301037222</v>
      </c>
      <c r="AD103">
        <f>IF(A103&lt;='Prepay vs Invest'!$B$7*12,MAX(0,'Prepay vs Invest'!$E$5+IF(AND(A103&gt;='Prepay vs Invest'!$B$11,A103&lt;='Prepay vs Invest'!$B$12),'Prepay vs Invest'!$B$10,0)+IF(A103='Prepay vs Invest'!$B$9,'Prepay vs Invest'!$B$8,0)-Z103-AA103),0)</f>
        <v>13375.235883599278</v>
      </c>
      <c r="AE103">
        <f>AC103*(1+MAX(0,'Prepay vs Invest'!$B$13-'Prepay vs Invest'!$B$14)/1200)+AD103</f>
        <v>1214193.4707758154</v>
      </c>
      <c r="AF103">
        <f t="shared" si="31"/>
        <v>820236.60756202554</v>
      </c>
      <c r="AG103">
        <f>MAX(0,(AE103-AF103-'Prepay vs Invest'!$B$16)*'Prepay vs Invest'!$B$15/100)</f>
        <v>33619.607901723735</v>
      </c>
      <c r="AH103">
        <f t="shared" si="22"/>
        <v>1180573.8628740916</v>
      </c>
    </row>
    <row r="104" spans="1:34" x14ac:dyDescent="0.35">
      <c r="A104">
        <f t="shared" si="23"/>
        <v>103</v>
      </c>
      <c r="B104">
        <f>IF(A104&lt;='Prepay vs Invest'!$B$7*12,F103,0)</f>
        <v>7434142.7794002732</v>
      </c>
      <c r="C104">
        <f>IF(B104&gt;0,B104*'Prepay vs Invest'!$B$6/1200,0)</f>
        <v>46463.392371251706</v>
      </c>
      <c r="D104">
        <f>IF(B104&gt;0,MIN(-PMT('Prepay vs Invest'!$B$6/1200,'Prepay vs Invest'!$B$7*12,'Prepay vs Invest'!$B$5),B104+C104),0)</f>
        <v>80559.31935518072</v>
      </c>
      <c r="E104">
        <f t="shared" si="16"/>
        <v>34095.926983929014</v>
      </c>
      <c r="F104">
        <f t="shared" si="17"/>
        <v>7400046.852416344</v>
      </c>
      <c r="G104">
        <f t="shared" si="24"/>
        <v>2896687.7541899644</v>
      </c>
      <c r="H104">
        <f>IF(A104&lt;='Prepay vs Invest'!$B$7*12,IF(AND(A104&gt;='Prepay vs Invest'!$B$11,A104&lt;='Prepay vs Invest'!$B$12),'Prepay vs Invest'!$B$10,0)+IF(A104='Prepay vs Invest'!$B$9,'Prepay vs Invest'!$B$8,0),0)</f>
        <v>10000</v>
      </c>
      <c r="I104">
        <f>G104*(1+MAX(0,'Prepay vs Invest'!$B$13-'Prepay vs Invest'!$B$14)/1200)+H104</f>
        <v>2934447.6785009513</v>
      </c>
      <c r="J104">
        <f t="shared" si="25"/>
        <v>1530000</v>
      </c>
      <c r="K104">
        <f>MAX(0,(I104-J104-'Prepay vs Invest'!$B$16)*'Prepay vs Invest'!$B$15/100)</f>
        <v>159930.95981261891</v>
      </c>
      <c r="L104">
        <f t="shared" si="18"/>
        <v>2774516.7186883325</v>
      </c>
      <c r="M104">
        <f t="shared" si="26"/>
        <v>5137356.2593977982</v>
      </c>
      <c r="N104">
        <f>IF(M104&gt;0,M104*'Prepay vs Invest'!$B$6/1200,0)</f>
        <v>32108.476621236237</v>
      </c>
      <c r="O104">
        <f>IF(M104&gt;0,MIN('Prepay vs Invest'!$E$5,M104+N104),0)</f>
        <v>80559.31935518072</v>
      </c>
      <c r="P104">
        <f>MIN(MAX(0,M104+N104-O104),IF(AND(A104&gt;='Prepay vs Invest'!$B$11,A104&lt;='Prepay vs Invest'!$B$12),'Prepay vs Invest'!$B$10,0)+IF(A104='Prepay vs Invest'!$B$9,'Prepay vs Invest'!$B$8,0))</f>
        <v>10000</v>
      </c>
      <c r="Q104">
        <f t="shared" si="19"/>
        <v>5078905.4166638544</v>
      </c>
      <c r="R104">
        <f t="shared" si="27"/>
        <v>0</v>
      </c>
      <c r="S104">
        <f>IF(A104&lt;='Prepay vs Invest'!$B$7*12,MAX(0,'Prepay vs Invest'!$E$5+IF(AND(A104&gt;='Prepay vs Invest'!$B$11,A104&lt;='Prepay vs Invest'!$B$12),'Prepay vs Invest'!$B$10,0)+IF(A104='Prepay vs Invest'!$B$9,'Prepay vs Invest'!$B$8,0)-O104-P104),0)</f>
        <v>0</v>
      </c>
      <c r="T104">
        <f>R104*(1+MAX(0,'Prepay vs Invest'!$B$13-'Prepay vs Invest'!$B$14)/1200)+S104</f>
        <v>0</v>
      </c>
      <c r="U104">
        <f t="shared" si="28"/>
        <v>0</v>
      </c>
      <c r="V104">
        <f>MAX(0,(T104-U104-'Prepay vs Invest'!$B$16)*'Prepay vs Invest'!$B$15/100)</f>
        <v>0</v>
      </c>
      <c r="W104">
        <f t="shared" si="20"/>
        <v>0</v>
      </c>
      <c r="X104">
        <f t="shared" si="29"/>
        <v>6189854.6292181462</v>
      </c>
      <c r="Y104">
        <f>IF(X104&gt;0,X104*'Prepay vs Invest'!$B$6/1200,0)</f>
        <v>38686.591432613415</v>
      </c>
      <c r="Z104">
        <f>IF(X104&gt;0,MIN(-PMT('Prepay vs Invest'!$B$6/1200,'Prepay vs Invest'!$B$7*12-A104+1,X104),X104+Y104),0)</f>
        <v>67075.71950582815</v>
      </c>
      <c r="AA104">
        <f>MIN(MAX(0,X104+Y104-Z104),IF(AND(A104&gt;='Prepay vs Invest'!$B$11,A104&lt;='Prepay vs Invest'!$B$12),'Prepay vs Invest'!$B$10,0)+IF(A104='Prepay vs Invest'!$B$9,'Prepay vs Invest'!$B$8,0))</f>
        <v>10000</v>
      </c>
      <c r="AB104">
        <f t="shared" si="21"/>
        <v>6151465.5011449317</v>
      </c>
      <c r="AC104">
        <f t="shared" si="30"/>
        <v>1214193.4707758154</v>
      </c>
      <c r="AD104">
        <f>IF(A104&lt;='Prepay vs Invest'!$B$7*12,MAX(0,'Prepay vs Invest'!$E$5+IF(AND(A104&gt;='Prepay vs Invest'!$B$11,A104&lt;='Prepay vs Invest'!$B$12),'Prepay vs Invest'!$B$10,0)+IF(A104='Prepay vs Invest'!$B$9,'Prepay vs Invest'!$B$8,0)-Z104-AA104),0)</f>
        <v>13483.599849352569</v>
      </c>
      <c r="AE104">
        <f>AC104*(1+MAX(0,'Prepay vs Invest'!$B$13-'Prepay vs Invest'!$B$14)/1200)+AD104</f>
        <v>1239313.0913867694</v>
      </c>
      <c r="AF104">
        <f t="shared" si="31"/>
        <v>833720.20741137816</v>
      </c>
      <c r="AG104">
        <f>MAX(0,(AE104-AF104-'Prepay vs Invest'!$B$16)*'Prepay vs Invest'!$B$15/100)</f>
        <v>35074.11049692391</v>
      </c>
      <c r="AH104">
        <f t="shared" si="22"/>
        <v>1204238.9808898456</v>
      </c>
    </row>
    <row r="105" spans="1:34" x14ac:dyDescent="0.35">
      <c r="A105">
        <f t="shared" si="23"/>
        <v>104</v>
      </c>
      <c r="B105">
        <f>IF(A105&lt;='Prepay vs Invest'!$B$7*12,F104,0)</f>
        <v>7400046.852416344</v>
      </c>
      <c r="C105">
        <f>IF(B105&gt;0,B105*'Prepay vs Invest'!$B$6/1200,0)</f>
        <v>46250.292827602156</v>
      </c>
      <c r="D105">
        <f>IF(B105&gt;0,MIN(-PMT('Prepay vs Invest'!$B$6/1200,'Prepay vs Invest'!$B$7*12,'Prepay vs Invest'!$B$5),B105+C105),0)</f>
        <v>80559.31935518072</v>
      </c>
      <c r="E105">
        <f t="shared" si="16"/>
        <v>34309.026527578564</v>
      </c>
      <c r="F105">
        <f t="shared" si="17"/>
        <v>7365737.825888766</v>
      </c>
      <c r="G105">
        <f t="shared" si="24"/>
        <v>2934447.6785009513</v>
      </c>
      <c r="H105">
        <f>IF(A105&lt;='Prepay vs Invest'!$B$7*12,IF(AND(A105&gt;='Prepay vs Invest'!$B$11,A105&lt;='Prepay vs Invest'!$B$12),'Prepay vs Invest'!$B$10,0)+IF(A105='Prepay vs Invest'!$B$9,'Prepay vs Invest'!$B$8,0),0)</f>
        <v>10000</v>
      </c>
      <c r="I105">
        <f>G105*(1+MAX(0,'Prepay vs Invest'!$B$13-'Prepay vs Invest'!$B$14)/1200)+H105</f>
        <v>2972569.4687532517</v>
      </c>
      <c r="J105">
        <f t="shared" si="25"/>
        <v>1540000</v>
      </c>
      <c r="K105">
        <f>MAX(0,(I105-J105-'Prepay vs Invest'!$B$16)*'Prepay vs Invest'!$B$15/100)</f>
        <v>163446.18359415646</v>
      </c>
      <c r="L105">
        <f t="shared" si="18"/>
        <v>2809123.2851590952</v>
      </c>
      <c r="M105">
        <f t="shared" si="26"/>
        <v>5078905.4166638544</v>
      </c>
      <c r="N105">
        <f>IF(M105&gt;0,M105*'Prepay vs Invest'!$B$6/1200,0)</f>
        <v>31743.158854149089</v>
      </c>
      <c r="O105">
        <f>IF(M105&gt;0,MIN('Prepay vs Invest'!$E$5,M105+N105),0)</f>
        <v>80559.31935518072</v>
      </c>
      <c r="P105">
        <f>MIN(MAX(0,M105+N105-O105),IF(AND(A105&gt;='Prepay vs Invest'!$B$11,A105&lt;='Prepay vs Invest'!$B$12),'Prepay vs Invest'!$B$10,0)+IF(A105='Prepay vs Invest'!$B$9,'Prepay vs Invest'!$B$8,0))</f>
        <v>10000</v>
      </c>
      <c r="Q105">
        <f t="shared" si="19"/>
        <v>5020089.2561628232</v>
      </c>
      <c r="R105">
        <f t="shared" si="27"/>
        <v>0</v>
      </c>
      <c r="S105">
        <f>IF(A105&lt;='Prepay vs Invest'!$B$7*12,MAX(0,'Prepay vs Invest'!$E$5+IF(AND(A105&gt;='Prepay vs Invest'!$B$11,A105&lt;='Prepay vs Invest'!$B$12),'Prepay vs Invest'!$B$10,0)+IF(A105='Prepay vs Invest'!$B$9,'Prepay vs Invest'!$B$8,0)-O105-P105),0)</f>
        <v>0</v>
      </c>
      <c r="T105">
        <f>R105*(1+MAX(0,'Prepay vs Invest'!$B$13-'Prepay vs Invest'!$B$14)/1200)+S105</f>
        <v>0</v>
      </c>
      <c r="U105">
        <f t="shared" si="28"/>
        <v>0</v>
      </c>
      <c r="V105">
        <f>MAX(0,(T105-U105-'Prepay vs Invest'!$B$16)*'Prepay vs Invest'!$B$15/100)</f>
        <v>0</v>
      </c>
      <c r="W105">
        <f t="shared" si="20"/>
        <v>0</v>
      </c>
      <c r="X105">
        <f t="shared" si="29"/>
        <v>6151465.5011449317</v>
      </c>
      <c r="Y105">
        <f>IF(X105&gt;0,X105*'Prepay vs Invest'!$B$6/1200,0)</f>
        <v>38446.65938215582</v>
      </c>
      <c r="Z105">
        <f>IF(X105&gt;0,MIN(-PMT('Prepay vs Invest'!$B$6/1200,'Prepay vs Invest'!$B$7*12-A105+1,X105),X105+Y105),0)</f>
        <v>66966.856250011231</v>
      </c>
      <c r="AA105">
        <f>MIN(MAX(0,X105+Y105-Z105),IF(AND(A105&gt;='Prepay vs Invest'!$B$11,A105&lt;='Prepay vs Invest'!$B$12),'Prepay vs Invest'!$B$10,0)+IF(A105='Prepay vs Invest'!$B$9,'Prepay vs Invest'!$B$8,0))</f>
        <v>10000</v>
      </c>
      <c r="AB105">
        <f t="shared" si="21"/>
        <v>6112945.3042770764</v>
      </c>
      <c r="AC105">
        <f t="shared" si="30"/>
        <v>1239313.0913867694</v>
      </c>
      <c r="AD105">
        <f>IF(A105&lt;='Prepay vs Invest'!$B$7*12,MAX(0,'Prepay vs Invest'!$E$5+IF(AND(A105&gt;='Prepay vs Invest'!$B$11,A105&lt;='Prepay vs Invest'!$B$12),'Prepay vs Invest'!$B$10,0)+IF(A105='Prepay vs Invest'!$B$9,'Prepay vs Invest'!$B$8,0)-Z105-AA105),0)</f>
        <v>13592.463105169489</v>
      </c>
      <c r="AE105">
        <f>AC105*(1+MAX(0,'Prepay vs Invest'!$B$13-'Prepay vs Invest'!$B$14)/1200)+AD105</f>
        <v>1264782.3049510622</v>
      </c>
      <c r="AF105">
        <f t="shared" si="31"/>
        <v>847312.67051654763</v>
      </c>
      <c r="AG105">
        <f>MAX(0,(AE105-AF105-'Prepay vs Invest'!$B$16)*'Prepay vs Invest'!$B$15/100)</f>
        <v>36558.70430431432</v>
      </c>
      <c r="AH105">
        <f t="shared" si="22"/>
        <v>1228223.600646748</v>
      </c>
    </row>
    <row r="106" spans="1:34" x14ac:dyDescent="0.35">
      <c r="A106">
        <f t="shared" si="23"/>
        <v>105</v>
      </c>
      <c r="B106">
        <f>IF(A106&lt;='Prepay vs Invest'!$B$7*12,F105,0)</f>
        <v>7365737.825888766</v>
      </c>
      <c r="C106">
        <f>IF(B106&gt;0,B106*'Prepay vs Invest'!$B$6/1200,0)</f>
        <v>46035.861411804784</v>
      </c>
      <c r="D106">
        <f>IF(B106&gt;0,MIN(-PMT('Prepay vs Invest'!$B$6/1200,'Prepay vs Invest'!$B$7*12,'Prepay vs Invest'!$B$5),B106+C106),0)</f>
        <v>80559.31935518072</v>
      </c>
      <c r="E106">
        <f t="shared" si="16"/>
        <v>34523.457943375935</v>
      </c>
      <c r="F106">
        <f t="shared" si="17"/>
        <v>7331214.3679453898</v>
      </c>
      <c r="G106">
        <f t="shared" si="24"/>
        <v>2972569.4687532517</v>
      </c>
      <c r="H106">
        <f>IF(A106&lt;='Prepay vs Invest'!$B$7*12,IF(AND(A106&gt;='Prepay vs Invest'!$B$11,A106&lt;='Prepay vs Invest'!$B$12),'Prepay vs Invest'!$B$10,0)+IF(A106='Prepay vs Invest'!$B$9,'Prepay vs Invest'!$B$8,0),0)</f>
        <v>10000</v>
      </c>
      <c r="I106">
        <f>G106*(1+MAX(0,'Prepay vs Invest'!$B$13-'Prepay vs Invest'!$B$14)/1200)+H106</f>
        <v>3011056.5928288037</v>
      </c>
      <c r="J106">
        <f t="shared" si="25"/>
        <v>1550000</v>
      </c>
      <c r="K106">
        <f>MAX(0,(I106-J106-'Prepay vs Invest'!$B$16)*'Prepay vs Invest'!$B$15/100)</f>
        <v>167007.07410360046</v>
      </c>
      <c r="L106">
        <f t="shared" si="18"/>
        <v>2844049.5187252034</v>
      </c>
      <c r="M106">
        <f t="shared" si="26"/>
        <v>5020089.2561628232</v>
      </c>
      <c r="N106">
        <f>IF(M106&gt;0,M106*'Prepay vs Invest'!$B$6/1200,0)</f>
        <v>31375.557851017646</v>
      </c>
      <c r="O106">
        <f>IF(M106&gt;0,MIN('Prepay vs Invest'!$E$5,M106+N106),0)</f>
        <v>80559.31935518072</v>
      </c>
      <c r="P106">
        <f>MIN(MAX(0,M106+N106-O106),IF(AND(A106&gt;='Prepay vs Invest'!$B$11,A106&lt;='Prepay vs Invest'!$B$12),'Prepay vs Invest'!$B$10,0)+IF(A106='Prepay vs Invest'!$B$9,'Prepay vs Invest'!$B$8,0))</f>
        <v>10000</v>
      </c>
      <c r="Q106">
        <f t="shared" si="19"/>
        <v>4960905.4946586601</v>
      </c>
      <c r="R106">
        <f t="shared" si="27"/>
        <v>0</v>
      </c>
      <c r="S106">
        <f>IF(A106&lt;='Prepay vs Invest'!$B$7*12,MAX(0,'Prepay vs Invest'!$E$5+IF(AND(A106&gt;='Prepay vs Invest'!$B$11,A106&lt;='Prepay vs Invest'!$B$12),'Prepay vs Invest'!$B$10,0)+IF(A106='Prepay vs Invest'!$B$9,'Prepay vs Invest'!$B$8,0)-O106-P106),0)</f>
        <v>0</v>
      </c>
      <c r="T106">
        <f>R106*(1+MAX(0,'Prepay vs Invest'!$B$13-'Prepay vs Invest'!$B$14)/1200)+S106</f>
        <v>0</v>
      </c>
      <c r="U106">
        <f t="shared" si="28"/>
        <v>0</v>
      </c>
      <c r="V106">
        <f>MAX(0,(T106-U106-'Prepay vs Invest'!$B$16)*'Prepay vs Invest'!$B$15/100)</f>
        <v>0</v>
      </c>
      <c r="W106">
        <f t="shared" si="20"/>
        <v>0</v>
      </c>
      <c r="X106">
        <f t="shared" si="29"/>
        <v>6112945.3042770764</v>
      </c>
      <c r="Y106">
        <f>IF(X106&gt;0,X106*'Prepay vs Invest'!$B$6/1200,0)</f>
        <v>38205.908151731725</v>
      </c>
      <c r="Z106">
        <f>IF(X106&gt;0,MIN(-PMT('Prepay vs Invest'!$B$6/1200,'Prepay vs Invest'!$B$7*12-A106+1,X106),X106+Y106),0)</f>
        <v>66857.485917724858</v>
      </c>
      <c r="AA106">
        <f>MIN(MAX(0,X106+Y106-Z106),IF(AND(A106&gt;='Prepay vs Invest'!$B$11,A106&lt;='Prepay vs Invest'!$B$12),'Prepay vs Invest'!$B$10,0)+IF(A106='Prepay vs Invest'!$B$9,'Prepay vs Invest'!$B$8,0))</f>
        <v>10000</v>
      </c>
      <c r="AB106">
        <f t="shared" si="21"/>
        <v>6074293.7265110835</v>
      </c>
      <c r="AC106">
        <f t="shared" si="30"/>
        <v>1264782.3049510622</v>
      </c>
      <c r="AD106">
        <f>IF(A106&lt;='Prepay vs Invest'!$B$7*12,MAX(0,'Prepay vs Invest'!$E$5+IF(AND(A106&gt;='Prepay vs Invest'!$B$11,A106&lt;='Prepay vs Invest'!$B$12),'Prepay vs Invest'!$B$10,0)+IF(A106='Prepay vs Invest'!$B$9,'Prepay vs Invest'!$B$8,0)-Z106-AA106),0)</f>
        <v>13701.833437455862</v>
      </c>
      <c r="AE106">
        <f>AC106*(1+MAX(0,'Prepay vs Invest'!$B$13-'Prepay vs Invest'!$B$14)/1200)+AD106</f>
        <v>1290604.9688109655</v>
      </c>
      <c r="AF106">
        <f t="shared" si="31"/>
        <v>861014.50395400345</v>
      </c>
      <c r="AG106">
        <f>MAX(0,(AE106-AF106-'Prepay vs Invest'!$B$16)*'Prepay vs Invest'!$B$15/100)</f>
        <v>38073.808107120261</v>
      </c>
      <c r="AH106">
        <f t="shared" si="22"/>
        <v>1252531.1607038453</v>
      </c>
    </row>
    <row r="107" spans="1:34" x14ac:dyDescent="0.35">
      <c r="A107">
        <f t="shared" si="23"/>
        <v>106</v>
      </c>
      <c r="B107">
        <f>IF(A107&lt;='Prepay vs Invest'!$B$7*12,F106,0)</f>
        <v>7331214.3679453898</v>
      </c>
      <c r="C107">
        <f>IF(B107&gt;0,B107*'Prepay vs Invest'!$B$6/1200,0)</f>
        <v>45820.089799658686</v>
      </c>
      <c r="D107">
        <f>IF(B107&gt;0,MIN(-PMT('Prepay vs Invest'!$B$6/1200,'Prepay vs Invest'!$B$7*12,'Prepay vs Invest'!$B$5),B107+C107),0)</f>
        <v>80559.31935518072</v>
      </c>
      <c r="E107">
        <f t="shared" si="16"/>
        <v>34739.229555522033</v>
      </c>
      <c r="F107">
        <f t="shared" si="17"/>
        <v>7296475.1383898677</v>
      </c>
      <c r="G107">
        <f t="shared" si="24"/>
        <v>3011056.5928288037</v>
      </c>
      <c r="H107">
        <f>IF(A107&lt;='Prepay vs Invest'!$B$7*12,IF(AND(A107&gt;='Prepay vs Invest'!$B$11,A107&lt;='Prepay vs Invest'!$B$12),'Prepay vs Invest'!$B$10,0)+IF(A107='Prepay vs Invest'!$B$9,'Prepay vs Invest'!$B$8,0),0)</f>
        <v>10000</v>
      </c>
      <c r="I107">
        <f>G107*(1+MAX(0,'Prepay vs Invest'!$B$13-'Prepay vs Invest'!$B$14)/1200)+H107</f>
        <v>3049912.5518434127</v>
      </c>
      <c r="J107">
        <f t="shared" si="25"/>
        <v>1560000</v>
      </c>
      <c r="K107">
        <f>MAX(0,(I107-J107-'Prepay vs Invest'!$B$16)*'Prepay vs Invest'!$B$15/100)</f>
        <v>170614.06898042661</v>
      </c>
      <c r="L107">
        <f t="shared" si="18"/>
        <v>2879298.4828629862</v>
      </c>
      <c r="M107">
        <f t="shared" si="26"/>
        <v>4960905.4946586601</v>
      </c>
      <c r="N107">
        <f>IF(M107&gt;0,M107*'Prepay vs Invest'!$B$6/1200,0)</f>
        <v>31005.659341616625</v>
      </c>
      <c r="O107">
        <f>IF(M107&gt;0,MIN('Prepay vs Invest'!$E$5,M107+N107),0)</f>
        <v>80559.31935518072</v>
      </c>
      <c r="P107">
        <f>MIN(MAX(0,M107+N107-O107),IF(AND(A107&gt;='Prepay vs Invest'!$B$11,A107&lt;='Prepay vs Invest'!$B$12),'Prepay vs Invest'!$B$10,0)+IF(A107='Prepay vs Invest'!$B$9,'Prepay vs Invest'!$B$8,0))</f>
        <v>10000</v>
      </c>
      <c r="Q107">
        <f t="shared" si="19"/>
        <v>4901351.8346450962</v>
      </c>
      <c r="R107">
        <f t="shared" si="27"/>
        <v>0</v>
      </c>
      <c r="S107">
        <f>IF(A107&lt;='Prepay vs Invest'!$B$7*12,MAX(0,'Prepay vs Invest'!$E$5+IF(AND(A107&gt;='Prepay vs Invest'!$B$11,A107&lt;='Prepay vs Invest'!$B$12),'Prepay vs Invest'!$B$10,0)+IF(A107='Prepay vs Invest'!$B$9,'Prepay vs Invest'!$B$8,0)-O107-P107),0)</f>
        <v>0</v>
      </c>
      <c r="T107">
        <f>R107*(1+MAX(0,'Prepay vs Invest'!$B$13-'Prepay vs Invest'!$B$14)/1200)+S107</f>
        <v>0</v>
      </c>
      <c r="U107">
        <f t="shared" si="28"/>
        <v>0</v>
      </c>
      <c r="V107">
        <f>MAX(0,(T107-U107-'Prepay vs Invest'!$B$16)*'Prepay vs Invest'!$B$15/100)</f>
        <v>0</v>
      </c>
      <c r="W107">
        <f t="shared" si="20"/>
        <v>0</v>
      </c>
      <c r="X107">
        <f t="shared" si="29"/>
        <v>6074293.7265110835</v>
      </c>
      <c r="Y107">
        <f>IF(X107&gt;0,X107*'Prepay vs Invest'!$B$6/1200,0)</f>
        <v>37964.335790694269</v>
      </c>
      <c r="Z107">
        <f>IF(X107&gt;0,MIN(-PMT('Prepay vs Invest'!$B$6/1200,'Prepay vs Invest'!$B$7*12-A107+1,X107),X107+Y107),0)</f>
        <v>66747.600549064227</v>
      </c>
      <c r="AA107">
        <f>MIN(MAX(0,X107+Y107-Z107),IF(AND(A107&gt;='Prepay vs Invest'!$B$11,A107&lt;='Prepay vs Invest'!$B$12),'Prepay vs Invest'!$B$10,0)+IF(A107='Prepay vs Invest'!$B$9,'Prepay vs Invest'!$B$8,0))</f>
        <v>10000</v>
      </c>
      <c r="AB107">
        <f t="shared" si="21"/>
        <v>6035510.4617527137</v>
      </c>
      <c r="AC107">
        <f t="shared" si="30"/>
        <v>1290604.9688109655</v>
      </c>
      <c r="AD107">
        <f>IF(A107&lt;='Prepay vs Invest'!$B$7*12,MAX(0,'Prepay vs Invest'!$E$5+IF(AND(A107&gt;='Prepay vs Invest'!$B$11,A107&lt;='Prepay vs Invest'!$B$12),'Prepay vs Invest'!$B$10,0)+IF(A107='Prepay vs Invest'!$B$9,'Prepay vs Invest'!$B$8,0)-Z107-AA107),0)</f>
        <v>13811.718806116492</v>
      </c>
      <c r="AE107">
        <f>AC107*(1+MAX(0,'Prepay vs Invest'!$B$13-'Prepay vs Invest'!$B$14)/1200)+AD107</f>
        <v>1316784.9852348538</v>
      </c>
      <c r="AF107">
        <f t="shared" si="31"/>
        <v>874826.22276011994</v>
      </c>
      <c r="AG107">
        <f>MAX(0,(AE107-AF107-'Prepay vs Invest'!$B$16)*'Prepay vs Invest'!$B$15/100)</f>
        <v>39619.845309341734</v>
      </c>
      <c r="AH107">
        <f t="shared" si="22"/>
        <v>1277165.139925512</v>
      </c>
    </row>
    <row r="108" spans="1:34" x14ac:dyDescent="0.35">
      <c r="A108">
        <f t="shared" si="23"/>
        <v>107</v>
      </c>
      <c r="B108">
        <f>IF(A108&lt;='Prepay vs Invest'!$B$7*12,F107,0)</f>
        <v>7296475.1383898677</v>
      </c>
      <c r="C108">
        <f>IF(B108&gt;0,B108*'Prepay vs Invest'!$B$6/1200,0)</f>
        <v>45602.969614936672</v>
      </c>
      <c r="D108">
        <f>IF(B108&gt;0,MIN(-PMT('Prepay vs Invest'!$B$6/1200,'Prepay vs Invest'!$B$7*12,'Prepay vs Invest'!$B$5),B108+C108),0)</f>
        <v>80559.31935518072</v>
      </c>
      <c r="E108">
        <f t="shared" si="16"/>
        <v>34956.349740244048</v>
      </c>
      <c r="F108">
        <f t="shared" si="17"/>
        <v>7261518.7886496242</v>
      </c>
      <c r="G108">
        <f t="shared" si="24"/>
        <v>3049912.5518434127</v>
      </c>
      <c r="H108">
        <f>IF(A108&lt;='Prepay vs Invest'!$B$7*12,IF(AND(A108&gt;='Prepay vs Invest'!$B$11,A108&lt;='Prepay vs Invest'!$B$12),'Prepay vs Invest'!$B$10,0)+IF(A108='Prepay vs Invest'!$B$9,'Prepay vs Invest'!$B$8,0),0)</f>
        <v>10000</v>
      </c>
      <c r="I108">
        <f>G108*(1+MAX(0,'Prepay vs Invest'!$B$13-'Prepay vs Invest'!$B$14)/1200)+H108</f>
        <v>3089140.8804652453</v>
      </c>
      <c r="J108">
        <f t="shared" si="25"/>
        <v>1570000</v>
      </c>
      <c r="K108">
        <f>MAX(0,(I108-J108-'Prepay vs Invest'!$B$16)*'Prepay vs Invest'!$B$15/100)</f>
        <v>174267.61005815567</v>
      </c>
      <c r="L108">
        <f t="shared" si="18"/>
        <v>2914873.2704070895</v>
      </c>
      <c r="M108">
        <f t="shared" si="26"/>
        <v>4901351.8346450962</v>
      </c>
      <c r="N108">
        <f>IF(M108&gt;0,M108*'Prepay vs Invest'!$B$6/1200,0)</f>
        <v>30633.448966531854</v>
      </c>
      <c r="O108">
        <f>IF(M108&gt;0,MIN('Prepay vs Invest'!$E$5,M108+N108),0)</f>
        <v>80559.31935518072</v>
      </c>
      <c r="P108">
        <f>MIN(MAX(0,M108+N108-O108),IF(AND(A108&gt;='Prepay vs Invest'!$B$11,A108&lt;='Prepay vs Invest'!$B$12),'Prepay vs Invest'!$B$10,0)+IF(A108='Prepay vs Invest'!$B$9,'Prepay vs Invest'!$B$8,0))</f>
        <v>10000</v>
      </c>
      <c r="Q108">
        <f t="shared" si="19"/>
        <v>4841425.9642564477</v>
      </c>
      <c r="R108">
        <f t="shared" si="27"/>
        <v>0</v>
      </c>
      <c r="S108">
        <f>IF(A108&lt;='Prepay vs Invest'!$B$7*12,MAX(0,'Prepay vs Invest'!$E$5+IF(AND(A108&gt;='Prepay vs Invest'!$B$11,A108&lt;='Prepay vs Invest'!$B$12),'Prepay vs Invest'!$B$10,0)+IF(A108='Prepay vs Invest'!$B$9,'Prepay vs Invest'!$B$8,0)-O108-P108),0)</f>
        <v>0</v>
      </c>
      <c r="T108">
        <f>R108*(1+MAX(0,'Prepay vs Invest'!$B$13-'Prepay vs Invest'!$B$14)/1200)+S108</f>
        <v>0</v>
      </c>
      <c r="U108">
        <f t="shared" si="28"/>
        <v>0</v>
      </c>
      <c r="V108">
        <f>MAX(0,(T108-U108-'Prepay vs Invest'!$B$16)*'Prepay vs Invest'!$B$15/100)</f>
        <v>0</v>
      </c>
      <c r="W108">
        <f t="shared" si="20"/>
        <v>0</v>
      </c>
      <c r="X108">
        <f t="shared" si="29"/>
        <v>6035510.4617527137</v>
      </c>
      <c r="Y108">
        <f>IF(X108&gt;0,X108*'Prepay vs Invest'!$B$6/1200,0)</f>
        <v>37721.940385954462</v>
      </c>
      <c r="Z108">
        <f>IF(X108&gt;0,MIN(-PMT('Prepay vs Invest'!$B$6/1200,'Prepay vs Invest'!$B$7*12-A108+1,X108),X108+Y108),0)</f>
        <v>66637.192005449324</v>
      </c>
      <c r="AA108">
        <f>MIN(MAX(0,X108+Y108-Z108),IF(AND(A108&gt;='Prepay vs Invest'!$B$11,A108&lt;='Prepay vs Invest'!$B$12),'Prepay vs Invest'!$B$10,0)+IF(A108='Prepay vs Invest'!$B$9,'Prepay vs Invest'!$B$8,0))</f>
        <v>10000</v>
      </c>
      <c r="AB108">
        <f t="shared" si="21"/>
        <v>5996595.2101332191</v>
      </c>
      <c r="AC108">
        <f t="shared" si="30"/>
        <v>1316784.9852348538</v>
      </c>
      <c r="AD108">
        <f>IF(A108&lt;='Prepay vs Invest'!$B$7*12,MAX(0,'Prepay vs Invest'!$E$5+IF(AND(A108&gt;='Prepay vs Invest'!$B$11,A108&lt;='Prepay vs Invest'!$B$12),'Prepay vs Invest'!$B$10,0)+IF(A108='Prepay vs Invest'!$B$9,'Prepay vs Invest'!$B$8,0)-Z108-AA108),0)</f>
        <v>13922.127349731396</v>
      </c>
      <c r="AE108">
        <f>AC108*(1+MAX(0,'Prepay vs Invest'!$B$13-'Prepay vs Invest'!$B$14)/1200)+AD108</f>
        <v>1343326.302026419</v>
      </c>
      <c r="AF108">
        <f t="shared" si="31"/>
        <v>888748.35010985134</v>
      </c>
      <c r="AG108">
        <f>MAX(0,(AE108-AF108-'Prepay vs Invest'!$B$16)*'Prepay vs Invest'!$B$15/100)</f>
        <v>41197.243989570954</v>
      </c>
      <c r="AH108">
        <f t="shared" si="22"/>
        <v>1302129.058036848</v>
      </c>
    </row>
    <row r="109" spans="1:34" x14ac:dyDescent="0.35">
      <c r="A109">
        <f t="shared" si="23"/>
        <v>108</v>
      </c>
      <c r="B109">
        <f>IF(A109&lt;='Prepay vs Invest'!$B$7*12,F108,0)</f>
        <v>7261518.7886496242</v>
      </c>
      <c r="C109">
        <f>IF(B109&gt;0,B109*'Prepay vs Invest'!$B$6/1200,0)</f>
        <v>45384.492429060156</v>
      </c>
      <c r="D109">
        <f>IF(B109&gt;0,MIN(-PMT('Prepay vs Invest'!$B$6/1200,'Prepay vs Invest'!$B$7*12,'Prepay vs Invest'!$B$5),B109+C109),0)</f>
        <v>80559.31935518072</v>
      </c>
      <c r="E109">
        <f t="shared" si="16"/>
        <v>35174.826926120564</v>
      </c>
      <c r="F109">
        <f t="shared" si="17"/>
        <v>7226343.9617235037</v>
      </c>
      <c r="G109">
        <f t="shared" si="24"/>
        <v>3089140.8804652453</v>
      </c>
      <c r="H109">
        <f>IF(A109&lt;='Prepay vs Invest'!$B$7*12,IF(AND(A109&gt;='Prepay vs Invest'!$B$11,A109&lt;='Prepay vs Invest'!$B$12),'Prepay vs Invest'!$B$10,0)+IF(A109='Prepay vs Invest'!$B$9,'Prepay vs Invest'!$B$8,0),0)</f>
        <v>10000</v>
      </c>
      <c r="I109">
        <f>G109*(1+MAX(0,'Prepay vs Invest'!$B$13-'Prepay vs Invest'!$B$14)/1200)+H109</f>
        <v>3128745.1472363705</v>
      </c>
      <c r="J109">
        <f t="shared" si="25"/>
        <v>1580000</v>
      </c>
      <c r="K109">
        <f>MAX(0,(I109-J109-'Prepay vs Invest'!$B$16)*'Prepay vs Invest'!$B$15/100)</f>
        <v>177968.14340454631</v>
      </c>
      <c r="L109">
        <f t="shared" si="18"/>
        <v>2950777.0038318243</v>
      </c>
      <c r="M109">
        <f t="shared" si="26"/>
        <v>4841425.9642564477</v>
      </c>
      <c r="N109">
        <f>IF(M109&gt;0,M109*'Prepay vs Invest'!$B$6/1200,0)</f>
        <v>30258.912276602798</v>
      </c>
      <c r="O109">
        <f>IF(M109&gt;0,MIN('Prepay vs Invest'!$E$5,M109+N109),0)</f>
        <v>80559.31935518072</v>
      </c>
      <c r="P109">
        <f>MIN(MAX(0,M109+N109-O109),IF(AND(A109&gt;='Prepay vs Invest'!$B$11,A109&lt;='Prepay vs Invest'!$B$12),'Prepay vs Invest'!$B$10,0)+IF(A109='Prepay vs Invest'!$B$9,'Prepay vs Invest'!$B$8,0))</f>
        <v>10000</v>
      </c>
      <c r="Q109">
        <f t="shared" si="19"/>
        <v>4781125.5571778696</v>
      </c>
      <c r="R109">
        <f t="shared" si="27"/>
        <v>0</v>
      </c>
      <c r="S109">
        <f>IF(A109&lt;='Prepay vs Invest'!$B$7*12,MAX(0,'Prepay vs Invest'!$E$5+IF(AND(A109&gt;='Prepay vs Invest'!$B$11,A109&lt;='Prepay vs Invest'!$B$12),'Prepay vs Invest'!$B$10,0)+IF(A109='Prepay vs Invest'!$B$9,'Prepay vs Invest'!$B$8,0)-O109-P109),0)</f>
        <v>0</v>
      </c>
      <c r="T109">
        <f>R109*(1+MAX(0,'Prepay vs Invest'!$B$13-'Prepay vs Invest'!$B$14)/1200)+S109</f>
        <v>0</v>
      </c>
      <c r="U109">
        <f t="shared" si="28"/>
        <v>0</v>
      </c>
      <c r="V109">
        <f>MAX(0,(T109-U109-'Prepay vs Invest'!$B$16)*'Prepay vs Invest'!$B$15/100)</f>
        <v>0</v>
      </c>
      <c r="W109">
        <f t="shared" si="20"/>
        <v>0</v>
      </c>
      <c r="X109">
        <f t="shared" si="29"/>
        <v>5996595.2101332191</v>
      </c>
      <c r="Y109">
        <f>IF(X109&gt;0,X109*'Prepay vs Invest'!$B$6/1200,0)</f>
        <v>37478.720063332614</v>
      </c>
      <c r="Z109">
        <f>IF(X109&gt;0,MIN(-PMT('Prepay vs Invest'!$B$6/1200,'Prepay vs Invest'!$B$7*12-A109+1,X109),X109+Y109),0)</f>
        <v>66526.251964254232</v>
      </c>
      <c r="AA109">
        <f>MIN(MAX(0,X109+Y109-Z109),IF(AND(A109&gt;='Prepay vs Invest'!$B$11,A109&lt;='Prepay vs Invest'!$B$12),'Prepay vs Invest'!$B$10,0)+IF(A109='Prepay vs Invest'!$B$9,'Prepay vs Invest'!$B$8,0))</f>
        <v>10000</v>
      </c>
      <c r="AB109">
        <f t="shared" si="21"/>
        <v>5957547.6782322973</v>
      </c>
      <c r="AC109">
        <f t="shared" si="30"/>
        <v>1343326.302026419</v>
      </c>
      <c r="AD109">
        <f>IF(A109&lt;='Prepay vs Invest'!$B$7*12,MAX(0,'Prepay vs Invest'!$E$5+IF(AND(A109&gt;='Prepay vs Invest'!$B$11,A109&lt;='Prepay vs Invest'!$B$12),'Prepay vs Invest'!$B$10,0)+IF(A109='Prepay vs Invest'!$B$9,'Prepay vs Invest'!$B$8,0)-Z109-AA109),0)</f>
        <v>14033.067390926488</v>
      </c>
      <c r="AE109">
        <f>AC109*(1+MAX(0,'Prepay vs Invest'!$B$13-'Prepay vs Invest'!$B$14)/1200)+AD109</f>
        <v>1370232.9131450986</v>
      </c>
      <c r="AF109">
        <f t="shared" si="31"/>
        <v>902781.41750077787</v>
      </c>
      <c r="AG109">
        <f>MAX(0,(AE109-AF109-'Prepay vs Invest'!$B$16)*'Prepay vs Invest'!$B$15/100)</f>
        <v>42806.436955540084</v>
      </c>
      <c r="AH109">
        <f t="shared" si="22"/>
        <v>1327426.4761895586</v>
      </c>
    </row>
    <row r="110" spans="1:34" x14ac:dyDescent="0.35">
      <c r="A110">
        <f t="shared" si="23"/>
        <v>109</v>
      </c>
      <c r="B110">
        <f>IF(A110&lt;='Prepay vs Invest'!$B$7*12,F109,0)</f>
        <v>7226343.9617235037</v>
      </c>
      <c r="C110">
        <f>IF(B110&gt;0,B110*'Prepay vs Invest'!$B$6/1200,0)</f>
        <v>45164.649760771899</v>
      </c>
      <c r="D110">
        <f>IF(B110&gt;0,MIN(-PMT('Prepay vs Invest'!$B$6/1200,'Prepay vs Invest'!$B$7*12,'Prepay vs Invest'!$B$5),B110+C110),0)</f>
        <v>80559.31935518072</v>
      </c>
      <c r="E110">
        <f t="shared" si="16"/>
        <v>35394.669594408821</v>
      </c>
      <c r="F110">
        <f t="shared" si="17"/>
        <v>7190949.2921290947</v>
      </c>
      <c r="G110">
        <f t="shared" si="24"/>
        <v>3128745.1472363705</v>
      </c>
      <c r="H110">
        <f>IF(A110&lt;='Prepay vs Invest'!$B$7*12,IF(AND(A110&gt;='Prepay vs Invest'!$B$11,A110&lt;='Prepay vs Invest'!$B$12),'Prepay vs Invest'!$B$10,0)+IF(A110='Prepay vs Invest'!$B$9,'Prepay vs Invest'!$B$8,0),0)</f>
        <v>10000</v>
      </c>
      <c r="I110">
        <f>G110*(1+MAX(0,'Prepay vs Invest'!$B$13-'Prepay vs Invest'!$B$14)/1200)+H110</f>
        <v>3168728.9548973856</v>
      </c>
      <c r="J110">
        <f t="shared" si="25"/>
        <v>1590000</v>
      </c>
      <c r="K110">
        <f>MAX(0,(I110-J110-'Prepay vs Invest'!$B$16)*'Prepay vs Invest'!$B$15/100)</f>
        <v>181716.11936217319</v>
      </c>
      <c r="L110">
        <f t="shared" si="18"/>
        <v>2987012.8355352124</v>
      </c>
      <c r="M110">
        <f t="shared" si="26"/>
        <v>4781125.5571778696</v>
      </c>
      <c r="N110">
        <f>IF(M110&gt;0,M110*'Prepay vs Invest'!$B$6/1200,0)</f>
        <v>29882.034732361684</v>
      </c>
      <c r="O110">
        <f>IF(M110&gt;0,MIN('Prepay vs Invest'!$E$5,M110+N110),0)</f>
        <v>80559.31935518072</v>
      </c>
      <c r="P110">
        <f>MIN(MAX(0,M110+N110-O110),IF(AND(A110&gt;='Prepay vs Invest'!$B$11,A110&lt;='Prepay vs Invest'!$B$12),'Prepay vs Invest'!$B$10,0)+IF(A110='Prepay vs Invest'!$B$9,'Prepay vs Invest'!$B$8,0))</f>
        <v>10000</v>
      </c>
      <c r="Q110">
        <f t="shared" si="19"/>
        <v>4720448.2725550504</v>
      </c>
      <c r="R110">
        <f t="shared" si="27"/>
        <v>0</v>
      </c>
      <c r="S110">
        <f>IF(A110&lt;='Prepay vs Invest'!$B$7*12,MAX(0,'Prepay vs Invest'!$E$5+IF(AND(A110&gt;='Prepay vs Invest'!$B$11,A110&lt;='Prepay vs Invest'!$B$12),'Prepay vs Invest'!$B$10,0)+IF(A110='Prepay vs Invest'!$B$9,'Prepay vs Invest'!$B$8,0)-O110-P110),0)</f>
        <v>0</v>
      </c>
      <c r="T110">
        <f>R110*(1+MAX(0,'Prepay vs Invest'!$B$13-'Prepay vs Invest'!$B$14)/1200)+S110</f>
        <v>0</v>
      </c>
      <c r="U110">
        <f t="shared" si="28"/>
        <v>0</v>
      </c>
      <c r="V110">
        <f>MAX(0,(T110-U110-'Prepay vs Invest'!$B$16)*'Prepay vs Invest'!$B$15/100)</f>
        <v>0</v>
      </c>
      <c r="W110">
        <f t="shared" si="20"/>
        <v>0</v>
      </c>
      <c r="X110">
        <f t="shared" si="29"/>
        <v>5957547.6782322973</v>
      </c>
      <c r="Y110">
        <f>IF(X110&gt;0,X110*'Prepay vs Invest'!$B$6/1200,0)</f>
        <v>37234.672988951861</v>
      </c>
      <c r="Z110">
        <f>IF(X110&gt;0,MIN(-PMT('Prepay vs Invest'!$B$6/1200,'Prepay vs Invest'!$B$7*12-A110+1,X110),X110+Y110),0)</f>
        <v>66414.771913232747</v>
      </c>
      <c r="AA110">
        <f>MIN(MAX(0,X110+Y110-Z110),IF(AND(A110&gt;='Prepay vs Invest'!$B$11,A110&lt;='Prepay vs Invest'!$B$12),'Prepay vs Invest'!$B$10,0)+IF(A110='Prepay vs Invest'!$B$9,'Prepay vs Invest'!$B$8,0))</f>
        <v>10000</v>
      </c>
      <c r="AB110">
        <f t="shared" si="21"/>
        <v>5918367.5793080162</v>
      </c>
      <c r="AC110">
        <f t="shared" si="30"/>
        <v>1370232.9131450986</v>
      </c>
      <c r="AD110">
        <f>IF(A110&lt;='Prepay vs Invest'!$B$7*12,MAX(0,'Prepay vs Invest'!$E$5+IF(AND(A110&gt;='Prepay vs Invest'!$B$11,A110&lt;='Prepay vs Invest'!$B$12),'Prepay vs Invest'!$B$10,0)+IF(A110='Prepay vs Invest'!$B$9,'Prepay vs Invest'!$B$8,0)-Z110-AA110),0)</f>
        <v>14144.547441947972</v>
      </c>
      <c r="AE110">
        <f>AC110*(1+MAX(0,'Prepay vs Invest'!$B$13-'Prepay vs Invest'!$B$14)/1200)+AD110</f>
        <v>1397508.8593380204</v>
      </c>
      <c r="AF110">
        <f t="shared" si="31"/>
        <v>916925.96494272584</v>
      </c>
      <c r="AG110">
        <f>MAX(0,(AE110-AF110-'Prepay vs Invest'!$B$16)*'Prepay vs Invest'!$B$15/100)</f>
        <v>44447.861799411832</v>
      </c>
      <c r="AH110">
        <f t="shared" si="22"/>
        <v>1353060.9975386085</v>
      </c>
    </row>
    <row r="111" spans="1:34" x14ac:dyDescent="0.35">
      <c r="A111">
        <f t="shared" si="23"/>
        <v>110</v>
      </c>
      <c r="B111">
        <f>IF(A111&lt;='Prepay vs Invest'!$B$7*12,F110,0)</f>
        <v>7190949.2921290947</v>
      </c>
      <c r="C111">
        <f>IF(B111&gt;0,B111*'Prepay vs Invest'!$B$6/1200,0)</f>
        <v>44943.433075806839</v>
      </c>
      <c r="D111">
        <f>IF(B111&gt;0,MIN(-PMT('Prepay vs Invest'!$B$6/1200,'Prepay vs Invest'!$B$7*12,'Prepay vs Invest'!$B$5),B111+C111),0)</f>
        <v>80559.31935518072</v>
      </c>
      <c r="E111">
        <f t="shared" si="16"/>
        <v>35615.886279373881</v>
      </c>
      <c r="F111">
        <f t="shared" si="17"/>
        <v>7155333.4058497213</v>
      </c>
      <c r="G111">
        <f t="shared" si="24"/>
        <v>3168728.9548973856</v>
      </c>
      <c r="H111">
        <f>IF(A111&lt;='Prepay vs Invest'!$B$7*12,IF(AND(A111&gt;='Prepay vs Invest'!$B$11,A111&lt;='Prepay vs Invest'!$B$12),'Prepay vs Invest'!$B$10,0)+IF(A111='Prepay vs Invest'!$B$9,'Prepay vs Invest'!$B$8,0),0)</f>
        <v>10000</v>
      </c>
      <c r="I111">
        <f>G111*(1+MAX(0,'Prepay vs Invest'!$B$13-'Prepay vs Invest'!$B$14)/1200)+H111</f>
        <v>3209095.9407151518</v>
      </c>
      <c r="J111">
        <f t="shared" si="25"/>
        <v>1600000</v>
      </c>
      <c r="K111">
        <f>MAX(0,(I111-J111-'Prepay vs Invest'!$B$16)*'Prepay vs Invest'!$B$15/100)</f>
        <v>185511.99258939398</v>
      </c>
      <c r="L111">
        <f t="shared" si="18"/>
        <v>3023583.9481257577</v>
      </c>
      <c r="M111">
        <f t="shared" si="26"/>
        <v>4720448.2725550504</v>
      </c>
      <c r="N111">
        <f>IF(M111&gt;0,M111*'Prepay vs Invest'!$B$6/1200,0)</f>
        <v>29502.801703469064</v>
      </c>
      <c r="O111">
        <f>IF(M111&gt;0,MIN('Prepay vs Invest'!$E$5,M111+N111),0)</f>
        <v>80559.31935518072</v>
      </c>
      <c r="P111">
        <f>MIN(MAX(0,M111+N111-O111),IF(AND(A111&gt;='Prepay vs Invest'!$B$11,A111&lt;='Prepay vs Invest'!$B$12),'Prepay vs Invest'!$B$10,0)+IF(A111='Prepay vs Invest'!$B$9,'Prepay vs Invest'!$B$8,0))</f>
        <v>10000</v>
      </c>
      <c r="Q111">
        <f t="shared" si="19"/>
        <v>4659391.7549033388</v>
      </c>
      <c r="R111">
        <f t="shared" si="27"/>
        <v>0</v>
      </c>
      <c r="S111">
        <f>IF(A111&lt;='Prepay vs Invest'!$B$7*12,MAX(0,'Prepay vs Invest'!$E$5+IF(AND(A111&gt;='Prepay vs Invest'!$B$11,A111&lt;='Prepay vs Invest'!$B$12),'Prepay vs Invest'!$B$10,0)+IF(A111='Prepay vs Invest'!$B$9,'Prepay vs Invest'!$B$8,0)-O111-P111),0)</f>
        <v>0</v>
      </c>
      <c r="T111">
        <f>R111*(1+MAX(0,'Prepay vs Invest'!$B$13-'Prepay vs Invest'!$B$14)/1200)+S111</f>
        <v>0</v>
      </c>
      <c r="U111">
        <f t="shared" si="28"/>
        <v>0</v>
      </c>
      <c r="V111">
        <f>MAX(0,(T111-U111-'Prepay vs Invest'!$B$16)*'Prepay vs Invest'!$B$15/100)</f>
        <v>0</v>
      </c>
      <c r="W111">
        <f t="shared" si="20"/>
        <v>0</v>
      </c>
      <c r="X111">
        <f t="shared" si="29"/>
        <v>5918367.5793080162</v>
      </c>
      <c r="Y111">
        <f>IF(X111&gt;0,X111*'Prepay vs Invest'!$B$6/1200,0)</f>
        <v>36989.7973706751</v>
      </c>
      <c r="Z111">
        <f>IF(X111&gt;0,MIN(-PMT('Prepay vs Invest'!$B$6/1200,'Prepay vs Invest'!$B$7*12-A111+1,X111),X111+Y111),0)</f>
        <v>66302.743144731547</v>
      </c>
      <c r="AA111">
        <f>MIN(MAX(0,X111+Y111-Z111),IF(AND(A111&gt;='Prepay vs Invest'!$B$11,A111&lt;='Prepay vs Invest'!$B$12),'Prepay vs Invest'!$B$10,0)+IF(A111='Prepay vs Invest'!$B$9,'Prepay vs Invest'!$B$8,0))</f>
        <v>10000</v>
      </c>
      <c r="AB111">
        <f t="shared" si="21"/>
        <v>5879054.6335339593</v>
      </c>
      <c r="AC111">
        <f t="shared" si="30"/>
        <v>1397508.8593380204</v>
      </c>
      <c r="AD111">
        <f>IF(A111&lt;='Prepay vs Invest'!$B$7*12,MAX(0,'Prepay vs Invest'!$E$5+IF(AND(A111&gt;='Prepay vs Invest'!$B$11,A111&lt;='Prepay vs Invest'!$B$12),'Prepay vs Invest'!$B$10,0)+IF(A111='Prepay vs Invest'!$B$9,'Prepay vs Invest'!$B$8,0)-Z111-AA111),0)</f>
        <v>14256.576210449173</v>
      </c>
      <c r="AE111">
        <f>AC111*(1+MAX(0,'Prepay vs Invest'!$B$13-'Prepay vs Invest'!$B$14)/1200)+AD111</f>
        <v>1425158.2287837924</v>
      </c>
      <c r="AF111">
        <f t="shared" si="31"/>
        <v>931182.54115317506</v>
      </c>
      <c r="AG111">
        <f>MAX(0,(AE111-AF111-'Prepay vs Invest'!$B$16)*'Prepay vs Invest'!$B$15/100)</f>
        <v>46121.960953827162</v>
      </c>
      <c r="AH111">
        <f t="shared" si="22"/>
        <v>1379036.2678299651</v>
      </c>
    </row>
    <row r="112" spans="1:34" x14ac:dyDescent="0.35">
      <c r="A112">
        <f t="shared" si="23"/>
        <v>111</v>
      </c>
      <c r="B112">
        <f>IF(A112&lt;='Prepay vs Invest'!$B$7*12,F111,0)</f>
        <v>7155333.4058497213</v>
      </c>
      <c r="C112">
        <f>IF(B112&gt;0,B112*'Prepay vs Invest'!$B$6/1200,0)</f>
        <v>44720.833786560754</v>
      </c>
      <c r="D112">
        <f>IF(B112&gt;0,MIN(-PMT('Prepay vs Invest'!$B$6/1200,'Prepay vs Invest'!$B$7*12,'Prepay vs Invest'!$B$5),B112+C112),0)</f>
        <v>80559.31935518072</v>
      </c>
      <c r="E112">
        <f t="shared" si="16"/>
        <v>35838.485568619966</v>
      </c>
      <c r="F112">
        <f t="shared" si="17"/>
        <v>7119494.9202811019</v>
      </c>
      <c r="G112">
        <f t="shared" si="24"/>
        <v>3209095.9407151518</v>
      </c>
      <c r="H112">
        <f>IF(A112&lt;='Prepay vs Invest'!$B$7*12,IF(AND(A112&gt;='Prepay vs Invest'!$B$11,A112&lt;='Prepay vs Invest'!$B$12),'Prepay vs Invest'!$B$10,0)+IF(A112='Prepay vs Invest'!$B$9,'Prepay vs Invest'!$B$8,0),0)</f>
        <v>10000</v>
      </c>
      <c r="I112">
        <f>G112*(1+MAX(0,'Prepay vs Invest'!$B$13-'Prepay vs Invest'!$B$14)/1200)+H112</f>
        <v>3249849.7768136719</v>
      </c>
      <c r="J112">
        <f t="shared" si="25"/>
        <v>1610000</v>
      </c>
      <c r="K112">
        <f>MAX(0,(I112-J112-'Prepay vs Invest'!$B$16)*'Prepay vs Invest'!$B$15/100)</f>
        <v>189356.22210170899</v>
      </c>
      <c r="L112">
        <f t="shared" si="18"/>
        <v>3060493.5547119631</v>
      </c>
      <c r="M112">
        <f t="shared" si="26"/>
        <v>4659391.7549033388</v>
      </c>
      <c r="N112">
        <f>IF(M112&gt;0,M112*'Prepay vs Invest'!$B$6/1200,0)</f>
        <v>29121.198468145863</v>
      </c>
      <c r="O112">
        <f>IF(M112&gt;0,MIN('Prepay vs Invest'!$E$5,M112+N112),0)</f>
        <v>80559.31935518072</v>
      </c>
      <c r="P112">
        <f>MIN(MAX(0,M112+N112-O112),IF(AND(A112&gt;='Prepay vs Invest'!$B$11,A112&lt;='Prepay vs Invest'!$B$12),'Prepay vs Invest'!$B$10,0)+IF(A112='Prepay vs Invest'!$B$9,'Prepay vs Invest'!$B$8,0))</f>
        <v>10000</v>
      </c>
      <c r="Q112">
        <f t="shared" si="19"/>
        <v>4597953.6340163043</v>
      </c>
      <c r="R112">
        <f t="shared" si="27"/>
        <v>0</v>
      </c>
      <c r="S112">
        <f>IF(A112&lt;='Prepay vs Invest'!$B$7*12,MAX(0,'Prepay vs Invest'!$E$5+IF(AND(A112&gt;='Prepay vs Invest'!$B$11,A112&lt;='Prepay vs Invest'!$B$12),'Prepay vs Invest'!$B$10,0)+IF(A112='Prepay vs Invest'!$B$9,'Prepay vs Invest'!$B$8,0)-O112-P112),0)</f>
        <v>0</v>
      </c>
      <c r="T112">
        <f>R112*(1+MAX(0,'Prepay vs Invest'!$B$13-'Prepay vs Invest'!$B$14)/1200)+S112</f>
        <v>0</v>
      </c>
      <c r="U112">
        <f t="shared" si="28"/>
        <v>0</v>
      </c>
      <c r="V112">
        <f>MAX(0,(T112-U112-'Prepay vs Invest'!$B$16)*'Prepay vs Invest'!$B$15/100)</f>
        <v>0</v>
      </c>
      <c r="W112">
        <f t="shared" si="20"/>
        <v>0</v>
      </c>
      <c r="X112">
        <f t="shared" si="29"/>
        <v>5879054.6335339593</v>
      </c>
      <c r="Y112">
        <f>IF(X112&gt;0,X112*'Prepay vs Invest'!$B$6/1200,0)</f>
        <v>36744.091459587245</v>
      </c>
      <c r="Z112">
        <f>IF(X112&gt;0,MIN(-PMT('Prepay vs Invest'!$B$6/1200,'Prepay vs Invest'!$B$7*12-A112+1,X112),X112+Y112),0)</f>
        <v>66190.156749680653</v>
      </c>
      <c r="AA112">
        <f>MIN(MAX(0,X112+Y112-Z112),IF(AND(A112&gt;='Prepay vs Invest'!$B$11,A112&lt;='Prepay vs Invest'!$B$12),'Prepay vs Invest'!$B$10,0)+IF(A112='Prepay vs Invest'!$B$9,'Prepay vs Invest'!$B$8,0))</f>
        <v>10000</v>
      </c>
      <c r="AB112">
        <f t="shared" si="21"/>
        <v>5839608.5682438659</v>
      </c>
      <c r="AC112">
        <f t="shared" si="30"/>
        <v>1425158.2287837924</v>
      </c>
      <c r="AD112">
        <f>IF(A112&lt;='Prepay vs Invest'!$B$7*12,MAX(0,'Prepay vs Invest'!$E$5+IF(AND(A112&gt;='Prepay vs Invest'!$B$11,A112&lt;='Prepay vs Invest'!$B$12),'Prepay vs Invest'!$B$10,0)+IF(A112='Prepay vs Invest'!$B$9,'Prepay vs Invest'!$B$8,0)-Z112-AA112),0)</f>
        <v>14369.162605500067</v>
      </c>
      <c r="AE112">
        <f>AC112*(1+MAX(0,'Prepay vs Invest'!$B$13-'Prepay vs Invest'!$B$14)/1200)+AD112</f>
        <v>1453185.1577484703</v>
      </c>
      <c r="AF112">
        <f t="shared" si="31"/>
        <v>945551.70375867514</v>
      </c>
      <c r="AG112">
        <f>MAX(0,(AE112-AF112-'Prepay vs Invest'!$B$16)*'Prepay vs Invest'!$B$15/100)</f>
        <v>47829.181748724397</v>
      </c>
      <c r="AH112">
        <f t="shared" si="22"/>
        <v>1405355.975999746</v>
      </c>
    </row>
    <row r="113" spans="1:34" x14ac:dyDescent="0.35">
      <c r="A113">
        <f t="shared" si="23"/>
        <v>112</v>
      </c>
      <c r="B113">
        <f>IF(A113&lt;='Prepay vs Invest'!$B$7*12,F112,0)</f>
        <v>7119494.9202811019</v>
      </c>
      <c r="C113">
        <f>IF(B113&gt;0,B113*'Prepay vs Invest'!$B$6/1200,0)</f>
        <v>44496.843251756887</v>
      </c>
      <c r="D113">
        <f>IF(B113&gt;0,MIN(-PMT('Prepay vs Invest'!$B$6/1200,'Prepay vs Invest'!$B$7*12,'Prepay vs Invest'!$B$5),B113+C113),0)</f>
        <v>80559.31935518072</v>
      </c>
      <c r="E113">
        <f t="shared" si="16"/>
        <v>36062.476103423833</v>
      </c>
      <c r="F113">
        <f t="shared" si="17"/>
        <v>7083432.4441776788</v>
      </c>
      <c r="G113">
        <f t="shared" si="24"/>
        <v>3249849.7768136719</v>
      </c>
      <c r="H113">
        <f>IF(A113&lt;='Prepay vs Invest'!$B$7*12,IF(AND(A113&gt;='Prepay vs Invest'!$B$11,A113&lt;='Prepay vs Invest'!$B$12),'Prepay vs Invest'!$B$10,0)+IF(A113='Prepay vs Invest'!$B$9,'Prepay vs Invest'!$B$8,0),0)</f>
        <v>10000</v>
      </c>
      <c r="I113">
        <f>G113*(1+MAX(0,'Prepay vs Invest'!$B$13-'Prepay vs Invest'!$B$14)/1200)+H113</f>
        <v>3290994.170508136</v>
      </c>
      <c r="J113">
        <f t="shared" si="25"/>
        <v>1620000</v>
      </c>
      <c r="K113">
        <f>MAX(0,(I113-J113-'Prepay vs Invest'!$B$16)*'Prepay vs Invest'!$B$15/100)</f>
        <v>193249.27131351701</v>
      </c>
      <c r="L113">
        <f t="shared" si="18"/>
        <v>3097744.8991946192</v>
      </c>
      <c r="M113">
        <f t="shared" si="26"/>
        <v>4597953.6340163043</v>
      </c>
      <c r="N113">
        <f>IF(M113&gt;0,M113*'Prepay vs Invest'!$B$6/1200,0)</f>
        <v>28737.210212601902</v>
      </c>
      <c r="O113">
        <f>IF(M113&gt;0,MIN('Prepay vs Invest'!$E$5,M113+N113),0)</f>
        <v>80559.31935518072</v>
      </c>
      <c r="P113">
        <f>MIN(MAX(0,M113+N113-O113),IF(AND(A113&gt;='Prepay vs Invest'!$B$11,A113&lt;='Prepay vs Invest'!$B$12),'Prepay vs Invest'!$B$10,0)+IF(A113='Prepay vs Invest'!$B$9,'Prepay vs Invest'!$B$8,0))</f>
        <v>10000</v>
      </c>
      <c r="Q113">
        <f t="shared" si="19"/>
        <v>4536131.5248737261</v>
      </c>
      <c r="R113">
        <f t="shared" si="27"/>
        <v>0</v>
      </c>
      <c r="S113">
        <f>IF(A113&lt;='Prepay vs Invest'!$B$7*12,MAX(0,'Prepay vs Invest'!$E$5+IF(AND(A113&gt;='Prepay vs Invest'!$B$11,A113&lt;='Prepay vs Invest'!$B$12),'Prepay vs Invest'!$B$10,0)+IF(A113='Prepay vs Invest'!$B$9,'Prepay vs Invest'!$B$8,0)-O113-P113),0)</f>
        <v>0</v>
      </c>
      <c r="T113">
        <f>R113*(1+MAX(0,'Prepay vs Invest'!$B$13-'Prepay vs Invest'!$B$14)/1200)+S113</f>
        <v>0</v>
      </c>
      <c r="U113">
        <f t="shared" si="28"/>
        <v>0</v>
      </c>
      <c r="V113">
        <f>MAX(0,(T113-U113-'Prepay vs Invest'!$B$16)*'Prepay vs Invest'!$B$15/100)</f>
        <v>0</v>
      </c>
      <c r="W113">
        <f t="shared" si="20"/>
        <v>0</v>
      </c>
      <c r="X113">
        <f t="shared" si="29"/>
        <v>5839608.5682438659</v>
      </c>
      <c r="Y113">
        <f>IF(X113&gt;0,X113*'Prepay vs Invest'!$B$6/1200,0)</f>
        <v>36497.553551524165</v>
      </c>
      <c r="Z113">
        <f>IF(X113&gt;0,MIN(-PMT('Prepay vs Invest'!$B$6/1200,'Prepay vs Invest'!$B$7*12-A113+1,X113),X113+Y113),0)</f>
        <v>66077.003611351</v>
      </c>
      <c r="AA113">
        <f>MIN(MAX(0,X113+Y113-Z113),IF(AND(A113&gt;='Prepay vs Invest'!$B$11,A113&lt;='Prepay vs Invest'!$B$12),'Prepay vs Invest'!$B$10,0)+IF(A113='Prepay vs Invest'!$B$9,'Prepay vs Invest'!$B$8,0))</f>
        <v>10000</v>
      </c>
      <c r="AB113">
        <f t="shared" si="21"/>
        <v>5800029.1181840384</v>
      </c>
      <c r="AC113">
        <f t="shared" si="30"/>
        <v>1453185.1577484703</v>
      </c>
      <c r="AD113">
        <f>IF(A113&lt;='Prepay vs Invest'!$B$7*12,MAX(0,'Prepay vs Invest'!$E$5+IF(AND(A113&gt;='Prepay vs Invest'!$B$11,A113&lt;='Prepay vs Invest'!$B$12),'Prepay vs Invest'!$B$10,0)+IF(A113='Prepay vs Invest'!$B$9,'Prepay vs Invest'!$B$8,0)-Z113-AA113),0)</f>
        <v>14482.31574382972</v>
      </c>
      <c r="AE113">
        <f>AC113*(1+MAX(0,'Prepay vs Invest'!$B$13-'Prepay vs Invest'!$B$14)/1200)+AD113</f>
        <v>1481593.8312540562</v>
      </c>
      <c r="AF113">
        <f t="shared" si="31"/>
        <v>960034.01950250485</v>
      </c>
      <c r="AG113">
        <f>MAX(0,(AE113-AF113-'Prepay vs Invest'!$B$16)*'Prepay vs Invest'!$B$15/100)</f>
        <v>49569.976468943918</v>
      </c>
      <c r="AH113">
        <f t="shared" si="22"/>
        <v>1432023.8547851122</v>
      </c>
    </row>
    <row r="114" spans="1:34" x14ac:dyDescent="0.35">
      <c r="A114">
        <f t="shared" si="23"/>
        <v>113</v>
      </c>
      <c r="B114">
        <f>IF(A114&lt;='Prepay vs Invest'!$B$7*12,F113,0)</f>
        <v>7083432.4441776788</v>
      </c>
      <c r="C114">
        <f>IF(B114&gt;0,B114*'Prepay vs Invest'!$B$6/1200,0)</f>
        <v>44271.452776110498</v>
      </c>
      <c r="D114">
        <f>IF(B114&gt;0,MIN(-PMT('Prepay vs Invest'!$B$6/1200,'Prepay vs Invest'!$B$7*12,'Prepay vs Invest'!$B$5),B114+C114),0)</f>
        <v>80559.31935518072</v>
      </c>
      <c r="E114">
        <f t="shared" si="16"/>
        <v>36287.866579070222</v>
      </c>
      <c r="F114">
        <f t="shared" si="17"/>
        <v>7047144.577598609</v>
      </c>
      <c r="G114">
        <f t="shared" si="24"/>
        <v>3290994.170508136</v>
      </c>
      <c r="H114">
        <f>IF(A114&lt;='Prepay vs Invest'!$B$7*12,IF(AND(A114&gt;='Prepay vs Invest'!$B$11,A114&lt;='Prepay vs Invest'!$B$12),'Prepay vs Invest'!$B$10,0)+IF(A114='Prepay vs Invest'!$B$9,'Prepay vs Invest'!$B$8,0),0)</f>
        <v>10000</v>
      </c>
      <c r="I114">
        <f>G114*(1+MAX(0,'Prepay vs Invest'!$B$13-'Prepay vs Invest'!$B$14)/1200)+H114</f>
        <v>3332532.8646421721</v>
      </c>
      <c r="J114">
        <f t="shared" si="25"/>
        <v>1630000</v>
      </c>
      <c r="K114">
        <f>MAX(0,(I114-J114-'Prepay vs Invest'!$B$16)*'Prepay vs Invest'!$B$15/100)</f>
        <v>197191.60808027152</v>
      </c>
      <c r="L114">
        <f t="shared" si="18"/>
        <v>3135341.2565619005</v>
      </c>
      <c r="M114">
        <f t="shared" si="26"/>
        <v>4536131.5248737261</v>
      </c>
      <c r="N114">
        <f>IF(M114&gt;0,M114*'Prepay vs Invest'!$B$6/1200,0)</f>
        <v>28350.822030460786</v>
      </c>
      <c r="O114">
        <f>IF(M114&gt;0,MIN('Prepay vs Invest'!$E$5,M114+N114),0)</f>
        <v>80559.31935518072</v>
      </c>
      <c r="P114">
        <f>MIN(MAX(0,M114+N114-O114),IF(AND(A114&gt;='Prepay vs Invest'!$B$11,A114&lt;='Prepay vs Invest'!$B$12),'Prepay vs Invest'!$B$10,0)+IF(A114='Prepay vs Invest'!$B$9,'Prepay vs Invest'!$B$8,0))</f>
        <v>10000</v>
      </c>
      <c r="Q114">
        <f t="shared" si="19"/>
        <v>4473923.027549006</v>
      </c>
      <c r="R114">
        <f t="shared" si="27"/>
        <v>0</v>
      </c>
      <c r="S114">
        <f>IF(A114&lt;='Prepay vs Invest'!$B$7*12,MAX(0,'Prepay vs Invest'!$E$5+IF(AND(A114&gt;='Prepay vs Invest'!$B$11,A114&lt;='Prepay vs Invest'!$B$12),'Prepay vs Invest'!$B$10,0)+IF(A114='Prepay vs Invest'!$B$9,'Prepay vs Invest'!$B$8,0)-O114-P114),0)</f>
        <v>0</v>
      </c>
      <c r="T114">
        <f>R114*(1+MAX(0,'Prepay vs Invest'!$B$13-'Prepay vs Invest'!$B$14)/1200)+S114</f>
        <v>0</v>
      </c>
      <c r="U114">
        <f t="shared" si="28"/>
        <v>0</v>
      </c>
      <c r="V114">
        <f>MAX(0,(T114-U114-'Prepay vs Invest'!$B$16)*'Prepay vs Invest'!$B$15/100)</f>
        <v>0</v>
      </c>
      <c r="W114">
        <f t="shared" si="20"/>
        <v>0</v>
      </c>
      <c r="X114">
        <f t="shared" si="29"/>
        <v>5800029.1181840384</v>
      </c>
      <c r="Y114">
        <f>IF(X114&gt;0,X114*'Prepay vs Invest'!$B$6/1200,0)</f>
        <v>36250.181988650234</v>
      </c>
      <c r="Z114">
        <f>IF(X114&gt;0,MIN(-PMT('Prepay vs Invest'!$B$6/1200,'Prepay vs Invest'!$B$7*12-A114+1,X114),X114+Y114),0)</f>
        <v>65963.274398868147</v>
      </c>
      <c r="AA114">
        <f>MIN(MAX(0,X114+Y114-Z114),IF(AND(A114&gt;='Prepay vs Invest'!$B$11,A114&lt;='Prepay vs Invest'!$B$12),'Prepay vs Invest'!$B$10,0)+IF(A114='Prepay vs Invest'!$B$9,'Prepay vs Invest'!$B$8,0))</f>
        <v>10000</v>
      </c>
      <c r="AB114">
        <f t="shared" si="21"/>
        <v>5760316.0257738205</v>
      </c>
      <c r="AC114">
        <f t="shared" si="30"/>
        <v>1481593.8312540562</v>
      </c>
      <c r="AD114">
        <f>IF(A114&lt;='Prepay vs Invest'!$B$7*12,MAX(0,'Prepay vs Invest'!$E$5+IF(AND(A114&gt;='Prepay vs Invest'!$B$11,A114&lt;='Prepay vs Invest'!$B$12),'Prepay vs Invest'!$B$10,0)+IF(A114='Prepay vs Invest'!$B$9,'Prepay vs Invest'!$B$8,0)-Z114-AA114),0)</f>
        <v>14596.044956312573</v>
      </c>
      <c r="AE114">
        <f>AC114*(1+MAX(0,'Prepay vs Invest'!$B$13-'Prepay vs Invest'!$B$14)/1200)+AD114</f>
        <v>1510388.4837598866</v>
      </c>
      <c r="AF114">
        <f t="shared" si="31"/>
        <v>974630.06445881748</v>
      </c>
      <c r="AG114">
        <f>MAX(0,(AE114-AF114-'Prepay vs Invest'!$B$16)*'Prepay vs Invest'!$B$15/100)</f>
        <v>51344.802412633639</v>
      </c>
      <c r="AH114">
        <f t="shared" si="22"/>
        <v>1459043.681347253</v>
      </c>
    </row>
    <row r="115" spans="1:34" x14ac:dyDescent="0.35">
      <c r="A115">
        <f t="shared" si="23"/>
        <v>114</v>
      </c>
      <c r="B115">
        <f>IF(A115&lt;='Prepay vs Invest'!$B$7*12,F114,0)</f>
        <v>7047144.577598609</v>
      </c>
      <c r="C115">
        <f>IF(B115&gt;0,B115*'Prepay vs Invest'!$B$6/1200,0)</f>
        <v>44044.653609991306</v>
      </c>
      <c r="D115">
        <f>IF(B115&gt;0,MIN(-PMT('Prepay vs Invest'!$B$6/1200,'Prepay vs Invest'!$B$7*12,'Prepay vs Invest'!$B$5),B115+C115),0)</f>
        <v>80559.31935518072</v>
      </c>
      <c r="E115">
        <f t="shared" si="16"/>
        <v>36514.665745189413</v>
      </c>
      <c r="F115">
        <f t="shared" si="17"/>
        <v>7010629.9118534196</v>
      </c>
      <c r="G115">
        <f t="shared" si="24"/>
        <v>3332532.8646421721</v>
      </c>
      <c r="H115">
        <f>IF(A115&lt;='Prepay vs Invest'!$B$7*12,IF(AND(A115&gt;='Prepay vs Invest'!$B$11,A115&lt;='Prepay vs Invest'!$B$12),'Prepay vs Invest'!$B$10,0)+IF(A115='Prepay vs Invest'!$B$9,'Prepay vs Invest'!$B$8,0),0)</f>
        <v>10000</v>
      </c>
      <c r="I115">
        <f>G115*(1+MAX(0,'Prepay vs Invest'!$B$13-'Prepay vs Invest'!$B$14)/1200)+H115</f>
        <v>3374469.6379283261</v>
      </c>
      <c r="J115">
        <f t="shared" si="25"/>
        <v>1640000</v>
      </c>
      <c r="K115">
        <f>MAX(0,(I115-J115-'Prepay vs Invest'!$B$16)*'Prepay vs Invest'!$B$15/100)</f>
        <v>201183.70474104077</v>
      </c>
      <c r="L115">
        <f t="shared" si="18"/>
        <v>3173285.9331872854</v>
      </c>
      <c r="M115">
        <f t="shared" si="26"/>
        <v>4473923.027549006</v>
      </c>
      <c r="N115">
        <f>IF(M115&gt;0,M115*'Prepay vs Invest'!$B$6/1200,0)</f>
        <v>27962.018922181287</v>
      </c>
      <c r="O115">
        <f>IF(M115&gt;0,MIN('Prepay vs Invest'!$E$5,M115+N115),0)</f>
        <v>80559.31935518072</v>
      </c>
      <c r="P115">
        <f>MIN(MAX(0,M115+N115-O115),IF(AND(A115&gt;='Prepay vs Invest'!$B$11,A115&lt;='Prepay vs Invest'!$B$12),'Prepay vs Invest'!$B$10,0)+IF(A115='Prepay vs Invest'!$B$9,'Prepay vs Invest'!$B$8,0))</f>
        <v>10000</v>
      </c>
      <c r="Q115">
        <f t="shared" si="19"/>
        <v>4411325.7271160064</v>
      </c>
      <c r="R115">
        <f t="shared" si="27"/>
        <v>0</v>
      </c>
      <c r="S115">
        <f>IF(A115&lt;='Prepay vs Invest'!$B$7*12,MAX(0,'Prepay vs Invest'!$E$5+IF(AND(A115&gt;='Prepay vs Invest'!$B$11,A115&lt;='Prepay vs Invest'!$B$12),'Prepay vs Invest'!$B$10,0)+IF(A115='Prepay vs Invest'!$B$9,'Prepay vs Invest'!$B$8,0)-O115-P115),0)</f>
        <v>0</v>
      </c>
      <c r="T115">
        <f>R115*(1+MAX(0,'Prepay vs Invest'!$B$13-'Prepay vs Invest'!$B$14)/1200)+S115</f>
        <v>0</v>
      </c>
      <c r="U115">
        <f t="shared" si="28"/>
        <v>0</v>
      </c>
      <c r="V115">
        <f>MAX(0,(T115-U115-'Prepay vs Invest'!$B$16)*'Prepay vs Invest'!$B$15/100)</f>
        <v>0</v>
      </c>
      <c r="W115">
        <f t="shared" si="20"/>
        <v>0</v>
      </c>
      <c r="X115">
        <f t="shared" si="29"/>
        <v>5760316.0257738205</v>
      </c>
      <c r="Y115">
        <f>IF(X115&gt;0,X115*'Prepay vs Invest'!$B$6/1200,0)</f>
        <v>36001.975161086375</v>
      </c>
      <c r="Z115">
        <f>IF(X115&gt;0,MIN(-PMT('Prepay vs Invest'!$B$6/1200,'Prepay vs Invest'!$B$7*12-A115+1,X115),X115+Y115),0)</f>
        <v>65848.95956047067</v>
      </c>
      <c r="AA115">
        <f>MIN(MAX(0,X115+Y115-Z115),IF(AND(A115&gt;='Prepay vs Invest'!$B$11,A115&lt;='Prepay vs Invest'!$B$12),'Prepay vs Invest'!$B$10,0)+IF(A115='Prepay vs Invest'!$B$9,'Prepay vs Invest'!$B$8,0))</f>
        <v>10000</v>
      </c>
      <c r="AB115">
        <f t="shared" si="21"/>
        <v>5720469.0413744366</v>
      </c>
      <c r="AC115">
        <f t="shared" si="30"/>
        <v>1510388.4837598866</v>
      </c>
      <c r="AD115">
        <f>IF(A115&lt;='Prepay vs Invest'!$B$7*12,MAX(0,'Prepay vs Invest'!$E$5+IF(AND(A115&gt;='Prepay vs Invest'!$B$11,A115&lt;='Prepay vs Invest'!$B$12),'Prepay vs Invest'!$B$10,0)+IF(A115='Prepay vs Invest'!$B$9,'Prepay vs Invest'!$B$8,0)-Z115-AA115),0)</f>
        <v>14710.35979471005</v>
      </c>
      <c r="AE115">
        <f>AC115*(1+MAX(0,'Prepay vs Invest'!$B$13-'Prepay vs Invest'!$B$14)/1200)+AD115</f>
        <v>1539573.3998572954</v>
      </c>
      <c r="AF115">
        <f t="shared" si="31"/>
        <v>989340.42425352754</v>
      </c>
      <c r="AG115">
        <f>MAX(0,(AE115-AF115-'Prepay vs Invest'!$B$16)*'Prepay vs Invest'!$B$15/100)</f>
        <v>53154.121950470988</v>
      </c>
      <c r="AH115">
        <f t="shared" si="22"/>
        <v>1486419.2779068244</v>
      </c>
    </row>
    <row r="116" spans="1:34" x14ac:dyDescent="0.35">
      <c r="A116">
        <f t="shared" si="23"/>
        <v>115</v>
      </c>
      <c r="B116">
        <f>IF(A116&lt;='Prepay vs Invest'!$B$7*12,F115,0)</f>
        <v>7010629.9118534196</v>
      </c>
      <c r="C116">
        <f>IF(B116&gt;0,B116*'Prepay vs Invest'!$B$6/1200,0)</f>
        <v>43816.436949083873</v>
      </c>
      <c r="D116">
        <f>IF(B116&gt;0,MIN(-PMT('Prepay vs Invest'!$B$6/1200,'Prepay vs Invest'!$B$7*12,'Prepay vs Invest'!$B$5),B116+C116),0)</f>
        <v>80559.31935518072</v>
      </c>
      <c r="E116">
        <f t="shared" si="16"/>
        <v>36742.882406096847</v>
      </c>
      <c r="F116">
        <f t="shared" si="17"/>
        <v>6973887.0294473227</v>
      </c>
      <c r="G116">
        <f t="shared" si="24"/>
        <v>3374469.6379283261</v>
      </c>
      <c r="H116">
        <f>IF(A116&lt;='Prepay vs Invest'!$B$7*12,IF(AND(A116&gt;='Prepay vs Invest'!$B$11,A116&lt;='Prepay vs Invest'!$B$12),'Prepay vs Invest'!$B$10,0)+IF(A116='Prepay vs Invest'!$B$9,'Prepay vs Invest'!$B$8,0),0)</f>
        <v>10000</v>
      </c>
      <c r="I116">
        <f>G116*(1+MAX(0,'Prepay vs Invest'!$B$13-'Prepay vs Invest'!$B$14)/1200)+H116</f>
        <v>3416808.3052918059</v>
      </c>
      <c r="J116">
        <f t="shared" si="25"/>
        <v>1650000</v>
      </c>
      <c r="K116">
        <f>MAX(0,(I116-J116-'Prepay vs Invest'!$B$16)*'Prepay vs Invest'!$B$15/100)</f>
        <v>205226.03816147574</v>
      </c>
      <c r="L116">
        <f t="shared" si="18"/>
        <v>3211582.2671303302</v>
      </c>
      <c r="M116">
        <f t="shared" si="26"/>
        <v>4411325.7271160064</v>
      </c>
      <c r="N116">
        <f>IF(M116&gt;0,M116*'Prepay vs Invest'!$B$6/1200,0)</f>
        <v>27570.785794475043</v>
      </c>
      <c r="O116">
        <f>IF(M116&gt;0,MIN('Prepay vs Invest'!$E$5,M116+N116),0)</f>
        <v>80559.31935518072</v>
      </c>
      <c r="P116">
        <f>MIN(MAX(0,M116+N116-O116),IF(AND(A116&gt;='Prepay vs Invest'!$B$11,A116&lt;='Prepay vs Invest'!$B$12),'Prepay vs Invest'!$B$10,0)+IF(A116='Prepay vs Invest'!$B$9,'Prepay vs Invest'!$B$8,0))</f>
        <v>10000</v>
      </c>
      <c r="Q116">
        <f t="shared" si="19"/>
        <v>4348337.1935553011</v>
      </c>
      <c r="R116">
        <f t="shared" si="27"/>
        <v>0</v>
      </c>
      <c r="S116">
        <f>IF(A116&lt;='Prepay vs Invest'!$B$7*12,MAX(0,'Prepay vs Invest'!$E$5+IF(AND(A116&gt;='Prepay vs Invest'!$B$11,A116&lt;='Prepay vs Invest'!$B$12),'Prepay vs Invest'!$B$10,0)+IF(A116='Prepay vs Invest'!$B$9,'Prepay vs Invest'!$B$8,0)-O116-P116),0)</f>
        <v>0</v>
      </c>
      <c r="T116">
        <f>R116*(1+MAX(0,'Prepay vs Invest'!$B$13-'Prepay vs Invest'!$B$14)/1200)+S116</f>
        <v>0</v>
      </c>
      <c r="U116">
        <f t="shared" si="28"/>
        <v>0</v>
      </c>
      <c r="V116">
        <f>MAX(0,(T116-U116-'Prepay vs Invest'!$B$16)*'Prepay vs Invest'!$B$15/100)</f>
        <v>0</v>
      </c>
      <c r="W116">
        <f t="shared" si="20"/>
        <v>0</v>
      </c>
      <c r="X116">
        <f t="shared" si="29"/>
        <v>5720469.0413744366</v>
      </c>
      <c r="Y116">
        <f>IF(X116&gt;0,X116*'Prepay vs Invest'!$B$6/1200,0)</f>
        <v>35752.931508590234</v>
      </c>
      <c r="Z116">
        <f>IF(X116&gt;0,MIN(-PMT('Prepay vs Invest'!$B$6/1200,'Prepay vs Invest'!$B$7*12-A116+1,X116),X116+Y116),0)</f>
        <v>65734.049316501056</v>
      </c>
      <c r="AA116">
        <f>MIN(MAX(0,X116+Y116-Z116),IF(AND(A116&gt;='Prepay vs Invest'!$B$11,A116&lt;='Prepay vs Invest'!$B$12),'Prepay vs Invest'!$B$10,0)+IF(A116='Prepay vs Invest'!$B$9,'Prepay vs Invest'!$B$8,0))</f>
        <v>10000</v>
      </c>
      <c r="AB116">
        <f t="shared" si="21"/>
        <v>5680487.9235665258</v>
      </c>
      <c r="AC116">
        <f t="shared" si="30"/>
        <v>1539573.3998572954</v>
      </c>
      <c r="AD116">
        <f>IF(A116&lt;='Prepay vs Invest'!$B$7*12,MAX(0,'Prepay vs Invest'!$E$5+IF(AND(A116&gt;='Prepay vs Invest'!$B$11,A116&lt;='Prepay vs Invest'!$B$12),'Prepay vs Invest'!$B$10,0)+IF(A116='Prepay vs Invest'!$B$9,'Prepay vs Invest'!$B$8,0)-Z116-AA116),0)</f>
        <v>14825.270038679664</v>
      </c>
      <c r="AE116">
        <f>AC116*(1+MAX(0,'Prepay vs Invest'!$B$13-'Prepay vs Invest'!$B$14)/1200)+AD116</f>
        <v>1569152.9149779407</v>
      </c>
      <c r="AF116">
        <f t="shared" si="31"/>
        <v>1004165.6942922072</v>
      </c>
      <c r="AG116">
        <f>MAX(0,(AE116-AF116-'Prepay vs Invest'!$B$16)*'Prepay vs Invest'!$B$15/100)</f>
        <v>54998.402585716685</v>
      </c>
      <c r="AH116">
        <f t="shared" si="22"/>
        <v>1514154.512392224</v>
      </c>
    </row>
    <row r="117" spans="1:34" x14ac:dyDescent="0.35">
      <c r="A117">
        <f t="shared" si="23"/>
        <v>116</v>
      </c>
      <c r="B117">
        <f>IF(A117&lt;='Prepay vs Invest'!$B$7*12,F116,0)</f>
        <v>6973887.0294473227</v>
      </c>
      <c r="C117">
        <f>IF(B117&gt;0,B117*'Prepay vs Invest'!$B$6/1200,0)</f>
        <v>43586.793934045767</v>
      </c>
      <c r="D117">
        <f>IF(B117&gt;0,MIN(-PMT('Prepay vs Invest'!$B$6/1200,'Prepay vs Invest'!$B$7*12,'Prepay vs Invest'!$B$5),B117+C117),0)</f>
        <v>80559.31935518072</v>
      </c>
      <c r="E117">
        <f t="shared" si="16"/>
        <v>36972.525421134953</v>
      </c>
      <c r="F117">
        <f t="shared" si="17"/>
        <v>6936914.5040261876</v>
      </c>
      <c r="G117">
        <f t="shared" si="24"/>
        <v>3416808.3052918059</v>
      </c>
      <c r="H117">
        <f>IF(A117&lt;='Prepay vs Invest'!$B$7*12,IF(AND(A117&gt;='Prepay vs Invest'!$B$11,A117&lt;='Prepay vs Invest'!$B$12),'Prepay vs Invest'!$B$10,0)+IF(A117='Prepay vs Invest'!$B$9,'Prepay vs Invest'!$B$8,0),0)</f>
        <v>10000</v>
      </c>
      <c r="I117">
        <f>G117*(1+MAX(0,'Prepay vs Invest'!$B$13-'Prepay vs Invest'!$B$14)/1200)+H117</f>
        <v>3459552.7182175186</v>
      </c>
      <c r="J117">
        <f t="shared" si="25"/>
        <v>1660000</v>
      </c>
      <c r="K117">
        <f>MAX(0,(I117-J117-'Prepay vs Invest'!$B$16)*'Prepay vs Invest'!$B$15/100)</f>
        <v>209319.08977718983</v>
      </c>
      <c r="L117">
        <f t="shared" si="18"/>
        <v>3250233.6284403289</v>
      </c>
      <c r="M117">
        <f t="shared" si="26"/>
        <v>4348337.1935553011</v>
      </c>
      <c r="N117">
        <f>IF(M117&gt;0,M117*'Prepay vs Invest'!$B$6/1200,0)</f>
        <v>27177.107459720632</v>
      </c>
      <c r="O117">
        <f>IF(M117&gt;0,MIN('Prepay vs Invest'!$E$5,M117+N117),0)</f>
        <v>80559.31935518072</v>
      </c>
      <c r="P117">
        <f>MIN(MAX(0,M117+N117-O117),IF(AND(A117&gt;='Prepay vs Invest'!$B$11,A117&lt;='Prepay vs Invest'!$B$12),'Prepay vs Invest'!$B$10,0)+IF(A117='Prepay vs Invest'!$B$9,'Prepay vs Invest'!$B$8,0))</f>
        <v>10000</v>
      </c>
      <c r="Q117">
        <f t="shared" si="19"/>
        <v>4284954.9816598408</v>
      </c>
      <c r="R117">
        <f t="shared" si="27"/>
        <v>0</v>
      </c>
      <c r="S117">
        <f>IF(A117&lt;='Prepay vs Invest'!$B$7*12,MAX(0,'Prepay vs Invest'!$E$5+IF(AND(A117&gt;='Prepay vs Invest'!$B$11,A117&lt;='Prepay vs Invest'!$B$12),'Prepay vs Invest'!$B$10,0)+IF(A117='Prepay vs Invest'!$B$9,'Prepay vs Invest'!$B$8,0)-O117-P117),0)</f>
        <v>0</v>
      </c>
      <c r="T117">
        <f>R117*(1+MAX(0,'Prepay vs Invest'!$B$13-'Prepay vs Invest'!$B$14)/1200)+S117</f>
        <v>0</v>
      </c>
      <c r="U117">
        <f t="shared" si="28"/>
        <v>0</v>
      </c>
      <c r="V117">
        <f>MAX(0,(T117-U117-'Prepay vs Invest'!$B$16)*'Prepay vs Invest'!$B$15/100)</f>
        <v>0</v>
      </c>
      <c r="W117">
        <f t="shared" si="20"/>
        <v>0</v>
      </c>
      <c r="X117">
        <f t="shared" si="29"/>
        <v>5680487.9235665258</v>
      </c>
      <c r="Y117">
        <f>IF(X117&gt;0,X117*'Prepay vs Invest'!$B$6/1200,0)</f>
        <v>35503.049522290792</v>
      </c>
      <c r="Z117">
        <f>IF(X117&gt;0,MIN(-PMT('Prepay vs Invest'!$B$6/1200,'Prepay vs Invest'!$B$7*12-A117+1,X117),X117+Y117),0)</f>
        <v>65618.533652116166</v>
      </c>
      <c r="AA117">
        <f>MIN(MAX(0,X117+Y117-Z117),IF(AND(A117&gt;='Prepay vs Invest'!$B$11,A117&lt;='Prepay vs Invest'!$B$12),'Prepay vs Invest'!$B$10,0)+IF(A117='Prepay vs Invest'!$B$9,'Prepay vs Invest'!$B$8,0))</f>
        <v>10000</v>
      </c>
      <c r="AB117">
        <f t="shared" si="21"/>
        <v>5640372.4394367002</v>
      </c>
      <c r="AC117">
        <f t="shared" si="30"/>
        <v>1569152.9149779407</v>
      </c>
      <c r="AD117">
        <f>IF(A117&lt;='Prepay vs Invest'!$B$7*12,MAX(0,'Prepay vs Invest'!$E$5+IF(AND(A117&gt;='Prepay vs Invest'!$B$11,A117&lt;='Prepay vs Invest'!$B$12),'Prepay vs Invest'!$B$10,0)+IF(A117='Prepay vs Invest'!$B$9,'Prepay vs Invest'!$B$8,0)-Z117-AA117),0)</f>
        <v>14940.785703064554</v>
      </c>
      <c r="AE117">
        <f>AC117*(1+MAX(0,'Prepay vs Invest'!$B$13-'Prepay vs Invest'!$B$14)/1200)+AD117</f>
        <v>1599131.4161162106</v>
      </c>
      <c r="AF117">
        <f t="shared" si="31"/>
        <v>1019106.4799952718</v>
      </c>
      <c r="AG117">
        <f>MAX(0,(AE117-AF117-'Prepay vs Invest'!$B$16)*'Prepay vs Invest'!$B$15/100)</f>
        <v>56878.117015117357</v>
      </c>
      <c r="AH117">
        <f t="shared" si="22"/>
        <v>1542253.2991010933</v>
      </c>
    </row>
    <row r="118" spans="1:34" x14ac:dyDescent="0.35">
      <c r="A118">
        <f t="shared" si="23"/>
        <v>117</v>
      </c>
      <c r="B118">
        <f>IF(A118&lt;='Prepay vs Invest'!$B$7*12,F117,0)</f>
        <v>6936914.5040261876</v>
      </c>
      <c r="C118">
        <f>IF(B118&gt;0,B118*'Prepay vs Invest'!$B$6/1200,0)</f>
        <v>43355.715650163671</v>
      </c>
      <c r="D118">
        <f>IF(B118&gt;0,MIN(-PMT('Prepay vs Invest'!$B$6/1200,'Prepay vs Invest'!$B$7*12,'Prepay vs Invest'!$B$5),B118+C118),0)</f>
        <v>80559.31935518072</v>
      </c>
      <c r="E118">
        <f t="shared" si="16"/>
        <v>37203.603705017049</v>
      </c>
      <c r="F118">
        <f t="shared" si="17"/>
        <v>6899710.9003211707</v>
      </c>
      <c r="G118">
        <f t="shared" si="24"/>
        <v>3459552.7182175186</v>
      </c>
      <c r="H118">
        <f>IF(A118&lt;='Prepay vs Invest'!$B$7*12,IF(AND(A118&gt;='Prepay vs Invest'!$B$11,A118&lt;='Prepay vs Invest'!$B$12),'Prepay vs Invest'!$B$10,0)+IF(A118='Prepay vs Invest'!$B$9,'Prepay vs Invest'!$B$8,0),0)</f>
        <v>10000</v>
      </c>
      <c r="I118">
        <f>G118*(1+MAX(0,'Prepay vs Invest'!$B$13-'Prepay vs Invest'!$B$14)/1200)+H118</f>
        <v>3502706.7651004363</v>
      </c>
      <c r="J118">
        <f t="shared" si="25"/>
        <v>1670000</v>
      </c>
      <c r="K118">
        <f>MAX(0,(I118-J118-'Prepay vs Invest'!$B$16)*'Prepay vs Invest'!$B$15/100)</f>
        <v>213463.34563755454</v>
      </c>
      <c r="L118">
        <f t="shared" si="18"/>
        <v>3289243.419462882</v>
      </c>
      <c r="M118">
        <f t="shared" si="26"/>
        <v>4284954.9816598408</v>
      </c>
      <c r="N118">
        <f>IF(M118&gt;0,M118*'Prepay vs Invest'!$B$6/1200,0)</f>
        <v>26780.968635374003</v>
      </c>
      <c r="O118">
        <f>IF(M118&gt;0,MIN('Prepay vs Invest'!$E$5,M118+N118),0)</f>
        <v>80559.31935518072</v>
      </c>
      <c r="P118">
        <f>MIN(MAX(0,M118+N118-O118),IF(AND(A118&gt;='Prepay vs Invest'!$B$11,A118&lt;='Prepay vs Invest'!$B$12),'Prepay vs Invest'!$B$10,0)+IF(A118='Prepay vs Invest'!$B$9,'Prepay vs Invest'!$B$8,0))</f>
        <v>10000</v>
      </c>
      <c r="Q118">
        <f t="shared" si="19"/>
        <v>4221176.6309400341</v>
      </c>
      <c r="R118">
        <f t="shared" si="27"/>
        <v>0</v>
      </c>
      <c r="S118">
        <f>IF(A118&lt;='Prepay vs Invest'!$B$7*12,MAX(0,'Prepay vs Invest'!$E$5+IF(AND(A118&gt;='Prepay vs Invest'!$B$11,A118&lt;='Prepay vs Invest'!$B$12),'Prepay vs Invest'!$B$10,0)+IF(A118='Prepay vs Invest'!$B$9,'Prepay vs Invest'!$B$8,0)-O118-P118),0)</f>
        <v>0</v>
      </c>
      <c r="T118">
        <f>R118*(1+MAX(0,'Prepay vs Invest'!$B$13-'Prepay vs Invest'!$B$14)/1200)+S118</f>
        <v>0</v>
      </c>
      <c r="U118">
        <f t="shared" si="28"/>
        <v>0</v>
      </c>
      <c r="V118">
        <f>MAX(0,(T118-U118-'Prepay vs Invest'!$B$16)*'Prepay vs Invest'!$B$15/100)</f>
        <v>0</v>
      </c>
      <c r="W118">
        <f t="shared" si="20"/>
        <v>0</v>
      </c>
      <c r="X118">
        <f t="shared" si="29"/>
        <v>5640372.4394367002</v>
      </c>
      <c r="Y118">
        <f>IF(X118&gt;0,X118*'Prepay vs Invest'!$B$6/1200,0)</f>
        <v>35252.327746479372</v>
      </c>
      <c r="Z118">
        <f>IF(X118&gt;0,MIN(-PMT('Prepay vs Invest'!$B$6/1200,'Prepay vs Invest'!$B$7*12-A118+1,X118),X118+Y118),0)</f>
        <v>65502.402309703866</v>
      </c>
      <c r="AA118">
        <f>MIN(MAX(0,X118+Y118-Z118),IF(AND(A118&gt;='Prepay vs Invest'!$B$11,A118&lt;='Prepay vs Invest'!$B$12),'Prepay vs Invest'!$B$10,0)+IF(A118='Prepay vs Invest'!$B$9,'Prepay vs Invest'!$B$8,0))</f>
        <v>10000</v>
      </c>
      <c r="AB118">
        <f t="shared" si="21"/>
        <v>5600122.3648734763</v>
      </c>
      <c r="AC118">
        <f t="shared" si="30"/>
        <v>1599131.4161162106</v>
      </c>
      <c r="AD118">
        <f>IF(A118&lt;='Prepay vs Invest'!$B$7*12,MAX(0,'Prepay vs Invest'!$E$5+IF(AND(A118&gt;='Prepay vs Invest'!$B$11,A118&lt;='Prepay vs Invest'!$B$12),'Prepay vs Invest'!$B$10,0)+IF(A118='Prepay vs Invest'!$B$9,'Prepay vs Invest'!$B$8,0)-Z118-AA118),0)</f>
        <v>15056.917045476854</v>
      </c>
      <c r="AE118">
        <f>AC118*(1+MAX(0,'Prepay vs Invest'!$B$13-'Prepay vs Invest'!$B$14)/1200)+AD118</f>
        <v>1629513.3425661344</v>
      </c>
      <c r="AF118">
        <f t="shared" si="31"/>
        <v>1034163.3970407486</v>
      </c>
      <c r="AG118">
        <f>MAX(0,(AE118-AF118-'Prepay vs Invest'!$B$16)*'Prepay vs Invest'!$B$15/100)</f>
        <v>58793.743190673224</v>
      </c>
      <c r="AH118">
        <f t="shared" si="22"/>
        <v>1570719.5993754612</v>
      </c>
    </row>
    <row r="119" spans="1:34" x14ac:dyDescent="0.35">
      <c r="A119">
        <f t="shared" si="23"/>
        <v>118</v>
      </c>
      <c r="B119">
        <f>IF(A119&lt;='Prepay vs Invest'!$B$7*12,F118,0)</f>
        <v>6899710.9003211707</v>
      </c>
      <c r="C119">
        <f>IF(B119&gt;0,B119*'Prepay vs Invest'!$B$6/1200,0)</f>
        <v>43123.193127007318</v>
      </c>
      <c r="D119">
        <f>IF(B119&gt;0,MIN(-PMT('Prepay vs Invest'!$B$6/1200,'Prepay vs Invest'!$B$7*12,'Prepay vs Invest'!$B$5),B119+C119),0)</f>
        <v>80559.31935518072</v>
      </c>
      <c r="E119">
        <f t="shared" si="16"/>
        <v>37436.126228173402</v>
      </c>
      <c r="F119">
        <f t="shared" si="17"/>
        <v>6862274.7740929974</v>
      </c>
      <c r="G119">
        <f t="shared" si="24"/>
        <v>3502706.7651004363</v>
      </c>
      <c r="H119">
        <f>IF(A119&lt;='Prepay vs Invest'!$B$7*12,IF(AND(A119&gt;='Prepay vs Invest'!$B$11,A119&lt;='Prepay vs Invest'!$B$12),'Prepay vs Invest'!$B$10,0)+IF(A119='Prepay vs Invest'!$B$9,'Prepay vs Invest'!$B$8,0),0)</f>
        <v>10000</v>
      </c>
      <c r="I119">
        <f>G119*(1+MAX(0,'Prepay vs Invest'!$B$13-'Prepay vs Invest'!$B$14)/1200)+H119</f>
        <v>3546274.3715993152</v>
      </c>
      <c r="J119">
        <f t="shared" si="25"/>
        <v>1680000</v>
      </c>
      <c r="K119">
        <f>MAX(0,(I119-J119-'Prepay vs Invest'!$B$16)*'Prepay vs Invest'!$B$15/100)</f>
        <v>217659.2964499144</v>
      </c>
      <c r="L119">
        <f t="shared" si="18"/>
        <v>3328615.0751494006</v>
      </c>
      <c r="M119">
        <f t="shared" si="26"/>
        <v>4221176.6309400341</v>
      </c>
      <c r="N119">
        <f>IF(M119&gt;0,M119*'Prepay vs Invest'!$B$6/1200,0)</f>
        <v>26382.353943375212</v>
      </c>
      <c r="O119">
        <f>IF(M119&gt;0,MIN('Prepay vs Invest'!$E$5,M119+N119),0)</f>
        <v>80559.31935518072</v>
      </c>
      <c r="P119">
        <f>MIN(MAX(0,M119+N119-O119),IF(AND(A119&gt;='Prepay vs Invest'!$B$11,A119&lt;='Prepay vs Invest'!$B$12),'Prepay vs Invest'!$B$10,0)+IF(A119='Prepay vs Invest'!$B$9,'Prepay vs Invest'!$B$8,0))</f>
        <v>10000</v>
      </c>
      <c r="Q119">
        <f t="shared" si="19"/>
        <v>4156999.6655282285</v>
      </c>
      <c r="R119">
        <f t="shared" si="27"/>
        <v>0</v>
      </c>
      <c r="S119">
        <f>IF(A119&lt;='Prepay vs Invest'!$B$7*12,MAX(0,'Prepay vs Invest'!$E$5+IF(AND(A119&gt;='Prepay vs Invest'!$B$11,A119&lt;='Prepay vs Invest'!$B$12),'Prepay vs Invest'!$B$10,0)+IF(A119='Prepay vs Invest'!$B$9,'Prepay vs Invest'!$B$8,0)-O119-P119),0)</f>
        <v>0</v>
      </c>
      <c r="T119">
        <f>R119*(1+MAX(0,'Prepay vs Invest'!$B$13-'Prepay vs Invest'!$B$14)/1200)+S119</f>
        <v>0</v>
      </c>
      <c r="U119">
        <f t="shared" si="28"/>
        <v>0</v>
      </c>
      <c r="V119">
        <f>MAX(0,(T119-U119-'Prepay vs Invest'!$B$16)*'Prepay vs Invest'!$B$15/100)</f>
        <v>0</v>
      </c>
      <c r="W119">
        <f t="shared" si="20"/>
        <v>0</v>
      </c>
      <c r="X119">
        <f t="shared" si="29"/>
        <v>5600122.3648734763</v>
      </c>
      <c r="Y119">
        <f>IF(X119&gt;0,X119*'Prepay vs Invest'!$B$6/1200,0)</f>
        <v>35000.764780459227</v>
      </c>
      <c r="Z119">
        <f>IF(X119&gt;0,MIN(-PMT('Prepay vs Invest'!$B$6/1200,'Prepay vs Invest'!$B$7*12-A119+1,X119),X119+Y119),0)</f>
        <v>65385.644780991424</v>
      </c>
      <c r="AA119">
        <f>MIN(MAX(0,X119+Y119-Z119),IF(AND(A119&gt;='Prepay vs Invest'!$B$11,A119&lt;='Prepay vs Invest'!$B$12),'Prepay vs Invest'!$B$10,0)+IF(A119='Prepay vs Invest'!$B$9,'Prepay vs Invest'!$B$8,0))</f>
        <v>10000</v>
      </c>
      <c r="AB119">
        <f t="shared" si="21"/>
        <v>5559737.4848729437</v>
      </c>
      <c r="AC119">
        <f t="shared" si="30"/>
        <v>1629513.3425661344</v>
      </c>
      <c r="AD119">
        <f>IF(A119&lt;='Prepay vs Invest'!$B$7*12,MAX(0,'Prepay vs Invest'!$E$5+IF(AND(A119&gt;='Prepay vs Invest'!$B$11,A119&lt;='Prepay vs Invest'!$B$12),'Prepay vs Invest'!$B$10,0)+IF(A119='Prepay vs Invest'!$B$9,'Prepay vs Invest'!$B$8,0)-Z119-AA119),0)</f>
        <v>15173.674574189296</v>
      </c>
      <c r="AE119">
        <f>AC119*(1+MAX(0,'Prepay vs Invest'!$B$13-'Prepay vs Invest'!$B$14)/1200)+AD119</f>
        <v>1660303.1866732491</v>
      </c>
      <c r="AF119">
        <f t="shared" si="31"/>
        <v>1049337.0716149379</v>
      </c>
      <c r="AG119">
        <f>MAX(0,(AE119-AF119-'Prepay vs Invest'!$B$16)*'Prepay vs Invest'!$B$15/100)</f>
        <v>60745.7643822889</v>
      </c>
      <c r="AH119">
        <f t="shared" si="22"/>
        <v>1599557.4222909603</v>
      </c>
    </row>
    <row r="120" spans="1:34" x14ac:dyDescent="0.35">
      <c r="A120">
        <f t="shared" si="23"/>
        <v>119</v>
      </c>
      <c r="B120">
        <f>IF(A120&lt;='Prepay vs Invest'!$B$7*12,F119,0)</f>
        <v>6862274.7740929974</v>
      </c>
      <c r="C120">
        <f>IF(B120&gt;0,B120*'Prepay vs Invest'!$B$6/1200,0)</f>
        <v>42889.217338081231</v>
      </c>
      <c r="D120">
        <f>IF(B120&gt;0,MIN(-PMT('Prepay vs Invest'!$B$6/1200,'Prepay vs Invest'!$B$7*12,'Prepay vs Invest'!$B$5),B120+C120),0)</f>
        <v>80559.31935518072</v>
      </c>
      <c r="E120">
        <f t="shared" si="16"/>
        <v>37670.102017099489</v>
      </c>
      <c r="F120">
        <f t="shared" si="17"/>
        <v>6824604.6720758984</v>
      </c>
      <c r="G120">
        <f t="shared" si="24"/>
        <v>3546274.3715993152</v>
      </c>
      <c r="H120">
        <f>IF(A120&lt;='Prepay vs Invest'!$B$7*12,IF(AND(A120&gt;='Prepay vs Invest'!$B$11,A120&lt;='Prepay vs Invest'!$B$12),'Prepay vs Invest'!$B$10,0)+IF(A120='Prepay vs Invest'!$B$9,'Prepay vs Invest'!$B$8,0),0)</f>
        <v>10000</v>
      </c>
      <c r="I120">
        <f>G120*(1+MAX(0,'Prepay vs Invest'!$B$13-'Prepay vs Invest'!$B$14)/1200)+H120</f>
        <v>3590259.5009938083</v>
      </c>
      <c r="J120">
        <f t="shared" si="25"/>
        <v>1690000</v>
      </c>
      <c r="K120">
        <f>MAX(0,(I120-J120-'Prepay vs Invest'!$B$16)*'Prepay vs Invest'!$B$15/100)</f>
        <v>221907.43762422603</v>
      </c>
      <c r="L120">
        <f t="shared" si="18"/>
        <v>3368352.0633695824</v>
      </c>
      <c r="M120">
        <f t="shared" si="26"/>
        <v>4156999.6655282285</v>
      </c>
      <c r="N120">
        <f>IF(M120&gt;0,M120*'Prepay vs Invest'!$B$6/1200,0)</f>
        <v>25981.247909551428</v>
      </c>
      <c r="O120">
        <f>IF(M120&gt;0,MIN('Prepay vs Invest'!$E$5,M120+N120),0)</f>
        <v>80559.31935518072</v>
      </c>
      <c r="P120">
        <f>MIN(MAX(0,M120+N120-O120),IF(AND(A120&gt;='Prepay vs Invest'!$B$11,A120&lt;='Prepay vs Invest'!$B$12),'Prepay vs Invest'!$B$10,0)+IF(A120='Prepay vs Invest'!$B$9,'Prepay vs Invest'!$B$8,0))</f>
        <v>10000</v>
      </c>
      <c r="Q120">
        <f t="shared" si="19"/>
        <v>4092421.5940825995</v>
      </c>
      <c r="R120">
        <f t="shared" si="27"/>
        <v>0</v>
      </c>
      <c r="S120">
        <f>IF(A120&lt;='Prepay vs Invest'!$B$7*12,MAX(0,'Prepay vs Invest'!$E$5+IF(AND(A120&gt;='Prepay vs Invest'!$B$11,A120&lt;='Prepay vs Invest'!$B$12),'Prepay vs Invest'!$B$10,0)+IF(A120='Prepay vs Invest'!$B$9,'Prepay vs Invest'!$B$8,0)-O120-P120),0)</f>
        <v>0</v>
      </c>
      <c r="T120">
        <f>R120*(1+MAX(0,'Prepay vs Invest'!$B$13-'Prepay vs Invest'!$B$14)/1200)+S120</f>
        <v>0</v>
      </c>
      <c r="U120">
        <f t="shared" si="28"/>
        <v>0</v>
      </c>
      <c r="V120">
        <f>MAX(0,(T120-U120-'Prepay vs Invest'!$B$16)*'Prepay vs Invest'!$B$15/100)</f>
        <v>0</v>
      </c>
      <c r="W120">
        <f t="shared" si="20"/>
        <v>0</v>
      </c>
      <c r="X120">
        <f t="shared" si="29"/>
        <v>5559737.4848729437</v>
      </c>
      <c r="Y120">
        <f>IF(X120&gt;0,X120*'Prepay vs Invest'!$B$6/1200,0)</f>
        <v>34748.359280455901</v>
      </c>
      <c r="Z120">
        <f>IF(X120&gt;0,MIN(-PMT('Prepay vs Invest'!$B$6/1200,'Prepay vs Invest'!$B$7*12-A120+1,X120),X120+Y120),0)</f>
        <v>65268.250298830324</v>
      </c>
      <c r="AA120">
        <f>MIN(MAX(0,X120+Y120-Z120),IF(AND(A120&gt;='Prepay vs Invest'!$B$11,A120&lt;='Prepay vs Invest'!$B$12),'Prepay vs Invest'!$B$10,0)+IF(A120='Prepay vs Invest'!$B$9,'Prepay vs Invest'!$B$8,0))</f>
        <v>10000</v>
      </c>
      <c r="AB120">
        <f t="shared" si="21"/>
        <v>5519217.5938545689</v>
      </c>
      <c r="AC120">
        <f t="shared" si="30"/>
        <v>1660303.1866732491</v>
      </c>
      <c r="AD120">
        <f>IF(A120&lt;='Prepay vs Invest'!$B$7*12,MAX(0,'Prepay vs Invest'!$E$5+IF(AND(A120&gt;='Prepay vs Invest'!$B$11,A120&lt;='Prepay vs Invest'!$B$12),'Prepay vs Invest'!$B$10,0)+IF(A120='Prepay vs Invest'!$B$9,'Prepay vs Invest'!$B$8,0)-Z120-AA120),0)</f>
        <v>15291.069056350396</v>
      </c>
      <c r="AE120">
        <f>AC120*(1+MAX(0,'Prepay vs Invest'!$B$13-'Prepay vs Invest'!$B$14)/1200)+AD120</f>
        <v>1691505.4946018849</v>
      </c>
      <c r="AF120">
        <f t="shared" si="31"/>
        <v>1064628.1406712884</v>
      </c>
      <c r="AG120">
        <f>MAX(0,(AE120-AF120-'Prepay vs Invest'!$B$16)*'Prepay vs Invest'!$B$15/100)</f>
        <v>62734.669241324562</v>
      </c>
      <c r="AH120">
        <f t="shared" si="22"/>
        <v>1628770.8253605603</v>
      </c>
    </row>
    <row r="121" spans="1:34" x14ac:dyDescent="0.35">
      <c r="A121">
        <f t="shared" si="23"/>
        <v>120</v>
      </c>
      <c r="B121">
        <f>IF(A121&lt;='Prepay vs Invest'!$B$7*12,F120,0)</f>
        <v>6824604.6720758984</v>
      </c>
      <c r="C121">
        <f>IF(B121&gt;0,B121*'Prepay vs Invest'!$B$6/1200,0)</f>
        <v>42653.779200474368</v>
      </c>
      <c r="D121">
        <f>IF(B121&gt;0,MIN(-PMT('Prepay vs Invest'!$B$6/1200,'Prepay vs Invest'!$B$7*12,'Prepay vs Invest'!$B$5),B121+C121),0)</f>
        <v>80559.31935518072</v>
      </c>
      <c r="E121">
        <f t="shared" si="16"/>
        <v>37905.540154706352</v>
      </c>
      <c r="F121">
        <f t="shared" si="17"/>
        <v>6786699.1319211926</v>
      </c>
      <c r="G121">
        <f t="shared" si="24"/>
        <v>3590259.5009938083</v>
      </c>
      <c r="H121">
        <f>IF(A121&lt;='Prepay vs Invest'!$B$7*12,IF(AND(A121&gt;='Prepay vs Invest'!$B$11,A121&lt;='Prepay vs Invest'!$B$12),'Prepay vs Invest'!$B$10,0)+IF(A121='Prepay vs Invest'!$B$9,'Prepay vs Invest'!$B$8,0),0)</f>
        <v>10000</v>
      </c>
      <c r="I121">
        <f>G121*(1+MAX(0,'Prepay vs Invest'!$B$13-'Prepay vs Invest'!$B$14)/1200)+H121</f>
        <v>3634666.1545449989</v>
      </c>
      <c r="J121">
        <f t="shared" si="25"/>
        <v>1700000</v>
      </c>
      <c r="K121">
        <f>MAX(0,(I121-J121-'Prepay vs Invest'!$B$16)*'Prepay vs Invest'!$B$15/100)</f>
        <v>226208.26931812486</v>
      </c>
      <c r="L121">
        <f t="shared" si="18"/>
        <v>3408457.8852268741</v>
      </c>
      <c r="M121">
        <f t="shared" si="26"/>
        <v>4092421.5940825995</v>
      </c>
      <c r="N121">
        <f>IF(M121&gt;0,M121*'Prepay vs Invest'!$B$6/1200,0)</f>
        <v>25577.634963016248</v>
      </c>
      <c r="O121">
        <f>IF(M121&gt;0,MIN('Prepay vs Invest'!$E$5,M121+N121),0)</f>
        <v>80559.31935518072</v>
      </c>
      <c r="P121">
        <f>MIN(MAX(0,M121+N121-O121),IF(AND(A121&gt;='Prepay vs Invest'!$B$11,A121&lt;='Prepay vs Invest'!$B$12),'Prepay vs Invest'!$B$10,0)+IF(A121='Prepay vs Invest'!$B$9,'Prepay vs Invest'!$B$8,0))</f>
        <v>10000</v>
      </c>
      <c r="Q121">
        <f t="shared" si="19"/>
        <v>4027439.909690435</v>
      </c>
      <c r="R121">
        <f t="shared" si="27"/>
        <v>0</v>
      </c>
      <c r="S121">
        <f>IF(A121&lt;='Prepay vs Invest'!$B$7*12,MAX(0,'Prepay vs Invest'!$E$5+IF(AND(A121&gt;='Prepay vs Invest'!$B$11,A121&lt;='Prepay vs Invest'!$B$12),'Prepay vs Invest'!$B$10,0)+IF(A121='Prepay vs Invest'!$B$9,'Prepay vs Invest'!$B$8,0)-O121-P121),0)</f>
        <v>0</v>
      </c>
      <c r="T121">
        <f>R121*(1+MAX(0,'Prepay vs Invest'!$B$13-'Prepay vs Invest'!$B$14)/1200)+S121</f>
        <v>0</v>
      </c>
      <c r="U121">
        <f t="shared" si="28"/>
        <v>0</v>
      </c>
      <c r="V121">
        <f>MAX(0,(T121-U121-'Prepay vs Invest'!$B$16)*'Prepay vs Invest'!$B$15/100)</f>
        <v>0</v>
      </c>
      <c r="W121">
        <f t="shared" si="20"/>
        <v>0</v>
      </c>
      <c r="X121">
        <f t="shared" si="29"/>
        <v>5519217.5938545689</v>
      </c>
      <c r="Y121">
        <f>IF(X121&gt;0,X121*'Prepay vs Invest'!$B$6/1200,0)</f>
        <v>34495.10996159105</v>
      </c>
      <c r="Z121">
        <f>IF(X121&gt;0,MIN(-PMT('Prepay vs Invest'!$B$6/1200,'Prepay vs Invest'!$B$7*12-A121+1,X121),X121+Y121),0)</f>
        <v>65150.207828641825</v>
      </c>
      <c r="AA121">
        <f>MIN(MAX(0,X121+Y121-Z121),IF(AND(A121&gt;='Prepay vs Invest'!$B$11,A121&lt;='Prepay vs Invest'!$B$12),'Prepay vs Invest'!$B$10,0)+IF(A121='Prepay vs Invest'!$B$9,'Prepay vs Invest'!$B$8,0))</f>
        <v>10000</v>
      </c>
      <c r="AB121">
        <f t="shared" si="21"/>
        <v>5478562.4959875178</v>
      </c>
      <c r="AC121">
        <f t="shared" si="30"/>
        <v>1691505.4946018849</v>
      </c>
      <c r="AD121">
        <f>IF(A121&lt;='Prepay vs Invest'!$B$7*12,MAX(0,'Prepay vs Invest'!$E$5+IF(AND(A121&gt;='Prepay vs Invest'!$B$11,A121&lt;='Prepay vs Invest'!$B$12),'Prepay vs Invest'!$B$10,0)+IF(A121='Prepay vs Invest'!$B$9,'Prepay vs Invest'!$B$8,0)-Z121-AA121),0)</f>
        <v>15409.111526538894</v>
      </c>
      <c r="AE121">
        <f>AC121*(1+MAX(0,'Prepay vs Invest'!$B$13-'Prepay vs Invest'!$B$14)/1200)+AD121</f>
        <v>1723124.8671183584</v>
      </c>
      <c r="AF121">
        <f t="shared" si="31"/>
        <v>1080037.2521978272</v>
      </c>
      <c r="AG121">
        <f>MAX(0,(AE121-AF121-'Prepay vs Invest'!$B$16)*'Prepay vs Invest'!$B$15/100)</f>
        <v>64760.951865066396</v>
      </c>
      <c r="AH121">
        <f t="shared" si="22"/>
        <v>1658363.9152532921</v>
      </c>
    </row>
    <row r="122" spans="1:34" x14ac:dyDescent="0.35">
      <c r="A122">
        <f t="shared" si="23"/>
        <v>121</v>
      </c>
      <c r="B122">
        <f>IF(A122&lt;='Prepay vs Invest'!$B$7*12,F121,0)</f>
        <v>6786699.1319211926</v>
      </c>
      <c r="C122">
        <f>IF(B122&gt;0,B122*'Prepay vs Invest'!$B$6/1200,0)</f>
        <v>42416.869574507458</v>
      </c>
      <c r="D122">
        <f>IF(B122&gt;0,MIN(-PMT('Prepay vs Invest'!$B$6/1200,'Prepay vs Invest'!$B$7*12,'Prepay vs Invest'!$B$5),B122+C122),0)</f>
        <v>80559.31935518072</v>
      </c>
      <c r="E122">
        <f t="shared" si="16"/>
        <v>38142.449780673262</v>
      </c>
      <c r="F122">
        <f t="shared" si="17"/>
        <v>6748556.6821405198</v>
      </c>
      <c r="G122">
        <f t="shared" si="24"/>
        <v>3634666.1545449989</v>
      </c>
      <c r="H122">
        <f>IF(A122&lt;='Prepay vs Invest'!$B$7*12,IF(AND(A122&gt;='Prepay vs Invest'!$B$11,A122&lt;='Prepay vs Invest'!$B$12),'Prepay vs Invest'!$B$10,0)+IF(A122='Prepay vs Invest'!$B$9,'Prepay vs Invest'!$B$8,0),0)</f>
        <v>10000</v>
      </c>
      <c r="I122">
        <f>G122*(1+MAX(0,'Prepay vs Invest'!$B$13-'Prepay vs Invest'!$B$14)/1200)+H122</f>
        <v>3679498.3718593884</v>
      </c>
      <c r="J122">
        <f t="shared" si="25"/>
        <v>1710000</v>
      </c>
      <c r="K122">
        <f>MAX(0,(I122-J122-'Prepay vs Invest'!$B$16)*'Prepay vs Invest'!$B$15/100)</f>
        <v>230562.29648242355</v>
      </c>
      <c r="L122">
        <f t="shared" si="18"/>
        <v>3448936.0753769651</v>
      </c>
      <c r="M122">
        <f t="shared" si="26"/>
        <v>4027439.909690435</v>
      </c>
      <c r="N122">
        <f>IF(M122&gt;0,M122*'Prepay vs Invest'!$B$6/1200,0)</f>
        <v>25171.49943556522</v>
      </c>
      <c r="O122">
        <f>IF(M122&gt;0,MIN('Prepay vs Invest'!$E$5,M122+N122),0)</f>
        <v>80559.31935518072</v>
      </c>
      <c r="P122">
        <f>MIN(MAX(0,M122+N122-O122),IF(AND(A122&gt;='Prepay vs Invest'!$B$11,A122&lt;='Prepay vs Invest'!$B$12),'Prepay vs Invest'!$B$10,0)+IF(A122='Prepay vs Invest'!$B$9,'Prepay vs Invest'!$B$8,0))</f>
        <v>10000</v>
      </c>
      <c r="Q122">
        <f t="shared" si="19"/>
        <v>3962052.08977082</v>
      </c>
      <c r="R122">
        <f t="shared" si="27"/>
        <v>0</v>
      </c>
      <c r="S122">
        <f>IF(A122&lt;='Prepay vs Invest'!$B$7*12,MAX(0,'Prepay vs Invest'!$E$5+IF(AND(A122&gt;='Prepay vs Invest'!$B$11,A122&lt;='Prepay vs Invest'!$B$12),'Prepay vs Invest'!$B$10,0)+IF(A122='Prepay vs Invest'!$B$9,'Prepay vs Invest'!$B$8,0)-O122-P122),0)</f>
        <v>0</v>
      </c>
      <c r="T122">
        <f>R122*(1+MAX(0,'Prepay vs Invest'!$B$13-'Prepay vs Invest'!$B$14)/1200)+S122</f>
        <v>0</v>
      </c>
      <c r="U122">
        <f t="shared" si="28"/>
        <v>0</v>
      </c>
      <c r="V122">
        <f>MAX(0,(T122-U122-'Prepay vs Invest'!$B$16)*'Prepay vs Invest'!$B$15/100)</f>
        <v>0</v>
      </c>
      <c r="W122">
        <f t="shared" si="20"/>
        <v>0</v>
      </c>
      <c r="X122">
        <f t="shared" si="29"/>
        <v>5478562.4959875178</v>
      </c>
      <c r="Y122">
        <f>IF(X122&gt;0,X122*'Prepay vs Invest'!$B$6/1200,0)</f>
        <v>34241.015599921986</v>
      </c>
      <c r="Z122">
        <f>IF(X122&gt;0,MIN(-PMT('Prepay vs Invest'!$B$6/1200,'Prepay vs Invest'!$B$7*12-A122+1,X122),X122+Y122),0)</f>
        <v>65031.506059505969</v>
      </c>
      <c r="AA122">
        <f>MIN(MAX(0,X122+Y122-Z122),IF(AND(A122&gt;='Prepay vs Invest'!$B$11,A122&lt;='Prepay vs Invest'!$B$12),'Prepay vs Invest'!$B$10,0)+IF(A122='Prepay vs Invest'!$B$9,'Prepay vs Invest'!$B$8,0))</f>
        <v>10000</v>
      </c>
      <c r="AB122">
        <f t="shared" si="21"/>
        <v>5437772.0055279341</v>
      </c>
      <c r="AC122">
        <f t="shared" si="30"/>
        <v>1723124.8671183584</v>
      </c>
      <c r="AD122">
        <f>IF(A122&lt;='Prepay vs Invest'!$B$7*12,MAX(0,'Prepay vs Invest'!$E$5+IF(AND(A122&gt;='Prepay vs Invest'!$B$11,A122&lt;='Prepay vs Invest'!$B$12),'Prepay vs Invest'!$B$10,0)+IF(A122='Prepay vs Invest'!$B$9,'Prepay vs Invest'!$B$8,0)-Z122-AA122),0)</f>
        <v>15527.81329567475</v>
      </c>
      <c r="AE122">
        <f>AC122*(1+MAX(0,'Prepay vs Invest'!$B$13-'Prepay vs Invest'!$B$14)/1200)+AD122</f>
        <v>1755165.9603905838</v>
      </c>
      <c r="AF122">
        <f t="shared" si="31"/>
        <v>1095565.065493502</v>
      </c>
      <c r="AG122">
        <f>MAX(0,(AE122-AF122-'Prepay vs Invest'!$B$16)*'Prepay vs Invest'!$B$15/100)</f>
        <v>66825.111862135236</v>
      </c>
      <c r="AH122">
        <f t="shared" si="22"/>
        <v>1688340.8485284485</v>
      </c>
    </row>
    <row r="123" spans="1:34" x14ac:dyDescent="0.35">
      <c r="A123">
        <f t="shared" si="23"/>
        <v>122</v>
      </c>
      <c r="B123">
        <f>IF(A123&lt;='Prepay vs Invest'!$B$7*12,F122,0)</f>
        <v>6748556.6821405198</v>
      </c>
      <c r="C123">
        <f>IF(B123&gt;0,B123*'Prepay vs Invest'!$B$6/1200,0)</f>
        <v>42178.479263378249</v>
      </c>
      <c r="D123">
        <f>IF(B123&gt;0,MIN(-PMT('Prepay vs Invest'!$B$6/1200,'Prepay vs Invest'!$B$7*12,'Prepay vs Invest'!$B$5),B123+C123),0)</f>
        <v>80559.31935518072</v>
      </c>
      <c r="E123">
        <f t="shared" si="16"/>
        <v>38380.840091802471</v>
      </c>
      <c r="F123">
        <f t="shared" si="17"/>
        <v>6710175.8420487177</v>
      </c>
      <c r="G123">
        <f t="shared" si="24"/>
        <v>3679498.3718593884</v>
      </c>
      <c r="H123">
        <f>IF(A123&lt;='Prepay vs Invest'!$B$7*12,IF(AND(A123&gt;='Prepay vs Invest'!$B$11,A123&lt;='Prepay vs Invest'!$B$12),'Prepay vs Invest'!$B$10,0)+IF(A123='Prepay vs Invest'!$B$9,'Prepay vs Invest'!$B$8,0),0)</f>
        <v>10000</v>
      </c>
      <c r="I123">
        <f>G123*(1+MAX(0,'Prepay vs Invest'!$B$13-'Prepay vs Invest'!$B$14)/1200)+H123</f>
        <v>3724760.2312563742</v>
      </c>
      <c r="J123">
        <f t="shared" si="25"/>
        <v>1720000</v>
      </c>
      <c r="K123">
        <f>MAX(0,(I123-J123-'Prepay vs Invest'!$B$16)*'Prepay vs Invest'!$B$15/100)</f>
        <v>234970.02890704677</v>
      </c>
      <c r="L123">
        <f t="shared" si="18"/>
        <v>3489790.2023493275</v>
      </c>
      <c r="M123">
        <f t="shared" si="26"/>
        <v>3962052.08977082</v>
      </c>
      <c r="N123">
        <f>IF(M123&gt;0,M123*'Prepay vs Invest'!$B$6/1200,0)</f>
        <v>24762.825561067624</v>
      </c>
      <c r="O123">
        <f>IF(M123&gt;0,MIN('Prepay vs Invest'!$E$5,M123+N123),0)</f>
        <v>80559.31935518072</v>
      </c>
      <c r="P123">
        <f>MIN(MAX(0,M123+N123-O123),IF(AND(A123&gt;='Prepay vs Invest'!$B$11,A123&lt;='Prepay vs Invest'!$B$12),'Prepay vs Invest'!$B$10,0)+IF(A123='Prepay vs Invest'!$B$9,'Prepay vs Invest'!$B$8,0))</f>
        <v>10000</v>
      </c>
      <c r="Q123">
        <f t="shared" si="19"/>
        <v>3896255.5959767066</v>
      </c>
      <c r="R123">
        <f t="shared" si="27"/>
        <v>0</v>
      </c>
      <c r="S123">
        <f>IF(A123&lt;='Prepay vs Invest'!$B$7*12,MAX(0,'Prepay vs Invest'!$E$5+IF(AND(A123&gt;='Prepay vs Invest'!$B$11,A123&lt;='Prepay vs Invest'!$B$12),'Prepay vs Invest'!$B$10,0)+IF(A123='Prepay vs Invest'!$B$9,'Prepay vs Invest'!$B$8,0)-O123-P123),0)</f>
        <v>0</v>
      </c>
      <c r="T123">
        <f>R123*(1+MAX(0,'Prepay vs Invest'!$B$13-'Prepay vs Invest'!$B$14)/1200)+S123</f>
        <v>0</v>
      </c>
      <c r="U123">
        <f t="shared" si="28"/>
        <v>0</v>
      </c>
      <c r="V123">
        <f>MAX(0,(T123-U123-'Prepay vs Invest'!$B$16)*'Prepay vs Invest'!$B$15/100)</f>
        <v>0</v>
      </c>
      <c r="W123">
        <f t="shared" si="20"/>
        <v>0</v>
      </c>
      <c r="X123">
        <f t="shared" si="29"/>
        <v>5437772.0055279341</v>
      </c>
      <c r="Y123">
        <f>IF(X123&gt;0,X123*'Prepay vs Invest'!$B$6/1200,0)</f>
        <v>33986.075034549591</v>
      </c>
      <c r="Z123">
        <f>IF(X123&gt;0,MIN(-PMT('Prepay vs Invest'!$B$6/1200,'Prepay vs Invest'!$B$7*12-A123+1,X123),X123+Y123),0)</f>
        <v>64912.13339487624</v>
      </c>
      <c r="AA123">
        <f>MIN(MAX(0,X123+Y123-Z123),IF(AND(A123&gt;='Prepay vs Invest'!$B$11,A123&lt;='Prepay vs Invest'!$B$12),'Prepay vs Invest'!$B$10,0)+IF(A123='Prepay vs Invest'!$B$9,'Prepay vs Invest'!$B$8,0))</f>
        <v>10000</v>
      </c>
      <c r="AB123">
        <f t="shared" si="21"/>
        <v>5396845.947167607</v>
      </c>
      <c r="AC123">
        <f t="shared" si="30"/>
        <v>1755165.9603905838</v>
      </c>
      <c r="AD123">
        <f>IF(A123&lt;='Prepay vs Invest'!$B$7*12,MAX(0,'Prepay vs Invest'!$E$5+IF(AND(A123&gt;='Prepay vs Invest'!$B$11,A123&lt;='Prepay vs Invest'!$B$12),'Prepay vs Invest'!$B$10,0)+IF(A123='Prepay vs Invest'!$B$9,'Prepay vs Invest'!$B$8,0)-Z123-AA123),0)</f>
        <v>15647.18596030448</v>
      </c>
      <c r="AE123">
        <f>AC123*(1+MAX(0,'Prepay vs Invest'!$B$13-'Prepay vs Invest'!$B$14)/1200)+AD123</f>
        <v>1787633.4868046313</v>
      </c>
      <c r="AF123">
        <f t="shared" si="31"/>
        <v>1111212.2514538064</v>
      </c>
      <c r="AG123">
        <f>MAX(0,(AE123-AF123-'Prepay vs Invest'!$B$16)*'Prepay vs Invest'!$B$15/100)</f>
        <v>68927.654418853112</v>
      </c>
      <c r="AH123">
        <f t="shared" si="22"/>
        <v>1718705.8323857782</v>
      </c>
    </row>
    <row r="124" spans="1:34" x14ac:dyDescent="0.35">
      <c r="A124">
        <f t="shared" si="23"/>
        <v>123</v>
      </c>
      <c r="B124">
        <f>IF(A124&lt;='Prepay vs Invest'!$B$7*12,F123,0)</f>
        <v>6710175.8420487177</v>
      </c>
      <c r="C124">
        <f>IF(B124&gt;0,B124*'Prepay vs Invest'!$B$6/1200,0)</f>
        <v>41938.599012804487</v>
      </c>
      <c r="D124">
        <f>IF(B124&gt;0,MIN(-PMT('Prepay vs Invest'!$B$6/1200,'Prepay vs Invest'!$B$7*12,'Prepay vs Invest'!$B$5),B124+C124),0)</f>
        <v>80559.31935518072</v>
      </c>
      <c r="E124">
        <f t="shared" si="16"/>
        <v>38620.720342376233</v>
      </c>
      <c r="F124">
        <f t="shared" si="17"/>
        <v>6671555.1217063414</v>
      </c>
      <c r="G124">
        <f t="shared" si="24"/>
        <v>3724760.2312563742</v>
      </c>
      <c r="H124">
        <f>IF(A124&lt;='Prepay vs Invest'!$B$7*12,IF(AND(A124&gt;='Prepay vs Invest'!$B$11,A124&lt;='Prepay vs Invest'!$B$12),'Prepay vs Invest'!$B$10,0)+IF(A124='Prepay vs Invest'!$B$9,'Prepay vs Invest'!$B$8,0),0)</f>
        <v>10000</v>
      </c>
      <c r="I124">
        <f>G124*(1+MAX(0,'Prepay vs Invest'!$B$13-'Prepay vs Invest'!$B$14)/1200)+H124</f>
        <v>3770455.8501392477</v>
      </c>
      <c r="J124">
        <f t="shared" si="25"/>
        <v>1730000</v>
      </c>
      <c r="K124">
        <f>MAX(0,(I124-J124-'Prepay vs Invest'!$B$16)*'Prepay vs Invest'!$B$15/100)</f>
        <v>239431.98126740596</v>
      </c>
      <c r="L124">
        <f t="shared" si="18"/>
        <v>3531023.8688718416</v>
      </c>
      <c r="M124">
        <f t="shared" si="26"/>
        <v>3896255.5959767066</v>
      </c>
      <c r="N124">
        <f>IF(M124&gt;0,M124*'Prepay vs Invest'!$B$6/1200,0)</f>
        <v>24351.597474854414</v>
      </c>
      <c r="O124">
        <f>IF(M124&gt;0,MIN('Prepay vs Invest'!$E$5,M124+N124),0)</f>
        <v>80559.31935518072</v>
      </c>
      <c r="P124">
        <f>MIN(MAX(0,M124+N124-O124),IF(AND(A124&gt;='Prepay vs Invest'!$B$11,A124&lt;='Prepay vs Invest'!$B$12),'Prepay vs Invest'!$B$10,0)+IF(A124='Prepay vs Invest'!$B$9,'Prepay vs Invest'!$B$8,0))</f>
        <v>10000</v>
      </c>
      <c r="Q124">
        <f t="shared" si="19"/>
        <v>3830047.8740963805</v>
      </c>
      <c r="R124">
        <f t="shared" si="27"/>
        <v>0</v>
      </c>
      <c r="S124">
        <f>IF(A124&lt;='Prepay vs Invest'!$B$7*12,MAX(0,'Prepay vs Invest'!$E$5+IF(AND(A124&gt;='Prepay vs Invest'!$B$11,A124&lt;='Prepay vs Invest'!$B$12),'Prepay vs Invest'!$B$10,0)+IF(A124='Prepay vs Invest'!$B$9,'Prepay vs Invest'!$B$8,0)-O124-P124),0)</f>
        <v>0</v>
      </c>
      <c r="T124">
        <f>R124*(1+MAX(0,'Prepay vs Invest'!$B$13-'Prepay vs Invest'!$B$14)/1200)+S124</f>
        <v>0</v>
      </c>
      <c r="U124">
        <f t="shared" si="28"/>
        <v>0</v>
      </c>
      <c r="V124">
        <f>MAX(0,(T124-U124-'Prepay vs Invest'!$B$16)*'Prepay vs Invest'!$B$15/100)</f>
        <v>0</v>
      </c>
      <c r="W124">
        <f t="shared" si="20"/>
        <v>0</v>
      </c>
      <c r="X124">
        <f t="shared" si="29"/>
        <v>5396845.947167607</v>
      </c>
      <c r="Y124">
        <f>IF(X124&gt;0,X124*'Prepay vs Invest'!$B$6/1200,0)</f>
        <v>33730.287169797542</v>
      </c>
      <c r="Z124">
        <f>IF(X124&gt;0,MIN(-PMT('Prepay vs Invest'!$B$6/1200,'Prepay vs Invest'!$B$7*12-A124+1,X124),X124+Y124),0)</f>
        <v>64792.077942900818</v>
      </c>
      <c r="AA124">
        <f>MIN(MAX(0,X124+Y124-Z124),IF(AND(A124&gt;='Prepay vs Invest'!$B$11,A124&lt;='Prepay vs Invest'!$B$12),'Prepay vs Invest'!$B$10,0)+IF(A124='Prepay vs Invest'!$B$9,'Prepay vs Invest'!$B$8,0))</f>
        <v>10000</v>
      </c>
      <c r="AB124">
        <f t="shared" si="21"/>
        <v>5355784.156394504</v>
      </c>
      <c r="AC124">
        <f t="shared" si="30"/>
        <v>1787633.4868046313</v>
      </c>
      <c r="AD124">
        <f>IF(A124&lt;='Prepay vs Invest'!$B$7*12,MAX(0,'Prepay vs Invest'!$E$5+IF(AND(A124&gt;='Prepay vs Invest'!$B$11,A124&lt;='Prepay vs Invest'!$B$12),'Prepay vs Invest'!$B$10,0)+IF(A124='Prepay vs Invest'!$B$9,'Prepay vs Invest'!$B$8,0)-Z124-AA124),0)</f>
        <v>15767.241412279902</v>
      </c>
      <c r="AE124">
        <f>AC124*(1+MAX(0,'Prepay vs Invest'!$B$13-'Prepay vs Invest'!$B$14)/1200)+AD124</f>
        <v>1820532.2157987887</v>
      </c>
      <c r="AF124">
        <f t="shared" si="31"/>
        <v>1126979.4928660863</v>
      </c>
      <c r="AG124">
        <f>MAX(0,(AE124-AF124-'Prepay vs Invest'!$B$16)*'Prepay vs Invest'!$B$15/100)</f>
        <v>71069.0903665878</v>
      </c>
      <c r="AH124">
        <f t="shared" si="22"/>
        <v>1749463.125432201</v>
      </c>
    </row>
    <row r="125" spans="1:34" x14ac:dyDescent="0.35">
      <c r="A125">
        <f t="shared" si="23"/>
        <v>124</v>
      </c>
      <c r="B125">
        <f>IF(A125&lt;='Prepay vs Invest'!$B$7*12,F124,0)</f>
        <v>6671555.1217063414</v>
      </c>
      <c r="C125">
        <f>IF(B125&gt;0,B125*'Prepay vs Invest'!$B$6/1200,0)</f>
        <v>41697.219510664632</v>
      </c>
      <c r="D125">
        <f>IF(B125&gt;0,MIN(-PMT('Prepay vs Invest'!$B$6/1200,'Prepay vs Invest'!$B$7*12,'Prepay vs Invest'!$B$5),B125+C125),0)</f>
        <v>80559.31935518072</v>
      </c>
      <c r="E125">
        <f t="shared" si="16"/>
        <v>38862.099844516088</v>
      </c>
      <c r="F125">
        <f t="shared" si="17"/>
        <v>6632693.0218618251</v>
      </c>
      <c r="G125">
        <f t="shared" si="24"/>
        <v>3770455.8501392477</v>
      </c>
      <c r="H125">
        <f>IF(A125&lt;='Prepay vs Invest'!$B$7*12,IF(AND(A125&gt;='Prepay vs Invest'!$B$11,A125&lt;='Prepay vs Invest'!$B$12),'Prepay vs Invest'!$B$10,0)+IF(A125='Prepay vs Invest'!$B$9,'Prepay vs Invest'!$B$8,0),0)</f>
        <v>10000</v>
      </c>
      <c r="I125">
        <f>G125*(1+MAX(0,'Prepay vs Invest'!$B$13-'Prepay vs Invest'!$B$14)/1200)+H125</f>
        <v>3816589.3853697488</v>
      </c>
      <c r="J125">
        <f t="shared" si="25"/>
        <v>1740000</v>
      </c>
      <c r="K125">
        <f>MAX(0,(I125-J125-'Prepay vs Invest'!$B$16)*'Prepay vs Invest'!$B$15/100)</f>
        <v>243948.6731712186</v>
      </c>
      <c r="L125">
        <f t="shared" si="18"/>
        <v>3572640.7121985303</v>
      </c>
      <c r="M125">
        <f t="shared" si="26"/>
        <v>3830047.8740963805</v>
      </c>
      <c r="N125">
        <f>IF(M125&gt;0,M125*'Prepay vs Invest'!$B$6/1200,0)</f>
        <v>23937.799213102378</v>
      </c>
      <c r="O125">
        <f>IF(M125&gt;0,MIN('Prepay vs Invest'!$E$5,M125+N125),0)</f>
        <v>80559.31935518072</v>
      </c>
      <c r="P125">
        <f>MIN(MAX(0,M125+N125-O125),IF(AND(A125&gt;='Prepay vs Invest'!$B$11,A125&lt;='Prepay vs Invest'!$B$12),'Prepay vs Invest'!$B$10,0)+IF(A125='Prepay vs Invest'!$B$9,'Prepay vs Invest'!$B$8,0))</f>
        <v>10000</v>
      </c>
      <c r="Q125">
        <f t="shared" si="19"/>
        <v>3763426.3539543021</v>
      </c>
      <c r="R125">
        <f t="shared" si="27"/>
        <v>0</v>
      </c>
      <c r="S125">
        <f>IF(A125&lt;='Prepay vs Invest'!$B$7*12,MAX(0,'Prepay vs Invest'!$E$5+IF(AND(A125&gt;='Prepay vs Invest'!$B$11,A125&lt;='Prepay vs Invest'!$B$12),'Prepay vs Invest'!$B$10,0)+IF(A125='Prepay vs Invest'!$B$9,'Prepay vs Invest'!$B$8,0)-O125-P125),0)</f>
        <v>0</v>
      </c>
      <c r="T125">
        <f>R125*(1+MAX(0,'Prepay vs Invest'!$B$13-'Prepay vs Invest'!$B$14)/1200)+S125</f>
        <v>0</v>
      </c>
      <c r="U125">
        <f t="shared" si="28"/>
        <v>0</v>
      </c>
      <c r="V125">
        <f>MAX(0,(T125-U125-'Prepay vs Invest'!$B$16)*'Prepay vs Invest'!$B$15/100)</f>
        <v>0</v>
      </c>
      <c r="W125">
        <f t="shared" si="20"/>
        <v>0</v>
      </c>
      <c r="X125">
        <f t="shared" si="29"/>
        <v>5355784.156394504</v>
      </c>
      <c r="Y125">
        <f>IF(X125&gt;0,X125*'Prepay vs Invest'!$B$6/1200,0)</f>
        <v>33473.650977465644</v>
      </c>
      <c r="Z125">
        <f>IF(X125&gt;0,MIN(-PMT('Prepay vs Invest'!$B$6/1200,'Prepay vs Invest'!$B$7*12-A125+1,X125),X125+Y125),0)</f>
        <v>64671.327506330068</v>
      </c>
      <c r="AA125">
        <f>MIN(MAX(0,X125+Y125-Z125),IF(AND(A125&gt;='Prepay vs Invest'!$B$11,A125&lt;='Prepay vs Invest'!$B$12),'Prepay vs Invest'!$B$10,0)+IF(A125='Prepay vs Invest'!$B$9,'Prepay vs Invest'!$B$8,0))</f>
        <v>10000</v>
      </c>
      <c r="AB125">
        <f t="shared" si="21"/>
        <v>5314586.4798656395</v>
      </c>
      <c r="AC125">
        <f t="shared" si="30"/>
        <v>1820532.2157987887</v>
      </c>
      <c r="AD125">
        <f>IF(A125&lt;='Prepay vs Invest'!$B$7*12,MAX(0,'Prepay vs Invest'!$E$5+IF(AND(A125&gt;='Prepay vs Invest'!$B$11,A125&lt;='Prepay vs Invest'!$B$12),'Prepay vs Invest'!$B$10,0)+IF(A125='Prepay vs Invest'!$B$9,'Prepay vs Invest'!$B$8,0)-Z125-AA125),0)</f>
        <v>15887.991848850652</v>
      </c>
      <c r="AE125">
        <f>AC125*(1+MAX(0,'Prepay vs Invest'!$B$13-'Prepay vs Invest'!$B$14)/1200)+AD125</f>
        <v>1853866.9747157109</v>
      </c>
      <c r="AF125">
        <f t="shared" si="31"/>
        <v>1142867.4847149369</v>
      </c>
      <c r="AG125">
        <f>MAX(0,(AE125-AF125-'Prepay vs Invest'!$B$16)*'Prepay vs Invest'!$B$15/100)</f>
        <v>73249.93625009674</v>
      </c>
      <c r="AH125">
        <f t="shared" si="22"/>
        <v>1780617.0384656142</v>
      </c>
    </row>
    <row r="126" spans="1:34" x14ac:dyDescent="0.35">
      <c r="A126">
        <f t="shared" si="23"/>
        <v>125</v>
      </c>
      <c r="B126">
        <f>IF(A126&lt;='Prepay vs Invest'!$B$7*12,F125,0)</f>
        <v>6632693.0218618251</v>
      </c>
      <c r="C126">
        <f>IF(B126&gt;0,B126*'Prepay vs Invest'!$B$6/1200,0)</f>
        <v>41454.331386636411</v>
      </c>
      <c r="D126">
        <f>IF(B126&gt;0,MIN(-PMT('Prepay vs Invest'!$B$6/1200,'Prepay vs Invest'!$B$7*12,'Prepay vs Invest'!$B$5),B126+C126),0)</f>
        <v>80559.31935518072</v>
      </c>
      <c r="E126">
        <f t="shared" si="16"/>
        <v>39104.987968544308</v>
      </c>
      <c r="F126">
        <f t="shared" si="17"/>
        <v>6593588.0338932807</v>
      </c>
      <c r="G126">
        <f t="shared" si="24"/>
        <v>3816589.3853697488</v>
      </c>
      <c r="H126">
        <f>IF(A126&lt;='Prepay vs Invest'!$B$7*12,IF(AND(A126&gt;='Prepay vs Invest'!$B$11,A126&lt;='Prepay vs Invest'!$B$12),'Prepay vs Invest'!$B$10,0)+IF(A126='Prepay vs Invest'!$B$9,'Prepay vs Invest'!$B$8,0),0)</f>
        <v>10000</v>
      </c>
      <c r="I126">
        <f>G126*(1+MAX(0,'Prepay vs Invest'!$B$13-'Prepay vs Invest'!$B$14)/1200)+H126</f>
        <v>3863165.0336462087</v>
      </c>
      <c r="J126">
        <f t="shared" si="25"/>
        <v>1750000</v>
      </c>
      <c r="K126">
        <f>MAX(0,(I126-J126-'Prepay vs Invest'!$B$16)*'Prepay vs Invest'!$B$15/100)</f>
        <v>248520.62920577609</v>
      </c>
      <c r="L126">
        <f t="shared" si="18"/>
        <v>3614644.4044404328</v>
      </c>
      <c r="M126">
        <f t="shared" si="26"/>
        <v>3763426.3539543021</v>
      </c>
      <c r="N126">
        <f>IF(M126&gt;0,M126*'Prepay vs Invest'!$B$6/1200,0)</f>
        <v>23521.414712214388</v>
      </c>
      <c r="O126">
        <f>IF(M126&gt;0,MIN('Prepay vs Invest'!$E$5,M126+N126),0)</f>
        <v>80559.31935518072</v>
      </c>
      <c r="P126">
        <f>MIN(MAX(0,M126+N126-O126),IF(AND(A126&gt;='Prepay vs Invest'!$B$11,A126&lt;='Prepay vs Invest'!$B$12),'Prepay vs Invest'!$B$10,0)+IF(A126='Prepay vs Invest'!$B$9,'Prepay vs Invest'!$B$8,0))</f>
        <v>10000</v>
      </c>
      <c r="Q126">
        <f t="shared" si="19"/>
        <v>3696388.4493113356</v>
      </c>
      <c r="R126">
        <f t="shared" si="27"/>
        <v>0</v>
      </c>
      <c r="S126">
        <f>IF(A126&lt;='Prepay vs Invest'!$B$7*12,MAX(0,'Prepay vs Invest'!$E$5+IF(AND(A126&gt;='Prepay vs Invest'!$B$11,A126&lt;='Prepay vs Invest'!$B$12),'Prepay vs Invest'!$B$10,0)+IF(A126='Prepay vs Invest'!$B$9,'Prepay vs Invest'!$B$8,0)-O126-P126),0)</f>
        <v>0</v>
      </c>
      <c r="T126">
        <f>R126*(1+MAX(0,'Prepay vs Invest'!$B$13-'Prepay vs Invest'!$B$14)/1200)+S126</f>
        <v>0</v>
      </c>
      <c r="U126">
        <f t="shared" si="28"/>
        <v>0</v>
      </c>
      <c r="V126">
        <f>MAX(0,(T126-U126-'Prepay vs Invest'!$B$16)*'Prepay vs Invest'!$B$15/100)</f>
        <v>0</v>
      </c>
      <c r="W126">
        <f t="shared" si="20"/>
        <v>0</v>
      </c>
      <c r="X126">
        <f t="shared" si="29"/>
        <v>5314586.4798656395</v>
      </c>
      <c r="Y126">
        <f>IF(X126&gt;0,X126*'Prepay vs Invest'!$B$6/1200,0)</f>
        <v>33216.165499160248</v>
      </c>
      <c r="Z126">
        <f>IF(X126&gt;0,MIN(-PMT('Prepay vs Invest'!$B$6/1200,'Prepay vs Invest'!$B$7*12-A126+1,X126),X126+Y126),0)</f>
        <v>64549.869571989286</v>
      </c>
      <c r="AA126">
        <f>MIN(MAX(0,X126+Y126-Z126),IF(AND(A126&gt;='Prepay vs Invest'!$B$11,A126&lt;='Prepay vs Invest'!$B$12),'Prepay vs Invest'!$B$10,0)+IF(A126='Prepay vs Invest'!$B$9,'Prepay vs Invest'!$B$8,0))</f>
        <v>10000</v>
      </c>
      <c r="AB126">
        <f t="shared" si="21"/>
        <v>5273252.7757928101</v>
      </c>
      <c r="AC126">
        <f t="shared" si="30"/>
        <v>1853866.9747157109</v>
      </c>
      <c r="AD126">
        <f>IF(A126&lt;='Prepay vs Invest'!$B$7*12,MAX(0,'Prepay vs Invest'!$E$5+IF(AND(A126&gt;='Prepay vs Invest'!$B$11,A126&lt;='Prepay vs Invest'!$B$12),'Prepay vs Invest'!$B$10,0)+IF(A126='Prepay vs Invest'!$B$9,'Prepay vs Invest'!$B$8,0)-Z126-AA126),0)</f>
        <v>16009.449783191434</v>
      </c>
      <c r="AE126">
        <f>AC126*(1+MAX(0,'Prepay vs Invest'!$B$13-'Prepay vs Invest'!$B$14)/1200)+AD126</f>
        <v>1887642.6496732612</v>
      </c>
      <c r="AF126">
        <f t="shared" si="31"/>
        <v>1158876.9344981285</v>
      </c>
      <c r="AG126">
        <f>MAX(0,(AE126-AF126-'Prepay vs Invest'!$B$16)*'Prepay vs Invest'!$B$15/100)</f>
        <v>75470.714396891592</v>
      </c>
      <c r="AH126">
        <f t="shared" si="22"/>
        <v>1812171.9352763696</v>
      </c>
    </row>
    <row r="127" spans="1:34" x14ac:dyDescent="0.35">
      <c r="A127">
        <f t="shared" si="23"/>
        <v>126</v>
      </c>
      <c r="B127">
        <f>IF(A127&lt;='Prepay vs Invest'!$B$7*12,F126,0)</f>
        <v>6593588.0338932807</v>
      </c>
      <c r="C127">
        <f>IF(B127&gt;0,B127*'Prepay vs Invest'!$B$6/1200,0)</f>
        <v>41209.925211833004</v>
      </c>
      <c r="D127">
        <f>IF(B127&gt;0,MIN(-PMT('Prepay vs Invest'!$B$6/1200,'Prepay vs Invest'!$B$7*12,'Prepay vs Invest'!$B$5),B127+C127),0)</f>
        <v>80559.31935518072</v>
      </c>
      <c r="E127">
        <f t="shared" si="16"/>
        <v>39349.394143347716</v>
      </c>
      <c r="F127">
        <f t="shared" si="17"/>
        <v>6554238.639749933</v>
      </c>
      <c r="G127">
        <f t="shared" si="24"/>
        <v>3863165.0336462087</v>
      </c>
      <c r="H127">
        <f>IF(A127&lt;='Prepay vs Invest'!$B$7*12,IF(AND(A127&gt;='Prepay vs Invest'!$B$11,A127&lt;='Prepay vs Invest'!$B$12),'Prepay vs Invest'!$B$10,0)+IF(A127='Prepay vs Invest'!$B$9,'Prepay vs Invest'!$B$8,0),0)</f>
        <v>10000</v>
      </c>
      <c r="I127">
        <f>G127*(1+MAX(0,'Prepay vs Invest'!$B$13-'Prepay vs Invest'!$B$14)/1200)+H127</f>
        <v>3910187.031885318</v>
      </c>
      <c r="J127">
        <f t="shared" si="25"/>
        <v>1760000</v>
      </c>
      <c r="K127">
        <f>MAX(0,(I127-J127-'Prepay vs Invest'!$B$16)*'Prepay vs Invest'!$B$15/100)</f>
        <v>253148.37898566472</v>
      </c>
      <c r="L127">
        <f t="shared" si="18"/>
        <v>3657038.6528996532</v>
      </c>
      <c r="M127">
        <f t="shared" si="26"/>
        <v>3696388.4493113356</v>
      </c>
      <c r="N127">
        <f>IF(M127&gt;0,M127*'Prepay vs Invest'!$B$6/1200,0)</f>
        <v>23102.427808195847</v>
      </c>
      <c r="O127">
        <f>IF(M127&gt;0,MIN('Prepay vs Invest'!$E$5,M127+N127),0)</f>
        <v>80559.31935518072</v>
      </c>
      <c r="P127">
        <f>MIN(MAX(0,M127+N127-O127),IF(AND(A127&gt;='Prepay vs Invest'!$B$11,A127&lt;='Prepay vs Invest'!$B$12),'Prepay vs Invest'!$B$10,0)+IF(A127='Prepay vs Invest'!$B$9,'Prepay vs Invest'!$B$8,0))</f>
        <v>10000</v>
      </c>
      <c r="Q127">
        <f t="shared" si="19"/>
        <v>3628931.5577643504</v>
      </c>
      <c r="R127">
        <f t="shared" si="27"/>
        <v>0</v>
      </c>
      <c r="S127">
        <f>IF(A127&lt;='Prepay vs Invest'!$B$7*12,MAX(0,'Prepay vs Invest'!$E$5+IF(AND(A127&gt;='Prepay vs Invest'!$B$11,A127&lt;='Prepay vs Invest'!$B$12),'Prepay vs Invest'!$B$10,0)+IF(A127='Prepay vs Invest'!$B$9,'Prepay vs Invest'!$B$8,0)-O127-P127),0)</f>
        <v>0</v>
      </c>
      <c r="T127">
        <f>R127*(1+MAX(0,'Prepay vs Invest'!$B$13-'Prepay vs Invest'!$B$14)/1200)+S127</f>
        <v>0</v>
      </c>
      <c r="U127">
        <f t="shared" si="28"/>
        <v>0</v>
      </c>
      <c r="V127">
        <f>MAX(0,(T127-U127-'Prepay vs Invest'!$B$16)*'Prepay vs Invest'!$B$15/100)</f>
        <v>0</v>
      </c>
      <c r="W127">
        <f t="shared" si="20"/>
        <v>0</v>
      </c>
      <c r="X127">
        <f t="shared" si="29"/>
        <v>5273252.7757928101</v>
      </c>
      <c r="Y127">
        <f>IF(X127&gt;0,X127*'Prepay vs Invest'!$B$6/1200,0)</f>
        <v>32957.829848705063</v>
      </c>
      <c r="Z127">
        <f>IF(X127&gt;0,MIN(-PMT('Prepay vs Invest'!$B$6/1200,'Prepay vs Invest'!$B$7*12-A127+1,X127),X127+Y127),0)</f>
        <v>64427.6912997935</v>
      </c>
      <c r="AA127">
        <f>MIN(MAX(0,X127+Y127-Z127),IF(AND(A127&gt;='Prepay vs Invest'!$B$11,A127&lt;='Prepay vs Invest'!$B$12),'Prepay vs Invest'!$B$10,0)+IF(A127='Prepay vs Invest'!$B$9,'Prepay vs Invest'!$B$8,0))</f>
        <v>10000</v>
      </c>
      <c r="AB127">
        <f t="shared" si="21"/>
        <v>5231782.9143417217</v>
      </c>
      <c r="AC127">
        <f t="shared" si="30"/>
        <v>1887642.6496732612</v>
      </c>
      <c r="AD127">
        <f>IF(A127&lt;='Prepay vs Invest'!$B$7*12,MAX(0,'Prepay vs Invest'!$E$5+IF(AND(A127&gt;='Prepay vs Invest'!$B$11,A127&lt;='Prepay vs Invest'!$B$12),'Prepay vs Invest'!$B$10,0)+IF(A127='Prepay vs Invest'!$B$9,'Prepay vs Invest'!$B$8,0)-Z127-AA127),0)</f>
        <v>16131.62805538722</v>
      </c>
      <c r="AE127">
        <f>AC127*(1+MAX(0,'Prepay vs Invest'!$B$13-'Prepay vs Invest'!$B$14)/1200)+AD127</f>
        <v>1921864.1864546838</v>
      </c>
      <c r="AF127">
        <f t="shared" si="31"/>
        <v>1175008.5625535157</v>
      </c>
      <c r="AG127">
        <f>MAX(0,(AE127-AF127-'Prepay vs Invest'!$B$16)*'Prepay vs Invest'!$B$15/100)</f>
        <v>77731.952987646015</v>
      </c>
      <c r="AH127">
        <f t="shared" si="22"/>
        <v>1844132.2334670378</v>
      </c>
    </row>
    <row r="128" spans="1:34" x14ac:dyDescent="0.35">
      <c r="A128">
        <f t="shared" si="23"/>
        <v>127</v>
      </c>
      <c r="B128">
        <f>IF(A128&lt;='Prepay vs Invest'!$B$7*12,F127,0)</f>
        <v>6554238.639749933</v>
      </c>
      <c r="C128">
        <f>IF(B128&gt;0,B128*'Prepay vs Invest'!$B$6/1200,0)</f>
        <v>40963.991498437084</v>
      </c>
      <c r="D128">
        <f>IF(B128&gt;0,MIN(-PMT('Prepay vs Invest'!$B$6/1200,'Prepay vs Invest'!$B$7*12,'Prepay vs Invest'!$B$5),B128+C128),0)</f>
        <v>80559.31935518072</v>
      </c>
      <c r="E128">
        <f t="shared" si="16"/>
        <v>39595.327856743635</v>
      </c>
      <c r="F128">
        <f t="shared" si="17"/>
        <v>6514643.3118931893</v>
      </c>
      <c r="G128">
        <f t="shared" si="24"/>
        <v>3910187.031885318</v>
      </c>
      <c r="H128">
        <f>IF(A128&lt;='Prepay vs Invest'!$B$7*12,IF(AND(A128&gt;='Prepay vs Invest'!$B$11,A128&lt;='Prepay vs Invest'!$B$12),'Prepay vs Invest'!$B$10,0)+IF(A128='Prepay vs Invest'!$B$9,'Prepay vs Invest'!$B$8,0),0)</f>
        <v>10000</v>
      </c>
      <c r="I128">
        <f>G128*(1+MAX(0,'Prepay vs Invest'!$B$13-'Prepay vs Invest'!$B$14)/1200)+H128</f>
        <v>3957659.6576075521</v>
      </c>
      <c r="J128">
        <f t="shared" si="25"/>
        <v>1770000</v>
      </c>
      <c r="K128">
        <f>MAX(0,(I128-J128-'Prepay vs Invest'!$B$16)*'Prepay vs Invest'!$B$15/100)</f>
        <v>257832.45720094402</v>
      </c>
      <c r="L128">
        <f t="shared" si="18"/>
        <v>3699827.2004066082</v>
      </c>
      <c r="M128">
        <f t="shared" si="26"/>
        <v>3628931.5577643504</v>
      </c>
      <c r="N128">
        <f>IF(M128&gt;0,M128*'Prepay vs Invest'!$B$6/1200,0)</f>
        <v>22680.82223602719</v>
      </c>
      <c r="O128">
        <f>IF(M128&gt;0,MIN('Prepay vs Invest'!$E$5,M128+N128),0)</f>
        <v>80559.31935518072</v>
      </c>
      <c r="P128">
        <f>MIN(MAX(0,M128+N128-O128),IF(AND(A128&gt;='Prepay vs Invest'!$B$11,A128&lt;='Prepay vs Invest'!$B$12),'Prepay vs Invest'!$B$10,0)+IF(A128='Prepay vs Invest'!$B$9,'Prepay vs Invest'!$B$8,0))</f>
        <v>10000</v>
      </c>
      <c r="Q128">
        <f t="shared" si="19"/>
        <v>3561053.0606451966</v>
      </c>
      <c r="R128">
        <f t="shared" si="27"/>
        <v>0</v>
      </c>
      <c r="S128">
        <f>IF(A128&lt;='Prepay vs Invest'!$B$7*12,MAX(0,'Prepay vs Invest'!$E$5+IF(AND(A128&gt;='Prepay vs Invest'!$B$11,A128&lt;='Prepay vs Invest'!$B$12),'Prepay vs Invest'!$B$10,0)+IF(A128='Prepay vs Invest'!$B$9,'Prepay vs Invest'!$B$8,0)-O128-P128),0)</f>
        <v>0</v>
      </c>
      <c r="T128">
        <f>R128*(1+MAX(0,'Prepay vs Invest'!$B$13-'Prepay vs Invest'!$B$14)/1200)+S128</f>
        <v>0</v>
      </c>
      <c r="U128">
        <f t="shared" si="28"/>
        <v>0</v>
      </c>
      <c r="V128">
        <f>MAX(0,(T128-U128-'Prepay vs Invest'!$B$16)*'Prepay vs Invest'!$B$15/100)</f>
        <v>0</v>
      </c>
      <c r="W128">
        <f t="shared" si="20"/>
        <v>0</v>
      </c>
      <c r="X128">
        <f t="shared" si="29"/>
        <v>5231782.9143417217</v>
      </c>
      <c r="Y128">
        <f>IF(X128&gt;0,X128*'Prepay vs Invest'!$B$6/1200,0)</f>
        <v>32698.643214635762</v>
      </c>
      <c r="Z128">
        <f>IF(X128&gt;0,MIN(-PMT('Prepay vs Invest'!$B$6/1200,'Prepay vs Invest'!$B$7*12-A128+1,X128),X128+Y128),0)</f>
        <v>64304.779511280649</v>
      </c>
      <c r="AA128">
        <f>MIN(MAX(0,X128+Y128-Z128),IF(AND(A128&gt;='Prepay vs Invest'!$B$11,A128&lt;='Prepay vs Invest'!$B$12),'Prepay vs Invest'!$B$10,0)+IF(A128='Prepay vs Invest'!$B$9,'Prepay vs Invest'!$B$8,0))</f>
        <v>10000</v>
      </c>
      <c r="AB128">
        <f t="shared" si="21"/>
        <v>5190176.7780450769</v>
      </c>
      <c r="AC128">
        <f t="shared" si="30"/>
        <v>1921864.1864546838</v>
      </c>
      <c r="AD128">
        <f>IF(A128&lt;='Prepay vs Invest'!$B$7*12,MAX(0,'Prepay vs Invest'!$E$5+IF(AND(A128&gt;='Prepay vs Invest'!$B$11,A128&lt;='Prepay vs Invest'!$B$12),'Prepay vs Invest'!$B$10,0)+IF(A128='Prepay vs Invest'!$B$9,'Prepay vs Invest'!$B$8,0)-Z128-AA128),0)</f>
        <v>16254.539843900071</v>
      </c>
      <c r="AE128">
        <f>AC128*(1+MAX(0,'Prepay vs Invest'!$B$13-'Prepay vs Invest'!$B$14)/1200)+AD128</f>
        <v>1956536.5914187746</v>
      </c>
      <c r="AF128">
        <f t="shared" si="31"/>
        <v>1191263.1023974158</v>
      </c>
      <c r="AG128">
        <f>MAX(0,(AE128-AF128-'Prepay vs Invest'!$B$16)*'Prepay vs Invest'!$B$15/100)</f>
        <v>80034.186127669847</v>
      </c>
      <c r="AH128">
        <f t="shared" si="22"/>
        <v>1876502.4052911047</v>
      </c>
    </row>
    <row r="129" spans="1:34" x14ac:dyDescent="0.35">
      <c r="A129">
        <f t="shared" si="23"/>
        <v>128</v>
      </c>
      <c r="B129">
        <f>IF(A129&lt;='Prepay vs Invest'!$B$7*12,F128,0)</f>
        <v>6514643.3118931893</v>
      </c>
      <c r="C129">
        <f>IF(B129&gt;0,B129*'Prepay vs Invest'!$B$6/1200,0)</f>
        <v>40716.520699332432</v>
      </c>
      <c r="D129">
        <f>IF(B129&gt;0,MIN(-PMT('Prepay vs Invest'!$B$6/1200,'Prepay vs Invest'!$B$7*12,'Prepay vs Invest'!$B$5),B129+C129),0)</f>
        <v>80559.31935518072</v>
      </c>
      <c r="E129">
        <f t="shared" si="16"/>
        <v>39842.798655848288</v>
      </c>
      <c r="F129">
        <f t="shared" si="17"/>
        <v>6474800.5132373413</v>
      </c>
      <c r="G129">
        <f t="shared" si="24"/>
        <v>3957659.6576075521</v>
      </c>
      <c r="H129">
        <f>IF(A129&lt;='Prepay vs Invest'!$B$7*12,IF(AND(A129&gt;='Prepay vs Invest'!$B$11,A129&lt;='Prepay vs Invest'!$B$12),'Prepay vs Invest'!$B$10,0)+IF(A129='Prepay vs Invest'!$B$9,'Prepay vs Invest'!$B$8,0),0)</f>
        <v>10000</v>
      </c>
      <c r="I129">
        <f>G129*(1+MAX(0,'Prepay vs Invest'!$B$13-'Prepay vs Invest'!$B$14)/1200)+H129</f>
        <v>4005587.229326291</v>
      </c>
      <c r="J129">
        <f t="shared" si="25"/>
        <v>1780000</v>
      </c>
      <c r="K129">
        <f>MAX(0,(I129-J129-'Prepay vs Invest'!$B$16)*'Prepay vs Invest'!$B$15/100)</f>
        <v>262573.40366578638</v>
      </c>
      <c r="L129">
        <f t="shared" si="18"/>
        <v>3743013.8256605044</v>
      </c>
      <c r="M129">
        <f t="shared" si="26"/>
        <v>3561053.0606451966</v>
      </c>
      <c r="N129">
        <f>IF(M129&gt;0,M129*'Prepay vs Invest'!$B$6/1200,0)</f>
        <v>22256.58162903248</v>
      </c>
      <c r="O129">
        <f>IF(M129&gt;0,MIN('Prepay vs Invest'!$E$5,M129+N129),0)</f>
        <v>80559.31935518072</v>
      </c>
      <c r="P129">
        <f>MIN(MAX(0,M129+N129-O129),IF(AND(A129&gt;='Prepay vs Invest'!$B$11,A129&lt;='Prepay vs Invest'!$B$12),'Prepay vs Invest'!$B$10,0)+IF(A129='Prepay vs Invest'!$B$9,'Prepay vs Invest'!$B$8,0))</f>
        <v>10000</v>
      </c>
      <c r="Q129">
        <f t="shared" si="19"/>
        <v>3492750.3229190484</v>
      </c>
      <c r="R129">
        <f t="shared" si="27"/>
        <v>0</v>
      </c>
      <c r="S129">
        <f>IF(A129&lt;='Prepay vs Invest'!$B$7*12,MAX(0,'Prepay vs Invest'!$E$5+IF(AND(A129&gt;='Prepay vs Invest'!$B$11,A129&lt;='Prepay vs Invest'!$B$12),'Prepay vs Invest'!$B$10,0)+IF(A129='Prepay vs Invest'!$B$9,'Prepay vs Invest'!$B$8,0)-O129-P129),0)</f>
        <v>0</v>
      </c>
      <c r="T129">
        <f>R129*(1+MAX(0,'Prepay vs Invest'!$B$13-'Prepay vs Invest'!$B$14)/1200)+S129</f>
        <v>0</v>
      </c>
      <c r="U129">
        <f t="shared" si="28"/>
        <v>0</v>
      </c>
      <c r="V129">
        <f>MAX(0,(T129-U129-'Prepay vs Invest'!$B$16)*'Prepay vs Invest'!$B$15/100)</f>
        <v>0</v>
      </c>
      <c r="W129">
        <f t="shared" si="20"/>
        <v>0</v>
      </c>
      <c r="X129">
        <f t="shared" si="29"/>
        <v>5190176.7780450769</v>
      </c>
      <c r="Y129">
        <f>IF(X129&gt;0,X129*'Prepay vs Invest'!$B$6/1200,0)</f>
        <v>32438.604862781733</v>
      </c>
      <c r="Z129">
        <f>IF(X129&gt;0,MIN(-PMT('Prepay vs Invest'!$B$6/1200,'Prepay vs Invest'!$B$7*12-A129+1,X129),X129+Y129),0)</f>
        <v>64181.120677637206</v>
      </c>
      <c r="AA129">
        <f>MIN(MAX(0,X129+Y129-Z129),IF(AND(A129&gt;='Prepay vs Invest'!$B$11,A129&lt;='Prepay vs Invest'!$B$12),'Prepay vs Invest'!$B$10,0)+IF(A129='Prepay vs Invest'!$B$9,'Prepay vs Invest'!$B$8,0))</f>
        <v>10000</v>
      </c>
      <c r="AB129">
        <f t="shared" si="21"/>
        <v>5148434.2622302221</v>
      </c>
      <c r="AC129">
        <f t="shared" si="30"/>
        <v>1956536.5914187746</v>
      </c>
      <c r="AD129">
        <f>IF(A129&lt;='Prepay vs Invest'!$B$7*12,MAX(0,'Prepay vs Invest'!$E$5+IF(AND(A129&gt;='Prepay vs Invest'!$B$11,A129&lt;='Prepay vs Invest'!$B$12),'Prepay vs Invest'!$B$10,0)+IF(A129='Prepay vs Invest'!$B$9,'Prepay vs Invest'!$B$8,0)-Z129-AA129),0)</f>
        <v>16378.198677543514</v>
      </c>
      <c r="AE129">
        <f>AC129*(1+MAX(0,'Prepay vs Invest'!$B$13-'Prepay vs Invest'!$B$14)/1200)+AD129</f>
        <v>1991664.9324307479</v>
      </c>
      <c r="AF129">
        <f t="shared" si="31"/>
        <v>1207641.3010749593</v>
      </c>
      <c r="AG129">
        <f>MAX(0,(AE129-AF129-'Prepay vs Invest'!$B$16)*'Prepay vs Invest'!$B$15/100)</f>
        <v>82377.95391947357</v>
      </c>
      <c r="AH129">
        <f t="shared" si="22"/>
        <v>1909286.9785112743</v>
      </c>
    </row>
    <row r="130" spans="1:34" x14ac:dyDescent="0.35">
      <c r="A130">
        <f t="shared" si="23"/>
        <v>129</v>
      </c>
      <c r="B130">
        <f>IF(A130&lt;='Prepay vs Invest'!$B$7*12,F129,0)</f>
        <v>6474800.5132373413</v>
      </c>
      <c r="C130">
        <f>IF(B130&gt;0,B130*'Prepay vs Invest'!$B$6/1200,0)</f>
        <v>40467.503207733382</v>
      </c>
      <c r="D130">
        <f>IF(B130&gt;0,MIN(-PMT('Prepay vs Invest'!$B$6/1200,'Prepay vs Invest'!$B$7*12,'Prepay vs Invest'!$B$5),B130+C130),0)</f>
        <v>80559.31935518072</v>
      </c>
      <c r="E130">
        <f t="shared" si="16"/>
        <v>40091.816147447338</v>
      </c>
      <c r="F130">
        <f t="shared" si="17"/>
        <v>6434708.6970898937</v>
      </c>
      <c r="G130">
        <f t="shared" si="24"/>
        <v>4005587.229326291</v>
      </c>
      <c r="H130">
        <f>IF(A130&lt;='Prepay vs Invest'!$B$7*12,IF(AND(A130&gt;='Prepay vs Invest'!$B$11,A130&lt;='Prepay vs Invest'!$B$12),'Prepay vs Invest'!$B$10,0)+IF(A130='Prepay vs Invest'!$B$9,'Prepay vs Invest'!$B$8,0),0)</f>
        <v>10000</v>
      </c>
      <c r="I130">
        <f>G130*(1+MAX(0,'Prepay vs Invest'!$B$13-'Prepay vs Invest'!$B$14)/1200)+H130</f>
        <v>4053974.1069406676</v>
      </c>
      <c r="J130">
        <f t="shared" si="25"/>
        <v>1790000</v>
      </c>
      <c r="K130">
        <f>MAX(0,(I130-J130-'Prepay vs Invest'!$B$16)*'Prepay vs Invest'!$B$15/100)</f>
        <v>267371.76336758345</v>
      </c>
      <c r="L130">
        <f t="shared" si="18"/>
        <v>3786602.3435730841</v>
      </c>
      <c r="M130">
        <f t="shared" si="26"/>
        <v>3492750.3229190484</v>
      </c>
      <c r="N130">
        <f>IF(M130&gt;0,M130*'Prepay vs Invest'!$B$6/1200,0)</f>
        <v>21829.689518244053</v>
      </c>
      <c r="O130">
        <f>IF(M130&gt;0,MIN('Prepay vs Invest'!$E$5,M130+N130),0)</f>
        <v>80559.31935518072</v>
      </c>
      <c r="P130">
        <f>MIN(MAX(0,M130+N130-O130),IF(AND(A130&gt;='Prepay vs Invest'!$B$11,A130&lt;='Prepay vs Invest'!$B$12),'Prepay vs Invest'!$B$10,0)+IF(A130='Prepay vs Invest'!$B$9,'Prepay vs Invest'!$B$8,0))</f>
        <v>10000</v>
      </c>
      <c r="Q130">
        <f t="shared" si="19"/>
        <v>3424020.6930821119</v>
      </c>
      <c r="R130">
        <f t="shared" si="27"/>
        <v>0</v>
      </c>
      <c r="S130">
        <f>IF(A130&lt;='Prepay vs Invest'!$B$7*12,MAX(0,'Prepay vs Invest'!$E$5+IF(AND(A130&gt;='Prepay vs Invest'!$B$11,A130&lt;='Prepay vs Invest'!$B$12),'Prepay vs Invest'!$B$10,0)+IF(A130='Prepay vs Invest'!$B$9,'Prepay vs Invest'!$B$8,0)-O130-P130),0)</f>
        <v>0</v>
      </c>
      <c r="T130">
        <f>R130*(1+MAX(0,'Prepay vs Invest'!$B$13-'Prepay vs Invest'!$B$14)/1200)+S130</f>
        <v>0</v>
      </c>
      <c r="U130">
        <f t="shared" si="28"/>
        <v>0</v>
      </c>
      <c r="V130">
        <f>MAX(0,(T130-U130-'Prepay vs Invest'!$B$16)*'Prepay vs Invest'!$B$15/100)</f>
        <v>0</v>
      </c>
      <c r="W130">
        <f t="shared" si="20"/>
        <v>0</v>
      </c>
      <c r="X130">
        <f t="shared" si="29"/>
        <v>5148434.2622302221</v>
      </c>
      <c r="Y130">
        <f>IF(X130&gt;0,X130*'Prepay vs Invest'!$B$6/1200,0)</f>
        <v>32177.714138938889</v>
      </c>
      <c r="Z130">
        <f>IF(X130&gt;0,MIN(-PMT('Prepay vs Invest'!$B$6/1200,'Prepay vs Invest'!$B$7*12-A130+1,X130),X130+Y130),0)</f>
        <v>64056.700907189472</v>
      </c>
      <c r="AA130">
        <f>MIN(MAX(0,X130+Y130-Z130),IF(AND(A130&gt;='Prepay vs Invest'!$B$11,A130&lt;='Prepay vs Invest'!$B$12),'Prepay vs Invest'!$B$10,0)+IF(A130='Prepay vs Invest'!$B$9,'Prepay vs Invest'!$B$8,0))</f>
        <v>10000</v>
      </c>
      <c r="AB130">
        <f t="shared" si="21"/>
        <v>5106555.2754619718</v>
      </c>
      <c r="AC130">
        <f t="shared" si="30"/>
        <v>1991664.9324307479</v>
      </c>
      <c r="AD130">
        <f>IF(A130&lt;='Prepay vs Invest'!$B$7*12,MAX(0,'Prepay vs Invest'!$E$5+IF(AND(A130&gt;='Prepay vs Invest'!$B$11,A130&lt;='Prepay vs Invest'!$B$12),'Prepay vs Invest'!$B$10,0)+IF(A130='Prepay vs Invest'!$B$9,'Prepay vs Invest'!$B$8,0)-Z130-AA130),0)</f>
        <v>16502.618447991248</v>
      </c>
      <c r="AE130">
        <f>AC130*(1+MAX(0,'Prepay vs Invest'!$B$13-'Prepay vs Invest'!$B$14)/1200)+AD130</f>
        <v>2027254.3398145337</v>
      </c>
      <c r="AF130">
        <f t="shared" si="31"/>
        <v>1224143.9195229507</v>
      </c>
      <c r="AG130">
        <f>MAX(0,(AE130-AF130-'Prepay vs Invest'!$B$16)*'Prepay vs Invest'!$B$15/100)</f>
        <v>84763.802536447882</v>
      </c>
      <c r="AH130">
        <f t="shared" si="22"/>
        <v>1942490.5372780859</v>
      </c>
    </row>
    <row r="131" spans="1:34" x14ac:dyDescent="0.35">
      <c r="A131">
        <f t="shared" si="23"/>
        <v>130</v>
      </c>
      <c r="B131">
        <f>IF(A131&lt;='Prepay vs Invest'!$B$7*12,F130,0)</f>
        <v>6434708.6970898937</v>
      </c>
      <c r="C131">
        <f>IF(B131&gt;0,B131*'Prepay vs Invest'!$B$6/1200,0)</f>
        <v>40216.929356811837</v>
      </c>
      <c r="D131">
        <f>IF(B131&gt;0,MIN(-PMT('Prepay vs Invest'!$B$6/1200,'Prepay vs Invest'!$B$7*12,'Prepay vs Invest'!$B$5),B131+C131),0)</f>
        <v>80559.31935518072</v>
      </c>
      <c r="E131">
        <f t="shared" ref="E131:E194" si="32">MAX(0,D131-C131)</f>
        <v>40342.389998368883</v>
      </c>
      <c r="F131">
        <f t="shared" ref="F131:F194" si="33">MAX(0,B131+C131-D131)</f>
        <v>6394366.3070915248</v>
      </c>
      <c r="G131">
        <f t="shared" si="24"/>
        <v>4053974.1069406676</v>
      </c>
      <c r="H131">
        <f>IF(A131&lt;='Prepay vs Invest'!$B$7*12,IF(AND(A131&gt;='Prepay vs Invest'!$B$11,A131&lt;='Prepay vs Invest'!$B$12),'Prepay vs Invest'!$B$10,0)+IF(A131='Prepay vs Invest'!$B$9,'Prepay vs Invest'!$B$8,0),0)</f>
        <v>10000</v>
      </c>
      <c r="I131">
        <f>G131*(1+MAX(0,'Prepay vs Invest'!$B$13-'Prepay vs Invest'!$B$14)/1200)+H131</f>
        <v>4102824.692132182</v>
      </c>
      <c r="J131">
        <f t="shared" si="25"/>
        <v>1800000</v>
      </c>
      <c r="K131">
        <f>MAX(0,(I131-J131-'Prepay vs Invest'!$B$16)*'Prepay vs Invest'!$B$15/100)</f>
        <v>272228.08651652274</v>
      </c>
      <c r="L131">
        <f t="shared" ref="L131:L194" si="34">I131-K131</f>
        <v>3830596.6056156592</v>
      </c>
      <c r="M131">
        <f t="shared" si="26"/>
        <v>3424020.6930821119</v>
      </c>
      <c r="N131">
        <f>IF(M131&gt;0,M131*'Prepay vs Invest'!$B$6/1200,0)</f>
        <v>21400.129331763201</v>
      </c>
      <c r="O131">
        <f>IF(M131&gt;0,MIN('Prepay vs Invest'!$E$5,M131+N131),0)</f>
        <v>80559.31935518072</v>
      </c>
      <c r="P131">
        <f>MIN(MAX(0,M131+N131-O131),IF(AND(A131&gt;='Prepay vs Invest'!$B$11,A131&lt;='Prepay vs Invest'!$B$12),'Prepay vs Invest'!$B$10,0)+IF(A131='Prepay vs Invest'!$B$9,'Prepay vs Invest'!$B$8,0))</f>
        <v>10000</v>
      </c>
      <c r="Q131">
        <f t="shared" ref="Q131:Q194" si="35">MAX(0,M131+N131-O131-P131)</f>
        <v>3354861.5030586943</v>
      </c>
      <c r="R131">
        <f t="shared" si="27"/>
        <v>0</v>
      </c>
      <c r="S131">
        <f>IF(A131&lt;='Prepay vs Invest'!$B$7*12,MAX(0,'Prepay vs Invest'!$E$5+IF(AND(A131&gt;='Prepay vs Invest'!$B$11,A131&lt;='Prepay vs Invest'!$B$12),'Prepay vs Invest'!$B$10,0)+IF(A131='Prepay vs Invest'!$B$9,'Prepay vs Invest'!$B$8,0)-O131-P131),0)</f>
        <v>0</v>
      </c>
      <c r="T131">
        <f>R131*(1+MAX(0,'Prepay vs Invest'!$B$13-'Prepay vs Invest'!$B$14)/1200)+S131</f>
        <v>0</v>
      </c>
      <c r="U131">
        <f t="shared" si="28"/>
        <v>0</v>
      </c>
      <c r="V131">
        <f>MAX(0,(T131-U131-'Prepay vs Invest'!$B$16)*'Prepay vs Invest'!$B$15/100)</f>
        <v>0</v>
      </c>
      <c r="W131">
        <f t="shared" ref="W131:W194" si="36">T131-V131</f>
        <v>0</v>
      </c>
      <c r="X131">
        <f t="shared" si="29"/>
        <v>5106555.2754619718</v>
      </c>
      <c r="Y131">
        <f>IF(X131&gt;0,X131*'Prepay vs Invest'!$B$6/1200,0)</f>
        <v>31915.970471637323</v>
      </c>
      <c r="Z131">
        <f>IF(X131&gt;0,MIN(-PMT('Prepay vs Invest'!$B$6/1200,'Prepay vs Invest'!$B$7*12-A131+1,X131),X131+Y131),0)</f>
        <v>63931.505932331311</v>
      </c>
      <c r="AA131">
        <f>MIN(MAX(0,X131+Y131-Z131),IF(AND(A131&gt;='Prepay vs Invest'!$B$11,A131&lt;='Prepay vs Invest'!$B$12),'Prepay vs Invest'!$B$10,0)+IF(A131='Prepay vs Invest'!$B$9,'Prepay vs Invest'!$B$8,0))</f>
        <v>10000</v>
      </c>
      <c r="AB131">
        <f t="shared" ref="AB131:AB194" si="37">MAX(0,X131+Y131-Z131-AA131)</f>
        <v>5064539.740001278</v>
      </c>
      <c r="AC131">
        <f t="shared" si="30"/>
        <v>2027254.3398145337</v>
      </c>
      <c r="AD131">
        <f>IF(A131&lt;='Prepay vs Invest'!$B$7*12,MAX(0,'Prepay vs Invest'!$E$5+IF(AND(A131&gt;='Prepay vs Invest'!$B$11,A131&lt;='Prepay vs Invest'!$B$12),'Prepay vs Invest'!$B$10,0)+IF(A131='Prepay vs Invest'!$B$9,'Prepay vs Invest'!$B$8,0)-Z131-AA131),0)</f>
        <v>16627.813422849409</v>
      </c>
      <c r="AE131">
        <f>AC131*(1+MAX(0,'Prepay vs Invest'!$B$13-'Prepay vs Invest'!$B$14)/1200)+AD131</f>
        <v>2063310.0073272723</v>
      </c>
      <c r="AF131">
        <f t="shared" si="31"/>
        <v>1240771.7329458001</v>
      </c>
      <c r="AG131">
        <f>MAX(0,(AE131-AF131-'Prepay vs Invest'!$B$16)*'Prepay vs Invest'!$B$15/100)</f>
        <v>87192.284297684033</v>
      </c>
      <c r="AH131">
        <f t="shared" ref="AH131:AH194" si="38">AE131-AG131</f>
        <v>1976117.7230295883</v>
      </c>
    </row>
    <row r="132" spans="1:34" x14ac:dyDescent="0.35">
      <c r="A132">
        <f t="shared" ref="A132:A195" si="39">A131+1</f>
        <v>131</v>
      </c>
      <c r="B132">
        <f>IF(A132&lt;='Prepay vs Invest'!$B$7*12,F131,0)</f>
        <v>6394366.3070915248</v>
      </c>
      <c r="C132">
        <f>IF(B132&gt;0,B132*'Prepay vs Invest'!$B$6/1200,0)</f>
        <v>39964.789419322035</v>
      </c>
      <c r="D132">
        <f>IF(B132&gt;0,MIN(-PMT('Prepay vs Invest'!$B$6/1200,'Prepay vs Invest'!$B$7*12,'Prepay vs Invest'!$B$5),B132+C132),0)</f>
        <v>80559.31935518072</v>
      </c>
      <c r="E132">
        <f t="shared" si="32"/>
        <v>40594.529935858685</v>
      </c>
      <c r="F132">
        <f t="shared" si="33"/>
        <v>6353771.7771556666</v>
      </c>
      <c r="G132">
        <f t="shared" ref="G132:G195" si="40">I131</f>
        <v>4102824.692132182</v>
      </c>
      <c r="H132">
        <f>IF(A132&lt;='Prepay vs Invest'!$B$7*12,IF(AND(A132&gt;='Prepay vs Invest'!$B$11,A132&lt;='Prepay vs Invest'!$B$12),'Prepay vs Invest'!$B$10,0)+IF(A132='Prepay vs Invest'!$B$9,'Prepay vs Invest'!$B$8,0),0)</f>
        <v>10000</v>
      </c>
      <c r="I132">
        <f>G132*(1+MAX(0,'Prepay vs Invest'!$B$13-'Prepay vs Invest'!$B$14)/1200)+H132</f>
        <v>4152143.4287651153</v>
      </c>
      <c r="J132">
        <f t="shared" ref="J132:J195" si="41">J131+H132</f>
        <v>1810000</v>
      </c>
      <c r="K132">
        <f>MAX(0,(I132-J132-'Prepay vs Invest'!$B$16)*'Prepay vs Invest'!$B$15/100)</f>
        <v>277142.92859563942</v>
      </c>
      <c r="L132">
        <f t="shared" si="34"/>
        <v>3875000.500169476</v>
      </c>
      <c r="M132">
        <f t="shared" ref="M132:M195" si="42">Q131</f>
        <v>3354861.5030586943</v>
      </c>
      <c r="N132">
        <f>IF(M132&gt;0,M132*'Prepay vs Invest'!$B$6/1200,0)</f>
        <v>20967.884394116838</v>
      </c>
      <c r="O132">
        <f>IF(M132&gt;0,MIN('Prepay vs Invest'!$E$5,M132+N132),0)</f>
        <v>80559.31935518072</v>
      </c>
      <c r="P132">
        <f>MIN(MAX(0,M132+N132-O132),IF(AND(A132&gt;='Prepay vs Invest'!$B$11,A132&lt;='Prepay vs Invest'!$B$12),'Prepay vs Invest'!$B$10,0)+IF(A132='Prepay vs Invest'!$B$9,'Prepay vs Invest'!$B$8,0))</f>
        <v>10000</v>
      </c>
      <c r="Q132">
        <f t="shared" si="35"/>
        <v>3285270.0680976305</v>
      </c>
      <c r="R132">
        <f t="shared" ref="R132:R195" si="43">T131</f>
        <v>0</v>
      </c>
      <c r="S132">
        <f>IF(A132&lt;='Prepay vs Invest'!$B$7*12,MAX(0,'Prepay vs Invest'!$E$5+IF(AND(A132&gt;='Prepay vs Invest'!$B$11,A132&lt;='Prepay vs Invest'!$B$12),'Prepay vs Invest'!$B$10,0)+IF(A132='Prepay vs Invest'!$B$9,'Prepay vs Invest'!$B$8,0)-O132-P132),0)</f>
        <v>0</v>
      </c>
      <c r="T132">
        <f>R132*(1+MAX(0,'Prepay vs Invest'!$B$13-'Prepay vs Invest'!$B$14)/1200)+S132</f>
        <v>0</v>
      </c>
      <c r="U132">
        <f t="shared" ref="U132:U195" si="44">U131+S132</f>
        <v>0</v>
      </c>
      <c r="V132">
        <f>MAX(0,(T132-U132-'Prepay vs Invest'!$B$16)*'Prepay vs Invest'!$B$15/100)</f>
        <v>0</v>
      </c>
      <c r="W132">
        <f t="shared" si="36"/>
        <v>0</v>
      </c>
      <c r="X132">
        <f t="shared" ref="X132:X195" si="45">AB131</f>
        <v>5064539.740001278</v>
      </c>
      <c r="Y132">
        <f>IF(X132&gt;0,X132*'Prepay vs Invest'!$B$6/1200,0)</f>
        <v>31653.373375007988</v>
      </c>
      <c r="Z132">
        <f>IF(X132&gt;0,MIN(-PMT('Prepay vs Invest'!$B$6/1200,'Prepay vs Invest'!$B$7*12-A132+1,X132),X132+Y132),0)</f>
        <v>63805.521095857635</v>
      </c>
      <c r="AA132">
        <f>MIN(MAX(0,X132+Y132-Z132),IF(AND(A132&gt;='Prepay vs Invest'!$B$11,A132&lt;='Prepay vs Invest'!$B$12),'Prepay vs Invest'!$B$10,0)+IF(A132='Prepay vs Invest'!$B$9,'Prepay vs Invest'!$B$8,0))</f>
        <v>10000</v>
      </c>
      <c r="AB132">
        <f t="shared" si="37"/>
        <v>5022387.5922804279</v>
      </c>
      <c r="AC132">
        <f t="shared" ref="AC132:AC195" si="46">AE131</f>
        <v>2063310.0073272723</v>
      </c>
      <c r="AD132">
        <f>IF(A132&lt;='Prepay vs Invest'!$B$7*12,MAX(0,'Prepay vs Invest'!$E$5+IF(AND(A132&gt;='Prepay vs Invest'!$B$11,A132&lt;='Prepay vs Invest'!$B$12),'Prepay vs Invest'!$B$10,0)+IF(A132='Prepay vs Invest'!$B$9,'Prepay vs Invest'!$B$8,0)-Z132-AA132),0)</f>
        <v>16753.798259323084</v>
      </c>
      <c r="AE132">
        <f>AC132*(1+MAX(0,'Prepay vs Invest'!$B$13-'Prepay vs Invest'!$B$14)/1200)+AD132</f>
        <v>2099837.1931568151</v>
      </c>
      <c r="AF132">
        <f t="shared" ref="AF132:AF195" si="47">AF131+AD132</f>
        <v>1257525.5312051231</v>
      </c>
      <c r="AG132">
        <f>MAX(0,(AE132-AF132-'Prepay vs Invest'!$B$16)*'Prepay vs Invest'!$B$15/100)</f>
        <v>89663.95774396151</v>
      </c>
      <c r="AH132">
        <f t="shared" si="38"/>
        <v>2010173.2354128535</v>
      </c>
    </row>
    <row r="133" spans="1:34" x14ac:dyDescent="0.35">
      <c r="A133">
        <f t="shared" si="39"/>
        <v>132</v>
      </c>
      <c r="B133">
        <f>IF(A133&lt;='Prepay vs Invest'!$B$7*12,F132,0)</f>
        <v>6353771.7771556666</v>
      </c>
      <c r="C133">
        <f>IF(B133&gt;0,B133*'Prepay vs Invest'!$B$6/1200,0)</f>
        <v>39711.073607222919</v>
      </c>
      <c r="D133">
        <f>IF(B133&gt;0,MIN(-PMT('Prepay vs Invest'!$B$6/1200,'Prepay vs Invest'!$B$7*12,'Prepay vs Invest'!$B$5),B133+C133),0)</f>
        <v>80559.31935518072</v>
      </c>
      <c r="E133">
        <f t="shared" si="32"/>
        <v>40848.245747957801</v>
      </c>
      <c r="F133">
        <f t="shared" si="33"/>
        <v>6312923.5314077092</v>
      </c>
      <c r="G133">
        <f t="shared" si="40"/>
        <v>4152143.4287651153</v>
      </c>
      <c r="H133">
        <f>IF(A133&lt;='Prepay vs Invest'!$B$7*12,IF(AND(A133&gt;='Prepay vs Invest'!$B$11,A133&lt;='Prepay vs Invest'!$B$12),'Prepay vs Invest'!$B$10,0)+IF(A133='Prepay vs Invest'!$B$9,'Prepay vs Invest'!$B$8,0),0)</f>
        <v>10000</v>
      </c>
      <c r="I133">
        <f>G133*(1+MAX(0,'Prepay vs Invest'!$B$13-'Prepay vs Invest'!$B$14)/1200)+H133</f>
        <v>4201934.8032907806</v>
      </c>
      <c r="J133">
        <f t="shared" si="41"/>
        <v>1820000</v>
      </c>
      <c r="K133">
        <f>MAX(0,(I133-J133-'Prepay vs Invest'!$B$16)*'Prepay vs Invest'!$B$15/100)</f>
        <v>282116.85041134758</v>
      </c>
      <c r="L133">
        <f t="shared" si="34"/>
        <v>3919817.9528794331</v>
      </c>
      <c r="M133">
        <f t="shared" si="42"/>
        <v>3285270.0680976305</v>
      </c>
      <c r="N133">
        <f>IF(M133&gt;0,M133*'Prepay vs Invest'!$B$6/1200,0)</f>
        <v>20532.937925610193</v>
      </c>
      <c r="O133">
        <f>IF(M133&gt;0,MIN('Prepay vs Invest'!$E$5,M133+N133),0)</f>
        <v>80559.31935518072</v>
      </c>
      <c r="P133">
        <f>MIN(MAX(0,M133+N133-O133),IF(AND(A133&gt;='Prepay vs Invest'!$B$11,A133&lt;='Prepay vs Invest'!$B$12),'Prepay vs Invest'!$B$10,0)+IF(A133='Prepay vs Invest'!$B$9,'Prepay vs Invest'!$B$8,0))</f>
        <v>10000</v>
      </c>
      <c r="Q133">
        <f t="shared" si="35"/>
        <v>3215243.6866680598</v>
      </c>
      <c r="R133">
        <f t="shared" si="43"/>
        <v>0</v>
      </c>
      <c r="S133">
        <f>IF(A133&lt;='Prepay vs Invest'!$B$7*12,MAX(0,'Prepay vs Invest'!$E$5+IF(AND(A133&gt;='Prepay vs Invest'!$B$11,A133&lt;='Prepay vs Invest'!$B$12),'Prepay vs Invest'!$B$10,0)+IF(A133='Prepay vs Invest'!$B$9,'Prepay vs Invest'!$B$8,0)-O133-P133),0)</f>
        <v>0</v>
      </c>
      <c r="T133">
        <f>R133*(1+MAX(0,'Prepay vs Invest'!$B$13-'Prepay vs Invest'!$B$14)/1200)+S133</f>
        <v>0</v>
      </c>
      <c r="U133">
        <f t="shared" si="44"/>
        <v>0</v>
      </c>
      <c r="V133">
        <f>MAX(0,(T133-U133-'Prepay vs Invest'!$B$16)*'Prepay vs Invest'!$B$15/100)</f>
        <v>0</v>
      </c>
      <c r="W133">
        <f t="shared" si="36"/>
        <v>0</v>
      </c>
      <c r="X133">
        <f t="shared" si="45"/>
        <v>5022387.5922804279</v>
      </c>
      <c r="Y133">
        <f>IF(X133&gt;0,X133*'Prepay vs Invest'!$B$6/1200,0)</f>
        <v>31389.922451752671</v>
      </c>
      <c r="Z133">
        <f>IF(X133&gt;0,MIN(-PMT('Prepay vs Invest'!$B$6/1200,'Prepay vs Invest'!$B$7*12-A133+1,X133),X133+Y133),0)</f>
        <v>63678.73133667108</v>
      </c>
      <c r="AA133">
        <f>MIN(MAX(0,X133+Y133-Z133),IF(AND(A133&gt;='Prepay vs Invest'!$B$11,A133&lt;='Prepay vs Invest'!$B$12),'Prepay vs Invest'!$B$10,0)+IF(A133='Prepay vs Invest'!$B$9,'Prepay vs Invest'!$B$8,0))</f>
        <v>10000</v>
      </c>
      <c r="AB133">
        <f t="shared" si="37"/>
        <v>4980098.7833955092</v>
      </c>
      <c r="AC133">
        <f t="shared" si="46"/>
        <v>2099837.1931568151</v>
      </c>
      <c r="AD133">
        <f>IF(A133&lt;='Prepay vs Invest'!$B$7*12,MAX(0,'Prepay vs Invest'!$E$5+IF(AND(A133&gt;='Prepay vs Invest'!$B$11,A133&lt;='Prepay vs Invest'!$B$12),'Prepay vs Invest'!$B$10,0)+IF(A133='Prepay vs Invest'!$B$9,'Prepay vs Invest'!$B$8,0)-Z133-AA133),0)</f>
        <v>16880.588018509639</v>
      </c>
      <c r="AE133">
        <f>AC133*(1+MAX(0,'Prepay vs Invest'!$B$13-'Prepay vs Invest'!$B$14)/1200)+AD133</f>
        <v>2136841.2209430775</v>
      </c>
      <c r="AF133">
        <f t="shared" si="47"/>
        <v>1274406.1192236326</v>
      </c>
      <c r="AG133">
        <f>MAX(0,(AE133-AF133-'Prepay vs Invest'!$B$16)*'Prepay vs Invest'!$B$15/100)</f>
        <v>92179.387714930606</v>
      </c>
      <c r="AH133">
        <f t="shared" si="38"/>
        <v>2044661.8332281469</v>
      </c>
    </row>
    <row r="134" spans="1:34" x14ac:dyDescent="0.35">
      <c r="A134">
        <f t="shared" si="39"/>
        <v>133</v>
      </c>
      <c r="B134">
        <f>IF(A134&lt;='Prepay vs Invest'!$B$7*12,F133,0)</f>
        <v>6312923.5314077092</v>
      </c>
      <c r="C134">
        <f>IF(B134&gt;0,B134*'Prepay vs Invest'!$B$6/1200,0)</f>
        <v>39455.772071298183</v>
      </c>
      <c r="D134">
        <f>IF(B134&gt;0,MIN(-PMT('Prepay vs Invest'!$B$6/1200,'Prepay vs Invest'!$B$7*12,'Prepay vs Invest'!$B$5),B134+C134),0)</f>
        <v>80559.31935518072</v>
      </c>
      <c r="E134">
        <f t="shared" si="32"/>
        <v>41103.547283882537</v>
      </c>
      <c r="F134">
        <f t="shared" si="33"/>
        <v>6271819.984123827</v>
      </c>
      <c r="G134">
        <f t="shared" si="40"/>
        <v>4201934.8032907806</v>
      </c>
      <c r="H134">
        <f>IF(A134&lt;='Prepay vs Invest'!$B$7*12,IF(AND(A134&gt;='Prepay vs Invest'!$B$11,A134&lt;='Prepay vs Invest'!$B$12),'Prepay vs Invest'!$B$10,0)+IF(A134='Prepay vs Invest'!$B$9,'Prepay vs Invest'!$B$8,0),0)</f>
        <v>10000</v>
      </c>
      <c r="I134">
        <f>G134*(1+MAX(0,'Prepay vs Invest'!$B$13-'Prepay vs Invest'!$B$14)/1200)+H134</f>
        <v>4252203.3451556507</v>
      </c>
      <c r="J134">
        <f t="shared" si="41"/>
        <v>1830000</v>
      </c>
      <c r="K134">
        <f>MAX(0,(I134-J134-'Prepay vs Invest'!$B$16)*'Prepay vs Invest'!$B$15/100)</f>
        <v>287150.41814445634</v>
      </c>
      <c r="L134">
        <f t="shared" si="34"/>
        <v>3965052.9270111946</v>
      </c>
      <c r="M134">
        <f t="shared" si="42"/>
        <v>3215243.6866680598</v>
      </c>
      <c r="N134">
        <f>IF(M134&gt;0,M134*'Prepay vs Invest'!$B$6/1200,0)</f>
        <v>20095.273041675373</v>
      </c>
      <c r="O134">
        <f>IF(M134&gt;0,MIN('Prepay vs Invest'!$E$5,M134+N134),0)</f>
        <v>80559.31935518072</v>
      </c>
      <c r="P134">
        <f>MIN(MAX(0,M134+N134-O134),IF(AND(A134&gt;='Prepay vs Invest'!$B$11,A134&lt;='Prepay vs Invest'!$B$12),'Prepay vs Invest'!$B$10,0)+IF(A134='Prepay vs Invest'!$B$9,'Prepay vs Invest'!$B$8,0))</f>
        <v>10000</v>
      </c>
      <c r="Q134">
        <f t="shared" si="35"/>
        <v>3144779.6403545542</v>
      </c>
      <c r="R134">
        <f t="shared" si="43"/>
        <v>0</v>
      </c>
      <c r="S134">
        <f>IF(A134&lt;='Prepay vs Invest'!$B$7*12,MAX(0,'Prepay vs Invest'!$E$5+IF(AND(A134&gt;='Prepay vs Invest'!$B$11,A134&lt;='Prepay vs Invest'!$B$12),'Prepay vs Invest'!$B$10,0)+IF(A134='Prepay vs Invest'!$B$9,'Prepay vs Invest'!$B$8,0)-O134-P134),0)</f>
        <v>0</v>
      </c>
      <c r="T134">
        <f>R134*(1+MAX(0,'Prepay vs Invest'!$B$13-'Prepay vs Invest'!$B$14)/1200)+S134</f>
        <v>0</v>
      </c>
      <c r="U134">
        <f t="shared" si="44"/>
        <v>0</v>
      </c>
      <c r="V134">
        <f>MAX(0,(T134-U134-'Prepay vs Invest'!$B$16)*'Prepay vs Invest'!$B$15/100)</f>
        <v>0</v>
      </c>
      <c r="W134">
        <f t="shared" si="36"/>
        <v>0</v>
      </c>
      <c r="X134">
        <f t="shared" si="45"/>
        <v>4980098.7833955092</v>
      </c>
      <c r="Y134">
        <f>IF(X134&gt;0,X134*'Prepay vs Invest'!$B$6/1200,0)</f>
        <v>31125.617396221929</v>
      </c>
      <c r="Z134">
        <f>IF(X134&gt;0,MIN(-PMT('Prepay vs Invest'!$B$6/1200,'Prepay vs Invest'!$B$7*12-A134+1,X134),X134+Y134),0)</f>
        <v>63551.121174827043</v>
      </c>
      <c r="AA134">
        <f>MIN(MAX(0,X134+Y134-Z134),IF(AND(A134&gt;='Prepay vs Invest'!$B$11,A134&lt;='Prepay vs Invest'!$B$12),'Prepay vs Invest'!$B$10,0)+IF(A134='Prepay vs Invest'!$B$9,'Prepay vs Invest'!$B$8,0))</f>
        <v>10000</v>
      </c>
      <c r="AB134">
        <f t="shared" si="37"/>
        <v>4937673.2796169035</v>
      </c>
      <c r="AC134">
        <f t="shared" si="46"/>
        <v>2136841.2209430775</v>
      </c>
      <c r="AD134">
        <f>IF(A134&lt;='Prepay vs Invest'!$B$7*12,MAX(0,'Prepay vs Invest'!$E$5+IF(AND(A134&gt;='Prepay vs Invest'!$B$11,A134&lt;='Prepay vs Invest'!$B$12),'Prepay vs Invest'!$B$10,0)+IF(A134='Prepay vs Invest'!$B$9,'Prepay vs Invest'!$B$8,0)-Z134-AA134),0)</f>
        <v>17008.198180353676</v>
      </c>
      <c r="AE134">
        <f>AC134*(1+MAX(0,'Prepay vs Invest'!$B$13-'Prepay vs Invest'!$B$14)/1200)+AD134</f>
        <v>2174327.4808241357</v>
      </c>
      <c r="AF134">
        <f t="shared" si="47"/>
        <v>1291414.3174039864</v>
      </c>
      <c r="AG134">
        <f>MAX(0,(AE134-AF134-'Prepay vs Invest'!$B$16)*'Prepay vs Invest'!$B$15/100)</f>
        <v>94739.14542751867</v>
      </c>
      <c r="AH134">
        <f t="shared" si="38"/>
        <v>2079588.335396617</v>
      </c>
    </row>
    <row r="135" spans="1:34" x14ac:dyDescent="0.35">
      <c r="A135">
        <f t="shared" si="39"/>
        <v>134</v>
      </c>
      <c r="B135">
        <f>IF(A135&lt;='Prepay vs Invest'!$B$7*12,F134,0)</f>
        <v>6271819.984123827</v>
      </c>
      <c r="C135">
        <f>IF(B135&gt;0,B135*'Prepay vs Invest'!$B$6/1200,0)</f>
        <v>39198.874900773917</v>
      </c>
      <c r="D135">
        <f>IF(B135&gt;0,MIN(-PMT('Prepay vs Invest'!$B$6/1200,'Prepay vs Invest'!$B$7*12,'Prepay vs Invest'!$B$5),B135+C135),0)</f>
        <v>80559.31935518072</v>
      </c>
      <c r="E135">
        <f t="shared" si="32"/>
        <v>41360.444454406803</v>
      </c>
      <c r="F135">
        <f t="shared" si="33"/>
        <v>6230459.5396694206</v>
      </c>
      <c r="G135">
        <f t="shared" si="40"/>
        <v>4252203.3451556507</v>
      </c>
      <c r="H135">
        <f>IF(A135&lt;='Prepay vs Invest'!$B$7*12,IF(AND(A135&gt;='Prepay vs Invest'!$B$11,A135&lt;='Prepay vs Invest'!$B$12),'Prepay vs Invest'!$B$10,0)+IF(A135='Prepay vs Invest'!$B$9,'Prepay vs Invest'!$B$8,0),0)</f>
        <v>10000</v>
      </c>
      <c r="I135">
        <f>G135*(1+MAX(0,'Prepay vs Invest'!$B$13-'Prepay vs Invest'!$B$14)/1200)+H135</f>
        <v>4302953.6272133924</v>
      </c>
      <c r="J135">
        <f t="shared" si="41"/>
        <v>1840000</v>
      </c>
      <c r="K135">
        <f>MAX(0,(I135-J135-'Prepay vs Invest'!$B$16)*'Prepay vs Invest'!$B$15/100)</f>
        <v>292244.20340167405</v>
      </c>
      <c r="L135">
        <f t="shared" si="34"/>
        <v>4010709.4238117184</v>
      </c>
      <c r="M135">
        <f t="shared" si="42"/>
        <v>3144779.6403545542</v>
      </c>
      <c r="N135">
        <f>IF(M135&gt;0,M135*'Prepay vs Invest'!$B$6/1200,0)</f>
        <v>19654.872752215964</v>
      </c>
      <c r="O135">
        <f>IF(M135&gt;0,MIN('Prepay vs Invest'!$E$5,M135+N135),0)</f>
        <v>80559.31935518072</v>
      </c>
      <c r="P135">
        <f>MIN(MAX(0,M135+N135-O135),IF(AND(A135&gt;='Prepay vs Invest'!$B$11,A135&lt;='Prepay vs Invest'!$B$12),'Prepay vs Invest'!$B$10,0)+IF(A135='Prepay vs Invest'!$B$9,'Prepay vs Invest'!$B$8,0))</f>
        <v>10000</v>
      </c>
      <c r="Q135">
        <f t="shared" si="35"/>
        <v>3073875.1937515894</v>
      </c>
      <c r="R135">
        <f t="shared" si="43"/>
        <v>0</v>
      </c>
      <c r="S135">
        <f>IF(A135&lt;='Prepay vs Invest'!$B$7*12,MAX(0,'Prepay vs Invest'!$E$5+IF(AND(A135&gt;='Prepay vs Invest'!$B$11,A135&lt;='Prepay vs Invest'!$B$12),'Prepay vs Invest'!$B$10,0)+IF(A135='Prepay vs Invest'!$B$9,'Prepay vs Invest'!$B$8,0)-O135-P135),0)</f>
        <v>0</v>
      </c>
      <c r="T135">
        <f>R135*(1+MAX(0,'Prepay vs Invest'!$B$13-'Prepay vs Invest'!$B$14)/1200)+S135</f>
        <v>0</v>
      </c>
      <c r="U135">
        <f t="shared" si="44"/>
        <v>0</v>
      </c>
      <c r="V135">
        <f>MAX(0,(T135-U135-'Prepay vs Invest'!$B$16)*'Prepay vs Invest'!$B$15/100)</f>
        <v>0</v>
      </c>
      <c r="W135">
        <f t="shared" si="36"/>
        <v>0</v>
      </c>
      <c r="X135">
        <f t="shared" si="45"/>
        <v>4937673.2796169035</v>
      </c>
      <c r="Y135">
        <f>IF(X135&gt;0,X135*'Prepay vs Invest'!$B$6/1200,0)</f>
        <v>30860.457997605645</v>
      </c>
      <c r="Z135">
        <f>IF(X135&gt;0,MIN(-PMT('Prepay vs Invest'!$B$6/1200,'Prepay vs Invest'!$B$7*12-A135+1,X135),X135+Y135),0)</f>
        <v>63422.674695879796</v>
      </c>
      <c r="AA135">
        <f>MIN(MAX(0,X135+Y135-Z135),IF(AND(A135&gt;='Prepay vs Invest'!$B$11,A135&lt;='Prepay vs Invest'!$B$12),'Prepay vs Invest'!$B$10,0)+IF(A135='Prepay vs Invest'!$B$9,'Prepay vs Invest'!$B$8,0))</f>
        <v>10000</v>
      </c>
      <c r="AB135">
        <f t="shared" si="37"/>
        <v>4895111.0629186286</v>
      </c>
      <c r="AC135">
        <f t="shared" si="46"/>
        <v>2174327.4808241357</v>
      </c>
      <c r="AD135">
        <f>IF(A135&lt;='Prepay vs Invest'!$B$7*12,MAX(0,'Prepay vs Invest'!$E$5+IF(AND(A135&gt;='Prepay vs Invest'!$B$11,A135&lt;='Prepay vs Invest'!$B$12),'Prepay vs Invest'!$B$10,0)+IF(A135='Prepay vs Invest'!$B$9,'Prepay vs Invest'!$B$8,0)-Z135-AA135),0)</f>
        <v>17136.644659300924</v>
      </c>
      <c r="AE135">
        <f>AC135*(1+MAX(0,'Prepay vs Invest'!$B$13-'Prepay vs Invest'!$B$14)/1200)+AD135</f>
        <v>2212301.4305080012</v>
      </c>
      <c r="AF135">
        <f t="shared" si="47"/>
        <v>1308550.9620632874</v>
      </c>
      <c r="AG135">
        <f>MAX(0,(AE135-AF135-'Prepay vs Invest'!$B$16)*'Prepay vs Invest'!$B$15/100)</f>
        <v>97343.808555589232</v>
      </c>
      <c r="AH135">
        <f t="shared" si="38"/>
        <v>2114957.6219524122</v>
      </c>
    </row>
    <row r="136" spans="1:34" x14ac:dyDescent="0.35">
      <c r="A136">
        <f t="shared" si="39"/>
        <v>135</v>
      </c>
      <c r="B136">
        <f>IF(A136&lt;='Prepay vs Invest'!$B$7*12,F135,0)</f>
        <v>6230459.5396694206</v>
      </c>
      <c r="C136">
        <f>IF(B136&gt;0,B136*'Prepay vs Invest'!$B$6/1200,0)</f>
        <v>38940.372122933877</v>
      </c>
      <c r="D136">
        <f>IF(B136&gt;0,MIN(-PMT('Prepay vs Invest'!$B$6/1200,'Prepay vs Invest'!$B$7*12,'Prepay vs Invest'!$B$5),B136+C136),0)</f>
        <v>80559.31935518072</v>
      </c>
      <c r="E136">
        <f t="shared" si="32"/>
        <v>41618.947232246843</v>
      </c>
      <c r="F136">
        <f t="shared" si="33"/>
        <v>6188840.5924371742</v>
      </c>
      <c r="G136">
        <f t="shared" si="40"/>
        <v>4302953.6272133924</v>
      </c>
      <c r="H136">
        <f>IF(A136&lt;='Prepay vs Invest'!$B$7*12,IF(AND(A136&gt;='Prepay vs Invest'!$B$11,A136&lt;='Prepay vs Invest'!$B$12),'Prepay vs Invest'!$B$10,0)+IF(A136='Prepay vs Invest'!$B$9,'Prepay vs Invest'!$B$8,0),0)</f>
        <v>10000</v>
      </c>
      <c r="I136">
        <f>G136*(1+MAX(0,'Prepay vs Invest'!$B$13-'Prepay vs Invest'!$B$14)/1200)+H136</f>
        <v>4354190.266140854</v>
      </c>
      <c r="J136">
        <f t="shared" si="41"/>
        <v>1850000</v>
      </c>
      <c r="K136">
        <f>MAX(0,(I136-J136-'Prepay vs Invest'!$B$16)*'Prepay vs Invest'!$B$15/100)</f>
        <v>297398.78326760675</v>
      </c>
      <c r="L136">
        <f t="shared" si="34"/>
        <v>4056791.482873247</v>
      </c>
      <c r="M136">
        <f t="shared" si="42"/>
        <v>3073875.1937515894</v>
      </c>
      <c r="N136">
        <f>IF(M136&gt;0,M136*'Prepay vs Invest'!$B$6/1200,0)</f>
        <v>19211.719960947434</v>
      </c>
      <c r="O136">
        <f>IF(M136&gt;0,MIN('Prepay vs Invest'!$E$5,M136+N136),0)</f>
        <v>80559.31935518072</v>
      </c>
      <c r="P136">
        <f>MIN(MAX(0,M136+N136-O136),IF(AND(A136&gt;='Prepay vs Invest'!$B$11,A136&lt;='Prepay vs Invest'!$B$12),'Prepay vs Invest'!$B$10,0)+IF(A136='Prepay vs Invest'!$B$9,'Prepay vs Invest'!$B$8,0))</f>
        <v>10000</v>
      </c>
      <c r="Q136">
        <f t="shared" si="35"/>
        <v>3002527.5943573564</v>
      </c>
      <c r="R136">
        <f t="shared" si="43"/>
        <v>0</v>
      </c>
      <c r="S136">
        <f>IF(A136&lt;='Prepay vs Invest'!$B$7*12,MAX(0,'Prepay vs Invest'!$E$5+IF(AND(A136&gt;='Prepay vs Invest'!$B$11,A136&lt;='Prepay vs Invest'!$B$12),'Prepay vs Invest'!$B$10,0)+IF(A136='Prepay vs Invest'!$B$9,'Prepay vs Invest'!$B$8,0)-O136-P136),0)</f>
        <v>0</v>
      </c>
      <c r="T136">
        <f>R136*(1+MAX(0,'Prepay vs Invest'!$B$13-'Prepay vs Invest'!$B$14)/1200)+S136</f>
        <v>0</v>
      </c>
      <c r="U136">
        <f t="shared" si="44"/>
        <v>0</v>
      </c>
      <c r="V136">
        <f>MAX(0,(T136-U136-'Prepay vs Invest'!$B$16)*'Prepay vs Invest'!$B$15/100)</f>
        <v>0</v>
      </c>
      <c r="W136">
        <f t="shared" si="36"/>
        <v>0</v>
      </c>
      <c r="X136">
        <f t="shared" si="45"/>
        <v>4895111.0629186286</v>
      </c>
      <c r="Y136">
        <f>IF(X136&gt;0,X136*'Prepay vs Invest'!$B$6/1200,0)</f>
        <v>30594.444143241428</v>
      </c>
      <c r="Z136">
        <f>IF(X136&gt;0,MIN(-PMT('Prepay vs Invest'!$B$6/1200,'Prepay vs Invest'!$B$7*12-A136+1,X136),X136+Y136),0)</f>
        <v>63293.375534490056</v>
      </c>
      <c r="AA136">
        <f>MIN(MAX(0,X136+Y136-Z136),IF(AND(A136&gt;='Prepay vs Invest'!$B$11,A136&lt;='Prepay vs Invest'!$B$12),'Prepay vs Invest'!$B$10,0)+IF(A136='Prepay vs Invest'!$B$9,'Prepay vs Invest'!$B$8,0))</f>
        <v>10000</v>
      </c>
      <c r="AB136">
        <f t="shared" si="37"/>
        <v>4852412.1315273801</v>
      </c>
      <c r="AC136">
        <f t="shared" si="46"/>
        <v>2212301.4305080012</v>
      </c>
      <c r="AD136">
        <f>IF(A136&lt;='Prepay vs Invest'!$B$7*12,MAX(0,'Prepay vs Invest'!$E$5+IF(AND(A136&gt;='Prepay vs Invest'!$B$11,A136&lt;='Prepay vs Invest'!$B$12),'Prepay vs Invest'!$B$10,0)+IF(A136='Prepay vs Invest'!$B$9,'Prepay vs Invest'!$B$8,0)-Z136-AA136),0)</f>
        <v>17265.943820690663</v>
      </c>
      <c r="AE136">
        <f>AC136*(1+MAX(0,'Prepay vs Invest'!$B$13-'Prepay vs Invest'!$B$14)/1200)+AD136</f>
        <v>2250768.5963710602</v>
      </c>
      <c r="AF136">
        <f t="shared" si="47"/>
        <v>1325816.9058839781</v>
      </c>
      <c r="AG136">
        <f>MAX(0,(AE136-AF136-'Prepay vs Invest'!$B$16)*'Prepay vs Invest'!$B$15/100)</f>
        <v>99993.961310885265</v>
      </c>
      <c r="AH136">
        <f t="shared" si="38"/>
        <v>2150774.6350601749</v>
      </c>
    </row>
    <row r="137" spans="1:34" x14ac:dyDescent="0.35">
      <c r="A137">
        <f t="shared" si="39"/>
        <v>136</v>
      </c>
      <c r="B137">
        <f>IF(A137&lt;='Prepay vs Invest'!$B$7*12,F136,0)</f>
        <v>6188840.5924371742</v>
      </c>
      <c r="C137">
        <f>IF(B137&gt;0,B137*'Prepay vs Invest'!$B$6/1200,0)</f>
        <v>38680.253702732334</v>
      </c>
      <c r="D137">
        <f>IF(B137&gt;0,MIN(-PMT('Prepay vs Invest'!$B$6/1200,'Prepay vs Invest'!$B$7*12,'Prepay vs Invest'!$B$5),B137+C137),0)</f>
        <v>80559.31935518072</v>
      </c>
      <c r="E137">
        <f t="shared" si="32"/>
        <v>41879.065652448386</v>
      </c>
      <c r="F137">
        <f t="shared" si="33"/>
        <v>6146961.5267847264</v>
      </c>
      <c r="G137">
        <f t="shared" si="40"/>
        <v>4354190.266140854</v>
      </c>
      <c r="H137">
        <f>IF(A137&lt;='Prepay vs Invest'!$B$7*12,IF(AND(A137&gt;='Prepay vs Invest'!$B$11,A137&lt;='Prepay vs Invest'!$B$12),'Prepay vs Invest'!$B$10,0)+IF(A137='Prepay vs Invest'!$B$9,'Prepay vs Invest'!$B$8,0),0)</f>
        <v>10000</v>
      </c>
      <c r="I137">
        <f>G137*(1+MAX(0,'Prepay vs Invest'!$B$13-'Prepay vs Invest'!$B$14)/1200)+H137</f>
        <v>4405917.9228580371</v>
      </c>
      <c r="J137">
        <f t="shared" si="41"/>
        <v>1860000</v>
      </c>
      <c r="K137">
        <f>MAX(0,(I137-J137-'Prepay vs Invest'!$B$16)*'Prepay vs Invest'!$B$15/100)</f>
        <v>302614.74035725463</v>
      </c>
      <c r="L137">
        <f t="shared" si="34"/>
        <v>4103303.1825007824</v>
      </c>
      <c r="M137">
        <f t="shared" si="42"/>
        <v>3002527.5943573564</v>
      </c>
      <c r="N137">
        <f>IF(M137&gt;0,M137*'Prepay vs Invest'!$B$6/1200,0)</f>
        <v>18765.797464733478</v>
      </c>
      <c r="O137">
        <f>IF(M137&gt;0,MIN('Prepay vs Invest'!$E$5,M137+N137),0)</f>
        <v>80559.31935518072</v>
      </c>
      <c r="P137">
        <f>MIN(MAX(0,M137+N137-O137),IF(AND(A137&gt;='Prepay vs Invest'!$B$11,A137&lt;='Prepay vs Invest'!$B$12),'Prepay vs Invest'!$B$10,0)+IF(A137='Prepay vs Invest'!$B$9,'Prepay vs Invest'!$B$8,0))</f>
        <v>10000</v>
      </c>
      <c r="Q137">
        <f t="shared" si="35"/>
        <v>2930734.072466909</v>
      </c>
      <c r="R137">
        <f t="shared" si="43"/>
        <v>0</v>
      </c>
      <c r="S137">
        <f>IF(A137&lt;='Prepay vs Invest'!$B$7*12,MAX(0,'Prepay vs Invest'!$E$5+IF(AND(A137&gt;='Prepay vs Invest'!$B$11,A137&lt;='Prepay vs Invest'!$B$12),'Prepay vs Invest'!$B$10,0)+IF(A137='Prepay vs Invest'!$B$9,'Prepay vs Invest'!$B$8,0)-O137-P137),0)</f>
        <v>0</v>
      </c>
      <c r="T137">
        <f>R137*(1+MAX(0,'Prepay vs Invest'!$B$13-'Prepay vs Invest'!$B$14)/1200)+S137</f>
        <v>0</v>
      </c>
      <c r="U137">
        <f t="shared" si="44"/>
        <v>0</v>
      </c>
      <c r="V137">
        <f>MAX(0,(T137-U137-'Prepay vs Invest'!$B$16)*'Prepay vs Invest'!$B$15/100)</f>
        <v>0</v>
      </c>
      <c r="W137">
        <f t="shared" si="36"/>
        <v>0</v>
      </c>
      <c r="X137">
        <f t="shared" si="45"/>
        <v>4852412.1315273801</v>
      </c>
      <c r="Y137">
        <f>IF(X137&gt;0,X137*'Prepay vs Invest'!$B$6/1200,0)</f>
        <v>30327.575822046125</v>
      </c>
      <c r="Z137">
        <f>IF(X137&gt;0,MIN(-PMT('Prepay vs Invest'!$B$6/1200,'Prepay vs Invest'!$B$7*12-A137+1,X137),X137+Y137),0)</f>
        <v>63163.206857252473</v>
      </c>
      <c r="AA137">
        <f>MIN(MAX(0,X137+Y137-Z137),IF(AND(A137&gt;='Prepay vs Invest'!$B$11,A137&lt;='Prepay vs Invest'!$B$12),'Prepay vs Invest'!$B$10,0)+IF(A137='Prepay vs Invest'!$B$9,'Prepay vs Invest'!$B$8,0))</f>
        <v>10000</v>
      </c>
      <c r="AB137">
        <f t="shared" si="37"/>
        <v>4809576.5004921732</v>
      </c>
      <c r="AC137">
        <f t="shared" si="46"/>
        <v>2250768.5963710602</v>
      </c>
      <c r="AD137">
        <f>IF(A137&lt;='Prepay vs Invest'!$B$7*12,MAX(0,'Prepay vs Invest'!$E$5+IF(AND(A137&gt;='Prepay vs Invest'!$B$11,A137&lt;='Prepay vs Invest'!$B$12),'Prepay vs Invest'!$B$10,0)+IF(A137='Prepay vs Invest'!$B$9,'Prepay vs Invest'!$B$8,0)-Z137-AA137),0)</f>
        <v>17396.112497928247</v>
      </c>
      <c r="AE137">
        <f>AC137*(1+MAX(0,'Prepay vs Invest'!$B$13-'Prepay vs Invest'!$B$14)/1200)+AD137</f>
        <v>2289734.5745842108</v>
      </c>
      <c r="AF137">
        <f t="shared" si="47"/>
        <v>1343213.0183819064</v>
      </c>
      <c r="AG137">
        <f>MAX(0,(AE137-AF137-'Prepay vs Invest'!$B$16)*'Prepay vs Invest'!$B$15/100)</f>
        <v>102690.19452528804</v>
      </c>
      <c r="AH137">
        <f t="shared" si="38"/>
        <v>2187044.3800589228</v>
      </c>
    </row>
    <row r="138" spans="1:34" x14ac:dyDescent="0.35">
      <c r="A138">
        <f t="shared" si="39"/>
        <v>137</v>
      </c>
      <c r="B138">
        <f>IF(A138&lt;='Prepay vs Invest'!$B$7*12,F137,0)</f>
        <v>6146961.5267847264</v>
      </c>
      <c r="C138">
        <f>IF(B138&gt;0,B138*'Prepay vs Invest'!$B$6/1200,0)</f>
        <v>38418.509542404536</v>
      </c>
      <c r="D138">
        <f>IF(B138&gt;0,MIN(-PMT('Prepay vs Invest'!$B$6/1200,'Prepay vs Invest'!$B$7*12,'Prepay vs Invest'!$B$5),B138+C138),0)</f>
        <v>80559.31935518072</v>
      </c>
      <c r="E138">
        <f t="shared" si="32"/>
        <v>42140.809812776184</v>
      </c>
      <c r="F138">
        <f t="shared" si="33"/>
        <v>6104820.7169719506</v>
      </c>
      <c r="G138">
        <f t="shared" si="40"/>
        <v>4405917.9228580371</v>
      </c>
      <c r="H138">
        <f>IF(A138&lt;='Prepay vs Invest'!$B$7*12,IF(AND(A138&gt;='Prepay vs Invest'!$B$11,A138&lt;='Prepay vs Invest'!$B$12),'Prepay vs Invest'!$B$10,0)+IF(A138='Prepay vs Invest'!$B$9,'Prepay vs Invest'!$B$8,0),0)</f>
        <v>10000</v>
      </c>
      <c r="I138">
        <f>G138*(1+MAX(0,'Prepay vs Invest'!$B$13-'Prepay vs Invest'!$B$14)/1200)+H138</f>
        <v>4458141.3029520931</v>
      </c>
      <c r="J138">
        <f t="shared" si="41"/>
        <v>1870000</v>
      </c>
      <c r="K138">
        <f>MAX(0,(I138-J138-'Prepay vs Invest'!$B$16)*'Prepay vs Invest'!$B$15/100)</f>
        <v>307892.66286901163</v>
      </c>
      <c r="L138">
        <f t="shared" si="34"/>
        <v>4150248.6400830816</v>
      </c>
      <c r="M138">
        <f t="shared" si="42"/>
        <v>2930734.072466909</v>
      </c>
      <c r="N138">
        <f>IF(M138&gt;0,M138*'Prepay vs Invest'!$B$6/1200,0)</f>
        <v>18317.08795291818</v>
      </c>
      <c r="O138">
        <f>IF(M138&gt;0,MIN('Prepay vs Invest'!$E$5,M138+N138),0)</f>
        <v>80559.31935518072</v>
      </c>
      <c r="P138">
        <f>MIN(MAX(0,M138+N138-O138),IF(AND(A138&gt;='Prepay vs Invest'!$B$11,A138&lt;='Prepay vs Invest'!$B$12),'Prepay vs Invest'!$B$10,0)+IF(A138='Prepay vs Invest'!$B$9,'Prepay vs Invest'!$B$8,0))</f>
        <v>10000</v>
      </c>
      <c r="Q138">
        <f t="shared" si="35"/>
        <v>2858491.8410646468</v>
      </c>
      <c r="R138">
        <f t="shared" si="43"/>
        <v>0</v>
      </c>
      <c r="S138">
        <f>IF(A138&lt;='Prepay vs Invest'!$B$7*12,MAX(0,'Prepay vs Invest'!$E$5+IF(AND(A138&gt;='Prepay vs Invest'!$B$11,A138&lt;='Prepay vs Invest'!$B$12),'Prepay vs Invest'!$B$10,0)+IF(A138='Prepay vs Invest'!$B$9,'Prepay vs Invest'!$B$8,0)-O138-P138),0)</f>
        <v>0</v>
      </c>
      <c r="T138">
        <f>R138*(1+MAX(0,'Prepay vs Invest'!$B$13-'Prepay vs Invest'!$B$14)/1200)+S138</f>
        <v>0</v>
      </c>
      <c r="U138">
        <f t="shared" si="44"/>
        <v>0</v>
      </c>
      <c r="V138">
        <f>MAX(0,(T138-U138-'Prepay vs Invest'!$B$16)*'Prepay vs Invest'!$B$15/100)</f>
        <v>0</v>
      </c>
      <c r="W138">
        <f t="shared" si="36"/>
        <v>0</v>
      </c>
      <c r="X138">
        <f t="shared" si="45"/>
        <v>4809576.5004921732</v>
      </c>
      <c r="Y138">
        <f>IF(X138&gt;0,X138*'Prepay vs Invest'!$B$6/1200,0)</f>
        <v>30059.853128076084</v>
      </c>
      <c r="Z138">
        <f>IF(X138&gt;0,MIN(-PMT('Prepay vs Invest'!$B$6/1200,'Prepay vs Invest'!$B$7*12-A138+1,X138),X138+Y138),0)</f>
        <v>63032.151344696962</v>
      </c>
      <c r="AA138">
        <f>MIN(MAX(0,X138+Y138-Z138),IF(AND(A138&gt;='Prepay vs Invest'!$B$11,A138&lt;='Prepay vs Invest'!$B$12),'Prepay vs Invest'!$B$10,0)+IF(A138='Prepay vs Invest'!$B$9,'Prepay vs Invest'!$B$8,0))</f>
        <v>10000</v>
      </c>
      <c r="AB138">
        <f t="shared" si="37"/>
        <v>4766604.2022755528</v>
      </c>
      <c r="AC138">
        <f t="shared" si="46"/>
        <v>2289734.5745842108</v>
      </c>
      <c r="AD138">
        <f>IF(A138&lt;='Prepay vs Invest'!$B$7*12,MAX(0,'Prepay vs Invest'!$E$5+IF(AND(A138&gt;='Prepay vs Invest'!$B$11,A138&lt;='Prepay vs Invest'!$B$12),'Prepay vs Invest'!$B$10,0)+IF(A138='Prepay vs Invest'!$B$9,'Prepay vs Invest'!$B$8,0)-Z138-AA138),0)</f>
        <v>17527.168010483758</v>
      </c>
      <c r="AE138">
        <f>AC138*(1+MAX(0,'Prepay vs Invest'!$B$13-'Prepay vs Invest'!$B$14)/1200)+AD138</f>
        <v>2329205.0322677931</v>
      </c>
      <c r="AF138">
        <f t="shared" si="47"/>
        <v>1360740.1863923902</v>
      </c>
      <c r="AG138">
        <f>MAX(0,(AE138-AF138-'Prepay vs Invest'!$B$16)*'Prepay vs Invest'!$B$15/100)</f>
        <v>105433.10573442538</v>
      </c>
      <c r="AH138">
        <f t="shared" si="38"/>
        <v>2223771.9265333675</v>
      </c>
    </row>
    <row r="139" spans="1:34" x14ac:dyDescent="0.35">
      <c r="A139">
        <f t="shared" si="39"/>
        <v>138</v>
      </c>
      <c r="B139">
        <f>IF(A139&lt;='Prepay vs Invest'!$B$7*12,F138,0)</f>
        <v>6104820.7169719506</v>
      </c>
      <c r="C139">
        <f>IF(B139&gt;0,B139*'Prepay vs Invest'!$B$6/1200,0)</f>
        <v>38155.129481074691</v>
      </c>
      <c r="D139">
        <f>IF(B139&gt;0,MIN(-PMT('Prepay vs Invest'!$B$6/1200,'Prepay vs Invest'!$B$7*12,'Prepay vs Invest'!$B$5),B139+C139),0)</f>
        <v>80559.31935518072</v>
      </c>
      <c r="E139">
        <f t="shared" si="32"/>
        <v>42404.189874106029</v>
      </c>
      <c r="F139">
        <f t="shared" si="33"/>
        <v>6062416.5270978445</v>
      </c>
      <c r="G139">
        <f t="shared" si="40"/>
        <v>4458141.3029520931</v>
      </c>
      <c r="H139">
        <f>IF(A139&lt;='Prepay vs Invest'!$B$7*12,IF(AND(A139&gt;='Prepay vs Invest'!$B$11,A139&lt;='Prepay vs Invest'!$B$12),'Prepay vs Invest'!$B$10,0)+IF(A139='Prepay vs Invest'!$B$9,'Prepay vs Invest'!$B$8,0),0)</f>
        <v>10000</v>
      </c>
      <c r="I139">
        <f>G139*(1+MAX(0,'Prepay vs Invest'!$B$13-'Prepay vs Invest'!$B$14)/1200)+H139</f>
        <v>4510865.1571053835</v>
      </c>
      <c r="J139">
        <f t="shared" si="41"/>
        <v>1880000</v>
      </c>
      <c r="K139">
        <f>MAX(0,(I139-J139-'Prepay vs Invest'!$B$16)*'Prepay vs Invest'!$B$15/100)</f>
        <v>313233.14463817293</v>
      </c>
      <c r="L139">
        <f t="shared" si="34"/>
        <v>4197632.0124672102</v>
      </c>
      <c r="M139">
        <f t="shared" si="42"/>
        <v>2858491.8410646468</v>
      </c>
      <c r="N139">
        <f>IF(M139&gt;0,M139*'Prepay vs Invest'!$B$6/1200,0)</f>
        <v>17865.574006654042</v>
      </c>
      <c r="O139">
        <f>IF(M139&gt;0,MIN('Prepay vs Invest'!$E$5,M139+N139),0)</f>
        <v>80559.31935518072</v>
      </c>
      <c r="P139">
        <f>MIN(MAX(0,M139+N139-O139),IF(AND(A139&gt;='Prepay vs Invest'!$B$11,A139&lt;='Prepay vs Invest'!$B$12),'Prepay vs Invest'!$B$10,0)+IF(A139='Prepay vs Invest'!$B$9,'Prepay vs Invest'!$B$8,0))</f>
        <v>10000</v>
      </c>
      <c r="Q139">
        <f t="shared" si="35"/>
        <v>2785798.0957161197</v>
      </c>
      <c r="R139">
        <f t="shared" si="43"/>
        <v>0</v>
      </c>
      <c r="S139">
        <f>IF(A139&lt;='Prepay vs Invest'!$B$7*12,MAX(0,'Prepay vs Invest'!$E$5+IF(AND(A139&gt;='Prepay vs Invest'!$B$11,A139&lt;='Prepay vs Invest'!$B$12),'Prepay vs Invest'!$B$10,0)+IF(A139='Prepay vs Invest'!$B$9,'Prepay vs Invest'!$B$8,0)-O139-P139),0)</f>
        <v>0</v>
      </c>
      <c r="T139">
        <f>R139*(1+MAX(0,'Prepay vs Invest'!$B$13-'Prepay vs Invest'!$B$14)/1200)+S139</f>
        <v>0</v>
      </c>
      <c r="U139">
        <f t="shared" si="44"/>
        <v>0</v>
      </c>
      <c r="V139">
        <f>MAX(0,(T139-U139-'Prepay vs Invest'!$B$16)*'Prepay vs Invest'!$B$15/100)</f>
        <v>0</v>
      </c>
      <c r="W139">
        <f t="shared" si="36"/>
        <v>0</v>
      </c>
      <c r="X139">
        <f t="shared" si="45"/>
        <v>4766604.2022755528</v>
      </c>
      <c r="Y139">
        <f>IF(X139&gt;0,X139*'Prepay vs Invest'!$B$6/1200,0)</f>
        <v>29791.276264222201</v>
      </c>
      <c r="Z139">
        <f>IF(X139&gt;0,MIN(-PMT('Prepay vs Invest'!$B$6/1200,'Prepay vs Invest'!$B$7*12-A139+1,X139),X139+Y139),0)</f>
        <v>62900.191172416686</v>
      </c>
      <c r="AA139">
        <f>MIN(MAX(0,X139+Y139-Z139),IF(AND(A139&gt;='Prepay vs Invest'!$B$11,A139&lt;='Prepay vs Invest'!$B$12),'Prepay vs Invest'!$B$10,0)+IF(A139='Prepay vs Invest'!$B$9,'Prepay vs Invest'!$B$8,0))</f>
        <v>10000</v>
      </c>
      <c r="AB139">
        <f t="shared" si="37"/>
        <v>4723495.2873673588</v>
      </c>
      <c r="AC139">
        <f t="shared" si="46"/>
        <v>2329205.0322677931</v>
      </c>
      <c r="AD139">
        <f>IF(A139&lt;='Prepay vs Invest'!$B$7*12,MAX(0,'Prepay vs Invest'!$E$5+IF(AND(A139&gt;='Prepay vs Invest'!$B$11,A139&lt;='Prepay vs Invest'!$B$12),'Prepay vs Invest'!$B$10,0)+IF(A139='Prepay vs Invest'!$B$9,'Prepay vs Invest'!$B$8,0)-Z139-AA139),0)</f>
        <v>17659.128182764034</v>
      </c>
      <c r="AE139">
        <f>AC139*(1+MAX(0,'Prepay vs Invest'!$B$13-'Prepay vs Invest'!$B$14)/1200)+AD139</f>
        <v>2369185.7086764569</v>
      </c>
      <c r="AF139">
        <f t="shared" si="47"/>
        <v>1378399.3145751541</v>
      </c>
      <c r="AG139">
        <f>MAX(0,(AE139-AF139-'Prepay vs Invest'!$B$16)*'Prepay vs Invest'!$B$15/100)</f>
        <v>108223.29926266284</v>
      </c>
      <c r="AH139">
        <f t="shared" si="38"/>
        <v>2260962.4094137941</v>
      </c>
    </row>
    <row r="140" spans="1:34" x14ac:dyDescent="0.35">
      <c r="A140">
        <f t="shared" si="39"/>
        <v>139</v>
      </c>
      <c r="B140">
        <f>IF(A140&lt;='Prepay vs Invest'!$B$7*12,F139,0)</f>
        <v>6062416.5270978445</v>
      </c>
      <c r="C140">
        <f>IF(B140&gt;0,B140*'Prepay vs Invest'!$B$6/1200,0)</f>
        <v>37890.103294361528</v>
      </c>
      <c r="D140">
        <f>IF(B140&gt;0,MIN(-PMT('Prepay vs Invest'!$B$6/1200,'Prepay vs Invest'!$B$7*12,'Prepay vs Invest'!$B$5),B140+C140),0)</f>
        <v>80559.31935518072</v>
      </c>
      <c r="E140">
        <f t="shared" si="32"/>
        <v>42669.216060819192</v>
      </c>
      <c r="F140">
        <f t="shared" si="33"/>
        <v>6019747.3110370254</v>
      </c>
      <c r="G140">
        <f t="shared" si="40"/>
        <v>4510865.1571053835</v>
      </c>
      <c r="H140">
        <f>IF(A140&lt;='Prepay vs Invest'!$B$7*12,IF(AND(A140&gt;='Prepay vs Invest'!$B$11,A140&lt;='Prepay vs Invest'!$B$12),'Prepay vs Invest'!$B$10,0)+IF(A140='Prepay vs Invest'!$B$9,'Prepay vs Invest'!$B$8,0),0)</f>
        <v>10000</v>
      </c>
      <c r="I140">
        <f>G140*(1+MAX(0,'Prepay vs Invest'!$B$13-'Prepay vs Invest'!$B$14)/1200)+H140</f>
        <v>4564094.2815276431</v>
      </c>
      <c r="J140">
        <f t="shared" si="41"/>
        <v>1890000</v>
      </c>
      <c r="K140">
        <f>MAX(0,(I140-J140-'Prepay vs Invest'!$B$16)*'Prepay vs Invest'!$B$15/100)</f>
        <v>318636.78519095539</v>
      </c>
      <c r="L140">
        <f t="shared" si="34"/>
        <v>4245457.4963366874</v>
      </c>
      <c r="M140">
        <f t="shared" si="42"/>
        <v>2785798.0957161197</v>
      </c>
      <c r="N140">
        <f>IF(M140&gt;0,M140*'Prepay vs Invest'!$B$6/1200,0)</f>
        <v>17411.238098225749</v>
      </c>
      <c r="O140">
        <f>IF(M140&gt;0,MIN('Prepay vs Invest'!$E$5,M140+N140),0)</f>
        <v>80559.31935518072</v>
      </c>
      <c r="P140">
        <f>MIN(MAX(0,M140+N140-O140),IF(AND(A140&gt;='Prepay vs Invest'!$B$11,A140&lt;='Prepay vs Invest'!$B$12),'Prepay vs Invest'!$B$10,0)+IF(A140='Prepay vs Invest'!$B$9,'Prepay vs Invest'!$B$8,0))</f>
        <v>10000</v>
      </c>
      <c r="Q140">
        <f t="shared" si="35"/>
        <v>2712650.0144591648</v>
      </c>
      <c r="R140">
        <f t="shared" si="43"/>
        <v>0</v>
      </c>
      <c r="S140">
        <f>IF(A140&lt;='Prepay vs Invest'!$B$7*12,MAX(0,'Prepay vs Invest'!$E$5+IF(AND(A140&gt;='Prepay vs Invest'!$B$11,A140&lt;='Prepay vs Invest'!$B$12),'Prepay vs Invest'!$B$10,0)+IF(A140='Prepay vs Invest'!$B$9,'Prepay vs Invest'!$B$8,0)-O140-P140),0)</f>
        <v>0</v>
      </c>
      <c r="T140">
        <f>R140*(1+MAX(0,'Prepay vs Invest'!$B$13-'Prepay vs Invest'!$B$14)/1200)+S140</f>
        <v>0</v>
      </c>
      <c r="U140">
        <f t="shared" si="44"/>
        <v>0</v>
      </c>
      <c r="V140">
        <f>MAX(0,(T140-U140-'Prepay vs Invest'!$B$16)*'Prepay vs Invest'!$B$15/100)</f>
        <v>0</v>
      </c>
      <c r="W140">
        <f t="shared" si="36"/>
        <v>0</v>
      </c>
      <c r="X140">
        <f t="shared" si="45"/>
        <v>4723495.2873673588</v>
      </c>
      <c r="Y140">
        <f>IF(X140&gt;0,X140*'Prepay vs Invest'!$B$6/1200,0)</f>
        <v>29521.845546045992</v>
      </c>
      <c r="Z140">
        <f>IF(X140&gt;0,MIN(-PMT('Prepay vs Invest'!$B$6/1200,'Prepay vs Invest'!$B$7*12-A140+1,X140),X140+Y140),0)</f>
        <v>62767.307991270849</v>
      </c>
      <c r="AA140">
        <f>MIN(MAX(0,X140+Y140-Z140),IF(AND(A140&gt;='Prepay vs Invest'!$B$11,A140&lt;='Prepay vs Invest'!$B$12),'Prepay vs Invest'!$B$10,0)+IF(A140='Prepay vs Invest'!$B$9,'Prepay vs Invest'!$B$8,0))</f>
        <v>10000</v>
      </c>
      <c r="AB140">
        <f t="shared" si="37"/>
        <v>4680249.8249221342</v>
      </c>
      <c r="AC140">
        <f t="shared" si="46"/>
        <v>2369185.7086764569</v>
      </c>
      <c r="AD140">
        <f>IF(A140&lt;='Prepay vs Invest'!$B$7*12,MAX(0,'Prepay vs Invest'!$E$5+IF(AND(A140&gt;='Prepay vs Invest'!$B$11,A140&lt;='Prepay vs Invest'!$B$12),'Prepay vs Invest'!$B$10,0)+IF(A140='Prepay vs Invest'!$B$9,'Prepay vs Invest'!$B$8,0)-Z140-AA140),0)</f>
        <v>17792.011363909871</v>
      </c>
      <c r="AE140">
        <f>AC140*(1+MAX(0,'Prepay vs Invest'!$B$13-'Prepay vs Invest'!$B$14)/1200)+AD140</f>
        <v>2409682.4164151829</v>
      </c>
      <c r="AF140">
        <f t="shared" si="47"/>
        <v>1396191.3259390639</v>
      </c>
      <c r="AG140">
        <f>MAX(0,(AE140-AF140-'Prepay vs Invest'!$B$16)*'Prepay vs Invest'!$B$15/100)</f>
        <v>111061.38630951487</v>
      </c>
      <c r="AH140">
        <f t="shared" si="38"/>
        <v>2298621.0301056681</v>
      </c>
    </row>
    <row r="141" spans="1:34" x14ac:dyDescent="0.35">
      <c r="A141">
        <f t="shared" si="39"/>
        <v>140</v>
      </c>
      <c r="B141">
        <f>IF(A141&lt;='Prepay vs Invest'!$B$7*12,F140,0)</f>
        <v>6019747.3110370254</v>
      </c>
      <c r="C141">
        <f>IF(B141&gt;0,B141*'Prepay vs Invest'!$B$6/1200,0)</f>
        <v>37623.42069398141</v>
      </c>
      <c r="D141">
        <f>IF(B141&gt;0,MIN(-PMT('Prepay vs Invest'!$B$6/1200,'Prepay vs Invest'!$B$7*12,'Prepay vs Invest'!$B$5),B141+C141),0)</f>
        <v>80559.31935518072</v>
      </c>
      <c r="E141">
        <f t="shared" si="32"/>
        <v>42935.89866119931</v>
      </c>
      <c r="F141">
        <f t="shared" si="33"/>
        <v>5976811.4123758264</v>
      </c>
      <c r="G141">
        <f t="shared" si="40"/>
        <v>4564094.2815276431</v>
      </c>
      <c r="H141">
        <f>IF(A141&lt;='Prepay vs Invest'!$B$7*12,IF(AND(A141&gt;='Prepay vs Invest'!$B$11,A141&lt;='Prepay vs Invest'!$B$12),'Prepay vs Invest'!$B$10,0)+IF(A141='Prepay vs Invest'!$B$9,'Prepay vs Invest'!$B$8,0),0)</f>
        <v>10000</v>
      </c>
      <c r="I141">
        <f>G141*(1+MAX(0,'Prepay vs Invest'!$B$13-'Prepay vs Invest'!$B$14)/1200)+H141</f>
        <v>4617833.5183922825</v>
      </c>
      <c r="J141">
        <f t="shared" si="41"/>
        <v>1900000</v>
      </c>
      <c r="K141">
        <f>MAX(0,(I141-J141-'Prepay vs Invest'!$B$16)*'Prepay vs Invest'!$B$15/100)</f>
        <v>324104.18979903532</v>
      </c>
      <c r="L141">
        <f t="shared" si="34"/>
        <v>4293729.3285932476</v>
      </c>
      <c r="M141">
        <f t="shared" si="42"/>
        <v>2712650.0144591648</v>
      </c>
      <c r="N141">
        <f>IF(M141&gt;0,M141*'Prepay vs Invest'!$B$6/1200,0)</f>
        <v>16954.06259036978</v>
      </c>
      <c r="O141">
        <f>IF(M141&gt;0,MIN('Prepay vs Invest'!$E$5,M141+N141),0)</f>
        <v>80559.31935518072</v>
      </c>
      <c r="P141">
        <f>MIN(MAX(0,M141+N141-O141),IF(AND(A141&gt;='Prepay vs Invest'!$B$11,A141&lt;='Prepay vs Invest'!$B$12),'Prepay vs Invest'!$B$10,0)+IF(A141='Prepay vs Invest'!$B$9,'Prepay vs Invest'!$B$8,0))</f>
        <v>10000</v>
      </c>
      <c r="Q141">
        <f t="shared" si="35"/>
        <v>2639044.7576943543</v>
      </c>
      <c r="R141">
        <f t="shared" si="43"/>
        <v>0</v>
      </c>
      <c r="S141">
        <f>IF(A141&lt;='Prepay vs Invest'!$B$7*12,MAX(0,'Prepay vs Invest'!$E$5+IF(AND(A141&gt;='Prepay vs Invest'!$B$11,A141&lt;='Prepay vs Invest'!$B$12),'Prepay vs Invest'!$B$10,0)+IF(A141='Prepay vs Invest'!$B$9,'Prepay vs Invest'!$B$8,0)-O141-P141),0)</f>
        <v>0</v>
      </c>
      <c r="T141">
        <f>R141*(1+MAX(0,'Prepay vs Invest'!$B$13-'Prepay vs Invest'!$B$14)/1200)+S141</f>
        <v>0</v>
      </c>
      <c r="U141">
        <f t="shared" si="44"/>
        <v>0</v>
      </c>
      <c r="V141">
        <f>MAX(0,(T141-U141-'Prepay vs Invest'!$B$16)*'Prepay vs Invest'!$B$15/100)</f>
        <v>0</v>
      </c>
      <c r="W141">
        <f t="shared" si="36"/>
        <v>0</v>
      </c>
      <c r="X141">
        <f t="shared" si="45"/>
        <v>4680249.8249221342</v>
      </c>
      <c r="Y141">
        <f>IF(X141&gt;0,X141*'Prepay vs Invest'!$B$6/1200,0)</f>
        <v>29251.561405763339</v>
      </c>
      <c r="Z141">
        <f>IF(X141&gt;0,MIN(-PMT('Prepay vs Invest'!$B$6/1200,'Prepay vs Invest'!$B$7*12-A141+1,X141),X141+Y141),0)</f>
        <v>62633.482906607474</v>
      </c>
      <c r="AA141">
        <f>MIN(MAX(0,X141+Y141-Z141),IF(AND(A141&gt;='Prepay vs Invest'!$B$11,A141&lt;='Prepay vs Invest'!$B$12),'Prepay vs Invest'!$B$10,0)+IF(A141='Prepay vs Invest'!$B$9,'Prepay vs Invest'!$B$8,0))</f>
        <v>10000</v>
      </c>
      <c r="AB141">
        <f t="shared" si="37"/>
        <v>4636867.9034212893</v>
      </c>
      <c r="AC141">
        <f t="shared" si="46"/>
        <v>2409682.4164151829</v>
      </c>
      <c r="AD141">
        <f>IF(A141&lt;='Prepay vs Invest'!$B$7*12,MAX(0,'Prepay vs Invest'!$E$5+IF(AND(A141&gt;='Prepay vs Invest'!$B$11,A141&lt;='Prepay vs Invest'!$B$12),'Prepay vs Invest'!$B$10,0)+IF(A141='Prepay vs Invest'!$B$9,'Prepay vs Invest'!$B$8,0)-Z141-AA141),0)</f>
        <v>17925.836448573245</v>
      </c>
      <c r="AE141">
        <f>AC141*(1+MAX(0,'Prepay vs Invest'!$B$13-'Prepay vs Invest'!$B$14)/1200)+AD141</f>
        <v>2450701.0426877346</v>
      </c>
      <c r="AF141">
        <f t="shared" si="47"/>
        <v>1414117.1623876372</v>
      </c>
      <c r="AG141">
        <f>MAX(0,(AE141-AF141-'Prepay vs Invest'!$B$16)*'Prepay vs Invest'!$B$15/100)</f>
        <v>113947.98503751219</v>
      </c>
      <c r="AH141">
        <f t="shared" si="38"/>
        <v>2336753.0576502224</v>
      </c>
    </row>
    <row r="142" spans="1:34" x14ac:dyDescent="0.35">
      <c r="A142">
        <f t="shared" si="39"/>
        <v>141</v>
      </c>
      <c r="B142">
        <f>IF(A142&lt;='Prepay vs Invest'!$B$7*12,F141,0)</f>
        <v>5976811.4123758264</v>
      </c>
      <c r="C142">
        <f>IF(B142&gt;0,B142*'Prepay vs Invest'!$B$6/1200,0)</f>
        <v>37355.071327348916</v>
      </c>
      <c r="D142">
        <f>IF(B142&gt;0,MIN(-PMT('Prepay vs Invest'!$B$6/1200,'Prepay vs Invest'!$B$7*12,'Prepay vs Invest'!$B$5),B142+C142),0)</f>
        <v>80559.31935518072</v>
      </c>
      <c r="E142">
        <f t="shared" si="32"/>
        <v>43204.248027831803</v>
      </c>
      <c r="F142">
        <f t="shared" si="33"/>
        <v>5933607.1643479951</v>
      </c>
      <c r="G142">
        <f t="shared" si="40"/>
        <v>4617833.5183922825</v>
      </c>
      <c r="H142">
        <f>IF(A142&lt;='Prepay vs Invest'!$B$7*12,IF(AND(A142&gt;='Prepay vs Invest'!$B$11,A142&lt;='Prepay vs Invest'!$B$12),'Prepay vs Invest'!$B$10,0)+IF(A142='Prepay vs Invest'!$B$9,'Prepay vs Invest'!$B$8,0),0)</f>
        <v>10000</v>
      </c>
      <c r="I142">
        <f>G142*(1+MAX(0,'Prepay vs Invest'!$B$13-'Prepay vs Invest'!$B$14)/1200)+H142</f>
        <v>4672087.7562768748</v>
      </c>
      <c r="J142">
        <f t="shared" si="41"/>
        <v>1910000</v>
      </c>
      <c r="K142">
        <f>MAX(0,(I142-J142-'Prepay vs Invest'!$B$16)*'Prepay vs Invest'!$B$15/100)</f>
        <v>329635.96953460935</v>
      </c>
      <c r="L142">
        <f t="shared" si="34"/>
        <v>4342451.7867422653</v>
      </c>
      <c r="M142">
        <f t="shared" si="42"/>
        <v>2639044.7576943543</v>
      </c>
      <c r="N142">
        <f>IF(M142&gt;0,M142*'Prepay vs Invest'!$B$6/1200,0)</f>
        <v>16494.029735589713</v>
      </c>
      <c r="O142">
        <f>IF(M142&gt;0,MIN('Prepay vs Invest'!$E$5,M142+N142),0)</f>
        <v>80559.31935518072</v>
      </c>
      <c r="P142">
        <f>MIN(MAX(0,M142+N142-O142),IF(AND(A142&gt;='Prepay vs Invest'!$B$11,A142&lt;='Prepay vs Invest'!$B$12),'Prepay vs Invest'!$B$10,0)+IF(A142='Prepay vs Invest'!$B$9,'Prepay vs Invest'!$B$8,0))</f>
        <v>10000</v>
      </c>
      <c r="Q142">
        <f t="shared" si="35"/>
        <v>2564979.4680747632</v>
      </c>
      <c r="R142">
        <f t="shared" si="43"/>
        <v>0</v>
      </c>
      <c r="S142">
        <f>IF(A142&lt;='Prepay vs Invest'!$B$7*12,MAX(0,'Prepay vs Invest'!$E$5+IF(AND(A142&gt;='Prepay vs Invest'!$B$11,A142&lt;='Prepay vs Invest'!$B$12),'Prepay vs Invest'!$B$10,0)+IF(A142='Prepay vs Invest'!$B$9,'Prepay vs Invest'!$B$8,0)-O142-P142),0)</f>
        <v>0</v>
      </c>
      <c r="T142">
        <f>R142*(1+MAX(0,'Prepay vs Invest'!$B$13-'Prepay vs Invest'!$B$14)/1200)+S142</f>
        <v>0</v>
      </c>
      <c r="U142">
        <f t="shared" si="44"/>
        <v>0</v>
      </c>
      <c r="V142">
        <f>MAX(0,(T142-U142-'Prepay vs Invest'!$B$16)*'Prepay vs Invest'!$B$15/100)</f>
        <v>0</v>
      </c>
      <c r="W142">
        <f t="shared" si="36"/>
        <v>0</v>
      </c>
      <c r="X142">
        <f t="shared" si="45"/>
        <v>4636867.9034212893</v>
      </c>
      <c r="Y142">
        <f>IF(X142&gt;0,X142*'Prepay vs Invest'!$B$6/1200,0)</f>
        <v>28980.42439638306</v>
      </c>
      <c r="Z142">
        <f>IF(X142&gt;0,MIN(-PMT('Prepay vs Invest'!$B$6/1200,'Prepay vs Invest'!$B$7*12-A142+1,X142),X142+Y142),0)</f>
        <v>62498.696456447127</v>
      </c>
      <c r="AA142">
        <f>MIN(MAX(0,X142+Y142-Z142),IF(AND(A142&gt;='Prepay vs Invest'!$B$11,A142&lt;='Prepay vs Invest'!$B$12),'Prepay vs Invest'!$B$10,0)+IF(A142='Prepay vs Invest'!$B$9,'Prepay vs Invest'!$B$8,0))</f>
        <v>10000</v>
      </c>
      <c r="AB142">
        <f t="shared" si="37"/>
        <v>4593349.6313612247</v>
      </c>
      <c r="AC142">
        <f t="shared" si="46"/>
        <v>2450701.0426877346</v>
      </c>
      <c r="AD142">
        <f>IF(A142&lt;='Prepay vs Invest'!$B$7*12,MAX(0,'Prepay vs Invest'!$E$5+IF(AND(A142&gt;='Prepay vs Invest'!$B$11,A142&lt;='Prepay vs Invest'!$B$12),'Prepay vs Invest'!$B$10,0)+IF(A142='Prepay vs Invest'!$B$9,'Prepay vs Invest'!$B$8,0)-Z142-AA142),0)</f>
        <v>18060.622898733593</v>
      </c>
      <c r="AE142">
        <f>AC142*(1+MAX(0,'Prepay vs Invest'!$B$13-'Prepay vs Invest'!$B$14)/1200)+AD142</f>
        <v>2492247.5505788922</v>
      </c>
      <c r="AF142">
        <f t="shared" si="47"/>
        <v>1432177.7852863707</v>
      </c>
      <c r="AG142">
        <f>MAX(0,(AE142-AF142-'Prepay vs Invest'!$B$16)*'Prepay vs Invest'!$B$15/100)</f>
        <v>116883.7206615652</v>
      </c>
      <c r="AH142">
        <f t="shared" si="38"/>
        <v>2375363.829917327</v>
      </c>
    </row>
    <row r="143" spans="1:34" x14ac:dyDescent="0.35">
      <c r="A143">
        <f t="shared" si="39"/>
        <v>142</v>
      </c>
      <c r="B143">
        <f>IF(A143&lt;='Prepay vs Invest'!$B$7*12,F142,0)</f>
        <v>5933607.1643479951</v>
      </c>
      <c r="C143">
        <f>IF(B143&gt;0,B143*'Prepay vs Invest'!$B$6/1200,0)</f>
        <v>37085.044777174968</v>
      </c>
      <c r="D143">
        <f>IF(B143&gt;0,MIN(-PMT('Prepay vs Invest'!$B$6/1200,'Prepay vs Invest'!$B$7*12,'Prepay vs Invest'!$B$5),B143+C143),0)</f>
        <v>80559.31935518072</v>
      </c>
      <c r="E143">
        <f t="shared" si="32"/>
        <v>43474.274578005752</v>
      </c>
      <c r="F143">
        <f t="shared" si="33"/>
        <v>5890132.88976999</v>
      </c>
      <c r="G143">
        <f t="shared" si="40"/>
        <v>4672087.7562768748</v>
      </c>
      <c r="H143">
        <f>IF(A143&lt;='Prepay vs Invest'!$B$7*12,IF(AND(A143&gt;='Prepay vs Invest'!$B$11,A143&lt;='Prepay vs Invest'!$B$12),'Prepay vs Invest'!$B$10,0)+IF(A143='Prepay vs Invest'!$B$9,'Prepay vs Invest'!$B$8,0),0)</f>
        <v>10000</v>
      </c>
      <c r="I143">
        <f>G143*(1+MAX(0,'Prepay vs Invest'!$B$13-'Prepay vs Invest'!$B$14)/1200)+H143</f>
        <v>4726861.9306078609</v>
      </c>
      <c r="J143">
        <f t="shared" si="41"/>
        <v>1920000</v>
      </c>
      <c r="K143">
        <f>MAX(0,(I143-J143-'Prepay vs Invest'!$B$16)*'Prepay vs Invest'!$B$15/100)</f>
        <v>335232.74132598261</v>
      </c>
      <c r="L143">
        <f t="shared" si="34"/>
        <v>4391629.1892818781</v>
      </c>
      <c r="M143">
        <f t="shared" si="42"/>
        <v>2564979.4680747632</v>
      </c>
      <c r="N143">
        <f>IF(M143&gt;0,M143*'Prepay vs Invest'!$B$6/1200,0)</f>
        <v>16031.121675467271</v>
      </c>
      <c r="O143">
        <f>IF(M143&gt;0,MIN('Prepay vs Invest'!$E$5,M143+N143),0)</f>
        <v>80559.31935518072</v>
      </c>
      <c r="P143">
        <f>MIN(MAX(0,M143+N143-O143),IF(AND(A143&gt;='Prepay vs Invest'!$B$11,A143&lt;='Prepay vs Invest'!$B$12),'Prepay vs Invest'!$B$10,0)+IF(A143='Prepay vs Invest'!$B$9,'Prepay vs Invest'!$B$8,0))</f>
        <v>10000</v>
      </c>
      <c r="Q143">
        <f t="shared" si="35"/>
        <v>2490451.2703950498</v>
      </c>
      <c r="R143">
        <f t="shared" si="43"/>
        <v>0</v>
      </c>
      <c r="S143">
        <f>IF(A143&lt;='Prepay vs Invest'!$B$7*12,MAX(0,'Prepay vs Invest'!$E$5+IF(AND(A143&gt;='Prepay vs Invest'!$B$11,A143&lt;='Prepay vs Invest'!$B$12),'Prepay vs Invest'!$B$10,0)+IF(A143='Prepay vs Invest'!$B$9,'Prepay vs Invest'!$B$8,0)-O143-P143),0)</f>
        <v>0</v>
      </c>
      <c r="T143">
        <f>R143*(1+MAX(0,'Prepay vs Invest'!$B$13-'Prepay vs Invest'!$B$14)/1200)+S143</f>
        <v>0</v>
      </c>
      <c r="U143">
        <f t="shared" si="44"/>
        <v>0</v>
      </c>
      <c r="V143">
        <f>MAX(0,(T143-U143-'Prepay vs Invest'!$B$16)*'Prepay vs Invest'!$B$15/100)</f>
        <v>0</v>
      </c>
      <c r="W143">
        <f t="shared" si="36"/>
        <v>0</v>
      </c>
      <c r="X143">
        <f t="shared" si="45"/>
        <v>4593349.6313612247</v>
      </c>
      <c r="Y143">
        <f>IF(X143&gt;0,X143*'Prepay vs Invest'!$B$6/1200,0)</f>
        <v>28708.435196007653</v>
      </c>
      <c r="Z143">
        <f>IF(X143&gt;0,MIN(-PMT('Prepay vs Invest'!$B$6/1200,'Prepay vs Invest'!$B$7*12-A143+1,X143),X143+Y143),0)</f>
        <v>62362.928588565301</v>
      </c>
      <c r="AA143">
        <f>MIN(MAX(0,X143+Y143-Z143),IF(AND(A143&gt;='Prepay vs Invest'!$B$11,A143&lt;='Prepay vs Invest'!$B$12),'Prepay vs Invest'!$B$10,0)+IF(A143='Prepay vs Invest'!$B$9,'Prepay vs Invest'!$B$8,0))</f>
        <v>10000</v>
      </c>
      <c r="AB143">
        <f t="shared" si="37"/>
        <v>4549695.1379686669</v>
      </c>
      <c r="AC143">
        <f t="shared" si="46"/>
        <v>2492247.5505788922</v>
      </c>
      <c r="AD143">
        <f>IF(A143&lt;='Prepay vs Invest'!$B$7*12,MAX(0,'Prepay vs Invest'!$E$5+IF(AND(A143&gt;='Prepay vs Invest'!$B$11,A143&lt;='Prepay vs Invest'!$B$12),'Prepay vs Invest'!$B$10,0)+IF(A143='Prepay vs Invest'!$B$9,'Prepay vs Invest'!$B$8,0)-Z143-AA143),0)</f>
        <v>18196.390766615419</v>
      </c>
      <c r="AE143">
        <f>AC143*(1+MAX(0,'Prepay vs Invest'!$B$13-'Prepay vs Invest'!$B$14)/1200)+AD143</f>
        <v>2534327.9803718887</v>
      </c>
      <c r="AF143">
        <f t="shared" si="47"/>
        <v>1450374.1760529862</v>
      </c>
      <c r="AG143">
        <f>MAX(0,(AE143-AF143-'Prepay vs Invest'!$B$16)*'Prepay vs Invest'!$B$15/100)</f>
        <v>119869.22553986282</v>
      </c>
      <c r="AH143">
        <f t="shared" si="38"/>
        <v>2414458.7548320261</v>
      </c>
    </row>
    <row r="144" spans="1:34" x14ac:dyDescent="0.35">
      <c r="A144">
        <f t="shared" si="39"/>
        <v>143</v>
      </c>
      <c r="B144">
        <f>IF(A144&lt;='Prepay vs Invest'!$B$7*12,F143,0)</f>
        <v>5890132.88976999</v>
      </c>
      <c r="C144">
        <f>IF(B144&gt;0,B144*'Prepay vs Invest'!$B$6/1200,0)</f>
        <v>36813.330561062437</v>
      </c>
      <c r="D144">
        <f>IF(B144&gt;0,MIN(-PMT('Prepay vs Invest'!$B$6/1200,'Prepay vs Invest'!$B$7*12,'Prepay vs Invest'!$B$5),B144+C144),0)</f>
        <v>80559.31935518072</v>
      </c>
      <c r="E144">
        <f t="shared" si="32"/>
        <v>43745.988794118282</v>
      </c>
      <c r="F144">
        <f t="shared" si="33"/>
        <v>5846386.9009758718</v>
      </c>
      <c r="G144">
        <f t="shared" si="40"/>
        <v>4726861.9306078609</v>
      </c>
      <c r="H144">
        <f>IF(A144&lt;='Prepay vs Invest'!$B$7*12,IF(AND(A144&gt;='Prepay vs Invest'!$B$11,A144&lt;='Prepay vs Invest'!$B$12),'Prepay vs Invest'!$B$10,0)+IF(A144='Prepay vs Invest'!$B$9,'Prepay vs Invest'!$B$8,0),0)</f>
        <v>10000</v>
      </c>
      <c r="I144">
        <f>G144*(1+MAX(0,'Prepay vs Invest'!$B$13-'Prepay vs Invest'!$B$14)/1200)+H144</f>
        <v>4782161.0241095191</v>
      </c>
      <c r="J144">
        <f t="shared" si="41"/>
        <v>1930000</v>
      </c>
      <c r="K144">
        <f>MAX(0,(I144-J144-'Prepay vs Invest'!$B$16)*'Prepay vs Invest'!$B$15/100)</f>
        <v>340895.12801368989</v>
      </c>
      <c r="L144">
        <f t="shared" si="34"/>
        <v>4441265.8960958291</v>
      </c>
      <c r="M144">
        <f t="shared" si="42"/>
        <v>2490451.2703950498</v>
      </c>
      <c r="N144">
        <f>IF(M144&gt;0,M144*'Prepay vs Invest'!$B$6/1200,0)</f>
        <v>15565.320439969062</v>
      </c>
      <c r="O144">
        <f>IF(M144&gt;0,MIN('Prepay vs Invest'!$E$5,M144+N144),0)</f>
        <v>80559.31935518072</v>
      </c>
      <c r="P144">
        <f>MIN(MAX(0,M144+N144-O144),IF(AND(A144&gt;='Prepay vs Invest'!$B$11,A144&lt;='Prepay vs Invest'!$B$12),'Prepay vs Invest'!$B$10,0)+IF(A144='Prepay vs Invest'!$B$9,'Prepay vs Invest'!$B$8,0))</f>
        <v>10000</v>
      </c>
      <c r="Q144">
        <f t="shared" si="35"/>
        <v>2415457.2714798385</v>
      </c>
      <c r="R144">
        <f t="shared" si="43"/>
        <v>0</v>
      </c>
      <c r="S144">
        <f>IF(A144&lt;='Prepay vs Invest'!$B$7*12,MAX(0,'Prepay vs Invest'!$E$5+IF(AND(A144&gt;='Prepay vs Invest'!$B$11,A144&lt;='Prepay vs Invest'!$B$12),'Prepay vs Invest'!$B$10,0)+IF(A144='Prepay vs Invest'!$B$9,'Prepay vs Invest'!$B$8,0)-O144-P144),0)</f>
        <v>0</v>
      </c>
      <c r="T144">
        <f>R144*(1+MAX(0,'Prepay vs Invest'!$B$13-'Prepay vs Invest'!$B$14)/1200)+S144</f>
        <v>0</v>
      </c>
      <c r="U144">
        <f t="shared" si="44"/>
        <v>0</v>
      </c>
      <c r="V144">
        <f>MAX(0,(T144-U144-'Prepay vs Invest'!$B$16)*'Prepay vs Invest'!$B$15/100)</f>
        <v>0</v>
      </c>
      <c r="W144">
        <f t="shared" si="36"/>
        <v>0</v>
      </c>
      <c r="X144">
        <f t="shared" si="45"/>
        <v>4549695.1379686669</v>
      </c>
      <c r="Y144">
        <f>IF(X144&gt;0,X144*'Prepay vs Invest'!$B$6/1200,0)</f>
        <v>28435.594612304172</v>
      </c>
      <c r="Z144">
        <f>IF(X144&gt;0,MIN(-PMT('Prepay vs Invest'!$B$6/1200,'Prepay vs Invest'!$B$7*12-A144+1,X144),X144+Y144),0)</f>
        <v>62226.158636404987</v>
      </c>
      <c r="AA144">
        <f>MIN(MAX(0,X144+Y144-Z144),IF(AND(A144&gt;='Prepay vs Invest'!$B$11,A144&lt;='Prepay vs Invest'!$B$12),'Prepay vs Invest'!$B$10,0)+IF(A144='Prepay vs Invest'!$B$9,'Prepay vs Invest'!$B$8,0))</f>
        <v>10000</v>
      </c>
      <c r="AB144">
        <f t="shared" si="37"/>
        <v>4505904.5739445658</v>
      </c>
      <c r="AC144">
        <f t="shared" si="46"/>
        <v>2534327.9803718887</v>
      </c>
      <c r="AD144">
        <f>IF(A144&lt;='Prepay vs Invest'!$B$7*12,MAX(0,'Prepay vs Invest'!$E$5+IF(AND(A144&gt;='Prepay vs Invest'!$B$11,A144&lt;='Prepay vs Invest'!$B$12),'Prepay vs Invest'!$B$10,0)+IF(A144='Prepay vs Invest'!$B$9,'Prepay vs Invest'!$B$8,0)-Z144-AA144),0)</f>
        <v>18333.160718775733</v>
      </c>
      <c r="AE144">
        <f>AC144*(1+MAX(0,'Prepay vs Invest'!$B$13-'Prepay vs Invest'!$B$14)/1200)+AD144</f>
        <v>2576948.4509025617</v>
      </c>
      <c r="AF144">
        <f t="shared" si="47"/>
        <v>1468707.336771762</v>
      </c>
      <c r="AG144">
        <f>MAX(0,(AE144-AF144-'Prepay vs Invest'!$B$16)*'Prepay vs Invest'!$B$15/100)</f>
        <v>122905.13926634996</v>
      </c>
      <c r="AH144">
        <f t="shared" si="38"/>
        <v>2454043.3116362118</v>
      </c>
    </row>
    <row r="145" spans="1:34" x14ac:dyDescent="0.35">
      <c r="A145">
        <f t="shared" si="39"/>
        <v>144</v>
      </c>
      <c r="B145">
        <f>IF(A145&lt;='Prepay vs Invest'!$B$7*12,F144,0)</f>
        <v>5846386.9009758718</v>
      </c>
      <c r="C145">
        <f>IF(B145&gt;0,B145*'Prepay vs Invest'!$B$6/1200,0)</f>
        <v>36539.918131099199</v>
      </c>
      <c r="D145">
        <f>IF(B145&gt;0,MIN(-PMT('Prepay vs Invest'!$B$6/1200,'Prepay vs Invest'!$B$7*12,'Prepay vs Invest'!$B$5),B145+C145),0)</f>
        <v>80559.31935518072</v>
      </c>
      <c r="E145">
        <f t="shared" si="32"/>
        <v>44019.401224081521</v>
      </c>
      <c r="F145">
        <f t="shared" si="33"/>
        <v>5802367.4997517904</v>
      </c>
      <c r="G145">
        <f t="shared" si="40"/>
        <v>4782161.0241095191</v>
      </c>
      <c r="H145">
        <f>IF(A145&lt;='Prepay vs Invest'!$B$7*12,IF(AND(A145&gt;='Prepay vs Invest'!$B$11,A145&lt;='Prepay vs Invest'!$B$12),'Prepay vs Invest'!$B$10,0)+IF(A145='Prepay vs Invest'!$B$9,'Prepay vs Invest'!$B$8,0),0)</f>
        <v>10000</v>
      </c>
      <c r="I145">
        <f>G145*(1+MAX(0,'Prepay vs Invest'!$B$13-'Prepay vs Invest'!$B$14)/1200)+H145</f>
        <v>4837990.0672572348</v>
      </c>
      <c r="J145">
        <f t="shared" si="41"/>
        <v>1940000</v>
      </c>
      <c r="K145">
        <f>MAX(0,(I145-J145-'Prepay vs Invest'!$B$16)*'Prepay vs Invest'!$B$15/100)</f>
        <v>346623.75840715435</v>
      </c>
      <c r="L145">
        <f t="shared" si="34"/>
        <v>4491366.3088500807</v>
      </c>
      <c r="M145">
        <f t="shared" si="42"/>
        <v>2415457.2714798385</v>
      </c>
      <c r="N145">
        <f>IF(M145&gt;0,M145*'Prepay vs Invest'!$B$6/1200,0)</f>
        <v>15096.607946748991</v>
      </c>
      <c r="O145">
        <f>IF(M145&gt;0,MIN('Prepay vs Invest'!$E$5,M145+N145),0)</f>
        <v>80559.31935518072</v>
      </c>
      <c r="P145">
        <f>MIN(MAX(0,M145+N145-O145),IF(AND(A145&gt;='Prepay vs Invest'!$B$11,A145&lt;='Prepay vs Invest'!$B$12),'Prepay vs Invest'!$B$10,0)+IF(A145='Prepay vs Invest'!$B$9,'Prepay vs Invest'!$B$8,0))</f>
        <v>10000</v>
      </c>
      <c r="Q145">
        <f t="shared" si="35"/>
        <v>2339994.5600714069</v>
      </c>
      <c r="R145">
        <f t="shared" si="43"/>
        <v>0</v>
      </c>
      <c r="S145">
        <f>IF(A145&lt;='Prepay vs Invest'!$B$7*12,MAX(0,'Prepay vs Invest'!$E$5+IF(AND(A145&gt;='Prepay vs Invest'!$B$11,A145&lt;='Prepay vs Invest'!$B$12),'Prepay vs Invest'!$B$10,0)+IF(A145='Prepay vs Invest'!$B$9,'Prepay vs Invest'!$B$8,0)-O145-P145),0)</f>
        <v>0</v>
      </c>
      <c r="T145">
        <f>R145*(1+MAX(0,'Prepay vs Invest'!$B$13-'Prepay vs Invest'!$B$14)/1200)+S145</f>
        <v>0</v>
      </c>
      <c r="U145">
        <f t="shared" si="44"/>
        <v>0</v>
      </c>
      <c r="V145">
        <f>MAX(0,(T145-U145-'Prepay vs Invest'!$B$16)*'Prepay vs Invest'!$B$15/100)</f>
        <v>0</v>
      </c>
      <c r="W145">
        <f t="shared" si="36"/>
        <v>0</v>
      </c>
      <c r="X145">
        <f t="shared" si="45"/>
        <v>4505904.5739445658</v>
      </c>
      <c r="Y145">
        <f>IF(X145&gt;0,X145*'Prepay vs Invest'!$B$6/1200,0)</f>
        <v>28161.903587153534</v>
      </c>
      <c r="Z145">
        <f>IF(X145&gt;0,MIN(-PMT('Prepay vs Invest'!$B$6/1200,'Prepay vs Invest'!$B$7*12-A145+1,X145),X145+Y145),0)</f>
        <v>62088.365293747935</v>
      </c>
      <c r="AA145">
        <f>MIN(MAX(0,X145+Y145-Z145),IF(AND(A145&gt;='Prepay vs Invest'!$B$11,A145&lt;='Prepay vs Invest'!$B$12),'Prepay vs Invest'!$B$10,0)+IF(A145='Prepay vs Invest'!$B$9,'Prepay vs Invest'!$B$8,0))</f>
        <v>10000</v>
      </c>
      <c r="AB145">
        <f t="shared" si="37"/>
        <v>4461978.1122379713</v>
      </c>
      <c r="AC145">
        <f t="shared" si="46"/>
        <v>2576948.4509025617</v>
      </c>
      <c r="AD145">
        <f>IF(A145&lt;='Prepay vs Invest'!$B$7*12,MAX(0,'Prepay vs Invest'!$E$5+IF(AND(A145&gt;='Prepay vs Invest'!$B$11,A145&lt;='Prepay vs Invest'!$B$12),'Prepay vs Invest'!$B$10,0)+IF(A145='Prepay vs Invest'!$B$9,'Prepay vs Invest'!$B$8,0)-Z145-AA145),0)</f>
        <v>18470.954061432785</v>
      </c>
      <c r="AE145">
        <f>AC145*(1+MAX(0,'Prepay vs Invest'!$B$13-'Prepay vs Invest'!$B$14)/1200)+AD145</f>
        <v>2620115.1609518104</v>
      </c>
      <c r="AF145">
        <f t="shared" si="47"/>
        <v>1487178.2908331947</v>
      </c>
      <c r="AG145">
        <f>MAX(0,(AE145-AF145-'Prepay vs Invest'!$B$16)*'Prepay vs Invest'!$B$15/100)</f>
        <v>125992.10876482696</v>
      </c>
      <c r="AH145">
        <f t="shared" si="38"/>
        <v>2494123.0521869836</v>
      </c>
    </row>
    <row r="146" spans="1:34" x14ac:dyDescent="0.35">
      <c r="A146">
        <f t="shared" si="39"/>
        <v>145</v>
      </c>
      <c r="B146">
        <f>IF(A146&lt;='Prepay vs Invest'!$B$7*12,F145,0)</f>
        <v>5802367.4997517904</v>
      </c>
      <c r="C146">
        <f>IF(B146&gt;0,B146*'Prepay vs Invest'!$B$6/1200,0)</f>
        <v>36264.796873448693</v>
      </c>
      <c r="D146">
        <f>IF(B146&gt;0,MIN(-PMT('Prepay vs Invest'!$B$6/1200,'Prepay vs Invest'!$B$7*12,'Prepay vs Invest'!$B$5),B146+C146),0)</f>
        <v>80559.31935518072</v>
      </c>
      <c r="E146">
        <f t="shared" si="32"/>
        <v>44294.522481732027</v>
      </c>
      <c r="F146">
        <f t="shared" si="33"/>
        <v>5758072.9772700584</v>
      </c>
      <c r="G146">
        <f t="shared" si="40"/>
        <v>4837990.0672572348</v>
      </c>
      <c r="H146">
        <f>IF(A146&lt;='Prepay vs Invest'!$B$7*12,IF(AND(A146&gt;='Prepay vs Invest'!$B$11,A146&lt;='Prepay vs Invest'!$B$12),'Prepay vs Invest'!$B$10,0)+IF(A146='Prepay vs Invest'!$B$9,'Prepay vs Invest'!$B$8,0),0)</f>
        <v>10000</v>
      </c>
      <c r="I146">
        <f>G146*(1+MAX(0,'Prepay vs Invest'!$B$13-'Prepay vs Invest'!$B$14)/1200)+H146</f>
        <v>4894354.1387351165</v>
      </c>
      <c r="J146">
        <f t="shared" si="41"/>
        <v>1950000</v>
      </c>
      <c r="K146">
        <f>MAX(0,(I146-J146-'Prepay vs Invest'!$B$16)*'Prepay vs Invest'!$B$15/100)</f>
        <v>352419.26734188962</v>
      </c>
      <c r="L146">
        <f t="shared" si="34"/>
        <v>4541934.871393227</v>
      </c>
      <c r="M146">
        <f t="shared" si="42"/>
        <v>2339994.5600714069</v>
      </c>
      <c r="N146">
        <f>IF(M146&gt;0,M146*'Prepay vs Invest'!$B$6/1200,0)</f>
        <v>14624.966000446293</v>
      </c>
      <c r="O146">
        <f>IF(M146&gt;0,MIN('Prepay vs Invest'!$E$5,M146+N146),0)</f>
        <v>80559.31935518072</v>
      </c>
      <c r="P146">
        <f>MIN(MAX(0,M146+N146-O146),IF(AND(A146&gt;='Prepay vs Invest'!$B$11,A146&lt;='Prepay vs Invest'!$B$12),'Prepay vs Invest'!$B$10,0)+IF(A146='Prepay vs Invest'!$B$9,'Prepay vs Invest'!$B$8,0))</f>
        <v>10000</v>
      </c>
      <c r="Q146">
        <f t="shared" si="35"/>
        <v>2264060.2067166725</v>
      </c>
      <c r="R146">
        <f t="shared" si="43"/>
        <v>0</v>
      </c>
      <c r="S146">
        <f>IF(A146&lt;='Prepay vs Invest'!$B$7*12,MAX(0,'Prepay vs Invest'!$E$5+IF(AND(A146&gt;='Prepay vs Invest'!$B$11,A146&lt;='Prepay vs Invest'!$B$12),'Prepay vs Invest'!$B$10,0)+IF(A146='Prepay vs Invest'!$B$9,'Prepay vs Invest'!$B$8,0)-O146-P146),0)</f>
        <v>0</v>
      </c>
      <c r="T146">
        <f>R146*(1+MAX(0,'Prepay vs Invest'!$B$13-'Prepay vs Invest'!$B$14)/1200)+S146</f>
        <v>0</v>
      </c>
      <c r="U146">
        <f t="shared" si="44"/>
        <v>0</v>
      </c>
      <c r="V146">
        <f>MAX(0,(T146-U146-'Prepay vs Invest'!$B$16)*'Prepay vs Invest'!$B$15/100)</f>
        <v>0</v>
      </c>
      <c r="W146">
        <f t="shared" si="36"/>
        <v>0</v>
      </c>
      <c r="X146">
        <f t="shared" si="45"/>
        <v>4461978.1122379713</v>
      </c>
      <c r="Y146">
        <f>IF(X146&gt;0,X146*'Prepay vs Invest'!$B$6/1200,0)</f>
        <v>27887.363201487318</v>
      </c>
      <c r="Z146">
        <f>IF(X146&gt;0,MIN(-PMT('Prepay vs Invest'!$B$6/1200,'Prepay vs Invest'!$B$7*12-A146+1,X146),X146+Y146),0)</f>
        <v>61949.526588066808</v>
      </c>
      <c r="AA146">
        <f>MIN(MAX(0,X146+Y146-Z146),IF(AND(A146&gt;='Prepay vs Invest'!$B$11,A146&lt;='Prepay vs Invest'!$B$12),'Prepay vs Invest'!$B$10,0)+IF(A146='Prepay vs Invest'!$B$9,'Prepay vs Invest'!$B$8,0))</f>
        <v>10000</v>
      </c>
      <c r="AB146">
        <f t="shared" si="37"/>
        <v>4417915.9488513917</v>
      </c>
      <c r="AC146">
        <f t="shared" si="46"/>
        <v>2620115.1609518104</v>
      </c>
      <c r="AD146">
        <f>IF(A146&lt;='Prepay vs Invest'!$B$7*12,MAX(0,'Prepay vs Invest'!$E$5+IF(AND(A146&gt;='Prepay vs Invest'!$B$11,A146&lt;='Prepay vs Invest'!$B$12),'Prepay vs Invest'!$B$10,0)+IF(A146='Prepay vs Invest'!$B$9,'Prepay vs Invest'!$B$8,0)-Z146-AA146),0)</f>
        <v>18609.792767113911</v>
      </c>
      <c r="AE146">
        <f>AC146*(1+MAX(0,'Prepay vs Invest'!$B$13-'Prepay vs Invest'!$B$14)/1200)+AD146</f>
        <v>2663834.3906780458</v>
      </c>
      <c r="AF146">
        <f t="shared" si="47"/>
        <v>1505788.0836003087</v>
      </c>
      <c r="AG146">
        <f>MAX(0,(AE146-AF146-'Prepay vs Invest'!$B$16)*'Prepay vs Invest'!$B$15/100)</f>
        <v>129130.78838471713</v>
      </c>
      <c r="AH146">
        <f t="shared" si="38"/>
        <v>2534703.6022933288</v>
      </c>
    </row>
    <row r="147" spans="1:34" x14ac:dyDescent="0.35">
      <c r="A147">
        <f t="shared" si="39"/>
        <v>146</v>
      </c>
      <c r="B147">
        <f>IF(A147&lt;='Prepay vs Invest'!$B$7*12,F146,0)</f>
        <v>5758072.9772700584</v>
      </c>
      <c r="C147">
        <f>IF(B147&gt;0,B147*'Prepay vs Invest'!$B$6/1200,0)</f>
        <v>35987.956107937869</v>
      </c>
      <c r="D147">
        <f>IF(B147&gt;0,MIN(-PMT('Prepay vs Invest'!$B$6/1200,'Prepay vs Invest'!$B$7*12,'Prepay vs Invest'!$B$5),B147+C147),0)</f>
        <v>80559.31935518072</v>
      </c>
      <c r="E147">
        <f t="shared" si="32"/>
        <v>44571.363247242851</v>
      </c>
      <c r="F147">
        <f t="shared" si="33"/>
        <v>5713501.6140228156</v>
      </c>
      <c r="G147">
        <f t="shared" si="40"/>
        <v>4894354.1387351165</v>
      </c>
      <c r="H147">
        <f>IF(A147&lt;='Prepay vs Invest'!$B$7*12,IF(AND(A147&gt;='Prepay vs Invest'!$B$11,A147&lt;='Prepay vs Invest'!$B$12),'Prepay vs Invest'!$B$10,0)+IF(A147='Prepay vs Invest'!$B$9,'Prepay vs Invest'!$B$8,0),0)</f>
        <v>10000</v>
      </c>
      <c r="I147">
        <f>G147*(1+MAX(0,'Prepay vs Invest'!$B$13-'Prepay vs Invest'!$B$14)/1200)+H147</f>
        <v>4951258.3658979945</v>
      </c>
      <c r="J147">
        <f t="shared" si="41"/>
        <v>1960000</v>
      </c>
      <c r="K147">
        <f>MAX(0,(I147-J147-'Prepay vs Invest'!$B$16)*'Prepay vs Invest'!$B$15/100)</f>
        <v>358282.29573724931</v>
      </c>
      <c r="L147">
        <f t="shared" si="34"/>
        <v>4592976.0701607447</v>
      </c>
      <c r="M147">
        <f t="shared" si="42"/>
        <v>2264060.2067166725</v>
      </c>
      <c r="N147">
        <f>IF(M147&gt;0,M147*'Prepay vs Invest'!$B$6/1200,0)</f>
        <v>14150.376291979204</v>
      </c>
      <c r="O147">
        <f>IF(M147&gt;0,MIN('Prepay vs Invest'!$E$5,M147+N147),0)</f>
        <v>80559.31935518072</v>
      </c>
      <c r="P147">
        <f>MIN(MAX(0,M147+N147-O147),IF(AND(A147&gt;='Prepay vs Invest'!$B$11,A147&lt;='Prepay vs Invest'!$B$12),'Prepay vs Invest'!$B$10,0)+IF(A147='Prepay vs Invest'!$B$9,'Prepay vs Invest'!$B$8,0))</f>
        <v>10000</v>
      </c>
      <c r="Q147">
        <f t="shared" si="35"/>
        <v>2187651.2636534711</v>
      </c>
      <c r="R147">
        <f t="shared" si="43"/>
        <v>0</v>
      </c>
      <c r="S147">
        <f>IF(A147&lt;='Prepay vs Invest'!$B$7*12,MAX(0,'Prepay vs Invest'!$E$5+IF(AND(A147&gt;='Prepay vs Invest'!$B$11,A147&lt;='Prepay vs Invest'!$B$12),'Prepay vs Invest'!$B$10,0)+IF(A147='Prepay vs Invest'!$B$9,'Prepay vs Invest'!$B$8,0)-O147-P147),0)</f>
        <v>0</v>
      </c>
      <c r="T147">
        <f>R147*(1+MAX(0,'Prepay vs Invest'!$B$13-'Prepay vs Invest'!$B$14)/1200)+S147</f>
        <v>0</v>
      </c>
      <c r="U147">
        <f t="shared" si="44"/>
        <v>0</v>
      </c>
      <c r="V147">
        <f>MAX(0,(T147-U147-'Prepay vs Invest'!$B$16)*'Prepay vs Invest'!$B$15/100)</f>
        <v>0</v>
      </c>
      <c r="W147">
        <f t="shared" si="36"/>
        <v>0</v>
      </c>
      <c r="X147">
        <f t="shared" si="45"/>
        <v>4417915.9488513917</v>
      </c>
      <c r="Y147">
        <f>IF(X147&gt;0,X147*'Prepay vs Invest'!$B$6/1200,0)</f>
        <v>27611.974680321197</v>
      </c>
      <c r="Z147">
        <f>IF(X147&gt;0,MIN(-PMT('Prepay vs Invest'!$B$6/1200,'Prepay vs Invest'!$B$7*12-A147+1,X147),X147+Y147),0)</f>
        <v>61809.619852474534</v>
      </c>
      <c r="AA147">
        <f>MIN(MAX(0,X147+Y147-Z147),IF(AND(A147&gt;='Prepay vs Invest'!$B$11,A147&lt;='Prepay vs Invest'!$B$12),'Prepay vs Invest'!$B$10,0)+IF(A147='Prepay vs Invest'!$B$9,'Prepay vs Invest'!$B$8,0))</f>
        <v>10000</v>
      </c>
      <c r="AB147">
        <f t="shared" si="37"/>
        <v>4373718.3036792381</v>
      </c>
      <c r="AC147">
        <f t="shared" si="46"/>
        <v>2663834.3906780458</v>
      </c>
      <c r="AD147">
        <f>IF(A147&lt;='Prepay vs Invest'!$B$7*12,MAX(0,'Prepay vs Invest'!$E$5+IF(AND(A147&gt;='Prepay vs Invest'!$B$11,A147&lt;='Prepay vs Invest'!$B$12),'Prepay vs Invest'!$B$10,0)+IF(A147='Prepay vs Invest'!$B$9,'Prepay vs Invest'!$B$8,0)-Z147-AA147),0)</f>
        <v>18749.699502706186</v>
      </c>
      <c r="AE147">
        <f>AC147*(1+MAX(0,'Prepay vs Invest'!$B$13-'Prepay vs Invest'!$B$14)/1200)+AD147</f>
        <v>2708112.5030914163</v>
      </c>
      <c r="AF147">
        <f t="shared" si="47"/>
        <v>1524537.783103015</v>
      </c>
      <c r="AG147">
        <f>MAX(0,(AE147-AF147-'Prepay vs Invest'!$B$16)*'Prepay vs Invest'!$B$15/100)</f>
        <v>132321.83999855016</v>
      </c>
      <c r="AH147">
        <f t="shared" si="38"/>
        <v>2575790.6630928661</v>
      </c>
    </row>
    <row r="148" spans="1:34" x14ac:dyDescent="0.35">
      <c r="A148">
        <f t="shared" si="39"/>
        <v>147</v>
      </c>
      <c r="B148">
        <f>IF(A148&lt;='Prepay vs Invest'!$B$7*12,F147,0)</f>
        <v>5713501.6140228156</v>
      </c>
      <c r="C148">
        <f>IF(B148&gt;0,B148*'Prepay vs Invest'!$B$6/1200,0)</f>
        <v>35709.385087642593</v>
      </c>
      <c r="D148">
        <f>IF(B148&gt;0,MIN(-PMT('Prepay vs Invest'!$B$6/1200,'Prepay vs Invest'!$B$7*12,'Prepay vs Invest'!$B$5),B148+C148),0)</f>
        <v>80559.31935518072</v>
      </c>
      <c r="E148">
        <f t="shared" si="32"/>
        <v>44849.934267538127</v>
      </c>
      <c r="F148">
        <f t="shared" si="33"/>
        <v>5668651.6797552779</v>
      </c>
      <c r="G148">
        <f t="shared" si="40"/>
        <v>4951258.3658979945</v>
      </c>
      <c r="H148">
        <f>IF(A148&lt;='Prepay vs Invest'!$B$7*12,IF(AND(A148&gt;='Prepay vs Invest'!$B$11,A148&lt;='Prepay vs Invest'!$B$12),'Prepay vs Invest'!$B$10,0)+IF(A148='Prepay vs Invest'!$B$9,'Prepay vs Invest'!$B$8,0),0)</f>
        <v>10000</v>
      </c>
      <c r="I148">
        <f>G148*(1+MAX(0,'Prepay vs Invest'!$B$13-'Prepay vs Invest'!$B$14)/1200)+H148</f>
        <v>5008707.9252378503</v>
      </c>
      <c r="J148">
        <f t="shared" si="41"/>
        <v>1970000</v>
      </c>
      <c r="K148">
        <f>MAX(0,(I148-J148-'Prepay vs Invest'!$B$16)*'Prepay vs Invest'!$B$15/100)</f>
        <v>364213.49065473134</v>
      </c>
      <c r="L148">
        <f t="shared" si="34"/>
        <v>4644494.4345831191</v>
      </c>
      <c r="M148">
        <f t="shared" si="42"/>
        <v>2187651.2636534711</v>
      </c>
      <c r="N148">
        <f>IF(M148&gt;0,M148*'Prepay vs Invest'!$B$6/1200,0)</f>
        <v>13672.820397834193</v>
      </c>
      <c r="O148">
        <f>IF(M148&gt;0,MIN('Prepay vs Invest'!$E$5,M148+N148),0)</f>
        <v>80559.31935518072</v>
      </c>
      <c r="P148">
        <f>MIN(MAX(0,M148+N148-O148),IF(AND(A148&gt;='Prepay vs Invest'!$B$11,A148&lt;='Prepay vs Invest'!$B$12),'Prepay vs Invest'!$B$10,0)+IF(A148='Prepay vs Invest'!$B$9,'Prepay vs Invest'!$B$8,0))</f>
        <v>10000</v>
      </c>
      <c r="Q148">
        <f t="shared" si="35"/>
        <v>2110764.7646961249</v>
      </c>
      <c r="R148">
        <f t="shared" si="43"/>
        <v>0</v>
      </c>
      <c r="S148">
        <f>IF(A148&lt;='Prepay vs Invest'!$B$7*12,MAX(0,'Prepay vs Invest'!$E$5+IF(AND(A148&gt;='Prepay vs Invest'!$B$11,A148&lt;='Prepay vs Invest'!$B$12),'Prepay vs Invest'!$B$10,0)+IF(A148='Prepay vs Invest'!$B$9,'Prepay vs Invest'!$B$8,0)-O148-P148),0)</f>
        <v>0</v>
      </c>
      <c r="T148">
        <f>R148*(1+MAX(0,'Prepay vs Invest'!$B$13-'Prepay vs Invest'!$B$14)/1200)+S148</f>
        <v>0</v>
      </c>
      <c r="U148">
        <f t="shared" si="44"/>
        <v>0</v>
      </c>
      <c r="V148">
        <f>MAX(0,(T148-U148-'Prepay vs Invest'!$B$16)*'Prepay vs Invest'!$B$15/100)</f>
        <v>0</v>
      </c>
      <c r="W148">
        <f t="shared" si="36"/>
        <v>0</v>
      </c>
      <c r="X148">
        <f t="shared" si="45"/>
        <v>4373718.3036792381</v>
      </c>
      <c r="Y148">
        <f>IF(X148&gt;0,X148*'Prepay vs Invest'!$B$6/1200,0)</f>
        <v>27335.739397995239</v>
      </c>
      <c r="Z148">
        <f>IF(X148&gt;0,MIN(-PMT('Prepay vs Invest'!$B$6/1200,'Prepay vs Invest'!$B$7*12-A148+1,X148),X148+Y148),0)</f>
        <v>61668.621696181974</v>
      </c>
      <c r="AA148">
        <f>MIN(MAX(0,X148+Y148-Z148),IF(AND(A148&gt;='Prepay vs Invest'!$B$11,A148&lt;='Prepay vs Invest'!$B$12),'Prepay vs Invest'!$B$10,0)+IF(A148='Prepay vs Invest'!$B$9,'Prepay vs Invest'!$B$8,0))</f>
        <v>10000</v>
      </c>
      <c r="AB148">
        <f t="shared" si="37"/>
        <v>4329385.4213810517</v>
      </c>
      <c r="AC148">
        <f t="shared" si="46"/>
        <v>2708112.5030914163</v>
      </c>
      <c r="AD148">
        <f>IF(A148&lt;='Prepay vs Invest'!$B$7*12,MAX(0,'Prepay vs Invest'!$E$5+IF(AND(A148&gt;='Prepay vs Invest'!$B$11,A148&lt;='Prepay vs Invest'!$B$12),'Prepay vs Invest'!$B$10,0)+IF(A148='Prepay vs Invest'!$B$9,'Prepay vs Invest'!$B$8,0)-Z148-AA148),0)</f>
        <v>18890.697658998746</v>
      </c>
      <c r="AE148">
        <f>AC148*(1+MAX(0,'Prepay vs Invest'!$B$13-'Prepay vs Invest'!$B$14)/1200)+AD148</f>
        <v>2752955.945571708</v>
      </c>
      <c r="AF148">
        <f t="shared" si="47"/>
        <v>1543428.4807620137</v>
      </c>
      <c r="AG148">
        <f>MAX(0,(AE148-AF148-'Prepay vs Invest'!$B$16)*'Prepay vs Invest'!$B$15/100)</f>
        <v>135565.93310121179</v>
      </c>
      <c r="AH148">
        <f t="shared" si="38"/>
        <v>2617390.0124704964</v>
      </c>
    </row>
    <row r="149" spans="1:34" x14ac:dyDescent="0.35">
      <c r="A149">
        <f t="shared" si="39"/>
        <v>148</v>
      </c>
      <c r="B149">
        <f>IF(A149&lt;='Prepay vs Invest'!$B$7*12,F148,0)</f>
        <v>5668651.6797552779</v>
      </c>
      <c r="C149">
        <f>IF(B149&gt;0,B149*'Prepay vs Invest'!$B$6/1200,0)</f>
        <v>35429.072998470489</v>
      </c>
      <c r="D149">
        <f>IF(B149&gt;0,MIN(-PMT('Prepay vs Invest'!$B$6/1200,'Prepay vs Invest'!$B$7*12,'Prepay vs Invest'!$B$5),B149+C149),0)</f>
        <v>80559.31935518072</v>
      </c>
      <c r="E149">
        <f t="shared" si="32"/>
        <v>45130.246356710231</v>
      </c>
      <c r="F149">
        <f t="shared" si="33"/>
        <v>5623521.4333985681</v>
      </c>
      <c r="G149">
        <f t="shared" si="40"/>
        <v>5008707.9252378503</v>
      </c>
      <c r="H149">
        <f>IF(A149&lt;='Prepay vs Invest'!$B$7*12,IF(AND(A149&gt;='Prepay vs Invest'!$B$11,A149&lt;='Prepay vs Invest'!$B$12),'Prepay vs Invest'!$B$10,0)+IF(A149='Prepay vs Invest'!$B$9,'Prepay vs Invest'!$B$8,0),0)</f>
        <v>10000</v>
      </c>
      <c r="I149">
        <f>G149*(1+MAX(0,'Prepay vs Invest'!$B$13-'Prepay vs Invest'!$B$14)/1200)+H149</f>
        <v>5066708.0428547123</v>
      </c>
      <c r="J149">
        <f t="shared" si="41"/>
        <v>1980000</v>
      </c>
      <c r="K149">
        <f>MAX(0,(I149-J149-'Prepay vs Invest'!$B$16)*'Prepay vs Invest'!$B$15/100)</f>
        <v>370213.5053568391</v>
      </c>
      <c r="L149">
        <f t="shared" si="34"/>
        <v>4696494.5374978734</v>
      </c>
      <c r="M149">
        <f t="shared" si="42"/>
        <v>2110764.7646961249</v>
      </c>
      <c r="N149">
        <f>IF(M149&gt;0,M149*'Prepay vs Invest'!$B$6/1200,0)</f>
        <v>13192.279779350782</v>
      </c>
      <c r="O149">
        <f>IF(M149&gt;0,MIN('Prepay vs Invest'!$E$5,M149+N149),0)</f>
        <v>80559.31935518072</v>
      </c>
      <c r="P149">
        <f>MIN(MAX(0,M149+N149-O149),IF(AND(A149&gt;='Prepay vs Invest'!$B$11,A149&lt;='Prepay vs Invest'!$B$12),'Prepay vs Invest'!$B$10,0)+IF(A149='Prepay vs Invest'!$B$9,'Prepay vs Invest'!$B$8,0))</f>
        <v>10000</v>
      </c>
      <c r="Q149">
        <f t="shared" si="35"/>
        <v>2033397.7251202951</v>
      </c>
      <c r="R149">
        <f t="shared" si="43"/>
        <v>0</v>
      </c>
      <c r="S149">
        <f>IF(A149&lt;='Prepay vs Invest'!$B$7*12,MAX(0,'Prepay vs Invest'!$E$5+IF(AND(A149&gt;='Prepay vs Invest'!$B$11,A149&lt;='Prepay vs Invest'!$B$12),'Prepay vs Invest'!$B$10,0)+IF(A149='Prepay vs Invest'!$B$9,'Prepay vs Invest'!$B$8,0)-O149-P149),0)</f>
        <v>0</v>
      </c>
      <c r="T149">
        <f>R149*(1+MAX(0,'Prepay vs Invest'!$B$13-'Prepay vs Invest'!$B$14)/1200)+S149</f>
        <v>0</v>
      </c>
      <c r="U149">
        <f t="shared" si="44"/>
        <v>0</v>
      </c>
      <c r="V149">
        <f>MAX(0,(T149-U149-'Prepay vs Invest'!$B$16)*'Prepay vs Invest'!$B$15/100)</f>
        <v>0</v>
      </c>
      <c r="W149">
        <f t="shared" si="36"/>
        <v>0</v>
      </c>
      <c r="X149">
        <f t="shared" si="45"/>
        <v>4329385.4213810517</v>
      </c>
      <c r="Y149">
        <f>IF(X149&gt;0,X149*'Prepay vs Invest'!$B$6/1200,0)</f>
        <v>27058.658883631575</v>
      </c>
      <c r="Z149">
        <f>IF(X149&gt;0,MIN(-PMT('Prepay vs Invest'!$B$6/1200,'Prepay vs Invest'!$B$7*12-A149+1,X149),X149+Y149),0)</f>
        <v>61526.507973366934</v>
      </c>
      <c r="AA149">
        <f>MIN(MAX(0,X149+Y149-Z149),IF(AND(A149&gt;='Prepay vs Invest'!$B$11,A149&lt;='Prepay vs Invest'!$B$12),'Prepay vs Invest'!$B$10,0)+IF(A149='Prepay vs Invest'!$B$9,'Prepay vs Invest'!$B$8,0))</f>
        <v>10000</v>
      </c>
      <c r="AB149">
        <f t="shared" si="37"/>
        <v>4284917.5722913155</v>
      </c>
      <c r="AC149">
        <f t="shared" si="46"/>
        <v>2752955.945571708</v>
      </c>
      <c r="AD149">
        <f>IF(A149&lt;='Prepay vs Invest'!$B$7*12,MAX(0,'Prepay vs Invest'!$E$5+IF(AND(A149&gt;='Prepay vs Invest'!$B$11,A149&lt;='Prepay vs Invest'!$B$12),'Prepay vs Invest'!$B$10,0)+IF(A149='Prepay vs Invest'!$B$9,'Prepay vs Invest'!$B$8,0)-Z149-AA149),0)</f>
        <v>19032.811381813786</v>
      </c>
      <c r="AE149">
        <f>AC149*(1+MAX(0,'Prepay vs Invest'!$B$13-'Prepay vs Invest'!$B$14)/1200)+AD149</f>
        <v>2798371.2514319168</v>
      </c>
      <c r="AF149">
        <f t="shared" si="47"/>
        <v>1562461.2921438275</v>
      </c>
      <c r="AG149">
        <f>MAX(0,(AE149-AF149-'Prepay vs Invest'!$B$16)*'Prepay vs Invest'!$B$15/100)</f>
        <v>138863.74491101116</v>
      </c>
      <c r="AH149">
        <f t="shared" si="38"/>
        <v>2659507.5065209055</v>
      </c>
    </row>
    <row r="150" spans="1:34" x14ac:dyDescent="0.35">
      <c r="A150">
        <f t="shared" si="39"/>
        <v>149</v>
      </c>
      <c r="B150">
        <f>IF(A150&lt;='Prepay vs Invest'!$B$7*12,F149,0)</f>
        <v>5623521.4333985681</v>
      </c>
      <c r="C150">
        <f>IF(B150&gt;0,B150*'Prepay vs Invest'!$B$6/1200,0)</f>
        <v>35147.008958741048</v>
      </c>
      <c r="D150">
        <f>IF(B150&gt;0,MIN(-PMT('Prepay vs Invest'!$B$6/1200,'Prepay vs Invest'!$B$7*12,'Prepay vs Invest'!$B$5),B150+C150),0)</f>
        <v>80559.31935518072</v>
      </c>
      <c r="E150">
        <f t="shared" si="32"/>
        <v>45412.310396439672</v>
      </c>
      <c r="F150">
        <f t="shared" si="33"/>
        <v>5578109.1230021287</v>
      </c>
      <c r="G150">
        <f t="shared" si="40"/>
        <v>5066708.0428547123</v>
      </c>
      <c r="H150">
        <f>IF(A150&lt;='Prepay vs Invest'!$B$7*12,IF(AND(A150&gt;='Prepay vs Invest'!$B$11,A150&lt;='Prepay vs Invest'!$B$12),'Prepay vs Invest'!$B$10,0)+IF(A150='Prepay vs Invest'!$B$9,'Prepay vs Invest'!$B$8,0),0)</f>
        <v>10000</v>
      </c>
      <c r="I150">
        <f>G150*(1+MAX(0,'Prepay vs Invest'!$B$13-'Prepay vs Invest'!$B$14)/1200)+H150</f>
        <v>5125263.9949320694</v>
      </c>
      <c r="J150">
        <f t="shared" si="41"/>
        <v>1990000</v>
      </c>
      <c r="K150">
        <f>MAX(0,(I150-J150-'Prepay vs Invest'!$B$16)*'Prepay vs Invest'!$B$15/100)</f>
        <v>376282.99936650862</v>
      </c>
      <c r="L150">
        <f t="shared" si="34"/>
        <v>4748980.9955655606</v>
      </c>
      <c r="M150">
        <f t="shared" si="42"/>
        <v>2033397.7251202951</v>
      </c>
      <c r="N150">
        <f>IF(M150&gt;0,M150*'Prepay vs Invest'!$B$6/1200,0)</f>
        <v>12708.735782001844</v>
      </c>
      <c r="O150">
        <f>IF(M150&gt;0,MIN('Prepay vs Invest'!$E$5,M150+N150),0)</f>
        <v>80559.31935518072</v>
      </c>
      <c r="P150">
        <f>MIN(MAX(0,M150+N150-O150),IF(AND(A150&gt;='Prepay vs Invest'!$B$11,A150&lt;='Prepay vs Invest'!$B$12),'Prepay vs Invest'!$B$10,0)+IF(A150='Prepay vs Invest'!$B$9,'Prepay vs Invest'!$B$8,0))</f>
        <v>10000</v>
      </c>
      <c r="Q150">
        <f t="shared" si="35"/>
        <v>1955547.1415471162</v>
      </c>
      <c r="R150">
        <f t="shared" si="43"/>
        <v>0</v>
      </c>
      <c r="S150">
        <f>IF(A150&lt;='Prepay vs Invest'!$B$7*12,MAX(0,'Prepay vs Invest'!$E$5+IF(AND(A150&gt;='Prepay vs Invest'!$B$11,A150&lt;='Prepay vs Invest'!$B$12),'Prepay vs Invest'!$B$10,0)+IF(A150='Prepay vs Invest'!$B$9,'Prepay vs Invest'!$B$8,0)-O150-P150),0)</f>
        <v>0</v>
      </c>
      <c r="T150">
        <f>R150*(1+MAX(0,'Prepay vs Invest'!$B$13-'Prepay vs Invest'!$B$14)/1200)+S150</f>
        <v>0</v>
      </c>
      <c r="U150">
        <f t="shared" si="44"/>
        <v>0</v>
      </c>
      <c r="V150">
        <f>MAX(0,(T150-U150-'Prepay vs Invest'!$B$16)*'Prepay vs Invest'!$B$15/100)</f>
        <v>0</v>
      </c>
      <c r="W150">
        <f t="shared" si="36"/>
        <v>0</v>
      </c>
      <c r="X150">
        <f t="shared" si="45"/>
        <v>4284917.5722913155</v>
      </c>
      <c r="Y150">
        <f>IF(X150&gt;0,X150*'Prepay vs Invest'!$B$6/1200,0)</f>
        <v>26780.734826820724</v>
      </c>
      <c r="Z150">
        <f>IF(X150&gt;0,MIN(-PMT('Prepay vs Invest'!$B$6/1200,'Prepay vs Invest'!$B$7*12-A150+1,X150),X150+Y150),0)</f>
        <v>61383.253750351541</v>
      </c>
      <c r="AA150">
        <f>MIN(MAX(0,X150+Y150-Z150),IF(AND(A150&gt;='Prepay vs Invest'!$B$11,A150&lt;='Prepay vs Invest'!$B$12),'Prepay vs Invest'!$B$10,0)+IF(A150='Prepay vs Invest'!$B$9,'Prepay vs Invest'!$B$8,0))</f>
        <v>10000</v>
      </c>
      <c r="AB150">
        <f t="shared" si="37"/>
        <v>4240315.0533677852</v>
      </c>
      <c r="AC150">
        <f t="shared" si="46"/>
        <v>2798371.2514319168</v>
      </c>
      <c r="AD150">
        <f>IF(A150&lt;='Prepay vs Invest'!$B$7*12,MAX(0,'Prepay vs Invest'!$E$5+IF(AND(A150&gt;='Prepay vs Invest'!$B$11,A150&lt;='Prepay vs Invest'!$B$12),'Prepay vs Invest'!$B$10,0)+IF(A150='Prepay vs Invest'!$B$9,'Prepay vs Invest'!$B$8,0)-Z150-AA150),0)</f>
        <v>19176.065604829178</v>
      </c>
      <c r="AE150">
        <f>AC150*(1+MAX(0,'Prepay vs Invest'!$B$13-'Prepay vs Invest'!$B$14)/1200)+AD150</f>
        <v>2844365.041529635</v>
      </c>
      <c r="AF150">
        <f t="shared" si="47"/>
        <v>1581637.3577486568</v>
      </c>
      <c r="AG150">
        <f>MAX(0,(AE150-AF150-'Prepay vs Invest'!$B$16)*'Prepay vs Invest'!$B$15/100)</f>
        <v>142215.96047262228</v>
      </c>
      <c r="AH150">
        <f t="shared" si="38"/>
        <v>2702149.0810570125</v>
      </c>
    </row>
    <row r="151" spans="1:34" x14ac:dyDescent="0.35">
      <c r="A151">
        <f t="shared" si="39"/>
        <v>150</v>
      </c>
      <c r="B151">
        <f>IF(A151&lt;='Prepay vs Invest'!$B$7*12,F150,0)</f>
        <v>5578109.1230021287</v>
      </c>
      <c r="C151">
        <f>IF(B151&gt;0,B151*'Prepay vs Invest'!$B$6/1200,0)</f>
        <v>34863.182018763306</v>
      </c>
      <c r="D151">
        <f>IF(B151&gt;0,MIN(-PMT('Prepay vs Invest'!$B$6/1200,'Prepay vs Invest'!$B$7*12,'Prepay vs Invest'!$B$5),B151+C151),0)</f>
        <v>80559.31935518072</v>
      </c>
      <c r="E151">
        <f t="shared" si="32"/>
        <v>45696.137336417414</v>
      </c>
      <c r="F151">
        <f t="shared" si="33"/>
        <v>5532412.9856657116</v>
      </c>
      <c r="G151">
        <f t="shared" si="40"/>
        <v>5125263.9949320694</v>
      </c>
      <c r="H151">
        <f>IF(A151&lt;='Prepay vs Invest'!$B$7*12,IF(AND(A151&gt;='Prepay vs Invest'!$B$11,A151&lt;='Prepay vs Invest'!$B$12),'Prepay vs Invest'!$B$10,0)+IF(A151='Prepay vs Invest'!$B$9,'Prepay vs Invest'!$B$8,0),0)</f>
        <v>10000</v>
      </c>
      <c r="I151">
        <f>G151*(1+MAX(0,'Prepay vs Invest'!$B$13-'Prepay vs Invest'!$B$14)/1200)+H151</f>
        <v>5184381.1082168352</v>
      </c>
      <c r="J151">
        <f t="shared" si="41"/>
        <v>2000000</v>
      </c>
      <c r="K151">
        <f>MAX(0,(I151-J151-'Prepay vs Invest'!$B$16)*'Prepay vs Invest'!$B$15/100)</f>
        <v>382422.6385271044</v>
      </c>
      <c r="L151">
        <f t="shared" si="34"/>
        <v>4801958.4696897306</v>
      </c>
      <c r="M151">
        <f t="shared" si="42"/>
        <v>1955547.1415471162</v>
      </c>
      <c r="N151">
        <f>IF(M151&gt;0,M151*'Prepay vs Invest'!$B$6/1200,0)</f>
        <v>12222.169634669475</v>
      </c>
      <c r="O151">
        <f>IF(M151&gt;0,MIN('Prepay vs Invest'!$E$5,M151+N151),0)</f>
        <v>80559.31935518072</v>
      </c>
      <c r="P151">
        <f>MIN(MAX(0,M151+N151-O151),IF(AND(A151&gt;='Prepay vs Invest'!$B$11,A151&lt;='Prepay vs Invest'!$B$12),'Prepay vs Invest'!$B$10,0)+IF(A151='Prepay vs Invest'!$B$9,'Prepay vs Invest'!$B$8,0))</f>
        <v>10000</v>
      </c>
      <c r="Q151">
        <f t="shared" si="35"/>
        <v>1877209.9918266051</v>
      </c>
      <c r="R151">
        <f t="shared" si="43"/>
        <v>0</v>
      </c>
      <c r="S151">
        <f>IF(A151&lt;='Prepay vs Invest'!$B$7*12,MAX(0,'Prepay vs Invest'!$E$5+IF(AND(A151&gt;='Prepay vs Invest'!$B$11,A151&lt;='Prepay vs Invest'!$B$12),'Prepay vs Invest'!$B$10,0)+IF(A151='Prepay vs Invest'!$B$9,'Prepay vs Invest'!$B$8,0)-O151-P151),0)</f>
        <v>0</v>
      </c>
      <c r="T151">
        <f>R151*(1+MAX(0,'Prepay vs Invest'!$B$13-'Prepay vs Invest'!$B$14)/1200)+S151</f>
        <v>0</v>
      </c>
      <c r="U151">
        <f t="shared" si="44"/>
        <v>0</v>
      </c>
      <c r="V151">
        <f>MAX(0,(T151-U151-'Prepay vs Invest'!$B$16)*'Prepay vs Invest'!$B$15/100)</f>
        <v>0</v>
      </c>
      <c r="W151">
        <f t="shared" si="36"/>
        <v>0</v>
      </c>
      <c r="X151">
        <f t="shared" si="45"/>
        <v>4240315.0533677852</v>
      </c>
      <c r="Y151">
        <f>IF(X151&gt;0,X151*'Prepay vs Invest'!$B$6/1200,0)</f>
        <v>26501.969083548658</v>
      </c>
      <c r="Z151">
        <f>IF(X151&gt;0,MIN(-PMT('Prepay vs Invest'!$B$6/1200,'Prepay vs Invest'!$B$7*12-A151+1,X151),X151+Y151),0)</f>
        <v>61238.83327097624</v>
      </c>
      <c r="AA151">
        <f>MIN(MAX(0,X151+Y151-Z151),IF(AND(A151&gt;='Prepay vs Invest'!$B$11,A151&lt;='Prepay vs Invest'!$B$12),'Prepay vs Invest'!$B$10,0)+IF(A151='Prepay vs Invest'!$B$9,'Prepay vs Invest'!$B$8,0))</f>
        <v>10000</v>
      </c>
      <c r="AB151">
        <f t="shared" si="37"/>
        <v>4195578.1891803574</v>
      </c>
      <c r="AC151">
        <f t="shared" si="46"/>
        <v>2844365.041529635</v>
      </c>
      <c r="AD151">
        <f>IF(A151&lt;='Prepay vs Invest'!$B$7*12,MAX(0,'Prepay vs Invest'!$E$5+IF(AND(A151&gt;='Prepay vs Invest'!$B$11,A151&lt;='Prepay vs Invest'!$B$12),'Prepay vs Invest'!$B$10,0)+IF(A151='Prepay vs Invest'!$B$9,'Prepay vs Invest'!$B$8,0)-Z151-AA151),0)</f>
        <v>19320.48608420448</v>
      </c>
      <c r="AE151">
        <f>AC151*(1+MAX(0,'Prepay vs Invest'!$B$13-'Prepay vs Invest'!$B$14)/1200)+AD151</f>
        <v>2890944.0259284982</v>
      </c>
      <c r="AF151">
        <f t="shared" si="47"/>
        <v>1600957.8438328612</v>
      </c>
      <c r="AG151">
        <f>MAX(0,(AE151-AF151-'Prepay vs Invest'!$B$16)*'Prepay vs Invest'!$B$15/100)</f>
        <v>145623.27276195463</v>
      </c>
      <c r="AH151">
        <f t="shared" si="38"/>
        <v>2745320.7531665438</v>
      </c>
    </row>
    <row r="152" spans="1:34" x14ac:dyDescent="0.35">
      <c r="A152">
        <f t="shared" si="39"/>
        <v>151</v>
      </c>
      <c r="B152">
        <f>IF(A152&lt;='Prepay vs Invest'!$B$7*12,F151,0)</f>
        <v>5532412.9856657116</v>
      </c>
      <c r="C152">
        <f>IF(B152&gt;0,B152*'Prepay vs Invest'!$B$6/1200,0)</f>
        <v>34577.5811604107</v>
      </c>
      <c r="D152">
        <f>IF(B152&gt;0,MIN(-PMT('Prepay vs Invest'!$B$6/1200,'Prepay vs Invest'!$B$7*12,'Prepay vs Invest'!$B$5),B152+C152),0)</f>
        <v>80559.31935518072</v>
      </c>
      <c r="E152">
        <f t="shared" si="32"/>
        <v>45981.73819477002</v>
      </c>
      <c r="F152">
        <f t="shared" si="33"/>
        <v>5486431.2474709414</v>
      </c>
      <c r="G152">
        <f t="shared" si="40"/>
        <v>5184381.1082168352</v>
      </c>
      <c r="H152">
        <f>IF(A152&lt;='Prepay vs Invest'!$B$7*12,IF(AND(A152&gt;='Prepay vs Invest'!$B$11,A152&lt;='Prepay vs Invest'!$B$12),'Prepay vs Invest'!$B$10,0)+IF(A152='Prepay vs Invest'!$B$9,'Prepay vs Invest'!$B$8,0),0)</f>
        <v>10000</v>
      </c>
      <c r="I152">
        <f>G152*(1+MAX(0,'Prepay vs Invest'!$B$13-'Prepay vs Invest'!$B$14)/1200)+H152</f>
        <v>5244064.7605039133</v>
      </c>
      <c r="J152">
        <f t="shared" si="41"/>
        <v>2010000</v>
      </c>
      <c r="K152">
        <f>MAX(0,(I152-J152-'Prepay vs Invest'!$B$16)*'Prepay vs Invest'!$B$15/100)</f>
        <v>388633.09506298916</v>
      </c>
      <c r="L152">
        <f t="shared" si="34"/>
        <v>4855431.6654409245</v>
      </c>
      <c r="M152">
        <f t="shared" si="42"/>
        <v>1877209.9918266051</v>
      </c>
      <c r="N152">
        <f>IF(M152&gt;0,M152*'Prepay vs Invest'!$B$6/1200,0)</f>
        <v>11732.562448916282</v>
      </c>
      <c r="O152">
        <f>IF(M152&gt;0,MIN('Prepay vs Invest'!$E$5,M152+N152),0)</f>
        <v>80559.31935518072</v>
      </c>
      <c r="P152">
        <f>MIN(MAX(0,M152+N152-O152),IF(AND(A152&gt;='Prepay vs Invest'!$B$11,A152&lt;='Prepay vs Invest'!$B$12),'Prepay vs Invest'!$B$10,0)+IF(A152='Prepay vs Invest'!$B$9,'Prepay vs Invest'!$B$8,0))</f>
        <v>10000</v>
      </c>
      <c r="Q152">
        <f t="shared" si="35"/>
        <v>1798383.2349203406</v>
      </c>
      <c r="R152">
        <f t="shared" si="43"/>
        <v>0</v>
      </c>
      <c r="S152">
        <f>IF(A152&lt;='Prepay vs Invest'!$B$7*12,MAX(0,'Prepay vs Invest'!$E$5+IF(AND(A152&gt;='Prepay vs Invest'!$B$11,A152&lt;='Prepay vs Invest'!$B$12),'Prepay vs Invest'!$B$10,0)+IF(A152='Prepay vs Invest'!$B$9,'Prepay vs Invest'!$B$8,0)-O152-P152),0)</f>
        <v>0</v>
      </c>
      <c r="T152">
        <f>R152*(1+MAX(0,'Prepay vs Invest'!$B$13-'Prepay vs Invest'!$B$14)/1200)+S152</f>
        <v>0</v>
      </c>
      <c r="U152">
        <f t="shared" si="44"/>
        <v>0</v>
      </c>
      <c r="V152">
        <f>MAX(0,(T152-U152-'Prepay vs Invest'!$B$16)*'Prepay vs Invest'!$B$15/100)</f>
        <v>0</v>
      </c>
      <c r="W152">
        <f t="shared" si="36"/>
        <v>0</v>
      </c>
      <c r="X152">
        <f t="shared" si="45"/>
        <v>4195578.1891803574</v>
      </c>
      <c r="Y152">
        <f>IF(X152&gt;0,X152*'Prepay vs Invest'!$B$6/1200,0)</f>
        <v>26222.363682377232</v>
      </c>
      <c r="Z152">
        <f>IF(X152&gt;0,MIN(-PMT('Prepay vs Invest'!$B$6/1200,'Prepay vs Invest'!$B$7*12-A152+1,X152),X152+Y152),0)</f>
        <v>61093.219920049763</v>
      </c>
      <c r="AA152">
        <f>MIN(MAX(0,X152+Y152-Z152),IF(AND(A152&gt;='Prepay vs Invest'!$B$11,A152&lt;='Prepay vs Invest'!$B$12),'Prepay vs Invest'!$B$10,0)+IF(A152='Prepay vs Invest'!$B$9,'Prepay vs Invest'!$B$8,0))</f>
        <v>10000</v>
      </c>
      <c r="AB152">
        <f t="shared" si="37"/>
        <v>4150707.3329426846</v>
      </c>
      <c r="AC152">
        <f t="shared" si="46"/>
        <v>2890944.0259284982</v>
      </c>
      <c r="AD152">
        <f>IF(A152&lt;='Prepay vs Invest'!$B$7*12,MAX(0,'Prepay vs Invest'!$E$5+IF(AND(A152&gt;='Prepay vs Invest'!$B$11,A152&lt;='Prepay vs Invest'!$B$12),'Prepay vs Invest'!$B$10,0)+IF(A152='Prepay vs Invest'!$B$9,'Prepay vs Invest'!$B$8,0)-Z152-AA152),0)</f>
        <v>19466.099435130956</v>
      </c>
      <c r="AE152">
        <f>AC152*(1+MAX(0,'Prepay vs Invest'!$B$13-'Prepay vs Invest'!$B$14)/1200)+AD152</f>
        <v>2938115.0056121107</v>
      </c>
      <c r="AF152">
        <f t="shared" si="47"/>
        <v>1620423.9432679922</v>
      </c>
      <c r="AG152">
        <f>MAX(0,(AE152-AF152-'Prepay vs Invest'!$B$16)*'Prepay vs Invest'!$B$15/100)</f>
        <v>149086.38279301481</v>
      </c>
      <c r="AH152">
        <f t="shared" si="38"/>
        <v>2789028.6228190958</v>
      </c>
    </row>
    <row r="153" spans="1:34" x14ac:dyDescent="0.35">
      <c r="A153">
        <f t="shared" si="39"/>
        <v>152</v>
      </c>
      <c r="B153">
        <f>IF(A153&lt;='Prepay vs Invest'!$B$7*12,F152,0)</f>
        <v>5486431.2474709414</v>
      </c>
      <c r="C153">
        <f>IF(B153&gt;0,B153*'Prepay vs Invest'!$B$6/1200,0)</f>
        <v>34290.195296693382</v>
      </c>
      <c r="D153">
        <f>IF(B153&gt;0,MIN(-PMT('Prepay vs Invest'!$B$6/1200,'Prepay vs Invest'!$B$7*12,'Prepay vs Invest'!$B$5),B153+C153),0)</f>
        <v>80559.31935518072</v>
      </c>
      <c r="E153">
        <f t="shared" si="32"/>
        <v>46269.124058487338</v>
      </c>
      <c r="F153">
        <f t="shared" si="33"/>
        <v>5440162.1234124545</v>
      </c>
      <c r="G153">
        <f t="shared" si="40"/>
        <v>5244064.7605039133</v>
      </c>
      <c r="H153">
        <f>IF(A153&lt;='Prepay vs Invest'!$B$7*12,IF(AND(A153&gt;='Prepay vs Invest'!$B$11,A153&lt;='Prepay vs Invest'!$B$12),'Prepay vs Invest'!$B$10,0)+IF(A153='Prepay vs Invest'!$B$9,'Prepay vs Invest'!$B$8,0),0)</f>
        <v>10000</v>
      </c>
      <c r="I153">
        <f>G153*(1+MAX(0,'Prepay vs Invest'!$B$13-'Prepay vs Invest'!$B$14)/1200)+H153</f>
        <v>5304320.3811254092</v>
      </c>
      <c r="J153">
        <f t="shared" si="41"/>
        <v>2020000</v>
      </c>
      <c r="K153">
        <f>MAX(0,(I153-J153-'Prepay vs Invest'!$B$16)*'Prepay vs Invest'!$B$15/100)</f>
        <v>394915.04764067614</v>
      </c>
      <c r="L153">
        <f t="shared" si="34"/>
        <v>4909405.3334847335</v>
      </c>
      <c r="M153">
        <f t="shared" si="42"/>
        <v>1798383.2349203406</v>
      </c>
      <c r="N153">
        <f>IF(M153&gt;0,M153*'Prepay vs Invest'!$B$6/1200,0)</f>
        <v>11239.895218252128</v>
      </c>
      <c r="O153">
        <f>IF(M153&gt;0,MIN('Prepay vs Invest'!$E$5,M153+N153),0)</f>
        <v>80559.31935518072</v>
      </c>
      <c r="P153">
        <f>MIN(MAX(0,M153+N153-O153),IF(AND(A153&gt;='Prepay vs Invest'!$B$11,A153&lt;='Prepay vs Invest'!$B$12),'Prepay vs Invest'!$B$10,0)+IF(A153='Prepay vs Invest'!$B$9,'Prepay vs Invest'!$B$8,0))</f>
        <v>10000</v>
      </c>
      <c r="Q153">
        <f t="shared" si="35"/>
        <v>1719063.8107834121</v>
      </c>
      <c r="R153">
        <f t="shared" si="43"/>
        <v>0</v>
      </c>
      <c r="S153">
        <f>IF(A153&lt;='Prepay vs Invest'!$B$7*12,MAX(0,'Prepay vs Invest'!$E$5+IF(AND(A153&gt;='Prepay vs Invest'!$B$11,A153&lt;='Prepay vs Invest'!$B$12),'Prepay vs Invest'!$B$10,0)+IF(A153='Prepay vs Invest'!$B$9,'Prepay vs Invest'!$B$8,0)-O153-P153),0)</f>
        <v>0</v>
      </c>
      <c r="T153">
        <f>R153*(1+MAX(0,'Prepay vs Invest'!$B$13-'Prepay vs Invest'!$B$14)/1200)+S153</f>
        <v>0</v>
      </c>
      <c r="U153">
        <f t="shared" si="44"/>
        <v>0</v>
      </c>
      <c r="V153">
        <f>MAX(0,(T153-U153-'Prepay vs Invest'!$B$16)*'Prepay vs Invest'!$B$15/100)</f>
        <v>0</v>
      </c>
      <c r="W153">
        <f t="shared" si="36"/>
        <v>0</v>
      </c>
      <c r="X153">
        <f t="shared" si="45"/>
        <v>4150707.3329426846</v>
      </c>
      <c r="Y153">
        <f>IF(X153&gt;0,X153*'Prepay vs Invest'!$B$6/1200,0)</f>
        <v>25941.920830891777</v>
      </c>
      <c r="Z153">
        <f>IF(X153&gt;0,MIN(-PMT('Prepay vs Invest'!$B$6/1200,'Prepay vs Invest'!$B$7*12-A153+1,X153),X153+Y153),0)</f>
        <v>60946.386184746298</v>
      </c>
      <c r="AA153">
        <f>MIN(MAX(0,X153+Y153-Z153),IF(AND(A153&gt;='Prepay vs Invest'!$B$11,A153&lt;='Prepay vs Invest'!$B$12),'Prepay vs Invest'!$B$10,0)+IF(A153='Prepay vs Invest'!$B$9,'Prepay vs Invest'!$B$8,0))</f>
        <v>10000</v>
      </c>
      <c r="AB153">
        <f t="shared" si="37"/>
        <v>4105702.8675888302</v>
      </c>
      <c r="AC153">
        <f t="shared" si="46"/>
        <v>2938115.0056121107</v>
      </c>
      <c r="AD153">
        <f>IF(A153&lt;='Prepay vs Invest'!$B$7*12,MAX(0,'Prepay vs Invest'!$E$5+IF(AND(A153&gt;='Prepay vs Invest'!$B$11,A153&lt;='Prepay vs Invest'!$B$12),'Prepay vs Invest'!$B$10,0)+IF(A153='Prepay vs Invest'!$B$9,'Prepay vs Invest'!$B$8,0)-Z153-AA153),0)</f>
        <v>19612.933170434422</v>
      </c>
      <c r="AE153">
        <f>AC153*(1+MAX(0,'Prepay vs Invest'!$B$13-'Prepay vs Invest'!$B$14)/1200)+AD153</f>
        <v>2985884.8742529945</v>
      </c>
      <c r="AF153">
        <f t="shared" si="47"/>
        <v>1640036.8764384266</v>
      </c>
      <c r="AG153">
        <f>MAX(0,(AE153-AF153-'Prepay vs Invest'!$B$16)*'Prepay vs Invest'!$B$15/100)</f>
        <v>152605.999726821</v>
      </c>
      <c r="AH153">
        <f t="shared" si="38"/>
        <v>2833278.8745261733</v>
      </c>
    </row>
    <row r="154" spans="1:34" x14ac:dyDescent="0.35">
      <c r="A154">
        <f t="shared" si="39"/>
        <v>153</v>
      </c>
      <c r="B154">
        <f>IF(A154&lt;='Prepay vs Invest'!$B$7*12,F153,0)</f>
        <v>5440162.1234124545</v>
      </c>
      <c r="C154">
        <f>IF(B154&gt;0,B154*'Prepay vs Invest'!$B$6/1200,0)</f>
        <v>34001.013271327836</v>
      </c>
      <c r="D154">
        <f>IF(B154&gt;0,MIN(-PMT('Prepay vs Invest'!$B$6/1200,'Prepay vs Invest'!$B$7*12,'Prepay vs Invest'!$B$5),B154+C154),0)</f>
        <v>80559.31935518072</v>
      </c>
      <c r="E154">
        <f t="shared" si="32"/>
        <v>46558.306083852884</v>
      </c>
      <c r="F154">
        <f t="shared" si="33"/>
        <v>5393603.8173286021</v>
      </c>
      <c r="G154">
        <f t="shared" si="40"/>
        <v>5304320.3811254092</v>
      </c>
      <c r="H154">
        <f>IF(A154&lt;='Prepay vs Invest'!$B$7*12,IF(AND(A154&gt;='Prepay vs Invest'!$B$11,A154&lt;='Prepay vs Invest'!$B$12),'Prepay vs Invest'!$B$10,0)+IF(A154='Prepay vs Invest'!$B$9,'Prepay vs Invest'!$B$8,0),0)</f>
        <v>10000</v>
      </c>
      <c r="I154">
        <f>G154*(1+MAX(0,'Prepay vs Invest'!$B$13-'Prepay vs Invest'!$B$14)/1200)+H154</f>
        <v>5365153.4514445271</v>
      </c>
      <c r="J154">
        <f t="shared" si="41"/>
        <v>2030000</v>
      </c>
      <c r="K154">
        <f>MAX(0,(I154-J154-'Prepay vs Invest'!$B$16)*'Prepay vs Invest'!$B$15/100)</f>
        <v>401269.18143056589</v>
      </c>
      <c r="L154">
        <f t="shared" si="34"/>
        <v>4963884.270013961</v>
      </c>
      <c r="M154">
        <f t="shared" si="42"/>
        <v>1719063.8107834121</v>
      </c>
      <c r="N154">
        <f>IF(M154&gt;0,M154*'Prepay vs Invest'!$B$6/1200,0)</f>
        <v>10744.148817396326</v>
      </c>
      <c r="O154">
        <f>IF(M154&gt;0,MIN('Prepay vs Invest'!$E$5,M154+N154),0)</f>
        <v>80559.31935518072</v>
      </c>
      <c r="P154">
        <f>MIN(MAX(0,M154+N154-O154),IF(AND(A154&gt;='Prepay vs Invest'!$B$11,A154&lt;='Prepay vs Invest'!$B$12),'Prepay vs Invest'!$B$10,0)+IF(A154='Prepay vs Invest'!$B$9,'Prepay vs Invest'!$B$8,0))</f>
        <v>10000</v>
      </c>
      <c r="Q154">
        <f t="shared" si="35"/>
        <v>1639248.6402456276</v>
      </c>
      <c r="R154">
        <f t="shared" si="43"/>
        <v>0</v>
      </c>
      <c r="S154">
        <f>IF(A154&lt;='Prepay vs Invest'!$B$7*12,MAX(0,'Prepay vs Invest'!$E$5+IF(AND(A154&gt;='Prepay vs Invest'!$B$11,A154&lt;='Prepay vs Invest'!$B$12),'Prepay vs Invest'!$B$10,0)+IF(A154='Prepay vs Invest'!$B$9,'Prepay vs Invest'!$B$8,0)-O154-P154),0)</f>
        <v>0</v>
      </c>
      <c r="T154">
        <f>R154*(1+MAX(0,'Prepay vs Invest'!$B$13-'Prepay vs Invest'!$B$14)/1200)+S154</f>
        <v>0</v>
      </c>
      <c r="U154">
        <f t="shared" si="44"/>
        <v>0</v>
      </c>
      <c r="V154">
        <f>MAX(0,(T154-U154-'Prepay vs Invest'!$B$16)*'Prepay vs Invest'!$B$15/100)</f>
        <v>0</v>
      </c>
      <c r="W154">
        <f t="shared" si="36"/>
        <v>0</v>
      </c>
      <c r="X154">
        <f t="shared" si="45"/>
        <v>4105702.8675888302</v>
      </c>
      <c r="Y154">
        <f>IF(X154&gt;0,X154*'Prepay vs Invest'!$B$6/1200,0)</f>
        <v>25660.642922430186</v>
      </c>
      <c r="Z154">
        <f>IF(X154&gt;0,MIN(-PMT('Prepay vs Invest'!$B$6/1200,'Prepay vs Invest'!$B$7*12-A154+1,X154),X154+Y154),0)</f>
        <v>60798.303613808792</v>
      </c>
      <c r="AA154">
        <f>MIN(MAX(0,X154+Y154-Z154),IF(AND(A154&gt;='Prepay vs Invest'!$B$11,A154&lt;='Prepay vs Invest'!$B$12),'Prepay vs Invest'!$B$10,0)+IF(A154='Prepay vs Invest'!$B$9,'Prepay vs Invest'!$B$8,0))</f>
        <v>10000</v>
      </c>
      <c r="AB154">
        <f t="shared" si="37"/>
        <v>4060565.2068974515</v>
      </c>
      <c r="AC154">
        <f t="shared" si="46"/>
        <v>2985884.8742529945</v>
      </c>
      <c r="AD154">
        <f>IF(A154&lt;='Prepay vs Invest'!$B$7*12,MAX(0,'Prepay vs Invest'!$E$5+IF(AND(A154&gt;='Prepay vs Invest'!$B$11,A154&lt;='Prepay vs Invest'!$B$12),'Prepay vs Invest'!$B$10,0)+IF(A154='Prepay vs Invest'!$B$9,'Prepay vs Invest'!$B$8,0)-Z154-AA154),0)</f>
        <v>19761.015741371928</v>
      </c>
      <c r="AE154">
        <f>AC154*(1+MAX(0,'Prepay vs Invest'!$B$13-'Prepay vs Invest'!$B$14)/1200)+AD154</f>
        <v>3034260.6200392907</v>
      </c>
      <c r="AF154">
        <f t="shared" si="47"/>
        <v>1659797.8921797986</v>
      </c>
      <c r="AG154">
        <f>MAX(0,(AE154-AF154-'Prepay vs Invest'!$B$16)*'Prepay vs Invest'!$B$15/100)</f>
        <v>156182.84098243652</v>
      </c>
      <c r="AH154">
        <f t="shared" si="38"/>
        <v>2878077.7790568541</v>
      </c>
    </row>
    <row r="155" spans="1:34" x14ac:dyDescent="0.35">
      <c r="A155">
        <f t="shared" si="39"/>
        <v>154</v>
      </c>
      <c r="B155">
        <f>IF(A155&lt;='Prepay vs Invest'!$B$7*12,F154,0)</f>
        <v>5393603.8173286021</v>
      </c>
      <c r="C155">
        <f>IF(B155&gt;0,B155*'Prepay vs Invest'!$B$6/1200,0)</f>
        <v>33710.023858303764</v>
      </c>
      <c r="D155">
        <f>IF(B155&gt;0,MIN(-PMT('Prepay vs Invest'!$B$6/1200,'Prepay vs Invest'!$B$7*12,'Prepay vs Invest'!$B$5),B155+C155),0)</f>
        <v>80559.31935518072</v>
      </c>
      <c r="E155">
        <f t="shared" si="32"/>
        <v>46849.295496876955</v>
      </c>
      <c r="F155">
        <f t="shared" si="33"/>
        <v>5346754.5218317257</v>
      </c>
      <c r="G155">
        <f t="shared" si="40"/>
        <v>5365153.4514445271</v>
      </c>
      <c r="H155">
        <f>IF(A155&lt;='Prepay vs Invest'!$B$7*12,IF(AND(A155&gt;='Prepay vs Invest'!$B$11,A155&lt;='Prepay vs Invest'!$B$12),'Prepay vs Invest'!$B$10,0)+IF(A155='Prepay vs Invest'!$B$9,'Prepay vs Invest'!$B$8,0),0)</f>
        <v>10000</v>
      </c>
      <c r="I155">
        <f>G155*(1+MAX(0,'Prepay vs Invest'!$B$13-'Prepay vs Invest'!$B$14)/1200)+H155</f>
        <v>5426569.5053542033</v>
      </c>
      <c r="J155">
        <f t="shared" si="41"/>
        <v>2040000</v>
      </c>
      <c r="K155">
        <f>MAX(0,(I155-J155-'Prepay vs Invest'!$B$16)*'Prepay vs Invest'!$B$15/100)</f>
        <v>407696.18816927535</v>
      </c>
      <c r="L155">
        <f t="shared" si="34"/>
        <v>5018873.3171849279</v>
      </c>
      <c r="M155">
        <f t="shared" si="42"/>
        <v>1639248.6402456276</v>
      </c>
      <c r="N155">
        <f>IF(M155&gt;0,M155*'Prepay vs Invest'!$B$6/1200,0)</f>
        <v>10245.304001535173</v>
      </c>
      <c r="O155">
        <f>IF(M155&gt;0,MIN('Prepay vs Invest'!$E$5,M155+N155),0)</f>
        <v>80559.31935518072</v>
      </c>
      <c r="P155">
        <f>MIN(MAX(0,M155+N155-O155),IF(AND(A155&gt;='Prepay vs Invest'!$B$11,A155&lt;='Prepay vs Invest'!$B$12),'Prepay vs Invest'!$B$10,0)+IF(A155='Prepay vs Invest'!$B$9,'Prepay vs Invest'!$B$8,0))</f>
        <v>10000</v>
      </c>
      <c r="Q155">
        <f t="shared" si="35"/>
        <v>1558934.6248919822</v>
      </c>
      <c r="R155">
        <f t="shared" si="43"/>
        <v>0</v>
      </c>
      <c r="S155">
        <f>IF(A155&lt;='Prepay vs Invest'!$B$7*12,MAX(0,'Prepay vs Invest'!$E$5+IF(AND(A155&gt;='Prepay vs Invest'!$B$11,A155&lt;='Prepay vs Invest'!$B$12),'Prepay vs Invest'!$B$10,0)+IF(A155='Prepay vs Invest'!$B$9,'Prepay vs Invest'!$B$8,0)-O155-P155),0)</f>
        <v>0</v>
      </c>
      <c r="T155">
        <f>R155*(1+MAX(0,'Prepay vs Invest'!$B$13-'Prepay vs Invest'!$B$14)/1200)+S155</f>
        <v>0</v>
      </c>
      <c r="U155">
        <f t="shared" si="44"/>
        <v>0</v>
      </c>
      <c r="V155">
        <f>MAX(0,(T155-U155-'Prepay vs Invest'!$B$16)*'Prepay vs Invest'!$B$15/100)</f>
        <v>0</v>
      </c>
      <c r="W155">
        <f t="shared" si="36"/>
        <v>0</v>
      </c>
      <c r="X155">
        <f t="shared" si="45"/>
        <v>4060565.2068974515</v>
      </c>
      <c r="Y155">
        <f>IF(X155&gt;0,X155*'Prepay vs Invest'!$B$6/1200,0)</f>
        <v>25378.532543109071</v>
      </c>
      <c r="Z155">
        <f>IF(X155&gt;0,MIN(-PMT('Prepay vs Invest'!$B$6/1200,'Prepay vs Invest'!$B$7*12-A155+1,X155),X155+Y155),0)</f>
        <v>60648.942774407944</v>
      </c>
      <c r="AA155">
        <f>MIN(MAX(0,X155+Y155-Z155),IF(AND(A155&gt;='Prepay vs Invest'!$B$11,A155&lt;='Prepay vs Invest'!$B$12),'Prepay vs Invest'!$B$10,0)+IF(A155='Prepay vs Invest'!$B$9,'Prepay vs Invest'!$B$8,0))</f>
        <v>10000</v>
      </c>
      <c r="AB155">
        <f t="shared" si="37"/>
        <v>4015294.7966661528</v>
      </c>
      <c r="AC155">
        <f t="shared" si="46"/>
        <v>3034260.6200392907</v>
      </c>
      <c r="AD155">
        <f>IF(A155&lt;='Prepay vs Invest'!$B$7*12,MAX(0,'Prepay vs Invest'!$E$5+IF(AND(A155&gt;='Prepay vs Invest'!$B$11,A155&lt;='Prepay vs Invest'!$B$12),'Prepay vs Invest'!$B$10,0)+IF(A155='Prepay vs Invest'!$B$9,'Prepay vs Invest'!$B$8,0)-Z155-AA155),0)</f>
        <v>19910.376580772776</v>
      </c>
      <c r="AE155">
        <f>AC155*(1+MAX(0,'Prepay vs Invest'!$B$13-'Prepay vs Invest'!$B$14)/1200)+AD155</f>
        <v>3083249.3275621068</v>
      </c>
      <c r="AF155">
        <f t="shared" si="47"/>
        <v>1679708.2687605713</v>
      </c>
      <c r="AG155">
        <f>MAX(0,(AE155-AF155-'Prepay vs Invest'!$B$16)*'Prepay vs Invest'!$B$15/100)</f>
        <v>159817.63235019194</v>
      </c>
      <c r="AH155">
        <f t="shared" si="38"/>
        <v>2923431.6952119148</v>
      </c>
    </row>
    <row r="156" spans="1:34" x14ac:dyDescent="0.35">
      <c r="A156">
        <f t="shared" si="39"/>
        <v>155</v>
      </c>
      <c r="B156">
        <f>IF(A156&lt;='Prepay vs Invest'!$B$7*12,F155,0)</f>
        <v>5346754.5218317257</v>
      </c>
      <c r="C156">
        <f>IF(B156&gt;0,B156*'Prepay vs Invest'!$B$6/1200,0)</f>
        <v>33417.215761448286</v>
      </c>
      <c r="D156">
        <f>IF(B156&gt;0,MIN(-PMT('Prepay vs Invest'!$B$6/1200,'Prepay vs Invest'!$B$7*12,'Prepay vs Invest'!$B$5),B156+C156),0)</f>
        <v>80559.31935518072</v>
      </c>
      <c r="E156">
        <f t="shared" si="32"/>
        <v>47142.103593732434</v>
      </c>
      <c r="F156">
        <f t="shared" si="33"/>
        <v>5299612.4182379935</v>
      </c>
      <c r="G156">
        <f t="shared" si="40"/>
        <v>5426569.5053542033</v>
      </c>
      <c r="H156">
        <f>IF(A156&lt;='Prepay vs Invest'!$B$7*12,IF(AND(A156&gt;='Prepay vs Invest'!$B$11,A156&lt;='Prepay vs Invest'!$B$12),'Prepay vs Invest'!$B$10,0)+IF(A156='Prepay vs Invest'!$B$9,'Prepay vs Invest'!$B$8,0),0)</f>
        <v>10000</v>
      </c>
      <c r="I156">
        <f>G156*(1+MAX(0,'Prepay vs Invest'!$B$13-'Prepay vs Invest'!$B$14)/1200)+H156</f>
        <v>5488574.1297805142</v>
      </c>
      <c r="J156">
        <f t="shared" si="41"/>
        <v>2050000</v>
      </c>
      <c r="K156">
        <f>MAX(0,(I156-J156-'Prepay vs Invest'!$B$16)*'Prepay vs Invest'!$B$15/100)</f>
        <v>414196.76622256427</v>
      </c>
      <c r="L156">
        <f t="shared" si="34"/>
        <v>5074377.3635579497</v>
      </c>
      <c r="M156">
        <f t="shared" si="42"/>
        <v>1558934.6248919822</v>
      </c>
      <c r="N156">
        <f>IF(M156&gt;0,M156*'Prepay vs Invest'!$B$6/1200,0)</f>
        <v>9743.341405574889</v>
      </c>
      <c r="O156">
        <f>IF(M156&gt;0,MIN('Prepay vs Invest'!$E$5,M156+N156),0)</f>
        <v>80559.31935518072</v>
      </c>
      <c r="P156">
        <f>MIN(MAX(0,M156+N156-O156),IF(AND(A156&gt;='Prepay vs Invest'!$B$11,A156&lt;='Prepay vs Invest'!$B$12),'Prepay vs Invest'!$B$10,0)+IF(A156='Prepay vs Invest'!$B$9,'Prepay vs Invest'!$B$8,0))</f>
        <v>10000</v>
      </c>
      <c r="Q156">
        <f t="shared" si="35"/>
        <v>1478118.6469423764</v>
      </c>
      <c r="R156">
        <f t="shared" si="43"/>
        <v>0</v>
      </c>
      <c r="S156">
        <f>IF(A156&lt;='Prepay vs Invest'!$B$7*12,MAX(0,'Prepay vs Invest'!$E$5+IF(AND(A156&gt;='Prepay vs Invest'!$B$11,A156&lt;='Prepay vs Invest'!$B$12),'Prepay vs Invest'!$B$10,0)+IF(A156='Prepay vs Invest'!$B$9,'Prepay vs Invest'!$B$8,0)-O156-P156),0)</f>
        <v>0</v>
      </c>
      <c r="T156">
        <f>R156*(1+MAX(0,'Prepay vs Invest'!$B$13-'Prepay vs Invest'!$B$14)/1200)+S156</f>
        <v>0</v>
      </c>
      <c r="U156">
        <f t="shared" si="44"/>
        <v>0</v>
      </c>
      <c r="V156">
        <f>MAX(0,(T156-U156-'Prepay vs Invest'!$B$16)*'Prepay vs Invest'!$B$15/100)</f>
        <v>0</v>
      </c>
      <c r="W156">
        <f t="shared" si="36"/>
        <v>0</v>
      </c>
      <c r="X156">
        <f t="shared" si="45"/>
        <v>4015294.7966661528</v>
      </c>
      <c r="Y156">
        <f>IF(X156&gt;0,X156*'Prepay vs Invest'!$B$6/1200,0)</f>
        <v>25095.592479163453</v>
      </c>
      <c r="Z156">
        <f>IF(X156&gt;0,MIN(-PMT('Prepay vs Invest'!$B$6/1200,'Prepay vs Invest'!$B$7*12-A156+1,X156),X156+Y156),0)</f>
        <v>60498.273206492973</v>
      </c>
      <c r="AA156">
        <f>MIN(MAX(0,X156+Y156-Z156),IF(AND(A156&gt;='Prepay vs Invest'!$B$11,A156&lt;='Prepay vs Invest'!$B$12),'Prepay vs Invest'!$B$10,0)+IF(A156='Prepay vs Invest'!$B$9,'Prepay vs Invest'!$B$8,0))</f>
        <v>10000</v>
      </c>
      <c r="AB156">
        <f t="shared" si="37"/>
        <v>3969892.1159388232</v>
      </c>
      <c r="AC156">
        <f t="shared" si="46"/>
        <v>3083249.3275621068</v>
      </c>
      <c r="AD156">
        <f>IF(A156&lt;='Prepay vs Invest'!$B$7*12,MAX(0,'Prepay vs Invest'!$E$5+IF(AND(A156&gt;='Prepay vs Invest'!$B$11,A156&lt;='Prepay vs Invest'!$B$12),'Prepay vs Invest'!$B$10,0)+IF(A156='Prepay vs Invest'!$B$9,'Prepay vs Invest'!$B$8,0)-Z156-AA156),0)</f>
        <v>20061.046148687747</v>
      </c>
      <c r="AE156">
        <f>AC156*(1+MAX(0,'Prepay vs Invest'!$B$13-'Prepay vs Invest'!$B$14)/1200)+AD156</f>
        <v>3132858.1797665977</v>
      </c>
      <c r="AF156">
        <f t="shared" si="47"/>
        <v>1699769.3149092591</v>
      </c>
      <c r="AG156">
        <f>MAX(0,(AE156-AF156-'Prepay vs Invest'!$B$16)*'Prepay vs Invest'!$B$15/100)</f>
        <v>163511.10810716733</v>
      </c>
      <c r="AH156">
        <f t="shared" si="38"/>
        <v>2969347.0716594304</v>
      </c>
    </row>
    <row r="157" spans="1:34" x14ac:dyDescent="0.35">
      <c r="A157">
        <f t="shared" si="39"/>
        <v>156</v>
      </c>
      <c r="B157">
        <f>IF(A157&lt;='Prepay vs Invest'!$B$7*12,F156,0)</f>
        <v>5299612.4182379935</v>
      </c>
      <c r="C157">
        <f>IF(B157&gt;0,B157*'Prepay vs Invest'!$B$6/1200,0)</f>
        <v>33122.577613987458</v>
      </c>
      <c r="D157">
        <f>IF(B157&gt;0,MIN(-PMT('Prepay vs Invest'!$B$6/1200,'Prepay vs Invest'!$B$7*12,'Prepay vs Invest'!$B$5),B157+C157),0)</f>
        <v>80559.31935518072</v>
      </c>
      <c r="E157">
        <f t="shared" si="32"/>
        <v>47436.741741193262</v>
      </c>
      <c r="F157">
        <f t="shared" si="33"/>
        <v>5252175.6764968</v>
      </c>
      <c r="G157">
        <f t="shared" si="40"/>
        <v>5488574.1297805142</v>
      </c>
      <c r="H157">
        <f>IF(A157&lt;='Prepay vs Invest'!$B$7*12,IF(AND(A157&gt;='Prepay vs Invest'!$B$11,A157&lt;='Prepay vs Invest'!$B$12),'Prepay vs Invest'!$B$10,0)+IF(A157='Prepay vs Invest'!$B$9,'Prepay vs Invest'!$B$8,0),0)</f>
        <v>10000</v>
      </c>
      <c r="I157">
        <f>G157*(1+MAX(0,'Prepay vs Invest'!$B$13-'Prepay vs Invest'!$B$14)/1200)+H157</f>
        <v>5551172.9651909107</v>
      </c>
      <c r="J157">
        <f t="shared" si="41"/>
        <v>2060000</v>
      </c>
      <c r="K157">
        <f>MAX(0,(I157-J157-'Prepay vs Invest'!$B$16)*'Prepay vs Invest'!$B$15/100)</f>
        <v>420771.62064886384</v>
      </c>
      <c r="L157">
        <f t="shared" si="34"/>
        <v>5130401.344542047</v>
      </c>
      <c r="M157">
        <f t="shared" si="42"/>
        <v>1478118.6469423764</v>
      </c>
      <c r="N157">
        <f>IF(M157&gt;0,M157*'Prepay vs Invest'!$B$6/1200,0)</f>
        <v>9238.2415433898514</v>
      </c>
      <c r="O157">
        <f>IF(M157&gt;0,MIN('Prepay vs Invest'!$E$5,M157+N157),0)</f>
        <v>80559.31935518072</v>
      </c>
      <c r="P157">
        <f>MIN(MAX(0,M157+N157-O157),IF(AND(A157&gt;='Prepay vs Invest'!$B$11,A157&lt;='Prepay vs Invest'!$B$12),'Prepay vs Invest'!$B$10,0)+IF(A157='Prepay vs Invest'!$B$9,'Prepay vs Invest'!$B$8,0))</f>
        <v>10000</v>
      </c>
      <c r="Q157">
        <f t="shared" si="35"/>
        <v>1396797.5691305855</v>
      </c>
      <c r="R157">
        <f t="shared" si="43"/>
        <v>0</v>
      </c>
      <c r="S157">
        <f>IF(A157&lt;='Prepay vs Invest'!$B$7*12,MAX(0,'Prepay vs Invest'!$E$5+IF(AND(A157&gt;='Prepay vs Invest'!$B$11,A157&lt;='Prepay vs Invest'!$B$12),'Prepay vs Invest'!$B$10,0)+IF(A157='Prepay vs Invest'!$B$9,'Prepay vs Invest'!$B$8,0)-O157-P157),0)</f>
        <v>0</v>
      </c>
      <c r="T157">
        <f>R157*(1+MAX(0,'Prepay vs Invest'!$B$13-'Prepay vs Invest'!$B$14)/1200)+S157</f>
        <v>0</v>
      </c>
      <c r="U157">
        <f t="shared" si="44"/>
        <v>0</v>
      </c>
      <c r="V157">
        <f>MAX(0,(T157-U157-'Prepay vs Invest'!$B$16)*'Prepay vs Invest'!$B$15/100)</f>
        <v>0</v>
      </c>
      <c r="W157">
        <f t="shared" si="36"/>
        <v>0</v>
      </c>
      <c r="X157">
        <f t="shared" si="45"/>
        <v>3969892.1159388232</v>
      </c>
      <c r="Y157">
        <f>IF(X157&gt;0,X157*'Prepay vs Invest'!$B$6/1200,0)</f>
        <v>24811.825724617647</v>
      </c>
      <c r="Z157">
        <f>IF(X157&gt;0,MIN(-PMT('Prepay vs Invest'!$B$6/1200,'Prepay vs Invest'!$B$7*12-A157+1,X157),X157+Y157),0)</f>
        <v>60346.263374457056</v>
      </c>
      <c r="AA157">
        <f>MIN(MAX(0,X157+Y157-Z157),IF(AND(A157&gt;='Prepay vs Invest'!$B$11,A157&lt;='Prepay vs Invest'!$B$12),'Prepay vs Invest'!$B$10,0)+IF(A157='Prepay vs Invest'!$B$9,'Prepay vs Invest'!$B$8,0))</f>
        <v>10000</v>
      </c>
      <c r="AB157">
        <f t="shared" si="37"/>
        <v>3924357.6782889836</v>
      </c>
      <c r="AC157">
        <f t="shared" si="46"/>
        <v>3132858.1797665977</v>
      </c>
      <c r="AD157">
        <f>IF(A157&lt;='Prepay vs Invest'!$B$7*12,MAX(0,'Prepay vs Invest'!$E$5+IF(AND(A157&gt;='Prepay vs Invest'!$B$11,A157&lt;='Prepay vs Invest'!$B$12),'Prepay vs Invest'!$B$10,0)+IF(A157='Prepay vs Invest'!$B$9,'Prepay vs Invest'!$B$8,0)-Z157-AA157),0)</f>
        <v>20213.055980723664</v>
      </c>
      <c r="AE157">
        <f>AC157*(1+MAX(0,'Prepay vs Invest'!$B$13-'Prepay vs Invest'!$B$14)/1200)+AD157</f>
        <v>3183094.4599700845</v>
      </c>
      <c r="AF157">
        <f t="shared" si="47"/>
        <v>1719982.3708899827</v>
      </c>
      <c r="AG157">
        <f>MAX(0,(AE157-AF157-'Prepay vs Invest'!$B$16)*'Prepay vs Invest'!$B$15/100)</f>
        <v>167264.01113501273</v>
      </c>
      <c r="AH157">
        <f t="shared" si="38"/>
        <v>3015830.4488350716</v>
      </c>
    </row>
    <row r="158" spans="1:34" x14ac:dyDescent="0.35">
      <c r="A158">
        <f t="shared" si="39"/>
        <v>157</v>
      </c>
      <c r="B158">
        <f>IF(A158&lt;='Prepay vs Invest'!$B$7*12,F157,0)</f>
        <v>5252175.6764968</v>
      </c>
      <c r="C158">
        <f>IF(B158&gt;0,B158*'Prepay vs Invest'!$B$6/1200,0)</f>
        <v>32826.097978104997</v>
      </c>
      <c r="D158">
        <f>IF(B158&gt;0,MIN(-PMT('Prepay vs Invest'!$B$6/1200,'Prepay vs Invest'!$B$7*12,'Prepay vs Invest'!$B$5),B158+C158),0)</f>
        <v>80559.31935518072</v>
      </c>
      <c r="E158">
        <f t="shared" si="32"/>
        <v>47733.221377075723</v>
      </c>
      <c r="F158">
        <f t="shared" si="33"/>
        <v>5204442.4551197244</v>
      </c>
      <c r="G158">
        <f t="shared" si="40"/>
        <v>5551172.9651909107</v>
      </c>
      <c r="H158">
        <f>IF(A158&lt;='Prepay vs Invest'!$B$7*12,IF(AND(A158&gt;='Prepay vs Invest'!$B$11,A158&lt;='Prepay vs Invest'!$B$12),'Prepay vs Invest'!$B$10,0)+IF(A158='Prepay vs Invest'!$B$9,'Prepay vs Invest'!$B$8,0),0)</f>
        <v>10000</v>
      </c>
      <c r="I158">
        <f>G158*(1+MAX(0,'Prepay vs Invest'!$B$13-'Prepay vs Invest'!$B$14)/1200)+H158</f>
        <v>5614371.7061073231</v>
      </c>
      <c r="J158">
        <f t="shared" si="41"/>
        <v>2070000</v>
      </c>
      <c r="K158">
        <f>MAX(0,(I158-J158-'Prepay vs Invest'!$B$16)*'Prepay vs Invest'!$B$15/100)</f>
        <v>427421.46326341538</v>
      </c>
      <c r="L158">
        <f t="shared" si="34"/>
        <v>5186950.2428439073</v>
      </c>
      <c r="M158">
        <f t="shared" si="42"/>
        <v>1396797.5691305855</v>
      </c>
      <c r="N158">
        <f>IF(M158&gt;0,M158*'Prepay vs Invest'!$B$6/1200,0)</f>
        <v>8729.9848070661592</v>
      </c>
      <c r="O158">
        <f>IF(M158&gt;0,MIN('Prepay vs Invest'!$E$5,M158+N158),0)</f>
        <v>80559.31935518072</v>
      </c>
      <c r="P158">
        <f>MIN(MAX(0,M158+N158-O158),IF(AND(A158&gt;='Prepay vs Invest'!$B$11,A158&lt;='Prepay vs Invest'!$B$12),'Prepay vs Invest'!$B$10,0)+IF(A158='Prepay vs Invest'!$B$9,'Prepay vs Invest'!$B$8,0))</f>
        <v>10000</v>
      </c>
      <c r="Q158">
        <f t="shared" si="35"/>
        <v>1314968.234582471</v>
      </c>
      <c r="R158">
        <f t="shared" si="43"/>
        <v>0</v>
      </c>
      <c r="S158">
        <f>IF(A158&lt;='Prepay vs Invest'!$B$7*12,MAX(0,'Prepay vs Invest'!$E$5+IF(AND(A158&gt;='Prepay vs Invest'!$B$11,A158&lt;='Prepay vs Invest'!$B$12),'Prepay vs Invest'!$B$10,0)+IF(A158='Prepay vs Invest'!$B$9,'Prepay vs Invest'!$B$8,0)-O158-P158),0)</f>
        <v>0</v>
      </c>
      <c r="T158">
        <f>R158*(1+MAX(0,'Prepay vs Invest'!$B$13-'Prepay vs Invest'!$B$14)/1200)+S158</f>
        <v>0</v>
      </c>
      <c r="U158">
        <f t="shared" si="44"/>
        <v>0</v>
      </c>
      <c r="V158">
        <f>MAX(0,(T158-U158-'Prepay vs Invest'!$B$16)*'Prepay vs Invest'!$B$15/100)</f>
        <v>0</v>
      </c>
      <c r="W158">
        <f t="shared" si="36"/>
        <v>0</v>
      </c>
      <c r="X158">
        <f t="shared" si="45"/>
        <v>3924357.6782889836</v>
      </c>
      <c r="Y158">
        <f>IF(X158&gt;0,X158*'Prepay vs Invest'!$B$6/1200,0)</f>
        <v>24527.235489306149</v>
      </c>
      <c r="Z158">
        <f>IF(X158&gt;0,MIN(-PMT('Prepay vs Invest'!$B$6/1200,'Prepay vs Invest'!$B$7*12-A158+1,X158),X158+Y158),0)</f>
        <v>60192.880615925802</v>
      </c>
      <c r="AA158">
        <f>MIN(MAX(0,X158+Y158-Z158),IF(AND(A158&gt;='Prepay vs Invest'!$B$11,A158&lt;='Prepay vs Invest'!$B$12),'Prepay vs Invest'!$B$10,0)+IF(A158='Prepay vs Invest'!$B$9,'Prepay vs Invest'!$B$8,0))</f>
        <v>10000</v>
      </c>
      <c r="AB158">
        <f t="shared" si="37"/>
        <v>3878692.0331623638</v>
      </c>
      <c r="AC158">
        <f t="shared" si="46"/>
        <v>3183094.4599700845</v>
      </c>
      <c r="AD158">
        <f>IF(A158&lt;='Prepay vs Invest'!$B$7*12,MAX(0,'Prepay vs Invest'!$E$5+IF(AND(A158&gt;='Prepay vs Invest'!$B$11,A158&lt;='Prepay vs Invest'!$B$12),'Prepay vs Invest'!$B$10,0)+IF(A158='Prepay vs Invest'!$B$9,'Prepay vs Invest'!$B$8,0)-Z158-AA158),0)</f>
        <v>20366.438739254918</v>
      </c>
      <c r="AE158">
        <f>AC158*(1+MAX(0,'Prepay vs Invest'!$B$13-'Prepay vs Invest'!$B$14)/1200)+AD158</f>
        <v>3233965.5539507195</v>
      </c>
      <c r="AF158">
        <f t="shared" si="47"/>
        <v>1740348.8096292375</v>
      </c>
      <c r="AG158">
        <f>MAX(0,(AE158-AF158-'Prepay vs Invest'!$B$16)*'Prepay vs Invest'!$B$15/100)</f>
        <v>171077.09304018522</v>
      </c>
      <c r="AH158">
        <f t="shared" si="38"/>
        <v>3062888.4609105345</v>
      </c>
    </row>
    <row r="159" spans="1:34" x14ac:dyDescent="0.35">
      <c r="A159">
        <f t="shared" si="39"/>
        <v>158</v>
      </c>
      <c r="B159">
        <f>IF(A159&lt;='Prepay vs Invest'!$B$7*12,F158,0)</f>
        <v>5204442.4551197244</v>
      </c>
      <c r="C159">
        <f>IF(B159&gt;0,B159*'Prepay vs Invest'!$B$6/1200,0)</f>
        <v>32527.765344498275</v>
      </c>
      <c r="D159">
        <f>IF(B159&gt;0,MIN(-PMT('Prepay vs Invest'!$B$6/1200,'Prepay vs Invest'!$B$7*12,'Prepay vs Invest'!$B$5),B159+C159),0)</f>
        <v>80559.31935518072</v>
      </c>
      <c r="E159">
        <f t="shared" si="32"/>
        <v>48031.554010682448</v>
      </c>
      <c r="F159">
        <f t="shared" si="33"/>
        <v>5156410.9011090426</v>
      </c>
      <c r="G159">
        <f t="shared" si="40"/>
        <v>5614371.7061073231</v>
      </c>
      <c r="H159">
        <f>IF(A159&lt;='Prepay vs Invest'!$B$7*12,IF(AND(A159&gt;='Prepay vs Invest'!$B$11,A159&lt;='Prepay vs Invest'!$B$12),'Prepay vs Invest'!$B$10,0)+IF(A159='Prepay vs Invest'!$B$9,'Prepay vs Invest'!$B$8,0),0)</f>
        <v>10000</v>
      </c>
      <c r="I159">
        <f>G159*(1+MAX(0,'Prepay vs Invest'!$B$13-'Prepay vs Invest'!$B$14)/1200)+H159</f>
        <v>5678176.1016241843</v>
      </c>
      <c r="J159">
        <f t="shared" si="41"/>
        <v>2080000</v>
      </c>
      <c r="K159">
        <f>MAX(0,(I159-J159-'Prepay vs Invest'!$B$16)*'Prepay vs Invest'!$B$15/100)</f>
        <v>434147.01270302304</v>
      </c>
      <c r="L159">
        <f t="shared" si="34"/>
        <v>5244029.0889211614</v>
      </c>
      <c r="M159">
        <f t="shared" si="42"/>
        <v>1314968.234582471</v>
      </c>
      <c r="N159">
        <f>IF(M159&gt;0,M159*'Prepay vs Invest'!$B$6/1200,0)</f>
        <v>8218.5514661404432</v>
      </c>
      <c r="O159">
        <f>IF(M159&gt;0,MIN('Prepay vs Invest'!$E$5,M159+N159),0)</f>
        <v>80559.31935518072</v>
      </c>
      <c r="P159">
        <f>MIN(MAX(0,M159+N159-O159),IF(AND(A159&gt;='Prepay vs Invest'!$B$11,A159&lt;='Prepay vs Invest'!$B$12),'Prepay vs Invest'!$B$10,0)+IF(A159='Prepay vs Invest'!$B$9,'Prepay vs Invest'!$B$8,0))</f>
        <v>10000</v>
      </c>
      <c r="Q159">
        <f t="shared" si="35"/>
        <v>1232627.4666934307</v>
      </c>
      <c r="R159">
        <f t="shared" si="43"/>
        <v>0</v>
      </c>
      <c r="S159">
        <f>IF(A159&lt;='Prepay vs Invest'!$B$7*12,MAX(0,'Prepay vs Invest'!$E$5+IF(AND(A159&gt;='Prepay vs Invest'!$B$11,A159&lt;='Prepay vs Invest'!$B$12),'Prepay vs Invest'!$B$10,0)+IF(A159='Prepay vs Invest'!$B$9,'Prepay vs Invest'!$B$8,0)-O159-P159),0)</f>
        <v>0</v>
      </c>
      <c r="T159">
        <f>R159*(1+MAX(0,'Prepay vs Invest'!$B$13-'Prepay vs Invest'!$B$14)/1200)+S159</f>
        <v>0</v>
      </c>
      <c r="U159">
        <f t="shared" si="44"/>
        <v>0</v>
      </c>
      <c r="V159">
        <f>MAX(0,(T159-U159-'Prepay vs Invest'!$B$16)*'Prepay vs Invest'!$B$15/100)</f>
        <v>0</v>
      </c>
      <c r="W159">
        <f t="shared" si="36"/>
        <v>0</v>
      </c>
      <c r="X159">
        <f t="shared" si="45"/>
        <v>3878692.0331623638</v>
      </c>
      <c r="Y159">
        <f>IF(X159&gt;0,X159*'Prepay vs Invest'!$B$6/1200,0)</f>
        <v>24241.825207264774</v>
      </c>
      <c r="Z159">
        <f>IF(X159&gt;0,MIN(-PMT('Prepay vs Invest'!$B$6/1200,'Prepay vs Invest'!$B$7*12-A159+1,X159),X159+Y159),0)</f>
        <v>60038.091087460671</v>
      </c>
      <c r="AA159">
        <f>MIN(MAX(0,X159+Y159-Z159),IF(AND(A159&gt;='Prepay vs Invest'!$B$11,A159&lt;='Prepay vs Invest'!$B$12),'Prepay vs Invest'!$B$10,0)+IF(A159='Prepay vs Invest'!$B$9,'Prepay vs Invest'!$B$8,0))</f>
        <v>10000</v>
      </c>
      <c r="AB159">
        <f t="shared" si="37"/>
        <v>3832895.7672821679</v>
      </c>
      <c r="AC159">
        <f t="shared" si="46"/>
        <v>3233965.5539507195</v>
      </c>
      <c r="AD159">
        <f>IF(A159&lt;='Prepay vs Invest'!$B$7*12,MAX(0,'Prepay vs Invest'!$E$5+IF(AND(A159&gt;='Prepay vs Invest'!$B$11,A159&lt;='Prepay vs Invest'!$B$12),'Prepay vs Invest'!$B$10,0)+IF(A159='Prepay vs Invest'!$B$9,'Prepay vs Invest'!$B$8,0)-Z159-AA159),0)</f>
        <v>20521.228267720049</v>
      </c>
      <c r="AE159">
        <f>AC159*(1+MAX(0,'Prepay vs Invest'!$B$13-'Prepay vs Invest'!$B$14)/1200)+AD159</f>
        <v>3285478.952110467</v>
      </c>
      <c r="AF159">
        <f t="shared" si="47"/>
        <v>1760870.0378969575</v>
      </c>
      <c r="AG159">
        <f>MAX(0,(AE159-AF159-'Prepay vs Invest'!$B$16)*'Prepay vs Invest'!$B$15/100)</f>
        <v>174951.11427668869</v>
      </c>
      <c r="AH159">
        <f t="shared" si="38"/>
        <v>3110527.8378337785</v>
      </c>
    </row>
    <row r="160" spans="1:34" x14ac:dyDescent="0.35">
      <c r="A160">
        <f t="shared" si="39"/>
        <v>159</v>
      </c>
      <c r="B160">
        <f>IF(A160&lt;='Prepay vs Invest'!$B$7*12,F159,0)</f>
        <v>5156410.9011090426</v>
      </c>
      <c r="C160">
        <f>IF(B160&gt;0,B160*'Prepay vs Invest'!$B$6/1200,0)</f>
        <v>32227.568131931519</v>
      </c>
      <c r="D160">
        <f>IF(B160&gt;0,MIN(-PMT('Prepay vs Invest'!$B$6/1200,'Prepay vs Invest'!$B$7*12,'Prepay vs Invest'!$B$5),B160+C160),0)</f>
        <v>80559.31935518072</v>
      </c>
      <c r="E160">
        <f t="shared" si="32"/>
        <v>48331.751223249201</v>
      </c>
      <c r="F160">
        <f t="shared" si="33"/>
        <v>5108079.1498857932</v>
      </c>
      <c r="G160">
        <f t="shared" si="40"/>
        <v>5678176.1016241843</v>
      </c>
      <c r="H160">
        <f>IF(A160&lt;='Prepay vs Invest'!$B$7*12,IF(AND(A160&gt;='Prepay vs Invest'!$B$11,A160&lt;='Prepay vs Invest'!$B$12),'Prepay vs Invest'!$B$10,0)+IF(A160='Prepay vs Invest'!$B$9,'Prepay vs Invest'!$B$8,0),0)</f>
        <v>10000</v>
      </c>
      <c r="I160">
        <f>G160*(1+MAX(0,'Prepay vs Invest'!$B$13-'Prepay vs Invest'!$B$14)/1200)+H160</f>
        <v>5742591.9559314158</v>
      </c>
      <c r="J160">
        <f t="shared" si="41"/>
        <v>2090000</v>
      </c>
      <c r="K160">
        <f>MAX(0,(I160-J160-'Prepay vs Invest'!$B$16)*'Prepay vs Invest'!$B$15/100)</f>
        <v>440948.99449142697</v>
      </c>
      <c r="L160">
        <f t="shared" si="34"/>
        <v>5301642.9614399886</v>
      </c>
      <c r="M160">
        <f t="shared" si="42"/>
        <v>1232627.4666934307</v>
      </c>
      <c r="N160">
        <f>IF(M160&gt;0,M160*'Prepay vs Invest'!$B$6/1200,0)</f>
        <v>7703.9216668339413</v>
      </c>
      <c r="O160">
        <f>IF(M160&gt;0,MIN('Prepay vs Invest'!$E$5,M160+N160),0)</f>
        <v>80559.31935518072</v>
      </c>
      <c r="P160">
        <f>MIN(MAX(0,M160+N160-O160),IF(AND(A160&gt;='Prepay vs Invest'!$B$11,A160&lt;='Prepay vs Invest'!$B$12),'Prepay vs Invest'!$B$10,0)+IF(A160='Prepay vs Invest'!$B$9,'Prepay vs Invest'!$B$8,0))</f>
        <v>10000</v>
      </c>
      <c r="Q160">
        <f t="shared" si="35"/>
        <v>1149772.069005084</v>
      </c>
      <c r="R160">
        <f t="shared" si="43"/>
        <v>0</v>
      </c>
      <c r="S160">
        <f>IF(A160&lt;='Prepay vs Invest'!$B$7*12,MAX(0,'Prepay vs Invest'!$E$5+IF(AND(A160&gt;='Prepay vs Invest'!$B$11,A160&lt;='Prepay vs Invest'!$B$12),'Prepay vs Invest'!$B$10,0)+IF(A160='Prepay vs Invest'!$B$9,'Prepay vs Invest'!$B$8,0)-O160-P160),0)</f>
        <v>0</v>
      </c>
      <c r="T160">
        <f>R160*(1+MAX(0,'Prepay vs Invest'!$B$13-'Prepay vs Invest'!$B$14)/1200)+S160</f>
        <v>0</v>
      </c>
      <c r="U160">
        <f t="shared" si="44"/>
        <v>0</v>
      </c>
      <c r="V160">
        <f>MAX(0,(T160-U160-'Prepay vs Invest'!$B$16)*'Prepay vs Invest'!$B$15/100)</f>
        <v>0</v>
      </c>
      <c r="W160">
        <f t="shared" si="36"/>
        <v>0</v>
      </c>
      <c r="X160">
        <f t="shared" si="45"/>
        <v>3832895.7672821679</v>
      </c>
      <c r="Y160">
        <f>IF(X160&gt;0,X160*'Prepay vs Invest'!$B$6/1200,0)</f>
        <v>23955.598545513549</v>
      </c>
      <c r="Z160">
        <f>IF(X160&gt;0,MIN(-PMT('Prepay vs Invest'!$B$6/1200,'Prepay vs Invest'!$B$7*12-A160+1,X160),X160+Y160),0)</f>
        <v>59881.859706951705</v>
      </c>
      <c r="AA160">
        <f>MIN(MAX(0,X160+Y160-Z160),IF(AND(A160&gt;='Prepay vs Invest'!$B$11,A160&lt;='Prepay vs Invest'!$B$12),'Prepay vs Invest'!$B$10,0)+IF(A160='Prepay vs Invest'!$B$9,'Prepay vs Invest'!$B$8,0))</f>
        <v>10000</v>
      </c>
      <c r="AB160">
        <f t="shared" si="37"/>
        <v>3786969.5061207297</v>
      </c>
      <c r="AC160">
        <f t="shared" si="46"/>
        <v>3285478.952110467</v>
      </c>
      <c r="AD160">
        <f>IF(A160&lt;='Prepay vs Invest'!$B$7*12,MAX(0,'Prepay vs Invest'!$E$5+IF(AND(A160&gt;='Prepay vs Invest'!$B$11,A160&lt;='Prepay vs Invest'!$B$12),'Prepay vs Invest'!$B$10,0)+IF(A160='Prepay vs Invest'!$B$9,'Prepay vs Invest'!$B$8,0)-Z160-AA160),0)</f>
        <v>20677.459648229014</v>
      </c>
      <c r="AE160">
        <f>AC160*(1+MAX(0,'Prepay vs Invest'!$B$13-'Prepay vs Invest'!$B$14)/1200)+AD160</f>
        <v>3337642.2517164215</v>
      </c>
      <c r="AF160">
        <f t="shared" si="47"/>
        <v>1781547.4975451864</v>
      </c>
      <c r="AG160">
        <f>MAX(0,(AE160-AF160-'Prepay vs Invest'!$B$16)*'Prepay vs Invest'!$B$15/100)</f>
        <v>178886.84427140438</v>
      </c>
      <c r="AH160">
        <f t="shared" si="38"/>
        <v>3158755.4074450172</v>
      </c>
    </row>
    <row r="161" spans="1:34" x14ac:dyDescent="0.35">
      <c r="A161">
        <f t="shared" si="39"/>
        <v>160</v>
      </c>
      <c r="B161">
        <f>IF(A161&lt;='Prepay vs Invest'!$B$7*12,F160,0)</f>
        <v>5108079.1498857932</v>
      </c>
      <c r="C161">
        <f>IF(B161&gt;0,B161*'Prepay vs Invest'!$B$6/1200,0)</f>
        <v>31925.494686786209</v>
      </c>
      <c r="D161">
        <f>IF(B161&gt;0,MIN(-PMT('Prepay vs Invest'!$B$6/1200,'Prepay vs Invest'!$B$7*12,'Prepay vs Invest'!$B$5),B161+C161),0)</f>
        <v>80559.31935518072</v>
      </c>
      <c r="E161">
        <f t="shared" si="32"/>
        <v>48633.824668394511</v>
      </c>
      <c r="F161">
        <f t="shared" si="33"/>
        <v>5059445.3252173988</v>
      </c>
      <c r="G161">
        <f t="shared" si="40"/>
        <v>5742591.9559314158</v>
      </c>
      <c r="H161">
        <f>IF(A161&lt;='Prepay vs Invest'!$B$7*12,IF(AND(A161&gt;='Prepay vs Invest'!$B$11,A161&lt;='Prepay vs Invest'!$B$12),'Prepay vs Invest'!$B$10,0)+IF(A161='Prepay vs Invest'!$B$9,'Prepay vs Invest'!$B$8,0),0)</f>
        <v>10000</v>
      </c>
      <c r="I161">
        <f>G161*(1+MAX(0,'Prepay vs Invest'!$B$13-'Prepay vs Invest'!$B$14)/1200)+H161</f>
        <v>5807625.1288424246</v>
      </c>
      <c r="J161">
        <f t="shared" si="41"/>
        <v>2100000</v>
      </c>
      <c r="K161">
        <f>MAX(0,(I161-J161-'Prepay vs Invest'!$B$16)*'Prepay vs Invest'!$B$15/100)</f>
        <v>447828.14110530308</v>
      </c>
      <c r="L161">
        <f t="shared" si="34"/>
        <v>5359796.9877371211</v>
      </c>
      <c r="M161">
        <f t="shared" si="42"/>
        <v>1149772.069005084</v>
      </c>
      <c r="N161">
        <f>IF(M161&gt;0,M161*'Prepay vs Invest'!$B$6/1200,0)</f>
        <v>7186.0754312817753</v>
      </c>
      <c r="O161">
        <f>IF(M161&gt;0,MIN('Prepay vs Invest'!$E$5,M161+N161),0)</f>
        <v>80559.31935518072</v>
      </c>
      <c r="P161">
        <f>MIN(MAX(0,M161+N161-O161),IF(AND(A161&gt;='Prepay vs Invest'!$B$11,A161&lt;='Prepay vs Invest'!$B$12),'Prepay vs Invest'!$B$10,0)+IF(A161='Prepay vs Invest'!$B$9,'Prepay vs Invest'!$B$8,0))</f>
        <v>10000</v>
      </c>
      <c r="Q161">
        <f t="shared" si="35"/>
        <v>1066398.825081185</v>
      </c>
      <c r="R161">
        <f t="shared" si="43"/>
        <v>0</v>
      </c>
      <c r="S161">
        <f>IF(A161&lt;='Prepay vs Invest'!$B$7*12,MAX(0,'Prepay vs Invest'!$E$5+IF(AND(A161&gt;='Prepay vs Invest'!$B$11,A161&lt;='Prepay vs Invest'!$B$12),'Prepay vs Invest'!$B$10,0)+IF(A161='Prepay vs Invest'!$B$9,'Prepay vs Invest'!$B$8,0)-O161-P161),0)</f>
        <v>0</v>
      </c>
      <c r="T161">
        <f>R161*(1+MAX(0,'Prepay vs Invest'!$B$13-'Prepay vs Invest'!$B$14)/1200)+S161</f>
        <v>0</v>
      </c>
      <c r="U161">
        <f t="shared" si="44"/>
        <v>0</v>
      </c>
      <c r="V161">
        <f>MAX(0,(T161-U161-'Prepay vs Invest'!$B$16)*'Prepay vs Invest'!$B$15/100)</f>
        <v>0</v>
      </c>
      <c r="W161">
        <f t="shared" si="36"/>
        <v>0</v>
      </c>
      <c r="X161">
        <f t="shared" si="45"/>
        <v>3786969.5061207297</v>
      </c>
      <c r="Y161">
        <f>IF(X161&gt;0,X161*'Prepay vs Invest'!$B$6/1200,0)</f>
        <v>23668.559413254563</v>
      </c>
      <c r="Z161">
        <f>IF(X161&gt;0,MIN(-PMT('Prepay vs Invest'!$B$6/1200,'Prepay vs Invest'!$B$7*12-A161+1,X161),X161+Y161),0)</f>
        <v>59724.150092454074</v>
      </c>
      <c r="AA161">
        <f>MIN(MAX(0,X161+Y161-Z161),IF(AND(A161&gt;='Prepay vs Invest'!$B$11,A161&lt;='Prepay vs Invest'!$B$12),'Prepay vs Invest'!$B$10,0)+IF(A161='Prepay vs Invest'!$B$9,'Prepay vs Invest'!$B$8,0))</f>
        <v>10000</v>
      </c>
      <c r="AB161">
        <f t="shared" si="37"/>
        <v>3740913.9154415303</v>
      </c>
      <c r="AC161">
        <f t="shared" si="46"/>
        <v>3337642.2517164215</v>
      </c>
      <c r="AD161">
        <f>IF(A161&lt;='Prepay vs Invest'!$B$7*12,MAX(0,'Prepay vs Invest'!$E$5+IF(AND(A161&gt;='Prepay vs Invest'!$B$11,A161&lt;='Prepay vs Invest'!$B$12),'Prepay vs Invest'!$B$10,0)+IF(A161='Prepay vs Invest'!$B$9,'Prepay vs Invest'!$B$8,0)-Z161-AA161),0)</f>
        <v>20835.169262726646</v>
      </c>
      <c r="AE161">
        <f>AC161*(1+MAX(0,'Prepay vs Invest'!$B$13-'Prepay vs Invest'!$B$14)/1200)+AD161</f>
        <v>3390463.159224764</v>
      </c>
      <c r="AF161">
        <f t="shared" si="47"/>
        <v>1802382.666807913</v>
      </c>
      <c r="AG161">
        <f>MAX(0,(AE161-AF161-'Prepay vs Invest'!$B$16)*'Prepay vs Invest'!$B$15/100)</f>
        <v>182885.06155210637</v>
      </c>
      <c r="AH161">
        <f t="shared" si="38"/>
        <v>3207578.0976726576</v>
      </c>
    </row>
    <row r="162" spans="1:34" x14ac:dyDescent="0.35">
      <c r="A162">
        <f t="shared" si="39"/>
        <v>161</v>
      </c>
      <c r="B162">
        <f>IF(A162&lt;='Prepay vs Invest'!$B$7*12,F161,0)</f>
        <v>5059445.3252173988</v>
      </c>
      <c r="C162">
        <f>IF(B162&gt;0,B162*'Prepay vs Invest'!$B$6/1200,0)</f>
        <v>31621.533282608743</v>
      </c>
      <c r="D162">
        <f>IF(B162&gt;0,MIN(-PMT('Prepay vs Invest'!$B$6/1200,'Prepay vs Invest'!$B$7*12,'Prepay vs Invest'!$B$5),B162+C162),0)</f>
        <v>80559.31935518072</v>
      </c>
      <c r="E162">
        <f t="shared" si="32"/>
        <v>48937.78607257198</v>
      </c>
      <c r="F162">
        <f t="shared" si="33"/>
        <v>5010507.5391448271</v>
      </c>
      <c r="G162">
        <f t="shared" si="40"/>
        <v>5807625.1288424246</v>
      </c>
      <c r="H162">
        <f>IF(A162&lt;='Prepay vs Invest'!$B$7*12,IF(AND(A162&gt;='Prepay vs Invest'!$B$11,A162&lt;='Prepay vs Invest'!$B$12),'Prepay vs Invest'!$B$10,0)+IF(A162='Prepay vs Invest'!$B$9,'Prepay vs Invest'!$B$8,0),0)</f>
        <v>10000</v>
      </c>
      <c r="I162">
        <f>G162*(1+MAX(0,'Prepay vs Invest'!$B$13-'Prepay vs Invest'!$B$14)/1200)+H162</f>
        <v>5873281.5363271646</v>
      </c>
      <c r="J162">
        <f t="shared" si="41"/>
        <v>2110000</v>
      </c>
      <c r="K162">
        <f>MAX(0,(I162-J162-'Prepay vs Invest'!$B$16)*'Prepay vs Invest'!$B$15/100)</f>
        <v>454785.19204089558</v>
      </c>
      <c r="L162">
        <f t="shared" si="34"/>
        <v>5418496.3442862686</v>
      </c>
      <c r="M162">
        <f t="shared" si="42"/>
        <v>1066398.825081185</v>
      </c>
      <c r="N162">
        <f>IF(M162&gt;0,M162*'Prepay vs Invest'!$B$6/1200,0)</f>
        <v>6664.9926567574066</v>
      </c>
      <c r="O162">
        <f>IF(M162&gt;0,MIN('Prepay vs Invest'!$E$5,M162+N162),0)</f>
        <v>80559.31935518072</v>
      </c>
      <c r="P162">
        <f>MIN(MAX(0,M162+N162-O162),IF(AND(A162&gt;='Prepay vs Invest'!$B$11,A162&lt;='Prepay vs Invest'!$B$12),'Prepay vs Invest'!$B$10,0)+IF(A162='Prepay vs Invest'!$B$9,'Prepay vs Invest'!$B$8,0))</f>
        <v>10000</v>
      </c>
      <c r="Q162">
        <f t="shared" si="35"/>
        <v>982504.49838276161</v>
      </c>
      <c r="R162">
        <f t="shared" si="43"/>
        <v>0</v>
      </c>
      <c r="S162">
        <f>IF(A162&lt;='Prepay vs Invest'!$B$7*12,MAX(0,'Prepay vs Invest'!$E$5+IF(AND(A162&gt;='Prepay vs Invest'!$B$11,A162&lt;='Prepay vs Invest'!$B$12),'Prepay vs Invest'!$B$10,0)+IF(A162='Prepay vs Invest'!$B$9,'Prepay vs Invest'!$B$8,0)-O162-P162),0)</f>
        <v>0</v>
      </c>
      <c r="T162">
        <f>R162*(1+MAX(0,'Prepay vs Invest'!$B$13-'Prepay vs Invest'!$B$14)/1200)+S162</f>
        <v>0</v>
      </c>
      <c r="U162">
        <f t="shared" si="44"/>
        <v>0</v>
      </c>
      <c r="V162">
        <f>MAX(0,(T162-U162-'Prepay vs Invest'!$B$16)*'Prepay vs Invest'!$B$15/100)</f>
        <v>0</v>
      </c>
      <c r="W162">
        <f t="shared" si="36"/>
        <v>0</v>
      </c>
      <c r="X162">
        <f t="shared" si="45"/>
        <v>3740913.9154415303</v>
      </c>
      <c r="Y162">
        <f>IF(X162&gt;0,X162*'Prepay vs Invest'!$B$6/1200,0)</f>
        <v>23380.711971509565</v>
      </c>
      <c r="Z162">
        <f>IF(X162&gt;0,MIN(-PMT('Prepay vs Invest'!$B$6/1200,'Prepay vs Invest'!$B$7*12-A162+1,X162),X162+Y162),0)</f>
        <v>59564.92449720225</v>
      </c>
      <c r="AA162">
        <f>MIN(MAX(0,X162+Y162-Z162),IF(AND(A162&gt;='Prepay vs Invest'!$B$11,A162&lt;='Prepay vs Invest'!$B$12),'Prepay vs Invest'!$B$10,0)+IF(A162='Prepay vs Invest'!$B$9,'Prepay vs Invest'!$B$8,0))</f>
        <v>10000</v>
      </c>
      <c r="AB162">
        <f t="shared" si="37"/>
        <v>3694729.702915838</v>
      </c>
      <c r="AC162">
        <f t="shared" si="46"/>
        <v>3390463.159224764</v>
      </c>
      <c r="AD162">
        <f>IF(A162&lt;='Prepay vs Invest'!$B$7*12,MAX(0,'Prepay vs Invest'!$E$5+IF(AND(A162&gt;='Prepay vs Invest'!$B$11,A162&lt;='Prepay vs Invest'!$B$12),'Prepay vs Invest'!$B$10,0)+IF(A162='Prepay vs Invest'!$B$9,'Prepay vs Invest'!$B$8,0)-Z162-AA162),0)</f>
        <v>20994.39485797847</v>
      </c>
      <c r="AE162">
        <f>AC162*(1+MAX(0,'Prepay vs Invest'!$B$13-'Prepay vs Invest'!$B$14)/1200)+AD162</f>
        <v>3443949.4926919797</v>
      </c>
      <c r="AF162">
        <f t="shared" si="47"/>
        <v>1823377.0616658914</v>
      </c>
      <c r="AG162">
        <f>MAX(0,(AE162-AF162-'Prepay vs Invest'!$B$16)*'Prepay vs Invest'!$B$15/100)</f>
        <v>186946.55387826104</v>
      </c>
      <c r="AH162">
        <f t="shared" si="38"/>
        <v>3257002.9388137185</v>
      </c>
    </row>
    <row r="163" spans="1:34" x14ac:dyDescent="0.35">
      <c r="A163">
        <f t="shared" si="39"/>
        <v>162</v>
      </c>
      <c r="B163">
        <f>IF(A163&lt;='Prepay vs Invest'!$B$7*12,F162,0)</f>
        <v>5010507.5391448271</v>
      </c>
      <c r="C163">
        <f>IF(B163&gt;0,B163*'Prepay vs Invest'!$B$6/1200,0)</f>
        <v>31315.67211965517</v>
      </c>
      <c r="D163">
        <f>IF(B163&gt;0,MIN(-PMT('Prepay vs Invest'!$B$6/1200,'Prepay vs Invest'!$B$7*12,'Prepay vs Invest'!$B$5),B163+C163),0)</f>
        <v>80559.31935518072</v>
      </c>
      <c r="E163">
        <f t="shared" si="32"/>
        <v>49243.647235525554</v>
      </c>
      <c r="F163">
        <f t="shared" si="33"/>
        <v>4961263.8919093013</v>
      </c>
      <c r="G163">
        <f t="shared" si="40"/>
        <v>5873281.5363271646</v>
      </c>
      <c r="H163">
        <f>IF(A163&lt;='Prepay vs Invest'!$B$7*12,IF(AND(A163&gt;='Prepay vs Invest'!$B$11,A163&lt;='Prepay vs Invest'!$B$12),'Prepay vs Invest'!$B$10,0)+IF(A163='Prepay vs Invest'!$B$9,'Prepay vs Invest'!$B$8,0),0)</f>
        <v>10000</v>
      </c>
      <c r="I163">
        <f>G163*(1+MAX(0,'Prepay vs Invest'!$B$13-'Prepay vs Invest'!$B$14)/1200)+H163</f>
        <v>5939567.1510502994</v>
      </c>
      <c r="J163">
        <f t="shared" si="41"/>
        <v>2120000</v>
      </c>
      <c r="K163">
        <f>MAX(0,(I163-J163-'Prepay vs Invest'!$B$16)*'Prepay vs Invest'!$B$15/100)</f>
        <v>461820.89388128743</v>
      </c>
      <c r="L163">
        <f t="shared" si="34"/>
        <v>5477746.257169012</v>
      </c>
      <c r="M163">
        <f t="shared" si="42"/>
        <v>982504.49838276161</v>
      </c>
      <c r="N163">
        <f>IF(M163&gt;0,M163*'Prepay vs Invest'!$B$6/1200,0)</f>
        <v>6140.6531148922595</v>
      </c>
      <c r="O163">
        <f>IF(M163&gt;0,MIN('Prepay vs Invest'!$E$5,M163+N163),0)</f>
        <v>80559.31935518072</v>
      </c>
      <c r="P163">
        <f>MIN(MAX(0,M163+N163-O163),IF(AND(A163&gt;='Prepay vs Invest'!$B$11,A163&lt;='Prepay vs Invest'!$B$12),'Prepay vs Invest'!$B$10,0)+IF(A163='Prepay vs Invest'!$B$9,'Prepay vs Invest'!$B$8,0))</f>
        <v>10000</v>
      </c>
      <c r="Q163">
        <f t="shared" si="35"/>
        <v>898085.8321424732</v>
      </c>
      <c r="R163">
        <f t="shared" si="43"/>
        <v>0</v>
      </c>
      <c r="S163">
        <f>IF(A163&lt;='Prepay vs Invest'!$B$7*12,MAX(0,'Prepay vs Invest'!$E$5+IF(AND(A163&gt;='Prepay vs Invest'!$B$11,A163&lt;='Prepay vs Invest'!$B$12),'Prepay vs Invest'!$B$10,0)+IF(A163='Prepay vs Invest'!$B$9,'Prepay vs Invest'!$B$8,0)-O163-P163),0)</f>
        <v>0</v>
      </c>
      <c r="T163">
        <f>R163*(1+MAX(0,'Prepay vs Invest'!$B$13-'Prepay vs Invest'!$B$14)/1200)+S163</f>
        <v>0</v>
      </c>
      <c r="U163">
        <f t="shared" si="44"/>
        <v>0</v>
      </c>
      <c r="V163">
        <f>MAX(0,(T163-U163-'Prepay vs Invest'!$B$16)*'Prepay vs Invest'!$B$15/100)</f>
        <v>0</v>
      </c>
      <c r="W163">
        <f t="shared" si="36"/>
        <v>0</v>
      </c>
      <c r="X163">
        <f t="shared" si="45"/>
        <v>3694729.702915838</v>
      </c>
      <c r="Y163">
        <f>IF(X163&gt;0,X163*'Prepay vs Invest'!$B$6/1200,0)</f>
        <v>23092.060643223987</v>
      </c>
      <c r="Z163">
        <f>IF(X163&gt;0,MIN(-PMT('Prepay vs Invest'!$B$6/1200,'Prepay vs Invest'!$B$7*12-A163+1,X163),X163+Y163),0)</f>
        <v>59404.14374051083</v>
      </c>
      <c r="AA163">
        <f>MIN(MAX(0,X163+Y163-Z163),IF(AND(A163&gt;='Prepay vs Invest'!$B$11,A163&lt;='Prepay vs Invest'!$B$12),'Prepay vs Invest'!$B$10,0)+IF(A163='Prepay vs Invest'!$B$9,'Prepay vs Invest'!$B$8,0))</f>
        <v>10000</v>
      </c>
      <c r="AB163">
        <f t="shared" si="37"/>
        <v>3648417.619818551</v>
      </c>
      <c r="AC163">
        <f t="shared" si="46"/>
        <v>3443949.4926919797</v>
      </c>
      <c r="AD163">
        <f>IF(A163&lt;='Prepay vs Invest'!$B$7*12,MAX(0,'Prepay vs Invest'!$E$5+IF(AND(A163&gt;='Prepay vs Invest'!$B$11,A163&lt;='Prepay vs Invest'!$B$12),'Prepay vs Invest'!$B$10,0)+IF(A163='Prepay vs Invest'!$B$9,'Prepay vs Invest'!$B$8,0)-Z163-AA163),0)</f>
        <v>21155.17561466989</v>
      </c>
      <c r="AE163">
        <f>AC163*(1+MAX(0,'Prepay vs Invest'!$B$13-'Prepay vs Invest'!$B$14)/1200)+AD163</f>
        <v>3498109.1842782809</v>
      </c>
      <c r="AF163">
        <f t="shared" si="47"/>
        <v>1844532.2372805614</v>
      </c>
      <c r="AG163">
        <f>MAX(0,(AE163-AF163-'Prepay vs Invest'!$B$16)*'Prepay vs Invest'!$B$15/100)</f>
        <v>191072.11837471498</v>
      </c>
      <c r="AH163">
        <f t="shared" si="38"/>
        <v>3307037.0659035658</v>
      </c>
    </row>
    <row r="164" spans="1:34" x14ac:dyDescent="0.35">
      <c r="A164">
        <f t="shared" si="39"/>
        <v>163</v>
      </c>
      <c r="B164">
        <f>IF(A164&lt;='Prepay vs Invest'!$B$7*12,F163,0)</f>
        <v>4961263.8919093013</v>
      </c>
      <c r="C164">
        <f>IF(B164&gt;0,B164*'Prepay vs Invest'!$B$6/1200,0)</f>
        <v>31007.899324433132</v>
      </c>
      <c r="D164">
        <f>IF(B164&gt;0,MIN(-PMT('Prepay vs Invest'!$B$6/1200,'Prepay vs Invest'!$B$7*12,'Prepay vs Invest'!$B$5),B164+C164),0)</f>
        <v>80559.31935518072</v>
      </c>
      <c r="E164">
        <f t="shared" si="32"/>
        <v>49551.420030747584</v>
      </c>
      <c r="F164">
        <f t="shared" si="33"/>
        <v>4911712.4718785537</v>
      </c>
      <c r="G164">
        <f t="shared" si="40"/>
        <v>5939567.1510502994</v>
      </c>
      <c r="H164">
        <f>IF(A164&lt;='Prepay vs Invest'!$B$7*12,IF(AND(A164&gt;='Prepay vs Invest'!$B$11,A164&lt;='Prepay vs Invest'!$B$12),'Prepay vs Invest'!$B$10,0)+IF(A164='Prepay vs Invest'!$B$9,'Prepay vs Invest'!$B$8,0),0)</f>
        <v>10000</v>
      </c>
      <c r="I164">
        <f>G164*(1+MAX(0,'Prepay vs Invest'!$B$13-'Prepay vs Invest'!$B$14)/1200)+H164</f>
        <v>6006488.0029145312</v>
      </c>
      <c r="J164">
        <f t="shared" si="41"/>
        <v>2130000</v>
      </c>
      <c r="K164">
        <f>MAX(0,(I164-J164-'Prepay vs Invest'!$B$16)*'Prepay vs Invest'!$B$15/100)</f>
        <v>468936.00036431639</v>
      </c>
      <c r="L164">
        <f t="shared" si="34"/>
        <v>5537552.0025502145</v>
      </c>
      <c r="M164">
        <f t="shared" si="42"/>
        <v>898085.8321424732</v>
      </c>
      <c r="N164">
        <f>IF(M164&gt;0,M164*'Prepay vs Invest'!$B$6/1200,0)</f>
        <v>5613.0364508904577</v>
      </c>
      <c r="O164">
        <f>IF(M164&gt;0,MIN('Prepay vs Invest'!$E$5,M164+N164),0)</f>
        <v>80559.31935518072</v>
      </c>
      <c r="P164">
        <f>MIN(MAX(0,M164+N164-O164),IF(AND(A164&gt;='Prepay vs Invest'!$B$11,A164&lt;='Prepay vs Invest'!$B$12),'Prepay vs Invest'!$B$10,0)+IF(A164='Prepay vs Invest'!$B$9,'Prepay vs Invest'!$B$8,0))</f>
        <v>10000</v>
      </c>
      <c r="Q164">
        <f t="shared" si="35"/>
        <v>813139.54923818295</v>
      </c>
      <c r="R164">
        <f t="shared" si="43"/>
        <v>0</v>
      </c>
      <c r="S164">
        <f>IF(A164&lt;='Prepay vs Invest'!$B$7*12,MAX(0,'Prepay vs Invest'!$E$5+IF(AND(A164&gt;='Prepay vs Invest'!$B$11,A164&lt;='Prepay vs Invest'!$B$12),'Prepay vs Invest'!$B$10,0)+IF(A164='Prepay vs Invest'!$B$9,'Prepay vs Invest'!$B$8,0)-O164-P164),0)</f>
        <v>0</v>
      </c>
      <c r="T164">
        <f>R164*(1+MAX(0,'Prepay vs Invest'!$B$13-'Prepay vs Invest'!$B$14)/1200)+S164</f>
        <v>0</v>
      </c>
      <c r="U164">
        <f t="shared" si="44"/>
        <v>0</v>
      </c>
      <c r="V164">
        <f>MAX(0,(T164-U164-'Prepay vs Invest'!$B$16)*'Prepay vs Invest'!$B$15/100)</f>
        <v>0</v>
      </c>
      <c r="W164">
        <f t="shared" si="36"/>
        <v>0</v>
      </c>
      <c r="X164">
        <f t="shared" si="45"/>
        <v>3648417.619818551</v>
      </c>
      <c r="Y164">
        <f>IF(X164&gt;0,X164*'Prepay vs Invest'!$B$6/1200,0)</f>
        <v>22802.610123865943</v>
      </c>
      <c r="Z164">
        <f>IF(X164&gt;0,MIN(-PMT('Prepay vs Invest'!$B$6/1200,'Prepay vs Invest'!$B$7*12-A164+1,X164),X164+Y164),0)</f>
        <v>59241.767134246125</v>
      </c>
      <c r="AA164">
        <f>MIN(MAX(0,X164+Y164-Z164),IF(AND(A164&gt;='Prepay vs Invest'!$B$11,A164&lt;='Prepay vs Invest'!$B$12),'Prepay vs Invest'!$B$10,0)+IF(A164='Prepay vs Invest'!$B$9,'Prepay vs Invest'!$B$8,0))</f>
        <v>10000</v>
      </c>
      <c r="AB164">
        <f t="shared" si="37"/>
        <v>3601978.4628081708</v>
      </c>
      <c r="AC164">
        <f t="shared" si="46"/>
        <v>3498109.1842782809</v>
      </c>
      <c r="AD164">
        <f>IF(A164&lt;='Prepay vs Invest'!$B$7*12,MAX(0,'Prepay vs Invest'!$E$5+IF(AND(A164&gt;='Prepay vs Invest'!$B$11,A164&lt;='Prepay vs Invest'!$B$12),'Prepay vs Invest'!$B$10,0)+IF(A164='Prepay vs Invest'!$B$9,'Prepay vs Invest'!$B$8,0)-Z164-AA164),0)</f>
        <v>21317.552220934595</v>
      </c>
      <c r="AE164">
        <f>AC164*(1+MAX(0,'Prepay vs Invest'!$B$13-'Prepay vs Invest'!$B$14)/1200)+AD164</f>
        <v>3552950.2828485486</v>
      </c>
      <c r="AF164">
        <f t="shared" si="47"/>
        <v>1865849.7895014959</v>
      </c>
      <c r="AG164">
        <f>MAX(0,(AE164-AF164-'Prepay vs Invest'!$B$16)*'Prepay vs Invest'!$B$15/100)</f>
        <v>195262.56166838159</v>
      </c>
      <c r="AH164">
        <f t="shared" si="38"/>
        <v>3357687.721180167</v>
      </c>
    </row>
    <row r="165" spans="1:34" x14ac:dyDescent="0.35">
      <c r="A165">
        <f t="shared" si="39"/>
        <v>164</v>
      </c>
      <c r="B165">
        <f>IF(A165&lt;='Prepay vs Invest'!$B$7*12,F164,0)</f>
        <v>4911712.4718785537</v>
      </c>
      <c r="C165">
        <f>IF(B165&gt;0,B165*'Prepay vs Invest'!$B$6/1200,0)</f>
        <v>30698.20294924096</v>
      </c>
      <c r="D165">
        <f>IF(B165&gt;0,MIN(-PMT('Prepay vs Invest'!$B$6/1200,'Prepay vs Invest'!$B$7*12,'Prepay vs Invest'!$B$5),B165+C165),0)</f>
        <v>80559.31935518072</v>
      </c>
      <c r="E165">
        <f t="shared" si="32"/>
        <v>49861.116405939756</v>
      </c>
      <c r="F165">
        <f t="shared" si="33"/>
        <v>4861851.3554726141</v>
      </c>
      <c r="G165">
        <f t="shared" si="40"/>
        <v>6006488.0029145312</v>
      </c>
      <c r="H165">
        <f>IF(A165&lt;='Prepay vs Invest'!$B$7*12,IF(AND(A165&gt;='Prepay vs Invest'!$B$11,A165&lt;='Prepay vs Invest'!$B$12),'Prepay vs Invest'!$B$10,0)+IF(A165='Prepay vs Invest'!$B$9,'Prepay vs Invest'!$B$8,0),0)</f>
        <v>10000</v>
      </c>
      <c r="I165">
        <f>G165*(1+MAX(0,'Prepay vs Invest'!$B$13-'Prepay vs Invest'!$B$14)/1200)+H165</f>
        <v>6074050.1796091283</v>
      </c>
      <c r="J165">
        <f t="shared" si="41"/>
        <v>2140000</v>
      </c>
      <c r="K165">
        <f>MAX(0,(I165-J165-'Prepay vs Invest'!$B$16)*'Prepay vs Invest'!$B$15/100)</f>
        <v>476131.27245114103</v>
      </c>
      <c r="L165">
        <f t="shared" si="34"/>
        <v>5597918.9071579874</v>
      </c>
      <c r="M165">
        <f t="shared" si="42"/>
        <v>813139.54923818295</v>
      </c>
      <c r="N165">
        <f>IF(M165&gt;0,M165*'Prepay vs Invest'!$B$6/1200,0)</f>
        <v>5082.1221827386435</v>
      </c>
      <c r="O165">
        <f>IF(M165&gt;0,MIN('Prepay vs Invest'!$E$5,M165+N165),0)</f>
        <v>80559.31935518072</v>
      </c>
      <c r="P165">
        <f>MIN(MAX(0,M165+N165-O165),IF(AND(A165&gt;='Prepay vs Invest'!$B$11,A165&lt;='Prepay vs Invest'!$B$12),'Prepay vs Invest'!$B$10,0)+IF(A165='Prepay vs Invest'!$B$9,'Prepay vs Invest'!$B$8,0))</f>
        <v>10000</v>
      </c>
      <c r="Q165">
        <f t="shared" si="35"/>
        <v>727662.35206574085</v>
      </c>
      <c r="R165">
        <f t="shared" si="43"/>
        <v>0</v>
      </c>
      <c r="S165">
        <f>IF(A165&lt;='Prepay vs Invest'!$B$7*12,MAX(0,'Prepay vs Invest'!$E$5+IF(AND(A165&gt;='Prepay vs Invest'!$B$11,A165&lt;='Prepay vs Invest'!$B$12),'Prepay vs Invest'!$B$10,0)+IF(A165='Prepay vs Invest'!$B$9,'Prepay vs Invest'!$B$8,0)-O165-P165),0)</f>
        <v>0</v>
      </c>
      <c r="T165">
        <f>R165*(1+MAX(0,'Prepay vs Invest'!$B$13-'Prepay vs Invest'!$B$14)/1200)+S165</f>
        <v>0</v>
      </c>
      <c r="U165">
        <f t="shared" si="44"/>
        <v>0</v>
      </c>
      <c r="V165">
        <f>MAX(0,(T165-U165-'Prepay vs Invest'!$B$16)*'Prepay vs Invest'!$B$15/100)</f>
        <v>0</v>
      </c>
      <c r="W165">
        <f t="shared" si="36"/>
        <v>0</v>
      </c>
      <c r="X165">
        <f t="shared" si="45"/>
        <v>3601978.4628081708</v>
      </c>
      <c r="Y165">
        <f>IF(X165&gt;0,X165*'Prepay vs Invest'!$B$6/1200,0)</f>
        <v>22512.36539255107</v>
      </c>
      <c r="Z165">
        <f>IF(X165&gt;0,MIN(-PMT('Prepay vs Invest'!$B$6/1200,'Prepay vs Invest'!$B$7*12-A165+1,X165),X165+Y165),0)</f>
        <v>59077.752404523213</v>
      </c>
      <c r="AA165">
        <f>MIN(MAX(0,X165+Y165-Z165),IF(AND(A165&gt;='Prepay vs Invest'!$B$11,A165&lt;='Prepay vs Invest'!$B$12),'Prepay vs Invest'!$B$10,0)+IF(A165='Prepay vs Invest'!$B$9,'Prepay vs Invest'!$B$8,0))</f>
        <v>10000</v>
      </c>
      <c r="AB165">
        <f t="shared" si="37"/>
        <v>3555413.075796199</v>
      </c>
      <c r="AC165">
        <f t="shared" si="46"/>
        <v>3552950.2828485486</v>
      </c>
      <c r="AD165">
        <f>IF(A165&lt;='Prepay vs Invest'!$B$7*12,MAX(0,'Prepay vs Invest'!$E$5+IF(AND(A165&gt;='Prepay vs Invest'!$B$11,A165&lt;='Prepay vs Invest'!$B$12),'Prepay vs Invest'!$B$10,0)+IF(A165='Prepay vs Invest'!$B$9,'Prepay vs Invest'!$B$8,0)-Z165-AA165),0)</f>
        <v>21481.566950657507</v>
      </c>
      <c r="AE165">
        <f>AC165*(1+MAX(0,'Prepay vs Invest'!$B$13-'Prepay vs Invest'!$B$14)/1200)+AD165</f>
        <v>3608480.9566765046</v>
      </c>
      <c r="AF165">
        <f t="shared" si="47"/>
        <v>1887331.3564521533</v>
      </c>
      <c r="AG165">
        <f>MAX(0,(AE165-AF165-'Prepay vs Invest'!$B$16)*'Prepay vs Invest'!$B$15/100)</f>
        <v>199518.70002804391</v>
      </c>
      <c r="AH165">
        <f t="shared" si="38"/>
        <v>3408962.2566484609</v>
      </c>
    </row>
    <row r="166" spans="1:34" x14ac:dyDescent="0.35">
      <c r="A166">
        <f t="shared" si="39"/>
        <v>165</v>
      </c>
      <c r="B166">
        <f>IF(A166&lt;='Prepay vs Invest'!$B$7*12,F165,0)</f>
        <v>4861851.3554726141</v>
      </c>
      <c r="C166">
        <f>IF(B166&gt;0,B166*'Prepay vs Invest'!$B$6/1200,0)</f>
        <v>30386.570971703841</v>
      </c>
      <c r="D166">
        <f>IF(B166&gt;0,MIN(-PMT('Prepay vs Invest'!$B$6/1200,'Prepay vs Invest'!$B$7*12,'Prepay vs Invest'!$B$5),B166+C166),0)</f>
        <v>80559.31935518072</v>
      </c>
      <c r="E166">
        <f t="shared" si="32"/>
        <v>50172.748383476879</v>
      </c>
      <c r="F166">
        <f t="shared" si="33"/>
        <v>4811678.6070891377</v>
      </c>
      <c r="G166">
        <f t="shared" si="40"/>
        <v>6074050.1796091283</v>
      </c>
      <c r="H166">
        <f>IF(A166&lt;='Prepay vs Invest'!$B$7*12,IF(AND(A166&gt;='Prepay vs Invest'!$B$11,A166&lt;='Prepay vs Invest'!$B$12),'Prepay vs Invest'!$B$10,0)+IF(A166='Prepay vs Invest'!$B$9,'Prepay vs Invest'!$B$8,0),0)</f>
        <v>10000</v>
      </c>
      <c r="I166">
        <f>G166*(1+MAX(0,'Prepay vs Invest'!$B$13-'Prepay vs Invest'!$B$14)/1200)+H166</f>
        <v>6142259.8271637158</v>
      </c>
      <c r="J166">
        <f t="shared" si="41"/>
        <v>2150000</v>
      </c>
      <c r="K166">
        <f>MAX(0,(I166-J166-'Prepay vs Invest'!$B$16)*'Prepay vs Invest'!$B$15/100)</f>
        <v>483407.47839546448</v>
      </c>
      <c r="L166">
        <f t="shared" si="34"/>
        <v>5658852.348768251</v>
      </c>
      <c r="M166">
        <f t="shared" si="42"/>
        <v>727662.35206574085</v>
      </c>
      <c r="N166">
        <f>IF(M166&gt;0,M166*'Prepay vs Invest'!$B$6/1200,0)</f>
        <v>4547.8897004108803</v>
      </c>
      <c r="O166">
        <f>IF(M166&gt;0,MIN('Prepay vs Invest'!$E$5,M166+N166),0)</f>
        <v>80559.31935518072</v>
      </c>
      <c r="P166">
        <f>MIN(MAX(0,M166+N166-O166),IF(AND(A166&gt;='Prepay vs Invest'!$B$11,A166&lt;='Prepay vs Invest'!$B$12),'Prepay vs Invest'!$B$10,0)+IF(A166='Prepay vs Invest'!$B$9,'Prepay vs Invest'!$B$8,0))</f>
        <v>10000</v>
      </c>
      <c r="Q166">
        <f t="shared" si="35"/>
        <v>641650.92241097102</v>
      </c>
      <c r="R166">
        <f t="shared" si="43"/>
        <v>0</v>
      </c>
      <c r="S166">
        <f>IF(A166&lt;='Prepay vs Invest'!$B$7*12,MAX(0,'Prepay vs Invest'!$E$5+IF(AND(A166&gt;='Prepay vs Invest'!$B$11,A166&lt;='Prepay vs Invest'!$B$12),'Prepay vs Invest'!$B$10,0)+IF(A166='Prepay vs Invest'!$B$9,'Prepay vs Invest'!$B$8,0)-O166-P166),0)</f>
        <v>0</v>
      </c>
      <c r="T166">
        <f>R166*(1+MAX(0,'Prepay vs Invest'!$B$13-'Prepay vs Invest'!$B$14)/1200)+S166</f>
        <v>0</v>
      </c>
      <c r="U166">
        <f t="shared" si="44"/>
        <v>0</v>
      </c>
      <c r="V166">
        <f>MAX(0,(T166-U166-'Prepay vs Invest'!$B$16)*'Prepay vs Invest'!$B$15/100)</f>
        <v>0</v>
      </c>
      <c r="W166">
        <f t="shared" si="36"/>
        <v>0</v>
      </c>
      <c r="X166">
        <f t="shared" si="45"/>
        <v>3555413.075796199</v>
      </c>
      <c r="Y166">
        <f>IF(X166&gt;0,X166*'Prepay vs Invest'!$B$6/1200,0)</f>
        <v>22221.331723726242</v>
      </c>
      <c r="Z166">
        <f>IF(X166&gt;0,MIN(-PMT('Prepay vs Invest'!$B$6/1200,'Prepay vs Invest'!$B$7*12-A166+1,X166),X166+Y166),0)</f>
        <v>58912.055608251358</v>
      </c>
      <c r="AA166">
        <f>MIN(MAX(0,X166+Y166-Z166),IF(AND(A166&gt;='Prepay vs Invest'!$B$11,A166&lt;='Prepay vs Invest'!$B$12),'Prepay vs Invest'!$B$10,0)+IF(A166='Prepay vs Invest'!$B$9,'Prepay vs Invest'!$B$8,0))</f>
        <v>10000</v>
      </c>
      <c r="AB166">
        <f t="shared" si="37"/>
        <v>3508722.3519116743</v>
      </c>
      <c r="AC166">
        <f t="shared" si="46"/>
        <v>3608480.9566765046</v>
      </c>
      <c r="AD166">
        <f>IF(A166&lt;='Prepay vs Invest'!$B$7*12,MAX(0,'Prepay vs Invest'!$E$5+IF(AND(A166&gt;='Prepay vs Invest'!$B$11,A166&lt;='Prepay vs Invest'!$B$12),'Prepay vs Invest'!$B$10,0)+IF(A166='Prepay vs Invest'!$B$9,'Prepay vs Invest'!$B$8,0)-Z166-AA166),0)</f>
        <v>21647.263746929362</v>
      </c>
      <c r="AE166">
        <f>AC166*(1+MAX(0,'Prepay vs Invest'!$B$13-'Prepay vs Invest'!$B$14)/1200)+AD166</f>
        <v>3664709.4962582504</v>
      </c>
      <c r="AF166">
        <f t="shared" si="47"/>
        <v>1908978.6201990827</v>
      </c>
      <c r="AG166">
        <f>MAX(0,(AE166-AF166-'Prepay vs Invest'!$B$16)*'Prepay vs Invest'!$B$15/100)</f>
        <v>203841.35950739597</v>
      </c>
      <c r="AH166">
        <f t="shared" si="38"/>
        <v>3460868.1367508546</v>
      </c>
    </row>
    <row r="167" spans="1:34" x14ac:dyDescent="0.35">
      <c r="A167">
        <f t="shared" si="39"/>
        <v>166</v>
      </c>
      <c r="B167">
        <f>IF(A167&lt;='Prepay vs Invest'!$B$7*12,F166,0)</f>
        <v>4811678.6070891377</v>
      </c>
      <c r="C167">
        <f>IF(B167&gt;0,B167*'Prepay vs Invest'!$B$6/1200,0)</f>
        <v>30072.991294307114</v>
      </c>
      <c r="D167">
        <f>IF(B167&gt;0,MIN(-PMT('Prepay vs Invest'!$B$6/1200,'Prepay vs Invest'!$B$7*12,'Prepay vs Invest'!$B$5),B167+C167),0)</f>
        <v>80559.31935518072</v>
      </c>
      <c r="E167">
        <f t="shared" si="32"/>
        <v>50486.32806087361</v>
      </c>
      <c r="F167">
        <f t="shared" si="33"/>
        <v>4761192.2790282639</v>
      </c>
      <c r="G167">
        <f t="shared" si="40"/>
        <v>6142259.8271637158</v>
      </c>
      <c r="H167">
        <f>IF(A167&lt;='Prepay vs Invest'!$B$7*12,IF(AND(A167&gt;='Prepay vs Invest'!$B$11,A167&lt;='Prepay vs Invest'!$B$12),'Prepay vs Invest'!$B$10,0)+IF(A167='Prepay vs Invest'!$B$9,'Prepay vs Invest'!$B$8,0),0)</f>
        <v>10000</v>
      </c>
      <c r="I167">
        <f>G167*(1+MAX(0,'Prepay vs Invest'!$B$13-'Prepay vs Invest'!$B$14)/1200)+H167</f>
        <v>6211123.1505073681</v>
      </c>
      <c r="J167">
        <f t="shared" si="41"/>
        <v>2160000</v>
      </c>
      <c r="K167">
        <f>MAX(0,(I167-J167-'Prepay vs Invest'!$B$16)*'Prepay vs Invest'!$B$15/100)</f>
        <v>490765.39381342096</v>
      </c>
      <c r="L167">
        <f t="shared" si="34"/>
        <v>5720357.7566939471</v>
      </c>
      <c r="M167">
        <f t="shared" si="42"/>
        <v>641650.92241097102</v>
      </c>
      <c r="N167">
        <f>IF(M167&gt;0,M167*'Prepay vs Invest'!$B$6/1200,0)</f>
        <v>4010.318265068569</v>
      </c>
      <c r="O167">
        <f>IF(M167&gt;0,MIN('Prepay vs Invest'!$E$5,M167+N167),0)</f>
        <v>80559.31935518072</v>
      </c>
      <c r="P167">
        <f>MIN(MAX(0,M167+N167-O167),IF(AND(A167&gt;='Prepay vs Invest'!$B$11,A167&lt;='Prepay vs Invest'!$B$12),'Prepay vs Invest'!$B$10,0)+IF(A167='Prepay vs Invest'!$B$9,'Prepay vs Invest'!$B$8,0))</f>
        <v>10000</v>
      </c>
      <c r="Q167">
        <f t="shared" si="35"/>
        <v>555101.92132085888</v>
      </c>
      <c r="R167">
        <f t="shared" si="43"/>
        <v>0</v>
      </c>
      <c r="S167">
        <f>IF(A167&lt;='Prepay vs Invest'!$B$7*12,MAX(0,'Prepay vs Invest'!$E$5+IF(AND(A167&gt;='Prepay vs Invest'!$B$11,A167&lt;='Prepay vs Invest'!$B$12),'Prepay vs Invest'!$B$10,0)+IF(A167='Prepay vs Invest'!$B$9,'Prepay vs Invest'!$B$8,0)-O167-P167),0)</f>
        <v>0</v>
      </c>
      <c r="T167">
        <f>R167*(1+MAX(0,'Prepay vs Invest'!$B$13-'Prepay vs Invest'!$B$14)/1200)+S167</f>
        <v>0</v>
      </c>
      <c r="U167">
        <f t="shared" si="44"/>
        <v>0</v>
      </c>
      <c r="V167">
        <f>MAX(0,(T167-U167-'Prepay vs Invest'!$B$16)*'Prepay vs Invest'!$B$15/100)</f>
        <v>0</v>
      </c>
      <c r="W167">
        <f t="shared" si="36"/>
        <v>0</v>
      </c>
      <c r="X167">
        <f t="shared" si="45"/>
        <v>3508722.3519116743</v>
      </c>
      <c r="Y167">
        <f>IF(X167&gt;0,X167*'Prepay vs Invest'!$B$6/1200,0)</f>
        <v>21929.514699447966</v>
      </c>
      <c r="Z167">
        <f>IF(X167&gt;0,MIN(-PMT('Prepay vs Invest'!$B$6/1200,'Prepay vs Invest'!$B$7*12-A167+1,X167),X167+Y167),0)</f>
        <v>58744.631044115908</v>
      </c>
      <c r="AA167">
        <f>MIN(MAX(0,X167+Y167-Z167),IF(AND(A167&gt;='Prepay vs Invest'!$B$11,A167&lt;='Prepay vs Invest'!$B$12),'Prepay vs Invest'!$B$10,0)+IF(A167='Prepay vs Invest'!$B$9,'Prepay vs Invest'!$B$8,0))</f>
        <v>10000</v>
      </c>
      <c r="AB167">
        <f t="shared" si="37"/>
        <v>3461907.2355670063</v>
      </c>
      <c r="AC167">
        <f t="shared" si="46"/>
        <v>3664709.4962582504</v>
      </c>
      <c r="AD167">
        <f>IF(A167&lt;='Prepay vs Invest'!$B$7*12,MAX(0,'Prepay vs Invest'!$E$5+IF(AND(A167&gt;='Prepay vs Invest'!$B$11,A167&lt;='Prepay vs Invest'!$B$12),'Prepay vs Invest'!$B$10,0)+IF(A167='Prepay vs Invest'!$B$9,'Prepay vs Invest'!$B$8,0)-Z167-AA167),0)</f>
        <v>21814.688311064812</v>
      </c>
      <c r="AE167">
        <f>AC167*(1+MAX(0,'Prepay vs Invest'!$B$13-'Prepay vs Invest'!$B$14)/1200)+AD167</f>
        <v>3721644.3172417898</v>
      </c>
      <c r="AF167">
        <f t="shared" si="47"/>
        <v>1930793.3085101475</v>
      </c>
      <c r="AG167">
        <f>MAX(0,(AE167-AF167-'Prepay vs Invest'!$B$16)*'Prepay vs Invest'!$B$15/100)</f>
        <v>208231.37609145528</v>
      </c>
      <c r="AH167">
        <f t="shared" si="38"/>
        <v>3513412.9411503347</v>
      </c>
    </row>
    <row r="168" spans="1:34" x14ac:dyDescent="0.35">
      <c r="A168">
        <f t="shared" si="39"/>
        <v>167</v>
      </c>
      <c r="B168">
        <f>IF(A168&lt;='Prepay vs Invest'!$B$7*12,F167,0)</f>
        <v>4761192.2790282639</v>
      </c>
      <c r="C168">
        <f>IF(B168&gt;0,B168*'Prepay vs Invest'!$B$6/1200,0)</f>
        <v>29757.451743926649</v>
      </c>
      <c r="D168">
        <f>IF(B168&gt;0,MIN(-PMT('Prepay vs Invest'!$B$6/1200,'Prepay vs Invest'!$B$7*12,'Prepay vs Invest'!$B$5),B168+C168),0)</f>
        <v>80559.31935518072</v>
      </c>
      <c r="E168">
        <f t="shared" si="32"/>
        <v>50801.867611254071</v>
      </c>
      <c r="F168">
        <f t="shared" si="33"/>
        <v>4710390.4114170102</v>
      </c>
      <c r="G168">
        <f t="shared" si="40"/>
        <v>6211123.1505073681</v>
      </c>
      <c r="H168">
        <f>IF(A168&lt;='Prepay vs Invest'!$B$7*12,IF(AND(A168&gt;='Prepay vs Invest'!$B$11,A168&lt;='Prepay vs Invest'!$B$12),'Prepay vs Invest'!$B$10,0)+IF(A168='Prepay vs Invest'!$B$9,'Prepay vs Invest'!$B$8,0),0)</f>
        <v>10000</v>
      </c>
      <c r="I168">
        <f>G168*(1+MAX(0,'Prepay vs Invest'!$B$13-'Prepay vs Invest'!$B$14)/1200)+H168</f>
        <v>6280646.4140330637</v>
      </c>
      <c r="J168">
        <f t="shared" si="41"/>
        <v>2170000</v>
      </c>
      <c r="K168">
        <f>MAX(0,(I168-J168-'Prepay vs Invest'!$B$16)*'Prepay vs Invest'!$B$15/100)</f>
        <v>498205.80175413296</v>
      </c>
      <c r="L168">
        <f t="shared" si="34"/>
        <v>5782440.6122789308</v>
      </c>
      <c r="M168">
        <f t="shared" si="42"/>
        <v>555101.92132085888</v>
      </c>
      <c r="N168">
        <f>IF(M168&gt;0,M168*'Prepay vs Invest'!$B$6/1200,0)</f>
        <v>3469.3870082553676</v>
      </c>
      <c r="O168">
        <f>IF(M168&gt;0,MIN('Prepay vs Invest'!$E$5,M168+N168),0)</f>
        <v>80559.31935518072</v>
      </c>
      <c r="P168">
        <f>MIN(MAX(0,M168+N168-O168),IF(AND(A168&gt;='Prepay vs Invest'!$B$11,A168&lt;='Prepay vs Invest'!$B$12),'Prepay vs Invest'!$B$10,0)+IF(A168='Prepay vs Invest'!$B$9,'Prepay vs Invest'!$B$8,0))</f>
        <v>10000</v>
      </c>
      <c r="Q168">
        <f t="shared" si="35"/>
        <v>468011.9889739335</v>
      </c>
      <c r="R168">
        <f t="shared" si="43"/>
        <v>0</v>
      </c>
      <c r="S168">
        <f>IF(A168&lt;='Prepay vs Invest'!$B$7*12,MAX(0,'Prepay vs Invest'!$E$5+IF(AND(A168&gt;='Prepay vs Invest'!$B$11,A168&lt;='Prepay vs Invest'!$B$12),'Prepay vs Invest'!$B$10,0)+IF(A168='Prepay vs Invest'!$B$9,'Prepay vs Invest'!$B$8,0)-O168-P168),0)</f>
        <v>0</v>
      </c>
      <c r="T168">
        <f>R168*(1+MAX(0,'Prepay vs Invest'!$B$13-'Prepay vs Invest'!$B$14)/1200)+S168</f>
        <v>0</v>
      </c>
      <c r="U168">
        <f t="shared" si="44"/>
        <v>0</v>
      </c>
      <c r="V168">
        <f>MAX(0,(T168-U168-'Prepay vs Invest'!$B$16)*'Prepay vs Invest'!$B$15/100)</f>
        <v>0</v>
      </c>
      <c r="W168">
        <f t="shared" si="36"/>
        <v>0</v>
      </c>
      <c r="X168">
        <f t="shared" si="45"/>
        <v>3461907.2355670063</v>
      </c>
      <c r="Y168">
        <f>IF(X168&gt;0,X168*'Prepay vs Invest'!$B$6/1200,0)</f>
        <v>21636.920222293789</v>
      </c>
      <c r="Z168">
        <f>IF(X168&gt;0,MIN(-PMT('Prepay vs Invest'!$B$6/1200,'Prepay vs Invest'!$B$7*12-A168+1,X168),X168+Y168),0)</f>
        <v>58575.431157545434</v>
      </c>
      <c r="AA168">
        <f>MIN(MAX(0,X168+Y168-Z168),IF(AND(A168&gt;='Prepay vs Invest'!$B$11,A168&lt;='Prepay vs Invest'!$B$12),'Prepay vs Invest'!$B$10,0)+IF(A168='Prepay vs Invest'!$B$9,'Prepay vs Invest'!$B$8,0))</f>
        <v>10000</v>
      </c>
      <c r="AB168">
        <f t="shared" si="37"/>
        <v>3414968.7246317542</v>
      </c>
      <c r="AC168">
        <f t="shared" si="46"/>
        <v>3721644.3172417898</v>
      </c>
      <c r="AD168">
        <f>IF(A168&lt;='Prepay vs Invest'!$B$7*12,MAX(0,'Prepay vs Invest'!$E$5+IF(AND(A168&gt;='Prepay vs Invest'!$B$11,A168&lt;='Prepay vs Invest'!$B$12),'Prepay vs Invest'!$B$10,0)+IF(A168='Prepay vs Invest'!$B$9,'Prepay vs Invest'!$B$8,0)-Z168-AA168),0)</f>
        <v>21983.888197635286</v>
      </c>
      <c r="AE168">
        <f>AC168*(1+MAX(0,'Prepay vs Invest'!$B$13-'Prepay vs Invest'!$B$14)/1200)+AD168</f>
        <v>3779293.9634796586</v>
      </c>
      <c r="AF168">
        <f t="shared" si="47"/>
        <v>1952777.1967077828</v>
      </c>
      <c r="AG168">
        <f>MAX(0,(AE168-AF168-'Prepay vs Invest'!$B$16)*'Prepay vs Invest'!$B$15/100)</f>
        <v>212689.5958464845</v>
      </c>
      <c r="AH168">
        <f t="shared" si="38"/>
        <v>3566604.3676331742</v>
      </c>
    </row>
    <row r="169" spans="1:34" x14ac:dyDescent="0.35">
      <c r="A169">
        <f t="shared" si="39"/>
        <v>168</v>
      </c>
      <c r="B169">
        <f>IF(A169&lt;='Prepay vs Invest'!$B$7*12,F168,0)</f>
        <v>4710390.4114170102</v>
      </c>
      <c r="C169">
        <f>IF(B169&gt;0,B169*'Prepay vs Invest'!$B$6/1200,0)</f>
        <v>29439.940071356315</v>
      </c>
      <c r="D169">
        <f>IF(B169&gt;0,MIN(-PMT('Prepay vs Invest'!$B$6/1200,'Prepay vs Invest'!$B$7*12,'Prepay vs Invest'!$B$5),B169+C169),0)</f>
        <v>80559.31935518072</v>
      </c>
      <c r="E169">
        <f t="shared" si="32"/>
        <v>51119.379283824404</v>
      </c>
      <c r="F169">
        <f t="shared" si="33"/>
        <v>4659271.0321331862</v>
      </c>
      <c r="G169">
        <f t="shared" si="40"/>
        <v>6280646.4140330637</v>
      </c>
      <c r="H169">
        <f>IF(A169&lt;='Prepay vs Invest'!$B$7*12,IF(AND(A169&gt;='Prepay vs Invest'!$B$11,A169&lt;='Prepay vs Invest'!$B$12),'Prepay vs Invest'!$B$10,0)+IF(A169='Prepay vs Invest'!$B$9,'Prepay vs Invest'!$B$8,0),0)</f>
        <v>10000</v>
      </c>
      <c r="I169">
        <f>G169*(1+MAX(0,'Prepay vs Invest'!$B$13-'Prepay vs Invest'!$B$14)/1200)+H169</f>
        <v>6350835.9421675466</v>
      </c>
      <c r="J169">
        <f t="shared" si="41"/>
        <v>2180000</v>
      </c>
      <c r="K169">
        <f>MAX(0,(I169-J169-'Prepay vs Invest'!$B$16)*'Prepay vs Invest'!$B$15/100)</f>
        <v>505729.49277094333</v>
      </c>
      <c r="L169">
        <f t="shared" si="34"/>
        <v>5845106.4493966028</v>
      </c>
      <c r="M169">
        <f t="shared" si="42"/>
        <v>468011.9889739335</v>
      </c>
      <c r="N169">
        <f>IF(M169&gt;0,M169*'Prepay vs Invest'!$B$6/1200,0)</f>
        <v>2925.0749310870847</v>
      </c>
      <c r="O169">
        <f>IF(M169&gt;0,MIN('Prepay vs Invest'!$E$5,M169+N169),0)</f>
        <v>80559.31935518072</v>
      </c>
      <c r="P169">
        <f>MIN(MAX(0,M169+N169-O169),IF(AND(A169&gt;='Prepay vs Invest'!$B$11,A169&lt;='Prepay vs Invest'!$B$12),'Prepay vs Invest'!$B$10,0)+IF(A169='Prepay vs Invest'!$B$9,'Prepay vs Invest'!$B$8,0))</f>
        <v>10000</v>
      </c>
      <c r="Q169">
        <f t="shared" si="35"/>
        <v>380377.74454983987</v>
      </c>
      <c r="R169">
        <f t="shared" si="43"/>
        <v>0</v>
      </c>
      <c r="S169">
        <f>IF(A169&lt;='Prepay vs Invest'!$B$7*12,MAX(0,'Prepay vs Invest'!$E$5+IF(AND(A169&gt;='Prepay vs Invest'!$B$11,A169&lt;='Prepay vs Invest'!$B$12),'Prepay vs Invest'!$B$10,0)+IF(A169='Prepay vs Invest'!$B$9,'Prepay vs Invest'!$B$8,0)-O169-P169),0)</f>
        <v>0</v>
      </c>
      <c r="T169">
        <f>R169*(1+MAX(0,'Prepay vs Invest'!$B$13-'Prepay vs Invest'!$B$14)/1200)+S169</f>
        <v>0</v>
      </c>
      <c r="U169">
        <f t="shared" si="44"/>
        <v>0</v>
      </c>
      <c r="V169">
        <f>MAX(0,(T169-U169-'Prepay vs Invest'!$B$16)*'Prepay vs Invest'!$B$15/100)</f>
        <v>0</v>
      </c>
      <c r="W169">
        <f t="shared" si="36"/>
        <v>0</v>
      </c>
      <c r="X169">
        <f t="shared" si="45"/>
        <v>3414968.7246317542</v>
      </c>
      <c r="Y169">
        <f>IF(X169&gt;0,X169*'Prepay vs Invest'!$B$6/1200,0)</f>
        <v>21343.554528948462</v>
      </c>
      <c r="Z169">
        <f>IF(X169&gt;0,MIN(-PMT('Prepay vs Invest'!$B$6/1200,'Prepay vs Invest'!$B$7*12-A169+1,X169),X169+Y169),0)</f>
        <v>58404.40643916979</v>
      </c>
      <c r="AA169">
        <f>MIN(MAX(0,X169+Y169-Z169),IF(AND(A169&gt;='Prepay vs Invest'!$B$11,A169&lt;='Prepay vs Invest'!$B$12),'Prepay vs Invest'!$B$10,0)+IF(A169='Prepay vs Invest'!$B$9,'Prepay vs Invest'!$B$8,0))</f>
        <v>10000</v>
      </c>
      <c r="AB169">
        <f t="shared" si="37"/>
        <v>3367907.8727215328</v>
      </c>
      <c r="AC169">
        <f t="shared" si="46"/>
        <v>3779293.9634796586</v>
      </c>
      <c r="AD169">
        <f>IF(A169&lt;='Prepay vs Invest'!$B$7*12,MAX(0,'Prepay vs Invest'!$E$5+IF(AND(A169&gt;='Prepay vs Invest'!$B$11,A169&lt;='Prepay vs Invest'!$B$12),'Prepay vs Invest'!$B$10,0)+IF(A169='Prepay vs Invest'!$B$9,'Prepay vs Invest'!$B$8,0)-Z169-AA169),0)</f>
        <v>22154.91291601093</v>
      </c>
      <c r="AE169">
        <f>AC169*(1+MAX(0,'Prepay vs Invest'!$B$13-'Prepay vs Invest'!$B$14)/1200)+AD169</f>
        <v>3837667.1102123493</v>
      </c>
      <c r="AF169">
        <f t="shared" si="47"/>
        <v>1974932.1096237937</v>
      </c>
      <c r="AG169">
        <f>MAX(0,(AE169-AF169-'Prepay vs Invest'!$B$16)*'Prepay vs Invest'!$B$15/100)</f>
        <v>217216.87507356945</v>
      </c>
      <c r="AH169">
        <f t="shared" si="38"/>
        <v>3620450.23513878</v>
      </c>
    </row>
    <row r="170" spans="1:34" x14ac:dyDescent="0.35">
      <c r="A170">
        <f t="shared" si="39"/>
        <v>169</v>
      </c>
      <c r="B170">
        <f>IF(A170&lt;='Prepay vs Invest'!$B$7*12,F169,0)</f>
        <v>4659271.0321331862</v>
      </c>
      <c r="C170">
        <f>IF(B170&gt;0,B170*'Prepay vs Invest'!$B$6/1200,0)</f>
        <v>29120.44395083241</v>
      </c>
      <c r="D170">
        <f>IF(B170&gt;0,MIN(-PMT('Prepay vs Invest'!$B$6/1200,'Prepay vs Invest'!$B$7*12,'Prepay vs Invest'!$B$5),B170+C170),0)</f>
        <v>80559.31935518072</v>
      </c>
      <c r="E170">
        <f t="shared" si="32"/>
        <v>51438.875404348306</v>
      </c>
      <c r="F170">
        <f t="shared" si="33"/>
        <v>4607832.1567288386</v>
      </c>
      <c r="G170">
        <f t="shared" si="40"/>
        <v>6350835.9421675466</v>
      </c>
      <c r="H170">
        <f>IF(A170&lt;='Prepay vs Invest'!$B$7*12,IF(AND(A170&gt;='Prepay vs Invest'!$B$11,A170&lt;='Prepay vs Invest'!$B$12),'Prepay vs Invest'!$B$10,0)+IF(A170='Prepay vs Invest'!$B$9,'Prepay vs Invest'!$B$8,0),0)</f>
        <v>10000</v>
      </c>
      <c r="I170">
        <f>G170*(1+MAX(0,'Prepay vs Invest'!$B$13-'Prepay vs Invest'!$B$14)/1200)+H170</f>
        <v>6421698.1199466521</v>
      </c>
      <c r="J170">
        <f t="shared" si="41"/>
        <v>2190000</v>
      </c>
      <c r="K170">
        <f>MAX(0,(I170-J170-'Prepay vs Invest'!$B$16)*'Prepay vs Invest'!$B$15/100)</f>
        <v>513337.26499333151</v>
      </c>
      <c r="L170">
        <f t="shared" si="34"/>
        <v>5908360.8549533207</v>
      </c>
      <c r="M170">
        <f t="shared" si="42"/>
        <v>380377.74454983987</v>
      </c>
      <c r="N170">
        <f>IF(M170&gt;0,M170*'Prepay vs Invest'!$B$6/1200,0)</f>
        <v>2377.3609034364995</v>
      </c>
      <c r="O170">
        <f>IF(M170&gt;0,MIN('Prepay vs Invest'!$E$5,M170+N170),0)</f>
        <v>80559.31935518072</v>
      </c>
      <c r="P170">
        <f>MIN(MAX(0,M170+N170-O170),IF(AND(A170&gt;='Prepay vs Invest'!$B$11,A170&lt;='Prepay vs Invest'!$B$12),'Prepay vs Invest'!$B$10,0)+IF(A170='Prepay vs Invest'!$B$9,'Prepay vs Invest'!$B$8,0))</f>
        <v>10000</v>
      </c>
      <c r="Q170">
        <f t="shared" si="35"/>
        <v>292195.78609809565</v>
      </c>
      <c r="R170">
        <f t="shared" si="43"/>
        <v>0</v>
      </c>
      <c r="S170">
        <f>IF(A170&lt;='Prepay vs Invest'!$B$7*12,MAX(0,'Prepay vs Invest'!$E$5+IF(AND(A170&gt;='Prepay vs Invest'!$B$11,A170&lt;='Prepay vs Invest'!$B$12),'Prepay vs Invest'!$B$10,0)+IF(A170='Prepay vs Invest'!$B$9,'Prepay vs Invest'!$B$8,0)-O170-P170),0)</f>
        <v>0</v>
      </c>
      <c r="T170">
        <f>R170*(1+MAX(0,'Prepay vs Invest'!$B$13-'Prepay vs Invest'!$B$14)/1200)+S170</f>
        <v>0</v>
      </c>
      <c r="U170">
        <f t="shared" si="44"/>
        <v>0</v>
      </c>
      <c r="V170">
        <f>MAX(0,(T170-U170-'Prepay vs Invest'!$B$16)*'Prepay vs Invest'!$B$15/100)</f>
        <v>0</v>
      </c>
      <c r="W170">
        <f t="shared" si="36"/>
        <v>0</v>
      </c>
      <c r="X170">
        <f t="shared" si="45"/>
        <v>3367907.8727215328</v>
      </c>
      <c r="Y170">
        <f>IF(X170&gt;0,X170*'Prepay vs Invest'!$B$6/1200,0)</f>
        <v>21049.424204509582</v>
      </c>
      <c r="Z170">
        <f>IF(X170&gt;0,MIN(-PMT('Prepay vs Invest'!$B$6/1200,'Prepay vs Invest'!$B$7*12-A170+1,X170),X170+Y170),0)</f>
        <v>58231.505316226758</v>
      </c>
      <c r="AA170">
        <f>MIN(MAX(0,X170+Y170-Z170),IF(AND(A170&gt;='Prepay vs Invest'!$B$11,A170&lt;='Prepay vs Invest'!$B$12),'Prepay vs Invest'!$B$10,0)+IF(A170='Prepay vs Invest'!$B$9,'Prepay vs Invest'!$B$8,0))</f>
        <v>10000</v>
      </c>
      <c r="AB170">
        <f t="shared" si="37"/>
        <v>3320725.7916098158</v>
      </c>
      <c r="AC170">
        <f t="shared" si="46"/>
        <v>3837667.1102123493</v>
      </c>
      <c r="AD170">
        <f>IF(A170&lt;='Prepay vs Invest'!$B$7*12,MAX(0,'Prepay vs Invest'!$E$5+IF(AND(A170&gt;='Prepay vs Invest'!$B$11,A170&lt;='Prepay vs Invest'!$B$12),'Prepay vs Invest'!$B$10,0)+IF(A170='Prepay vs Invest'!$B$9,'Prepay vs Invest'!$B$8,0)-Z170-AA170),0)</f>
        <v>22327.814038953962</v>
      </c>
      <c r="AE170">
        <f>AC170*(1+MAX(0,'Prepay vs Invest'!$B$13-'Prepay vs Invest'!$B$14)/1200)+AD170</f>
        <v>3896772.5673908377</v>
      </c>
      <c r="AF170">
        <f t="shared" si="47"/>
        <v>1997259.9236627477</v>
      </c>
      <c r="AG170">
        <f>MAX(0,(AE170-AF170-'Prepay vs Invest'!$B$16)*'Prepay vs Invest'!$B$15/100)</f>
        <v>221814.08046601125</v>
      </c>
      <c r="AH170">
        <f t="shared" si="38"/>
        <v>3674958.4869248266</v>
      </c>
    </row>
    <row r="171" spans="1:34" x14ac:dyDescent="0.35">
      <c r="A171">
        <f t="shared" si="39"/>
        <v>170</v>
      </c>
      <c r="B171">
        <f>IF(A171&lt;='Prepay vs Invest'!$B$7*12,F170,0)</f>
        <v>4607832.1567288386</v>
      </c>
      <c r="C171">
        <f>IF(B171&gt;0,B171*'Prepay vs Invest'!$B$6/1200,0)</f>
        <v>28798.950979555244</v>
      </c>
      <c r="D171">
        <f>IF(B171&gt;0,MIN(-PMT('Prepay vs Invest'!$B$6/1200,'Prepay vs Invest'!$B$7*12,'Prepay vs Invest'!$B$5),B171+C171),0)</f>
        <v>80559.31935518072</v>
      </c>
      <c r="E171">
        <f t="shared" si="32"/>
        <v>51760.368375625476</v>
      </c>
      <c r="F171">
        <f t="shared" si="33"/>
        <v>4556071.7883532131</v>
      </c>
      <c r="G171">
        <f t="shared" si="40"/>
        <v>6421698.1199466521</v>
      </c>
      <c r="H171">
        <f>IF(A171&lt;='Prepay vs Invest'!$B$7*12,IF(AND(A171&gt;='Prepay vs Invest'!$B$11,A171&lt;='Prepay vs Invest'!$B$12),'Prepay vs Invest'!$B$10,0)+IF(A171='Prepay vs Invest'!$B$9,'Prepay vs Invest'!$B$8,0),0)</f>
        <v>10000</v>
      </c>
      <c r="I171">
        <f>G171*(1+MAX(0,'Prepay vs Invest'!$B$13-'Prepay vs Invest'!$B$14)/1200)+H171</f>
        <v>6493239.3935961407</v>
      </c>
      <c r="J171">
        <f t="shared" si="41"/>
        <v>2200000</v>
      </c>
      <c r="K171">
        <f>MAX(0,(I171-J171-'Prepay vs Invest'!$B$16)*'Prepay vs Invest'!$B$15/100)</f>
        <v>521029.92419951758</v>
      </c>
      <c r="L171">
        <f t="shared" si="34"/>
        <v>5972209.4693966229</v>
      </c>
      <c r="M171">
        <f t="shared" si="42"/>
        <v>292195.78609809565</v>
      </c>
      <c r="N171">
        <f>IF(M171&gt;0,M171*'Prepay vs Invest'!$B$6/1200,0)</f>
        <v>1826.2236631130979</v>
      </c>
      <c r="O171">
        <f>IF(M171&gt;0,MIN('Prepay vs Invest'!$E$5,M171+N171),0)</f>
        <v>80559.31935518072</v>
      </c>
      <c r="P171">
        <f>MIN(MAX(0,M171+N171-O171),IF(AND(A171&gt;='Prepay vs Invest'!$B$11,A171&lt;='Prepay vs Invest'!$B$12),'Prepay vs Invest'!$B$10,0)+IF(A171='Prepay vs Invest'!$B$9,'Prepay vs Invest'!$B$8,0))</f>
        <v>10000</v>
      </c>
      <c r="Q171">
        <f t="shared" si="35"/>
        <v>203462.69040602801</v>
      </c>
      <c r="R171">
        <f t="shared" si="43"/>
        <v>0</v>
      </c>
      <c r="S171">
        <f>IF(A171&lt;='Prepay vs Invest'!$B$7*12,MAX(0,'Prepay vs Invest'!$E$5+IF(AND(A171&gt;='Prepay vs Invest'!$B$11,A171&lt;='Prepay vs Invest'!$B$12),'Prepay vs Invest'!$B$10,0)+IF(A171='Prepay vs Invest'!$B$9,'Prepay vs Invest'!$B$8,0)-O171-P171),0)</f>
        <v>0</v>
      </c>
      <c r="T171">
        <f>R171*(1+MAX(0,'Prepay vs Invest'!$B$13-'Prepay vs Invest'!$B$14)/1200)+S171</f>
        <v>0</v>
      </c>
      <c r="U171">
        <f t="shared" si="44"/>
        <v>0</v>
      </c>
      <c r="V171">
        <f>MAX(0,(T171-U171-'Prepay vs Invest'!$B$16)*'Prepay vs Invest'!$B$15/100)</f>
        <v>0</v>
      </c>
      <c r="W171">
        <f t="shared" si="36"/>
        <v>0</v>
      </c>
      <c r="X171">
        <f t="shared" si="45"/>
        <v>3320725.7916098158</v>
      </c>
      <c r="Y171">
        <f>IF(X171&gt;0,X171*'Prepay vs Invest'!$B$6/1200,0)</f>
        <v>20754.536197561349</v>
      </c>
      <c r="Z171">
        <f>IF(X171&gt;0,MIN(-PMT('Prepay vs Invest'!$B$6/1200,'Prepay vs Invest'!$B$7*12-A171+1,X171),X171+Y171),0)</f>
        <v>58056.674036320997</v>
      </c>
      <c r="AA171">
        <f>MIN(MAX(0,X171+Y171-Z171),IF(AND(A171&gt;='Prepay vs Invest'!$B$11,A171&lt;='Prepay vs Invest'!$B$12),'Prepay vs Invest'!$B$10,0)+IF(A171='Prepay vs Invest'!$B$9,'Prepay vs Invest'!$B$8,0))</f>
        <v>10000</v>
      </c>
      <c r="AB171">
        <f t="shared" si="37"/>
        <v>3273423.6537710559</v>
      </c>
      <c r="AC171">
        <f t="shared" si="46"/>
        <v>3896772.5673908377</v>
      </c>
      <c r="AD171">
        <f>IF(A171&lt;='Prepay vs Invest'!$B$7*12,MAX(0,'Prepay vs Invest'!$E$5+IF(AND(A171&gt;='Prepay vs Invest'!$B$11,A171&lt;='Prepay vs Invest'!$B$12),'Prepay vs Invest'!$B$10,0)+IF(A171='Prepay vs Invest'!$B$9,'Prepay vs Invest'!$B$8,0)-Z171-AA171),0)</f>
        <v>22502.645318859722</v>
      </c>
      <c r="AE171">
        <f>AC171*(1+MAX(0,'Prepay vs Invest'!$B$13-'Prepay vs Invest'!$B$14)/1200)+AD171</f>
        <v>3956619.2831471926</v>
      </c>
      <c r="AF171">
        <f t="shared" si="47"/>
        <v>2019762.5689816074</v>
      </c>
      <c r="AG171">
        <f>MAX(0,(AE171-AF171-'Prepay vs Invest'!$B$16)*'Prepay vs Invest'!$B$15/100)</f>
        <v>226482.08927069814</v>
      </c>
      <c r="AH171">
        <f t="shared" si="38"/>
        <v>3730137.1938764947</v>
      </c>
    </row>
    <row r="172" spans="1:34" x14ac:dyDescent="0.35">
      <c r="A172">
        <f t="shared" si="39"/>
        <v>171</v>
      </c>
      <c r="B172">
        <f>IF(A172&lt;='Prepay vs Invest'!$B$7*12,F171,0)</f>
        <v>4556071.7883532131</v>
      </c>
      <c r="C172">
        <f>IF(B172&gt;0,B172*'Prepay vs Invest'!$B$6/1200,0)</f>
        <v>28475.44867720758</v>
      </c>
      <c r="D172">
        <f>IF(B172&gt;0,MIN(-PMT('Prepay vs Invest'!$B$6/1200,'Prepay vs Invest'!$B$7*12,'Prepay vs Invest'!$B$5),B172+C172),0)</f>
        <v>80559.31935518072</v>
      </c>
      <c r="E172">
        <f t="shared" si="32"/>
        <v>52083.870677973144</v>
      </c>
      <c r="F172">
        <f t="shared" si="33"/>
        <v>4503987.91767524</v>
      </c>
      <c r="G172">
        <f t="shared" si="40"/>
        <v>6493239.3935961407</v>
      </c>
      <c r="H172">
        <f>IF(A172&lt;='Prepay vs Invest'!$B$7*12,IF(AND(A172&gt;='Prepay vs Invest'!$B$11,A172&lt;='Prepay vs Invest'!$B$12),'Prepay vs Invest'!$B$10,0)+IF(A172='Prepay vs Invest'!$B$9,'Prepay vs Invest'!$B$8,0),0)</f>
        <v>10000</v>
      </c>
      <c r="I172">
        <f>G172*(1+MAX(0,'Prepay vs Invest'!$B$13-'Prepay vs Invest'!$B$14)/1200)+H172</f>
        <v>6565466.2711181035</v>
      </c>
      <c r="J172">
        <f t="shared" si="41"/>
        <v>2210000</v>
      </c>
      <c r="K172">
        <f>MAX(0,(I172-J172-'Prepay vs Invest'!$B$16)*'Prepay vs Invest'!$B$15/100)</f>
        <v>528808.28388976294</v>
      </c>
      <c r="L172">
        <f t="shared" si="34"/>
        <v>6036657.9872283405</v>
      </c>
      <c r="M172">
        <f t="shared" si="42"/>
        <v>203462.69040602801</v>
      </c>
      <c r="N172">
        <f>IF(M172&gt;0,M172*'Prepay vs Invest'!$B$6/1200,0)</f>
        <v>1271.6418150376749</v>
      </c>
      <c r="O172">
        <f>IF(M172&gt;0,MIN('Prepay vs Invest'!$E$5,M172+N172),0)</f>
        <v>80559.31935518072</v>
      </c>
      <c r="P172">
        <f>MIN(MAX(0,M172+N172-O172),IF(AND(A172&gt;='Prepay vs Invest'!$B$11,A172&lt;='Prepay vs Invest'!$B$12),'Prepay vs Invest'!$B$10,0)+IF(A172='Prepay vs Invest'!$B$9,'Prepay vs Invest'!$B$8,0))</f>
        <v>10000</v>
      </c>
      <c r="Q172">
        <f t="shared" si="35"/>
        <v>114175.01286588496</v>
      </c>
      <c r="R172">
        <f t="shared" si="43"/>
        <v>0</v>
      </c>
      <c r="S172">
        <f>IF(A172&lt;='Prepay vs Invest'!$B$7*12,MAX(0,'Prepay vs Invest'!$E$5+IF(AND(A172&gt;='Prepay vs Invest'!$B$11,A172&lt;='Prepay vs Invest'!$B$12),'Prepay vs Invest'!$B$10,0)+IF(A172='Prepay vs Invest'!$B$9,'Prepay vs Invest'!$B$8,0)-O172-P172),0)</f>
        <v>0</v>
      </c>
      <c r="T172">
        <f>R172*(1+MAX(0,'Prepay vs Invest'!$B$13-'Prepay vs Invest'!$B$14)/1200)+S172</f>
        <v>0</v>
      </c>
      <c r="U172">
        <f t="shared" si="44"/>
        <v>0</v>
      </c>
      <c r="V172">
        <f>MAX(0,(T172-U172-'Prepay vs Invest'!$B$16)*'Prepay vs Invest'!$B$15/100)</f>
        <v>0</v>
      </c>
      <c r="W172">
        <f t="shared" si="36"/>
        <v>0</v>
      </c>
      <c r="X172">
        <f t="shared" si="45"/>
        <v>3273423.6537710559</v>
      </c>
      <c r="Y172">
        <f>IF(X172&gt;0,X172*'Prepay vs Invest'!$B$6/1200,0)</f>
        <v>20458.8978360691</v>
      </c>
      <c r="Z172">
        <f>IF(X172&gt;0,MIN(-PMT('Prepay vs Invest'!$B$6/1200,'Prepay vs Invest'!$B$7*12-A172+1,X172),X172+Y172),0)</f>
        <v>57879.85654288045</v>
      </c>
      <c r="AA172">
        <f>MIN(MAX(0,X172+Y172-Z172),IF(AND(A172&gt;='Prepay vs Invest'!$B$11,A172&lt;='Prepay vs Invest'!$B$12),'Prepay vs Invest'!$B$10,0)+IF(A172='Prepay vs Invest'!$B$9,'Prepay vs Invest'!$B$8,0))</f>
        <v>10000</v>
      </c>
      <c r="AB172">
        <f t="shared" si="37"/>
        <v>3226002.6950642443</v>
      </c>
      <c r="AC172">
        <f t="shared" si="46"/>
        <v>3956619.2831471926</v>
      </c>
      <c r="AD172">
        <f>IF(A172&lt;='Prepay vs Invest'!$B$7*12,MAX(0,'Prepay vs Invest'!$E$5+IF(AND(A172&gt;='Prepay vs Invest'!$B$11,A172&lt;='Prepay vs Invest'!$B$12),'Prepay vs Invest'!$B$10,0)+IF(A172='Prepay vs Invest'!$B$9,'Prepay vs Invest'!$B$8,0)-Z172-AA172),0)</f>
        <v>22679.462812300269</v>
      </c>
      <c r="AE172">
        <f>AC172*(1+MAX(0,'Prepay vs Invest'!$B$13-'Prepay vs Invest'!$B$14)/1200)+AD172</f>
        <v>4017216.3474229868</v>
      </c>
      <c r="AF172">
        <f t="shared" si="47"/>
        <v>2042442.0317939078</v>
      </c>
      <c r="AG172">
        <f>MAX(0,(AE172-AF172-'Prepay vs Invest'!$B$16)*'Prepay vs Invest'!$B$15/100)</f>
        <v>231221.78945363488</v>
      </c>
      <c r="AH172">
        <f t="shared" si="38"/>
        <v>3785994.5579693518</v>
      </c>
    </row>
    <row r="173" spans="1:34" x14ac:dyDescent="0.35">
      <c r="A173">
        <f t="shared" si="39"/>
        <v>172</v>
      </c>
      <c r="B173">
        <f>IF(A173&lt;='Prepay vs Invest'!$B$7*12,F172,0)</f>
        <v>4503987.91767524</v>
      </c>
      <c r="C173">
        <f>IF(B173&gt;0,B173*'Prepay vs Invest'!$B$6/1200,0)</f>
        <v>28149.924485470248</v>
      </c>
      <c r="D173">
        <f>IF(B173&gt;0,MIN(-PMT('Prepay vs Invest'!$B$6/1200,'Prepay vs Invest'!$B$7*12,'Prepay vs Invest'!$B$5),B173+C173),0)</f>
        <v>80559.31935518072</v>
      </c>
      <c r="E173">
        <f t="shared" si="32"/>
        <v>52409.394869710472</v>
      </c>
      <c r="F173">
        <f t="shared" si="33"/>
        <v>4451578.5228055296</v>
      </c>
      <c r="G173">
        <f t="shared" si="40"/>
        <v>6565466.2711181035</v>
      </c>
      <c r="H173">
        <f>IF(A173&lt;='Prepay vs Invest'!$B$7*12,IF(AND(A173&gt;='Prepay vs Invest'!$B$11,A173&lt;='Prepay vs Invest'!$B$12),'Prepay vs Invest'!$B$10,0)+IF(A173='Prepay vs Invest'!$B$9,'Prepay vs Invest'!$B$8,0),0)</f>
        <v>10000</v>
      </c>
      <c r="I173">
        <f>G173*(1+MAX(0,'Prepay vs Invest'!$B$13-'Prepay vs Invest'!$B$14)/1200)+H173</f>
        <v>6638385.3228829848</v>
      </c>
      <c r="J173">
        <f t="shared" si="41"/>
        <v>2220000</v>
      </c>
      <c r="K173">
        <f>MAX(0,(I173-J173-'Prepay vs Invest'!$B$16)*'Prepay vs Invest'!$B$15/100)</f>
        <v>536673.1653603731</v>
      </c>
      <c r="L173">
        <f t="shared" si="34"/>
        <v>6101712.1575226113</v>
      </c>
      <c r="M173">
        <f t="shared" si="42"/>
        <v>114175.01286588496</v>
      </c>
      <c r="N173">
        <f>IF(M173&gt;0,M173*'Prepay vs Invest'!$B$6/1200,0)</f>
        <v>713.59383041178103</v>
      </c>
      <c r="O173">
        <f>IF(M173&gt;0,MIN('Prepay vs Invest'!$E$5,M173+N173),0)</f>
        <v>80559.31935518072</v>
      </c>
      <c r="P173">
        <f>MIN(MAX(0,M173+N173-O173),IF(AND(A173&gt;='Prepay vs Invest'!$B$11,A173&lt;='Prepay vs Invest'!$B$12),'Prepay vs Invest'!$B$10,0)+IF(A173='Prepay vs Invest'!$B$9,'Prepay vs Invest'!$B$8,0))</f>
        <v>10000</v>
      </c>
      <c r="Q173">
        <f t="shared" si="35"/>
        <v>24329.287341116025</v>
      </c>
      <c r="R173">
        <f t="shared" si="43"/>
        <v>0</v>
      </c>
      <c r="S173">
        <f>IF(A173&lt;='Prepay vs Invest'!$B$7*12,MAX(0,'Prepay vs Invest'!$E$5+IF(AND(A173&gt;='Prepay vs Invest'!$B$11,A173&lt;='Prepay vs Invest'!$B$12),'Prepay vs Invest'!$B$10,0)+IF(A173='Prepay vs Invest'!$B$9,'Prepay vs Invest'!$B$8,0)-O173-P173),0)</f>
        <v>0</v>
      </c>
      <c r="T173">
        <f>R173*(1+MAX(0,'Prepay vs Invest'!$B$13-'Prepay vs Invest'!$B$14)/1200)+S173</f>
        <v>0</v>
      </c>
      <c r="U173">
        <f t="shared" si="44"/>
        <v>0</v>
      </c>
      <c r="V173">
        <f>MAX(0,(T173-U173-'Prepay vs Invest'!$B$16)*'Prepay vs Invest'!$B$15/100)</f>
        <v>0</v>
      </c>
      <c r="W173">
        <f t="shared" si="36"/>
        <v>0</v>
      </c>
      <c r="X173">
        <f t="shared" si="45"/>
        <v>3226002.6950642443</v>
      </c>
      <c r="Y173">
        <f>IF(X173&gt;0,X173*'Prepay vs Invest'!$B$6/1200,0)</f>
        <v>20162.516844151527</v>
      </c>
      <c r="Z173">
        <f>IF(X173&gt;0,MIN(-PMT('Prepay vs Invest'!$B$6/1200,'Prepay vs Invest'!$B$7*12-A173+1,X173),X173+Y173),0)</f>
        <v>57700.994341587582</v>
      </c>
      <c r="AA173">
        <f>MIN(MAX(0,X173+Y173-Z173),IF(AND(A173&gt;='Prepay vs Invest'!$B$11,A173&lt;='Prepay vs Invest'!$B$12),'Prepay vs Invest'!$B$10,0)+IF(A173='Prepay vs Invest'!$B$9,'Prepay vs Invest'!$B$8,0))</f>
        <v>10000</v>
      </c>
      <c r="AB173">
        <f t="shared" si="37"/>
        <v>3178464.2175668082</v>
      </c>
      <c r="AC173">
        <f t="shared" si="46"/>
        <v>4017216.3474229868</v>
      </c>
      <c r="AD173">
        <f>IF(A173&lt;='Prepay vs Invest'!$B$7*12,MAX(0,'Prepay vs Invest'!$E$5+IF(AND(A173&gt;='Prepay vs Invest'!$B$11,A173&lt;='Prepay vs Invest'!$B$12),'Prepay vs Invest'!$B$10,0)+IF(A173='Prepay vs Invest'!$B$9,'Prepay vs Invest'!$B$8,0)-Z173-AA173),0)</f>
        <v>22858.325013593138</v>
      </c>
      <c r="AE173">
        <f>AC173*(1+MAX(0,'Prepay vs Invest'!$B$13-'Prepay vs Invest'!$B$14)/1200)+AD173</f>
        <v>4078572.9957660502</v>
      </c>
      <c r="AF173">
        <f t="shared" si="47"/>
        <v>2065300.3568075008</v>
      </c>
      <c r="AG173">
        <f>MAX(0,(AE173-AF173-'Prepay vs Invest'!$B$16)*'Prepay vs Invest'!$B$15/100)</f>
        <v>236034.0798698187</v>
      </c>
      <c r="AH173">
        <f t="shared" si="38"/>
        <v>3842538.9158962313</v>
      </c>
    </row>
    <row r="174" spans="1:34" x14ac:dyDescent="0.35">
      <c r="A174">
        <f t="shared" si="39"/>
        <v>173</v>
      </c>
      <c r="B174">
        <f>IF(A174&lt;='Prepay vs Invest'!$B$7*12,F173,0)</f>
        <v>4451578.5228055296</v>
      </c>
      <c r="C174">
        <f>IF(B174&gt;0,B174*'Prepay vs Invest'!$B$6/1200,0)</f>
        <v>27822.36576753456</v>
      </c>
      <c r="D174">
        <f>IF(B174&gt;0,MIN(-PMT('Prepay vs Invest'!$B$6/1200,'Prepay vs Invest'!$B$7*12,'Prepay vs Invest'!$B$5),B174+C174),0)</f>
        <v>80559.31935518072</v>
      </c>
      <c r="E174">
        <f t="shared" si="32"/>
        <v>52736.95358764616</v>
      </c>
      <c r="F174">
        <f t="shared" si="33"/>
        <v>4398841.569217884</v>
      </c>
      <c r="G174">
        <f t="shared" si="40"/>
        <v>6638385.3228829848</v>
      </c>
      <c r="H174">
        <f>IF(A174&lt;='Prepay vs Invest'!$B$7*12,IF(AND(A174&gt;='Prepay vs Invest'!$B$11,A174&lt;='Prepay vs Invest'!$B$12),'Prepay vs Invest'!$B$10,0)+IF(A174='Prepay vs Invest'!$B$9,'Prepay vs Invest'!$B$8,0),0)</f>
        <v>10000</v>
      </c>
      <c r="I174">
        <f>G174*(1+MAX(0,'Prepay vs Invest'!$B$13-'Prepay vs Invest'!$B$14)/1200)+H174</f>
        <v>6712003.18222728</v>
      </c>
      <c r="J174">
        <f t="shared" si="41"/>
        <v>2230000</v>
      </c>
      <c r="K174">
        <f>MAX(0,(I174-J174-'Prepay vs Invest'!$B$16)*'Prepay vs Invest'!$B$15/100)</f>
        <v>544625.39777841</v>
      </c>
      <c r="L174">
        <f t="shared" si="34"/>
        <v>6167377.7844488695</v>
      </c>
      <c r="M174">
        <f t="shared" si="42"/>
        <v>24329.287341116025</v>
      </c>
      <c r="N174">
        <f>IF(M174&gt;0,M174*'Prepay vs Invest'!$B$6/1200,0)</f>
        <v>152.05804588197518</v>
      </c>
      <c r="O174">
        <f>IF(M174&gt;0,MIN('Prepay vs Invest'!$E$5,M174+N174),0)</f>
        <v>24481.345386998</v>
      </c>
      <c r="P174">
        <f>MIN(MAX(0,M174+N174-O174),IF(AND(A174&gt;='Prepay vs Invest'!$B$11,A174&lt;='Prepay vs Invest'!$B$12),'Prepay vs Invest'!$B$10,0)+IF(A174='Prepay vs Invest'!$B$9,'Prepay vs Invest'!$B$8,0))</f>
        <v>0</v>
      </c>
      <c r="Q174">
        <f t="shared" si="35"/>
        <v>0</v>
      </c>
      <c r="R174">
        <f t="shared" si="43"/>
        <v>0</v>
      </c>
      <c r="S174">
        <f>IF(A174&lt;='Prepay vs Invest'!$B$7*12,MAX(0,'Prepay vs Invest'!$E$5+IF(AND(A174&gt;='Prepay vs Invest'!$B$11,A174&lt;='Prepay vs Invest'!$B$12),'Prepay vs Invest'!$B$10,0)+IF(A174='Prepay vs Invest'!$B$9,'Prepay vs Invest'!$B$8,0)-O174-P174),0)</f>
        <v>66077.97396818272</v>
      </c>
      <c r="T174">
        <f>R174*(1+MAX(0,'Prepay vs Invest'!$B$13-'Prepay vs Invest'!$B$14)/1200)+S174</f>
        <v>66077.97396818272</v>
      </c>
      <c r="U174">
        <f t="shared" si="44"/>
        <v>66077.97396818272</v>
      </c>
      <c r="V174">
        <f>MAX(0,(T174-U174-'Prepay vs Invest'!$B$16)*'Prepay vs Invest'!$B$15/100)</f>
        <v>0</v>
      </c>
      <c r="W174">
        <f t="shared" si="36"/>
        <v>66077.97396818272</v>
      </c>
      <c r="X174">
        <f t="shared" si="45"/>
        <v>3178464.2175668082</v>
      </c>
      <c r="Y174">
        <f>IF(X174&gt;0,X174*'Prepay vs Invest'!$B$6/1200,0)</f>
        <v>19865.401359792551</v>
      </c>
      <c r="Z174">
        <f>IF(X174&gt;0,MIN(-PMT('Prepay vs Invest'!$B$6/1200,'Prepay vs Invest'!$B$7*12-A174+1,X174),X174+Y174),0)</f>
        <v>57520.026356989605</v>
      </c>
      <c r="AA174">
        <f>MIN(MAX(0,X174+Y174-Z174),IF(AND(A174&gt;='Prepay vs Invest'!$B$11,A174&lt;='Prepay vs Invest'!$B$12),'Prepay vs Invest'!$B$10,0)+IF(A174='Prepay vs Invest'!$B$9,'Prepay vs Invest'!$B$8,0))</f>
        <v>10000</v>
      </c>
      <c r="AB174">
        <f t="shared" si="37"/>
        <v>3130809.592569611</v>
      </c>
      <c r="AC174">
        <f t="shared" si="46"/>
        <v>4078572.9957660502</v>
      </c>
      <c r="AD174">
        <f>IF(A174&lt;='Prepay vs Invest'!$B$7*12,MAX(0,'Prepay vs Invest'!$E$5+IF(AND(A174&gt;='Prepay vs Invest'!$B$11,A174&lt;='Prepay vs Invest'!$B$12),'Prepay vs Invest'!$B$10,0)+IF(A174='Prepay vs Invest'!$B$9,'Prepay vs Invest'!$B$8,0)-Z174-AA174),0)</f>
        <v>23039.292998191115</v>
      </c>
      <c r="AE174">
        <f>AC174*(1+MAX(0,'Prepay vs Invest'!$B$13-'Prepay vs Invest'!$B$14)/1200)+AD174</f>
        <v>4140698.6133069987</v>
      </c>
      <c r="AF174">
        <f t="shared" si="47"/>
        <v>2088339.649805692</v>
      </c>
      <c r="AG174">
        <f>MAX(0,(AE174-AF174-'Prepay vs Invest'!$B$16)*'Prepay vs Invest'!$B$15/100)</f>
        <v>240919.87043766334</v>
      </c>
      <c r="AH174">
        <f t="shared" si="38"/>
        <v>3899778.7428693352</v>
      </c>
    </row>
    <row r="175" spans="1:34" x14ac:dyDescent="0.35">
      <c r="A175">
        <f t="shared" si="39"/>
        <v>174</v>
      </c>
      <c r="B175">
        <f>IF(A175&lt;='Prepay vs Invest'!$B$7*12,F174,0)</f>
        <v>4398841.569217884</v>
      </c>
      <c r="C175">
        <f>IF(B175&gt;0,B175*'Prepay vs Invest'!$B$6/1200,0)</f>
        <v>27492.759807611776</v>
      </c>
      <c r="D175">
        <f>IF(B175&gt;0,MIN(-PMT('Prepay vs Invest'!$B$6/1200,'Prepay vs Invest'!$B$7*12,'Prepay vs Invest'!$B$5),B175+C175),0)</f>
        <v>80559.31935518072</v>
      </c>
      <c r="E175">
        <f t="shared" si="32"/>
        <v>53066.559547568948</v>
      </c>
      <c r="F175">
        <f t="shared" si="33"/>
        <v>4345775.0096703153</v>
      </c>
      <c r="G175">
        <f t="shared" si="40"/>
        <v>6712003.18222728</v>
      </c>
      <c r="H175">
        <f>IF(A175&lt;='Prepay vs Invest'!$B$7*12,IF(AND(A175&gt;='Prepay vs Invest'!$B$11,A175&lt;='Prepay vs Invest'!$B$12),'Prepay vs Invest'!$B$10,0)+IF(A175='Prepay vs Invest'!$B$9,'Prepay vs Invest'!$B$8,0),0)</f>
        <v>10000</v>
      </c>
      <c r="I175">
        <f>G175*(1+MAX(0,'Prepay vs Invest'!$B$13-'Prepay vs Invest'!$B$14)/1200)+H175</f>
        <v>6786326.5460569579</v>
      </c>
      <c r="J175">
        <f t="shared" si="41"/>
        <v>2240000</v>
      </c>
      <c r="K175">
        <f>MAX(0,(I175-J175-'Prepay vs Invest'!$B$16)*'Prepay vs Invest'!$B$15/100)</f>
        <v>552665.81825711974</v>
      </c>
      <c r="L175">
        <f t="shared" si="34"/>
        <v>6233660.7277998384</v>
      </c>
      <c r="M175">
        <f t="shared" si="42"/>
        <v>0</v>
      </c>
      <c r="N175">
        <f>IF(M175&gt;0,M175*'Prepay vs Invest'!$B$6/1200,0)</f>
        <v>0</v>
      </c>
      <c r="O175">
        <f>IF(M175&gt;0,MIN('Prepay vs Invest'!$E$5,M175+N175),0)</f>
        <v>0</v>
      </c>
      <c r="P175">
        <f>MIN(MAX(0,M175+N175-O175),IF(AND(A175&gt;='Prepay vs Invest'!$B$11,A175&lt;='Prepay vs Invest'!$B$12),'Prepay vs Invest'!$B$10,0)+IF(A175='Prepay vs Invest'!$B$9,'Prepay vs Invest'!$B$8,0))</f>
        <v>0</v>
      </c>
      <c r="Q175">
        <f t="shared" si="35"/>
        <v>0</v>
      </c>
      <c r="R175">
        <f t="shared" si="43"/>
        <v>66077.97396818272</v>
      </c>
      <c r="S175">
        <f>IF(A175&lt;='Prepay vs Invest'!$B$7*12,MAX(0,'Prepay vs Invest'!$E$5+IF(AND(A175&gt;='Prepay vs Invest'!$B$11,A175&lt;='Prepay vs Invest'!$B$12),'Prepay vs Invest'!$B$10,0)+IF(A175='Prepay vs Invest'!$B$9,'Prepay vs Invest'!$B$8,0)-O175-P175),0)</f>
        <v>90559.31935518072</v>
      </c>
      <c r="T175">
        <f>R175*(1+MAX(0,'Prepay vs Invest'!$B$13-'Prepay vs Invest'!$B$14)/1200)+S175</f>
        <v>157270.54057389183</v>
      </c>
      <c r="U175">
        <f t="shared" si="44"/>
        <v>156637.29332336344</v>
      </c>
      <c r="V175">
        <f>MAX(0,(T175-U175-'Prepay vs Invest'!$B$16)*'Prepay vs Invest'!$B$15/100)</f>
        <v>0</v>
      </c>
      <c r="W175">
        <f t="shared" si="36"/>
        <v>157270.54057389183</v>
      </c>
      <c r="X175">
        <f t="shared" si="45"/>
        <v>3130809.592569611</v>
      </c>
      <c r="Y175">
        <f>IF(X175&gt;0,X175*'Prepay vs Invest'!$B$6/1200,0)</f>
        <v>19567.559953560067</v>
      </c>
      <c r="Z175">
        <f>IF(X175&gt;0,MIN(-PMT('Prepay vs Invest'!$B$6/1200,'Prepay vs Invest'!$B$7*12-A175+1,X175),X175+Y175),0)</f>
        <v>57336.888778407723</v>
      </c>
      <c r="AA175">
        <f>MIN(MAX(0,X175+Y175-Z175),IF(AND(A175&gt;='Prepay vs Invest'!$B$11,A175&lt;='Prepay vs Invest'!$B$12),'Prepay vs Invest'!$B$10,0)+IF(A175='Prepay vs Invest'!$B$9,'Prepay vs Invest'!$B$8,0))</f>
        <v>10000</v>
      </c>
      <c r="AB175">
        <f t="shared" si="37"/>
        <v>3083040.2637447636</v>
      </c>
      <c r="AC175">
        <f t="shared" si="46"/>
        <v>4140698.6133069987</v>
      </c>
      <c r="AD175">
        <f>IF(A175&lt;='Prepay vs Invest'!$B$7*12,MAX(0,'Prepay vs Invest'!$E$5+IF(AND(A175&gt;='Prepay vs Invest'!$B$11,A175&lt;='Prepay vs Invest'!$B$12),'Prepay vs Invest'!$B$10,0)+IF(A175='Prepay vs Invest'!$B$9,'Prepay vs Invest'!$B$8,0)-Z175-AA175),0)</f>
        <v>23222.430576772997</v>
      </c>
      <c r="AE175">
        <f>AC175*(1+MAX(0,'Prepay vs Invest'!$B$13-'Prepay vs Invest'!$B$14)/1200)+AD175</f>
        <v>4203602.7389279641</v>
      </c>
      <c r="AF175">
        <f t="shared" si="47"/>
        <v>2111562.0803824649</v>
      </c>
      <c r="AG175">
        <f>MAX(0,(AE175-AF175-'Prepay vs Invest'!$B$16)*'Prepay vs Invest'!$B$15/100)</f>
        <v>245880.0823181874</v>
      </c>
      <c r="AH175">
        <f t="shared" si="38"/>
        <v>3957722.6566097769</v>
      </c>
    </row>
    <row r="176" spans="1:34" x14ac:dyDescent="0.35">
      <c r="A176">
        <f t="shared" si="39"/>
        <v>175</v>
      </c>
      <c r="B176">
        <f>IF(A176&lt;='Prepay vs Invest'!$B$7*12,F175,0)</f>
        <v>4345775.0096703153</v>
      </c>
      <c r="C176">
        <f>IF(B176&gt;0,B176*'Prepay vs Invest'!$B$6/1200,0)</f>
        <v>27161.09381043947</v>
      </c>
      <c r="D176">
        <f>IF(B176&gt;0,MIN(-PMT('Prepay vs Invest'!$B$6/1200,'Prepay vs Invest'!$B$7*12,'Prepay vs Invest'!$B$5),B176+C176),0)</f>
        <v>80559.31935518072</v>
      </c>
      <c r="E176">
        <f t="shared" si="32"/>
        <v>53398.225544741246</v>
      </c>
      <c r="F176">
        <f t="shared" si="33"/>
        <v>4292376.7841255739</v>
      </c>
      <c r="G176">
        <f t="shared" si="40"/>
        <v>6786326.5460569579</v>
      </c>
      <c r="H176">
        <f>IF(A176&lt;='Prepay vs Invest'!$B$7*12,IF(AND(A176&gt;='Prepay vs Invest'!$B$11,A176&lt;='Prepay vs Invest'!$B$12),'Prepay vs Invest'!$B$10,0)+IF(A176='Prepay vs Invest'!$B$9,'Prepay vs Invest'!$B$8,0),0)</f>
        <v>10000</v>
      </c>
      <c r="I176">
        <f>G176*(1+MAX(0,'Prepay vs Invest'!$B$13-'Prepay vs Invest'!$B$14)/1200)+H176</f>
        <v>6861362.1754566701</v>
      </c>
      <c r="J176">
        <f t="shared" si="41"/>
        <v>2250000</v>
      </c>
      <c r="K176">
        <f>MAX(0,(I176-J176-'Prepay vs Invest'!$B$16)*'Prepay vs Invest'!$B$15/100)</f>
        <v>560795.27193208376</v>
      </c>
      <c r="L176">
        <f t="shared" si="34"/>
        <v>6300566.903524586</v>
      </c>
      <c r="M176">
        <f t="shared" si="42"/>
        <v>0</v>
      </c>
      <c r="N176">
        <f>IF(M176&gt;0,M176*'Prepay vs Invest'!$B$6/1200,0)</f>
        <v>0</v>
      </c>
      <c r="O176">
        <f>IF(M176&gt;0,MIN('Prepay vs Invest'!$E$5,M176+N176),0)</f>
        <v>0</v>
      </c>
      <c r="P176">
        <f>MIN(MAX(0,M176+N176-O176),IF(AND(A176&gt;='Prepay vs Invest'!$B$11,A176&lt;='Prepay vs Invest'!$B$12),'Prepay vs Invest'!$B$10,0)+IF(A176='Prepay vs Invest'!$B$9,'Prepay vs Invest'!$B$8,0))</f>
        <v>0</v>
      </c>
      <c r="Q176">
        <f t="shared" si="35"/>
        <v>0</v>
      </c>
      <c r="R176">
        <f t="shared" si="43"/>
        <v>157270.54057389183</v>
      </c>
      <c r="S176">
        <f>IF(A176&lt;='Prepay vs Invest'!$B$7*12,MAX(0,'Prepay vs Invest'!$E$5+IF(AND(A176&gt;='Prepay vs Invest'!$B$11,A176&lt;='Prepay vs Invest'!$B$12),'Prepay vs Invest'!$B$10,0)+IF(A176='Prepay vs Invest'!$B$9,'Prepay vs Invest'!$B$8,0)-O176-P176),0)</f>
        <v>90559.31935518072</v>
      </c>
      <c r="T176">
        <f>R176*(1+MAX(0,'Prepay vs Invest'!$B$13-'Prepay vs Invest'!$B$14)/1200)+S176</f>
        <v>249337.03594290567</v>
      </c>
      <c r="U176">
        <f t="shared" si="44"/>
        <v>247196.61267854416</v>
      </c>
      <c r="V176">
        <f>MAX(0,(T176-U176-'Prepay vs Invest'!$B$16)*'Prepay vs Invest'!$B$15/100)</f>
        <v>0</v>
      </c>
      <c r="W176">
        <f t="shared" si="36"/>
        <v>249337.03594290567</v>
      </c>
      <c r="X176">
        <f t="shared" si="45"/>
        <v>3083040.2637447636</v>
      </c>
      <c r="Y176">
        <f>IF(X176&gt;0,X176*'Prepay vs Invest'!$B$6/1200,0)</f>
        <v>19269.001648404774</v>
      </c>
      <c r="Z176">
        <f>IF(X176&gt;0,MIN(-PMT('Prepay vs Invest'!$B$6/1200,'Prepay vs Invest'!$B$7*12-A176+1,X176),X176+Y176),0)</f>
        <v>57151.514894173226</v>
      </c>
      <c r="AA176">
        <f>MIN(MAX(0,X176+Y176-Z176),IF(AND(A176&gt;='Prepay vs Invest'!$B$11,A176&lt;='Prepay vs Invest'!$B$12),'Prepay vs Invest'!$B$10,0)+IF(A176='Prepay vs Invest'!$B$9,'Prepay vs Invest'!$B$8,0))</f>
        <v>10000</v>
      </c>
      <c r="AB176">
        <f t="shared" si="37"/>
        <v>3035157.7504989952</v>
      </c>
      <c r="AC176">
        <f t="shared" si="46"/>
        <v>4203602.7389279641</v>
      </c>
      <c r="AD176">
        <f>IF(A176&lt;='Prepay vs Invest'!$B$7*12,MAX(0,'Prepay vs Invest'!$E$5+IF(AND(A176&gt;='Prepay vs Invest'!$B$11,A176&lt;='Prepay vs Invest'!$B$12),'Prepay vs Invest'!$B$10,0)+IF(A176='Prepay vs Invest'!$B$9,'Prepay vs Invest'!$B$8,0)-Z176-AA176),0)</f>
        <v>23407.804461007494</v>
      </c>
      <c r="AE176">
        <f>AC176*(1+MAX(0,'Prepay vs Invest'!$B$13-'Prepay vs Invest'!$B$14)/1200)+AD176</f>
        <v>4267295.0696370313</v>
      </c>
      <c r="AF176">
        <f t="shared" si="47"/>
        <v>2134969.8848434724</v>
      </c>
      <c r="AG176">
        <f>MAX(0,(AE176-AF176-'Prepay vs Invest'!$B$16)*'Prepay vs Invest'!$B$15/100)</f>
        <v>250915.64809919486</v>
      </c>
      <c r="AH176">
        <f t="shared" si="38"/>
        <v>4016379.4215378365</v>
      </c>
    </row>
    <row r="177" spans="1:34" x14ac:dyDescent="0.35">
      <c r="A177">
        <f t="shared" si="39"/>
        <v>176</v>
      </c>
      <c r="B177">
        <f>IF(A177&lt;='Prepay vs Invest'!$B$7*12,F176,0)</f>
        <v>4292376.7841255739</v>
      </c>
      <c r="C177">
        <f>IF(B177&gt;0,B177*'Prepay vs Invest'!$B$6/1200,0)</f>
        <v>26827.354900784838</v>
      </c>
      <c r="D177">
        <f>IF(B177&gt;0,MIN(-PMT('Prepay vs Invest'!$B$6/1200,'Prepay vs Invest'!$B$7*12,'Prepay vs Invest'!$B$5),B177+C177),0)</f>
        <v>80559.31935518072</v>
      </c>
      <c r="E177">
        <f t="shared" si="32"/>
        <v>53731.964454395886</v>
      </c>
      <c r="F177">
        <f t="shared" si="33"/>
        <v>4238644.8196711782</v>
      </c>
      <c r="G177">
        <f t="shared" si="40"/>
        <v>6861362.1754566701</v>
      </c>
      <c r="H177">
        <f>IF(A177&lt;='Prepay vs Invest'!$B$7*12,IF(AND(A177&gt;='Prepay vs Invest'!$B$11,A177&lt;='Prepay vs Invest'!$B$12),'Prepay vs Invest'!$B$10,0)+IF(A177='Prepay vs Invest'!$B$9,'Prepay vs Invest'!$B$8,0),0)</f>
        <v>10000</v>
      </c>
      <c r="I177">
        <f>G177*(1+MAX(0,'Prepay vs Invest'!$B$13-'Prepay vs Invest'!$B$14)/1200)+H177</f>
        <v>6937116.8963047964</v>
      </c>
      <c r="J177">
        <f t="shared" si="41"/>
        <v>2260000</v>
      </c>
      <c r="K177">
        <f>MAX(0,(I177-J177-'Prepay vs Invest'!$B$16)*'Prepay vs Invest'!$B$15/100)</f>
        <v>569014.61203809956</v>
      </c>
      <c r="L177">
        <f t="shared" si="34"/>
        <v>6368102.2842666972</v>
      </c>
      <c r="M177">
        <f t="shared" si="42"/>
        <v>0</v>
      </c>
      <c r="N177">
        <f>IF(M177&gt;0,M177*'Prepay vs Invest'!$B$6/1200,0)</f>
        <v>0</v>
      </c>
      <c r="O177">
        <f>IF(M177&gt;0,MIN('Prepay vs Invest'!$E$5,M177+N177),0)</f>
        <v>0</v>
      </c>
      <c r="P177">
        <f>MIN(MAX(0,M177+N177-O177),IF(AND(A177&gt;='Prepay vs Invest'!$B$11,A177&lt;='Prepay vs Invest'!$B$12),'Prepay vs Invest'!$B$10,0)+IF(A177='Prepay vs Invest'!$B$9,'Prepay vs Invest'!$B$8,0))</f>
        <v>0</v>
      </c>
      <c r="Q177">
        <f t="shared" si="35"/>
        <v>0</v>
      </c>
      <c r="R177">
        <f t="shared" si="43"/>
        <v>249337.03594290567</v>
      </c>
      <c r="S177">
        <f>IF(A177&lt;='Prepay vs Invest'!$B$7*12,MAX(0,'Prepay vs Invest'!$E$5+IF(AND(A177&gt;='Prepay vs Invest'!$B$11,A177&lt;='Prepay vs Invest'!$B$12),'Prepay vs Invest'!$B$10,0)+IF(A177='Prepay vs Invest'!$B$9,'Prepay vs Invest'!$B$8,0)-O177-P177),0)</f>
        <v>90559.31935518072</v>
      </c>
      <c r="T177">
        <f>R177*(1+MAX(0,'Prepay vs Invest'!$B$13-'Prepay vs Invest'!$B$14)/1200)+S177</f>
        <v>342285.83522587258</v>
      </c>
      <c r="U177">
        <f t="shared" si="44"/>
        <v>337755.93203372485</v>
      </c>
      <c r="V177">
        <f>MAX(0,(T177-U177-'Prepay vs Invest'!$B$16)*'Prepay vs Invest'!$B$15/100)</f>
        <v>0</v>
      </c>
      <c r="W177">
        <f t="shared" si="36"/>
        <v>342285.83522587258</v>
      </c>
      <c r="X177">
        <f t="shared" si="45"/>
        <v>3035157.7504989952</v>
      </c>
      <c r="Y177">
        <f>IF(X177&gt;0,X177*'Prepay vs Invest'!$B$6/1200,0)</f>
        <v>18969.735940618721</v>
      </c>
      <c r="Z177">
        <f>IF(X177&gt;0,MIN(-PMT('Prepay vs Invest'!$B$6/1200,'Prepay vs Invest'!$B$7*12-A177+1,X177),X177+Y177),0)</f>
        <v>56963.834913112121</v>
      </c>
      <c r="AA177">
        <f>MIN(MAX(0,X177+Y177-Z177),IF(AND(A177&gt;='Prepay vs Invest'!$B$11,A177&lt;='Prepay vs Invest'!$B$12),'Prepay vs Invest'!$B$10,0)+IF(A177='Prepay vs Invest'!$B$9,'Prepay vs Invest'!$B$8,0))</f>
        <v>10000</v>
      </c>
      <c r="AB177">
        <f t="shared" si="37"/>
        <v>2987163.6515265019</v>
      </c>
      <c r="AC177">
        <f t="shared" si="46"/>
        <v>4267295.0696370313</v>
      </c>
      <c r="AD177">
        <f>IF(A177&lt;='Prepay vs Invest'!$B$7*12,MAX(0,'Prepay vs Invest'!$E$5+IF(AND(A177&gt;='Prepay vs Invest'!$B$11,A177&lt;='Prepay vs Invest'!$B$12),'Prepay vs Invest'!$B$10,0)+IF(A177='Prepay vs Invest'!$B$9,'Prepay vs Invest'!$B$8,0)-Z177-AA177),0)</f>
        <v>23595.484442068599</v>
      </c>
      <c r="AE177">
        <f>AC177*(1+MAX(0,'Prepay vs Invest'!$B$13-'Prepay vs Invest'!$B$14)/1200)+AD177</f>
        <v>4331785.465163121</v>
      </c>
      <c r="AF177">
        <f t="shared" si="47"/>
        <v>2158565.3692855411</v>
      </c>
      <c r="AG177">
        <f>MAX(0,(AE177-AF177-'Prepay vs Invest'!$B$16)*'Prepay vs Invest'!$B$15/100)</f>
        <v>256027.51198469746</v>
      </c>
      <c r="AH177">
        <f t="shared" si="38"/>
        <v>4075757.9531784235</v>
      </c>
    </row>
    <row r="178" spans="1:34" x14ac:dyDescent="0.35">
      <c r="A178">
        <f t="shared" si="39"/>
        <v>177</v>
      </c>
      <c r="B178">
        <f>IF(A178&lt;='Prepay vs Invest'!$B$7*12,F177,0)</f>
        <v>4238644.8196711782</v>
      </c>
      <c r="C178">
        <f>IF(B178&gt;0,B178*'Prepay vs Invest'!$B$6/1200,0)</f>
        <v>26491.530122944863</v>
      </c>
      <c r="D178">
        <f>IF(B178&gt;0,MIN(-PMT('Prepay vs Invest'!$B$6/1200,'Prepay vs Invest'!$B$7*12,'Prepay vs Invest'!$B$5),B178+C178),0)</f>
        <v>80559.31935518072</v>
      </c>
      <c r="E178">
        <f t="shared" si="32"/>
        <v>54067.789232235853</v>
      </c>
      <c r="F178">
        <f t="shared" si="33"/>
        <v>4184577.0304389428</v>
      </c>
      <c r="G178">
        <f t="shared" si="40"/>
        <v>6937116.8963047964</v>
      </c>
      <c r="H178">
        <f>IF(A178&lt;='Prepay vs Invest'!$B$7*12,IF(AND(A178&gt;='Prepay vs Invest'!$B$11,A178&lt;='Prepay vs Invest'!$B$12),'Prepay vs Invest'!$B$10,0)+IF(A178='Prepay vs Invest'!$B$9,'Prepay vs Invest'!$B$8,0),0)</f>
        <v>10000</v>
      </c>
      <c r="I178">
        <f>G178*(1+MAX(0,'Prepay vs Invest'!$B$13-'Prepay vs Invest'!$B$14)/1200)+H178</f>
        <v>7013597.5998943839</v>
      </c>
      <c r="J178">
        <f t="shared" si="41"/>
        <v>2270000</v>
      </c>
      <c r="K178">
        <f>MAX(0,(I178-J178-'Prepay vs Invest'!$B$16)*'Prepay vs Invest'!$B$15/100)</f>
        <v>577324.69998679799</v>
      </c>
      <c r="L178">
        <f t="shared" si="34"/>
        <v>6436272.8999075862</v>
      </c>
      <c r="M178">
        <f t="shared" si="42"/>
        <v>0</v>
      </c>
      <c r="N178">
        <f>IF(M178&gt;0,M178*'Prepay vs Invest'!$B$6/1200,0)</f>
        <v>0</v>
      </c>
      <c r="O178">
        <f>IF(M178&gt;0,MIN('Prepay vs Invest'!$E$5,M178+N178),0)</f>
        <v>0</v>
      </c>
      <c r="P178">
        <f>MIN(MAX(0,M178+N178-O178),IF(AND(A178&gt;='Prepay vs Invest'!$B$11,A178&lt;='Prepay vs Invest'!$B$12),'Prepay vs Invest'!$B$10,0)+IF(A178='Prepay vs Invest'!$B$9,'Prepay vs Invest'!$B$8,0))</f>
        <v>0</v>
      </c>
      <c r="Q178">
        <f t="shared" si="35"/>
        <v>0</v>
      </c>
      <c r="R178">
        <f t="shared" si="43"/>
        <v>342285.83522587258</v>
      </c>
      <c r="S178">
        <f>IF(A178&lt;='Prepay vs Invest'!$B$7*12,MAX(0,'Prepay vs Invest'!$E$5+IF(AND(A178&gt;='Prepay vs Invest'!$B$11,A178&lt;='Prepay vs Invest'!$B$12),'Prepay vs Invest'!$B$10,0)+IF(A178='Prepay vs Invest'!$B$9,'Prepay vs Invest'!$B$8,0)-O178-P178),0)</f>
        <v>90559.31935518072</v>
      </c>
      <c r="T178">
        <f>R178*(1+MAX(0,'Prepay vs Invest'!$B$13-'Prepay vs Invest'!$B$14)/1200)+S178</f>
        <v>436125.39383530122</v>
      </c>
      <c r="U178">
        <f t="shared" si="44"/>
        <v>428315.25138890557</v>
      </c>
      <c r="V178">
        <f>MAX(0,(T178-U178-'Prepay vs Invest'!$B$16)*'Prepay vs Invest'!$B$15/100)</f>
        <v>0</v>
      </c>
      <c r="W178">
        <f t="shared" si="36"/>
        <v>436125.39383530122</v>
      </c>
      <c r="X178">
        <f t="shared" si="45"/>
        <v>2987163.6515265019</v>
      </c>
      <c r="Y178">
        <f>IF(X178&gt;0,X178*'Prepay vs Invest'!$B$6/1200,0)</f>
        <v>18669.772822040635</v>
      </c>
      <c r="Z178">
        <f>IF(X178&gt;0,MIN(-PMT('Prepay vs Invest'!$B$6/1200,'Prepay vs Invest'!$B$7*12-A178+1,X178),X178+Y178),0)</f>
        <v>56773.775772083565</v>
      </c>
      <c r="AA178">
        <f>MIN(MAX(0,X178+Y178-Z178),IF(AND(A178&gt;='Prepay vs Invest'!$B$11,A178&lt;='Prepay vs Invest'!$B$12),'Prepay vs Invest'!$B$10,0)+IF(A178='Prepay vs Invest'!$B$9,'Prepay vs Invest'!$B$8,0))</f>
        <v>10000</v>
      </c>
      <c r="AB178">
        <f t="shared" si="37"/>
        <v>2939059.6485764589</v>
      </c>
      <c r="AC178">
        <f t="shared" si="46"/>
        <v>4331785.465163121</v>
      </c>
      <c r="AD178">
        <f>IF(A178&lt;='Prepay vs Invest'!$B$7*12,MAX(0,'Prepay vs Invest'!$E$5+IF(AND(A178&gt;='Prepay vs Invest'!$B$11,A178&lt;='Prepay vs Invest'!$B$12),'Prepay vs Invest'!$B$10,0)+IF(A178='Prepay vs Invest'!$B$9,'Prepay vs Invest'!$B$8,0)-Z178-AA178),0)</f>
        <v>23785.543583097155</v>
      </c>
      <c r="AE178">
        <f>AC178*(1+MAX(0,'Prepay vs Invest'!$B$13-'Prepay vs Invest'!$B$14)/1200)+AD178</f>
        <v>4397083.9527873639</v>
      </c>
      <c r="AF178">
        <f t="shared" si="47"/>
        <v>2182350.9128686381</v>
      </c>
      <c r="AG178">
        <f>MAX(0,(AE178-AF178-'Prepay vs Invest'!$B$16)*'Prepay vs Invest'!$B$15/100)</f>
        <v>261216.62998984073</v>
      </c>
      <c r="AH178">
        <f t="shared" si="38"/>
        <v>4135867.3227975233</v>
      </c>
    </row>
    <row r="179" spans="1:34" x14ac:dyDescent="0.35">
      <c r="A179">
        <f t="shared" si="39"/>
        <v>178</v>
      </c>
      <c r="B179">
        <f>IF(A179&lt;='Prepay vs Invest'!$B$7*12,F178,0)</f>
        <v>4184577.0304389428</v>
      </c>
      <c r="C179">
        <f>IF(B179&gt;0,B179*'Prepay vs Invest'!$B$6/1200,0)</f>
        <v>26153.606440243391</v>
      </c>
      <c r="D179">
        <f>IF(B179&gt;0,MIN(-PMT('Prepay vs Invest'!$B$6/1200,'Prepay vs Invest'!$B$7*12,'Prepay vs Invest'!$B$5),B179+C179),0)</f>
        <v>80559.31935518072</v>
      </c>
      <c r="E179">
        <f t="shared" si="32"/>
        <v>54405.712914937329</v>
      </c>
      <c r="F179">
        <f t="shared" si="33"/>
        <v>4130171.3175240057</v>
      </c>
      <c r="G179">
        <f t="shared" si="40"/>
        <v>7013597.5998943839</v>
      </c>
      <c r="H179">
        <f>IF(A179&lt;='Prepay vs Invest'!$B$7*12,IF(AND(A179&gt;='Prepay vs Invest'!$B$11,A179&lt;='Prepay vs Invest'!$B$12),'Prepay vs Invest'!$B$10,0)+IF(A179='Prepay vs Invest'!$B$9,'Prepay vs Invest'!$B$8,0),0)</f>
        <v>10000</v>
      </c>
      <c r="I179">
        <f>G179*(1+MAX(0,'Prepay vs Invest'!$B$13-'Prepay vs Invest'!$B$14)/1200)+H179</f>
        <v>7090811.2435600376</v>
      </c>
      <c r="J179">
        <f t="shared" si="41"/>
        <v>2280000</v>
      </c>
      <c r="K179">
        <f>MAX(0,(I179-J179-'Prepay vs Invest'!$B$16)*'Prepay vs Invest'!$B$15/100)</f>
        <v>585726.4054450047</v>
      </c>
      <c r="L179">
        <f t="shared" si="34"/>
        <v>6505084.8381150328</v>
      </c>
      <c r="M179">
        <f t="shared" si="42"/>
        <v>0</v>
      </c>
      <c r="N179">
        <f>IF(M179&gt;0,M179*'Prepay vs Invest'!$B$6/1200,0)</f>
        <v>0</v>
      </c>
      <c r="O179">
        <f>IF(M179&gt;0,MIN('Prepay vs Invest'!$E$5,M179+N179),0)</f>
        <v>0</v>
      </c>
      <c r="P179">
        <f>MIN(MAX(0,M179+N179-O179),IF(AND(A179&gt;='Prepay vs Invest'!$B$11,A179&lt;='Prepay vs Invest'!$B$12),'Prepay vs Invest'!$B$10,0)+IF(A179='Prepay vs Invest'!$B$9,'Prepay vs Invest'!$B$8,0))</f>
        <v>0</v>
      </c>
      <c r="Q179">
        <f t="shared" si="35"/>
        <v>0</v>
      </c>
      <c r="R179">
        <f t="shared" si="43"/>
        <v>436125.39383530122</v>
      </c>
      <c r="S179">
        <f>IF(A179&lt;='Prepay vs Invest'!$B$7*12,MAX(0,'Prepay vs Invest'!$E$5+IF(AND(A179&gt;='Prepay vs Invest'!$B$11,A179&lt;='Prepay vs Invest'!$B$12),'Prepay vs Invest'!$B$10,0)+IF(A179='Prepay vs Invest'!$B$9,'Prepay vs Invest'!$B$8,0)-O179-P179),0)</f>
        <v>90559.31935518072</v>
      </c>
      <c r="T179">
        <f>R179*(1+MAX(0,'Prepay vs Invest'!$B$13-'Prepay vs Invest'!$B$14)/1200)+S179</f>
        <v>530864.24821473681</v>
      </c>
      <c r="U179">
        <f t="shared" si="44"/>
        <v>518874.57074408629</v>
      </c>
      <c r="V179">
        <f>MAX(0,(T179-U179-'Prepay vs Invest'!$B$16)*'Prepay vs Invest'!$B$15/100)</f>
        <v>0</v>
      </c>
      <c r="W179">
        <f t="shared" si="36"/>
        <v>530864.24821473681</v>
      </c>
      <c r="X179">
        <f t="shared" si="45"/>
        <v>2939059.6485764589</v>
      </c>
      <c r="Y179">
        <f>IF(X179&gt;0,X179*'Prepay vs Invest'!$B$6/1200,0)</f>
        <v>18369.122803602866</v>
      </c>
      <c r="Z179">
        <f>IF(X179&gt;0,MIN(-PMT('Prepay vs Invest'!$B$6/1200,'Prepay vs Invest'!$B$7*12-A179+1,X179),X179+Y179),0)</f>
        <v>56581.260928243471</v>
      </c>
      <c r="AA179">
        <f>MIN(MAX(0,X179+Y179-Z179),IF(AND(A179&gt;='Prepay vs Invest'!$B$11,A179&lt;='Prepay vs Invest'!$B$12),'Prepay vs Invest'!$B$10,0)+IF(A179='Prepay vs Invest'!$B$9,'Prepay vs Invest'!$B$8,0))</f>
        <v>10000</v>
      </c>
      <c r="AB179">
        <f t="shared" si="37"/>
        <v>2890847.5104518184</v>
      </c>
      <c r="AC179">
        <f t="shared" si="46"/>
        <v>4397083.9527873639</v>
      </c>
      <c r="AD179">
        <f>IF(A179&lt;='Prepay vs Invest'!$B$7*12,MAX(0,'Prepay vs Invest'!$E$5+IF(AND(A179&gt;='Prepay vs Invest'!$B$11,A179&lt;='Prepay vs Invest'!$B$12),'Prepay vs Invest'!$B$10,0)+IF(A179='Prepay vs Invest'!$B$9,'Prepay vs Invest'!$B$8,0)-Z179-AA179),0)</f>
        <v>23978.058426937248</v>
      </c>
      <c r="AE179">
        <f>AC179*(1+MAX(0,'Prepay vs Invest'!$B$13-'Prepay vs Invest'!$B$14)/1200)+AD179</f>
        <v>4463200.7324285125</v>
      </c>
      <c r="AF179">
        <f t="shared" si="47"/>
        <v>2206328.9712955751</v>
      </c>
      <c r="AG179">
        <f>MAX(0,(AE179-AF179-'Prepay vs Invest'!$B$16)*'Prepay vs Invest'!$B$15/100)</f>
        <v>266483.97014161717</v>
      </c>
      <c r="AH179">
        <f t="shared" si="38"/>
        <v>4196716.762286895</v>
      </c>
    </row>
    <row r="180" spans="1:34" x14ac:dyDescent="0.35">
      <c r="A180">
        <f t="shared" si="39"/>
        <v>179</v>
      </c>
      <c r="B180">
        <f>IF(A180&lt;='Prepay vs Invest'!$B$7*12,F179,0)</f>
        <v>4130171.3175240057</v>
      </c>
      <c r="C180">
        <f>IF(B180&gt;0,B180*'Prepay vs Invest'!$B$6/1200,0)</f>
        <v>25813.570734525034</v>
      </c>
      <c r="D180">
        <f>IF(B180&gt;0,MIN(-PMT('Prepay vs Invest'!$B$6/1200,'Prepay vs Invest'!$B$7*12,'Prepay vs Invest'!$B$5),B180+C180),0)</f>
        <v>80559.31935518072</v>
      </c>
      <c r="E180">
        <f t="shared" si="32"/>
        <v>54745.748620655686</v>
      </c>
      <c r="F180">
        <f t="shared" si="33"/>
        <v>4075425.5689033503</v>
      </c>
      <c r="G180">
        <f t="shared" si="40"/>
        <v>7090811.2435600376</v>
      </c>
      <c r="H180">
        <f>IF(A180&lt;='Prepay vs Invest'!$B$7*12,IF(AND(A180&gt;='Prepay vs Invest'!$B$11,A180&lt;='Prepay vs Invest'!$B$12),'Prepay vs Invest'!$B$10,0)+IF(A180='Prepay vs Invest'!$B$9,'Prepay vs Invest'!$B$8,0),0)</f>
        <v>10000</v>
      </c>
      <c r="I180">
        <f>G180*(1+MAX(0,'Prepay vs Invest'!$B$13-'Prepay vs Invest'!$B$14)/1200)+H180</f>
        <v>7168764.8513108213</v>
      </c>
      <c r="J180">
        <f t="shared" si="41"/>
        <v>2290000</v>
      </c>
      <c r="K180">
        <f>MAX(0,(I180-J180-'Prepay vs Invest'!$B$16)*'Prepay vs Invest'!$B$15/100)</f>
        <v>594220.60641385266</v>
      </c>
      <c r="L180">
        <f t="shared" si="34"/>
        <v>6574544.2448969688</v>
      </c>
      <c r="M180">
        <f t="shared" si="42"/>
        <v>0</v>
      </c>
      <c r="N180">
        <f>IF(M180&gt;0,M180*'Prepay vs Invest'!$B$6/1200,0)</f>
        <v>0</v>
      </c>
      <c r="O180">
        <f>IF(M180&gt;0,MIN('Prepay vs Invest'!$E$5,M180+N180),0)</f>
        <v>0</v>
      </c>
      <c r="P180">
        <f>MIN(MAX(0,M180+N180-O180),IF(AND(A180&gt;='Prepay vs Invest'!$B$11,A180&lt;='Prepay vs Invest'!$B$12),'Prepay vs Invest'!$B$10,0)+IF(A180='Prepay vs Invest'!$B$9,'Prepay vs Invest'!$B$8,0))</f>
        <v>0</v>
      </c>
      <c r="Q180">
        <f t="shared" si="35"/>
        <v>0</v>
      </c>
      <c r="R180">
        <f t="shared" si="43"/>
        <v>530864.24821473681</v>
      </c>
      <c r="S180">
        <f>IF(A180&lt;='Prepay vs Invest'!$B$7*12,MAX(0,'Prepay vs Invest'!$E$5+IF(AND(A180&gt;='Prepay vs Invest'!$B$11,A180&lt;='Prepay vs Invest'!$B$12),'Prepay vs Invest'!$B$10,0)+IF(A180='Prepay vs Invest'!$B$9,'Prepay vs Invest'!$B$8,0)-O180-P180),0)</f>
        <v>90559.31935518072</v>
      </c>
      <c r="T180">
        <f>R180*(1+MAX(0,'Prepay vs Invest'!$B$13-'Prepay vs Invest'!$B$14)/1200)+S180</f>
        <v>626511.0166153087</v>
      </c>
      <c r="U180">
        <f t="shared" si="44"/>
        <v>609433.89009926701</v>
      </c>
      <c r="V180">
        <f>MAX(0,(T180-U180-'Prepay vs Invest'!$B$16)*'Prepay vs Invest'!$B$15/100)</f>
        <v>0</v>
      </c>
      <c r="W180">
        <f t="shared" si="36"/>
        <v>626511.0166153087</v>
      </c>
      <c r="X180">
        <f t="shared" si="45"/>
        <v>2890847.5104518184</v>
      </c>
      <c r="Y180">
        <f>IF(X180&gt;0,X180*'Prepay vs Invest'!$B$6/1200,0)</f>
        <v>18067.796940323864</v>
      </c>
      <c r="Z180">
        <f>IF(X180&gt;0,MIN(-PMT('Prepay vs Invest'!$B$6/1200,'Prepay vs Invest'!$B$7*12-A180+1,X180),X180+Y180),0)</f>
        <v>56386.210134555149</v>
      </c>
      <c r="AA180">
        <f>MIN(MAX(0,X180+Y180-Z180),IF(AND(A180&gt;='Prepay vs Invest'!$B$11,A180&lt;='Prepay vs Invest'!$B$12),'Prepay vs Invest'!$B$10,0)+IF(A180='Prepay vs Invest'!$B$9,'Prepay vs Invest'!$B$8,0))</f>
        <v>10000</v>
      </c>
      <c r="AB180">
        <f t="shared" si="37"/>
        <v>2842529.0972575871</v>
      </c>
      <c r="AC180">
        <f t="shared" si="46"/>
        <v>4463200.7324285125</v>
      </c>
      <c r="AD180">
        <f>IF(A180&lt;='Prepay vs Invest'!$B$7*12,MAX(0,'Prepay vs Invest'!$E$5+IF(AND(A180&gt;='Prepay vs Invest'!$B$11,A180&lt;='Prepay vs Invest'!$B$12),'Prepay vs Invest'!$B$10,0)+IF(A180='Prepay vs Invest'!$B$9,'Prepay vs Invest'!$B$8,0)-Z180-AA180),0)</f>
        <v>24173.109220625571</v>
      </c>
      <c r="AE180">
        <f>AC180*(1+MAX(0,'Prepay vs Invest'!$B$13-'Prepay vs Invest'!$B$14)/1200)+AD180</f>
        <v>4530146.1820015777</v>
      </c>
      <c r="AF180">
        <f t="shared" si="47"/>
        <v>2230502.0805162005</v>
      </c>
      <c r="AG180">
        <f>MAX(0,(AE180-AF180-'Prepay vs Invest'!$B$16)*'Prepay vs Invest'!$B$15/100)</f>
        <v>271830.51268567215</v>
      </c>
      <c r="AH180">
        <f t="shared" si="38"/>
        <v>4258315.6693159053</v>
      </c>
    </row>
    <row r="181" spans="1:34" x14ac:dyDescent="0.35">
      <c r="A181">
        <f t="shared" si="39"/>
        <v>180</v>
      </c>
      <c r="B181">
        <f>IF(A181&lt;='Prepay vs Invest'!$B$7*12,F180,0)</f>
        <v>4075425.5689033503</v>
      </c>
      <c r="C181">
        <f>IF(B181&gt;0,B181*'Prepay vs Invest'!$B$6/1200,0)</f>
        <v>25471.409805645941</v>
      </c>
      <c r="D181">
        <f>IF(B181&gt;0,MIN(-PMT('Prepay vs Invest'!$B$6/1200,'Prepay vs Invest'!$B$7*12,'Prepay vs Invest'!$B$5),B181+C181),0)</f>
        <v>80559.31935518072</v>
      </c>
      <c r="E181">
        <f t="shared" si="32"/>
        <v>55087.909549534779</v>
      </c>
      <c r="F181">
        <f t="shared" si="33"/>
        <v>4020337.659353816</v>
      </c>
      <c r="G181">
        <f t="shared" si="40"/>
        <v>7168764.8513108213</v>
      </c>
      <c r="H181">
        <f>IF(A181&lt;='Prepay vs Invest'!$B$7*12,IF(AND(A181&gt;='Prepay vs Invest'!$B$11,A181&lt;='Prepay vs Invest'!$B$12),'Prepay vs Invest'!$B$10,0)+IF(A181='Prepay vs Invest'!$B$9,'Prepay vs Invest'!$B$8,0),0)</f>
        <v>10000</v>
      </c>
      <c r="I181">
        <f>G181*(1+MAX(0,'Prepay vs Invest'!$B$13-'Prepay vs Invest'!$B$14)/1200)+H181</f>
        <v>7247465.5144692166</v>
      </c>
      <c r="J181">
        <f t="shared" si="41"/>
        <v>2300000</v>
      </c>
      <c r="K181">
        <f>MAX(0,(I181-J181-'Prepay vs Invest'!$B$16)*'Prepay vs Invest'!$B$15/100)</f>
        <v>602808.18930865207</v>
      </c>
      <c r="L181">
        <f t="shared" si="34"/>
        <v>6644657.3251605649</v>
      </c>
      <c r="M181">
        <f t="shared" si="42"/>
        <v>0</v>
      </c>
      <c r="N181">
        <f>IF(M181&gt;0,M181*'Prepay vs Invest'!$B$6/1200,0)</f>
        <v>0</v>
      </c>
      <c r="O181">
        <f>IF(M181&gt;0,MIN('Prepay vs Invest'!$E$5,M181+N181),0)</f>
        <v>0</v>
      </c>
      <c r="P181">
        <f>MIN(MAX(0,M181+N181-O181),IF(AND(A181&gt;='Prepay vs Invest'!$B$11,A181&lt;='Prepay vs Invest'!$B$12),'Prepay vs Invest'!$B$10,0)+IF(A181='Prepay vs Invest'!$B$9,'Prepay vs Invest'!$B$8,0))</f>
        <v>0</v>
      </c>
      <c r="Q181">
        <f t="shared" si="35"/>
        <v>0</v>
      </c>
      <c r="R181">
        <f t="shared" si="43"/>
        <v>626511.0166153087</v>
      </c>
      <c r="S181">
        <f>IF(A181&lt;='Prepay vs Invest'!$B$7*12,MAX(0,'Prepay vs Invest'!$E$5+IF(AND(A181&gt;='Prepay vs Invest'!$B$11,A181&lt;='Prepay vs Invest'!$B$12),'Prepay vs Invest'!$B$10,0)+IF(A181='Prepay vs Invest'!$B$9,'Prepay vs Invest'!$B$8,0)-O181-P181),0)</f>
        <v>90559.31935518072</v>
      </c>
      <c r="T181">
        <f>R181*(1+MAX(0,'Prepay vs Invest'!$B$13-'Prepay vs Invest'!$B$14)/1200)+S181</f>
        <v>723074.39987971948</v>
      </c>
      <c r="U181">
        <f t="shared" si="44"/>
        <v>699993.20945444773</v>
      </c>
      <c r="V181">
        <f>MAX(0,(T181-U181-'Prepay vs Invest'!$B$16)*'Prepay vs Invest'!$B$15/100)</f>
        <v>0</v>
      </c>
      <c r="W181">
        <f t="shared" si="36"/>
        <v>723074.39987971948</v>
      </c>
      <c r="X181">
        <f t="shared" si="45"/>
        <v>2842529.0972575871</v>
      </c>
      <c r="Y181">
        <f>IF(X181&gt;0,X181*'Prepay vs Invest'!$B$6/1200,0)</f>
        <v>17765.80685785992</v>
      </c>
      <c r="Z181">
        <f>IF(X181&gt;0,MIN(-PMT('Prepay vs Invest'!$B$6/1200,'Prepay vs Invest'!$B$7*12-A181+1,X181),X181+Y181),0)</f>
        <v>56188.539196899277</v>
      </c>
      <c r="AA181">
        <f>MIN(MAX(0,X181+Y181-Z181),IF(AND(A181&gt;='Prepay vs Invest'!$B$11,A181&lt;='Prepay vs Invest'!$B$12),'Prepay vs Invest'!$B$10,0)+IF(A181='Prepay vs Invest'!$B$9,'Prepay vs Invest'!$B$8,0))</f>
        <v>10000</v>
      </c>
      <c r="AB181">
        <f t="shared" si="37"/>
        <v>2794106.3649185477</v>
      </c>
      <c r="AC181">
        <f t="shared" si="46"/>
        <v>4530146.1820015777</v>
      </c>
      <c r="AD181">
        <f>IF(A181&lt;='Prepay vs Invest'!$B$7*12,MAX(0,'Prepay vs Invest'!$E$5+IF(AND(A181&gt;='Prepay vs Invest'!$B$11,A181&lt;='Prepay vs Invest'!$B$12),'Prepay vs Invest'!$B$10,0)+IF(A181='Prepay vs Invest'!$B$9,'Prepay vs Invest'!$B$8,0)-Z181-AA181),0)</f>
        <v>24370.780158281443</v>
      </c>
      <c r="AE181">
        <f>AC181*(1+MAX(0,'Prepay vs Invest'!$B$13-'Prepay vs Invest'!$B$14)/1200)+AD181</f>
        <v>4597930.8630707068</v>
      </c>
      <c r="AF181">
        <f t="shared" si="47"/>
        <v>2254872.8606744818</v>
      </c>
      <c r="AG181">
        <f>MAX(0,(AE181-AF181-'Prepay vs Invest'!$B$16)*'Prepay vs Invest'!$B$15/100)</f>
        <v>277257.25029952812</v>
      </c>
      <c r="AH181">
        <f t="shared" si="38"/>
        <v>4320673.6127711786</v>
      </c>
    </row>
    <row r="182" spans="1:34" x14ac:dyDescent="0.35">
      <c r="A182">
        <f t="shared" si="39"/>
        <v>181</v>
      </c>
      <c r="B182">
        <f>IF(A182&lt;='Prepay vs Invest'!$B$7*12,F181,0)</f>
        <v>4020337.659353816</v>
      </c>
      <c r="C182">
        <f>IF(B182&gt;0,B182*'Prepay vs Invest'!$B$6/1200,0)</f>
        <v>25127.110370961349</v>
      </c>
      <c r="D182">
        <f>IF(B182&gt;0,MIN(-PMT('Prepay vs Invest'!$B$6/1200,'Prepay vs Invest'!$B$7*12,'Prepay vs Invest'!$B$5),B182+C182),0)</f>
        <v>80559.31935518072</v>
      </c>
      <c r="E182">
        <f t="shared" si="32"/>
        <v>55432.208984219367</v>
      </c>
      <c r="F182">
        <f t="shared" si="33"/>
        <v>3964905.4503695965</v>
      </c>
      <c r="G182">
        <f t="shared" si="40"/>
        <v>7247465.5144692166</v>
      </c>
      <c r="H182">
        <f>IF(A182&lt;='Prepay vs Invest'!$B$7*12,IF(AND(A182&gt;='Prepay vs Invest'!$B$11,A182&lt;='Prepay vs Invest'!$B$12),'Prepay vs Invest'!$B$10,0)+IF(A182='Prepay vs Invest'!$B$9,'Prepay vs Invest'!$B$8,0),0)</f>
        <v>10000</v>
      </c>
      <c r="I182">
        <f>G182*(1+MAX(0,'Prepay vs Invest'!$B$13-'Prepay vs Invest'!$B$14)/1200)+H182</f>
        <v>7326920.3923162129</v>
      </c>
      <c r="J182">
        <f t="shared" si="41"/>
        <v>2310000</v>
      </c>
      <c r="K182">
        <f>MAX(0,(I182-J182-'Prepay vs Invest'!$B$16)*'Prepay vs Invest'!$B$15/100)</f>
        <v>611490.04903952661</v>
      </c>
      <c r="L182">
        <f t="shared" si="34"/>
        <v>6715430.343276686</v>
      </c>
      <c r="M182">
        <f t="shared" si="42"/>
        <v>0</v>
      </c>
      <c r="N182">
        <f>IF(M182&gt;0,M182*'Prepay vs Invest'!$B$6/1200,0)</f>
        <v>0</v>
      </c>
      <c r="O182">
        <f>IF(M182&gt;0,MIN('Prepay vs Invest'!$E$5,M182+N182),0)</f>
        <v>0</v>
      </c>
      <c r="P182">
        <f>MIN(MAX(0,M182+N182-O182),IF(AND(A182&gt;='Prepay vs Invest'!$B$11,A182&lt;='Prepay vs Invest'!$B$12),'Prepay vs Invest'!$B$10,0)+IF(A182='Prepay vs Invest'!$B$9,'Prepay vs Invest'!$B$8,0))</f>
        <v>0</v>
      </c>
      <c r="Q182">
        <f t="shared" si="35"/>
        <v>0</v>
      </c>
      <c r="R182">
        <f t="shared" si="43"/>
        <v>723074.39987971948</v>
      </c>
      <c r="S182">
        <f>IF(A182&lt;='Prepay vs Invest'!$B$7*12,MAX(0,'Prepay vs Invest'!$E$5+IF(AND(A182&gt;='Prepay vs Invest'!$B$11,A182&lt;='Prepay vs Invest'!$B$12),'Prepay vs Invest'!$B$10,0)+IF(A182='Prepay vs Invest'!$B$9,'Prepay vs Invest'!$B$8,0)-O182-P182),0)</f>
        <v>90559.31935518072</v>
      </c>
      <c r="T182">
        <f>R182*(1+MAX(0,'Prepay vs Invest'!$B$13-'Prepay vs Invest'!$B$14)/1200)+S182</f>
        <v>820563.18223374744</v>
      </c>
      <c r="U182">
        <f t="shared" si="44"/>
        <v>790552.52880962845</v>
      </c>
      <c r="V182">
        <f>MAX(0,(T182-U182-'Prepay vs Invest'!$B$16)*'Prepay vs Invest'!$B$15/100)</f>
        <v>0</v>
      </c>
      <c r="W182">
        <f t="shared" si="36"/>
        <v>820563.18223374744</v>
      </c>
      <c r="X182">
        <f t="shared" si="45"/>
        <v>2794106.3649185477</v>
      </c>
      <c r="Y182">
        <f>IF(X182&gt;0,X182*'Prepay vs Invest'!$B$6/1200,0)</f>
        <v>17463.164780740924</v>
      </c>
      <c r="Z182">
        <f>IF(X182&gt;0,MIN(-PMT('Prepay vs Invest'!$B$6/1200,'Prepay vs Invest'!$B$7*12-A182+1,X182),X182+Y182),0)</f>
        <v>55988.159710943037</v>
      </c>
      <c r="AA182">
        <f>MIN(MAX(0,X182+Y182-Z182),IF(AND(A182&gt;='Prepay vs Invest'!$B$11,A182&lt;='Prepay vs Invest'!$B$12),'Prepay vs Invest'!$B$10,0)+IF(A182='Prepay vs Invest'!$B$9,'Prepay vs Invest'!$B$8,0))</f>
        <v>10000</v>
      </c>
      <c r="AB182">
        <f t="shared" si="37"/>
        <v>2745581.3699883455</v>
      </c>
      <c r="AC182">
        <f t="shared" si="46"/>
        <v>4597930.8630707068</v>
      </c>
      <c r="AD182">
        <f>IF(A182&lt;='Prepay vs Invest'!$B$7*12,MAX(0,'Prepay vs Invest'!$E$5+IF(AND(A182&gt;='Prepay vs Invest'!$B$11,A182&lt;='Prepay vs Invest'!$B$12),'Prepay vs Invest'!$B$10,0)+IF(A182='Prepay vs Invest'!$B$9,'Prepay vs Invest'!$B$8,0)-Z182-AA182),0)</f>
        <v>24571.159644237683</v>
      </c>
      <c r="AE182">
        <f>AC182*(1+MAX(0,'Prepay vs Invest'!$B$13-'Prepay vs Invest'!$B$14)/1200)+AD182</f>
        <v>4666565.5268193716</v>
      </c>
      <c r="AF182">
        <f t="shared" si="47"/>
        <v>2279444.0203187196</v>
      </c>
      <c r="AG182">
        <f>MAX(0,(AE182-AF182-'Prepay vs Invest'!$B$16)*'Prepay vs Invest'!$B$15/100)</f>
        <v>282765.18831258151</v>
      </c>
      <c r="AH182">
        <f t="shared" si="38"/>
        <v>4383800.3385067899</v>
      </c>
    </row>
    <row r="183" spans="1:34" x14ac:dyDescent="0.35">
      <c r="A183">
        <f t="shared" si="39"/>
        <v>182</v>
      </c>
      <c r="B183">
        <f>IF(A183&lt;='Prepay vs Invest'!$B$7*12,F182,0)</f>
        <v>3964905.4503695965</v>
      </c>
      <c r="C183">
        <f>IF(B183&gt;0,B183*'Prepay vs Invest'!$B$6/1200,0)</f>
        <v>24780.659064809977</v>
      </c>
      <c r="D183">
        <f>IF(B183&gt;0,MIN(-PMT('Prepay vs Invest'!$B$6/1200,'Prepay vs Invest'!$B$7*12,'Prepay vs Invest'!$B$5),B183+C183),0)</f>
        <v>80559.31935518072</v>
      </c>
      <c r="E183">
        <f t="shared" si="32"/>
        <v>55778.660290370739</v>
      </c>
      <c r="F183">
        <f t="shared" si="33"/>
        <v>3909126.7900792258</v>
      </c>
      <c r="G183">
        <f t="shared" si="40"/>
        <v>7326920.3923162129</v>
      </c>
      <c r="H183">
        <f>IF(A183&lt;='Prepay vs Invest'!$B$7*12,IF(AND(A183&gt;='Prepay vs Invest'!$B$11,A183&lt;='Prepay vs Invest'!$B$12),'Prepay vs Invest'!$B$10,0)+IF(A183='Prepay vs Invest'!$B$9,'Prepay vs Invest'!$B$8,0),0)</f>
        <v>10000</v>
      </c>
      <c r="I183">
        <f>G183*(1+MAX(0,'Prepay vs Invest'!$B$13-'Prepay vs Invest'!$B$14)/1200)+H183</f>
        <v>7407136.7127425764</v>
      </c>
      <c r="J183">
        <f t="shared" si="41"/>
        <v>2320000</v>
      </c>
      <c r="K183">
        <f>MAX(0,(I183-J183-'Prepay vs Invest'!$B$16)*'Prepay vs Invest'!$B$15/100)</f>
        <v>620267.08909282205</v>
      </c>
      <c r="L183">
        <f t="shared" si="34"/>
        <v>6786869.6236497546</v>
      </c>
      <c r="M183">
        <f t="shared" si="42"/>
        <v>0</v>
      </c>
      <c r="N183">
        <f>IF(M183&gt;0,M183*'Prepay vs Invest'!$B$6/1200,0)</f>
        <v>0</v>
      </c>
      <c r="O183">
        <f>IF(M183&gt;0,MIN('Prepay vs Invest'!$E$5,M183+N183),0)</f>
        <v>0</v>
      </c>
      <c r="P183">
        <f>MIN(MAX(0,M183+N183-O183),IF(AND(A183&gt;='Prepay vs Invest'!$B$11,A183&lt;='Prepay vs Invest'!$B$12),'Prepay vs Invest'!$B$10,0)+IF(A183='Prepay vs Invest'!$B$9,'Prepay vs Invest'!$B$8,0))</f>
        <v>0</v>
      </c>
      <c r="Q183">
        <f t="shared" si="35"/>
        <v>0</v>
      </c>
      <c r="R183">
        <f t="shared" si="43"/>
        <v>820563.18223374744</v>
      </c>
      <c r="S183">
        <f>IF(A183&lt;='Prepay vs Invest'!$B$7*12,MAX(0,'Prepay vs Invest'!$E$5+IF(AND(A183&gt;='Prepay vs Invest'!$B$11,A183&lt;='Prepay vs Invest'!$B$12),'Prepay vs Invest'!$B$10,0)+IF(A183='Prepay vs Invest'!$B$9,'Prepay vs Invest'!$B$8,0)-O183-P183),0)</f>
        <v>90559.31935518072</v>
      </c>
      <c r="T183">
        <f>R183*(1+MAX(0,'Prepay vs Invest'!$B$13-'Prepay vs Invest'!$B$14)/1200)+S183</f>
        <v>918986.23208533484</v>
      </c>
      <c r="U183">
        <f t="shared" si="44"/>
        <v>881111.84816480917</v>
      </c>
      <c r="V183">
        <f>MAX(0,(T183-U183-'Prepay vs Invest'!$B$16)*'Prepay vs Invest'!$B$15/100)</f>
        <v>0</v>
      </c>
      <c r="W183">
        <f t="shared" si="36"/>
        <v>918986.23208533484</v>
      </c>
      <c r="X183">
        <f t="shared" si="45"/>
        <v>2745581.3699883455</v>
      </c>
      <c r="Y183">
        <f>IF(X183&gt;0,X183*'Prepay vs Invest'!$B$6/1200,0)</f>
        <v>17159.88356242716</v>
      </c>
      <c r="Z183">
        <f>IF(X183&gt;0,MIN(-PMT('Prepay vs Invest'!$B$6/1200,'Prepay vs Invest'!$B$7*12-A183+1,X183),X183+Y183),0)</f>
        <v>55784.978776709984</v>
      </c>
      <c r="AA183">
        <f>MIN(MAX(0,X183+Y183-Z183),IF(AND(A183&gt;='Prepay vs Invest'!$B$11,A183&lt;='Prepay vs Invest'!$B$12),'Prepay vs Invest'!$B$10,0)+IF(A183='Prepay vs Invest'!$B$9,'Prepay vs Invest'!$B$8,0))</f>
        <v>10000</v>
      </c>
      <c r="AB183">
        <f t="shared" si="37"/>
        <v>2696956.2747740624</v>
      </c>
      <c r="AC183">
        <f t="shared" si="46"/>
        <v>4666565.5268193716</v>
      </c>
      <c r="AD183">
        <f>IF(A183&lt;='Prepay vs Invest'!$B$7*12,MAX(0,'Prepay vs Invest'!$E$5+IF(AND(A183&gt;='Prepay vs Invest'!$B$11,A183&lt;='Prepay vs Invest'!$B$12),'Prepay vs Invest'!$B$10,0)+IF(A183='Prepay vs Invest'!$B$9,'Prepay vs Invest'!$B$8,0)-Z183-AA183),0)</f>
        <v>24774.340578470736</v>
      </c>
      <c r="AE183">
        <f>AC183*(1+MAX(0,'Prepay vs Invest'!$B$13-'Prepay vs Invest'!$B$14)/1200)+AD183</f>
        <v>4736061.1203631945</v>
      </c>
      <c r="AF183">
        <f t="shared" si="47"/>
        <v>2304218.3608971904</v>
      </c>
      <c r="AG183">
        <f>MAX(0,(AE183-AF183-'Prepay vs Invest'!$B$16)*'Prepay vs Invest'!$B$15/100)</f>
        <v>288355.34493325051</v>
      </c>
      <c r="AH183">
        <f t="shared" si="38"/>
        <v>4447705.7754299436</v>
      </c>
    </row>
    <row r="184" spans="1:34" x14ac:dyDescent="0.35">
      <c r="A184">
        <f t="shared" si="39"/>
        <v>183</v>
      </c>
      <c r="B184">
        <f>IF(A184&lt;='Prepay vs Invest'!$B$7*12,F183,0)</f>
        <v>3909126.7900792258</v>
      </c>
      <c r="C184">
        <f>IF(B184&gt;0,B184*'Prepay vs Invest'!$B$6/1200,0)</f>
        <v>24432.042437995158</v>
      </c>
      <c r="D184">
        <f>IF(B184&gt;0,MIN(-PMT('Prepay vs Invest'!$B$6/1200,'Prepay vs Invest'!$B$7*12,'Prepay vs Invest'!$B$5),B184+C184),0)</f>
        <v>80559.31935518072</v>
      </c>
      <c r="E184">
        <f t="shared" si="32"/>
        <v>56127.276917185562</v>
      </c>
      <c r="F184">
        <f t="shared" si="33"/>
        <v>3852999.5131620402</v>
      </c>
      <c r="G184">
        <f t="shared" si="40"/>
        <v>7407136.7127425764</v>
      </c>
      <c r="H184">
        <f>IF(A184&lt;='Prepay vs Invest'!$B$7*12,IF(AND(A184&gt;='Prepay vs Invest'!$B$11,A184&lt;='Prepay vs Invest'!$B$12),'Prepay vs Invest'!$B$10,0)+IF(A184='Prepay vs Invest'!$B$9,'Prepay vs Invest'!$B$8,0),0)</f>
        <v>10000</v>
      </c>
      <c r="I184">
        <f>G184*(1+MAX(0,'Prepay vs Invest'!$B$13-'Prepay vs Invest'!$B$14)/1200)+H184</f>
        <v>7488121.7729063593</v>
      </c>
      <c r="J184">
        <f t="shared" si="41"/>
        <v>2330000</v>
      </c>
      <c r="K184">
        <f>MAX(0,(I184-J184-'Prepay vs Invest'!$B$16)*'Prepay vs Invest'!$B$15/100)</f>
        <v>629140.22161329491</v>
      </c>
      <c r="L184">
        <f t="shared" si="34"/>
        <v>6858981.5512930639</v>
      </c>
      <c r="M184">
        <f t="shared" si="42"/>
        <v>0</v>
      </c>
      <c r="N184">
        <f>IF(M184&gt;0,M184*'Prepay vs Invest'!$B$6/1200,0)</f>
        <v>0</v>
      </c>
      <c r="O184">
        <f>IF(M184&gt;0,MIN('Prepay vs Invest'!$E$5,M184+N184),0)</f>
        <v>0</v>
      </c>
      <c r="P184">
        <f>MIN(MAX(0,M184+N184-O184),IF(AND(A184&gt;='Prepay vs Invest'!$B$11,A184&lt;='Prepay vs Invest'!$B$12),'Prepay vs Invest'!$B$10,0)+IF(A184='Prepay vs Invest'!$B$9,'Prepay vs Invest'!$B$8,0))</f>
        <v>0</v>
      </c>
      <c r="Q184">
        <f t="shared" si="35"/>
        <v>0</v>
      </c>
      <c r="R184">
        <f t="shared" si="43"/>
        <v>918986.23208533484</v>
      </c>
      <c r="S184">
        <f>IF(A184&lt;='Prepay vs Invest'!$B$7*12,MAX(0,'Prepay vs Invest'!$E$5+IF(AND(A184&gt;='Prepay vs Invest'!$B$11,A184&lt;='Prepay vs Invest'!$B$12),'Prepay vs Invest'!$B$10,0)+IF(A184='Prepay vs Invest'!$B$9,'Prepay vs Invest'!$B$8,0)-O184-P184),0)</f>
        <v>90559.31935518072</v>
      </c>
      <c r="T184">
        <f>R184*(1+MAX(0,'Prepay vs Invest'!$B$13-'Prepay vs Invest'!$B$14)/1200)+S184</f>
        <v>1018352.5028313333</v>
      </c>
      <c r="U184">
        <f t="shared" si="44"/>
        <v>971671.16751998989</v>
      </c>
      <c r="V184">
        <f>MAX(0,(T184-U184-'Prepay vs Invest'!$B$16)*'Prepay vs Invest'!$B$15/100)</f>
        <v>0</v>
      </c>
      <c r="W184">
        <f t="shared" si="36"/>
        <v>1018352.5028313333</v>
      </c>
      <c r="X184">
        <f t="shared" si="45"/>
        <v>2696956.2747740624</v>
      </c>
      <c r="Y184">
        <f>IF(X184&gt;0,X184*'Prepay vs Invest'!$B$6/1200,0)</f>
        <v>16855.976717337893</v>
      </c>
      <c r="Z184">
        <f>IF(X184&gt;0,MIN(-PMT('Prepay vs Invest'!$B$6/1200,'Prepay vs Invest'!$B$7*12-A184+1,X184),X184+Y184),0)</f>
        <v>55578.89868854393</v>
      </c>
      <c r="AA184">
        <f>MIN(MAX(0,X184+Y184-Z184),IF(AND(A184&gt;='Prepay vs Invest'!$B$11,A184&lt;='Prepay vs Invest'!$B$12),'Prepay vs Invest'!$B$10,0)+IF(A184='Prepay vs Invest'!$B$9,'Prepay vs Invest'!$B$8,0))</f>
        <v>10000</v>
      </c>
      <c r="AB184">
        <f t="shared" si="37"/>
        <v>2648233.3528028564</v>
      </c>
      <c r="AC184">
        <f t="shared" si="46"/>
        <v>4736061.1203631945</v>
      </c>
      <c r="AD184">
        <f>IF(A184&lt;='Prepay vs Invest'!$B$7*12,MAX(0,'Prepay vs Invest'!$E$5+IF(AND(A184&gt;='Prepay vs Invest'!$B$11,A184&lt;='Prepay vs Invest'!$B$12),'Prepay vs Invest'!$B$10,0)+IF(A184='Prepay vs Invest'!$B$9,'Prepay vs Invest'!$B$8,0)-Z184-AA184),0)</f>
        <v>24980.42066663679</v>
      </c>
      <c r="AE184">
        <f>AC184*(1+MAX(0,'Prepay vs Invest'!$B$13-'Prepay vs Invest'!$B$14)/1200)+AD184</f>
        <v>4806428.7934333114</v>
      </c>
      <c r="AF184">
        <f t="shared" si="47"/>
        <v>2329198.7815638273</v>
      </c>
      <c r="AG184">
        <f>MAX(0,(AE184-AF184-'Prepay vs Invest'!$B$16)*'Prepay vs Invest'!$B$15/100)</f>
        <v>294028.75148368551</v>
      </c>
      <c r="AH184">
        <f t="shared" si="38"/>
        <v>4512400.0419496261</v>
      </c>
    </row>
    <row r="185" spans="1:34" x14ac:dyDescent="0.35">
      <c r="A185">
        <f t="shared" si="39"/>
        <v>184</v>
      </c>
      <c r="B185">
        <f>IF(A185&lt;='Prepay vs Invest'!$B$7*12,F184,0)</f>
        <v>3852999.5131620402</v>
      </c>
      <c r="C185">
        <f>IF(B185&gt;0,B185*'Prepay vs Invest'!$B$6/1200,0)</f>
        <v>24081.246957262752</v>
      </c>
      <c r="D185">
        <f>IF(B185&gt;0,MIN(-PMT('Prepay vs Invest'!$B$6/1200,'Prepay vs Invest'!$B$7*12,'Prepay vs Invest'!$B$5),B185+C185),0)</f>
        <v>80559.31935518072</v>
      </c>
      <c r="E185">
        <f t="shared" si="32"/>
        <v>56478.072397917967</v>
      </c>
      <c r="F185">
        <f t="shared" si="33"/>
        <v>3796521.4407641226</v>
      </c>
      <c r="G185">
        <f t="shared" si="40"/>
        <v>7488121.7729063593</v>
      </c>
      <c r="H185">
        <f>IF(A185&lt;='Prepay vs Invest'!$B$7*12,IF(AND(A185&gt;='Prepay vs Invest'!$B$11,A185&lt;='Prepay vs Invest'!$B$12),'Prepay vs Invest'!$B$10,0)+IF(A185='Prepay vs Invest'!$B$9,'Prepay vs Invest'!$B$8,0),0)</f>
        <v>10000</v>
      </c>
      <c r="I185">
        <f>G185*(1+MAX(0,'Prepay vs Invest'!$B$13-'Prepay vs Invest'!$B$14)/1200)+H185</f>
        <v>7569882.9398967111</v>
      </c>
      <c r="J185">
        <f t="shared" si="41"/>
        <v>2340000</v>
      </c>
      <c r="K185">
        <f>MAX(0,(I185-J185-'Prepay vs Invest'!$B$16)*'Prepay vs Invest'!$B$15/100)</f>
        <v>638110.36748708889</v>
      </c>
      <c r="L185">
        <f t="shared" si="34"/>
        <v>6931772.5724096224</v>
      </c>
      <c r="M185">
        <f t="shared" si="42"/>
        <v>0</v>
      </c>
      <c r="N185">
        <f>IF(M185&gt;0,M185*'Prepay vs Invest'!$B$6/1200,0)</f>
        <v>0</v>
      </c>
      <c r="O185">
        <f>IF(M185&gt;0,MIN('Prepay vs Invest'!$E$5,M185+N185),0)</f>
        <v>0</v>
      </c>
      <c r="P185">
        <f>MIN(MAX(0,M185+N185-O185),IF(AND(A185&gt;='Prepay vs Invest'!$B$11,A185&lt;='Prepay vs Invest'!$B$12),'Prepay vs Invest'!$B$10,0)+IF(A185='Prepay vs Invest'!$B$9,'Prepay vs Invest'!$B$8,0))</f>
        <v>0</v>
      </c>
      <c r="Q185">
        <f t="shared" si="35"/>
        <v>0</v>
      </c>
      <c r="R185">
        <f t="shared" si="43"/>
        <v>1018352.5028313333</v>
      </c>
      <c r="S185">
        <f>IF(A185&lt;='Prepay vs Invest'!$B$7*12,MAX(0,'Prepay vs Invest'!$E$5+IF(AND(A185&gt;='Prepay vs Invest'!$B$11,A185&lt;='Prepay vs Invest'!$B$12),'Prepay vs Invest'!$B$10,0)+IF(A185='Prepay vs Invest'!$B$9,'Prepay vs Invest'!$B$8,0)-O185-P185),0)</f>
        <v>90559.31935518072</v>
      </c>
      <c r="T185">
        <f>R185*(1+MAX(0,'Prepay vs Invest'!$B$13-'Prepay vs Invest'!$B$14)/1200)+S185</f>
        <v>1118671.033671981</v>
      </c>
      <c r="U185">
        <f t="shared" si="44"/>
        <v>1062230.4868751706</v>
      </c>
      <c r="V185">
        <f>MAX(0,(T185-U185-'Prepay vs Invest'!$B$16)*'Prepay vs Invest'!$B$15/100)</f>
        <v>0</v>
      </c>
      <c r="W185">
        <f t="shared" si="36"/>
        <v>1118671.033671981</v>
      </c>
      <c r="X185">
        <f t="shared" si="45"/>
        <v>2648233.3528028564</v>
      </c>
      <c r="Y185">
        <f>IF(X185&gt;0,X185*'Prepay vs Invest'!$B$6/1200,0)</f>
        <v>16551.458455017852</v>
      </c>
      <c r="Z185">
        <f>IF(X185&gt;0,MIN(-PMT('Prepay vs Invest'!$B$6/1200,'Prepay vs Invest'!$B$7*12-A185+1,X185),X185+Y185),0)</f>
        <v>55369.816597876663</v>
      </c>
      <c r="AA185">
        <f>MIN(MAX(0,X185+Y185-Z185),IF(AND(A185&gt;='Prepay vs Invest'!$B$11,A185&lt;='Prepay vs Invest'!$B$12),'Prepay vs Invest'!$B$10,0)+IF(A185='Prepay vs Invest'!$B$9,'Prepay vs Invest'!$B$8,0))</f>
        <v>10000</v>
      </c>
      <c r="AB185">
        <f t="shared" si="37"/>
        <v>2599414.9946599975</v>
      </c>
      <c r="AC185">
        <f t="shared" si="46"/>
        <v>4806428.7934333114</v>
      </c>
      <c r="AD185">
        <f>IF(A185&lt;='Prepay vs Invest'!$B$7*12,MAX(0,'Prepay vs Invest'!$E$5+IF(AND(A185&gt;='Prepay vs Invest'!$B$11,A185&lt;='Prepay vs Invest'!$B$12),'Prepay vs Invest'!$B$10,0)+IF(A185='Prepay vs Invest'!$B$9,'Prepay vs Invest'!$B$8,0)-Z185-AA185),0)</f>
        <v>25189.502757304057</v>
      </c>
      <c r="AE185">
        <f>AC185*(1+MAX(0,'Prepay vs Invest'!$B$13-'Prepay vs Invest'!$B$14)/1200)+AD185</f>
        <v>4877679.905461018</v>
      </c>
      <c r="AF185">
        <f t="shared" si="47"/>
        <v>2354388.2843211312</v>
      </c>
      <c r="AG185">
        <f>MAX(0,(AE185-AF185-'Prepay vs Invest'!$B$16)*'Prepay vs Invest'!$B$15/100)</f>
        <v>299786.45264248585</v>
      </c>
      <c r="AH185">
        <f t="shared" si="38"/>
        <v>4577893.4528185325</v>
      </c>
    </row>
    <row r="186" spans="1:34" x14ac:dyDescent="0.35">
      <c r="A186">
        <f t="shared" si="39"/>
        <v>185</v>
      </c>
      <c r="B186">
        <f>IF(A186&lt;='Prepay vs Invest'!$B$7*12,F185,0)</f>
        <v>3796521.4407641226</v>
      </c>
      <c r="C186">
        <f>IF(B186&gt;0,B186*'Prepay vs Invest'!$B$6/1200,0)</f>
        <v>23728.259004775766</v>
      </c>
      <c r="D186">
        <f>IF(B186&gt;0,MIN(-PMT('Prepay vs Invest'!$B$6/1200,'Prepay vs Invest'!$B$7*12,'Prepay vs Invest'!$B$5),B186+C186),0)</f>
        <v>80559.31935518072</v>
      </c>
      <c r="E186">
        <f t="shared" si="32"/>
        <v>56831.06035040495</v>
      </c>
      <c r="F186">
        <f t="shared" si="33"/>
        <v>3739690.3804137176</v>
      </c>
      <c r="G186">
        <f t="shared" si="40"/>
        <v>7569882.9398967111</v>
      </c>
      <c r="H186">
        <f>IF(A186&lt;='Prepay vs Invest'!$B$7*12,IF(AND(A186&gt;='Prepay vs Invest'!$B$11,A186&lt;='Prepay vs Invest'!$B$12),'Prepay vs Invest'!$B$10,0)+IF(A186='Prepay vs Invest'!$B$9,'Prepay vs Invest'!$B$8,0),0)</f>
        <v>10000</v>
      </c>
      <c r="I186">
        <f>G186*(1+MAX(0,'Prepay vs Invest'!$B$13-'Prepay vs Invest'!$B$14)/1200)+H186</f>
        <v>7652427.6514040539</v>
      </c>
      <c r="J186">
        <f t="shared" si="41"/>
        <v>2350000</v>
      </c>
      <c r="K186">
        <f>MAX(0,(I186-J186-'Prepay vs Invest'!$B$16)*'Prepay vs Invest'!$B$15/100)</f>
        <v>647178.45642550674</v>
      </c>
      <c r="L186">
        <f t="shared" si="34"/>
        <v>7005249.1949785473</v>
      </c>
      <c r="M186">
        <f t="shared" si="42"/>
        <v>0</v>
      </c>
      <c r="N186">
        <f>IF(M186&gt;0,M186*'Prepay vs Invest'!$B$6/1200,0)</f>
        <v>0</v>
      </c>
      <c r="O186">
        <f>IF(M186&gt;0,MIN('Prepay vs Invest'!$E$5,M186+N186),0)</f>
        <v>0</v>
      </c>
      <c r="P186">
        <f>MIN(MAX(0,M186+N186-O186),IF(AND(A186&gt;='Prepay vs Invest'!$B$11,A186&lt;='Prepay vs Invest'!$B$12),'Prepay vs Invest'!$B$10,0)+IF(A186='Prepay vs Invest'!$B$9,'Prepay vs Invest'!$B$8,0))</f>
        <v>0</v>
      </c>
      <c r="Q186">
        <f t="shared" si="35"/>
        <v>0</v>
      </c>
      <c r="R186">
        <f t="shared" si="43"/>
        <v>1118671.033671981</v>
      </c>
      <c r="S186">
        <f>IF(A186&lt;='Prepay vs Invest'!$B$7*12,MAX(0,'Prepay vs Invest'!$E$5+IF(AND(A186&gt;='Prepay vs Invest'!$B$11,A186&lt;='Prepay vs Invest'!$B$12),'Prepay vs Invest'!$B$10,0)+IF(A186='Prepay vs Invest'!$B$9,'Prepay vs Invest'!$B$8,0)-O186-P186),0)</f>
        <v>90559.31935518072</v>
      </c>
      <c r="T186">
        <f>R186*(1+MAX(0,'Prepay vs Invest'!$B$13-'Prepay vs Invest'!$B$14)/1200)+S186</f>
        <v>1219950.9504331849</v>
      </c>
      <c r="U186">
        <f t="shared" si="44"/>
        <v>1152789.8062303513</v>
      </c>
      <c r="V186">
        <f>MAX(0,(T186-U186-'Prepay vs Invest'!$B$16)*'Prepay vs Invest'!$B$15/100)</f>
        <v>0</v>
      </c>
      <c r="W186">
        <f t="shared" si="36"/>
        <v>1219950.9504331849</v>
      </c>
      <c r="X186">
        <f t="shared" si="45"/>
        <v>2599414.9946599975</v>
      </c>
      <c r="Y186">
        <f>IF(X186&gt;0,X186*'Prepay vs Invest'!$B$6/1200,0)</f>
        <v>16246.343716624984</v>
      </c>
      <c r="Z186">
        <f>IF(X186&gt;0,MIN(-PMT('Prepay vs Invest'!$B$6/1200,'Prepay vs Invest'!$B$7*12-A186+1,X186),X186+Y186),0)</f>
        <v>55157.624145885755</v>
      </c>
      <c r="AA186">
        <f>MIN(MAX(0,X186+Y186-Z186),IF(AND(A186&gt;='Prepay vs Invest'!$B$11,A186&lt;='Prepay vs Invest'!$B$12),'Prepay vs Invest'!$B$10,0)+IF(A186='Prepay vs Invest'!$B$9,'Prepay vs Invest'!$B$8,0))</f>
        <v>10000</v>
      </c>
      <c r="AB186">
        <f t="shared" si="37"/>
        <v>2550503.7142307367</v>
      </c>
      <c r="AC186">
        <f t="shared" si="46"/>
        <v>4877679.905461018</v>
      </c>
      <c r="AD186">
        <f>IF(A186&lt;='Prepay vs Invest'!$B$7*12,MAX(0,'Prepay vs Invest'!$E$5+IF(AND(A186&gt;='Prepay vs Invest'!$B$11,A186&lt;='Prepay vs Invest'!$B$12),'Prepay vs Invest'!$B$10,0)+IF(A186='Prepay vs Invest'!$B$9,'Prepay vs Invest'!$B$8,0)-Z186-AA186),0)</f>
        <v>25401.695209294965</v>
      </c>
      <c r="AE186">
        <f>AC186*(1+MAX(0,'Prepay vs Invest'!$B$13-'Prepay vs Invest'!$B$14)/1200)+AD186</f>
        <v>4949826.0330976471</v>
      </c>
      <c r="AF186">
        <f t="shared" si="47"/>
        <v>2379789.9795304262</v>
      </c>
      <c r="AG186">
        <f>MAX(0,(AE186-AF186-'Prepay vs Invest'!$B$16)*'Prepay vs Invest'!$B$15/100)</f>
        <v>305629.50669590262</v>
      </c>
      <c r="AH186">
        <f t="shared" si="38"/>
        <v>4644196.5264017442</v>
      </c>
    </row>
    <row r="187" spans="1:34" x14ac:dyDescent="0.35">
      <c r="A187">
        <f t="shared" si="39"/>
        <v>186</v>
      </c>
      <c r="B187">
        <f>IF(A187&lt;='Prepay vs Invest'!$B$7*12,F186,0)</f>
        <v>3739690.3804137176</v>
      </c>
      <c r="C187">
        <f>IF(B187&gt;0,B187*'Prepay vs Invest'!$B$6/1200,0)</f>
        <v>23373.064877585733</v>
      </c>
      <c r="D187">
        <f>IF(B187&gt;0,MIN(-PMT('Prepay vs Invest'!$B$6/1200,'Prepay vs Invest'!$B$7*12,'Prepay vs Invest'!$B$5),B187+C187),0)</f>
        <v>80559.31935518072</v>
      </c>
      <c r="E187">
        <f t="shared" si="32"/>
        <v>57186.254477594986</v>
      </c>
      <c r="F187">
        <f t="shared" si="33"/>
        <v>3682504.1259361226</v>
      </c>
      <c r="G187">
        <f t="shared" si="40"/>
        <v>7652427.6514040539</v>
      </c>
      <c r="H187">
        <f>IF(A187&lt;='Prepay vs Invest'!$B$7*12,IF(AND(A187&gt;='Prepay vs Invest'!$B$11,A187&lt;='Prepay vs Invest'!$B$12),'Prepay vs Invest'!$B$10,0)+IF(A187='Prepay vs Invest'!$B$9,'Prepay vs Invest'!$B$8,0),0)</f>
        <v>10000</v>
      </c>
      <c r="I187">
        <f>G187*(1+MAX(0,'Prepay vs Invest'!$B$13-'Prepay vs Invest'!$B$14)/1200)+H187</f>
        <v>7735763.4163966756</v>
      </c>
      <c r="J187">
        <f t="shared" si="41"/>
        <v>2360000</v>
      </c>
      <c r="K187">
        <f>MAX(0,(I187-J187-'Prepay vs Invest'!$B$16)*'Prepay vs Invest'!$B$15/100)</f>
        <v>656345.42704958445</v>
      </c>
      <c r="L187">
        <f t="shared" si="34"/>
        <v>7079417.9893470909</v>
      </c>
      <c r="M187">
        <f t="shared" si="42"/>
        <v>0</v>
      </c>
      <c r="N187">
        <f>IF(M187&gt;0,M187*'Prepay vs Invest'!$B$6/1200,0)</f>
        <v>0</v>
      </c>
      <c r="O187">
        <f>IF(M187&gt;0,MIN('Prepay vs Invest'!$E$5,M187+N187),0)</f>
        <v>0</v>
      </c>
      <c r="P187">
        <f>MIN(MAX(0,M187+N187-O187),IF(AND(A187&gt;='Prepay vs Invest'!$B$11,A187&lt;='Prepay vs Invest'!$B$12),'Prepay vs Invest'!$B$10,0)+IF(A187='Prepay vs Invest'!$B$9,'Prepay vs Invest'!$B$8,0))</f>
        <v>0</v>
      </c>
      <c r="Q187">
        <f t="shared" si="35"/>
        <v>0</v>
      </c>
      <c r="R187">
        <f t="shared" si="43"/>
        <v>1219950.9504331849</v>
      </c>
      <c r="S187">
        <f>IF(A187&lt;='Prepay vs Invest'!$B$7*12,MAX(0,'Prepay vs Invest'!$E$5+IF(AND(A187&gt;='Prepay vs Invest'!$B$11,A187&lt;='Prepay vs Invest'!$B$12),'Prepay vs Invest'!$B$10,0)+IF(A187='Prepay vs Invest'!$B$9,'Prepay vs Invest'!$B$8,0)-O187-P187),0)</f>
        <v>90559.31935518072</v>
      </c>
      <c r="T187">
        <f>R187*(1+MAX(0,'Prepay vs Invest'!$B$13-'Prepay vs Invest'!$B$14)/1200)+S187</f>
        <v>1322201.4663966836</v>
      </c>
      <c r="U187">
        <f t="shared" si="44"/>
        <v>1243349.125585532</v>
      </c>
      <c r="V187">
        <f>MAX(0,(T187-U187-'Prepay vs Invest'!$B$16)*'Prepay vs Invest'!$B$15/100)</f>
        <v>0</v>
      </c>
      <c r="W187">
        <f t="shared" si="36"/>
        <v>1322201.4663966836</v>
      </c>
      <c r="X187">
        <f t="shared" si="45"/>
        <v>2550503.7142307367</v>
      </c>
      <c r="Y187">
        <f>IF(X187&gt;0,X187*'Prepay vs Invest'!$B$6/1200,0)</f>
        <v>15940.648213942104</v>
      </c>
      <c r="Z187">
        <f>IF(X187&gt;0,MIN(-PMT('Prepay vs Invest'!$B$6/1200,'Prepay vs Invest'!$B$7*12-A187+1,X187),X187+Y187),0)</f>
        <v>54942.207062757429</v>
      </c>
      <c r="AA187">
        <f>MIN(MAX(0,X187+Y187-Z187),IF(AND(A187&gt;='Prepay vs Invest'!$B$11,A187&lt;='Prepay vs Invest'!$B$12),'Prepay vs Invest'!$B$10,0)+IF(A187='Prepay vs Invest'!$B$9,'Prepay vs Invest'!$B$8,0))</f>
        <v>10000</v>
      </c>
      <c r="AB187">
        <f t="shared" si="37"/>
        <v>2501502.1553819212</v>
      </c>
      <c r="AC187">
        <f t="shared" si="46"/>
        <v>4949826.0330976471</v>
      </c>
      <c r="AD187">
        <f>IF(A187&lt;='Prepay vs Invest'!$B$7*12,MAX(0,'Prepay vs Invest'!$E$5+IF(AND(A187&gt;='Prepay vs Invest'!$B$11,A187&lt;='Prepay vs Invest'!$B$12),'Prepay vs Invest'!$B$10,0)+IF(A187='Prepay vs Invest'!$B$9,'Prepay vs Invest'!$B$8,0)-Z187-AA187),0)</f>
        <v>25617.112292423291</v>
      </c>
      <c r="AE187">
        <f>AC187*(1+MAX(0,'Prepay vs Invest'!$B$13-'Prepay vs Invest'!$B$14)/1200)+AD187</f>
        <v>5022878.9782072557</v>
      </c>
      <c r="AF187">
        <f t="shared" si="47"/>
        <v>2405407.0918228496</v>
      </c>
      <c r="AG187">
        <f>MAX(0,(AE187-AF187-'Prepay vs Invest'!$B$16)*'Prepay vs Invest'!$B$15/100)</f>
        <v>311558.98579805077</v>
      </c>
      <c r="AH187">
        <f t="shared" si="38"/>
        <v>4711319.9924092051</v>
      </c>
    </row>
    <row r="188" spans="1:34" x14ac:dyDescent="0.35">
      <c r="A188">
        <f t="shared" si="39"/>
        <v>187</v>
      </c>
      <c r="B188">
        <f>IF(A188&lt;='Prepay vs Invest'!$B$7*12,F187,0)</f>
        <v>3682504.1259361226</v>
      </c>
      <c r="C188">
        <f>IF(B188&gt;0,B188*'Prepay vs Invest'!$B$6/1200,0)</f>
        <v>23015.650787100767</v>
      </c>
      <c r="D188">
        <f>IF(B188&gt;0,MIN(-PMT('Prepay vs Invest'!$B$6/1200,'Prepay vs Invest'!$B$7*12,'Prepay vs Invest'!$B$5),B188+C188),0)</f>
        <v>80559.31935518072</v>
      </c>
      <c r="E188">
        <f t="shared" si="32"/>
        <v>57543.668568079956</v>
      </c>
      <c r="F188">
        <f t="shared" si="33"/>
        <v>3624960.4573680423</v>
      </c>
      <c r="G188">
        <f t="shared" si="40"/>
        <v>7735763.4163966756</v>
      </c>
      <c r="H188">
        <f>IF(A188&lt;='Prepay vs Invest'!$B$7*12,IF(AND(A188&gt;='Prepay vs Invest'!$B$11,A188&lt;='Prepay vs Invest'!$B$12),'Prepay vs Invest'!$B$10,0)+IF(A188='Prepay vs Invest'!$B$9,'Prepay vs Invest'!$B$8,0),0)</f>
        <v>10000</v>
      </c>
      <c r="I188">
        <f>G188*(1+MAX(0,'Prepay vs Invest'!$B$13-'Prepay vs Invest'!$B$14)/1200)+H188</f>
        <v>7819897.81580381</v>
      </c>
      <c r="J188">
        <f t="shared" si="41"/>
        <v>2370000</v>
      </c>
      <c r="K188">
        <f>MAX(0,(I188-J188-'Prepay vs Invest'!$B$16)*'Prepay vs Invest'!$B$15/100)</f>
        <v>665612.22697547625</v>
      </c>
      <c r="L188">
        <f t="shared" si="34"/>
        <v>7154285.5888283337</v>
      </c>
      <c r="M188">
        <f t="shared" si="42"/>
        <v>0</v>
      </c>
      <c r="N188">
        <f>IF(M188&gt;0,M188*'Prepay vs Invest'!$B$6/1200,0)</f>
        <v>0</v>
      </c>
      <c r="O188">
        <f>IF(M188&gt;0,MIN('Prepay vs Invest'!$E$5,M188+N188),0)</f>
        <v>0</v>
      </c>
      <c r="P188">
        <f>MIN(MAX(0,M188+N188-O188),IF(AND(A188&gt;='Prepay vs Invest'!$B$11,A188&lt;='Prepay vs Invest'!$B$12),'Prepay vs Invest'!$B$10,0)+IF(A188='Prepay vs Invest'!$B$9,'Prepay vs Invest'!$B$8,0))</f>
        <v>0</v>
      </c>
      <c r="Q188">
        <f t="shared" si="35"/>
        <v>0</v>
      </c>
      <c r="R188">
        <f t="shared" si="43"/>
        <v>1322201.4663966836</v>
      </c>
      <c r="S188">
        <f>IF(A188&lt;='Prepay vs Invest'!$B$7*12,MAX(0,'Prepay vs Invest'!$E$5+IF(AND(A188&gt;='Prepay vs Invest'!$B$11,A188&lt;='Prepay vs Invest'!$B$12),'Prepay vs Invest'!$B$10,0)+IF(A188='Prepay vs Invest'!$B$9,'Prepay vs Invest'!$B$8,0)-O188-P188),0)</f>
        <v>90559.31935518072</v>
      </c>
      <c r="T188">
        <f>R188*(1+MAX(0,'Prepay vs Invest'!$B$13-'Prepay vs Invest'!$B$14)/1200)+S188</f>
        <v>1425431.8831381658</v>
      </c>
      <c r="U188">
        <f t="shared" si="44"/>
        <v>1333908.4449407128</v>
      </c>
      <c r="V188">
        <f>MAX(0,(T188-U188-'Prepay vs Invest'!$B$16)*'Prepay vs Invest'!$B$15/100)</f>
        <v>0</v>
      </c>
      <c r="W188">
        <f t="shared" si="36"/>
        <v>1425431.8831381658</v>
      </c>
      <c r="X188">
        <f t="shared" si="45"/>
        <v>2501502.1553819212</v>
      </c>
      <c r="Y188">
        <f>IF(X188&gt;0,X188*'Prepay vs Invest'!$B$6/1200,0)</f>
        <v>15634.388471137008</v>
      </c>
      <c r="Z188">
        <f>IF(X188&gt;0,MIN(-PMT('Prepay vs Invest'!$B$6/1200,'Prepay vs Invest'!$B$7*12-A188+1,X188),X188+Y188),0)</f>
        <v>54723.444729844334</v>
      </c>
      <c r="AA188">
        <f>MIN(MAX(0,X188+Y188-Z188),IF(AND(A188&gt;='Prepay vs Invest'!$B$11,A188&lt;='Prepay vs Invest'!$B$12),'Prepay vs Invest'!$B$10,0)+IF(A188='Prepay vs Invest'!$B$9,'Prepay vs Invest'!$B$8,0))</f>
        <v>10000</v>
      </c>
      <c r="AB188">
        <f t="shared" si="37"/>
        <v>2452413.0991232139</v>
      </c>
      <c r="AC188">
        <f t="shared" si="46"/>
        <v>5022878.9782072557</v>
      </c>
      <c r="AD188">
        <f>IF(A188&lt;='Prepay vs Invest'!$B$7*12,MAX(0,'Prepay vs Invest'!$E$5+IF(AND(A188&gt;='Prepay vs Invest'!$B$11,A188&lt;='Prepay vs Invest'!$B$12),'Prepay vs Invest'!$B$10,0)+IF(A188='Prepay vs Invest'!$B$9,'Prepay vs Invest'!$B$8,0)-Z188-AA188),0)</f>
        <v>25835.874625336386</v>
      </c>
      <c r="AE188">
        <f>AC188*(1+MAX(0,'Prepay vs Invest'!$B$13-'Prepay vs Invest'!$B$14)/1200)+AD188</f>
        <v>5096850.7763737449</v>
      </c>
      <c r="AF188">
        <f t="shared" si="47"/>
        <v>2431242.966448186</v>
      </c>
      <c r="AG188">
        <f>MAX(0,(AE188-AF188-'Prepay vs Invest'!$B$16)*'Prepay vs Invest'!$B$15/100)</f>
        <v>317575.97624069487</v>
      </c>
      <c r="AH188">
        <f t="shared" si="38"/>
        <v>4779274.8001330504</v>
      </c>
    </row>
    <row r="189" spans="1:34" x14ac:dyDescent="0.35">
      <c r="A189">
        <f t="shared" si="39"/>
        <v>188</v>
      </c>
      <c r="B189">
        <f>IF(A189&lt;='Prepay vs Invest'!$B$7*12,F188,0)</f>
        <v>3624960.4573680423</v>
      </c>
      <c r="C189">
        <f>IF(B189&gt;0,B189*'Prepay vs Invest'!$B$6/1200,0)</f>
        <v>22656.002858550262</v>
      </c>
      <c r="D189">
        <f>IF(B189&gt;0,MIN(-PMT('Prepay vs Invest'!$B$6/1200,'Prepay vs Invest'!$B$7*12,'Prepay vs Invest'!$B$5),B189+C189),0)</f>
        <v>80559.31935518072</v>
      </c>
      <c r="E189">
        <f t="shared" si="32"/>
        <v>57903.316496630461</v>
      </c>
      <c r="F189">
        <f t="shared" si="33"/>
        <v>3567057.1408714121</v>
      </c>
      <c r="G189">
        <f t="shared" si="40"/>
        <v>7819897.81580381</v>
      </c>
      <c r="H189">
        <f>IF(A189&lt;='Prepay vs Invest'!$B$7*12,IF(AND(A189&gt;='Prepay vs Invest'!$B$11,A189&lt;='Prepay vs Invest'!$B$12),'Prepay vs Invest'!$B$10,0)+IF(A189='Prepay vs Invest'!$B$9,'Prepay vs Invest'!$B$8,0),0)</f>
        <v>10000</v>
      </c>
      <c r="I189">
        <f>G189*(1+MAX(0,'Prepay vs Invest'!$B$13-'Prepay vs Invest'!$B$14)/1200)+H189</f>
        <v>7904838.5032052631</v>
      </c>
      <c r="J189">
        <f t="shared" si="41"/>
        <v>2380000</v>
      </c>
      <c r="K189">
        <f>MAX(0,(I189-J189-'Prepay vs Invest'!$B$16)*'Prepay vs Invest'!$B$15/100)</f>
        <v>674979.812900658</v>
      </c>
      <c r="L189">
        <f t="shared" si="34"/>
        <v>7229858.6903046053</v>
      </c>
      <c r="M189">
        <f t="shared" si="42"/>
        <v>0</v>
      </c>
      <c r="N189">
        <f>IF(M189&gt;0,M189*'Prepay vs Invest'!$B$6/1200,0)</f>
        <v>0</v>
      </c>
      <c r="O189">
        <f>IF(M189&gt;0,MIN('Prepay vs Invest'!$E$5,M189+N189),0)</f>
        <v>0</v>
      </c>
      <c r="P189">
        <f>MIN(MAX(0,M189+N189-O189),IF(AND(A189&gt;='Prepay vs Invest'!$B$11,A189&lt;='Prepay vs Invest'!$B$12),'Prepay vs Invest'!$B$10,0)+IF(A189='Prepay vs Invest'!$B$9,'Prepay vs Invest'!$B$8,0))</f>
        <v>0</v>
      </c>
      <c r="Q189">
        <f t="shared" si="35"/>
        <v>0</v>
      </c>
      <c r="R189">
        <f t="shared" si="43"/>
        <v>1425431.8831381658</v>
      </c>
      <c r="S189">
        <f>IF(A189&lt;='Prepay vs Invest'!$B$7*12,MAX(0,'Prepay vs Invest'!$E$5+IF(AND(A189&gt;='Prepay vs Invest'!$B$11,A189&lt;='Prepay vs Invest'!$B$12),'Prepay vs Invest'!$B$10,0)+IF(A189='Prepay vs Invest'!$B$9,'Prepay vs Invest'!$B$8,0)-O189-P189),0)</f>
        <v>90559.31935518072</v>
      </c>
      <c r="T189">
        <f>R189*(1+MAX(0,'Prepay vs Invest'!$B$13-'Prepay vs Invest'!$B$14)/1200)+S189</f>
        <v>1529651.5913734206</v>
      </c>
      <c r="U189">
        <f t="shared" si="44"/>
        <v>1424467.7642958935</v>
      </c>
      <c r="V189">
        <f>MAX(0,(T189-U189-'Prepay vs Invest'!$B$16)*'Prepay vs Invest'!$B$15/100)</f>
        <v>0</v>
      </c>
      <c r="W189">
        <f t="shared" si="36"/>
        <v>1529651.5913734206</v>
      </c>
      <c r="X189">
        <f t="shared" si="45"/>
        <v>2452413.0991232139</v>
      </c>
      <c r="Y189">
        <f>IF(X189&gt;0,X189*'Prepay vs Invest'!$B$6/1200,0)</f>
        <v>15327.581869520085</v>
      </c>
      <c r="Z189">
        <f>IF(X189&gt;0,MIN(-PMT('Prepay vs Invest'!$B$6/1200,'Prepay vs Invest'!$B$7*12-A189+1,X189),X189+Y189),0)</f>
        <v>54501.209700517502</v>
      </c>
      <c r="AA189">
        <f>MIN(MAX(0,X189+Y189-Z189),IF(AND(A189&gt;='Prepay vs Invest'!$B$11,A189&lt;='Prepay vs Invest'!$B$12),'Prepay vs Invest'!$B$10,0)+IF(A189='Prepay vs Invest'!$B$9,'Prepay vs Invest'!$B$8,0))</f>
        <v>10000</v>
      </c>
      <c r="AB189">
        <f t="shared" si="37"/>
        <v>2403239.4712922168</v>
      </c>
      <c r="AC189">
        <f t="shared" si="46"/>
        <v>5096850.7763737449</v>
      </c>
      <c r="AD189">
        <f>IF(A189&lt;='Prepay vs Invest'!$B$7*12,MAX(0,'Prepay vs Invest'!$E$5+IF(AND(A189&gt;='Prepay vs Invest'!$B$11,A189&lt;='Prepay vs Invest'!$B$12),'Prepay vs Invest'!$B$10,0)+IF(A189='Prepay vs Invest'!$B$9,'Prepay vs Invest'!$B$8,0)-Z189-AA189),0)</f>
        <v>26058.109654663218</v>
      </c>
      <c r="AE189">
        <f>AC189*(1+MAX(0,'Prepay vs Invest'!$B$13-'Prepay vs Invest'!$B$14)/1200)+AD189</f>
        <v>5171753.7059686566</v>
      </c>
      <c r="AF189">
        <f t="shared" si="47"/>
        <v>2457301.0761028491</v>
      </c>
      <c r="AG189">
        <f>MAX(0,(AE189-AF189-'Prepay vs Invest'!$B$16)*'Prepay vs Invest'!$B$15/100)</f>
        <v>323681.57873322594</v>
      </c>
      <c r="AH189">
        <f t="shared" si="38"/>
        <v>4848072.1272354303</v>
      </c>
    </row>
    <row r="190" spans="1:34" x14ac:dyDescent="0.35">
      <c r="A190">
        <f t="shared" si="39"/>
        <v>189</v>
      </c>
      <c r="B190">
        <f>IF(A190&lt;='Prepay vs Invest'!$B$7*12,F189,0)</f>
        <v>3567057.1408714121</v>
      </c>
      <c r="C190">
        <f>IF(B190&gt;0,B190*'Prepay vs Invest'!$B$6/1200,0)</f>
        <v>22294.107130446326</v>
      </c>
      <c r="D190">
        <f>IF(B190&gt;0,MIN(-PMT('Prepay vs Invest'!$B$6/1200,'Prepay vs Invest'!$B$7*12,'Prepay vs Invest'!$B$5),B190+C190),0)</f>
        <v>80559.31935518072</v>
      </c>
      <c r="E190">
        <f t="shared" si="32"/>
        <v>58265.212224734394</v>
      </c>
      <c r="F190">
        <f t="shared" si="33"/>
        <v>3508791.9286466781</v>
      </c>
      <c r="G190">
        <f t="shared" si="40"/>
        <v>7904838.5032052631</v>
      </c>
      <c r="H190">
        <f>IF(A190&lt;='Prepay vs Invest'!$B$7*12,IF(AND(A190&gt;='Prepay vs Invest'!$B$11,A190&lt;='Prepay vs Invest'!$B$12),'Prepay vs Invest'!$B$10,0)+IF(A190='Prepay vs Invest'!$B$9,'Prepay vs Invest'!$B$8,0),0)</f>
        <v>10000</v>
      </c>
      <c r="I190">
        <f>G190*(1+MAX(0,'Prepay vs Invest'!$B$13-'Prepay vs Invest'!$B$14)/1200)+H190</f>
        <v>7990593.2055276465</v>
      </c>
      <c r="J190">
        <f t="shared" si="41"/>
        <v>2390000</v>
      </c>
      <c r="K190">
        <f>MAX(0,(I190-J190-'Prepay vs Invest'!$B$16)*'Prepay vs Invest'!$B$15/100)</f>
        <v>684449.15069095581</v>
      </c>
      <c r="L190">
        <f t="shared" si="34"/>
        <v>7306144.0548366904</v>
      </c>
      <c r="M190">
        <f t="shared" si="42"/>
        <v>0</v>
      </c>
      <c r="N190">
        <f>IF(M190&gt;0,M190*'Prepay vs Invest'!$B$6/1200,0)</f>
        <v>0</v>
      </c>
      <c r="O190">
        <f>IF(M190&gt;0,MIN('Prepay vs Invest'!$E$5,M190+N190),0)</f>
        <v>0</v>
      </c>
      <c r="P190">
        <f>MIN(MAX(0,M190+N190-O190),IF(AND(A190&gt;='Prepay vs Invest'!$B$11,A190&lt;='Prepay vs Invest'!$B$12),'Prepay vs Invest'!$B$10,0)+IF(A190='Prepay vs Invest'!$B$9,'Prepay vs Invest'!$B$8,0))</f>
        <v>0</v>
      </c>
      <c r="Q190">
        <f t="shared" si="35"/>
        <v>0</v>
      </c>
      <c r="R190">
        <f t="shared" si="43"/>
        <v>1529651.5913734206</v>
      </c>
      <c r="S190">
        <f>IF(A190&lt;='Prepay vs Invest'!$B$7*12,MAX(0,'Prepay vs Invest'!$E$5+IF(AND(A190&gt;='Prepay vs Invest'!$B$11,A190&lt;='Prepay vs Invest'!$B$12),'Prepay vs Invest'!$B$10,0)+IF(A190='Prepay vs Invest'!$B$9,'Prepay vs Invest'!$B$8,0)-O190-P190),0)</f>
        <v>90559.31935518072</v>
      </c>
      <c r="T190">
        <f>R190*(1+MAX(0,'Prepay vs Invest'!$B$13-'Prepay vs Invest'!$B$14)/1200)+S190</f>
        <v>1634870.0718125964</v>
      </c>
      <c r="U190">
        <f t="shared" si="44"/>
        <v>1515027.0836510742</v>
      </c>
      <c r="V190">
        <f>MAX(0,(T190-U190-'Prepay vs Invest'!$B$16)*'Prepay vs Invest'!$B$15/100)</f>
        <v>0</v>
      </c>
      <c r="W190">
        <f t="shared" si="36"/>
        <v>1634870.0718125964</v>
      </c>
      <c r="X190">
        <f t="shared" si="45"/>
        <v>2403239.4712922168</v>
      </c>
      <c r="Y190">
        <f>IF(X190&gt;0,X190*'Prepay vs Invest'!$B$6/1200,0)</f>
        <v>15020.246695576354</v>
      </c>
      <c r="Z190">
        <f>IF(X190&gt;0,MIN(-PMT('Prepay vs Invest'!$B$6/1200,'Prepay vs Invest'!$B$7*12-A190+1,X190),X190+Y190),0)</f>
        <v>54275.367174946114</v>
      </c>
      <c r="AA190">
        <f>MIN(MAX(0,X190+Y190-Z190),IF(AND(A190&gt;='Prepay vs Invest'!$B$11,A190&lt;='Prepay vs Invest'!$B$12),'Prepay vs Invest'!$B$10,0)+IF(A190='Prepay vs Invest'!$B$9,'Prepay vs Invest'!$B$8,0))</f>
        <v>10000</v>
      </c>
      <c r="AB190">
        <f t="shared" si="37"/>
        <v>2353984.3508128468</v>
      </c>
      <c r="AC190">
        <f t="shared" si="46"/>
        <v>5171753.7059686566</v>
      </c>
      <c r="AD190">
        <f>IF(A190&lt;='Prepay vs Invest'!$B$7*12,MAX(0,'Prepay vs Invest'!$E$5+IF(AND(A190&gt;='Prepay vs Invest'!$B$11,A190&lt;='Prepay vs Invest'!$B$12),'Prepay vs Invest'!$B$10,0)+IF(A190='Prepay vs Invest'!$B$9,'Prepay vs Invest'!$B$8,0)-Z190-AA190),0)</f>
        <v>26283.952180234606</v>
      </c>
      <c r="AE190">
        <f>AC190*(1+MAX(0,'Prepay vs Invest'!$B$13-'Prepay vs Invest'!$B$14)/1200)+AD190</f>
        <v>5247600.2978310902</v>
      </c>
      <c r="AF190">
        <f t="shared" si="47"/>
        <v>2483585.0282830838</v>
      </c>
      <c r="AG190">
        <f>MAX(0,(AE190-AF190-'Prepay vs Invest'!$B$16)*'Prepay vs Invest'!$B$15/100)</f>
        <v>329876.90869350079</v>
      </c>
      <c r="AH190">
        <f t="shared" si="38"/>
        <v>4917723.3891375894</v>
      </c>
    </row>
    <row r="191" spans="1:34" x14ac:dyDescent="0.35">
      <c r="A191">
        <f t="shared" si="39"/>
        <v>190</v>
      </c>
      <c r="B191">
        <f>IF(A191&lt;='Prepay vs Invest'!$B$7*12,F190,0)</f>
        <v>3508791.9286466781</v>
      </c>
      <c r="C191">
        <f>IF(B191&gt;0,B191*'Prepay vs Invest'!$B$6/1200,0)</f>
        <v>21929.949554041737</v>
      </c>
      <c r="D191">
        <f>IF(B191&gt;0,MIN(-PMT('Prepay vs Invest'!$B$6/1200,'Prepay vs Invest'!$B$7*12,'Prepay vs Invest'!$B$5),B191+C191),0)</f>
        <v>80559.31935518072</v>
      </c>
      <c r="E191">
        <f t="shared" si="32"/>
        <v>58629.369801138979</v>
      </c>
      <c r="F191">
        <f t="shared" si="33"/>
        <v>3450162.5588455396</v>
      </c>
      <c r="G191">
        <f t="shared" si="40"/>
        <v>7990593.2055276465</v>
      </c>
      <c r="H191">
        <f>IF(A191&lt;='Prepay vs Invest'!$B$7*12,IF(AND(A191&gt;='Prepay vs Invest'!$B$11,A191&lt;='Prepay vs Invest'!$B$12),'Prepay vs Invest'!$B$10,0)+IF(A191='Prepay vs Invest'!$B$9,'Prepay vs Invest'!$B$8,0),0)</f>
        <v>10000</v>
      </c>
      <c r="I191">
        <f>G191*(1+MAX(0,'Prepay vs Invest'!$B$13-'Prepay vs Invest'!$B$14)/1200)+H191</f>
        <v>8077169.723747286</v>
      </c>
      <c r="J191">
        <f t="shared" si="41"/>
        <v>2400000</v>
      </c>
      <c r="K191">
        <f>MAX(0,(I191-J191-'Prepay vs Invest'!$B$16)*'Prepay vs Invest'!$B$15/100)</f>
        <v>694021.21546841075</v>
      </c>
      <c r="L191">
        <f t="shared" si="34"/>
        <v>7383148.5082788756</v>
      </c>
      <c r="M191">
        <f t="shared" si="42"/>
        <v>0</v>
      </c>
      <c r="N191">
        <f>IF(M191&gt;0,M191*'Prepay vs Invest'!$B$6/1200,0)</f>
        <v>0</v>
      </c>
      <c r="O191">
        <f>IF(M191&gt;0,MIN('Prepay vs Invest'!$E$5,M191+N191),0)</f>
        <v>0</v>
      </c>
      <c r="P191">
        <f>MIN(MAX(0,M191+N191-O191),IF(AND(A191&gt;='Prepay vs Invest'!$B$11,A191&lt;='Prepay vs Invest'!$B$12),'Prepay vs Invest'!$B$10,0)+IF(A191='Prepay vs Invest'!$B$9,'Prepay vs Invest'!$B$8,0))</f>
        <v>0</v>
      </c>
      <c r="Q191">
        <f t="shared" si="35"/>
        <v>0</v>
      </c>
      <c r="R191">
        <f t="shared" si="43"/>
        <v>1634870.0718125964</v>
      </c>
      <c r="S191">
        <f>IF(A191&lt;='Prepay vs Invest'!$B$7*12,MAX(0,'Prepay vs Invest'!$E$5+IF(AND(A191&gt;='Prepay vs Invest'!$B$11,A191&lt;='Prepay vs Invest'!$B$12),'Prepay vs Invest'!$B$10,0)+IF(A191='Prepay vs Invest'!$B$9,'Prepay vs Invest'!$B$8,0)-O191-P191),0)</f>
        <v>90559.31935518072</v>
      </c>
      <c r="T191">
        <f>R191*(1+MAX(0,'Prepay vs Invest'!$B$13-'Prepay vs Invest'!$B$14)/1200)+S191</f>
        <v>1741096.8960226479</v>
      </c>
      <c r="U191">
        <f t="shared" si="44"/>
        <v>1605586.4030062549</v>
      </c>
      <c r="V191">
        <f>MAX(0,(T191-U191-'Prepay vs Invest'!$B$16)*'Prepay vs Invest'!$B$15/100)</f>
        <v>1313.8116270491155</v>
      </c>
      <c r="W191">
        <f t="shared" si="36"/>
        <v>1739783.0843955986</v>
      </c>
      <c r="X191">
        <f t="shared" si="45"/>
        <v>2353984.3508128468</v>
      </c>
      <c r="Y191">
        <f>IF(X191&gt;0,X191*'Prepay vs Invest'!$B$6/1200,0)</f>
        <v>14712.402192580294</v>
      </c>
      <c r="Z191">
        <f>IF(X191&gt;0,MIN(-PMT('Prepay vs Invest'!$B$6/1200,'Prepay vs Invest'!$B$7*12-A191+1,X191),X191+Y191),0)</f>
        <v>54045.774423385461</v>
      </c>
      <c r="AA191">
        <f>MIN(MAX(0,X191+Y191-Z191),IF(AND(A191&gt;='Prepay vs Invest'!$B$11,A191&lt;='Prepay vs Invest'!$B$12),'Prepay vs Invest'!$B$10,0)+IF(A191='Prepay vs Invest'!$B$9,'Prepay vs Invest'!$B$8,0))</f>
        <v>10000</v>
      </c>
      <c r="AB191">
        <f t="shared" si="37"/>
        <v>2304650.9785820418</v>
      </c>
      <c r="AC191">
        <f t="shared" si="46"/>
        <v>5247600.2978310902</v>
      </c>
      <c r="AD191">
        <f>IF(A191&lt;='Prepay vs Invest'!$B$7*12,MAX(0,'Prepay vs Invest'!$E$5+IF(AND(A191&gt;='Prepay vs Invest'!$B$11,A191&lt;='Prepay vs Invest'!$B$12),'Prepay vs Invest'!$B$10,0)+IF(A191='Prepay vs Invest'!$B$9,'Prepay vs Invest'!$B$8,0)-Z191-AA191),0)</f>
        <v>26513.544931795259</v>
      </c>
      <c r="AE191">
        <f>AC191*(1+MAX(0,'Prepay vs Invest'!$B$13-'Prepay vs Invest'!$B$14)/1200)+AD191</f>
        <v>5324403.3456170997</v>
      </c>
      <c r="AF191">
        <f t="shared" si="47"/>
        <v>2510098.5732148793</v>
      </c>
      <c r="AG191">
        <f>MAX(0,(AE191-AF191-'Prepay vs Invest'!$B$16)*'Prepay vs Invest'!$B$15/100)</f>
        <v>336163.09655027755</v>
      </c>
      <c r="AH191">
        <f t="shared" si="38"/>
        <v>4988240.2490668222</v>
      </c>
    </row>
    <row r="192" spans="1:34" x14ac:dyDescent="0.35">
      <c r="A192">
        <f t="shared" si="39"/>
        <v>191</v>
      </c>
      <c r="B192">
        <f>IF(A192&lt;='Prepay vs Invest'!$B$7*12,F191,0)</f>
        <v>3450162.5588455396</v>
      </c>
      <c r="C192">
        <f>IF(B192&gt;0,B192*'Prepay vs Invest'!$B$6/1200,0)</f>
        <v>21563.515992784622</v>
      </c>
      <c r="D192">
        <f>IF(B192&gt;0,MIN(-PMT('Prepay vs Invest'!$B$6/1200,'Prepay vs Invest'!$B$7*12,'Prepay vs Invest'!$B$5),B192+C192),0)</f>
        <v>80559.31935518072</v>
      </c>
      <c r="E192">
        <f t="shared" si="32"/>
        <v>58995.803362396095</v>
      </c>
      <c r="F192">
        <f t="shared" si="33"/>
        <v>3391166.755483143</v>
      </c>
      <c r="G192">
        <f t="shared" si="40"/>
        <v>8077169.723747286</v>
      </c>
      <c r="H192">
        <f>IF(A192&lt;='Prepay vs Invest'!$B$7*12,IF(AND(A192&gt;='Prepay vs Invest'!$B$11,A192&lt;='Prepay vs Invest'!$B$12),'Prepay vs Invest'!$B$10,0)+IF(A192='Prepay vs Invest'!$B$9,'Prepay vs Invest'!$B$8,0),0)</f>
        <v>10000</v>
      </c>
      <c r="I192">
        <f>G192*(1+MAX(0,'Prepay vs Invest'!$B$13-'Prepay vs Invest'!$B$14)/1200)+H192</f>
        <v>8164575.9335998641</v>
      </c>
      <c r="J192">
        <f t="shared" si="41"/>
        <v>2410000</v>
      </c>
      <c r="K192">
        <f>MAX(0,(I192-J192-'Prepay vs Invest'!$B$16)*'Prepay vs Invest'!$B$15/100)</f>
        <v>703696.99169998302</v>
      </c>
      <c r="L192">
        <f t="shared" si="34"/>
        <v>7460878.9418998808</v>
      </c>
      <c r="M192">
        <f t="shared" si="42"/>
        <v>0</v>
      </c>
      <c r="N192">
        <f>IF(M192&gt;0,M192*'Prepay vs Invest'!$B$6/1200,0)</f>
        <v>0</v>
      </c>
      <c r="O192">
        <f>IF(M192&gt;0,MIN('Prepay vs Invest'!$E$5,M192+N192),0)</f>
        <v>0</v>
      </c>
      <c r="P192">
        <f>MIN(MAX(0,M192+N192-O192),IF(AND(A192&gt;='Prepay vs Invest'!$B$11,A192&lt;='Prepay vs Invest'!$B$12),'Prepay vs Invest'!$B$10,0)+IF(A192='Prepay vs Invest'!$B$9,'Prepay vs Invest'!$B$8,0))</f>
        <v>0</v>
      </c>
      <c r="Q192">
        <f t="shared" si="35"/>
        <v>0</v>
      </c>
      <c r="R192">
        <f t="shared" si="43"/>
        <v>1741096.8960226479</v>
      </c>
      <c r="S192">
        <f>IF(A192&lt;='Prepay vs Invest'!$B$7*12,MAX(0,'Prepay vs Invest'!$E$5+IF(AND(A192&gt;='Prepay vs Invest'!$B$11,A192&lt;='Prepay vs Invest'!$B$12),'Prepay vs Invest'!$B$10,0)+IF(A192='Prepay vs Invest'!$B$9,'Prepay vs Invest'!$B$8,0)-O192-P192),0)</f>
        <v>90559.31935518072</v>
      </c>
      <c r="T192">
        <f>R192*(1+MAX(0,'Prepay vs Invest'!$B$13-'Prepay vs Invest'!$B$14)/1200)+S192</f>
        <v>1848341.7272980455</v>
      </c>
      <c r="U192">
        <f t="shared" si="44"/>
        <v>1696145.7223614356</v>
      </c>
      <c r="V192">
        <f>MAX(0,(T192-U192-'Prepay vs Invest'!$B$16)*'Prepay vs Invest'!$B$15/100)</f>
        <v>3399.5006170762354</v>
      </c>
      <c r="W192">
        <f t="shared" si="36"/>
        <v>1844942.2266809694</v>
      </c>
      <c r="X192">
        <f t="shared" si="45"/>
        <v>2304650.9785820418</v>
      </c>
      <c r="Y192">
        <f>IF(X192&gt;0,X192*'Prepay vs Invest'!$B$6/1200,0)</f>
        <v>14404.068616137762</v>
      </c>
      <c r="Z192">
        <f>IF(X192&gt;0,MIN(-PMT('Prepay vs Invest'!$B$6/1200,'Prepay vs Invest'!$B$7*12-A192+1,X192),X192+Y192),0)</f>
        <v>53812.280151793413</v>
      </c>
      <c r="AA192">
        <f>MIN(MAX(0,X192+Y192-Z192),IF(AND(A192&gt;='Prepay vs Invest'!$B$11,A192&lt;='Prepay vs Invest'!$B$12),'Prepay vs Invest'!$B$10,0)+IF(A192='Prepay vs Invest'!$B$9,'Prepay vs Invest'!$B$8,0))</f>
        <v>10000</v>
      </c>
      <c r="AB192">
        <f t="shared" si="37"/>
        <v>2255242.7670463864</v>
      </c>
      <c r="AC192">
        <f t="shared" si="46"/>
        <v>5324403.3456170997</v>
      </c>
      <c r="AD192">
        <f>IF(A192&lt;='Prepay vs Invest'!$B$7*12,MAX(0,'Prepay vs Invest'!$E$5+IF(AND(A192&gt;='Prepay vs Invest'!$B$11,A192&lt;='Prepay vs Invest'!$B$12),'Prepay vs Invest'!$B$10,0)+IF(A192='Prepay vs Invest'!$B$9,'Prepay vs Invest'!$B$8,0)-Z192-AA192),0)</f>
        <v>26747.039203387307</v>
      </c>
      <c r="AE192">
        <f>AC192*(1+MAX(0,'Prepay vs Invest'!$B$13-'Prepay vs Invest'!$B$14)/1200)+AD192</f>
        <v>5402175.9168826509</v>
      </c>
      <c r="AF192">
        <f t="shared" si="47"/>
        <v>2536845.6124182665</v>
      </c>
      <c r="AG192">
        <f>MAX(0,(AE192-AF192-'Prepay vs Invest'!$B$16)*'Prepay vs Invest'!$B$15/100)</f>
        <v>342541.28805804806</v>
      </c>
      <c r="AH192">
        <f t="shared" si="38"/>
        <v>5059634.6288246028</v>
      </c>
    </row>
    <row r="193" spans="1:34" x14ac:dyDescent="0.35">
      <c r="A193">
        <f t="shared" si="39"/>
        <v>192</v>
      </c>
      <c r="B193">
        <f>IF(A193&lt;='Prepay vs Invest'!$B$7*12,F192,0)</f>
        <v>3391166.755483143</v>
      </c>
      <c r="C193">
        <f>IF(B193&gt;0,B193*'Prepay vs Invest'!$B$6/1200,0)</f>
        <v>21194.792221769643</v>
      </c>
      <c r="D193">
        <f>IF(B193&gt;0,MIN(-PMT('Prepay vs Invest'!$B$6/1200,'Prepay vs Invest'!$B$7*12,'Prepay vs Invest'!$B$5),B193+C193),0)</f>
        <v>80559.31935518072</v>
      </c>
      <c r="E193">
        <f t="shared" si="32"/>
        <v>59364.527133411073</v>
      </c>
      <c r="F193">
        <f t="shared" si="33"/>
        <v>3331802.2283497322</v>
      </c>
      <c r="G193">
        <f t="shared" si="40"/>
        <v>8164575.9335998641</v>
      </c>
      <c r="H193">
        <f>IF(A193&lt;='Prepay vs Invest'!$B$7*12,IF(AND(A193&gt;='Prepay vs Invest'!$B$11,A193&lt;='Prepay vs Invest'!$B$12),'Prepay vs Invest'!$B$10,0)+IF(A193='Prepay vs Invest'!$B$9,'Prepay vs Invest'!$B$8,0),0)</f>
        <v>10000</v>
      </c>
      <c r="I193">
        <f>G193*(1+MAX(0,'Prepay vs Invest'!$B$13-'Prepay vs Invest'!$B$14)/1200)+H193</f>
        <v>8252819.7862968622</v>
      </c>
      <c r="J193">
        <f t="shared" si="41"/>
        <v>2420000</v>
      </c>
      <c r="K193">
        <f>MAX(0,(I193-J193-'Prepay vs Invest'!$B$16)*'Prepay vs Invest'!$B$15/100)</f>
        <v>713477.47328710777</v>
      </c>
      <c r="L193">
        <f t="shared" si="34"/>
        <v>7539342.3130097548</v>
      </c>
      <c r="M193">
        <f t="shared" si="42"/>
        <v>0</v>
      </c>
      <c r="N193">
        <f>IF(M193&gt;0,M193*'Prepay vs Invest'!$B$6/1200,0)</f>
        <v>0</v>
      </c>
      <c r="O193">
        <f>IF(M193&gt;0,MIN('Prepay vs Invest'!$E$5,M193+N193),0)</f>
        <v>0</v>
      </c>
      <c r="P193">
        <f>MIN(MAX(0,M193+N193-O193),IF(AND(A193&gt;='Prepay vs Invest'!$B$11,A193&lt;='Prepay vs Invest'!$B$12),'Prepay vs Invest'!$B$10,0)+IF(A193='Prepay vs Invest'!$B$9,'Prepay vs Invest'!$B$8,0))</f>
        <v>0</v>
      </c>
      <c r="Q193">
        <f t="shared" si="35"/>
        <v>0</v>
      </c>
      <c r="R193">
        <f t="shared" si="43"/>
        <v>1848341.7272980455</v>
      </c>
      <c r="S193">
        <f>IF(A193&lt;='Prepay vs Invest'!$B$7*12,MAX(0,'Prepay vs Invest'!$E$5+IF(AND(A193&gt;='Prepay vs Invest'!$B$11,A193&lt;='Prepay vs Invest'!$B$12),'Prepay vs Invest'!$B$10,0)+IF(A193='Prepay vs Invest'!$B$9,'Prepay vs Invest'!$B$8,0)-O193-P193),0)</f>
        <v>90559.31935518072</v>
      </c>
      <c r="T193">
        <f>R193*(1+MAX(0,'Prepay vs Invest'!$B$13-'Prepay vs Invest'!$B$14)/1200)+S193</f>
        <v>1956614.3215398325</v>
      </c>
      <c r="U193">
        <f t="shared" si="44"/>
        <v>1786705.0417166164</v>
      </c>
      <c r="V193">
        <f>MAX(0,(T193-U193-'Prepay vs Invest'!$B$16)*'Prepay vs Invest'!$B$15/100)</f>
        <v>5613.659977902018</v>
      </c>
      <c r="W193">
        <f t="shared" si="36"/>
        <v>1951000.6615619306</v>
      </c>
      <c r="X193">
        <f t="shared" si="45"/>
        <v>2255242.7670463864</v>
      </c>
      <c r="Y193">
        <f>IF(X193&gt;0,X193*'Prepay vs Invest'!$B$6/1200,0)</f>
        <v>14095.267294039915</v>
      </c>
      <c r="Z193">
        <f>IF(X193&gt;0,MIN(-PMT('Prepay vs Invest'!$B$6/1200,'Prepay vs Invest'!$B$7*12-A193+1,X193),X193+Y193),0)</f>
        <v>53574.723802714063</v>
      </c>
      <c r="AA193">
        <f>MIN(MAX(0,X193+Y193-Z193),IF(AND(A193&gt;='Prepay vs Invest'!$B$11,A193&lt;='Prepay vs Invest'!$B$12),'Prepay vs Invest'!$B$10,0)+IF(A193='Prepay vs Invest'!$B$9,'Prepay vs Invest'!$B$8,0))</f>
        <v>10000</v>
      </c>
      <c r="AB193">
        <f t="shared" si="37"/>
        <v>2205763.3105377122</v>
      </c>
      <c r="AC193">
        <f t="shared" si="46"/>
        <v>5402175.9168826509</v>
      </c>
      <c r="AD193">
        <f>IF(A193&lt;='Prepay vs Invest'!$B$7*12,MAX(0,'Prepay vs Invest'!$E$5+IF(AND(A193&gt;='Prepay vs Invest'!$B$11,A193&lt;='Prepay vs Invest'!$B$12),'Prepay vs Invest'!$B$10,0)+IF(A193='Prepay vs Invest'!$B$9,'Prepay vs Invest'!$B$8,0)-Z193-AA193),0)</f>
        <v>26984.595552466657</v>
      </c>
      <c r="AE193">
        <f>AC193*(1+MAX(0,'Prepay vs Invest'!$B$13-'Prepay vs Invest'!$B$14)/1200)+AD193</f>
        <v>5480931.3649719097</v>
      </c>
      <c r="AF193">
        <f t="shared" si="47"/>
        <v>2563830.2079707333</v>
      </c>
      <c r="AG193">
        <f>MAX(0,(AE193-AF193-'Prepay vs Invest'!$B$16)*'Prepay vs Invest'!$B$15/100)</f>
        <v>349012.64462514705</v>
      </c>
      <c r="AH193">
        <f t="shared" si="38"/>
        <v>5131918.7203467628</v>
      </c>
    </row>
    <row r="194" spans="1:34" x14ac:dyDescent="0.35">
      <c r="A194">
        <f t="shared" si="39"/>
        <v>193</v>
      </c>
      <c r="B194">
        <f>IF(A194&lt;='Prepay vs Invest'!$B$7*12,F193,0)</f>
        <v>3331802.2283497322</v>
      </c>
      <c r="C194">
        <f>IF(B194&gt;0,B194*'Prepay vs Invest'!$B$6/1200,0)</f>
        <v>20823.763927185828</v>
      </c>
      <c r="D194">
        <f>IF(B194&gt;0,MIN(-PMT('Prepay vs Invest'!$B$6/1200,'Prepay vs Invest'!$B$7*12,'Prepay vs Invest'!$B$5),B194+C194),0)</f>
        <v>80559.31935518072</v>
      </c>
      <c r="E194">
        <f t="shared" si="32"/>
        <v>59735.555427994892</v>
      </c>
      <c r="F194">
        <f t="shared" si="33"/>
        <v>3272066.6729217377</v>
      </c>
      <c r="G194">
        <f t="shared" si="40"/>
        <v>8252819.7862968622</v>
      </c>
      <c r="H194">
        <f>IF(A194&lt;='Prepay vs Invest'!$B$7*12,IF(AND(A194&gt;='Prepay vs Invest'!$B$11,A194&lt;='Prepay vs Invest'!$B$12),'Prepay vs Invest'!$B$10,0)+IF(A194='Prepay vs Invest'!$B$9,'Prepay vs Invest'!$B$8,0),0)</f>
        <v>10000</v>
      </c>
      <c r="I194">
        <f>G194*(1+MAX(0,'Prepay vs Invest'!$B$13-'Prepay vs Invest'!$B$14)/1200)+H194</f>
        <v>8341909.309248873</v>
      </c>
      <c r="J194">
        <f t="shared" si="41"/>
        <v>2430000</v>
      </c>
      <c r="K194">
        <f>MAX(0,(I194-J194-'Prepay vs Invest'!$B$16)*'Prepay vs Invest'!$B$15/100)</f>
        <v>723363.66365610913</v>
      </c>
      <c r="L194">
        <f t="shared" si="34"/>
        <v>7618545.645592764</v>
      </c>
      <c r="M194">
        <f t="shared" si="42"/>
        <v>0</v>
      </c>
      <c r="N194">
        <f>IF(M194&gt;0,M194*'Prepay vs Invest'!$B$6/1200,0)</f>
        <v>0</v>
      </c>
      <c r="O194">
        <f>IF(M194&gt;0,MIN('Prepay vs Invest'!$E$5,M194+N194),0)</f>
        <v>0</v>
      </c>
      <c r="P194">
        <f>MIN(MAX(0,M194+N194-O194),IF(AND(A194&gt;='Prepay vs Invest'!$B$11,A194&lt;='Prepay vs Invest'!$B$12),'Prepay vs Invest'!$B$10,0)+IF(A194='Prepay vs Invest'!$B$9,'Prepay vs Invest'!$B$8,0))</f>
        <v>0</v>
      </c>
      <c r="Q194">
        <f t="shared" si="35"/>
        <v>0</v>
      </c>
      <c r="R194">
        <f t="shared" si="43"/>
        <v>1956614.3215398325</v>
      </c>
      <c r="S194">
        <f>IF(A194&lt;='Prepay vs Invest'!$B$7*12,MAX(0,'Prepay vs Invest'!$E$5+IF(AND(A194&gt;='Prepay vs Invest'!$B$11,A194&lt;='Prepay vs Invest'!$B$12),'Prepay vs Invest'!$B$10,0)+IF(A194='Prepay vs Invest'!$B$9,'Prepay vs Invest'!$B$8,0)-O194-P194),0)</f>
        <v>90559.31935518072</v>
      </c>
      <c r="T194">
        <f>R194*(1+MAX(0,'Prepay vs Invest'!$B$13-'Prepay vs Invest'!$B$14)/1200)+S194</f>
        <v>2065924.5281431032</v>
      </c>
      <c r="U194">
        <f t="shared" si="44"/>
        <v>1877264.3610717971</v>
      </c>
      <c r="V194">
        <f>MAX(0,(T194-U194-'Prepay vs Invest'!$B$16)*'Prepay vs Invest'!$B$15/100)</f>
        <v>7957.5208839132683</v>
      </c>
      <c r="W194">
        <f t="shared" si="36"/>
        <v>2057967.0072591901</v>
      </c>
      <c r="X194">
        <f t="shared" si="45"/>
        <v>2205763.3105377122</v>
      </c>
      <c r="Y194">
        <f>IF(X194&gt;0,X194*'Prepay vs Invest'!$B$6/1200,0)</f>
        <v>13786.020690860702</v>
      </c>
      <c r="Z194">
        <f>IF(X194&gt;0,MIN(-PMT('Prepay vs Invest'!$B$6/1200,'Prepay vs Invest'!$B$7*12-A194+1,X194),X194+Y194),0)</f>
        <v>53332.934783336757</v>
      </c>
      <c r="AA194">
        <f>MIN(MAX(0,X194+Y194-Z194),IF(AND(A194&gt;='Prepay vs Invest'!$B$11,A194&lt;='Prepay vs Invest'!$B$12),'Prepay vs Invest'!$B$10,0)+IF(A194='Prepay vs Invest'!$B$9,'Prepay vs Invest'!$B$8,0))</f>
        <v>10000</v>
      </c>
      <c r="AB194">
        <f t="shared" si="37"/>
        <v>2156216.3964452362</v>
      </c>
      <c r="AC194">
        <f t="shared" si="46"/>
        <v>5480931.3649719097</v>
      </c>
      <c r="AD194">
        <f>IF(A194&lt;='Prepay vs Invest'!$B$7*12,MAX(0,'Prepay vs Invest'!$E$5+IF(AND(A194&gt;='Prepay vs Invest'!$B$11,A194&lt;='Prepay vs Invest'!$B$12),'Prepay vs Invest'!$B$10,0)+IF(A194='Prepay vs Invest'!$B$9,'Prepay vs Invest'!$B$8,0)-Z194-AA194),0)</f>
        <v>27226.384571843962</v>
      </c>
      <c r="AE194">
        <f>AC194*(1+MAX(0,'Prepay vs Invest'!$B$13-'Prepay vs Invest'!$B$14)/1200)+AD194</f>
        <v>5560683.3417914007</v>
      </c>
      <c r="AF194">
        <f t="shared" si="47"/>
        <v>2591056.5925425771</v>
      </c>
      <c r="AG194">
        <f>MAX(0,(AE194-AF194-'Prepay vs Invest'!$B$16)*'Prepay vs Invest'!$B$15/100)</f>
        <v>355578.34365610295</v>
      </c>
      <c r="AH194">
        <f t="shared" si="38"/>
        <v>5205104.9981352976</v>
      </c>
    </row>
    <row r="195" spans="1:34" x14ac:dyDescent="0.35">
      <c r="A195">
        <f t="shared" si="39"/>
        <v>194</v>
      </c>
      <c r="B195">
        <f>IF(A195&lt;='Prepay vs Invest'!$B$7*12,F194,0)</f>
        <v>3272066.6729217377</v>
      </c>
      <c r="C195">
        <f>IF(B195&gt;0,B195*'Prepay vs Invest'!$B$6/1200,0)</f>
        <v>20450.416705760861</v>
      </c>
      <c r="D195">
        <f>IF(B195&gt;0,MIN(-PMT('Prepay vs Invest'!$B$6/1200,'Prepay vs Invest'!$B$7*12,'Prepay vs Invest'!$B$5),B195+C195),0)</f>
        <v>80559.31935518072</v>
      </c>
      <c r="E195">
        <f t="shared" ref="E195:E258" si="48">MAX(0,D195-C195)</f>
        <v>60108.902649419862</v>
      </c>
      <c r="F195">
        <f t="shared" ref="F195:F258" si="49">MAX(0,B195+C195-D195)</f>
        <v>3211957.7702723173</v>
      </c>
      <c r="G195">
        <f t="shared" si="40"/>
        <v>8341909.309248873</v>
      </c>
      <c r="H195">
        <f>IF(A195&lt;='Prepay vs Invest'!$B$7*12,IF(AND(A195&gt;='Prepay vs Invest'!$B$11,A195&lt;='Prepay vs Invest'!$B$12),'Prepay vs Invest'!$B$10,0)+IF(A195='Prepay vs Invest'!$B$9,'Prepay vs Invest'!$B$8,0),0)</f>
        <v>10000</v>
      </c>
      <c r="I195">
        <f>G195*(1+MAX(0,'Prepay vs Invest'!$B$13-'Prepay vs Invest'!$B$14)/1200)+H195</f>
        <v>8431852.6067958418</v>
      </c>
      <c r="J195">
        <f t="shared" si="41"/>
        <v>2440000</v>
      </c>
      <c r="K195">
        <f>MAX(0,(I195-J195-'Prepay vs Invest'!$B$16)*'Prepay vs Invest'!$B$15/100)</f>
        <v>733356.57584948023</v>
      </c>
      <c r="L195">
        <f t="shared" ref="L195:L258" si="50">I195-K195</f>
        <v>7698496.0309463618</v>
      </c>
      <c r="M195">
        <f t="shared" si="42"/>
        <v>0</v>
      </c>
      <c r="N195">
        <f>IF(M195&gt;0,M195*'Prepay vs Invest'!$B$6/1200,0)</f>
        <v>0</v>
      </c>
      <c r="O195">
        <f>IF(M195&gt;0,MIN('Prepay vs Invest'!$E$5,M195+N195),0)</f>
        <v>0</v>
      </c>
      <c r="P195">
        <f>MIN(MAX(0,M195+N195-O195),IF(AND(A195&gt;='Prepay vs Invest'!$B$11,A195&lt;='Prepay vs Invest'!$B$12),'Prepay vs Invest'!$B$10,0)+IF(A195='Prepay vs Invest'!$B$9,'Prepay vs Invest'!$B$8,0))</f>
        <v>0</v>
      </c>
      <c r="Q195">
        <f t="shared" ref="Q195:Q258" si="51">MAX(0,M195+N195-O195-P195)</f>
        <v>0</v>
      </c>
      <c r="R195">
        <f t="shared" si="43"/>
        <v>2065924.5281431032</v>
      </c>
      <c r="S195">
        <f>IF(A195&lt;='Prepay vs Invest'!$B$7*12,MAX(0,'Prepay vs Invest'!$E$5+IF(AND(A195&gt;='Prepay vs Invest'!$B$11,A195&lt;='Prepay vs Invest'!$B$12),'Prepay vs Invest'!$B$10,0)+IF(A195='Prepay vs Invest'!$B$9,'Prepay vs Invest'!$B$8,0)-O195-P195),0)</f>
        <v>90559.31935518072</v>
      </c>
      <c r="T195">
        <f>R195*(1+MAX(0,'Prepay vs Invest'!$B$13-'Prepay vs Invest'!$B$14)/1200)+S195</f>
        <v>2176282.2908929884</v>
      </c>
      <c r="U195">
        <f t="shared" si="44"/>
        <v>1967823.6804269778</v>
      </c>
      <c r="V195">
        <f>MAX(0,(T195-U195-'Prepay vs Invest'!$B$16)*'Prepay vs Invest'!$B$15/100)</f>
        <v>10432.326308251329</v>
      </c>
      <c r="W195">
        <f t="shared" ref="W195:W258" si="52">T195-V195</f>
        <v>2165849.9645847371</v>
      </c>
      <c r="X195">
        <f t="shared" si="45"/>
        <v>2156216.3964452362</v>
      </c>
      <c r="Y195">
        <f>IF(X195&gt;0,X195*'Prepay vs Invest'!$B$6/1200,0)</f>
        <v>13476.352477782726</v>
      </c>
      <c r="Z195">
        <f>IF(X195&gt;0,MIN(-PMT('Prepay vs Invest'!$B$6/1200,'Prepay vs Invest'!$B$7*12-A195+1,X195),X195+Y195),0)</f>
        <v>53086.731611433628</v>
      </c>
      <c r="AA195">
        <f>MIN(MAX(0,X195+Y195-Z195),IF(AND(A195&gt;='Prepay vs Invest'!$B$11,A195&lt;='Prepay vs Invest'!$B$12),'Prepay vs Invest'!$B$10,0)+IF(A195='Prepay vs Invest'!$B$9,'Prepay vs Invest'!$B$8,0))</f>
        <v>10000</v>
      </c>
      <c r="AB195">
        <f t="shared" ref="AB195:AB258" si="53">MAX(0,X195+Y195-Z195-AA195)</f>
        <v>2106606.0173115856</v>
      </c>
      <c r="AC195">
        <f t="shared" si="46"/>
        <v>5560683.3417914007</v>
      </c>
      <c r="AD195">
        <f>IF(A195&lt;='Prepay vs Invest'!$B$7*12,MAX(0,'Prepay vs Invest'!$E$5+IF(AND(A195&gt;='Prepay vs Invest'!$B$11,A195&lt;='Prepay vs Invest'!$B$12),'Prepay vs Invest'!$B$10,0)+IF(A195='Prepay vs Invest'!$B$9,'Prepay vs Invest'!$B$8,0)-Z195-AA195),0)</f>
        <v>27472.587743747092</v>
      </c>
      <c r="AE195">
        <f>AC195*(1+MAX(0,'Prepay vs Invest'!$B$13-'Prepay vs Invest'!$B$14)/1200)+AD195</f>
        <v>5641445.8115606485</v>
      </c>
      <c r="AF195">
        <f t="shared" si="47"/>
        <v>2618529.1802863241</v>
      </c>
      <c r="AG195">
        <f>MAX(0,(AE195-AF195-'Prepay vs Invest'!$B$16)*'Prepay vs Invest'!$B$15/100)</f>
        <v>362239.57890929061</v>
      </c>
      <c r="AH195">
        <f t="shared" ref="AH195:AH258" si="54">AE195-AG195</f>
        <v>5279206.2326513575</v>
      </c>
    </row>
    <row r="196" spans="1:34" x14ac:dyDescent="0.35">
      <c r="A196">
        <f t="shared" ref="A196:A259" si="55">A195+1</f>
        <v>195</v>
      </c>
      <c r="B196">
        <f>IF(A196&lt;='Prepay vs Invest'!$B$7*12,F195,0)</f>
        <v>3211957.7702723173</v>
      </c>
      <c r="C196">
        <f>IF(B196&gt;0,B196*'Prepay vs Invest'!$B$6/1200,0)</f>
        <v>20074.736064201985</v>
      </c>
      <c r="D196">
        <f>IF(B196&gt;0,MIN(-PMT('Prepay vs Invest'!$B$6/1200,'Prepay vs Invest'!$B$7*12,'Prepay vs Invest'!$B$5),B196+C196),0)</f>
        <v>80559.31935518072</v>
      </c>
      <c r="E196">
        <f t="shared" si="48"/>
        <v>60484.583290978735</v>
      </c>
      <c r="F196">
        <f t="shared" si="49"/>
        <v>3151473.186981339</v>
      </c>
      <c r="G196">
        <f t="shared" ref="G196:G259" si="56">I195</f>
        <v>8431852.6067958418</v>
      </c>
      <c r="H196">
        <f>IF(A196&lt;='Prepay vs Invest'!$B$7*12,IF(AND(A196&gt;='Prepay vs Invest'!$B$11,A196&lt;='Prepay vs Invest'!$B$12),'Prepay vs Invest'!$B$10,0)+IF(A196='Prepay vs Invest'!$B$9,'Prepay vs Invest'!$B$8,0),0)</f>
        <v>10000</v>
      </c>
      <c r="I196">
        <f>G196*(1+MAX(0,'Prepay vs Invest'!$B$13-'Prepay vs Invest'!$B$14)/1200)+H196</f>
        <v>8522657.8609443009</v>
      </c>
      <c r="J196">
        <f t="shared" ref="J196:J259" si="57">J195+H196</f>
        <v>2450000</v>
      </c>
      <c r="K196">
        <f>MAX(0,(I196-J196-'Prepay vs Invest'!$B$16)*'Prepay vs Invest'!$B$15/100)</f>
        <v>743457.23261803761</v>
      </c>
      <c r="L196">
        <f t="shared" si="50"/>
        <v>7779200.6283262633</v>
      </c>
      <c r="M196">
        <f t="shared" ref="M196:M259" si="58">Q195</f>
        <v>0</v>
      </c>
      <c r="N196">
        <f>IF(M196&gt;0,M196*'Prepay vs Invest'!$B$6/1200,0)</f>
        <v>0</v>
      </c>
      <c r="O196">
        <f>IF(M196&gt;0,MIN('Prepay vs Invest'!$E$5,M196+N196),0)</f>
        <v>0</v>
      </c>
      <c r="P196">
        <f>MIN(MAX(0,M196+N196-O196),IF(AND(A196&gt;='Prepay vs Invest'!$B$11,A196&lt;='Prepay vs Invest'!$B$12),'Prepay vs Invest'!$B$10,0)+IF(A196='Prepay vs Invest'!$B$9,'Prepay vs Invest'!$B$8,0))</f>
        <v>0</v>
      </c>
      <c r="Q196">
        <f t="shared" si="51"/>
        <v>0</v>
      </c>
      <c r="R196">
        <f t="shared" ref="R196:R259" si="59">T195</f>
        <v>2176282.2908929884</v>
      </c>
      <c r="S196">
        <f>IF(A196&lt;='Prepay vs Invest'!$B$7*12,MAX(0,'Prepay vs Invest'!$E$5+IF(AND(A196&gt;='Prepay vs Invest'!$B$11,A196&lt;='Prepay vs Invest'!$B$12),'Prepay vs Invest'!$B$10,0)+IF(A196='Prepay vs Invest'!$B$9,'Prepay vs Invest'!$B$8,0)-O196-P196),0)</f>
        <v>90559.31935518072</v>
      </c>
      <c r="T196">
        <f>R196*(1+MAX(0,'Prepay vs Invest'!$B$13-'Prepay vs Invest'!$B$14)/1200)+S196</f>
        <v>2287697.6488692267</v>
      </c>
      <c r="U196">
        <f t="shared" ref="U196:U259" si="60">U195+S196</f>
        <v>2058382.9997821585</v>
      </c>
      <c r="V196">
        <f>MAX(0,(T196-U196-'Prepay vs Invest'!$B$16)*'Prepay vs Invest'!$B$15/100)</f>
        <v>13039.33113588352</v>
      </c>
      <c r="W196">
        <f t="shared" si="52"/>
        <v>2274658.3177333432</v>
      </c>
      <c r="X196">
        <f t="shared" ref="X196:X259" si="61">AB195</f>
        <v>2106606.0173115856</v>
      </c>
      <c r="Y196">
        <f>IF(X196&gt;0,X196*'Prepay vs Invest'!$B$6/1200,0)</f>
        <v>13166.28760819741</v>
      </c>
      <c r="Z196">
        <f>IF(X196&gt;0,MIN(-PMT('Prepay vs Invest'!$B$6/1200,'Prepay vs Invest'!$B$7*12-A196+1,X196),X196+Y196),0)</f>
        <v>52835.920968464459</v>
      </c>
      <c r="AA196">
        <f>MIN(MAX(0,X196+Y196-Z196),IF(AND(A196&gt;='Prepay vs Invest'!$B$11,A196&lt;='Prepay vs Invest'!$B$12),'Prepay vs Invest'!$B$10,0)+IF(A196='Prepay vs Invest'!$B$9,'Prepay vs Invest'!$B$8,0))</f>
        <v>10000</v>
      </c>
      <c r="AB196">
        <f t="shared" si="53"/>
        <v>2056936.3839513185</v>
      </c>
      <c r="AC196">
        <f t="shared" ref="AC196:AC259" si="62">AE195</f>
        <v>5641445.8115606485</v>
      </c>
      <c r="AD196">
        <f>IF(A196&lt;='Prepay vs Invest'!$B$7*12,MAX(0,'Prepay vs Invest'!$E$5+IF(AND(A196&gt;='Prepay vs Invest'!$B$11,A196&lt;='Prepay vs Invest'!$B$12),'Prepay vs Invest'!$B$10,0)+IF(A196='Prepay vs Invest'!$B$9,'Prepay vs Invest'!$B$8,0)-Z196-AA196),0)</f>
        <v>27723.398386716261</v>
      </c>
      <c r="AE196">
        <f>AC196*(1+MAX(0,'Prepay vs Invest'!$B$13-'Prepay vs Invest'!$B$14)/1200)+AD196</f>
        <v>5723233.065641487</v>
      </c>
      <c r="AF196">
        <f t="shared" ref="AF196:AF259" si="63">AF195+AD196</f>
        <v>2646252.5786730405</v>
      </c>
      <c r="AG196">
        <f>MAX(0,(AE196-AF196-'Prepay vs Invest'!$B$16)*'Prepay vs Invest'!$B$15/100)</f>
        <v>368997.56087105582</v>
      </c>
      <c r="AH196">
        <f t="shared" si="54"/>
        <v>5354235.5047704317</v>
      </c>
    </row>
    <row r="197" spans="1:34" x14ac:dyDescent="0.35">
      <c r="A197">
        <f t="shared" si="55"/>
        <v>196</v>
      </c>
      <c r="B197">
        <f>IF(A197&lt;='Prepay vs Invest'!$B$7*12,F196,0)</f>
        <v>3151473.186981339</v>
      </c>
      <c r="C197">
        <f>IF(B197&gt;0,B197*'Prepay vs Invest'!$B$6/1200,0)</f>
        <v>19696.70741863337</v>
      </c>
      <c r="D197">
        <f>IF(B197&gt;0,MIN(-PMT('Prepay vs Invest'!$B$6/1200,'Prepay vs Invest'!$B$7*12,'Prepay vs Invest'!$B$5),B197+C197),0)</f>
        <v>80559.31935518072</v>
      </c>
      <c r="E197">
        <f t="shared" si="48"/>
        <v>60862.61193654735</v>
      </c>
      <c r="F197">
        <f t="shared" si="49"/>
        <v>3090610.5750447912</v>
      </c>
      <c r="G197">
        <f t="shared" si="56"/>
        <v>8522657.8609443009</v>
      </c>
      <c r="H197">
        <f>IF(A197&lt;='Prepay vs Invest'!$B$7*12,IF(AND(A197&gt;='Prepay vs Invest'!$B$11,A197&lt;='Prepay vs Invest'!$B$12),'Prepay vs Invest'!$B$10,0)+IF(A197='Prepay vs Invest'!$B$9,'Prepay vs Invest'!$B$8,0),0)</f>
        <v>10000</v>
      </c>
      <c r="I197">
        <f>G197*(1+MAX(0,'Prepay vs Invest'!$B$13-'Prepay vs Invest'!$B$14)/1200)+H197</f>
        <v>8614333.3321116827</v>
      </c>
      <c r="J197">
        <f t="shared" si="57"/>
        <v>2460000</v>
      </c>
      <c r="K197">
        <f>MAX(0,(I197-J197-'Prepay vs Invest'!$B$16)*'Prepay vs Invest'!$B$15/100)</f>
        <v>753666.66651396034</v>
      </c>
      <c r="L197">
        <f t="shared" si="50"/>
        <v>7860666.6655977219</v>
      </c>
      <c r="M197">
        <f t="shared" si="58"/>
        <v>0</v>
      </c>
      <c r="N197">
        <f>IF(M197&gt;0,M197*'Prepay vs Invest'!$B$6/1200,0)</f>
        <v>0</v>
      </c>
      <c r="O197">
        <f>IF(M197&gt;0,MIN('Prepay vs Invest'!$E$5,M197+N197),0)</f>
        <v>0</v>
      </c>
      <c r="P197">
        <f>MIN(MAX(0,M197+N197-O197),IF(AND(A197&gt;='Prepay vs Invest'!$B$11,A197&lt;='Prepay vs Invest'!$B$12),'Prepay vs Invest'!$B$10,0)+IF(A197='Prepay vs Invest'!$B$9,'Prepay vs Invest'!$B$8,0))</f>
        <v>0</v>
      </c>
      <c r="Q197">
        <f t="shared" si="51"/>
        <v>0</v>
      </c>
      <c r="R197">
        <f t="shared" si="59"/>
        <v>2287697.6488692267</v>
      </c>
      <c r="S197">
        <f>IF(A197&lt;='Prepay vs Invest'!$B$7*12,MAX(0,'Prepay vs Invest'!$E$5+IF(AND(A197&gt;='Prepay vs Invest'!$B$11,A197&lt;='Prepay vs Invest'!$B$12),'Prepay vs Invest'!$B$10,0)+IF(A197='Prepay vs Invest'!$B$9,'Prepay vs Invest'!$B$8,0)-O197-P197),0)</f>
        <v>90559.31935518072</v>
      </c>
      <c r="T197">
        <f>R197*(1+MAX(0,'Prepay vs Invest'!$B$13-'Prepay vs Invest'!$B$14)/1200)+S197</f>
        <v>2400180.7373594036</v>
      </c>
      <c r="U197">
        <f t="shared" si="60"/>
        <v>2148942.3191373395</v>
      </c>
      <c r="V197">
        <f>MAX(0,(T197-U197-'Prepay vs Invest'!$B$16)*'Prepay vs Invest'!$B$15/100)</f>
        <v>15779.802277758019</v>
      </c>
      <c r="W197">
        <f t="shared" si="52"/>
        <v>2384400.9350816458</v>
      </c>
      <c r="X197">
        <f t="shared" si="61"/>
        <v>2056936.3839513185</v>
      </c>
      <c r="Y197">
        <f>IF(X197&gt;0,X197*'Prepay vs Invest'!$B$6/1200,0)</f>
        <v>12855.852399695741</v>
      </c>
      <c r="Z197">
        <f>IF(X197&gt;0,MIN(-PMT('Prepay vs Invest'!$B$6/1200,'Prepay vs Invest'!$B$7*12-A197+1,X197),X197+Y197),0)</f>
        <v>52580.296647470808</v>
      </c>
      <c r="AA197">
        <f>MIN(MAX(0,X197+Y197-Z197),IF(AND(A197&gt;='Prepay vs Invest'!$B$11,A197&lt;='Prepay vs Invest'!$B$12),'Prepay vs Invest'!$B$10,0)+IF(A197='Prepay vs Invest'!$B$9,'Prepay vs Invest'!$B$8,0))</f>
        <v>10000</v>
      </c>
      <c r="AB197">
        <f t="shared" si="53"/>
        <v>2007211.9397035432</v>
      </c>
      <c r="AC197">
        <f t="shared" si="62"/>
        <v>5723233.065641487</v>
      </c>
      <c r="AD197">
        <f>IF(A197&lt;='Prepay vs Invest'!$B$7*12,MAX(0,'Prepay vs Invest'!$E$5+IF(AND(A197&gt;='Prepay vs Invest'!$B$11,A197&lt;='Prepay vs Invest'!$B$12),'Prepay vs Invest'!$B$10,0)+IF(A197='Prepay vs Invest'!$B$9,'Prepay vs Invest'!$B$8,0)-Z197-AA197),0)</f>
        <v>27979.022707709912</v>
      </c>
      <c r="AE197">
        <f>AC197*(1+MAX(0,'Prepay vs Invest'!$B$13-'Prepay vs Invest'!$B$14)/1200)+AD197</f>
        <v>5806059.7385615939</v>
      </c>
      <c r="AF197">
        <f t="shared" si="63"/>
        <v>2674231.6013807505</v>
      </c>
      <c r="AG197">
        <f>MAX(0,(AE197-AF197-'Prepay vs Invest'!$B$16)*'Prepay vs Invest'!$B$15/100)</f>
        <v>375853.51714760542</v>
      </c>
      <c r="AH197">
        <f t="shared" si="54"/>
        <v>5430206.2214139886</v>
      </c>
    </row>
    <row r="198" spans="1:34" x14ac:dyDescent="0.35">
      <c r="A198">
        <f t="shared" si="55"/>
        <v>197</v>
      </c>
      <c r="B198">
        <f>IF(A198&lt;='Prepay vs Invest'!$B$7*12,F197,0)</f>
        <v>3090610.5750447912</v>
      </c>
      <c r="C198">
        <f>IF(B198&gt;0,B198*'Prepay vs Invest'!$B$6/1200,0)</f>
        <v>19316.316094029946</v>
      </c>
      <c r="D198">
        <f>IF(B198&gt;0,MIN(-PMT('Prepay vs Invest'!$B$6/1200,'Prepay vs Invest'!$B$7*12,'Prepay vs Invest'!$B$5),B198+C198),0)</f>
        <v>80559.31935518072</v>
      </c>
      <c r="E198">
        <f t="shared" si="48"/>
        <v>61243.003261150778</v>
      </c>
      <c r="F198">
        <f t="shared" si="49"/>
        <v>3029367.5717836404</v>
      </c>
      <c r="G198">
        <f t="shared" si="56"/>
        <v>8614333.3321116827</v>
      </c>
      <c r="H198">
        <f>IF(A198&lt;='Prepay vs Invest'!$B$7*12,IF(AND(A198&gt;='Prepay vs Invest'!$B$11,A198&lt;='Prepay vs Invest'!$B$12),'Prepay vs Invest'!$B$10,0)+IF(A198='Prepay vs Invest'!$B$9,'Prepay vs Invest'!$B$8,0),0)</f>
        <v>10000</v>
      </c>
      <c r="I198">
        <f>G198*(1+MAX(0,'Prepay vs Invest'!$B$13-'Prepay vs Invest'!$B$14)/1200)+H198</f>
        <v>8706887.3598777521</v>
      </c>
      <c r="J198">
        <f t="shared" si="57"/>
        <v>2470000</v>
      </c>
      <c r="K198">
        <f>MAX(0,(I198-J198-'Prepay vs Invest'!$B$16)*'Prepay vs Invest'!$B$15/100)</f>
        <v>763985.91998471902</v>
      </c>
      <c r="L198">
        <f t="shared" si="50"/>
        <v>7942901.4398930334</v>
      </c>
      <c r="M198">
        <f t="shared" si="58"/>
        <v>0</v>
      </c>
      <c r="N198">
        <f>IF(M198&gt;0,M198*'Prepay vs Invest'!$B$6/1200,0)</f>
        <v>0</v>
      </c>
      <c r="O198">
        <f>IF(M198&gt;0,MIN('Prepay vs Invest'!$E$5,M198+N198),0)</f>
        <v>0</v>
      </c>
      <c r="P198">
        <f>MIN(MAX(0,M198+N198-O198),IF(AND(A198&gt;='Prepay vs Invest'!$B$11,A198&lt;='Prepay vs Invest'!$B$12),'Prepay vs Invest'!$B$10,0)+IF(A198='Prepay vs Invest'!$B$9,'Prepay vs Invest'!$B$8,0))</f>
        <v>0</v>
      </c>
      <c r="Q198">
        <f t="shared" si="51"/>
        <v>0</v>
      </c>
      <c r="R198">
        <f t="shared" si="59"/>
        <v>2400180.7373594036</v>
      </c>
      <c r="S198">
        <f>IF(A198&lt;='Prepay vs Invest'!$B$7*12,MAX(0,'Prepay vs Invest'!$E$5+IF(AND(A198&gt;='Prepay vs Invest'!$B$11,A198&lt;='Prepay vs Invest'!$B$12),'Prepay vs Invest'!$B$10,0)+IF(A198='Prepay vs Invest'!$B$9,'Prepay vs Invest'!$B$8,0)-O198-P198),0)</f>
        <v>90559.31935518072</v>
      </c>
      <c r="T198">
        <f>R198*(1+MAX(0,'Prepay vs Invest'!$B$13-'Prepay vs Invest'!$B$14)/1200)+S198</f>
        <v>2513741.7887809454</v>
      </c>
      <c r="U198">
        <f t="shared" si="60"/>
        <v>2239501.63849252</v>
      </c>
      <c r="V198">
        <f>MAX(0,(T198-U198-'Prepay vs Invest'!$B$16)*'Prepay vs Invest'!$B$15/100)</f>
        <v>18655.018786053173</v>
      </c>
      <c r="W198">
        <f t="shared" si="52"/>
        <v>2495086.7699948922</v>
      </c>
      <c r="X198">
        <f t="shared" si="61"/>
        <v>2007211.9397035432</v>
      </c>
      <c r="Y198">
        <f>IF(X198&gt;0,X198*'Prepay vs Invest'!$B$6/1200,0)</f>
        <v>12545.074623147146</v>
      </c>
      <c r="Z198">
        <f>IF(X198&gt;0,MIN(-PMT('Prepay vs Invest'!$B$6/1200,'Prepay vs Invest'!$B$7*12-A198+1,X198),X198+Y198),0)</f>
        <v>52319.638381412748</v>
      </c>
      <c r="AA198">
        <f>MIN(MAX(0,X198+Y198-Z198),IF(AND(A198&gt;='Prepay vs Invest'!$B$11,A198&lt;='Prepay vs Invest'!$B$12),'Prepay vs Invest'!$B$10,0)+IF(A198='Prepay vs Invest'!$B$9,'Prepay vs Invest'!$B$8,0))</f>
        <v>10000</v>
      </c>
      <c r="AB198">
        <f t="shared" si="53"/>
        <v>1957437.3759452777</v>
      </c>
      <c r="AC198">
        <f t="shared" si="62"/>
        <v>5806059.7385615939</v>
      </c>
      <c r="AD198">
        <f>IF(A198&lt;='Prepay vs Invest'!$B$7*12,MAX(0,'Prepay vs Invest'!$E$5+IF(AND(A198&gt;='Prepay vs Invest'!$B$11,A198&lt;='Prepay vs Invest'!$B$12),'Prepay vs Invest'!$B$10,0)+IF(A198='Prepay vs Invest'!$B$9,'Prepay vs Invest'!$B$8,0)-Z198-AA198),0)</f>
        <v>28239.680973767972</v>
      </c>
      <c r="AE198">
        <f>AC198*(1+MAX(0,'Prepay vs Invest'!$B$13-'Prepay vs Invest'!$B$14)/1200)+AD198</f>
        <v>5889940.8253632439</v>
      </c>
      <c r="AF198">
        <f t="shared" si="63"/>
        <v>2702471.2823545183</v>
      </c>
      <c r="AG198">
        <f>MAX(0,(AE198-AF198-'Prepay vs Invest'!$B$16)*'Prepay vs Invest'!$B$15/100)</f>
        <v>382808.6928760907</v>
      </c>
      <c r="AH198">
        <f t="shared" si="54"/>
        <v>5507132.1324871536</v>
      </c>
    </row>
    <row r="199" spans="1:34" x14ac:dyDescent="0.35">
      <c r="A199">
        <f t="shared" si="55"/>
        <v>198</v>
      </c>
      <c r="B199">
        <f>IF(A199&lt;='Prepay vs Invest'!$B$7*12,F198,0)</f>
        <v>3029367.5717836404</v>
      </c>
      <c r="C199">
        <f>IF(B199&gt;0,B199*'Prepay vs Invest'!$B$6/1200,0)</f>
        <v>18933.547323647752</v>
      </c>
      <c r="D199">
        <f>IF(B199&gt;0,MIN(-PMT('Prepay vs Invest'!$B$6/1200,'Prepay vs Invest'!$B$7*12,'Prepay vs Invest'!$B$5),B199+C199),0)</f>
        <v>80559.31935518072</v>
      </c>
      <c r="E199">
        <f t="shared" si="48"/>
        <v>61625.772031532964</v>
      </c>
      <c r="F199">
        <f t="shared" si="49"/>
        <v>2967741.7997521078</v>
      </c>
      <c r="G199">
        <f t="shared" si="56"/>
        <v>8706887.3598777521</v>
      </c>
      <c r="H199">
        <f>IF(A199&lt;='Prepay vs Invest'!$B$7*12,IF(AND(A199&gt;='Prepay vs Invest'!$B$11,A199&lt;='Prepay vs Invest'!$B$12),'Prepay vs Invest'!$B$10,0)+IF(A199='Prepay vs Invest'!$B$9,'Prepay vs Invest'!$B$8,0),0)</f>
        <v>10000</v>
      </c>
      <c r="I199">
        <f>G199*(1+MAX(0,'Prepay vs Invest'!$B$13-'Prepay vs Invest'!$B$14)/1200)+H199</f>
        <v>8800328.3637432475</v>
      </c>
      <c r="J199">
        <f t="shared" si="57"/>
        <v>2480000</v>
      </c>
      <c r="K199">
        <f>MAX(0,(I199-J199-'Prepay vs Invest'!$B$16)*'Prepay vs Invest'!$B$15/100)</f>
        <v>774416.04546790605</v>
      </c>
      <c r="L199">
        <f t="shared" si="50"/>
        <v>8025912.3182753418</v>
      </c>
      <c r="M199">
        <f t="shared" si="58"/>
        <v>0</v>
      </c>
      <c r="N199">
        <f>IF(M199&gt;0,M199*'Prepay vs Invest'!$B$6/1200,0)</f>
        <v>0</v>
      </c>
      <c r="O199">
        <f>IF(M199&gt;0,MIN('Prepay vs Invest'!$E$5,M199+N199),0)</f>
        <v>0</v>
      </c>
      <c r="P199">
        <f>MIN(MAX(0,M199+N199-O199),IF(AND(A199&gt;='Prepay vs Invest'!$B$11,A199&lt;='Prepay vs Invest'!$B$12),'Prepay vs Invest'!$B$10,0)+IF(A199='Prepay vs Invest'!$B$9,'Prepay vs Invest'!$B$8,0))</f>
        <v>0</v>
      </c>
      <c r="Q199">
        <f t="shared" si="51"/>
        <v>0</v>
      </c>
      <c r="R199">
        <f t="shared" si="59"/>
        <v>2513741.7887809454</v>
      </c>
      <c r="S199">
        <f>IF(A199&lt;='Prepay vs Invest'!$B$7*12,MAX(0,'Prepay vs Invest'!$E$5+IF(AND(A199&gt;='Prepay vs Invest'!$B$11,A199&lt;='Prepay vs Invest'!$B$12),'Prepay vs Invest'!$B$10,0)+IF(A199='Prepay vs Invest'!$B$9,'Prepay vs Invest'!$B$8,0)-O199-P199),0)</f>
        <v>90559.31935518072</v>
      </c>
      <c r="T199">
        <f>R199*(1+MAX(0,'Prepay vs Invest'!$B$13-'Prepay vs Invest'!$B$14)/1200)+S199</f>
        <v>2628391.1336119436</v>
      </c>
      <c r="U199">
        <f t="shared" si="60"/>
        <v>2330060.9578477005</v>
      </c>
      <c r="V199">
        <f>MAX(0,(T199-U199-'Prepay vs Invest'!$B$16)*'Prepay vs Invest'!$B$15/100)</f>
        <v>21666.27197053039</v>
      </c>
      <c r="W199">
        <f t="shared" si="52"/>
        <v>2606724.8616414131</v>
      </c>
      <c r="X199">
        <f t="shared" si="61"/>
        <v>1957437.3759452777</v>
      </c>
      <c r="Y199">
        <f>IF(X199&gt;0,X199*'Prepay vs Invest'!$B$6/1200,0)</f>
        <v>12233.983599657986</v>
      </c>
      <c r="Z199">
        <f>IF(X199&gt;0,MIN(-PMT('Prepay vs Invest'!$B$6/1200,'Prepay vs Invest'!$B$7*12-A199+1,X199),X199+Y199),0)</f>
        <v>52053.710535265804</v>
      </c>
      <c r="AA199">
        <f>MIN(MAX(0,X199+Y199-Z199),IF(AND(A199&gt;='Prepay vs Invest'!$B$11,A199&lt;='Prepay vs Invest'!$B$12),'Prepay vs Invest'!$B$10,0)+IF(A199='Prepay vs Invest'!$B$9,'Prepay vs Invest'!$B$8,0))</f>
        <v>10000</v>
      </c>
      <c r="AB199">
        <f t="shared" si="53"/>
        <v>1907617.6490096699</v>
      </c>
      <c r="AC199">
        <f t="shared" si="62"/>
        <v>5889940.8253632439</v>
      </c>
      <c r="AD199">
        <f>IF(A199&lt;='Prepay vs Invest'!$B$7*12,MAX(0,'Prepay vs Invest'!$E$5+IF(AND(A199&gt;='Prepay vs Invest'!$B$11,A199&lt;='Prepay vs Invest'!$B$12),'Prepay vs Invest'!$B$10,0)+IF(A199='Prepay vs Invest'!$B$9,'Prepay vs Invest'!$B$8,0)-Z199-AA199),0)</f>
        <v>28505.608819914916</v>
      </c>
      <c r="AE199">
        <f>AC199*(1+MAX(0,'Prepay vs Invest'!$B$13-'Prepay vs Invest'!$B$14)/1200)+AD199</f>
        <v>5974891.7004262228</v>
      </c>
      <c r="AF199">
        <f t="shared" si="63"/>
        <v>2730976.8911744333</v>
      </c>
      <c r="AG199">
        <f>MAX(0,(AE199-AF199-'Prepay vs Invest'!$B$16)*'Prepay vs Invest'!$B$15/100)</f>
        <v>389864.35115647368</v>
      </c>
      <c r="AH199">
        <f t="shared" si="54"/>
        <v>5585027.3492697487</v>
      </c>
    </row>
    <row r="200" spans="1:34" x14ac:dyDescent="0.35">
      <c r="A200">
        <f t="shared" si="55"/>
        <v>199</v>
      </c>
      <c r="B200">
        <f>IF(A200&lt;='Prepay vs Invest'!$B$7*12,F199,0)</f>
        <v>2967741.7997521078</v>
      </c>
      <c r="C200">
        <f>IF(B200&gt;0,B200*'Prepay vs Invest'!$B$6/1200,0)</f>
        <v>18548.386248450672</v>
      </c>
      <c r="D200">
        <f>IF(B200&gt;0,MIN(-PMT('Prepay vs Invest'!$B$6/1200,'Prepay vs Invest'!$B$7*12,'Prepay vs Invest'!$B$5),B200+C200),0)</f>
        <v>80559.31935518072</v>
      </c>
      <c r="E200">
        <f t="shared" si="48"/>
        <v>62010.933106730052</v>
      </c>
      <c r="F200">
        <f t="shared" si="49"/>
        <v>2905730.8666453781</v>
      </c>
      <c r="G200">
        <f t="shared" si="56"/>
        <v>8800328.3637432475</v>
      </c>
      <c r="H200">
        <f>IF(A200&lt;='Prepay vs Invest'!$B$7*12,IF(AND(A200&gt;='Prepay vs Invest'!$B$11,A200&lt;='Prepay vs Invest'!$B$12),'Prepay vs Invest'!$B$10,0)+IF(A200='Prepay vs Invest'!$B$9,'Prepay vs Invest'!$B$8,0),0)</f>
        <v>10000</v>
      </c>
      <c r="I200">
        <f>G200*(1+MAX(0,'Prepay vs Invest'!$B$13-'Prepay vs Invest'!$B$14)/1200)+H200</f>
        <v>8894664.8438957855</v>
      </c>
      <c r="J200">
        <f t="shared" si="57"/>
        <v>2490000</v>
      </c>
      <c r="K200">
        <f>MAX(0,(I200-J200-'Prepay vs Invest'!$B$16)*'Prepay vs Invest'!$B$15/100)</f>
        <v>784958.10548697319</v>
      </c>
      <c r="L200">
        <f t="shared" si="50"/>
        <v>8109706.7384088123</v>
      </c>
      <c r="M200">
        <f t="shared" si="58"/>
        <v>0</v>
      </c>
      <c r="N200">
        <f>IF(M200&gt;0,M200*'Prepay vs Invest'!$B$6/1200,0)</f>
        <v>0</v>
      </c>
      <c r="O200">
        <f>IF(M200&gt;0,MIN('Prepay vs Invest'!$E$5,M200+N200),0)</f>
        <v>0</v>
      </c>
      <c r="P200">
        <f>MIN(MAX(0,M200+N200-O200),IF(AND(A200&gt;='Prepay vs Invest'!$B$11,A200&lt;='Prepay vs Invest'!$B$12),'Prepay vs Invest'!$B$10,0)+IF(A200='Prepay vs Invest'!$B$9,'Prepay vs Invest'!$B$8,0))</f>
        <v>0</v>
      </c>
      <c r="Q200">
        <f t="shared" si="51"/>
        <v>0</v>
      </c>
      <c r="R200">
        <f t="shared" si="59"/>
        <v>2628391.1336119436</v>
      </c>
      <c r="S200">
        <f>IF(A200&lt;='Prepay vs Invest'!$B$7*12,MAX(0,'Prepay vs Invest'!$E$5+IF(AND(A200&gt;='Prepay vs Invest'!$B$11,A200&lt;='Prepay vs Invest'!$B$12),'Prepay vs Invest'!$B$10,0)+IF(A200='Prepay vs Invest'!$B$9,'Prepay vs Invest'!$B$8,0)-O200-P200),0)</f>
        <v>90559.31935518072</v>
      </c>
      <c r="T200">
        <f>R200*(1+MAX(0,'Prepay vs Invest'!$B$13-'Prepay vs Invest'!$B$14)/1200)+S200</f>
        <v>2744139.2013309048</v>
      </c>
      <c r="U200">
        <f t="shared" si="60"/>
        <v>2420620.2772028809</v>
      </c>
      <c r="V200">
        <f>MAX(0,(T200-U200-'Prepay vs Invest'!$B$16)*'Prepay vs Invest'!$B$15/100)</f>
        <v>24814.865516002988</v>
      </c>
      <c r="W200">
        <f t="shared" si="52"/>
        <v>2719324.3358149016</v>
      </c>
      <c r="X200">
        <f t="shared" si="61"/>
        <v>1907617.6490096699</v>
      </c>
      <c r="Y200">
        <f>IF(X200&gt;0,X200*'Prepay vs Invest'!$B$6/1200,0)</f>
        <v>11922.610306310436</v>
      </c>
      <c r="Z200">
        <f>IF(X200&gt;0,MIN(-PMT('Prepay vs Invest'!$B$6/1200,'Prepay vs Invest'!$B$7*12-A200+1,X200),X200+Y200),0)</f>
        <v>51782.26064241492</v>
      </c>
      <c r="AA200">
        <f>MIN(MAX(0,X200+Y200-Z200),IF(AND(A200&gt;='Prepay vs Invest'!$B$11,A200&lt;='Prepay vs Invest'!$B$12),'Prepay vs Invest'!$B$10,0)+IF(A200='Prepay vs Invest'!$B$9,'Prepay vs Invest'!$B$8,0))</f>
        <v>10000</v>
      </c>
      <c r="AB200">
        <f t="shared" si="53"/>
        <v>1857757.9986735655</v>
      </c>
      <c r="AC200">
        <f t="shared" si="62"/>
        <v>5974891.7004262228</v>
      </c>
      <c r="AD200">
        <f>IF(A200&lt;='Prepay vs Invest'!$B$7*12,MAX(0,'Prepay vs Invest'!$E$5+IF(AND(A200&gt;='Prepay vs Invest'!$B$11,A200&lt;='Prepay vs Invest'!$B$12),'Prepay vs Invest'!$B$10,0)+IF(A200='Prepay vs Invest'!$B$9,'Prepay vs Invest'!$B$8,0)-Z200-AA200),0)</f>
        <v>28777.0587127658</v>
      </c>
      <c r="AE200">
        <f>AC200*(1+MAX(0,'Prepay vs Invest'!$B$13-'Prepay vs Invest'!$B$14)/1200)+AD200</f>
        <v>6060928.1379347397</v>
      </c>
      <c r="AF200">
        <f t="shared" si="63"/>
        <v>2759753.9498871989</v>
      </c>
      <c r="AG200">
        <f>MAX(0,(AE200-AF200-'Prepay vs Invest'!$B$16)*'Prepay vs Invest'!$B$15/100)</f>
        <v>397021.7735059426</v>
      </c>
      <c r="AH200">
        <f t="shared" si="54"/>
        <v>5663906.3644287968</v>
      </c>
    </row>
    <row r="201" spans="1:34" x14ac:dyDescent="0.35">
      <c r="A201">
        <f t="shared" si="55"/>
        <v>200</v>
      </c>
      <c r="B201">
        <f>IF(A201&lt;='Prepay vs Invest'!$B$7*12,F200,0)</f>
        <v>2905730.8666453781</v>
      </c>
      <c r="C201">
        <f>IF(B201&gt;0,B201*'Prepay vs Invest'!$B$6/1200,0)</f>
        <v>18160.817916533611</v>
      </c>
      <c r="D201">
        <f>IF(B201&gt;0,MIN(-PMT('Prepay vs Invest'!$B$6/1200,'Prepay vs Invest'!$B$7*12,'Prepay vs Invest'!$B$5),B201+C201),0)</f>
        <v>80559.31935518072</v>
      </c>
      <c r="E201">
        <f t="shared" si="48"/>
        <v>62398.501438647108</v>
      </c>
      <c r="F201">
        <f t="shared" si="49"/>
        <v>2843332.3652067306</v>
      </c>
      <c r="G201">
        <f t="shared" si="56"/>
        <v>8894664.8438957855</v>
      </c>
      <c r="H201">
        <f>IF(A201&lt;='Prepay vs Invest'!$B$7*12,IF(AND(A201&gt;='Prepay vs Invest'!$B$11,A201&lt;='Prepay vs Invest'!$B$12),'Prepay vs Invest'!$B$10,0)+IF(A201='Prepay vs Invest'!$B$9,'Prepay vs Invest'!$B$8,0),0)</f>
        <v>10000</v>
      </c>
      <c r="I201">
        <f>G201*(1+MAX(0,'Prepay vs Invest'!$B$13-'Prepay vs Invest'!$B$14)/1200)+H201</f>
        <v>8989905.38198312</v>
      </c>
      <c r="J201">
        <f t="shared" si="57"/>
        <v>2500000</v>
      </c>
      <c r="K201">
        <f>MAX(0,(I201-J201-'Prepay vs Invest'!$B$16)*'Prepay vs Invest'!$B$15/100)</f>
        <v>795613.17274789</v>
      </c>
      <c r="L201">
        <f t="shared" si="50"/>
        <v>8194292.2092352305</v>
      </c>
      <c r="M201">
        <f t="shared" si="58"/>
        <v>0</v>
      </c>
      <c r="N201">
        <f>IF(M201&gt;0,M201*'Prepay vs Invest'!$B$6/1200,0)</f>
        <v>0</v>
      </c>
      <c r="O201">
        <f>IF(M201&gt;0,MIN('Prepay vs Invest'!$E$5,M201+N201),0)</f>
        <v>0</v>
      </c>
      <c r="P201">
        <f>MIN(MAX(0,M201+N201-O201),IF(AND(A201&gt;='Prepay vs Invest'!$B$11,A201&lt;='Prepay vs Invest'!$B$12),'Prepay vs Invest'!$B$10,0)+IF(A201='Prepay vs Invest'!$B$9,'Prepay vs Invest'!$B$8,0))</f>
        <v>0</v>
      </c>
      <c r="Q201">
        <f t="shared" si="51"/>
        <v>0</v>
      </c>
      <c r="R201">
        <f t="shared" si="59"/>
        <v>2744139.2013309048</v>
      </c>
      <c r="S201">
        <f>IF(A201&lt;='Prepay vs Invest'!$B$7*12,MAX(0,'Prepay vs Invest'!$E$5+IF(AND(A201&gt;='Prepay vs Invest'!$B$11,A201&lt;='Prepay vs Invest'!$B$12),'Prepay vs Invest'!$B$10,0)+IF(A201='Prepay vs Invest'!$B$9,'Prepay vs Invest'!$B$8,0)-O201-P201),0)</f>
        <v>90559.31935518072</v>
      </c>
      <c r="T201">
        <f>R201*(1+MAX(0,'Prepay vs Invest'!$B$13-'Prepay vs Invest'!$B$14)/1200)+S201</f>
        <v>2860996.5213655066</v>
      </c>
      <c r="U201">
        <f t="shared" si="60"/>
        <v>2511179.5965580614</v>
      </c>
      <c r="V201">
        <f>MAX(0,(T201-U201-'Prepay vs Invest'!$B$16)*'Prepay vs Invest'!$B$15/100)</f>
        <v>28102.115600930643</v>
      </c>
      <c r="W201">
        <f t="shared" si="52"/>
        <v>2832894.405764576</v>
      </c>
      <c r="X201">
        <f t="shared" si="61"/>
        <v>1857757.9986735655</v>
      </c>
      <c r="Y201">
        <f>IF(X201&gt;0,X201*'Prepay vs Invest'!$B$6/1200,0)</f>
        <v>11610.987491709784</v>
      </c>
      <c r="Z201">
        <f>IF(X201&gt;0,MIN(-PMT('Prepay vs Invest'!$B$6/1200,'Prepay vs Invest'!$B$7*12-A201+1,X201),X201+Y201),0)</f>
        <v>51505.017762560092</v>
      </c>
      <c r="AA201">
        <f>MIN(MAX(0,X201+Y201-Z201),IF(AND(A201&gt;='Prepay vs Invest'!$B$11,A201&lt;='Prepay vs Invest'!$B$12),'Prepay vs Invest'!$B$10,0)+IF(A201='Prepay vs Invest'!$B$9,'Prepay vs Invest'!$B$8,0))</f>
        <v>10000</v>
      </c>
      <c r="AB201">
        <f t="shared" si="53"/>
        <v>1807863.9684027152</v>
      </c>
      <c r="AC201">
        <f t="shared" si="62"/>
        <v>6060928.1379347397</v>
      </c>
      <c r="AD201">
        <f>IF(A201&lt;='Prepay vs Invest'!$B$7*12,MAX(0,'Prepay vs Invest'!$E$5+IF(AND(A201&gt;='Prepay vs Invest'!$B$11,A201&lt;='Prepay vs Invest'!$B$12),'Prepay vs Invest'!$B$10,0)+IF(A201='Prepay vs Invest'!$B$9,'Prepay vs Invest'!$B$8,0)-Z201-AA201),0)</f>
        <v>29054.301592620628</v>
      </c>
      <c r="AE201">
        <f>AC201*(1+MAX(0,'Prepay vs Invest'!$B$13-'Prepay vs Invest'!$B$14)/1200)+AD201</f>
        <v>6148066.3341825679</v>
      </c>
      <c r="AF201">
        <f t="shared" si="63"/>
        <v>2788808.2514798194</v>
      </c>
      <c r="AG201">
        <f>MAX(0,(AE201-AF201-'Prepay vs Invest'!$B$16)*'Prepay vs Invest'!$B$15/100)</f>
        <v>404282.26033784362</v>
      </c>
      <c r="AH201">
        <f t="shared" si="54"/>
        <v>5743784.0738447243</v>
      </c>
    </row>
    <row r="202" spans="1:34" x14ac:dyDescent="0.35">
      <c r="A202">
        <f t="shared" si="55"/>
        <v>201</v>
      </c>
      <c r="B202">
        <f>IF(A202&lt;='Prepay vs Invest'!$B$7*12,F201,0)</f>
        <v>2843332.3652067306</v>
      </c>
      <c r="C202">
        <f>IF(B202&gt;0,B202*'Prepay vs Invest'!$B$6/1200,0)</f>
        <v>17770.827282542064</v>
      </c>
      <c r="D202">
        <f>IF(B202&gt;0,MIN(-PMT('Prepay vs Invest'!$B$6/1200,'Prepay vs Invest'!$B$7*12,'Prepay vs Invest'!$B$5),B202+C202),0)</f>
        <v>80559.31935518072</v>
      </c>
      <c r="E202">
        <f t="shared" si="48"/>
        <v>62788.492072638655</v>
      </c>
      <c r="F202">
        <f t="shared" si="49"/>
        <v>2780543.8731340915</v>
      </c>
      <c r="G202">
        <f t="shared" si="56"/>
        <v>8989905.38198312</v>
      </c>
      <c r="H202">
        <f>IF(A202&lt;='Prepay vs Invest'!$B$7*12,IF(AND(A202&gt;='Prepay vs Invest'!$B$11,A202&lt;='Prepay vs Invest'!$B$12),'Prepay vs Invest'!$B$10,0)+IF(A202='Prepay vs Invest'!$B$9,'Prepay vs Invest'!$B$8,0),0)</f>
        <v>10000</v>
      </c>
      <c r="I202">
        <f>G202*(1+MAX(0,'Prepay vs Invest'!$B$13-'Prepay vs Invest'!$B$14)/1200)+H202</f>
        <v>9086058.641893791</v>
      </c>
      <c r="J202">
        <f t="shared" si="57"/>
        <v>2510000</v>
      </c>
      <c r="K202">
        <f>MAX(0,(I202-J202-'Prepay vs Invest'!$B$16)*'Prepay vs Invest'!$B$15/100)</f>
        <v>806382.33023672388</v>
      </c>
      <c r="L202">
        <f t="shared" si="50"/>
        <v>8279676.3116570674</v>
      </c>
      <c r="M202">
        <f t="shared" si="58"/>
        <v>0</v>
      </c>
      <c r="N202">
        <f>IF(M202&gt;0,M202*'Prepay vs Invest'!$B$6/1200,0)</f>
        <v>0</v>
      </c>
      <c r="O202">
        <f>IF(M202&gt;0,MIN('Prepay vs Invest'!$E$5,M202+N202),0)</f>
        <v>0</v>
      </c>
      <c r="P202">
        <f>MIN(MAX(0,M202+N202-O202),IF(AND(A202&gt;='Prepay vs Invest'!$B$11,A202&lt;='Prepay vs Invest'!$B$12),'Prepay vs Invest'!$B$10,0)+IF(A202='Prepay vs Invest'!$B$9,'Prepay vs Invest'!$B$8,0))</f>
        <v>0</v>
      </c>
      <c r="Q202">
        <f t="shared" si="51"/>
        <v>0</v>
      </c>
      <c r="R202">
        <f t="shared" si="59"/>
        <v>2860996.5213655066</v>
      </c>
      <c r="S202">
        <f>IF(A202&lt;='Prepay vs Invest'!$B$7*12,MAX(0,'Prepay vs Invest'!$E$5+IF(AND(A202&gt;='Prepay vs Invest'!$B$11,A202&lt;='Prepay vs Invest'!$B$12),'Prepay vs Invest'!$B$10,0)+IF(A202='Prepay vs Invest'!$B$9,'Prepay vs Invest'!$B$8,0)-O202-P202),0)</f>
        <v>90559.31935518072</v>
      </c>
      <c r="T202">
        <f>R202*(1+MAX(0,'Prepay vs Invest'!$B$13-'Prepay vs Invest'!$B$14)/1200)+S202</f>
        <v>2978973.7240504399</v>
      </c>
      <c r="U202">
        <f t="shared" si="60"/>
        <v>2601738.9159132419</v>
      </c>
      <c r="V202">
        <f>MAX(0,(T202-U202-'Prepay vs Invest'!$B$16)*'Prepay vs Invest'!$B$15/100)</f>
        <v>31529.351017149747</v>
      </c>
      <c r="W202">
        <f t="shared" si="52"/>
        <v>2947444.3730332903</v>
      </c>
      <c r="X202">
        <f t="shared" si="61"/>
        <v>1807863.9684027152</v>
      </c>
      <c r="Y202">
        <f>IF(X202&gt;0,X202*'Prepay vs Invest'!$B$6/1200,0)</f>
        <v>11299.149802516971</v>
      </c>
      <c r="Z202">
        <f>IF(X202&gt;0,MIN(-PMT('Prepay vs Invest'!$B$6/1200,'Prepay vs Invest'!$B$7*12-A202+1,X202),X202+Y202),0)</f>
        <v>51221.690634360195</v>
      </c>
      <c r="AA202">
        <f>MIN(MAX(0,X202+Y202-Z202),IF(AND(A202&gt;='Prepay vs Invest'!$B$11,A202&lt;='Prepay vs Invest'!$B$12),'Prepay vs Invest'!$B$10,0)+IF(A202='Prepay vs Invest'!$B$9,'Prepay vs Invest'!$B$8,0))</f>
        <v>10000</v>
      </c>
      <c r="AB202">
        <f t="shared" si="53"/>
        <v>1757941.4275708718</v>
      </c>
      <c r="AC202">
        <f t="shared" si="62"/>
        <v>6148066.3341825679</v>
      </c>
      <c r="AD202">
        <f>IF(A202&lt;='Prepay vs Invest'!$B$7*12,MAX(0,'Prepay vs Invest'!$E$5+IF(AND(A202&gt;='Prepay vs Invest'!$B$11,A202&lt;='Prepay vs Invest'!$B$12),'Prepay vs Invest'!$B$10,0)+IF(A202='Prepay vs Invest'!$B$9,'Prepay vs Invest'!$B$8,0)-Z202-AA202),0)</f>
        <v>29337.628720820525</v>
      </c>
      <c r="AE202">
        <f>AC202*(1+MAX(0,'Prepay vs Invest'!$B$13-'Prepay vs Invest'!$B$14)/1200)+AD202</f>
        <v>6236322.9319393048</v>
      </c>
      <c r="AF202">
        <f t="shared" si="63"/>
        <v>2818145.8802006398</v>
      </c>
      <c r="AG202">
        <f>MAX(0,(AE202-AF202-'Prepay vs Invest'!$B$16)*'Prepay vs Invest'!$B$15/100)</f>
        <v>411647.13146733312</v>
      </c>
      <c r="AH202">
        <f t="shared" si="54"/>
        <v>5824675.8004719717</v>
      </c>
    </row>
    <row r="203" spans="1:34" x14ac:dyDescent="0.35">
      <c r="A203">
        <f t="shared" si="55"/>
        <v>202</v>
      </c>
      <c r="B203">
        <f>IF(A203&lt;='Prepay vs Invest'!$B$7*12,F202,0)</f>
        <v>2780543.8731340915</v>
      </c>
      <c r="C203">
        <f>IF(B203&gt;0,B203*'Prepay vs Invest'!$B$6/1200,0)</f>
        <v>17378.39920708807</v>
      </c>
      <c r="D203">
        <f>IF(B203&gt;0,MIN(-PMT('Prepay vs Invest'!$B$6/1200,'Prepay vs Invest'!$B$7*12,'Prepay vs Invest'!$B$5),B203+C203),0)</f>
        <v>80559.31935518072</v>
      </c>
      <c r="E203">
        <f t="shared" si="48"/>
        <v>63180.920148092649</v>
      </c>
      <c r="F203">
        <f t="shared" si="49"/>
        <v>2717362.9529859992</v>
      </c>
      <c r="G203">
        <f t="shared" si="56"/>
        <v>9086058.641893791</v>
      </c>
      <c r="H203">
        <f>IF(A203&lt;='Prepay vs Invest'!$B$7*12,IF(AND(A203&gt;='Prepay vs Invest'!$B$11,A203&lt;='Prepay vs Invest'!$B$12),'Prepay vs Invest'!$B$10,0)+IF(A203='Prepay vs Invest'!$B$9,'Prepay vs Invest'!$B$8,0),0)</f>
        <v>10000</v>
      </c>
      <c r="I203">
        <f>G203*(1+MAX(0,'Prepay vs Invest'!$B$13-'Prepay vs Invest'!$B$14)/1200)+H203</f>
        <v>9183133.3705452718</v>
      </c>
      <c r="J203">
        <f t="shared" si="57"/>
        <v>2520000</v>
      </c>
      <c r="K203">
        <f>MAX(0,(I203-J203-'Prepay vs Invest'!$B$16)*'Prepay vs Invest'!$B$15/100)</f>
        <v>817266.67131815897</v>
      </c>
      <c r="L203">
        <f t="shared" si="50"/>
        <v>8365866.6992271133</v>
      </c>
      <c r="M203">
        <f t="shared" si="58"/>
        <v>0</v>
      </c>
      <c r="N203">
        <f>IF(M203&gt;0,M203*'Prepay vs Invest'!$B$6/1200,0)</f>
        <v>0</v>
      </c>
      <c r="O203">
        <f>IF(M203&gt;0,MIN('Prepay vs Invest'!$E$5,M203+N203),0)</f>
        <v>0</v>
      </c>
      <c r="P203">
        <f>MIN(MAX(0,M203+N203-O203),IF(AND(A203&gt;='Prepay vs Invest'!$B$11,A203&lt;='Prepay vs Invest'!$B$12),'Prepay vs Invest'!$B$10,0)+IF(A203='Prepay vs Invest'!$B$9,'Prepay vs Invest'!$B$8,0))</f>
        <v>0</v>
      </c>
      <c r="Q203">
        <f t="shared" si="51"/>
        <v>0</v>
      </c>
      <c r="R203">
        <f t="shared" si="59"/>
        <v>2978973.7240504399</v>
      </c>
      <c r="S203">
        <f>IF(A203&lt;='Prepay vs Invest'!$B$7*12,MAX(0,'Prepay vs Invest'!$E$5+IF(AND(A203&gt;='Prepay vs Invest'!$B$11,A203&lt;='Prepay vs Invest'!$B$12),'Prepay vs Invest'!$B$10,0)+IF(A203='Prepay vs Invest'!$B$9,'Prepay vs Invest'!$B$8,0)-O203-P203),0)</f>
        <v>90559.31935518072</v>
      </c>
      <c r="T203">
        <f>R203*(1+MAX(0,'Prepay vs Invest'!$B$13-'Prepay vs Invest'!$B$14)/1200)+S203</f>
        <v>3098081.5415944373</v>
      </c>
      <c r="U203">
        <f t="shared" si="60"/>
        <v>2692298.2352684224</v>
      </c>
      <c r="V203">
        <f>MAX(0,(T203-U203-'Prepay vs Invest'!$B$16)*'Prepay vs Invest'!$B$15/100)</f>
        <v>35097.913290751865</v>
      </c>
      <c r="W203">
        <f t="shared" si="52"/>
        <v>3062983.6283036852</v>
      </c>
      <c r="X203">
        <f t="shared" si="61"/>
        <v>1757941.4275708718</v>
      </c>
      <c r="Y203">
        <f>IF(X203&gt;0,X203*'Prepay vs Invest'!$B$6/1200,0)</f>
        <v>10987.133922317949</v>
      </c>
      <c r="Z203">
        <f>IF(X203&gt;0,MIN(-PMT('Prepay vs Invest'!$B$6/1200,'Prepay vs Invest'!$B$7*12-A203+1,X203),X203+Y203),0)</f>
        <v>50931.965591236236</v>
      </c>
      <c r="AA203">
        <f>MIN(MAX(0,X203+Y203-Z203),IF(AND(A203&gt;='Prepay vs Invest'!$B$11,A203&lt;='Prepay vs Invest'!$B$12),'Prepay vs Invest'!$B$10,0)+IF(A203='Prepay vs Invest'!$B$9,'Prepay vs Invest'!$B$8,0))</f>
        <v>10000</v>
      </c>
      <c r="AB203">
        <f t="shared" si="53"/>
        <v>1707996.5959019535</v>
      </c>
      <c r="AC203">
        <f t="shared" si="62"/>
        <v>6236322.9319393048</v>
      </c>
      <c r="AD203">
        <f>IF(A203&lt;='Prepay vs Invest'!$B$7*12,MAX(0,'Prepay vs Invest'!$E$5+IF(AND(A203&gt;='Prepay vs Invest'!$B$11,A203&lt;='Prepay vs Invest'!$B$12),'Prepay vs Invest'!$B$10,0)+IF(A203='Prepay vs Invest'!$B$9,'Prepay vs Invest'!$B$8,0)-Z203-AA203),0)</f>
        <v>29627.353763944484</v>
      </c>
      <c r="AE203">
        <f>AC203*(1+MAX(0,'Prepay vs Invest'!$B$13-'Prepay vs Invest'!$B$14)/1200)+AD203</f>
        <v>6325715.0471343342</v>
      </c>
      <c r="AF203">
        <f t="shared" si="63"/>
        <v>2847773.2339645843</v>
      </c>
      <c r="AG203">
        <f>MAX(0,(AE203-AF203-'Prepay vs Invest'!$B$16)*'Prepay vs Invest'!$B$15/100)</f>
        <v>419117.72664621874</v>
      </c>
      <c r="AH203">
        <f t="shared" si="54"/>
        <v>5906597.3204881158</v>
      </c>
    </row>
    <row r="204" spans="1:34" x14ac:dyDescent="0.35">
      <c r="A204">
        <f t="shared" si="55"/>
        <v>203</v>
      </c>
      <c r="B204">
        <f>IF(A204&lt;='Prepay vs Invest'!$B$7*12,F203,0)</f>
        <v>2717362.9529859992</v>
      </c>
      <c r="C204">
        <f>IF(B204&gt;0,B204*'Prepay vs Invest'!$B$6/1200,0)</f>
        <v>16983.518456162492</v>
      </c>
      <c r="D204">
        <f>IF(B204&gt;0,MIN(-PMT('Prepay vs Invest'!$B$6/1200,'Prepay vs Invest'!$B$7*12,'Prepay vs Invest'!$B$5),B204+C204),0)</f>
        <v>80559.31935518072</v>
      </c>
      <c r="E204">
        <f t="shared" si="48"/>
        <v>63575.800899018228</v>
      </c>
      <c r="F204">
        <f t="shared" si="49"/>
        <v>2653787.1520869806</v>
      </c>
      <c r="G204">
        <f t="shared" si="56"/>
        <v>9183133.3705452718</v>
      </c>
      <c r="H204">
        <f>IF(A204&lt;='Prepay vs Invest'!$B$7*12,IF(AND(A204&gt;='Prepay vs Invest'!$B$11,A204&lt;='Prepay vs Invest'!$B$12),'Prepay vs Invest'!$B$10,0)+IF(A204='Prepay vs Invest'!$B$9,'Prepay vs Invest'!$B$8,0),0)</f>
        <v>10000</v>
      </c>
      <c r="I204">
        <f>G204*(1+MAX(0,'Prepay vs Invest'!$B$13-'Prepay vs Invest'!$B$14)/1200)+H204</f>
        <v>9281138.3986796644</v>
      </c>
      <c r="J204">
        <f t="shared" si="57"/>
        <v>2530000</v>
      </c>
      <c r="K204">
        <f>MAX(0,(I204-J204-'Prepay vs Invest'!$B$16)*'Prepay vs Invest'!$B$15/100)</f>
        <v>828267.29983495804</v>
      </c>
      <c r="L204">
        <f t="shared" si="50"/>
        <v>8452871.098844707</v>
      </c>
      <c r="M204">
        <f t="shared" si="58"/>
        <v>0</v>
      </c>
      <c r="N204">
        <f>IF(M204&gt;0,M204*'Prepay vs Invest'!$B$6/1200,0)</f>
        <v>0</v>
      </c>
      <c r="O204">
        <f>IF(M204&gt;0,MIN('Prepay vs Invest'!$E$5,M204+N204),0)</f>
        <v>0</v>
      </c>
      <c r="P204">
        <f>MIN(MAX(0,M204+N204-O204),IF(AND(A204&gt;='Prepay vs Invest'!$B$11,A204&lt;='Prepay vs Invest'!$B$12),'Prepay vs Invest'!$B$10,0)+IF(A204='Prepay vs Invest'!$B$9,'Prepay vs Invest'!$B$8,0))</f>
        <v>0</v>
      </c>
      <c r="Q204">
        <f t="shared" si="51"/>
        <v>0</v>
      </c>
      <c r="R204">
        <f t="shared" si="59"/>
        <v>3098081.5415944373</v>
      </c>
      <c r="S204">
        <f>IF(A204&lt;='Prepay vs Invest'!$B$7*12,MAX(0,'Prepay vs Invest'!$E$5+IF(AND(A204&gt;='Prepay vs Invest'!$B$11,A204&lt;='Prepay vs Invest'!$B$12),'Prepay vs Invest'!$B$10,0)+IF(A204='Prepay vs Invest'!$B$9,'Prepay vs Invest'!$B$8,0)-O204-P204),0)</f>
        <v>90559.31935518072</v>
      </c>
      <c r="T204">
        <f>R204*(1+MAX(0,'Prepay vs Invest'!$B$13-'Prepay vs Invest'!$B$14)/1200)+S204</f>
        <v>3218330.8090565642</v>
      </c>
      <c r="U204">
        <f t="shared" si="60"/>
        <v>2782857.5546236029</v>
      </c>
      <c r="V204">
        <f>MAX(0,(T204-U204-'Prepay vs Invest'!$B$16)*'Prepay vs Invest'!$B$15/100)</f>
        <v>38809.156804120168</v>
      </c>
      <c r="W204">
        <f t="shared" si="52"/>
        <v>3179521.6522524441</v>
      </c>
      <c r="X204">
        <f t="shared" si="61"/>
        <v>1707996.5959019535</v>
      </c>
      <c r="Y204">
        <f>IF(X204&gt;0,X204*'Prepay vs Invest'!$B$6/1200,0)</f>
        <v>10674.978724387209</v>
      </c>
      <c r="Z204">
        <f>IF(X204&gt;0,MIN(-PMT('Prepay vs Invest'!$B$6/1200,'Prepay vs Invest'!$B$7*12-A204+1,X204),X204+Y204),0)</f>
        <v>50635.504202938231</v>
      </c>
      <c r="AA204">
        <f>MIN(MAX(0,X204+Y204-Z204),IF(AND(A204&gt;='Prepay vs Invest'!$B$11,A204&lt;='Prepay vs Invest'!$B$12),'Prepay vs Invest'!$B$10,0)+IF(A204='Prepay vs Invest'!$B$9,'Prepay vs Invest'!$B$8,0))</f>
        <v>10000</v>
      </c>
      <c r="AB204">
        <f t="shared" si="53"/>
        <v>1658036.0704234026</v>
      </c>
      <c r="AC204">
        <f t="shared" si="62"/>
        <v>6325715.0471343342</v>
      </c>
      <c r="AD204">
        <f>IF(A204&lt;='Prepay vs Invest'!$B$7*12,MAX(0,'Prepay vs Invest'!$E$5+IF(AND(A204&gt;='Prepay vs Invest'!$B$11,A204&lt;='Prepay vs Invest'!$B$12),'Prepay vs Invest'!$B$10,0)+IF(A204='Prepay vs Invest'!$B$9,'Prepay vs Invest'!$B$8,0)-Z204-AA204),0)</f>
        <v>29923.815152242489</v>
      </c>
      <c r="AE204">
        <f>AC204*(1+MAX(0,'Prepay vs Invest'!$B$13-'Prepay vs Invest'!$B$14)/1200)+AD204</f>
        <v>6416260.2981549473</v>
      </c>
      <c r="AF204">
        <f t="shared" si="63"/>
        <v>2877697.0491168266</v>
      </c>
      <c r="AG204">
        <f>MAX(0,(AE204-AF204-'Prepay vs Invest'!$B$16)*'Prepay vs Invest'!$B$15/100)</f>
        <v>426695.40612976509</v>
      </c>
      <c r="AH204">
        <f t="shared" si="54"/>
        <v>5989564.892025182</v>
      </c>
    </row>
    <row r="205" spans="1:34" x14ac:dyDescent="0.35">
      <c r="A205">
        <f t="shared" si="55"/>
        <v>204</v>
      </c>
      <c r="B205">
        <f>IF(A205&lt;='Prepay vs Invest'!$B$7*12,F204,0)</f>
        <v>2653787.1520869806</v>
      </c>
      <c r="C205">
        <f>IF(B205&gt;0,B205*'Prepay vs Invest'!$B$6/1200,0)</f>
        <v>16586.169700543629</v>
      </c>
      <c r="D205">
        <f>IF(B205&gt;0,MIN(-PMT('Prepay vs Invest'!$B$6/1200,'Prepay vs Invest'!$B$7*12,'Prepay vs Invest'!$B$5),B205+C205),0)</f>
        <v>80559.31935518072</v>
      </c>
      <c r="E205">
        <f t="shared" si="48"/>
        <v>63973.149654637091</v>
      </c>
      <c r="F205">
        <f t="shared" si="49"/>
        <v>2589814.0024323436</v>
      </c>
      <c r="G205">
        <f t="shared" si="56"/>
        <v>9281138.3986796644</v>
      </c>
      <c r="H205">
        <f>IF(A205&lt;='Prepay vs Invest'!$B$7*12,IF(AND(A205&gt;='Prepay vs Invest'!$B$11,A205&lt;='Prepay vs Invest'!$B$12),'Prepay vs Invest'!$B$10,0)+IF(A205='Prepay vs Invest'!$B$9,'Prepay vs Invest'!$B$8,0),0)</f>
        <v>10000</v>
      </c>
      <c r="I205">
        <f>G205*(1+MAX(0,'Prepay vs Invest'!$B$13-'Prepay vs Invest'!$B$14)/1200)+H205</f>
        <v>9380082.6416670103</v>
      </c>
      <c r="J205">
        <f t="shared" si="57"/>
        <v>2540000</v>
      </c>
      <c r="K205">
        <f>MAX(0,(I205-J205-'Prepay vs Invest'!$B$16)*'Prepay vs Invest'!$B$15/100)</f>
        <v>839385.3302083764</v>
      </c>
      <c r="L205">
        <f t="shared" si="50"/>
        <v>8540697.3114586342</v>
      </c>
      <c r="M205">
        <f t="shared" si="58"/>
        <v>0</v>
      </c>
      <c r="N205">
        <f>IF(M205&gt;0,M205*'Prepay vs Invest'!$B$6/1200,0)</f>
        <v>0</v>
      </c>
      <c r="O205">
        <f>IF(M205&gt;0,MIN('Prepay vs Invest'!$E$5,M205+N205),0)</f>
        <v>0</v>
      </c>
      <c r="P205">
        <f>MIN(MAX(0,M205+N205-O205),IF(AND(A205&gt;='Prepay vs Invest'!$B$11,A205&lt;='Prepay vs Invest'!$B$12),'Prepay vs Invest'!$B$10,0)+IF(A205='Prepay vs Invest'!$B$9,'Prepay vs Invest'!$B$8,0))</f>
        <v>0</v>
      </c>
      <c r="Q205">
        <f t="shared" si="51"/>
        <v>0</v>
      </c>
      <c r="R205">
        <f t="shared" si="59"/>
        <v>3218330.8090565642</v>
      </c>
      <c r="S205">
        <f>IF(A205&lt;='Prepay vs Invest'!$B$7*12,MAX(0,'Prepay vs Invest'!$E$5+IF(AND(A205&gt;='Prepay vs Invest'!$B$11,A205&lt;='Prepay vs Invest'!$B$12),'Prepay vs Invest'!$B$10,0)+IF(A205='Prepay vs Invest'!$B$9,'Prepay vs Invest'!$B$8,0)-O205-P205),0)</f>
        <v>90559.31935518072</v>
      </c>
      <c r="T205">
        <f>R205*(1+MAX(0,'Prepay vs Invest'!$B$13-'Prepay vs Invest'!$B$14)/1200)+S205</f>
        <v>3339732.4653318701</v>
      </c>
      <c r="U205">
        <f t="shared" si="60"/>
        <v>2873416.8739787834</v>
      </c>
      <c r="V205">
        <f>MAX(0,(T205-U205-'Prepay vs Invest'!$B$16)*'Prepay vs Invest'!$B$15/100)</f>
        <v>42664.448919135844</v>
      </c>
      <c r="W205">
        <f t="shared" si="52"/>
        <v>3297068.0164127341</v>
      </c>
      <c r="X205">
        <f t="shared" si="61"/>
        <v>1658036.0704234026</v>
      </c>
      <c r="Y205">
        <f>IF(X205&gt;0,X205*'Prepay vs Invest'!$B$6/1200,0)</f>
        <v>10362.725440146267</v>
      </c>
      <c r="Z205">
        <f>IF(X205&gt;0,MIN(-PMT('Prepay vs Invest'!$B$6/1200,'Prepay vs Invest'!$B$7*12-A205+1,X205),X205+Y205),0)</f>
        <v>50331.940598404857</v>
      </c>
      <c r="AA205">
        <f>MIN(MAX(0,X205+Y205-Z205),IF(AND(A205&gt;='Prepay vs Invest'!$B$11,A205&lt;='Prepay vs Invest'!$B$12),'Prepay vs Invest'!$B$10,0)+IF(A205='Prepay vs Invest'!$B$9,'Prepay vs Invest'!$B$8,0))</f>
        <v>10000</v>
      </c>
      <c r="AB205">
        <f t="shared" si="53"/>
        <v>1608066.8552651438</v>
      </c>
      <c r="AC205">
        <f t="shared" si="62"/>
        <v>6416260.2981549473</v>
      </c>
      <c r="AD205">
        <f>IF(A205&lt;='Prepay vs Invest'!$B$7*12,MAX(0,'Prepay vs Invest'!$E$5+IF(AND(A205&gt;='Prepay vs Invest'!$B$11,A205&lt;='Prepay vs Invest'!$B$12),'Prepay vs Invest'!$B$10,0)+IF(A205='Prepay vs Invest'!$B$9,'Prepay vs Invest'!$B$8,0)-Z205-AA205),0)</f>
        <v>30227.378756775863</v>
      </c>
      <c r="AE205">
        <f>AC205*(1+MAX(0,'Prepay vs Invest'!$B$13-'Prepay vs Invest'!$B$14)/1200)+AD205</f>
        <v>6507976.8381023742</v>
      </c>
      <c r="AF205">
        <f t="shared" si="63"/>
        <v>2907924.4278736026</v>
      </c>
      <c r="AG205">
        <f>MAX(0,(AE205-AF205-'Prepay vs Invest'!$B$16)*'Prepay vs Invest'!$B$15/100)</f>
        <v>434381.55127859645</v>
      </c>
      <c r="AH205">
        <f t="shared" si="54"/>
        <v>6073595.2868237775</v>
      </c>
    </row>
    <row r="206" spans="1:34" x14ac:dyDescent="0.35">
      <c r="A206">
        <f t="shared" si="55"/>
        <v>205</v>
      </c>
      <c r="B206">
        <f>IF(A206&lt;='Prepay vs Invest'!$B$7*12,F205,0)</f>
        <v>2589814.0024323436</v>
      </c>
      <c r="C206">
        <f>IF(B206&gt;0,B206*'Prepay vs Invest'!$B$6/1200,0)</f>
        <v>16186.337515202145</v>
      </c>
      <c r="D206">
        <f>IF(B206&gt;0,MIN(-PMT('Prepay vs Invest'!$B$6/1200,'Prepay vs Invest'!$B$7*12,'Prepay vs Invest'!$B$5),B206+C206),0)</f>
        <v>80559.31935518072</v>
      </c>
      <c r="E206">
        <f t="shared" si="48"/>
        <v>64372.981839978573</v>
      </c>
      <c r="F206">
        <f t="shared" si="49"/>
        <v>2525441.0205923654</v>
      </c>
      <c r="G206">
        <f t="shared" si="56"/>
        <v>9380082.6416670103</v>
      </c>
      <c r="H206">
        <f>IF(A206&lt;='Prepay vs Invest'!$B$7*12,IF(AND(A206&gt;='Prepay vs Invest'!$B$11,A206&lt;='Prepay vs Invest'!$B$12),'Prepay vs Invest'!$B$10,0)+IF(A206='Prepay vs Invest'!$B$9,'Prepay vs Invest'!$B$8,0),0)</f>
        <v>10000</v>
      </c>
      <c r="I206">
        <f>G206*(1+MAX(0,'Prepay vs Invest'!$B$13-'Prepay vs Invest'!$B$14)/1200)+H206</f>
        <v>9479975.1003163178</v>
      </c>
      <c r="J206">
        <f t="shared" si="57"/>
        <v>2550000</v>
      </c>
      <c r="K206">
        <f>MAX(0,(I206-J206-'Prepay vs Invest'!$B$16)*'Prepay vs Invest'!$B$15/100)</f>
        <v>850621.88753953984</v>
      </c>
      <c r="L206">
        <f t="shared" si="50"/>
        <v>8629353.2127767783</v>
      </c>
      <c r="M206">
        <f t="shared" si="58"/>
        <v>0</v>
      </c>
      <c r="N206">
        <f>IF(M206&gt;0,M206*'Prepay vs Invest'!$B$6/1200,0)</f>
        <v>0</v>
      </c>
      <c r="O206">
        <f>IF(M206&gt;0,MIN('Prepay vs Invest'!$E$5,M206+N206),0)</f>
        <v>0</v>
      </c>
      <c r="P206">
        <f>MIN(MAX(0,M206+N206-O206),IF(AND(A206&gt;='Prepay vs Invest'!$B$11,A206&lt;='Prepay vs Invest'!$B$12),'Prepay vs Invest'!$B$10,0)+IF(A206='Prepay vs Invest'!$B$9,'Prepay vs Invest'!$B$8,0))</f>
        <v>0</v>
      </c>
      <c r="Q206">
        <f t="shared" si="51"/>
        <v>0</v>
      </c>
      <c r="R206">
        <f t="shared" si="59"/>
        <v>3339732.4653318701</v>
      </c>
      <c r="S206">
        <f>IF(A206&lt;='Prepay vs Invest'!$B$7*12,MAX(0,'Prepay vs Invest'!$E$5+IF(AND(A206&gt;='Prepay vs Invest'!$B$11,A206&lt;='Prepay vs Invest'!$B$12),'Prepay vs Invest'!$B$10,0)+IF(A206='Prepay vs Invest'!$B$9,'Prepay vs Invest'!$B$8,0)-O206-P206),0)</f>
        <v>90559.31935518072</v>
      </c>
      <c r="T206">
        <f>R206*(1+MAX(0,'Prepay vs Invest'!$B$13-'Prepay vs Invest'!$B$14)/1200)+S206</f>
        <v>3462297.5541464807</v>
      </c>
      <c r="U206">
        <f t="shared" si="60"/>
        <v>2963976.1933339639</v>
      </c>
      <c r="V206">
        <f>MAX(0,(T206-U206-'Prepay vs Invest'!$B$16)*'Prepay vs Invest'!$B$15/100)</f>
        <v>46665.17010156461</v>
      </c>
      <c r="W206">
        <f t="shared" si="52"/>
        <v>3415632.3840449164</v>
      </c>
      <c r="X206">
        <f t="shared" si="61"/>
        <v>1608066.8552651438</v>
      </c>
      <c r="Y206">
        <f>IF(X206&gt;0,X206*'Prepay vs Invest'!$B$6/1200,0)</f>
        <v>10050.417845407148</v>
      </c>
      <c r="Z206">
        <f>IF(X206&gt;0,MIN(-PMT('Prepay vs Invest'!$B$6/1200,'Prepay vs Invest'!$B$7*12-A206+1,X206),X206+Y206),0)</f>
        <v>50020.878416798289</v>
      </c>
      <c r="AA206">
        <f>MIN(MAX(0,X206+Y206-Z206),IF(AND(A206&gt;='Prepay vs Invest'!$B$11,A206&lt;='Prepay vs Invest'!$B$12),'Prepay vs Invest'!$B$10,0)+IF(A206='Prepay vs Invest'!$B$9,'Prepay vs Invest'!$B$8,0))</f>
        <v>10000</v>
      </c>
      <c r="AB206">
        <f t="shared" si="53"/>
        <v>1558096.3946937525</v>
      </c>
      <c r="AC206">
        <f t="shared" si="62"/>
        <v>6507976.8381023742</v>
      </c>
      <c r="AD206">
        <f>IF(A206&lt;='Prepay vs Invest'!$B$7*12,MAX(0,'Prepay vs Invest'!$E$5+IF(AND(A206&gt;='Prepay vs Invest'!$B$11,A206&lt;='Prepay vs Invest'!$B$12),'Prepay vs Invest'!$B$10,0)+IF(A206='Prepay vs Invest'!$B$9,'Prepay vs Invest'!$B$8,0)-Z206-AA206),0)</f>
        <v>30538.440938382431</v>
      </c>
      <c r="AE206">
        <f>AC206*(1+MAX(0,'Prepay vs Invest'!$B$13-'Prepay vs Invest'!$B$14)/1200)+AD206</f>
        <v>6600883.3904059036</v>
      </c>
      <c r="AF206">
        <f t="shared" si="63"/>
        <v>2938462.868811985</v>
      </c>
      <c r="AG206">
        <f>MAX(0,(AE206-AF206-'Prepay vs Invest'!$B$16)*'Prepay vs Invest'!$B$15/100)</f>
        <v>442177.56519923988</v>
      </c>
      <c r="AH206">
        <f t="shared" si="54"/>
        <v>6158705.8252066635</v>
      </c>
    </row>
    <row r="207" spans="1:34" x14ac:dyDescent="0.35">
      <c r="A207">
        <f t="shared" si="55"/>
        <v>206</v>
      </c>
      <c r="B207">
        <f>IF(A207&lt;='Prepay vs Invest'!$B$7*12,F206,0)</f>
        <v>2525441.0205923654</v>
      </c>
      <c r="C207">
        <f>IF(B207&gt;0,B207*'Prepay vs Invest'!$B$6/1200,0)</f>
        <v>15784.006378702285</v>
      </c>
      <c r="D207">
        <f>IF(B207&gt;0,MIN(-PMT('Prepay vs Invest'!$B$6/1200,'Prepay vs Invest'!$B$7*12,'Prepay vs Invest'!$B$5),B207+C207),0)</f>
        <v>80559.31935518072</v>
      </c>
      <c r="E207">
        <f t="shared" si="48"/>
        <v>64775.312976478439</v>
      </c>
      <c r="F207">
        <f t="shared" si="49"/>
        <v>2460665.7076158868</v>
      </c>
      <c r="G207">
        <f t="shared" si="56"/>
        <v>9479975.1003163178</v>
      </c>
      <c r="H207">
        <f>IF(A207&lt;='Prepay vs Invest'!$B$7*12,IF(AND(A207&gt;='Prepay vs Invest'!$B$11,A207&lt;='Prepay vs Invest'!$B$12),'Prepay vs Invest'!$B$10,0)+IF(A207='Prepay vs Invest'!$B$9,'Prepay vs Invest'!$B$8,0),0)</f>
        <v>10000</v>
      </c>
      <c r="I207">
        <f>G207*(1+MAX(0,'Prepay vs Invest'!$B$13-'Prepay vs Invest'!$B$14)/1200)+H207</f>
        <v>9580824.861694349</v>
      </c>
      <c r="J207">
        <f t="shared" si="57"/>
        <v>2560000</v>
      </c>
      <c r="K207">
        <f>MAX(0,(I207-J207-'Prepay vs Invest'!$B$16)*'Prepay vs Invest'!$B$15/100)</f>
        <v>861978.10771179362</v>
      </c>
      <c r="L207">
        <f t="shared" si="50"/>
        <v>8718846.7539825551</v>
      </c>
      <c r="M207">
        <f t="shared" si="58"/>
        <v>0</v>
      </c>
      <c r="N207">
        <f>IF(M207&gt;0,M207*'Prepay vs Invest'!$B$6/1200,0)</f>
        <v>0</v>
      </c>
      <c r="O207">
        <f>IF(M207&gt;0,MIN('Prepay vs Invest'!$E$5,M207+N207),0)</f>
        <v>0</v>
      </c>
      <c r="P207">
        <f>MIN(MAX(0,M207+N207-O207),IF(AND(A207&gt;='Prepay vs Invest'!$B$11,A207&lt;='Prepay vs Invest'!$B$12),'Prepay vs Invest'!$B$10,0)+IF(A207='Prepay vs Invest'!$B$9,'Prepay vs Invest'!$B$8,0))</f>
        <v>0</v>
      </c>
      <c r="Q207">
        <f t="shared" si="51"/>
        <v>0</v>
      </c>
      <c r="R207">
        <f t="shared" si="59"/>
        <v>3462297.5541464807</v>
      </c>
      <c r="S207">
        <f>IF(A207&lt;='Prepay vs Invest'!$B$7*12,MAX(0,'Prepay vs Invest'!$E$5+IF(AND(A207&gt;='Prepay vs Invest'!$B$11,A207&lt;='Prepay vs Invest'!$B$12),'Prepay vs Invest'!$B$10,0)+IF(A207='Prepay vs Invest'!$B$9,'Prepay vs Invest'!$B$8,0)-O207-P207),0)</f>
        <v>90559.31935518072</v>
      </c>
      <c r="T207">
        <f>R207*(1+MAX(0,'Prepay vs Invest'!$B$13-'Prepay vs Invest'!$B$14)/1200)+S207</f>
        <v>3586037.2250622315</v>
      </c>
      <c r="U207">
        <f t="shared" si="60"/>
        <v>3054535.5126891444</v>
      </c>
      <c r="V207">
        <f>MAX(0,(T207-U207-'Prepay vs Invest'!$B$16)*'Prepay vs Invest'!$B$15/100)</f>
        <v>50812.714046635898</v>
      </c>
      <c r="W207">
        <f t="shared" si="52"/>
        <v>3535224.5110155959</v>
      </c>
      <c r="X207">
        <f t="shared" si="61"/>
        <v>1558096.3946937525</v>
      </c>
      <c r="Y207">
        <f>IF(X207&gt;0,X207*'Prepay vs Invest'!$B$6/1200,0)</f>
        <v>9738.1024668359532</v>
      </c>
      <c r="Z207">
        <f>IF(X207&gt;0,MIN(-PMT('Prepay vs Invest'!$B$6/1200,'Prepay vs Invest'!$B$7*12-A207+1,X207),X207+Y207),0)</f>
        <v>49701.887322972274</v>
      </c>
      <c r="AA207">
        <f>MIN(MAX(0,X207+Y207-Z207),IF(AND(A207&gt;='Prepay vs Invest'!$B$11,A207&lt;='Prepay vs Invest'!$B$12),'Prepay vs Invest'!$B$10,0)+IF(A207='Prepay vs Invest'!$B$9,'Prepay vs Invest'!$B$8,0))</f>
        <v>10000</v>
      </c>
      <c r="AB207">
        <f t="shared" si="53"/>
        <v>1508132.6098376161</v>
      </c>
      <c r="AC207">
        <f t="shared" si="62"/>
        <v>6600883.3904059036</v>
      </c>
      <c r="AD207">
        <f>IF(A207&lt;='Prepay vs Invest'!$B$7*12,MAX(0,'Prepay vs Invest'!$E$5+IF(AND(A207&gt;='Prepay vs Invest'!$B$11,A207&lt;='Prepay vs Invest'!$B$12),'Prepay vs Invest'!$B$10,0)+IF(A207='Prepay vs Invest'!$B$9,'Prepay vs Invest'!$B$8,0)-Z207-AA207),0)</f>
        <v>30857.432032208446</v>
      </c>
      <c r="AE207">
        <f>AC207*(1+MAX(0,'Prepay vs Invest'!$B$13-'Prepay vs Invest'!$B$14)/1200)+AD207</f>
        <v>6694999.2882628357</v>
      </c>
      <c r="AF207">
        <f t="shared" si="63"/>
        <v>2969320.3008441934</v>
      </c>
      <c r="AG207">
        <f>MAX(0,(AE207-AF207-'Prepay vs Invest'!$B$16)*'Prepay vs Invest'!$B$15/100)</f>
        <v>450084.87342733028</v>
      </c>
      <c r="AH207">
        <f t="shared" si="54"/>
        <v>6244914.4148355052</v>
      </c>
    </row>
    <row r="208" spans="1:34" x14ac:dyDescent="0.35">
      <c r="A208">
        <f t="shared" si="55"/>
        <v>207</v>
      </c>
      <c r="B208">
        <f>IF(A208&lt;='Prepay vs Invest'!$B$7*12,F207,0)</f>
        <v>2460665.7076158868</v>
      </c>
      <c r="C208">
        <f>IF(B208&gt;0,B208*'Prepay vs Invest'!$B$6/1200,0)</f>
        <v>15379.160672599292</v>
      </c>
      <c r="D208">
        <f>IF(B208&gt;0,MIN(-PMT('Prepay vs Invest'!$B$6/1200,'Prepay vs Invest'!$B$7*12,'Prepay vs Invest'!$B$5),B208+C208),0)</f>
        <v>80559.31935518072</v>
      </c>
      <c r="E208">
        <f t="shared" si="48"/>
        <v>65180.15868258143</v>
      </c>
      <c r="F208">
        <f t="shared" si="49"/>
        <v>2395485.5489333058</v>
      </c>
      <c r="G208">
        <f t="shared" si="56"/>
        <v>9580824.861694349</v>
      </c>
      <c r="H208">
        <f>IF(A208&lt;='Prepay vs Invest'!$B$7*12,IF(AND(A208&gt;='Prepay vs Invest'!$B$11,A208&lt;='Prepay vs Invest'!$B$12),'Prepay vs Invest'!$B$10,0)+IF(A208='Prepay vs Invest'!$B$9,'Prepay vs Invest'!$B$8,0),0)</f>
        <v>10000</v>
      </c>
      <c r="I208">
        <f>G208*(1+MAX(0,'Prepay vs Invest'!$B$13-'Prepay vs Invest'!$B$14)/1200)+H208</f>
        <v>9682641.0999522526</v>
      </c>
      <c r="J208">
        <f t="shared" si="57"/>
        <v>2570000</v>
      </c>
      <c r="K208">
        <f>MAX(0,(I208-J208-'Prepay vs Invest'!$B$16)*'Prepay vs Invest'!$B$15/100)</f>
        <v>873455.13749403169</v>
      </c>
      <c r="L208">
        <f t="shared" si="50"/>
        <v>8809185.9624582212</v>
      </c>
      <c r="M208">
        <f t="shared" si="58"/>
        <v>0</v>
      </c>
      <c r="N208">
        <f>IF(M208&gt;0,M208*'Prepay vs Invest'!$B$6/1200,0)</f>
        <v>0</v>
      </c>
      <c r="O208">
        <f>IF(M208&gt;0,MIN('Prepay vs Invest'!$E$5,M208+N208),0)</f>
        <v>0</v>
      </c>
      <c r="P208">
        <f>MIN(MAX(0,M208+N208-O208),IF(AND(A208&gt;='Prepay vs Invest'!$B$11,A208&lt;='Prepay vs Invest'!$B$12),'Prepay vs Invest'!$B$10,0)+IF(A208='Prepay vs Invest'!$B$9,'Prepay vs Invest'!$B$8,0))</f>
        <v>0</v>
      </c>
      <c r="Q208">
        <f t="shared" si="51"/>
        <v>0</v>
      </c>
      <c r="R208">
        <f t="shared" si="59"/>
        <v>3586037.2250622315</v>
      </c>
      <c r="S208">
        <f>IF(A208&lt;='Prepay vs Invest'!$B$7*12,MAX(0,'Prepay vs Invest'!$E$5+IF(AND(A208&gt;='Prepay vs Invest'!$B$11,A208&lt;='Prepay vs Invest'!$B$12),'Prepay vs Invest'!$B$10,0)+IF(A208='Prepay vs Invest'!$B$9,'Prepay vs Invest'!$B$8,0)-O208-P208),0)</f>
        <v>90559.31935518072</v>
      </c>
      <c r="T208">
        <f>R208*(1+MAX(0,'Prepay vs Invest'!$B$13-'Prepay vs Invest'!$B$14)/1200)+S208</f>
        <v>3710962.7344909254</v>
      </c>
      <c r="U208">
        <f t="shared" si="60"/>
        <v>3145094.8320443248</v>
      </c>
      <c r="V208">
        <f>MAX(0,(T208-U208-'Prepay vs Invest'!$B$16)*'Prepay vs Invest'!$B$15/100)</f>
        <v>55108.487805825083</v>
      </c>
      <c r="W208">
        <f t="shared" si="52"/>
        <v>3655854.2466851003</v>
      </c>
      <c r="X208">
        <f t="shared" si="61"/>
        <v>1508132.6098376161</v>
      </c>
      <c r="Y208">
        <f>IF(X208&gt;0,X208*'Prepay vs Invest'!$B$6/1200,0)</f>
        <v>9425.8288114851002</v>
      </c>
      <c r="Z208">
        <f>IF(X208&gt;0,MIN(-PMT('Prepay vs Invest'!$B$6/1200,'Prepay vs Invest'!$B$7*12-A208+1,X208),X208+Y208),0)</f>
        <v>49374.499010509324</v>
      </c>
      <c r="AA208">
        <f>MIN(MAX(0,X208+Y208-Z208),IF(AND(A208&gt;='Prepay vs Invest'!$B$11,A208&lt;='Prepay vs Invest'!$B$12),'Prepay vs Invest'!$B$10,0)+IF(A208='Prepay vs Invest'!$B$9,'Prepay vs Invest'!$B$8,0))</f>
        <v>10000</v>
      </c>
      <c r="AB208">
        <f t="shared" si="53"/>
        <v>1458183.9396385918</v>
      </c>
      <c r="AC208">
        <f t="shared" si="62"/>
        <v>6694999.2882628357</v>
      </c>
      <c r="AD208">
        <f>IF(A208&lt;='Prepay vs Invest'!$B$7*12,MAX(0,'Prepay vs Invest'!$E$5+IF(AND(A208&gt;='Prepay vs Invest'!$B$11,A208&lt;='Prepay vs Invest'!$B$12),'Prepay vs Invest'!$B$10,0)+IF(A208='Prepay vs Invest'!$B$9,'Prepay vs Invest'!$B$8,0)-Z208-AA208),0)</f>
        <v>31184.820344671396</v>
      </c>
      <c r="AE208">
        <f>AC208*(1+MAX(0,'Prepay vs Invest'!$B$13-'Prepay vs Invest'!$B$14)/1200)+AD208</f>
        <v>6790344.5184533587</v>
      </c>
      <c r="AF208">
        <f t="shared" si="63"/>
        <v>3000505.121188865</v>
      </c>
      <c r="AG208">
        <f>MAX(0,(AE208-AF208-'Prepay vs Invest'!$B$16)*'Prepay vs Invest'!$B$15/100)</f>
        <v>458104.9246580617</v>
      </c>
      <c r="AH208">
        <f t="shared" si="54"/>
        <v>6332239.5937952967</v>
      </c>
    </row>
    <row r="209" spans="1:34" x14ac:dyDescent="0.35">
      <c r="A209">
        <f t="shared" si="55"/>
        <v>208</v>
      </c>
      <c r="B209">
        <f>IF(A209&lt;='Prepay vs Invest'!$B$7*12,F208,0)</f>
        <v>2395485.5489333058</v>
      </c>
      <c r="C209">
        <f>IF(B209&gt;0,B209*'Prepay vs Invest'!$B$6/1200,0)</f>
        <v>14971.784680833161</v>
      </c>
      <c r="D209">
        <f>IF(B209&gt;0,MIN(-PMT('Prepay vs Invest'!$B$6/1200,'Prepay vs Invest'!$B$7*12,'Prepay vs Invest'!$B$5),B209+C209),0)</f>
        <v>80559.31935518072</v>
      </c>
      <c r="E209">
        <f t="shared" si="48"/>
        <v>65587.534674347553</v>
      </c>
      <c r="F209">
        <f t="shared" si="49"/>
        <v>2329898.0142589584</v>
      </c>
      <c r="G209">
        <f t="shared" si="56"/>
        <v>9682641.0999522526</v>
      </c>
      <c r="H209">
        <f>IF(A209&lt;='Prepay vs Invest'!$B$7*12,IF(AND(A209&gt;='Prepay vs Invest'!$B$11,A209&lt;='Prepay vs Invest'!$B$12),'Prepay vs Invest'!$B$10,0)+IF(A209='Prepay vs Invest'!$B$9,'Prepay vs Invest'!$B$8,0),0)</f>
        <v>10000</v>
      </c>
      <c r="I209">
        <f>G209*(1+MAX(0,'Prepay vs Invest'!$B$13-'Prepay vs Invest'!$B$14)/1200)+H209</f>
        <v>9785433.0771601275</v>
      </c>
      <c r="J209">
        <f t="shared" si="57"/>
        <v>2580000</v>
      </c>
      <c r="K209">
        <f>MAX(0,(I209-J209-'Prepay vs Invest'!$B$16)*'Prepay vs Invest'!$B$15/100)</f>
        <v>885054.13464501593</v>
      </c>
      <c r="L209">
        <f t="shared" si="50"/>
        <v>8900378.9425151125</v>
      </c>
      <c r="M209">
        <f t="shared" si="58"/>
        <v>0</v>
      </c>
      <c r="N209">
        <f>IF(M209&gt;0,M209*'Prepay vs Invest'!$B$6/1200,0)</f>
        <v>0</v>
      </c>
      <c r="O209">
        <f>IF(M209&gt;0,MIN('Prepay vs Invest'!$E$5,M209+N209),0)</f>
        <v>0</v>
      </c>
      <c r="P209">
        <f>MIN(MAX(0,M209+N209-O209),IF(AND(A209&gt;='Prepay vs Invest'!$B$11,A209&lt;='Prepay vs Invest'!$B$12),'Prepay vs Invest'!$B$10,0)+IF(A209='Prepay vs Invest'!$B$9,'Prepay vs Invest'!$B$8,0))</f>
        <v>0</v>
      </c>
      <c r="Q209">
        <f t="shared" si="51"/>
        <v>0</v>
      </c>
      <c r="R209">
        <f t="shared" si="59"/>
        <v>3710962.7344909254</v>
      </c>
      <c r="S209">
        <f>IF(A209&lt;='Prepay vs Invest'!$B$7*12,MAX(0,'Prepay vs Invest'!$E$5+IF(AND(A209&gt;='Prepay vs Invest'!$B$11,A209&lt;='Prepay vs Invest'!$B$12),'Prepay vs Invest'!$B$10,0)+IF(A209='Prepay vs Invest'!$B$9,'Prepay vs Invest'!$B$8,0)-O209-P209),0)</f>
        <v>90559.31935518072</v>
      </c>
      <c r="T209">
        <f>R209*(1+MAX(0,'Prepay vs Invest'!$B$13-'Prepay vs Invest'!$B$14)/1200)+S209</f>
        <v>3837085.4467183109</v>
      </c>
      <c r="U209">
        <f t="shared" si="60"/>
        <v>3235654.1513995053</v>
      </c>
      <c r="V209">
        <f>MAX(0,(T209-U209-'Prepay vs Invest'!$B$16)*'Prepay vs Invest'!$B$15/100)</f>
        <v>59553.911914850694</v>
      </c>
      <c r="W209">
        <f t="shared" si="52"/>
        <v>3777531.5348034604</v>
      </c>
      <c r="X209">
        <f t="shared" si="61"/>
        <v>1458183.9396385918</v>
      </c>
      <c r="Y209">
        <f>IF(X209&gt;0,X209*'Prepay vs Invest'!$B$6/1200,0)</f>
        <v>9113.649622741199</v>
      </c>
      <c r="Z209">
        <f>IF(X209&gt;0,MIN(-PMT('Prepay vs Invest'!$B$6/1200,'Prepay vs Invest'!$B$7*12-A209+1,X209),X209+Y209),0)</f>
        <v>49038.202599157317</v>
      </c>
      <c r="AA209">
        <f>MIN(MAX(0,X209+Y209-Z209),IF(AND(A209&gt;='Prepay vs Invest'!$B$11,A209&lt;='Prepay vs Invest'!$B$12),'Prepay vs Invest'!$B$10,0)+IF(A209='Prepay vs Invest'!$B$9,'Prepay vs Invest'!$B$8,0))</f>
        <v>10000</v>
      </c>
      <c r="AB209">
        <f t="shared" si="53"/>
        <v>1408259.3866621756</v>
      </c>
      <c r="AC209">
        <f t="shared" si="62"/>
        <v>6790344.5184533587</v>
      </c>
      <c r="AD209">
        <f>IF(A209&lt;='Prepay vs Invest'!$B$7*12,MAX(0,'Prepay vs Invest'!$E$5+IF(AND(A209&gt;='Prepay vs Invest'!$B$11,A209&lt;='Prepay vs Invest'!$B$12),'Prepay vs Invest'!$B$10,0)+IF(A209='Prepay vs Invest'!$B$9,'Prepay vs Invest'!$B$8,0)-Z209-AA209),0)</f>
        <v>31521.116756023403</v>
      </c>
      <c r="AE209">
        <f>AC209*(1+MAX(0,'Prepay vs Invest'!$B$13-'Prepay vs Invest'!$B$14)/1200)+AD209</f>
        <v>6886939.7701778933</v>
      </c>
      <c r="AF209">
        <f t="shared" si="63"/>
        <v>3032026.2379448884</v>
      </c>
      <c r="AG209">
        <f>MAX(0,(AE209-AF209-'Prepay vs Invest'!$B$16)*'Prepay vs Invest'!$B$15/100)</f>
        <v>466239.19152912567</v>
      </c>
      <c r="AH209">
        <f t="shared" si="54"/>
        <v>6420700.5786487674</v>
      </c>
    </row>
    <row r="210" spans="1:34" x14ac:dyDescent="0.35">
      <c r="A210">
        <f t="shared" si="55"/>
        <v>209</v>
      </c>
      <c r="B210">
        <f>IF(A210&lt;='Prepay vs Invest'!$B$7*12,F209,0)</f>
        <v>2329898.0142589584</v>
      </c>
      <c r="C210">
        <f>IF(B210&gt;0,B210*'Prepay vs Invest'!$B$6/1200,0)</f>
        <v>14561.862589118489</v>
      </c>
      <c r="D210">
        <f>IF(B210&gt;0,MIN(-PMT('Prepay vs Invest'!$B$6/1200,'Prepay vs Invest'!$B$7*12,'Prepay vs Invest'!$B$5),B210+C210),0)</f>
        <v>80559.31935518072</v>
      </c>
      <c r="E210">
        <f t="shared" si="48"/>
        <v>65997.456766062227</v>
      </c>
      <c r="F210">
        <f t="shared" si="49"/>
        <v>2263900.557492896</v>
      </c>
      <c r="G210">
        <f t="shared" si="56"/>
        <v>9785433.0771601275</v>
      </c>
      <c r="H210">
        <f>IF(A210&lt;='Prepay vs Invest'!$B$7*12,IF(AND(A210&gt;='Prepay vs Invest'!$B$11,A210&lt;='Prepay vs Invest'!$B$12),'Prepay vs Invest'!$B$10,0)+IF(A210='Prepay vs Invest'!$B$9,'Prepay vs Invest'!$B$8,0),0)</f>
        <v>10000</v>
      </c>
      <c r="I210">
        <f>G210*(1+MAX(0,'Prepay vs Invest'!$B$13-'Prepay vs Invest'!$B$14)/1200)+H210</f>
        <v>9889210.1441495772</v>
      </c>
      <c r="J210">
        <f t="shared" si="57"/>
        <v>2590000</v>
      </c>
      <c r="K210">
        <f>MAX(0,(I210-J210-'Prepay vs Invest'!$B$16)*'Prepay vs Invest'!$B$15/100)</f>
        <v>896776.26801869716</v>
      </c>
      <c r="L210">
        <f t="shared" si="50"/>
        <v>8992433.8761308808</v>
      </c>
      <c r="M210">
        <f t="shared" si="58"/>
        <v>0</v>
      </c>
      <c r="N210">
        <f>IF(M210&gt;0,M210*'Prepay vs Invest'!$B$6/1200,0)</f>
        <v>0</v>
      </c>
      <c r="O210">
        <f>IF(M210&gt;0,MIN('Prepay vs Invest'!$E$5,M210+N210),0)</f>
        <v>0</v>
      </c>
      <c r="P210">
        <f>MIN(MAX(0,M210+N210-O210),IF(AND(A210&gt;='Prepay vs Invest'!$B$11,A210&lt;='Prepay vs Invest'!$B$12),'Prepay vs Invest'!$B$10,0)+IF(A210='Prepay vs Invest'!$B$9,'Prepay vs Invest'!$B$8,0))</f>
        <v>0</v>
      </c>
      <c r="Q210">
        <f t="shared" si="51"/>
        <v>0</v>
      </c>
      <c r="R210">
        <f t="shared" si="59"/>
        <v>3837085.4467183109</v>
      </c>
      <c r="S210">
        <f>IF(A210&lt;='Prepay vs Invest'!$B$7*12,MAX(0,'Prepay vs Invest'!$E$5+IF(AND(A210&gt;='Prepay vs Invest'!$B$11,A210&lt;='Prepay vs Invest'!$B$12),'Prepay vs Invest'!$B$10,0)+IF(A210='Prepay vs Invest'!$B$9,'Prepay vs Invest'!$B$8,0)-O210-P210),0)</f>
        <v>90559.31935518072</v>
      </c>
      <c r="T210">
        <f>R210*(1+MAX(0,'Prepay vs Invest'!$B$13-'Prepay vs Invest'!$B$14)/1200)+S210</f>
        <v>3964416.8349378752</v>
      </c>
      <c r="U210">
        <f t="shared" si="60"/>
        <v>3326213.4707546858</v>
      </c>
      <c r="V210">
        <f>MAX(0,(T210-U210-'Prepay vs Invest'!$B$16)*'Prepay vs Invest'!$B$15/100)</f>
        <v>64150.420522898668</v>
      </c>
      <c r="W210">
        <f t="shared" si="52"/>
        <v>3900266.4144149767</v>
      </c>
      <c r="X210">
        <f t="shared" si="61"/>
        <v>1408259.3866621756</v>
      </c>
      <c r="Y210">
        <f>IF(X210&gt;0,X210*'Prepay vs Invest'!$B$6/1200,0)</f>
        <v>8801.6211666385989</v>
      </c>
      <c r="Z210">
        <f>IF(X210&gt;0,MIN(-PMT('Prepay vs Invest'!$B$6/1200,'Prepay vs Invest'!$B$7*12-A210+1,X210),X210+Y210),0)</f>
        <v>48692.439313115778</v>
      </c>
      <c r="AA210">
        <f>MIN(MAX(0,X210+Y210-Z210),IF(AND(A210&gt;='Prepay vs Invest'!$B$11,A210&lt;='Prepay vs Invest'!$B$12),'Prepay vs Invest'!$B$10,0)+IF(A210='Prepay vs Invest'!$B$9,'Prepay vs Invest'!$B$8,0))</f>
        <v>10000</v>
      </c>
      <c r="AB210">
        <f t="shared" si="53"/>
        <v>1358368.5685156984</v>
      </c>
      <c r="AC210">
        <f t="shared" si="62"/>
        <v>6886939.7701778933</v>
      </c>
      <c r="AD210">
        <f>IF(A210&lt;='Prepay vs Invest'!$B$7*12,MAX(0,'Prepay vs Invest'!$E$5+IF(AND(A210&gt;='Prepay vs Invest'!$B$11,A210&lt;='Prepay vs Invest'!$B$12),'Prepay vs Invest'!$B$10,0)+IF(A210='Prepay vs Invest'!$B$9,'Prepay vs Invest'!$B$8,0)-Z210-AA210),0)</f>
        <v>31866.880042064942</v>
      </c>
      <c r="AE210">
        <f>AC210*(1+MAX(0,'Prepay vs Invest'!$B$13-'Prepay vs Invest'!$B$14)/1200)+AD210</f>
        <v>6984806.4896841627</v>
      </c>
      <c r="AF210">
        <f t="shared" si="63"/>
        <v>3063893.1179869534</v>
      </c>
      <c r="AG210">
        <f>MAX(0,(AE210-AF210-'Prepay vs Invest'!$B$16)*'Prepay vs Invest'!$B$15/100)</f>
        <v>474489.17146215116</v>
      </c>
      <c r="AH210">
        <f t="shared" si="54"/>
        <v>6510317.3182220114</v>
      </c>
    </row>
    <row r="211" spans="1:34" x14ac:dyDescent="0.35">
      <c r="A211">
        <f t="shared" si="55"/>
        <v>210</v>
      </c>
      <c r="B211">
        <f>IF(A211&lt;='Prepay vs Invest'!$B$7*12,F210,0)</f>
        <v>2263900.557492896</v>
      </c>
      <c r="C211">
        <f>IF(B211&gt;0,B211*'Prepay vs Invest'!$B$6/1200,0)</f>
        <v>14149.3784843306</v>
      </c>
      <c r="D211">
        <f>IF(B211&gt;0,MIN(-PMT('Prepay vs Invest'!$B$6/1200,'Prepay vs Invest'!$B$7*12,'Prepay vs Invest'!$B$5),B211+C211),0)</f>
        <v>80559.31935518072</v>
      </c>
      <c r="E211">
        <f t="shared" si="48"/>
        <v>66409.940870850114</v>
      </c>
      <c r="F211">
        <f t="shared" si="49"/>
        <v>2197490.6166220456</v>
      </c>
      <c r="G211">
        <f t="shared" si="56"/>
        <v>9889210.1441495772</v>
      </c>
      <c r="H211">
        <f>IF(A211&lt;='Prepay vs Invest'!$B$7*12,IF(AND(A211&gt;='Prepay vs Invest'!$B$11,A211&lt;='Prepay vs Invest'!$B$12),'Prepay vs Invest'!$B$10,0)+IF(A211='Prepay vs Invest'!$B$9,'Prepay vs Invest'!$B$8,0),0)</f>
        <v>10000</v>
      </c>
      <c r="I211">
        <f>G211*(1+MAX(0,'Prepay vs Invest'!$B$13-'Prepay vs Invest'!$B$14)/1200)+H211</f>
        <v>9993981.7413643431</v>
      </c>
      <c r="J211">
        <f t="shared" si="57"/>
        <v>2600000</v>
      </c>
      <c r="K211">
        <f>MAX(0,(I211-J211-'Prepay vs Invest'!$B$16)*'Prepay vs Invest'!$B$15/100)</f>
        <v>908622.71767054289</v>
      </c>
      <c r="L211">
        <f t="shared" si="50"/>
        <v>9085359.0236938</v>
      </c>
      <c r="M211">
        <f t="shared" si="58"/>
        <v>0</v>
      </c>
      <c r="N211">
        <f>IF(M211&gt;0,M211*'Prepay vs Invest'!$B$6/1200,0)</f>
        <v>0</v>
      </c>
      <c r="O211">
        <f>IF(M211&gt;0,MIN('Prepay vs Invest'!$E$5,M211+N211),0)</f>
        <v>0</v>
      </c>
      <c r="P211">
        <f>MIN(MAX(0,M211+N211-O211),IF(AND(A211&gt;='Prepay vs Invest'!$B$11,A211&lt;='Prepay vs Invest'!$B$12),'Prepay vs Invest'!$B$10,0)+IF(A211='Prepay vs Invest'!$B$9,'Prepay vs Invest'!$B$8,0))</f>
        <v>0</v>
      </c>
      <c r="Q211">
        <f t="shared" si="51"/>
        <v>0</v>
      </c>
      <c r="R211">
        <f t="shared" si="59"/>
        <v>3964416.8349378752</v>
      </c>
      <c r="S211">
        <f>IF(A211&lt;='Prepay vs Invest'!$B$7*12,MAX(0,'Prepay vs Invest'!$E$5+IF(AND(A211&gt;='Prepay vs Invest'!$B$11,A211&lt;='Prepay vs Invest'!$B$12),'Prepay vs Invest'!$B$10,0)+IF(A211='Prepay vs Invest'!$B$9,'Prepay vs Invest'!$B$8,0)-O211-P211),0)</f>
        <v>90559.31935518072</v>
      </c>
      <c r="T211">
        <f>R211*(1+MAX(0,'Prepay vs Invest'!$B$13-'Prepay vs Invest'!$B$14)/1200)+S211</f>
        <v>4092968.4822945436</v>
      </c>
      <c r="U211">
        <f t="shared" si="60"/>
        <v>3416772.7901098663</v>
      </c>
      <c r="V211">
        <f>MAX(0,(T211-U211-'Prepay vs Invest'!$B$16)*'Prepay vs Invest'!$B$15/100)</f>
        <v>68899.461523084668</v>
      </c>
      <c r="W211">
        <f t="shared" si="52"/>
        <v>4024069.0207714587</v>
      </c>
      <c r="X211">
        <f t="shared" si="61"/>
        <v>1358368.5685156984</v>
      </c>
      <c r="Y211">
        <f>IF(X211&gt;0,X211*'Prepay vs Invest'!$B$6/1200,0)</f>
        <v>8489.8035532231152</v>
      </c>
      <c r="Z211">
        <f>IF(X211&gt;0,MIN(-PMT('Prepay vs Invest'!$B$6/1200,'Prepay vs Invest'!$B$7*12-A211+1,X211),X211+Y211),0)</f>
        <v>48336.596300981015</v>
      </c>
      <c r="AA211">
        <f>MIN(MAX(0,X211+Y211-Z211),IF(AND(A211&gt;='Prepay vs Invest'!$B$11,A211&lt;='Prepay vs Invest'!$B$12),'Prepay vs Invest'!$B$10,0)+IF(A211='Prepay vs Invest'!$B$9,'Prepay vs Invest'!$B$8,0))</f>
        <v>10000</v>
      </c>
      <c r="AB211">
        <f t="shared" si="53"/>
        <v>1308521.7757679406</v>
      </c>
      <c r="AC211">
        <f t="shared" si="62"/>
        <v>6984806.4896841627</v>
      </c>
      <c r="AD211">
        <f>IF(A211&lt;='Prepay vs Invest'!$B$7*12,MAX(0,'Prepay vs Invest'!$E$5+IF(AND(A211&gt;='Prepay vs Invest'!$B$11,A211&lt;='Prepay vs Invest'!$B$12),'Prepay vs Invest'!$B$10,0)+IF(A211='Prepay vs Invest'!$B$9,'Prepay vs Invest'!$B$8,0)-Z211-AA211),0)</f>
        <v>32222.723054199705</v>
      </c>
      <c r="AE211">
        <f>AC211*(1+MAX(0,'Prepay vs Invest'!$B$13-'Prepay vs Invest'!$B$14)/1200)+AD211</f>
        <v>7083966.9415978352</v>
      </c>
      <c r="AF211">
        <f t="shared" si="63"/>
        <v>3096115.8410411528</v>
      </c>
      <c r="AG211">
        <f>MAX(0,(AE211-AF211-'Prepay vs Invest'!$B$16)*'Prepay vs Invest'!$B$15/100)</f>
        <v>482856.38756958529</v>
      </c>
      <c r="AH211">
        <f t="shared" si="54"/>
        <v>6601110.5540282503</v>
      </c>
    </row>
    <row r="212" spans="1:34" x14ac:dyDescent="0.35">
      <c r="A212">
        <f t="shared" si="55"/>
        <v>211</v>
      </c>
      <c r="B212">
        <f>IF(A212&lt;='Prepay vs Invest'!$B$7*12,F211,0)</f>
        <v>2197490.6166220456</v>
      </c>
      <c r="C212">
        <f>IF(B212&gt;0,B212*'Prepay vs Invest'!$B$6/1200,0)</f>
        <v>13734.316353887785</v>
      </c>
      <c r="D212">
        <f>IF(B212&gt;0,MIN(-PMT('Prepay vs Invest'!$B$6/1200,'Prepay vs Invest'!$B$7*12,'Prepay vs Invest'!$B$5),B212+C212),0)</f>
        <v>80559.31935518072</v>
      </c>
      <c r="E212">
        <f t="shared" si="48"/>
        <v>66825.003001292935</v>
      </c>
      <c r="F212">
        <f t="shared" si="49"/>
        <v>2130665.6136207525</v>
      </c>
      <c r="G212">
        <f t="shared" si="56"/>
        <v>9993981.7413643431</v>
      </c>
      <c r="H212">
        <f>IF(A212&lt;='Prepay vs Invest'!$B$7*12,IF(AND(A212&gt;='Prepay vs Invest'!$B$11,A212&lt;='Prepay vs Invest'!$B$12),'Prepay vs Invest'!$B$10,0)+IF(A212='Prepay vs Invest'!$B$9,'Prepay vs Invest'!$B$8,0),0)</f>
        <v>10000</v>
      </c>
      <c r="I212">
        <f>G212*(1+MAX(0,'Prepay vs Invest'!$B$13-'Prepay vs Invest'!$B$14)/1200)+H212</f>
        <v>10099757.399719084</v>
      </c>
      <c r="J212">
        <f t="shared" si="57"/>
        <v>2610000</v>
      </c>
      <c r="K212">
        <f>MAX(0,(I212-J212-'Prepay vs Invest'!$B$16)*'Prepay vs Invest'!$B$15/100)</f>
        <v>920594.67496488546</v>
      </c>
      <c r="L212">
        <f t="shared" si="50"/>
        <v>9179162.7247541975</v>
      </c>
      <c r="M212">
        <f t="shared" si="58"/>
        <v>0</v>
      </c>
      <c r="N212">
        <f>IF(M212&gt;0,M212*'Prepay vs Invest'!$B$6/1200,0)</f>
        <v>0</v>
      </c>
      <c r="O212">
        <f>IF(M212&gt;0,MIN('Prepay vs Invest'!$E$5,M212+N212),0)</f>
        <v>0</v>
      </c>
      <c r="P212">
        <f>MIN(MAX(0,M212+N212-O212),IF(AND(A212&gt;='Prepay vs Invest'!$B$11,A212&lt;='Prepay vs Invest'!$B$12),'Prepay vs Invest'!$B$10,0)+IF(A212='Prepay vs Invest'!$B$9,'Prepay vs Invest'!$B$8,0))</f>
        <v>0</v>
      </c>
      <c r="Q212">
        <f t="shared" si="51"/>
        <v>0</v>
      </c>
      <c r="R212">
        <f t="shared" si="59"/>
        <v>4092968.4822945436</v>
      </c>
      <c r="S212">
        <f>IF(A212&lt;='Prepay vs Invest'!$B$7*12,MAX(0,'Prepay vs Invest'!$E$5+IF(AND(A212&gt;='Prepay vs Invest'!$B$11,A212&lt;='Prepay vs Invest'!$B$12),'Prepay vs Invest'!$B$10,0)+IF(A212='Prepay vs Invest'!$B$9,'Prepay vs Invest'!$B$8,0)-O212-P212),0)</f>
        <v>90559.31935518072</v>
      </c>
      <c r="T212">
        <f>R212*(1+MAX(0,'Prepay vs Invest'!$B$13-'Prepay vs Invest'!$B$14)/1200)+S212</f>
        <v>4222752.0829383805</v>
      </c>
      <c r="U212">
        <f t="shared" si="60"/>
        <v>3507332.1094650468</v>
      </c>
      <c r="V212">
        <f>MAX(0,(T212-U212-'Prepay vs Invest'!$B$16)*'Prepay vs Invest'!$B$15/100)</f>
        <v>73802.496684166719</v>
      </c>
      <c r="W212">
        <f t="shared" si="52"/>
        <v>4148949.5862542139</v>
      </c>
      <c r="X212">
        <f t="shared" si="61"/>
        <v>1308521.7757679406</v>
      </c>
      <c r="Y212">
        <f>IF(X212&gt;0,X212*'Prepay vs Invest'!$B$6/1200,0)</f>
        <v>8178.2610985496285</v>
      </c>
      <c r="Z212">
        <f>IF(X212&gt;0,MIN(-PMT('Prepay vs Invest'!$B$6/1200,'Prepay vs Invest'!$B$7*12-A212+1,X212),X212+Y212),0)</f>
        <v>47969.999425682334</v>
      </c>
      <c r="AA212">
        <f>MIN(MAX(0,X212+Y212-Z212),IF(AND(A212&gt;='Prepay vs Invest'!$B$11,A212&lt;='Prepay vs Invest'!$B$12),'Prepay vs Invest'!$B$10,0)+IF(A212='Prepay vs Invest'!$B$9,'Prepay vs Invest'!$B$8,0))</f>
        <v>10000</v>
      </c>
      <c r="AB212">
        <f t="shared" si="53"/>
        <v>1258730.037440808</v>
      </c>
      <c r="AC212">
        <f t="shared" si="62"/>
        <v>7083966.9415978352</v>
      </c>
      <c r="AD212">
        <f>IF(A212&lt;='Prepay vs Invest'!$B$7*12,MAX(0,'Prepay vs Invest'!$E$5+IF(AND(A212&gt;='Prepay vs Invest'!$B$11,A212&lt;='Prepay vs Invest'!$B$12),'Prepay vs Invest'!$B$10,0)+IF(A212='Prepay vs Invest'!$B$9,'Prepay vs Invest'!$B$8,0)-Z212-AA212),0)</f>
        <v>32589.319929498386</v>
      </c>
      <c r="AE212">
        <f>AC212*(1+MAX(0,'Prepay vs Invest'!$B$13-'Prepay vs Invest'!$B$14)/1200)+AD212</f>
        <v>7184444.2780509787</v>
      </c>
      <c r="AF212">
        <f t="shared" si="63"/>
        <v>3128705.1609706511</v>
      </c>
      <c r="AG212">
        <f>MAX(0,(AE212-AF212-'Prepay vs Invest'!$B$16)*'Prepay vs Invest'!$B$15/100)</f>
        <v>491342.38963504101</v>
      </c>
      <c r="AH212">
        <f t="shared" si="54"/>
        <v>6693101.8884159373</v>
      </c>
    </row>
    <row r="213" spans="1:34" x14ac:dyDescent="0.35">
      <c r="A213">
        <f t="shared" si="55"/>
        <v>212</v>
      </c>
      <c r="B213">
        <f>IF(A213&lt;='Prepay vs Invest'!$B$7*12,F212,0)</f>
        <v>2130665.6136207525</v>
      </c>
      <c r="C213">
        <f>IF(B213&gt;0,B213*'Prepay vs Invest'!$B$6/1200,0)</f>
        <v>13316.660085129704</v>
      </c>
      <c r="D213">
        <f>IF(B213&gt;0,MIN(-PMT('Prepay vs Invest'!$B$6/1200,'Prepay vs Invest'!$B$7*12,'Prepay vs Invest'!$B$5),B213+C213),0)</f>
        <v>80559.31935518072</v>
      </c>
      <c r="E213">
        <f t="shared" si="48"/>
        <v>67242.659270051023</v>
      </c>
      <c r="F213">
        <f t="shared" si="49"/>
        <v>2063422.9543507013</v>
      </c>
      <c r="G213">
        <f t="shared" si="56"/>
        <v>10099757.399719084</v>
      </c>
      <c r="H213">
        <f>IF(A213&lt;='Prepay vs Invest'!$B$7*12,IF(AND(A213&gt;='Prepay vs Invest'!$B$11,A213&lt;='Prepay vs Invest'!$B$12),'Prepay vs Invest'!$B$10,0)+IF(A213='Prepay vs Invest'!$B$9,'Prepay vs Invest'!$B$8,0),0)</f>
        <v>10000</v>
      </c>
      <c r="I213">
        <f>G213*(1+MAX(0,'Prepay vs Invest'!$B$13-'Prepay vs Invest'!$B$14)/1200)+H213</f>
        <v>10206546.741466392</v>
      </c>
      <c r="J213">
        <f t="shared" si="57"/>
        <v>2620000</v>
      </c>
      <c r="K213">
        <f>MAX(0,(I213-J213-'Prepay vs Invest'!$B$16)*'Prepay vs Invest'!$B$15/100)</f>
        <v>932693.34268329898</v>
      </c>
      <c r="L213">
        <f t="shared" si="50"/>
        <v>9273853.3987830933</v>
      </c>
      <c r="M213">
        <f t="shared" si="58"/>
        <v>0</v>
      </c>
      <c r="N213">
        <f>IF(M213&gt;0,M213*'Prepay vs Invest'!$B$6/1200,0)</f>
        <v>0</v>
      </c>
      <c r="O213">
        <f>IF(M213&gt;0,MIN('Prepay vs Invest'!$E$5,M213+N213),0)</f>
        <v>0</v>
      </c>
      <c r="P213">
        <f>MIN(MAX(0,M213+N213-O213),IF(AND(A213&gt;='Prepay vs Invest'!$B$11,A213&lt;='Prepay vs Invest'!$B$12),'Prepay vs Invest'!$B$10,0)+IF(A213='Prepay vs Invest'!$B$9,'Prepay vs Invest'!$B$8,0))</f>
        <v>0</v>
      </c>
      <c r="Q213">
        <f t="shared" si="51"/>
        <v>0</v>
      </c>
      <c r="R213">
        <f t="shared" si="59"/>
        <v>4222752.0829383805</v>
      </c>
      <c r="S213">
        <f>IF(A213&lt;='Prepay vs Invest'!$B$7*12,MAX(0,'Prepay vs Invest'!$E$5+IF(AND(A213&gt;='Prepay vs Invest'!$B$11,A213&lt;='Prepay vs Invest'!$B$12),'Prepay vs Invest'!$B$10,0)+IF(A213='Prepay vs Invest'!$B$9,'Prepay vs Invest'!$B$8,0)-O213-P213),0)</f>
        <v>90559.31935518072</v>
      </c>
      <c r="T213">
        <f>R213*(1+MAX(0,'Prepay vs Invest'!$B$13-'Prepay vs Invest'!$B$14)/1200)+S213</f>
        <v>4353779.4430883871</v>
      </c>
      <c r="U213">
        <f t="shared" si="60"/>
        <v>3597891.4288202273</v>
      </c>
      <c r="V213">
        <f>MAX(0,(T213-U213-'Prepay vs Invest'!$B$16)*'Prepay vs Invest'!$B$15/100)</f>
        <v>78861.001783519983</v>
      </c>
      <c r="W213">
        <f t="shared" si="52"/>
        <v>4274918.4413048672</v>
      </c>
      <c r="X213">
        <f t="shared" si="61"/>
        <v>1258730.037440808</v>
      </c>
      <c r="Y213">
        <f>IF(X213&gt;0,X213*'Prepay vs Invest'!$B$6/1200,0)</f>
        <v>7867.0627340050505</v>
      </c>
      <c r="Z213">
        <f>IF(X213&gt;0,MIN(-PMT('Prepay vs Invest'!$B$6/1200,'Prepay vs Invest'!$B$7*12-A213+1,X213),X213+Y213),0)</f>
        <v>47591.904811303655</v>
      </c>
      <c r="AA213">
        <f>MIN(MAX(0,X213+Y213-Z213),IF(AND(A213&gt;='Prepay vs Invest'!$B$11,A213&lt;='Prepay vs Invest'!$B$12),'Prepay vs Invest'!$B$10,0)+IF(A213='Prepay vs Invest'!$B$9,'Prepay vs Invest'!$B$8,0))</f>
        <v>10000</v>
      </c>
      <c r="AB213">
        <f t="shared" si="53"/>
        <v>1209005.1953635095</v>
      </c>
      <c r="AC213">
        <f t="shared" si="62"/>
        <v>7184444.2780509787</v>
      </c>
      <c r="AD213">
        <f>IF(A213&lt;='Prepay vs Invest'!$B$7*12,MAX(0,'Prepay vs Invest'!$E$5+IF(AND(A213&gt;='Prepay vs Invest'!$B$11,A213&lt;='Prepay vs Invest'!$B$12),'Prepay vs Invest'!$B$10,0)+IF(A213='Prepay vs Invest'!$B$9,'Prepay vs Invest'!$B$8,0)-Z213-AA213),0)</f>
        <v>32967.414543877065</v>
      </c>
      <c r="AE213">
        <f>AC213*(1+MAX(0,'Prepay vs Invest'!$B$13-'Prepay vs Invest'!$B$14)/1200)+AD213</f>
        <v>7286262.6169261774</v>
      </c>
      <c r="AF213">
        <f t="shared" si="63"/>
        <v>3161672.575514528</v>
      </c>
      <c r="AG213">
        <f>MAX(0,(AE213-AF213-'Prepay vs Invest'!$B$16)*'Prepay vs Invest'!$B$15/100)</f>
        <v>499948.75517645618</v>
      </c>
      <c r="AH213">
        <f t="shared" si="54"/>
        <v>6786313.8617497217</v>
      </c>
    </row>
    <row r="214" spans="1:34" x14ac:dyDescent="0.35">
      <c r="A214">
        <f t="shared" si="55"/>
        <v>213</v>
      </c>
      <c r="B214">
        <f>IF(A214&lt;='Prepay vs Invest'!$B$7*12,F213,0)</f>
        <v>2063422.9543507013</v>
      </c>
      <c r="C214">
        <f>IF(B214&gt;0,B214*'Prepay vs Invest'!$B$6/1200,0)</f>
        <v>12896.393464691882</v>
      </c>
      <c r="D214">
        <f>IF(B214&gt;0,MIN(-PMT('Prepay vs Invest'!$B$6/1200,'Prepay vs Invest'!$B$7*12,'Prepay vs Invest'!$B$5),B214+C214),0)</f>
        <v>80559.31935518072</v>
      </c>
      <c r="E214">
        <f t="shared" si="48"/>
        <v>67662.925890488841</v>
      </c>
      <c r="F214">
        <f t="shared" si="49"/>
        <v>1995760.0284602125</v>
      </c>
      <c r="G214">
        <f t="shared" si="56"/>
        <v>10206546.741466392</v>
      </c>
      <c r="H214">
        <f>IF(A214&lt;='Prepay vs Invest'!$B$7*12,IF(AND(A214&gt;='Prepay vs Invest'!$B$11,A214&lt;='Prepay vs Invest'!$B$12),'Prepay vs Invest'!$B$10,0)+IF(A214='Prepay vs Invest'!$B$9,'Prepay vs Invest'!$B$8,0),0)</f>
        <v>10000</v>
      </c>
      <c r="I214">
        <f>G214*(1+MAX(0,'Prepay vs Invest'!$B$13-'Prepay vs Invest'!$B$14)/1200)+H214</f>
        <v>10314359.481072111</v>
      </c>
      <c r="J214">
        <f t="shared" si="57"/>
        <v>2630000</v>
      </c>
      <c r="K214">
        <f>MAX(0,(I214-J214-'Prepay vs Invest'!$B$16)*'Prepay vs Invest'!$B$15/100)</f>
        <v>944919.93513401388</v>
      </c>
      <c r="L214">
        <f t="shared" si="50"/>
        <v>9369439.5459380969</v>
      </c>
      <c r="M214">
        <f t="shared" si="58"/>
        <v>0</v>
      </c>
      <c r="N214">
        <f>IF(M214&gt;0,M214*'Prepay vs Invest'!$B$6/1200,0)</f>
        <v>0</v>
      </c>
      <c r="O214">
        <f>IF(M214&gt;0,MIN('Prepay vs Invest'!$E$5,M214+N214),0)</f>
        <v>0</v>
      </c>
      <c r="P214">
        <f>MIN(MAX(0,M214+N214-O214),IF(AND(A214&gt;='Prepay vs Invest'!$B$11,A214&lt;='Prepay vs Invest'!$B$12),'Prepay vs Invest'!$B$10,0)+IF(A214='Prepay vs Invest'!$B$9,'Prepay vs Invest'!$B$8,0))</f>
        <v>0</v>
      </c>
      <c r="Q214">
        <f t="shared" si="51"/>
        <v>0</v>
      </c>
      <c r="R214">
        <f t="shared" si="59"/>
        <v>4353779.4430883871</v>
      </c>
      <c r="S214">
        <f>IF(A214&lt;='Prepay vs Invest'!$B$7*12,MAX(0,'Prepay vs Invest'!$E$5+IF(AND(A214&gt;='Prepay vs Invest'!$B$11,A214&lt;='Prepay vs Invest'!$B$12),'Prepay vs Invest'!$B$10,0)+IF(A214='Prepay vs Invest'!$B$9,'Prepay vs Invest'!$B$8,0)-O214-P214),0)</f>
        <v>90559.31935518072</v>
      </c>
      <c r="T214">
        <f>R214*(1+MAX(0,'Prepay vs Invest'!$B$13-'Prepay vs Invest'!$B$14)/1200)+S214</f>
        <v>4486062.4821064975</v>
      </c>
      <c r="U214">
        <f t="shared" si="60"/>
        <v>3688450.7481754078</v>
      </c>
      <c r="V214">
        <f>MAX(0,(T214-U214-'Prepay vs Invest'!$B$16)*'Prepay vs Invest'!$B$15/100)</f>
        <v>84076.466741386219</v>
      </c>
      <c r="W214">
        <f t="shared" si="52"/>
        <v>4401986.0153651116</v>
      </c>
      <c r="X214">
        <f t="shared" si="61"/>
        <v>1209005.1953635095</v>
      </c>
      <c r="Y214">
        <f>IF(X214&gt;0,X214*'Prepay vs Invest'!$B$6/1200,0)</f>
        <v>7556.2824710219338</v>
      </c>
      <c r="Z214">
        <f>IF(X214&gt;0,MIN(-PMT('Prepay vs Invest'!$B$6/1200,'Prepay vs Invest'!$B$7*12-A214+1,X214),X214+Y214),0)</f>
        <v>47201.488880409197</v>
      </c>
      <c r="AA214">
        <f>MIN(MAX(0,X214+Y214-Z214),IF(AND(A214&gt;='Prepay vs Invest'!$B$11,A214&lt;='Prepay vs Invest'!$B$12),'Prepay vs Invest'!$B$10,0)+IF(A214='Prepay vs Invest'!$B$9,'Prepay vs Invest'!$B$8,0))</f>
        <v>10000</v>
      </c>
      <c r="AB214">
        <f t="shared" si="53"/>
        <v>1159359.9889541222</v>
      </c>
      <c r="AC214">
        <f t="shared" si="62"/>
        <v>7286262.6169261774</v>
      </c>
      <c r="AD214">
        <f>IF(A214&lt;='Prepay vs Invest'!$B$7*12,MAX(0,'Prepay vs Invest'!$E$5+IF(AND(A214&gt;='Prepay vs Invest'!$B$11,A214&lt;='Prepay vs Invest'!$B$12),'Prepay vs Invest'!$B$10,0)+IF(A214='Prepay vs Invest'!$B$9,'Prepay vs Invest'!$B$8,0)-Z214-AA214),0)</f>
        <v>33357.830474771523</v>
      </c>
      <c r="AE214">
        <f>AC214*(1+MAX(0,'Prepay vs Invest'!$B$13-'Prepay vs Invest'!$B$14)/1200)+AD214</f>
        <v>7389447.1308131581</v>
      </c>
      <c r="AF214">
        <f t="shared" si="63"/>
        <v>3195030.4059892995</v>
      </c>
      <c r="AG214">
        <f>MAX(0,(AE214-AF214-'Prepay vs Invest'!$B$16)*'Prepay vs Invest'!$B$15/100)</f>
        <v>508677.09060298232</v>
      </c>
      <c r="AH214">
        <f t="shared" si="54"/>
        <v>6880770.0402101763</v>
      </c>
    </row>
    <row r="215" spans="1:34" x14ac:dyDescent="0.35">
      <c r="A215">
        <f t="shared" si="55"/>
        <v>214</v>
      </c>
      <c r="B215">
        <f>IF(A215&lt;='Prepay vs Invest'!$B$7*12,F214,0)</f>
        <v>1995760.0284602125</v>
      </c>
      <c r="C215">
        <f>IF(B215&gt;0,B215*'Prepay vs Invest'!$B$6/1200,0)</f>
        <v>12473.500177876329</v>
      </c>
      <c r="D215">
        <f>IF(B215&gt;0,MIN(-PMT('Prepay vs Invest'!$B$6/1200,'Prepay vs Invest'!$B$7*12,'Prepay vs Invest'!$B$5),B215+C215),0)</f>
        <v>80559.31935518072</v>
      </c>
      <c r="E215">
        <f t="shared" si="48"/>
        <v>68085.819177304395</v>
      </c>
      <c r="F215">
        <f t="shared" si="49"/>
        <v>1927674.2092829081</v>
      </c>
      <c r="G215">
        <f t="shared" si="56"/>
        <v>10314359.481072111</v>
      </c>
      <c r="H215">
        <f>IF(A215&lt;='Prepay vs Invest'!$B$7*12,IF(AND(A215&gt;='Prepay vs Invest'!$B$11,A215&lt;='Prepay vs Invest'!$B$12),'Prepay vs Invest'!$B$10,0)+IF(A215='Prepay vs Invest'!$B$9,'Prepay vs Invest'!$B$8,0),0)</f>
        <v>10000</v>
      </c>
      <c r="I215">
        <f>G215*(1+MAX(0,'Prepay vs Invest'!$B$13-'Prepay vs Invest'!$B$14)/1200)+H215</f>
        <v>10423205.426099051</v>
      </c>
      <c r="J215">
        <f t="shared" si="57"/>
        <v>2640000</v>
      </c>
      <c r="K215">
        <f>MAX(0,(I215-J215-'Prepay vs Invest'!$B$16)*'Prepay vs Invest'!$B$15/100)</f>
        <v>957275.67826238135</v>
      </c>
      <c r="L215">
        <f t="shared" si="50"/>
        <v>9465929.7478366699</v>
      </c>
      <c r="M215">
        <f t="shared" si="58"/>
        <v>0</v>
      </c>
      <c r="N215">
        <f>IF(M215&gt;0,M215*'Prepay vs Invest'!$B$6/1200,0)</f>
        <v>0</v>
      </c>
      <c r="O215">
        <f>IF(M215&gt;0,MIN('Prepay vs Invest'!$E$5,M215+N215),0)</f>
        <v>0</v>
      </c>
      <c r="P215">
        <f>MIN(MAX(0,M215+N215-O215),IF(AND(A215&gt;='Prepay vs Invest'!$B$11,A215&lt;='Prepay vs Invest'!$B$12),'Prepay vs Invest'!$B$10,0)+IF(A215='Prepay vs Invest'!$B$9,'Prepay vs Invest'!$B$8,0))</f>
        <v>0</v>
      </c>
      <c r="Q215">
        <f t="shared" si="51"/>
        <v>0</v>
      </c>
      <c r="R215">
        <f t="shared" si="59"/>
        <v>4486062.4821064975</v>
      </c>
      <c r="S215">
        <f>IF(A215&lt;='Prepay vs Invest'!$B$7*12,MAX(0,'Prepay vs Invest'!$E$5+IF(AND(A215&gt;='Prepay vs Invest'!$B$11,A215&lt;='Prepay vs Invest'!$B$12),'Prepay vs Invest'!$B$10,0)+IF(A215='Prepay vs Invest'!$B$9,'Prepay vs Invest'!$B$8,0)-O215-P215),0)</f>
        <v>90559.31935518072</v>
      </c>
      <c r="T215">
        <f>R215*(1+MAX(0,'Prepay vs Invest'!$B$13-'Prepay vs Invest'!$B$14)/1200)+S215</f>
        <v>4619613.2335818652</v>
      </c>
      <c r="U215">
        <f t="shared" si="60"/>
        <v>3779010.0675305882</v>
      </c>
      <c r="V215">
        <f>MAX(0,(T215-U215-'Prepay vs Invest'!$B$16)*'Prepay vs Invest'!$B$15/100)</f>
        <v>89450.39575640962</v>
      </c>
      <c r="W215">
        <f t="shared" si="52"/>
        <v>4530162.8378254557</v>
      </c>
      <c r="X215">
        <f t="shared" si="61"/>
        <v>1159359.9889541222</v>
      </c>
      <c r="Y215">
        <f>IF(X215&gt;0,X215*'Prepay vs Invest'!$B$6/1200,0)</f>
        <v>7245.9999309632631</v>
      </c>
      <c r="Z215">
        <f>IF(X215&gt;0,MIN(-PMT('Prepay vs Invest'!$B$6/1200,'Prepay vs Invest'!$B$7*12-A215+1,X215),X215+Y215),0)</f>
        <v>46797.836546429251</v>
      </c>
      <c r="AA215">
        <f>MIN(MAX(0,X215+Y215-Z215),IF(AND(A215&gt;='Prepay vs Invest'!$B$11,A215&lt;='Prepay vs Invest'!$B$12),'Prepay vs Invest'!$B$10,0)+IF(A215='Prepay vs Invest'!$B$9,'Prepay vs Invest'!$B$8,0))</f>
        <v>10000</v>
      </c>
      <c r="AB215">
        <f t="shared" si="53"/>
        <v>1109808.1523386561</v>
      </c>
      <c r="AC215">
        <f t="shared" si="62"/>
        <v>7389447.1308131581</v>
      </c>
      <c r="AD215">
        <f>IF(A215&lt;='Prepay vs Invest'!$B$7*12,MAX(0,'Prepay vs Invest'!$E$5+IF(AND(A215&gt;='Prepay vs Invest'!$B$11,A215&lt;='Prepay vs Invest'!$B$12),'Prepay vs Invest'!$B$10,0)+IF(A215='Prepay vs Invest'!$B$9,'Prepay vs Invest'!$B$8,0)-Z215-AA215),0)</f>
        <v>33761.482808751469</v>
      </c>
      <c r="AE215">
        <f>AC215*(1+MAX(0,'Prepay vs Invest'!$B$13-'Prepay vs Invest'!$B$14)/1200)+AD215</f>
        <v>7494024.148625535</v>
      </c>
      <c r="AF215">
        <f t="shared" si="63"/>
        <v>3228791.888798051</v>
      </c>
      <c r="AG215">
        <f>MAX(0,(AE215-AF215-'Prepay vs Invest'!$B$16)*'Prepay vs Invest'!$B$15/100)</f>
        <v>517529.03247843543</v>
      </c>
      <c r="AH215">
        <f t="shared" si="54"/>
        <v>6976495.1161470991</v>
      </c>
    </row>
    <row r="216" spans="1:34" x14ac:dyDescent="0.35">
      <c r="A216">
        <f t="shared" si="55"/>
        <v>215</v>
      </c>
      <c r="B216">
        <f>IF(A216&lt;='Prepay vs Invest'!$B$7*12,F215,0)</f>
        <v>1927674.2092829081</v>
      </c>
      <c r="C216">
        <f>IF(B216&gt;0,B216*'Prepay vs Invest'!$B$6/1200,0)</f>
        <v>12047.963808018176</v>
      </c>
      <c r="D216">
        <f>IF(B216&gt;0,MIN(-PMT('Prepay vs Invest'!$B$6/1200,'Prepay vs Invest'!$B$7*12,'Prepay vs Invest'!$B$5),B216+C216),0)</f>
        <v>80559.31935518072</v>
      </c>
      <c r="E216">
        <f t="shared" si="48"/>
        <v>68511.355547162544</v>
      </c>
      <c r="F216">
        <f t="shared" si="49"/>
        <v>1859162.8537357457</v>
      </c>
      <c r="G216">
        <f t="shared" si="56"/>
        <v>10423205.426099051</v>
      </c>
      <c r="H216">
        <f>IF(A216&lt;='Prepay vs Invest'!$B$7*12,IF(AND(A216&gt;='Prepay vs Invest'!$B$11,A216&lt;='Prepay vs Invest'!$B$12),'Prepay vs Invest'!$B$10,0)+IF(A216='Prepay vs Invest'!$B$9,'Prepay vs Invest'!$B$8,0),0)</f>
        <v>10000</v>
      </c>
      <c r="I216">
        <f>G216*(1+MAX(0,'Prepay vs Invest'!$B$13-'Prepay vs Invest'!$B$14)/1200)+H216</f>
        <v>10533094.478099165</v>
      </c>
      <c r="J216">
        <f t="shared" si="57"/>
        <v>2650000</v>
      </c>
      <c r="K216">
        <f>MAX(0,(I216-J216-'Prepay vs Invest'!$B$16)*'Prepay vs Invest'!$B$15/100)</f>
        <v>969761.80976239557</v>
      </c>
      <c r="L216">
        <f t="shared" si="50"/>
        <v>9563332.6683367696</v>
      </c>
      <c r="M216">
        <f t="shared" si="58"/>
        <v>0</v>
      </c>
      <c r="N216">
        <f>IF(M216&gt;0,M216*'Prepay vs Invest'!$B$6/1200,0)</f>
        <v>0</v>
      </c>
      <c r="O216">
        <f>IF(M216&gt;0,MIN('Prepay vs Invest'!$E$5,M216+N216),0)</f>
        <v>0</v>
      </c>
      <c r="P216">
        <f>MIN(MAX(0,M216+N216-O216),IF(AND(A216&gt;='Prepay vs Invest'!$B$11,A216&lt;='Prepay vs Invest'!$B$12),'Prepay vs Invest'!$B$10,0)+IF(A216='Prepay vs Invest'!$B$9,'Prepay vs Invest'!$B$8,0))</f>
        <v>0</v>
      </c>
      <c r="Q216">
        <f t="shared" si="51"/>
        <v>0</v>
      </c>
      <c r="R216">
        <f t="shared" si="59"/>
        <v>4619613.2335818652</v>
      </c>
      <c r="S216">
        <f>IF(A216&lt;='Prepay vs Invest'!$B$7*12,MAX(0,'Prepay vs Invest'!$E$5+IF(AND(A216&gt;='Prepay vs Invest'!$B$11,A216&lt;='Prepay vs Invest'!$B$12),'Prepay vs Invest'!$B$10,0)+IF(A216='Prepay vs Invest'!$B$9,'Prepay vs Invest'!$B$8,0)-O216-P216),0)</f>
        <v>90559.31935518072</v>
      </c>
      <c r="T216">
        <f>R216*(1+MAX(0,'Prepay vs Invest'!$B$13-'Prepay vs Invest'!$B$14)/1200)+S216</f>
        <v>4754443.846425538</v>
      </c>
      <c r="U216">
        <f t="shared" si="60"/>
        <v>3869569.3868857687</v>
      </c>
      <c r="V216">
        <f>MAX(0,(T216-U216-'Prepay vs Invest'!$B$16)*'Prepay vs Invest'!$B$15/100)</f>
        <v>94984.307442471167</v>
      </c>
      <c r="W216">
        <f t="shared" si="52"/>
        <v>4659459.5389830666</v>
      </c>
      <c r="X216">
        <f t="shared" si="61"/>
        <v>1109808.1523386561</v>
      </c>
      <c r="Y216">
        <f>IF(X216&gt;0,X216*'Prepay vs Invest'!$B$6/1200,0)</f>
        <v>6936.3009521166014</v>
      </c>
      <c r="Z216">
        <f>IF(X216&gt;0,MIN(-PMT('Prepay vs Invest'!$B$6/1200,'Prepay vs Invest'!$B$7*12-A216+1,X216),X216+Y216),0)</f>
        <v>46379.92713535115</v>
      </c>
      <c r="AA216">
        <f>MIN(MAX(0,X216+Y216-Z216),IF(AND(A216&gt;='Prepay vs Invest'!$B$11,A216&lt;='Prepay vs Invest'!$B$12),'Prepay vs Invest'!$B$10,0)+IF(A216='Prepay vs Invest'!$B$9,'Prepay vs Invest'!$B$8,0))</f>
        <v>10000</v>
      </c>
      <c r="AB216">
        <f t="shared" si="53"/>
        <v>1060364.5261554215</v>
      </c>
      <c r="AC216">
        <f t="shared" si="62"/>
        <v>7494024.148625535</v>
      </c>
      <c r="AD216">
        <f>IF(A216&lt;='Prepay vs Invest'!$B$7*12,MAX(0,'Prepay vs Invest'!$E$5+IF(AND(A216&gt;='Prepay vs Invest'!$B$11,A216&lt;='Prepay vs Invest'!$B$12),'Prepay vs Invest'!$B$10,0)+IF(A216='Prepay vs Invest'!$B$9,'Prepay vs Invest'!$B$8,0)-Z216-AA216),0)</f>
        <v>34179.39221982957</v>
      </c>
      <c r="AE216">
        <f>AC216*(1+MAX(0,'Prepay vs Invest'!$B$13-'Prepay vs Invest'!$B$14)/1200)+AD216</f>
        <v>7600021.2722696923</v>
      </c>
      <c r="AF216">
        <f t="shared" si="63"/>
        <v>3262971.2810178804</v>
      </c>
      <c r="AG216">
        <f>MAX(0,(AE216-AF216-'Prepay vs Invest'!$B$16)*'Prepay vs Invest'!$B$15/100)</f>
        <v>526506.24890647642</v>
      </c>
      <c r="AH216">
        <f t="shared" si="54"/>
        <v>7073515.0233632158</v>
      </c>
    </row>
    <row r="217" spans="1:34" x14ac:dyDescent="0.35">
      <c r="A217">
        <f t="shared" si="55"/>
        <v>216</v>
      </c>
      <c r="B217">
        <f>IF(A217&lt;='Prepay vs Invest'!$B$7*12,F216,0)</f>
        <v>1859162.8537357457</v>
      </c>
      <c r="C217">
        <f>IF(B217&gt;0,B217*'Prepay vs Invest'!$B$6/1200,0)</f>
        <v>11619.76783584841</v>
      </c>
      <c r="D217">
        <f>IF(B217&gt;0,MIN(-PMT('Prepay vs Invest'!$B$6/1200,'Prepay vs Invest'!$B$7*12,'Prepay vs Invest'!$B$5),B217+C217),0)</f>
        <v>80559.31935518072</v>
      </c>
      <c r="E217">
        <f t="shared" si="48"/>
        <v>68939.551519332308</v>
      </c>
      <c r="F217">
        <f t="shared" si="49"/>
        <v>1790223.3022164134</v>
      </c>
      <c r="G217">
        <f t="shared" si="56"/>
        <v>10533094.478099165</v>
      </c>
      <c r="H217">
        <f>IF(A217&lt;='Prepay vs Invest'!$B$7*12,IF(AND(A217&gt;='Prepay vs Invest'!$B$11,A217&lt;='Prepay vs Invest'!$B$12),'Prepay vs Invest'!$B$10,0)+IF(A217='Prepay vs Invest'!$B$9,'Prepay vs Invest'!$B$8,0),0)</f>
        <v>10000</v>
      </c>
      <c r="I217">
        <f>G217*(1+MAX(0,'Prepay vs Invest'!$B$13-'Prepay vs Invest'!$B$14)/1200)+H217</f>
        <v>10644036.633514281</v>
      </c>
      <c r="J217">
        <f t="shared" si="57"/>
        <v>2660000</v>
      </c>
      <c r="K217">
        <f>MAX(0,(I217-J217-'Prepay vs Invest'!$B$16)*'Prepay vs Invest'!$B$15/100)</f>
        <v>982379.57918928517</v>
      </c>
      <c r="L217">
        <f t="shared" si="50"/>
        <v>9661657.0543249957</v>
      </c>
      <c r="M217">
        <f t="shared" si="58"/>
        <v>0</v>
      </c>
      <c r="N217">
        <f>IF(M217&gt;0,M217*'Prepay vs Invest'!$B$6/1200,0)</f>
        <v>0</v>
      </c>
      <c r="O217">
        <f>IF(M217&gt;0,MIN('Prepay vs Invest'!$E$5,M217+N217),0)</f>
        <v>0</v>
      </c>
      <c r="P217">
        <f>MIN(MAX(0,M217+N217-O217),IF(AND(A217&gt;='Prepay vs Invest'!$B$11,A217&lt;='Prepay vs Invest'!$B$12),'Prepay vs Invest'!$B$10,0)+IF(A217='Prepay vs Invest'!$B$9,'Prepay vs Invest'!$B$8,0))</f>
        <v>0</v>
      </c>
      <c r="Q217">
        <f t="shared" si="51"/>
        <v>0</v>
      </c>
      <c r="R217">
        <f t="shared" si="59"/>
        <v>4754443.846425538</v>
      </c>
      <c r="S217">
        <f>IF(A217&lt;='Prepay vs Invest'!$B$7*12,MAX(0,'Prepay vs Invest'!$E$5+IF(AND(A217&gt;='Prepay vs Invest'!$B$11,A217&lt;='Prepay vs Invest'!$B$12),'Prepay vs Invest'!$B$10,0)+IF(A217='Prepay vs Invest'!$B$9,'Prepay vs Invest'!$B$8,0)-O217-P217),0)</f>
        <v>90559.31935518072</v>
      </c>
      <c r="T217">
        <f>R217*(1+MAX(0,'Prepay vs Invest'!$B$13-'Prepay vs Invest'!$B$14)/1200)+S217</f>
        <v>4890566.5859756293</v>
      </c>
      <c r="U217">
        <f t="shared" si="60"/>
        <v>3960128.7062409492</v>
      </c>
      <c r="V217">
        <f>MAX(0,(T217-U217-'Prepay vs Invest'!$B$16)*'Prepay vs Invest'!$B$15/100)</f>
        <v>100679.73496683501</v>
      </c>
      <c r="W217">
        <f t="shared" si="52"/>
        <v>4789886.8510087943</v>
      </c>
      <c r="X217">
        <f t="shared" si="61"/>
        <v>1060364.5261554215</v>
      </c>
      <c r="Y217">
        <f>IF(X217&gt;0,X217*'Prepay vs Invest'!$B$6/1200,0)</f>
        <v>6627.2782884713843</v>
      </c>
      <c r="Z217">
        <f>IF(X217&gt;0,MIN(-PMT('Prepay vs Invest'!$B$6/1200,'Prepay vs Invest'!$B$7*12-A217+1,X217),X217+Y217),0)</f>
        <v>45946.617491748329</v>
      </c>
      <c r="AA217">
        <f>MIN(MAX(0,X217+Y217-Z217),IF(AND(A217&gt;='Prepay vs Invest'!$B$11,A217&lt;='Prepay vs Invest'!$B$12),'Prepay vs Invest'!$B$10,0)+IF(A217='Prepay vs Invest'!$B$9,'Prepay vs Invest'!$B$8,0))</f>
        <v>10000</v>
      </c>
      <c r="AB217">
        <f t="shared" si="53"/>
        <v>1011045.1869521445</v>
      </c>
      <c r="AC217">
        <f t="shared" si="62"/>
        <v>7600021.2722696923</v>
      </c>
      <c r="AD217">
        <f>IF(A217&lt;='Prepay vs Invest'!$B$7*12,MAX(0,'Prepay vs Invest'!$E$5+IF(AND(A217&gt;='Prepay vs Invest'!$B$11,A217&lt;='Prepay vs Invest'!$B$12),'Prepay vs Invest'!$B$10,0)+IF(A217='Prepay vs Invest'!$B$9,'Prepay vs Invest'!$B$8,0)-Z217-AA217),0)</f>
        <v>34612.70186343239</v>
      </c>
      <c r="AE217">
        <f>AC217*(1+MAX(0,'Prepay vs Invest'!$B$13-'Prepay vs Invest'!$B$14)/1200)+AD217</f>
        <v>7707467.5113257086</v>
      </c>
      <c r="AF217">
        <f t="shared" si="63"/>
        <v>3297583.9828813127</v>
      </c>
      <c r="AG217">
        <f>MAX(0,(AE217-AF217-'Prepay vs Invest'!$B$16)*'Prepay vs Invest'!$B$15/100)</f>
        <v>535610.44105554954</v>
      </c>
      <c r="AH217">
        <f t="shared" si="54"/>
        <v>7171857.0702701593</v>
      </c>
    </row>
    <row r="218" spans="1:34" x14ac:dyDescent="0.35">
      <c r="A218">
        <f t="shared" si="55"/>
        <v>217</v>
      </c>
      <c r="B218">
        <f>IF(A218&lt;='Prepay vs Invest'!$B$7*12,F217,0)</f>
        <v>1790223.3022164134</v>
      </c>
      <c r="C218">
        <f>IF(B218&gt;0,B218*'Prepay vs Invest'!$B$6/1200,0)</f>
        <v>11188.895638852584</v>
      </c>
      <c r="D218">
        <f>IF(B218&gt;0,MIN(-PMT('Prepay vs Invest'!$B$6/1200,'Prepay vs Invest'!$B$7*12,'Prepay vs Invest'!$B$5),B218+C218),0)</f>
        <v>80559.31935518072</v>
      </c>
      <c r="E218">
        <f t="shared" si="48"/>
        <v>69370.423716328136</v>
      </c>
      <c r="F218">
        <f t="shared" si="49"/>
        <v>1720852.8785000853</v>
      </c>
      <c r="G218">
        <f t="shared" si="56"/>
        <v>10644036.633514281</v>
      </c>
      <c r="H218">
        <f>IF(A218&lt;='Prepay vs Invest'!$B$7*12,IF(AND(A218&gt;='Prepay vs Invest'!$B$11,A218&lt;='Prepay vs Invest'!$B$12),'Prepay vs Invest'!$B$10,0)+IF(A218='Prepay vs Invest'!$B$9,'Prepay vs Invest'!$B$8,0),0)</f>
        <v>10000</v>
      </c>
      <c r="I218">
        <f>G218*(1+MAX(0,'Prepay vs Invest'!$B$13-'Prepay vs Invest'!$B$14)/1200)+H218</f>
        <v>10756041.984585458</v>
      </c>
      <c r="J218">
        <f t="shared" si="57"/>
        <v>2670000</v>
      </c>
      <c r="K218">
        <f>MAX(0,(I218-J218-'Prepay vs Invest'!$B$16)*'Prepay vs Invest'!$B$15/100)</f>
        <v>995130.2480731823</v>
      </c>
      <c r="L218">
        <f t="shared" si="50"/>
        <v>9760911.7365122754</v>
      </c>
      <c r="M218">
        <f t="shared" si="58"/>
        <v>0</v>
      </c>
      <c r="N218">
        <f>IF(M218&gt;0,M218*'Prepay vs Invest'!$B$6/1200,0)</f>
        <v>0</v>
      </c>
      <c r="O218">
        <f>IF(M218&gt;0,MIN('Prepay vs Invest'!$E$5,M218+N218),0)</f>
        <v>0</v>
      </c>
      <c r="P218">
        <f>MIN(MAX(0,M218+N218-O218),IF(AND(A218&gt;='Prepay vs Invest'!$B$11,A218&lt;='Prepay vs Invest'!$B$12),'Prepay vs Invest'!$B$10,0)+IF(A218='Prepay vs Invest'!$B$9,'Prepay vs Invest'!$B$8,0))</f>
        <v>0</v>
      </c>
      <c r="Q218">
        <f t="shared" si="51"/>
        <v>0</v>
      </c>
      <c r="R218">
        <f t="shared" si="59"/>
        <v>4890566.5859756293</v>
      </c>
      <c r="S218">
        <f>IF(A218&lt;='Prepay vs Invest'!$B$7*12,MAX(0,'Prepay vs Invest'!$E$5+IF(AND(A218&gt;='Prepay vs Invest'!$B$11,A218&lt;='Prepay vs Invest'!$B$12),'Prepay vs Invest'!$B$10,0)+IF(A218='Prepay vs Invest'!$B$9,'Prepay vs Invest'!$B$8,0)-O218-P218),0)</f>
        <v>90559.31935518072</v>
      </c>
      <c r="T218">
        <f>R218*(1+MAX(0,'Prepay vs Invest'!$B$13-'Prepay vs Invest'!$B$14)/1200)+S218</f>
        <v>5027993.8351130756</v>
      </c>
      <c r="U218">
        <f t="shared" si="60"/>
        <v>4050688.0255961297</v>
      </c>
      <c r="V218">
        <f>MAX(0,(T218-U218-'Prepay vs Invest'!$B$16)*'Prepay vs Invest'!$B$15/100)</f>
        <v>106538.22618961822</v>
      </c>
      <c r="W218">
        <f t="shared" si="52"/>
        <v>4921455.6089234576</v>
      </c>
      <c r="X218">
        <f t="shared" si="61"/>
        <v>1011045.1869521445</v>
      </c>
      <c r="Y218">
        <f>IF(X218&gt;0,X218*'Prepay vs Invest'!$B$6/1200,0)</f>
        <v>6319.0324184509036</v>
      </c>
      <c r="Z218">
        <f>IF(X218&gt;0,MIN(-PMT('Prepay vs Invest'!$B$6/1200,'Prepay vs Invest'!$B$7*12-A218+1,X218),X218+Y218),0)</f>
        <v>45496.621565232083</v>
      </c>
      <c r="AA218">
        <f>MIN(MAX(0,X218+Y218-Z218),IF(AND(A218&gt;='Prepay vs Invest'!$B$11,A218&lt;='Prepay vs Invest'!$B$12),'Prepay vs Invest'!$B$10,0)+IF(A218='Prepay vs Invest'!$B$9,'Prepay vs Invest'!$B$8,0))</f>
        <v>10000</v>
      </c>
      <c r="AB218">
        <f t="shared" si="53"/>
        <v>961867.59780536336</v>
      </c>
      <c r="AC218">
        <f t="shared" si="62"/>
        <v>7707467.5113257086</v>
      </c>
      <c r="AD218">
        <f>IF(A218&lt;='Prepay vs Invest'!$B$7*12,MAX(0,'Prepay vs Invest'!$E$5+IF(AND(A218&gt;='Prepay vs Invest'!$B$11,A218&lt;='Prepay vs Invest'!$B$12),'Prepay vs Invest'!$B$10,0)+IF(A218='Prepay vs Invest'!$B$9,'Prepay vs Invest'!$B$8,0)-Z218-AA218),0)</f>
        <v>35062.697789948637</v>
      </c>
      <c r="AE218">
        <f>AC218*(1+MAX(0,'Prepay vs Invest'!$B$13-'Prepay vs Invest'!$B$14)/1200)+AD218</f>
        <v>7816393.4394325279</v>
      </c>
      <c r="AF218">
        <f t="shared" si="63"/>
        <v>3332646.6806712612</v>
      </c>
      <c r="AG218">
        <f>MAX(0,(AE218-AF218-'Prepay vs Invest'!$B$16)*'Prepay vs Invest'!$B$15/100)</f>
        <v>544843.34484515828</v>
      </c>
      <c r="AH218">
        <f t="shared" si="54"/>
        <v>7271550.0945873698</v>
      </c>
    </row>
    <row r="219" spans="1:34" x14ac:dyDescent="0.35">
      <c r="A219">
        <f t="shared" si="55"/>
        <v>218</v>
      </c>
      <c r="B219">
        <f>IF(A219&lt;='Prepay vs Invest'!$B$7*12,F218,0)</f>
        <v>1720852.8785000853</v>
      </c>
      <c r="C219">
        <f>IF(B219&gt;0,B219*'Prepay vs Invest'!$B$6/1200,0)</f>
        <v>10755.330490625533</v>
      </c>
      <c r="D219">
        <f>IF(B219&gt;0,MIN(-PMT('Prepay vs Invest'!$B$6/1200,'Prepay vs Invest'!$B$7*12,'Prepay vs Invest'!$B$5),B219+C219),0)</f>
        <v>80559.31935518072</v>
      </c>
      <c r="E219">
        <f t="shared" si="48"/>
        <v>69803.988864555184</v>
      </c>
      <c r="F219">
        <f t="shared" si="49"/>
        <v>1651048.8896355301</v>
      </c>
      <c r="G219">
        <f t="shared" si="56"/>
        <v>10756041.984585458</v>
      </c>
      <c r="H219">
        <f>IF(A219&lt;='Prepay vs Invest'!$B$7*12,IF(AND(A219&gt;='Prepay vs Invest'!$B$11,A219&lt;='Prepay vs Invest'!$B$12),'Prepay vs Invest'!$B$10,0)+IF(A219='Prepay vs Invest'!$B$9,'Prepay vs Invest'!$B$8,0),0)</f>
        <v>10000</v>
      </c>
      <c r="I219">
        <f>G219*(1+MAX(0,'Prepay vs Invest'!$B$13-'Prepay vs Invest'!$B$14)/1200)+H219</f>
        <v>10869120.720271068</v>
      </c>
      <c r="J219">
        <f t="shared" si="57"/>
        <v>2680000</v>
      </c>
      <c r="K219">
        <f>MAX(0,(I219-J219-'Prepay vs Invest'!$B$16)*'Prepay vs Invest'!$B$15/100)</f>
        <v>1008015.0900338835</v>
      </c>
      <c r="L219">
        <f t="shared" si="50"/>
        <v>9861105.6302371845</v>
      </c>
      <c r="M219">
        <f t="shared" si="58"/>
        <v>0</v>
      </c>
      <c r="N219">
        <f>IF(M219&gt;0,M219*'Prepay vs Invest'!$B$6/1200,0)</f>
        <v>0</v>
      </c>
      <c r="O219">
        <f>IF(M219&gt;0,MIN('Prepay vs Invest'!$E$5,M219+N219),0)</f>
        <v>0</v>
      </c>
      <c r="P219">
        <f>MIN(MAX(0,M219+N219-O219),IF(AND(A219&gt;='Prepay vs Invest'!$B$11,A219&lt;='Prepay vs Invest'!$B$12),'Prepay vs Invest'!$B$10,0)+IF(A219='Prepay vs Invest'!$B$9,'Prepay vs Invest'!$B$8,0))</f>
        <v>0</v>
      </c>
      <c r="Q219">
        <f t="shared" si="51"/>
        <v>0</v>
      </c>
      <c r="R219">
        <f t="shared" si="59"/>
        <v>5027993.8351130756</v>
      </c>
      <c r="S219">
        <f>IF(A219&lt;='Prepay vs Invest'!$B$7*12,MAX(0,'Prepay vs Invest'!$E$5+IF(AND(A219&gt;='Prepay vs Invest'!$B$11,A219&lt;='Prepay vs Invest'!$B$12),'Prepay vs Invest'!$B$10,0)+IF(A219='Prepay vs Invest'!$B$9,'Prepay vs Invest'!$B$8,0)-O219-P219),0)</f>
        <v>90559.31935518072</v>
      </c>
      <c r="T219">
        <f>R219*(1+MAX(0,'Prepay vs Invest'!$B$13-'Prepay vs Invest'!$B$14)/1200)+S219</f>
        <v>5166738.0953880893</v>
      </c>
      <c r="U219">
        <f t="shared" si="60"/>
        <v>4141247.3449513102</v>
      </c>
      <c r="V219">
        <f>MAX(0,(T219-U219-'Prepay vs Invest'!$B$16)*'Prepay vs Invest'!$B$15/100)</f>
        <v>112561.34380459739</v>
      </c>
      <c r="W219">
        <f t="shared" si="52"/>
        <v>5054176.7515834924</v>
      </c>
      <c r="X219">
        <f t="shared" si="61"/>
        <v>961867.59780536336</v>
      </c>
      <c r="Y219">
        <f>IF(X219&gt;0,X219*'Prepay vs Invest'!$B$6/1200,0)</f>
        <v>6011.6724862835208</v>
      </c>
      <c r="Z219">
        <f>IF(X219&gt;0,MIN(-PMT('Prepay vs Invest'!$B$6/1200,'Prepay vs Invest'!$B$7*12-A219+1,X219),X219+Y219),0)</f>
        <v>45028.485559175584</v>
      </c>
      <c r="AA219">
        <f>MIN(MAX(0,X219+Y219-Z219),IF(AND(A219&gt;='Prepay vs Invest'!$B$11,A219&lt;='Prepay vs Invest'!$B$12),'Prepay vs Invest'!$B$10,0)+IF(A219='Prepay vs Invest'!$B$9,'Prepay vs Invest'!$B$8,0))</f>
        <v>10000</v>
      </c>
      <c r="AB219">
        <f t="shared" si="53"/>
        <v>912850.78473247122</v>
      </c>
      <c r="AC219">
        <f t="shared" si="62"/>
        <v>7816393.4394325279</v>
      </c>
      <c r="AD219">
        <f>IF(A219&lt;='Prepay vs Invest'!$B$7*12,MAX(0,'Prepay vs Invest'!$E$5+IF(AND(A219&gt;='Prepay vs Invest'!$B$11,A219&lt;='Prepay vs Invest'!$B$12),'Prepay vs Invest'!$B$10,0)+IF(A219='Prepay vs Invest'!$B$9,'Prepay vs Invest'!$B$8,0)-Z219-AA219),0)</f>
        <v>35530.833796005136</v>
      </c>
      <c r="AE219">
        <f>AC219*(1+MAX(0,'Prepay vs Invest'!$B$13-'Prepay vs Invest'!$B$14)/1200)+AD219</f>
        <v>7926831.3770230943</v>
      </c>
      <c r="AF219">
        <f t="shared" si="63"/>
        <v>3368177.5144672664</v>
      </c>
      <c r="AG219">
        <f>MAX(0,(AE219-AF219-'Prepay vs Invest'!$B$16)*'Prepay vs Invest'!$B$15/100)</f>
        <v>554206.73281947849</v>
      </c>
      <c r="AH219">
        <f t="shared" si="54"/>
        <v>7372624.6442036163</v>
      </c>
    </row>
    <row r="220" spans="1:34" x14ac:dyDescent="0.35">
      <c r="A220">
        <f t="shared" si="55"/>
        <v>219</v>
      </c>
      <c r="B220">
        <f>IF(A220&lt;='Prepay vs Invest'!$B$7*12,F219,0)</f>
        <v>1651048.8896355301</v>
      </c>
      <c r="C220">
        <f>IF(B220&gt;0,B220*'Prepay vs Invest'!$B$6/1200,0)</f>
        <v>10319.055560222063</v>
      </c>
      <c r="D220">
        <f>IF(B220&gt;0,MIN(-PMT('Prepay vs Invest'!$B$6/1200,'Prepay vs Invest'!$B$7*12,'Prepay vs Invest'!$B$5),B220+C220),0)</f>
        <v>80559.31935518072</v>
      </c>
      <c r="E220">
        <f t="shared" si="48"/>
        <v>70240.26379495865</v>
      </c>
      <c r="F220">
        <f t="shared" si="49"/>
        <v>1580808.6258405715</v>
      </c>
      <c r="G220">
        <f t="shared" si="56"/>
        <v>10869120.720271068</v>
      </c>
      <c r="H220">
        <f>IF(A220&lt;='Prepay vs Invest'!$B$7*12,IF(AND(A220&gt;='Prepay vs Invest'!$B$11,A220&lt;='Prepay vs Invest'!$B$12),'Prepay vs Invest'!$B$10,0)+IF(A220='Prepay vs Invest'!$B$9,'Prepay vs Invest'!$B$8,0),0)</f>
        <v>10000</v>
      </c>
      <c r="I220">
        <f>G220*(1+MAX(0,'Prepay vs Invest'!$B$13-'Prepay vs Invest'!$B$14)/1200)+H220</f>
        <v>10983283.127173664</v>
      </c>
      <c r="J220">
        <f t="shared" si="57"/>
        <v>2690000</v>
      </c>
      <c r="K220">
        <f>MAX(0,(I220-J220-'Prepay vs Invest'!$B$16)*'Prepay vs Invest'!$B$15/100)</f>
        <v>1021035.3908967081</v>
      </c>
      <c r="L220">
        <f t="shared" si="50"/>
        <v>9962247.7362769563</v>
      </c>
      <c r="M220">
        <f t="shared" si="58"/>
        <v>0</v>
      </c>
      <c r="N220">
        <f>IF(M220&gt;0,M220*'Prepay vs Invest'!$B$6/1200,0)</f>
        <v>0</v>
      </c>
      <c r="O220">
        <f>IF(M220&gt;0,MIN('Prepay vs Invest'!$E$5,M220+N220),0)</f>
        <v>0</v>
      </c>
      <c r="P220">
        <f>MIN(MAX(0,M220+N220-O220),IF(AND(A220&gt;='Prepay vs Invest'!$B$11,A220&lt;='Prepay vs Invest'!$B$12),'Prepay vs Invest'!$B$10,0)+IF(A220='Prepay vs Invest'!$B$9,'Prepay vs Invest'!$B$8,0))</f>
        <v>0</v>
      </c>
      <c r="Q220">
        <f t="shared" si="51"/>
        <v>0</v>
      </c>
      <c r="R220">
        <f t="shared" si="59"/>
        <v>5166738.0953880893</v>
      </c>
      <c r="S220">
        <f>IF(A220&lt;='Prepay vs Invest'!$B$7*12,MAX(0,'Prepay vs Invest'!$E$5+IF(AND(A220&gt;='Prepay vs Invest'!$B$11,A220&lt;='Prepay vs Invest'!$B$12),'Prepay vs Invest'!$B$10,0)+IF(A220='Prepay vs Invest'!$B$9,'Prepay vs Invest'!$B$8,0)-O220-P220),0)</f>
        <v>90559.31935518072</v>
      </c>
      <c r="T220">
        <f>R220*(1+MAX(0,'Prepay vs Invest'!$B$13-'Prepay vs Invest'!$B$14)/1200)+S220</f>
        <v>5306811.9881574055</v>
      </c>
      <c r="U220">
        <f t="shared" si="60"/>
        <v>4231806.6643064907</v>
      </c>
      <c r="V220">
        <f>MAX(0,(T220-U220-'Prepay vs Invest'!$B$16)*'Prepay vs Invest'!$B$15/100)</f>
        <v>118750.66548136435</v>
      </c>
      <c r="W220">
        <f t="shared" si="52"/>
        <v>5188061.3226760412</v>
      </c>
      <c r="X220">
        <f t="shared" si="61"/>
        <v>912850.78473247122</v>
      </c>
      <c r="Y220">
        <f>IF(X220&gt;0,X220*'Prepay vs Invest'!$B$6/1200,0)</f>
        <v>5705.3174045779451</v>
      </c>
      <c r="Z220">
        <f>IF(X220&gt;0,MIN(-PMT('Prepay vs Invest'!$B$6/1200,'Prepay vs Invest'!$B$7*12-A220+1,X220),X220+Y220),0)</f>
        <v>44540.557431420581</v>
      </c>
      <c r="AA220">
        <f>MIN(MAX(0,X220+Y220-Z220),IF(AND(A220&gt;='Prepay vs Invest'!$B$11,A220&lt;='Prepay vs Invest'!$B$12),'Prepay vs Invest'!$B$10,0)+IF(A220='Prepay vs Invest'!$B$9,'Prepay vs Invest'!$B$8,0))</f>
        <v>10000</v>
      </c>
      <c r="AB220">
        <f t="shared" si="53"/>
        <v>864015.54470562865</v>
      </c>
      <c r="AC220">
        <f t="shared" si="62"/>
        <v>7926831.3770230943</v>
      </c>
      <c r="AD220">
        <f>IF(A220&lt;='Prepay vs Invest'!$B$7*12,MAX(0,'Prepay vs Invest'!$E$5+IF(AND(A220&gt;='Prepay vs Invest'!$B$11,A220&lt;='Prepay vs Invest'!$B$12),'Prepay vs Invest'!$B$10,0)+IF(A220='Prepay vs Invest'!$B$9,'Prepay vs Invest'!$B$8,0)-Z220-AA220),0)</f>
        <v>36018.761923760139</v>
      </c>
      <c r="AE220">
        <f>AC220*(1+MAX(0,'Prepay vs Invest'!$B$13-'Prepay vs Invest'!$B$14)/1200)+AD220</f>
        <v>8038815.6063099923</v>
      </c>
      <c r="AF220">
        <f t="shared" si="63"/>
        <v>3404196.2763910266</v>
      </c>
      <c r="AG220">
        <f>MAX(0,(AE220-AF220-'Prepay vs Invest'!$B$16)*'Prepay vs Invest'!$B$15/100)</f>
        <v>563702.41623987071</v>
      </c>
      <c r="AH220">
        <f t="shared" si="54"/>
        <v>7475113.1900701215</v>
      </c>
    </row>
    <row r="221" spans="1:34" x14ac:dyDescent="0.35">
      <c r="A221">
        <f t="shared" si="55"/>
        <v>220</v>
      </c>
      <c r="B221">
        <f>IF(A221&lt;='Prepay vs Invest'!$B$7*12,F220,0)</f>
        <v>1580808.6258405715</v>
      </c>
      <c r="C221">
        <f>IF(B221&gt;0,B221*'Prepay vs Invest'!$B$6/1200,0)</f>
        <v>9880.0539115035717</v>
      </c>
      <c r="D221">
        <f>IF(B221&gt;0,MIN(-PMT('Prepay vs Invest'!$B$6/1200,'Prepay vs Invest'!$B$7*12,'Prepay vs Invest'!$B$5),B221+C221),0)</f>
        <v>80559.31935518072</v>
      </c>
      <c r="E221">
        <f t="shared" si="48"/>
        <v>70679.265443677141</v>
      </c>
      <c r="F221">
        <f t="shared" si="49"/>
        <v>1510129.3603968944</v>
      </c>
      <c r="G221">
        <f t="shared" si="56"/>
        <v>10983283.127173664</v>
      </c>
      <c r="H221">
        <f>IF(A221&lt;='Prepay vs Invest'!$B$7*12,IF(AND(A221&gt;='Prepay vs Invest'!$B$11,A221&lt;='Prepay vs Invest'!$B$12),'Prepay vs Invest'!$B$10,0)+IF(A221='Prepay vs Invest'!$B$9,'Prepay vs Invest'!$B$8,0),0)</f>
        <v>10000</v>
      </c>
      <c r="I221">
        <f>G221*(1+MAX(0,'Prepay vs Invest'!$B$13-'Prepay vs Invest'!$B$14)/1200)+H221</f>
        <v>11098539.590475744</v>
      </c>
      <c r="J221">
        <f t="shared" si="57"/>
        <v>2700000</v>
      </c>
      <c r="K221">
        <f>MAX(0,(I221-J221-'Prepay vs Invest'!$B$16)*'Prepay vs Invest'!$B$15/100)</f>
        <v>1034192.448809468</v>
      </c>
      <c r="L221">
        <f t="shared" si="50"/>
        <v>10064347.141666276</v>
      </c>
      <c r="M221">
        <f t="shared" si="58"/>
        <v>0</v>
      </c>
      <c r="N221">
        <f>IF(M221&gt;0,M221*'Prepay vs Invest'!$B$6/1200,0)</f>
        <v>0</v>
      </c>
      <c r="O221">
        <f>IF(M221&gt;0,MIN('Prepay vs Invest'!$E$5,M221+N221),0)</f>
        <v>0</v>
      </c>
      <c r="P221">
        <f>MIN(MAX(0,M221+N221-O221),IF(AND(A221&gt;='Prepay vs Invest'!$B$11,A221&lt;='Prepay vs Invest'!$B$12),'Prepay vs Invest'!$B$10,0)+IF(A221='Prepay vs Invest'!$B$9,'Prepay vs Invest'!$B$8,0))</f>
        <v>0</v>
      </c>
      <c r="Q221">
        <f t="shared" si="51"/>
        <v>0</v>
      </c>
      <c r="R221">
        <f t="shared" si="59"/>
        <v>5306811.9881574055</v>
      </c>
      <c r="S221">
        <f>IF(A221&lt;='Prepay vs Invest'!$B$7*12,MAX(0,'Prepay vs Invest'!$E$5+IF(AND(A221&gt;='Prepay vs Invest'!$B$11,A221&lt;='Prepay vs Invest'!$B$12),'Prepay vs Invest'!$B$10,0)+IF(A221='Prepay vs Invest'!$B$9,'Prepay vs Invest'!$B$8,0)-O221-P221),0)</f>
        <v>90559.31935518072</v>
      </c>
      <c r="T221">
        <f>R221*(1+MAX(0,'Prepay vs Invest'!$B$13-'Prepay vs Invest'!$B$14)/1200)+S221</f>
        <v>5448228.2557324274</v>
      </c>
      <c r="U221">
        <f t="shared" si="60"/>
        <v>4322365.9836616712</v>
      </c>
      <c r="V221">
        <f>MAX(0,(T221-U221-'Prepay vs Invest'!$B$16)*'Prepay vs Invest'!$B$15/100)</f>
        <v>125107.78400884454</v>
      </c>
      <c r="W221">
        <f t="shared" si="52"/>
        <v>5323120.4717235826</v>
      </c>
      <c r="X221">
        <f t="shared" si="61"/>
        <v>864015.54470562865</v>
      </c>
      <c r="Y221">
        <f>IF(X221&gt;0,X221*'Prepay vs Invest'!$B$6/1200,0)</f>
        <v>5400.0971544101785</v>
      </c>
      <c r="Z221">
        <f>IF(X221&gt;0,MIN(-PMT('Prepay vs Invest'!$B$6/1200,'Prepay vs Invest'!$B$7*12-A221+1,X221),X221+Y221),0)</f>
        <v>44030.949133247545</v>
      </c>
      <c r="AA221">
        <f>MIN(MAX(0,X221+Y221-Z221),IF(AND(A221&gt;='Prepay vs Invest'!$B$11,A221&lt;='Prepay vs Invest'!$B$12),'Prepay vs Invest'!$B$10,0)+IF(A221='Prepay vs Invest'!$B$9,'Prepay vs Invest'!$B$8,0))</f>
        <v>10000</v>
      </c>
      <c r="AB221">
        <f t="shared" si="53"/>
        <v>815384.69272679137</v>
      </c>
      <c r="AC221">
        <f t="shared" si="62"/>
        <v>8038815.6063099923</v>
      </c>
      <c r="AD221">
        <f>IF(A221&lt;='Prepay vs Invest'!$B$7*12,MAX(0,'Prepay vs Invest'!$E$5+IF(AND(A221&gt;='Prepay vs Invest'!$B$11,A221&lt;='Prepay vs Invest'!$B$12),'Prepay vs Invest'!$B$10,0)+IF(A221='Prepay vs Invest'!$B$9,'Prepay vs Invest'!$B$8,0)-Z221-AA221),0)</f>
        <v>36528.370221933175</v>
      </c>
      <c r="AE221">
        <f>AC221*(1+MAX(0,'Prepay vs Invest'!$B$13-'Prepay vs Invest'!$B$14)/1200)+AD221</f>
        <v>8152382.6260923957</v>
      </c>
      <c r="AF221">
        <f t="shared" si="63"/>
        <v>3440724.6466129599</v>
      </c>
      <c r="AG221">
        <f>MAX(0,(AE221-AF221-'Prepay vs Invest'!$B$16)*'Prepay vs Invest'!$B$15/100)</f>
        <v>573332.24743492948</v>
      </c>
      <c r="AH221">
        <f t="shared" si="54"/>
        <v>7579050.3786574658</v>
      </c>
    </row>
    <row r="222" spans="1:34" x14ac:dyDescent="0.35">
      <c r="A222">
        <f t="shared" si="55"/>
        <v>221</v>
      </c>
      <c r="B222">
        <f>IF(A222&lt;='Prepay vs Invest'!$B$7*12,F221,0)</f>
        <v>1510129.3603968944</v>
      </c>
      <c r="C222">
        <f>IF(B222&gt;0,B222*'Prepay vs Invest'!$B$6/1200,0)</f>
        <v>9438.3085024805896</v>
      </c>
      <c r="D222">
        <f>IF(B222&gt;0,MIN(-PMT('Prepay vs Invest'!$B$6/1200,'Prepay vs Invest'!$B$7*12,'Prepay vs Invest'!$B$5),B222+C222),0)</f>
        <v>80559.31935518072</v>
      </c>
      <c r="E222">
        <f t="shared" si="48"/>
        <v>71121.010852700128</v>
      </c>
      <c r="F222">
        <f t="shared" si="49"/>
        <v>1439008.3495441943</v>
      </c>
      <c r="G222">
        <f t="shared" si="56"/>
        <v>11098539.590475744</v>
      </c>
      <c r="H222">
        <f>IF(A222&lt;='Prepay vs Invest'!$B$7*12,IF(AND(A222&gt;='Prepay vs Invest'!$B$11,A222&lt;='Prepay vs Invest'!$B$12),'Prepay vs Invest'!$B$10,0)+IF(A222='Prepay vs Invest'!$B$9,'Prepay vs Invest'!$B$8,0),0)</f>
        <v>10000</v>
      </c>
      <c r="I222">
        <f>G222*(1+MAX(0,'Prepay vs Invest'!$B$13-'Prepay vs Invest'!$B$14)/1200)+H222</f>
        <v>11214900.594884468</v>
      </c>
      <c r="J222">
        <f t="shared" si="57"/>
        <v>2710000</v>
      </c>
      <c r="K222">
        <f>MAX(0,(I222-J222-'Prepay vs Invest'!$B$16)*'Prepay vs Invest'!$B$15/100)</f>
        <v>1047487.5743605585</v>
      </c>
      <c r="L222">
        <f t="shared" si="50"/>
        <v>10167413.020523909</v>
      </c>
      <c r="M222">
        <f t="shared" si="58"/>
        <v>0</v>
      </c>
      <c r="N222">
        <f>IF(M222&gt;0,M222*'Prepay vs Invest'!$B$6/1200,0)</f>
        <v>0</v>
      </c>
      <c r="O222">
        <f>IF(M222&gt;0,MIN('Prepay vs Invest'!$E$5,M222+N222),0)</f>
        <v>0</v>
      </c>
      <c r="P222">
        <f>MIN(MAX(0,M222+N222-O222),IF(AND(A222&gt;='Prepay vs Invest'!$B$11,A222&lt;='Prepay vs Invest'!$B$12),'Prepay vs Invest'!$B$10,0)+IF(A222='Prepay vs Invest'!$B$9,'Prepay vs Invest'!$B$8,0))</f>
        <v>0</v>
      </c>
      <c r="Q222">
        <f t="shared" si="51"/>
        <v>0</v>
      </c>
      <c r="R222">
        <f t="shared" si="59"/>
        <v>5448228.2557324274</v>
      </c>
      <c r="S222">
        <f>IF(A222&lt;='Prepay vs Invest'!$B$7*12,MAX(0,'Prepay vs Invest'!$E$5+IF(AND(A222&gt;='Prepay vs Invest'!$B$11,A222&lt;='Prepay vs Invest'!$B$12),'Prepay vs Invest'!$B$10,0)+IF(A222='Prepay vs Invest'!$B$9,'Prepay vs Invest'!$B$8,0)-O222-P222),0)</f>
        <v>90559.31935518072</v>
      </c>
      <c r="T222">
        <f>R222*(1+MAX(0,'Prepay vs Invest'!$B$13-'Prepay vs Invest'!$B$14)/1200)+S222</f>
        <v>5590999.7625383763</v>
      </c>
      <c r="U222">
        <f t="shared" si="60"/>
        <v>4412925.3030168517</v>
      </c>
      <c r="V222">
        <f>MAX(0,(T222-U222-'Prepay vs Invest'!$B$16)*'Prepay vs Invest'!$B$15/100)</f>
        <v>131634.30744019058</v>
      </c>
      <c r="W222">
        <f t="shared" si="52"/>
        <v>5459365.4550981857</v>
      </c>
      <c r="X222">
        <f t="shared" si="61"/>
        <v>815384.69272679137</v>
      </c>
      <c r="Y222">
        <f>IF(X222&gt;0,X222*'Prepay vs Invest'!$B$6/1200,0)</f>
        <v>5096.1543295424462</v>
      </c>
      <c r="Z222">
        <f>IF(X222&gt;0,MIN(-PMT('Prepay vs Invest'!$B$6/1200,'Prepay vs Invest'!$B$7*12-A222+1,X222),X222+Y222),0)</f>
        <v>43497.489408088557</v>
      </c>
      <c r="AA222">
        <f>MIN(MAX(0,X222+Y222-Z222),IF(AND(A222&gt;='Prepay vs Invest'!$B$11,A222&lt;='Prepay vs Invest'!$B$12),'Prepay vs Invest'!$B$10,0)+IF(A222='Prepay vs Invest'!$B$9,'Prepay vs Invest'!$B$8,0))</f>
        <v>10000</v>
      </c>
      <c r="AB222">
        <f t="shared" si="53"/>
        <v>766983.35764824529</v>
      </c>
      <c r="AC222">
        <f t="shared" si="62"/>
        <v>8152382.6260923957</v>
      </c>
      <c r="AD222">
        <f>IF(A222&lt;='Prepay vs Invest'!$B$7*12,MAX(0,'Prepay vs Invest'!$E$5+IF(AND(A222&gt;='Prepay vs Invest'!$B$11,A222&lt;='Prepay vs Invest'!$B$12),'Prepay vs Invest'!$B$10,0)+IF(A222='Prepay vs Invest'!$B$9,'Prepay vs Invest'!$B$8,0)-Z222-AA222),0)</f>
        <v>37061.829947092163</v>
      </c>
      <c r="AE222">
        <f>AC222*(1+MAX(0,'Prepay vs Invest'!$B$13-'Prepay vs Invest'!$B$14)/1200)+AD222</f>
        <v>8267571.4562062062</v>
      </c>
      <c r="AF222">
        <f t="shared" si="63"/>
        <v>3477786.476560052</v>
      </c>
      <c r="AG222">
        <f>MAX(0,(AE222-AF222-'Prepay vs Invest'!$B$16)*'Prepay vs Invest'!$B$15/100)</f>
        <v>583098.12245576922</v>
      </c>
      <c r="AH222">
        <f t="shared" si="54"/>
        <v>7684473.333750437</v>
      </c>
    </row>
    <row r="223" spans="1:34" x14ac:dyDescent="0.35">
      <c r="A223">
        <f t="shared" si="55"/>
        <v>222</v>
      </c>
      <c r="B223">
        <f>IF(A223&lt;='Prepay vs Invest'!$B$7*12,F222,0)</f>
        <v>1439008.3495441943</v>
      </c>
      <c r="C223">
        <f>IF(B223&gt;0,B223*'Prepay vs Invest'!$B$6/1200,0)</f>
        <v>8993.8021846512147</v>
      </c>
      <c r="D223">
        <f>IF(B223&gt;0,MIN(-PMT('Prepay vs Invest'!$B$6/1200,'Prepay vs Invest'!$B$7*12,'Prepay vs Invest'!$B$5),B223+C223),0)</f>
        <v>80559.31935518072</v>
      </c>
      <c r="E223">
        <f t="shared" si="48"/>
        <v>71565.517170529507</v>
      </c>
      <c r="F223">
        <f t="shared" si="49"/>
        <v>1367442.8323736647</v>
      </c>
      <c r="G223">
        <f t="shared" si="56"/>
        <v>11214900.594884468</v>
      </c>
      <c r="H223">
        <f>IF(A223&lt;='Prepay vs Invest'!$B$7*12,IF(AND(A223&gt;='Prepay vs Invest'!$B$11,A223&lt;='Prepay vs Invest'!$B$12),'Prepay vs Invest'!$B$10,0)+IF(A223='Prepay vs Invest'!$B$9,'Prepay vs Invest'!$B$8,0),0)</f>
        <v>10000</v>
      </c>
      <c r="I223">
        <f>G223*(1+MAX(0,'Prepay vs Invest'!$B$13-'Prepay vs Invest'!$B$14)/1200)+H223</f>
        <v>11332376.725585444</v>
      </c>
      <c r="J223">
        <f t="shared" si="57"/>
        <v>2720000</v>
      </c>
      <c r="K223">
        <f>MAX(0,(I223-J223-'Prepay vs Invest'!$B$16)*'Prepay vs Invest'!$B$15/100)</f>
        <v>1060922.0906981805</v>
      </c>
      <c r="L223">
        <f t="shared" si="50"/>
        <v>10271454.634887263</v>
      </c>
      <c r="M223">
        <f t="shared" si="58"/>
        <v>0</v>
      </c>
      <c r="N223">
        <f>IF(M223&gt;0,M223*'Prepay vs Invest'!$B$6/1200,0)</f>
        <v>0</v>
      </c>
      <c r="O223">
        <f>IF(M223&gt;0,MIN('Prepay vs Invest'!$E$5,M223+N223),0)</f>
        <v>0</v>
      </c>
      <c r="P223">
        <f>MIN(MAX(0,M223+N223-O223),IF(AND(A223&gt;='Prepay vs Invest'!$B$11,A223&lt;='Prepay vs Invest'!$B$12),'Prepay vs Invest'!$B$10,0)+IF(A223='Prepay vs Invest'!$B$9,'Prepay vs Invest'!$B$8,0))</f>
        <v>0</v>
      </c>
      <c r="Q223">
        <f t="shared" si="51"/>
        <v>0</v>
      </c>
      <c r="R223">
        <f t="shared" si="59"/>
        <v>5590999.7625383763</v>
      </c>
      <c r="S223">
        <f>IF(A223&lt;='Prepay vs Invest'!$B$7*12,MAX(0,'Prepay vs Invest'!$E$5+IF(AND(A223&gt;='Prepay vs Invest'!$B$11,A223&lt;='Prepay vs Invest'!$B$12),'Prepay vs Invest'!$B$10,0)+IF(A223='Prepay vs Invest'!$B$9,'Prepay vs Invest'!$B$8,0)-O223-P223),0)</f>
        <v>90559.31935518072</v>
      </c>
      <c r="T223">
        <f>R223*(1+MAX(0,'Prepay vs Invest'!$B$13-'Prepay vs Invest'!$B$14)/1200)+S223</f>
        <v>5735139.4962845491</v>
      </c>
      <c r="U223">
        <f t="shared" si="60"/>
        <v>4503484.6223720321</v>
      </c>
      <c r="V223">
        <f>MAX(0,(T223-U223-'Prepay vs Invest'!$B$16)*'Prepay vs Invest'!$B$15/100)</f>
        <v>138331.85923906462</v>
      </c>
      <c r="W223">
        <f t="shared" si="52"/>
        <v>5596807.637045484</v>
      </c>
      <c r="X223">
        <f t="shared" si="61"/>
        <v>766983.35764824529</v>
      </c>
      <c r="Y223">
        <f>IF(X223&gt;0,X223*'Prepay vs Invest'!$B$6/1200,0)</f>
        <v>4793.6459853015331</v>
      </c>
      <c r="Z223">
        <f>IF(X223&gt;0,MIN(-PMT('Prepay vs Invest'!$B$6/1200,'Prepay vs Invest'!$B$7*12-A223+1,X223),X223+Y223),0)</f>
        <v>42937.66416884862</v>
      </c>
      <c r="AA223">
        <f>MIN(MAX(0,X223+Y223-Z223),IF(AND(A223&gt;='Prepay vs Invest'!$B$11,A223&lt;='Prepay vs Invest'!$B$12),'Prepay vs Invest'!$B$10,0)+IF(A223='Prepay vs Invest'!$B$9,'Prepay vs Invest'!$B$8,0))</f>
        <v>10000</v>
      </c>
      <c r="AB223">
        <f t="shared" si="53"/>
        <v>718839.33946469822</v>
      </c>
      <c r="AC223">
        <f t="shared" si="62"/>
        <v>8267571.4562062062</v>
      </c>
      <c r="AD223">
        <f>IF(A223&lt;='Prepay vs Invest'!$B$7*12,MAX(0,'Prepay vs Invest'!$E$5+IF(AND(A223&gt;='Prepay vs Invest'!$B$11,A223&lt;='Prepay vs Invest'!$B$12),'Prepay vs Invest'!$B$10,0)+IF(A223='Prepay vs Invest'!$B$9,'Prepay vs Invest'!$B$8,0)-Z223-AA223),0)</f>
        <v>37621.6551863321</v>
      </c>
      <c r="AE223">
        <f>AC223*(1+MAX(0,'Prepay vs Invest'!$B$13-'Prepay vs Invest'!$B$14)/1200)+AD223</f>
        <v>8384424.0045145135</v>
      </c>
      <c r="AF223">
        <f t="shared" si="63"/>
        <v>3515408.1317463843</v>
      </c>
      <c r="AG223">
        <f>MAX(0,(AE223-AF223-'Prepay vs Invest'!$B$16)*'Prepay vs Invest'!$B$15/100)</f>
        <v>593001.98409601615</v>
      </c>
      <c r="AH223">
        <f t="shared" si="54"/>
        <v>7791422.0204184977</v>
      </c>
    </row>
    <row r="224" spans="1:34" x14ac:dyDescent="0.35">
      <c r="A224">
        <f t="shared" si="55"/>
        <v>223</v>
      </c>
      <c r="B224">
        <f>IF(A224&lt;='Prepay vs Invest'!$B$7*12,F223,0)</f>
        <v>1367442.8323736647</v>
      </c>
      <c r="C224">
        <f>IF(B224&gt;0,B224*'Prepay vs Invest'!$B$6/1200,0)</f>
        <v>8546.5177023354045</v>
      </c>
      <c r="D224">
        <f>IF(B224&gt;0,MIN(-PMT('Prepay vs Invest'!$B$6/1200,'Prepay vs Invest'!$B$7*12,'Prepay vs Invest'!$B$5),B224+C224),0)</f>
        <v>80559.31935518072</v>
      </c>
      <c r="E224">
        <f t="shared" si="48"/>
        <v>72012.801652845315</v>
      </c>
      <c r="F224">
        <f t="shared" si="49"/>
        <v>1295430.0307208195</v>
      </c>
      <c r="G224">
        <f t="shared" si="56"/>
        <v>11332376.725585444</v>
      </c>
      <c r="H224">
        <f>IF(A224&lt;='Prepay vs Invest'!$B$7*12,IF(AND(A224&gt;='Prepay vs Invest'!$B$11,A224&lt;='Prepay vs Invest'!$B$12),'Prepay vs Invest'!$B$10,0)+IF(A224='Prepay vs Invest'!$B$9,'Prepay vs Invest'!$B$8,0),0)</f>
        <v>10000</v>
      </c>
      <c r="I224">
        <f>G224*(1+MAX(0,'Prepay vs Invest'!$B$13-'Prepay vs Invest'!$B$14)/1200)+H224</f>
        <v>11450978.669205638</v>
      </c>
      <c r="J224">
        <f t="shared" si="57"/>
        <v>2730000</v>
      </c>
      <c r="K224">
        <f>MAX(0,(I224-J224-'Prepay vs Invest'!$B$16)*'Prepay vs Invest'!$B$15/100)</f>
        <v>1074497.3336507047</v>
      </c>
      <c r="L224">
        <f t="shared" si="50"/>
        <v>10376481.335554933</v>
      </c>
      <c r="M224">
        <f t="shared" si="58"/>
        <v>0</v>
      </c>
      <c r="N224">
        <f>IF(M224&gt;0,M224*'Prepay vs Invest'!$B$6/1200,0)</f>
        <v>0</v>
      </c>
      <c r="O224">
        <f>IF(M224&gt;0,MIN('Prepay vs Invest'!$E$5,M224+N224),0)</f>
        <v>0</v>
      </c>
      <c r="P224">
        <f>MIN(MAX(0,M224+N224-O224),IF(AND(A224&gt;='Prepay vs Invest'!$B$11,A224&lt;='Prepay vs Invest'!$B$12),'Prepay vs Invest'!$B$10,0)+IF(A224='Prepay vs Invest'!$B$9,'Prepay vs Invest'!$B$8,0))</f>
        <v>0</v>
      </c>
      <c r="Q224">
        <f t="shared" si="51"/>
        <v>0</v>
      </c>
      <c r="R224">
        <f t="shared" si="59"/>
        <v>5735139.4962845491</v>
      </c>
      <c r="S224">
        <f>IF(A224&lt;='Prepay vs Invest'!$B$7*12,MAX(0,'Prepay vs Invest'!$E$5+IF(AND(A224&gt;='Prepay vs Invest'!$B$11,A224&lt;='Prepay vs Invest'!$B$12),'Prepay vs Invest'!$B$10,0)+IF(A224='Prepay vs Invest'!$B$9,'Prepay vs Invest'!$B$8,0)-O224-P224),0)</f>
        <v>90559.31935518072</v>
      </c>
      <c r="T224">
        <f>R224*(1+MAX(0,'Prepay vs Invest'!$B$13-'Prepay vs Invest'!$B$14)/1200)+S224</f>
        <v>5880660.5691457894</v>
      </c>
      <c r="U224">
        <f t="shared" si="60"/>
        <v>4594043.9417272126</v>
      </c>
      <c r="V224">
        <f>MAX(0,(T224-U224-'Prepay vs Invest'!$B$16)*'Prepay vs Invest'!$B$15/100)</f>
        <v>145202.07842732209</v>
      </c>
      <c r="W224">
        <f t="shared" si="52"/>
        <v>5735458.4907184672</v>
      </c>
      <c r="X224">
        <f t="shared" si="61"/>
        <v>718839.33946469822</v>
      </c>
      <c r="Y224">
        <f>IF(X224&gt;0,X224*'Prepay vs Invest'!$B$6/1200,0)</f>
        <v>4492.7458716543642</v>
      </c>
      <c r="Z224">
        <f>IF(X224&gt;0,MIN(-PMT('Prepay vs Invest'!$B$6/1200,'Prepay vs Invest'!$B$7*12-A224+1,X224),X224+Y224),0)</f>
        <v>42348.540313371981</v>
      </c>
      <c r="AA224">
        <f>MIN(MAX(0,X224+Y224-Z224),IF(AND(A224&gt;='Prepay vs Invest'!$B$11,A224&lt;='Prepay vs Invest'!$B$12),'Prepay vs Invest'!$B$10,0)+IF(A224='Prepay vs Invest'!$B$9,'Prepay vs Invest'!$B$8,0))</f>
        <v>10000</v>
      </c>
      <c r="AB224">
        <f t="shared" si="53"/>
        <v>670983.54502298054</v>
      </c>
      <c r="AC224">
        <f t="shared" si="62"/>
        <v>8384424.0045145135</v>
      </c>
      <c r="AD224">
        <f>IF(A224&lt;='Prepay vs Invest'!$B$7*12,MAX(0,'Prepay vs Invest'!$E$5+IF(AND(A224&gt;='Prepay vs Invest'!$B$11,A224&lt;='Prepay vs Invest'!$B$12),'Prepay vs Invest'!$B$10,0)+IF(A224='Prepay vs Invest'!$B$9,'Prepay vs Invest'!$B$8,0)-Z224-AA224),0)</f>
        <v>38210.779041808739</v>
      </c>
      <c r="AE224">
        <f>AC224*(1+MAX(0,'Prepay vs Invest'!$B$13-'Prepay vs Invest'!$B$14)/1200)+AD224</f>
        <v>8502985.5135995857</v>
      </c>
      <c r="AF224">
        <f t="shared" si="63"/>
        <v>3553618.9107881929</v>
      </c>
      <c r="AG224">
        <f>MAX(0,(AE224-AF224-'Prepay vs Invest'!$B$16)*'Prepay vs Invest'!$B$15/100)</f>
        <v>603045.82535142405</v>
      </c>
      <c r="AH224">
        <f t="shared" si="54"/>
        <v>7899939.6882481612</v>
      </c>
    </row>
    <row r="225" spans="1:34" x14ac:dyDescent="0.35">
      <c r="A225">
        <f t="shared" si="55"/>
        <v>224</v>
      </c>
      <c r="B225">
        <f>IF(A225&lt;='Prepay vs Invest'!$B$7*12,F224,0)</f>
        <v>1295430.0307208195</v>
      </c>
      <c r="C225">
        <f>IF(B225&gt;0,B225*'Prepay vs Invest'!$B$6/1200,0)</f>
        <v>8096.4376920051218</v>
      </c>
      <c r="D225">
        <f>IF(B225&gt;0,MIN(-PMT('Prepay vs Invest'!$B$6/1200,'Prepay vs Invest'!$B$7*12,'Prepay vs Invest'!$B$5),B225+C225),0)</f>
        <v>80559.31935518072</v>
      </c>
      <c r="E225">
        <f t="shared" si="48"/>
        <v>72462.881663175591</v>
      </c>
      <c r="F225">
        <f t="shared" si="49"/>
        <v>1222967.149057644</v>
      </c>
      <c r="G225">
        <f t="shared" si="56"/>
        <v>11450978.669205638</v>
      </c>
      <c r="H225">
        <f>IF(A225&lt;='Prepay vs Invest'!$B$7*12,IF(AND(A225&gt;='Prepay vs Invest'!$B$11,A225&lt;='Prepay vs Invest'!$B$12),'Prepay vs Invest'!$B$10,0)+IF(A225='Prepay vs Invest'!$B$9,'Prepay vs Invest'!$B$8,0),0)</f>
        <v>10000</v>
      </c>
      <c r="I225">
        <f>G225*(1+MAX(0,'Prepay vs Invest'!$B$13-'Prepay vs Invest'!$B$14)/1200)+H225</f>
        <v>11570717.214785524</v>
      </c>
      <c r="J225">
        <f t="shared" si="57"/>
        <v>2740000</v>
      </c>
      <c r="K225">
        <f>MAX(0,(I225-J225-'Prepay vs Invest'!$B$16)*'Prepay vs Invest'!$B$15/100)</f>
        <v>1088214.6518481905</v>
      </c>
      <c r="L225">
        <f t="shared" si="50"/>
        <v>10482502.562937334</v>
      </c>
      <c r="M225">
        <f t="shared" si="58"/>
        <v>0</v>
      </c>
      <c r="N225">
        <f>IF(M225&gt;0,M225*'Prepay vs Invest'!$B$6/1200,0)</f>
        <v>0</v>
      </c>
      <c r="O225">
        <f>IF(M225&gt;0,MIN('Prepay vs Invest'!$E$5,M225+N225),0)</f>
        <v>0</v>
      </c>
      <c r="P225">
        <f>MIN(MAX(0,M225+N225-O225),IF(AND(A225&gt;='Prepay vs Invest'!$B$11,A225&lt;='Prepay vs Invest'!$B$12),'Prepay vs Invest'!$B$10,0)+IF(A225='Prepay vs Invest'!$B$9,'Prepay vs Invest'!$B$8,0))</f>
        <v>0</v>
      </c>
      <c r="Q225">
        <f t="shared" si="51"/>
        <v>0</v>
      </c>
      <c r="R225">
        <f t="shared" si="59"/>
        <v>5880660.5691457894</v>
      </c>
      <c r="S225">
        <f>IF(A225&lt;='Prepay vs Invest'!$B$7*12,MAX(0,'Prepay vs Invest'!$E$5+IF(AND(A225&gt;='Prepay vs Invest'!$B$11,A225&lt;='Prepay vs Invest'!$B$12),'Prepay vs Invest'!$B$10,0)+IF(A225='Prepay vs Invest'!$B$9,'Prepay vs Invest'!$B$8,0)-O225-P225),0)</f>
        <v>90559.31935518072</v>
      </c>
      <c r="T225">
        <f>R225*(1+MAX(0,'Prepay vs Invest'!$B$13-'Prepay vs Invest'!$B$14)/1200)+S225</f>
        <v>6027576.2189552831</v>
      </c>
      <c r="U225">
        <f t="shared" si="60"/>
        <v>4684603.2610823931</v>
      </c>
      <c r="V225">
        <f>MAX(0,(T225-U225-'Prepay vs Invest'!$B$16)*'Prepay vs Invest'!$B$15/100)</f>
        <v>152246.61973411124</v>
      </c>
      <c r="W225">
        <f t="shared" si="52"/>
        <v>5875329.5992211718</v>
      </c>
      <c r="X225">
        <f t="shared" si="61"/>
        <v>670983.54502298054</v>
      </c>
      <c r="Y225">
        <f>IF(X225&gt;0,X225*'Prepay vs Invest'!$B$6/1200,0)</f>
        <v>4193.6471563936284</v>
      </c>
      <c r="Z225">
        <f>IF(X225&gt;0,MIN(-PMT('Prepay vs Invest'!$B$6/1200,'Prepay vs Invest'!$B$7*12-A225+1,X225),X225+Y225),0)</f>
        <v>41726.667132692673</v>
      </c>
      <c r="AA225">
        <f>MIN(MAX(0,X225+Y225-Z225),IF(AND(A225&gt;='Prepay vs Invest'!$B$11,A225&lt;='Prepay vs Invest'!$B$12),'Prepay vs Invest'!$B$10,0)+IF(A225='Prepay vs Invest'!$B$9,'Prepay vs Invest'!$B$8,0))</f>
        <v>10000</v>
      </c>
      <c r="AB225">
        <f t="shared" si="53"/>
        <v>623450.52504668152</v>
      </c>
      <c r="AC225">
        <f t="shared" si="62"/>
        <v>8502985.5135995857</v>
      </c>
      <c r="AD225">
        <f>IF(A225&lt;='Prepay vs Invest'!$B$7*12,MAX(0,'Prepay vs Invest'!$E$5+IF(AND(A225&gt;='Prepay vs Invest'!$B$11,A225&lt;='Prepay vs Invest'!$B$12),'Prepay vs Invest'!$B$10,0)+IF(A225='Prepay vs Invest'!$B$9,'Prepay vs Invest'!$B$8,0)-Z225-AA225),0)</f>
        <v>38832.652222488046</v>
      </c>
      <c r="AE225">
        <f>AC225*(1+MAX(0,'Prepay vs Invest'!$B$13-'Prepay vs Invest'!$B$14)/1200)+AD225</f>
        <v>8623305.1103274021</v>
      </c>
      <c r="AF225">
        <f t="shared" si="63"/>
        <v>3592451.563010681</v>
      </c>
      <c r="AG225">
        <f>MAX(0,(AE225-AF225-'Prepay vs Invest'!$B$16)*'Prepay vs Invest'!$B$15/100)</f>
        <v>613231.69341459009</v>
      </c>
      <c r="AH225">
        <f t="shared" si="54"/>
        <v>8010073.4169128118</v>
      </c>
    </row>
    <row r="226" spans="1:34" x14ac:dyDescent="0.35">
      <c r="A226">
        <f t="shared" si="55"/>
        <v>225</v>
      </c>
      <c r="B226">
        <f>IF(A226&lt;='Prepay vs Invest'!$B$7*12,F225,0)</f>
        <v>1222967.149057644</v>
      </c>
      <c r="C226">
        <f>IF(B226&gt;0,B226*'Prepay vs Invest'!$B$6/1200,0)</f>
        <v>7643.544681610274</v>
      </c>
      <c r="D226">
        <f>IF(B226&gt;0,MIN(-PMT('Prepay vs Invest'!$B$6/1200,'Prepay vs Invest'!$B$7*12,'Prepay vs Invest'!$B$5),B226+C226),0)</f>
        <v>80559.31935518072</v>
      </c>
      <c r="E226">
        <f t="shared" si="48"/>
        <v>72915.774673570442</v>
      </c>
      <c r="F226">
        <f t="shared" si="49"/>
        <v>1150051.3743840735</v>
      </c>
      <c r="G226">
        <f t="shared" si="56"/>
        <v>11570717.214785524</v>
      </c>
      <c r="H226">
        <f>IF(A226&lt;='Prepay vs Invest'!$B$7*12,IF(AND(A226&gt;='Prepay vs Invest'!$B$11,A226&lt;='Prepay vs Invest'!$B$12),'Prepay vs Invest'!$B$10,0)+IF(A226='Prepay vs Invest'!$B$9,'Prepay vs Invest'!$B$8,0),0)</f>
        <v>10000</v>
      </c>
      <c r="I226">
        <f>G226*(1+MAX(0,'Prepay vs Invest'!$B$13-'Prepay vs Invest'!$B$14)/1200)+H226</f>
        <v>11691603.25476055</v>
      </c>
      <c r="J226">
        <f t="shared" si="57"/>
        <v>2750000</v>
      </c>
      <c r="K226">
        <f>MAX(0,(I226-J226-'Prepay vs Invest'!$B$16)*'Prepay vs Invest'!$B$15/100)</f>
        <v>1102075.4068450688</v>
      </c>
      <c r="L226">
        <f t="shared" si="50"/>
        <v>10589527.847915482</v>
      </c>
      <c r="M226">
        <f t="shared" si="58"/>
        <v>0</v>
      </c>
      <c r="N226">
        <f>IF(M226&gt;0,M226*'Prepay vs Invest'!$B$6/1200,0)</f>
        <v>0</v>
      </c>
      <c r="O226">
        <f>IF(M226&gt;0,MIN('Prepay vs Invest'!$E$5,M226+N226),0)</f>
        <v>0</v>
      </c>
      <c r="P226">
        <f>MIN(MAX(0,M226+N226-O226),IF(AND(A226&gt;='Prepay vs Invest'!$B$11,A226&lt;='Prepay vs Invest'!$B$12),'Prepay vs Invest'!$B$10,0)+IF(A226='Prepay vs Invest'!$B$9,'Prepay vs Invest'!$B$8,0))</f>
        <v>0</v>
      </c>
      <c r="Q226">
        <f t="shared" si="51"/>
        <v>0</v>
      </c>
      <c r="R226">
        <f t="shared" si="59"/>
        <v>6027576.2189552831</v>
      </c>
      <c r="S226">
        <f>IF(A226&lt;='Prepay vs Invest'!$B$7*12,MAX(0,'Prepay vs Invest'!$E$5+IF(AND(A226&gt;='Prepay vs Invest'!$B$11,A226&lt;='Prepay vs Invest'!$B$12),'Prepay vs Invest'!$B$10,0)+IF(A226='Prepay vs Invest'!$B$9,'Prepay vs Invest'!$B$8,0)-O226-P226),0)</f>
        <v>90559.31935518072</v>
      </c>
      <c r="T226">
        <f>R226*(1+MAX(0,'Prepay vs Invest'!$B$13-'Prepay vs Invest'!$B$14)/1200)+S226</f>
        <v>6175899.810408785</v>
      </c>
      <c r="U226">
        <f t="shared" si="60"/>
        <v>4775162.5804375736</v>
      </c>
      <c r="V226">
        <f>MAX(0,(T226-U226-'Prepay vs Invest'!$B$16)*'Prepay vs Invest'!$B$15/100)</f>
        <v>159467.15374640143</v>
      </c>
      <c r="W226">
        <f t="shared" si="52"/>
        <v>6016432.656662384</v>
      </c>
      <c r="X226">
        <f t="shared" si="61"/>
        <v>623450.52504668152</v>
      </c>
      <c r="Y226">
        <f>IF(X226&gt;0,X226*'Prepay vs Invest'!$B$6/1200,0)</f>
        <v>3896.5657815417594</v>
      </c>
      <c r="Z226">
        <f>IF(X226&gt;0,MIN(-PMT('Prepay vs Invest'!$B$6/1200,'Prepay vs Invest'!$B$7*12-A226+1,X226),X226+Y226),0)</f>
        <v>41067.946909363185</v>
      </c>
      <c r="AA226">
        <f>MIN(MAX(0,X226+Y226-Z226),IF(AND(A226&gt;='Prepay vs Invest'!$B$11,A226&lt;='Prepay vs Invest'!$B$12),'Prepay vs Invest'!$B$10,0)+IF(A226='Prepay vs Invest'!$B$9,'Prepay vs Invest'!$B$8,0))</f>
        <v>10000</v>
      </c>
      <c r="AB226">
        <f t="shared" si="53"/>
        <v>576279.14391886012</v>
      </c>
      <c r="AC226">
        <f t="shared" si="62"/>
        <v>8623305.1103274021</v>
      </c>
      <c r="AD226">
        <f>IF(A226&lt;='Prepay vs Invest'!$B$7*12,MAX(0,'Prepay vs Invest'!$E$5+IF(AND(A226&gt;='Prepay vs Invest'!$B$11,A226&lt;='Prepay vs Invest'!$B$12),'Prepay vs Invest'!$B$10,0)+IF(A226='Prepay vs Invest'!$B$9,'Prepay vs Invest'!$B$8,0)-Z226-AA226),0)</f>
        <v>39491.372445817535</v>
      </c>
      <c r="AE226">
        <f>AC226*(1+MAX(0,'Prepay vs Invest'!$B$13-'Prepay vs Invest'!$B$14)/1200)+AD226</f>
        <v>8745436.4900805242</v>
      </c>
      <c r="AF226">
        <f t="shared" si="63"/>
        <v>3631942.9354564985</v>
      </c>
      <c r="AG226">
        <f>MAX(0,(AE226-AF226-'Prepay vs Invest'!$B$16)*'Prepay vs Invest'!$B$15/100)</f>
        <v>623561.69432800321</v>
      </c>
      <c r="AH226">
        <f t="shared" si="54"/>
        <v>8121874.7957525207</v>
      </c>
    </row>
    <row r="227" spans="1:34" x14ac:dyDescent="0.35">
      <c r="A227">
        <f t="shared" si="55"/>
        <v>226</v>
      </c>
      <c r="B227">
        <f>IF(A227&lt;='Prepay vs Invest'!$B$7*12,F226,0)</f>
        <v>1150051.3743840735</v>
      </c>
      <c r="C227">
        <f>IF(B227&gt;0,B227*'Prepay vs Invest'!$B$6/1200,0)</f>
        <v>7187.8210899004589</v>
      </c>
      <c r="D227">
        <f>IF(B227&gt;0,MIN(-PMT('Prepay vs Invest'!$B$6/1200,'Prepay vs Invest'!$B$7*12,'Prepay vs Invest'!$B$5),B227+C227),0)</f>
        <v>80559.31935518072</v>
      </c>
      <c r="E227">
        <f t="shared" si="48"/>
        <v>73371.498265280257</v>
      </c>
      <c r="F227">
        <f t="shared" si="49"/>
        <v>1076679.8761187934</v>
      </c>
      <c r="G227">
        <f t="shared" si="56"/>
        <v>11691603.25476055</v>
      </c>
      <c r="H227">
        <f>IF(A227&lt;='Prepay vs Invest'!$B$7*12,IF(AND(A227&gt;='Prepay vs Invest'!$B$11,A227&lt;='Prepay vs Invest'!$B$12),'Prepay vs Invest'!$B$10,0)+IF(A227='Prepay vs Invest'!$B$9,'Prepay vs Invest'!$B$8,0),0)</f>
        <v>10000</v>
      </c>
      <c r="I227">
        <f>G227*(1+MAX(0,'Prepay vs Invest'!$B$13-'Prepay vs Invest'!$B$14)/1200)+H227</f>
        <v>11813647.785952006</v>
      </c>
      <c r="J227">
        <f t="shared" si="57"/>
        <v>2760000</v>
      </c>
      <c r="K227">
        <f>MAX(0,(I227-J227-'Prepay vs Invest'!$B$16)*'Prepay vs Invest'!$B$15/100)</f>
        <v>1116080.9732440007</v>
      </c>
      <c r="L227">
        <f t="shared" si="50"/>
        <v>10697566.812708005</v>
      </c>
      <c r="M227">
        <f t="shared" si="58"/>
        <v>0</v>
      </c>
      <c r="N227">
        <f>IF(M227&gt;0,M227*'Prepay vs Invest'!$B$6/1200,0)</f>
        <v>0</v>
      </c>
      <c r="O227">
        <f>IF(M227&gt;0,MIN('Prepay vs Invest'!$E$5,M227+N227),0)</f>
        <v>0</v>
      </c>
      <c r="P227">
        <f>MIN(MAX(0,M227+N227-O227),IF(AND(A227&gt;='Prepay vs Invest'!$B$11,A227&lt;='Prepay vs Invest'!$B$12),'Prepay vs Invest'!$B$10,0)+IF(A227='Prepay vs Invest'!$B$9,'Prepay vs Invest'!$B$8,0))</f>
        <v>0</v>
      </c>
      <c r="Q227">
        <f t="shared" si="51"/>
        <v>0</v>
      </c>
      <c r="R227">
        <f t="shared" si="59"/>
        <v>6175899.810408785</v>
      </c>
      <c r="S227">
        <f>IF(A227&lt;='Prepay vs Invest'!$B$7*12,MAX(0,'Prepay vs Invest'!$E$5+IF(AND(A227&gt;='Prepay vs Invest'!$B$11,A227&lt;='Prepay vs Invest'!$B$12),'Prepay vs Invest'!$B$10,0)+IF(A227='Prepay vs Invest'!$B$9,'Prepay vs Invest'!$B$8,0)-O227-P227),0)</f>
        <v>90559.31935518072</v>
      </c>
      <c r="T227">
        <f>R227*(1+MAX(0,'Prepay vs Invest'!$B$13-'Prepay vs Invest'!$B$14)/1200)+S227</f>
        <v>6325644.8362803822</v>
      </c>
      <c r="U227">
        <f t="shared" si="60"/>
        <v>4865721.8997927541</v>
      </c>
      <c r="V227">
        <f>MAX(0,(T227-U227-'Prepay vs Invest'!$B$16)*'Prepay vs Invest'!$B$15/100)</f>
        <v>166865.36706095352</v>
      </c>
      <c r="W227">
        <f t="shared" si="52"/>
        <v>6158779.4692194285</v>
      </c>
      <c r="X227">
        <f t="shared" si="61"/>
        <v>576279.14391886012</v>
      </c>
      <c r="Y227">
        <f>IF(X227&gt;0,X227*'Prepay vs Invest'!$B$6/1200,0)</f>
        <v>3601.7446494928754</v>
      </c>
      <c r="Z227">
        <f>IF(X227&gt;0,MIN(-PMT('Prepay vs Invest'!$B$6/1200,'Prepay vs Invest'!$B$7*12-A227+1,X227),X227+Y227),0)</f>
        <v>40367.46238189299</v>
      </c>
      <c r="AA227">
        <f>MIN(MAX(0,X227+Y227-Z227),IF(AND(A227&gt;='Prepay vs Invest'!$B$11,A227&lt;='Prepay vs Invest'!$B$12),'Prepay vs Invest'!$B$10,0)+IF(A227='Prepay vs Invest'!$B$9,'Prepay vs Invest'!$B$8,0))</f>
        <v>10000</v>
      </c>
      <c r="AB227">
        <f t="shared" si="53"/>
        <v>529513.42618646007</v>
      </c>
      <c r="AC227">
        <f t="shared" si="62"/>
        <v>8745436.4900805242</v>
      </c>
      <c r="AD227">
        <f>IF(A227&lt;='Prepay vs Invest'!$B$7*12,MAX(0,'Prepay vs Invest'!$E$5+IF(AND(A227&gt;='Prepay vs Invest'!$B$11,A227&lt;='Prepay vs Invest'!$B$12),'Prepay vs Invest'!$B$10,0)+IF(A227='Prepay vs Invest'!$B$9,'Prepay vs Invest'!$B$8,0)-Z227-AA227),0)</f>
        <v>40191.856973287729</v>
      </c>
      <c r="AE227">
        <f>AC227*(1+MAX(0,'Prepay vs Invest'!$B$13-'Prepay vs Invest'!$B$14)/1200)+AD227</f>
        <v>8869438.7800837513</v>
      </c>
      <c r="AF227">
        <f t="shared" si="63"/>
        <v>3672134.7924297862</v>
      </c>
      <c r="AG227">
        <f>MAX(0,(AE227-AF227-'Prepay vs Invest'!$B$16)*'Prepay vs Invest'!$B$15/100)</f>
        <v>634037.99845674564</v>
      </c>
      <c r="AH227">
        <f t="shared" si="54"/>
        <v>8235400.7816270059</v>
      </c>
    </row>
    <row r="228" spans="1:34" x14ac:dyDescent="0.35">
      <c r="A228">
        <f t="shared" si="55"/>
        <v>227</v>
      </c>
      <c r="B228">
        <f>IF(A228&lt;='Prepay vs Invest'!$B$7*12,F227,0)</f>
        <v>1076679.8761187934</v>
      </c>
      <c r="C228">
        <f>IF(B228&gt;0,B228*'Prepay vs Invest'!$B$6/1200,0)</f>
        <v>6729.2492257424583</v>
      </c>
      <c r="D228">
        <f>IF(B228&gt;0,MIN(-PMT('Prepay vs Invest'!$B$6/1200,'Prepay vs Invest'!$B$7*12,'Prepay vs Invest'!$B$5),B228+C228),0)</f>
        <v>80559.31935518072</v>
      </c>
      <c r="E228">
        <f t="shared" si="48"/>
        <v>73830.07012943826</v>
      </c>
      <c r="F228">
        <f t="shared" si="49"/>
        <v>1002849.8059893551</v>
      </c>
      <c r="G228">
        <f t="shared" si="56"/>
        <v>11813647.785952006</v>
      </c>
      <c r="H228">
        <f>IF(A228&lt;='Prepay vs Invest'!$B$7*12,IF(AND(A228&gt;='Prepay vs Invest'!$B$11,A228&lt;='Prepay vs Invest'!$B$12),'Prepay vs Invest'!$B$10,0)+IF(A228='Prepay vs Invest'!$B$9,'Prepay vs Invest'!$B$8,0),0)</f>
        <v>10000</v>
      </c>
      <c r="I228">
        <f>G228*(1+MAX(0,'Prepay vs Invest'!$B$13-'Prepay vs Invest'!$B$14)/1200)+H228</f>
        <v>11936861.910567379</v>
      </c>
      <c r="J228">
        <f t="shared" si="57"/>
        <v>2770000</v>
      </c>
      <c r="K228">
        <f>MAX(0,(I228-J228-'Prepay vs Invest'!$B$16)*'Prepay vs Invest'!$B$15/100)</f>
        <v>1130232.7388209223</v>
      </c>
      <c r="L228">
        <f t="shared" si="50"/>
        <v>10806629.171746457</v>
      </c>
      <c r="M228">
        <f t="shared" si="58"/>
        <v>0</v>
      </c>
      <c r="N228">
        <f>IF(M228&gt;0,M228*'Prepay vs Invest'!$B$6/1200,0)</f>
        <v>0</v>
      </c>
      <c r="O228">
        <f>IF(M228&gt;0,MIN('Prepay vs Invest'!$E$5,M228+N228),0)</f>
        <v>0</v>
      </c>
      <c r="P228">
        <f>MIN(MAX(0,M228+N228-O228),IF(AND(A228&gt;='Prepay vs Invest'!$B$11,A228&lt;='Prepay vs Invest'!$B$12),'Prepay vs Invest'!$B$10,0)+IF(A228='Prepay vs Invest'!$B$9,'Prepay vs Invest'!$B$8,0))</f>
        <v>0</v>
      </c>
      <c r="Q228">
        <f t="shared" si="51"/>
        <v>0</v>
      </c>
      <c r="R228">
        <f t="shared" si="59"/>
        <v>6325644.8362803822</v>
      </c>
      <c r="S228">
        <f>IF(A228&lt;='Prepay vs Invest'!$B$7*12,MAX(0,'Prepay vs Invest'!$E$5+IF(AND(A228&gt;='Prepay vs Invest'!$B$11,A228&lt;='Prepay vs Invest'!$B$12),'Prepay vs Invest'!$B$10,0)+IF(A228='Prepay vs Invest'!$B$9,'Prepay vs Invest'!$B$8,0)-O228-P228),0)</f>
        <v>90559.31935518072</v>
      </c>
      <c r="T228">
        <f>R228*(1+MAX(0,'Prepay vs Invest'!$B$13-'Prepay vs Invest'!$B$14)/1200)+S228</f>
        <v>6476824.9186499156</v>
      </c>
      <c r="U228">
        <f t="shared" si="60"/>
        <v>4956281.2191479346</v>
      </c>
      <c r="V228">
        <f>MAX(0,(T228-U228-'Prepay vs Invest'!$B$16)*'Prepay vs Invest'!$B$15/100)</f>
        <v>174442.96243774763</v>
      </c>
      <c r="W228">
        <f t="shared" si="52"/>
        <v>6302381.9562121676</v>
      </c>
      <c r="X228">
        <f t="shared" si="61"/>
        <v>529513.42618646007</v>
      </c>
      <c r="Y228">
        <f>IF(X228&gt;0,X228*'Prepay vs Invest'!$B$6/1200,0)</f>
        <v>3309.4589136653753</v>
      </c>
      <c r="Z228">
        <f>IF(X228&gt;0,MIN(-PMT('Prepay vs Invest'!$B$6/1200,'Prepay vs Invest'!$B$7*12-A228+1,X228),X228+Y228),0)</f>
        <v>39619.242589343448</v>
      </c>
      <c r="AA228">
        <f>MIN(MAX(0,X228+Y228-Z228),IF(AND(A228&gt;='Prepay vs Invest'!$B$11,A228&lt;='Prepay vs Invest'!$B$12),'Prepay vs Invest'!$B$10,0)+IF(A228='Prepay vs Invest'!$B$9,'Prepay vs Invest'!$B$8,0))</f>
        <v>10000</v>
      </c>
      <c r="AB228">
        <f t="shared" si="53"/>
        <v>483203.642510782</v>
      </c>
      <c r="AC228">
        <f t="shared" si="62"/>
        <v>8869438.7800837513</v>
      </c>
      <c r="AD228">
        <f>IF(A228&lt;='Prepay vs Invest'!$B$7*12,MAX(0,'Prepay vs Invest'!$E$5+IF(AND(A228&gt;='Prepay vs Invest'!$B$11,A228&lt;='Prepay vs Invest'!$B$12),'Prepay vs Invest'!$B$10,0)+IF(A228='Prepay vs Invest'!$B$9,'Prepay vs Invest'!$B$8,0)-Z228-AA228),0)</f>
        <v>40940.076765837272</v>
      </c>
      <c r="AE228">
        <f>AC228*(1+MAX(0,'Prepay vs Invest'!$B$13-'Prepay vs Invest'!$B$14)/1200)+AD228</f>
        <v>8995377.645158723</v>
      </c>
      <c r="AF228">
        <f t="shared" si="63"/>
        <v>3713074.8691956233</v>
      </c>
      <c r="AG228">
        <f>MAX(0,(AE228-AF228-'Prepay vs Invest'!$B$16)*'Prepay vs Invest'!$B$15/100)</f>
        <v>644662.84699538746</v>
      </c>
      <c r="AH228">
        <f t="shared" si="54"/>
        <v>8350714.7981633358</v>
      </c>
    </row>
    <row r="229" spans="1:34" x14ac:dyDescent="0.35">
      <c r="A229">
        <f t="shared" si="55"/>
        <v>228</v>
      </c>
      <c r="B229">
        <f>IF(A229&lt;='Prepay vs Invest'!$B$7*12,F228,0)</f>
        <v>1002849.8059893551</v>
      </c>
      <c r="C229">
        <f>IF(B229&gt;0,B229*'Prepay vs Invest'!$B$6/1200,0)</f>
        <v>6267.8112874334693</v>
      </c>
      <c r="D229">
        <f>IF(B229&gt;0,MIN(-PMT('Prepay vs Invest'!$B$6/1200,'Prepay vs Invest'!$B$7*12,'Prepay vs Invest'!$B$5),B229+C229),0)</f>
        <v>80559.31935518072</v>
      </c>
      <c r="E229">
        <f t="shared" si="48"/>
        <v>74291.508067747258</v>
      </c>
      <c r="F229">
        <f t="shared" si="49"/>
        <v>928558.29792160785</v>
      </c>
      <c r="G229">
        <f t="shared" si="56"/>
        <v>11936861.910567379</v>
      </c>
      <c r="H229">
        <f>IF(A229&lt;='Prepay vs Invest'!$B$7*12,IF(AND(A229&gt;='Prepay vs Invest'!$B$11,A229&lt;='Prepay vs Invest'!$B$12),'Prepay vs Invest'!$B$10,0)+IF(A229='Prepay vs Invest'!$B$9,'Prepay vs Invest'!$B$8,0),0)</f>
        <v>10000</v>
      </c>
      <c r="I229">
        <f>G229*(1+MAX(0,'Prepay vs Invest'!$B$13-'Prepay vs Invest'!$B$14)/1200)+H229</f>
        <v>12061256.837210316</v>
      </c>
      <c r="J229">
        <f t="shared" si="57"/>
        <v>2780000</v>
      </c>
      <c r="K229">
        <f>MAX(0,(I229-J229-'Prepay vs Invest'!$B$16)*'Prepay vs Invest'!$B$15/100)</f>
        <v>1144532.1046512895</v>
      </c>
      <c r="L229">
        <f t="shared" si="50"/>
        <v>10916724.732559027</v>
      </c>
      <c r="M229">
        <f t="shared" si="58"/>
        <v>0</v>
      </c>
      <c r="N229">
        <f>IF(M229&gt;0,M229*'Prepay vs Invest'!$B$6/1200,0)</f>
        <v>0</v>
      </c>
      <c r="O229">
        <f>IF(M229&gt;0,MIN('Prepay vs Invest'!$E$5,M229+N229),0)</f>
        <v>0</v>
      </c>
      <c r="P229">
        <f>MIN(MAX(0,M229+N229-O229),IF(AND(A229&gt;='Prepay vs Invest'!$B$11,A229&lt;='Prepay vs Invest'!$B$12),'Prepay vs Invest'!$B$10,0)+IF(A229='Prepay vs Invest'!$B$9,'Prepay vs Invest'!$B$8,0))</f>
        <v>0</v>
      </c>
      <c r="Q229">
        <f t="shared" si="51"/>
        <v>0</v>
      </c>
      <c r="R229">
        <f t="shared" si="59"/>
        <v>6476824.9186499156</v>
      </c>
      <c r="S229">
        <f>IF(A229&lt;='Prepay vs Invest'!$B$7*12,MAX(0,'Prepay vs Invest'!$E$5+IF(AND(A229&gt;='Prepay vs Invest'!$B$11,A229&lt;='Prepay vs Invest'!$B$12),'Prepay vs Invest'!$B$10,0)+IF(A229='Prepay vs Invest'!$B$9,'Prepay vs Invest'!$B$8,0)-O229-P229),0)</f>
        <v>90559.31935518072</v>
      </c>
      <c r="T229">
        <f>R229*(1+MAX(0,'Prepay vs Invest'!$B$13-'Prepay vs Invest'!$B$14)/1200)+S229</f>
        <v>6629453.8101421576</v>
      </c>
      <c r="U229">
        <f t="shared" si="60"/>
        <v>5046840.5385031151</v>
      </c>
      <c r="V229">
        <f>MAX(0,(T229-U229-'Prepay vs Invest'!$B$16)*'Prepay vs Invest'!$B$15/100)</f>
        <v>182201.65895488032</v>
      </c>
      <c r="W229">
        <f t="shared" si="52"/>
        <v>6447252.1511872774</v>
      </c>
      <c r="X229">
        <f t="shared" si="61"/>
        <v>483203.642510782</v>
      </c>
      <c r="Y229">
        <f>IF(X229&gt;0,X229*'Prepay vs Invest'!$B$6/1200,0)</f>
        <v>3020.0227656923876</v>
      </c>
      <c r="Z229">
        <f>IF(X229&gt;0,MIN(-PMT('Prepay vs Invest'!$B$6/1200,'Prepay vs Invest'!$B$7*12-A229+1,X229),X229+Y229),0)</f>
        <v>38815.938656151637</v>
      </c>
      <c r="AA229">
        <f>MIN(MAX(0,X229+Y229-Z229),IF(AND(A229&gt;='Prepay vs Invest'!$B$11,A229&lt;='Prepay vs Invest'!$B$12),'Prepay vs Invest'!$B$10,0)+IF(A229='Prepay vs Invest'!$B$9,'Prepay vs Invest'!$B$8,0))</f>
        <v>10000</v>
      </c>
      <c r="AB229">
        <f t="shared" si="53"/>
        <v>437407.72662032273</v>
      </c>
      <c r="AC229">
        <f t="shared" si="62"/>
        <v>8995377.645158723</v>
      </c>
      <c r="AD229">
        <f>IF(A229&lt;='Prepay vs Invest'!$B$7*12,MAX(0,'Prepay vs Invest'!$E$5+IF(AND(A229&gt;='Prepay vs Invest'!$B$11,A229&lt;='Prepay vs Invest'!$B$12),'Prepay vs Invest'!$B$10,0)+IF(A229='Prepay vs Invest'!$B$9,'Prepay vs Invest'!$B$8,0)-Z229-AA229),0)</f>
        <v>41743.380699029083</v>
      </c>
      <c r="AE229">
        <f>AC229*(1+MAX(0,'Prepay vs Invest'!$B$13-'Prepay vs Invest'!$B$14)/1200)+AD229</f>
        <v>9123326.7282905225</v>
      </c>
      <c r="AF229">
        <f t="shared" si="63"/>
        <v>3754818.2498946525</v>
      </c>
      <c r="AG229">
        <f>MAX(0,(AE229-AF229-'Prepay vs Invest'!$B$16)*'Prepay vs Invest'!$B$15/100)</f>
        <v>655438.55979948374</v>
      </c>
      <c r="AH229">
        <f t="shared" si="54"/>
        <v>8467888.1684910394</v>
      </c>
    </row>
    <row r="230" spans="1:34" x14ac:dyDescent="0.35">
      <c r="A230">
        <f t="shared" si="55"/>
        <v>229</v>
      </c>
      <c r="B230">
        <f>IF(A230&lt;='Prepay vs Invest'!$B$7*12,F229,0)</f>
        <v>928558.29792160785</v>
      </c>
      <c r="C230">
        <f>IF(B230&gt;0,B230*'Prepay vs Invest'!$B$6/1200,0)</f>
        <v>5803.4893620100493</v>
      </c>
      <c r="D230">
        <f>IF(B230&gt;0,MIN(-PMT('Prepay vs Invest'!$B$6/1200,'Prepay vs Invest'!$B$7*12,'Prepay vs Invest'!$B$5),B230+C230),0)</f>
        <v>80559.31935518072</v>
      </c>
      <c r="E230">
        <f t="shared" si="48"/>
        <v>74755.829993170672</v>
      </c>
      <c r="F230">
        <f t="shared" si="49"/>
        <v>853802.46792843717</v>
      </c>
      <c r="G230">
        <f t="shared" si="56"/>
        <v>12061256.837210316</v>
      </c>
      <c r="H230">
        <f>IF(A230&lt;='Prepay vs Invest'!$B$7*12,IF(AND(A230&gt;='Prepay vs Invest'!$B$11,A230&lt;='Prepay vs Invest'!$B$12),'Prepay vs Invest'!$B$10,0)+IF(A230='Prepay vs Invest'!$B$9,'Prepay vs Invest'!$B$8,0),0)</f>
        <v>10000</v>
      </c>
      <c r="I230">
        <f>G230*(1+MAX(0,'Prepay vs Invest'!$B$13-'Prepay vs Invest'!$B$14)/1200)+H230</f>
        <v>12186843.881900247</v>
      </c>
      <c r="J230">
        <f t="shared" si="57"/>
        <v>2790000</v>
      </c>
      <c r="K230">
        <f>MAX(0,(I230-J230-'Prepay vs Invest'!$B$16)*'Prepay vs Invest'!$B$15/100)</f>
        <v>1158980.4852375309</v>
      </c>
      <c r="L230">
        <f t="shared" si="50"/>
        <v>11027863.396662716</v>
      </c>
      <c r="M230">
        <f t="shared" si="58"/>
        <v>0</v>
      </c>
      <c r="N230">
        <f>IF(M230&gt;0,M230*'Prepay vs Invest'!$B$6/1200,0)</f>
        <v>0</v>
      </c>
      <c r="O230">
        <f>IF(M230&gt;0,MIN('Prepay vs Invest'!$E$5,M230+N230),0)</f>
        <v>0</v>
      </c>
      <c r="P230">
        <f>MIN(MAX(0,M230+N230-O230),IF(AND(A230&gt;='Prepay vs Invest'!$B$11,A230&lt;='Prepay vs Invest'!$B$12),'Prepay vs Invest'!$B$10,0)+IF(A230='Prepay vs Invest'!$B$9,'Prepay vs Invest'!$B$8,0))</f>
        <v>0</v>
      </c>
      <c r="Q230">
        <f t="shared" si="51"/>
        <v>0</v>
      </c>
      <c r="R230">
        <f t="shared" si="59"/>
        <v>6629453.8101421576</v>
      </c>
      <c r="S230">
        <f>IF(A230&lt;='Prepay vs Invest'!$B$7*12,MAX(0,'Prepay vs Invest'!$E$5+IF(AND(A230&gt;='Prepay vs Invest'!$B$11,A230&lt;='Prepay vs Invest'!$B$12),'Prepay vs Invest'!$B$10,0)+IF(A230='Prepay vs Invest'!$B$9,'Prepay vs Invest'!$B$8,0)-O230-P230),0)</f>
        <v>90559.31935518072</v>
      </c>
      <c r="T230">
        <f>R230*(1+MAX(0,'Prepay vs Invest'!$B$13-'Prepay vs Invest'!$B$14)/1200)+S230</f>
        <v>6783545.3951778663</v>
      </c>
      <c r="U230">
        <f t="shared" si="60"/>
        <v>5137399.8578582956</v>
      </c>
      <c r="V230">
        <f>MAX(0,(T230-U230-'Prepay vs Invest'!$B$16)*'Prepay vs Invest'!$B$15/100)</f>
        <v>190143.19216494635</v>
      </c>
      <c r="W230">
        <f t="shared" si="52"/>
        <v>6593402.20301292</v>
      </c>
      <c r="X230">
        <f t="shared" si="61"/>
        <v>437407.72662032273</v>
      </c>
      <c r="Y230">
        <f>IF(X230&gt;0,X230*'Prepay vs Invest'!$B$6/1200,0)</f>
        <v>2733.798291377017</v>
      </c>
      <c r="Z230">
        <f>IF(X230&gt;0,MIN(-PMT('Prepay vs Invest'!$B$6/1200,'Prepay vs Invest'!$B$7*12-A230+1,X230),X230+Y230),0)</f>
        <v>37948.364487297571</v>
      </c>
      <c r="AA230">
        <f>MIN(MAX(0,X230+Y230-Z230),IF(AND(A230&gt;='Prepay vs Invest'!$B$11,A230&lt;='Prepay vs Invest'!$B$12),'Prepay vs Invest'!$B$10,0)+IF(A230='Prepay vs Invest'!$B$9,'Prepay vs Invest'!$B$8,0))</f>
        <v>10000</v>
      </c>
      <c r="AB230">
        <f t="shared" si="53"/>
        <v>392193.16042440222</v>
      </c>
      <c r="AC230">
        <f t="shared" si="62"/>
        <v>9123326.7282905225</v>
      </c>
      <c r="AD230">
        <f>IF(A230&lt;='Prepay vs Invest'!$B$7*12,MAX(0,'Prepay vs Invest'!$E$5+IF(AND(A230&gt;='Prepay vs Invest'!$B$11,A230&lt;='Prepay vs Invest'!$B$12),'Prepay vs Invest'!$B$10,0)+IF(A230='Prepay vs Invest'!$B$9,'Prepay vs Invest'!$B$8,0)-Z230-AA230),0)</f>
        <v>42610.954867883149</v>
      </c>
      <c r="AE230">
        <f>AC230*(1+MAX(0,'Prepay vs Invest'!$B$13-'Prepay vs Invest'!$B$14)/1200)+AD230</f>
        <v>9253369.5643045213</v>
      </c>
      <c r="AF230">
        <f t="shared" si="63"/>
        <v>3797429.2047625356</v>
      </c>
      <c r="AG230">
        <f>MAX(0,(AE230-AF230-'Prepay vs Invest'!$B$16)*'Prepay vs Invest'!$B$15/100)</f>
        <v>666367.54494274827</v>
      </c>
      <c r="AH230">
        <f t="shared" si="54"/>
        <v>8587002.0193617735</v>
      </c>
    </row>
    <row r="231" spans="1:34" x14ac:dyDescent="0.35">
      <c r="A231">
        <f t="shared" si="55"/>
        <v>230</v>
      </c>
      <c r="B231">
        <f>IF(A231&lt;='Prepay vs Invest'!$B$7*12,F230,0)</f>
        <v>853802.46792843717</v>
      </c>
      <c r="C231">
        <f>IF(B231&gt;0,B231*'Prepay vs Invest'!$B$6/1200,0)</f>
        <v>5336.2654245527319</v>
      </c>
      <c r="D231">
        <f>IF(B231&gt;0,MIN(-PMT('Prepay vs Invest'!$B$6/1200,'Prepay vs Invest'!$B$7*12,'Prepay vs Invest'!$B$5),B231+C231),0)</f>
        <v>80559.31935518072</v>
      </c>
      <c r="E231">
        <f t="shared" si="48"/>
        <v>75223.053930627982</v>
      </c>
      <c r="F231">
        <f t="shared" si="49"/>
        <v>778579.41399780917</v>
      </c>
      <c r="G231">
        <f t="shared" si="56"/>
        <v>12186843.881900247</v>
      </c>
      <c r="H231">
        <f>IF(A231&lt;='Prepay vs Invest'!$B$7*12,IF(AND(A231&gt;='Prepay vs Invest'!$B$11,A231&lt;='Prepay vs Invest'!$B$12),'Prepay vs Invest'!$B$10,0)+IF(A231='Prepay vs Invest'!$B$9,'Prepay vs Invest'!$B$8,0),0)</f>
        <v>10000</v>
      </c>
      <c r="I231">
        <f>G231*(1+MAX(0,'Prepay vs Invest'!$B$13-'Prepay vs Invest'!$B$14)/1200)+H231</f>
        <v>12313634.46910179</v>
      </c>
      <c r="J231">
        <f t="shared" si="57"/>
        <v>2800000</v>
      </c>
      <c r="K231">
        <f>MAX(0,(I231-J231-'Prepay vs Invest'!$B$16)*'Prepay vs Invest'!$B$15/100)</f>
        <v>1173579.3086377238</v>
      </c>
      <c r="L231">
        <f t="shared" si="50"/>
        <v>11140055.160464067</v>
      </c>
      <c r="M231">
        <f t="shared" si="58"/>
        <v>0</v>
      </c>
      <c r="N231">
        <f>IF(M231&gt;0,M231*'Prepay vs Invest'!$B$6/1200,0)</f>
        <v>0</v>
      </c>
      <c r="O231">
        <f>IF(M231&gt;0,MIN('Prepay vs Invest'!$E$5,M231+N231),0)</f>
        <v>0</v>
      </c>
      <c r="P231">
        <f>MIN(MAX(0,M231+N231-O231),IF(AND(A231&gt;='Prepay vs Invest'!$B$11,A231&lt;='Prepay vs Invest'!$B$12),'Prepay vs Invest'!$B$10,0)+IF(A231='Prepay vs Invest'!$B$9,'Prepay vs Invest'!$B$8,0))</f>
        <v>0</v>
      </c>
      <c r="Q231">
        <f t="shared" si="51"/>
        <v>0</v>
      </c>
      <c r="R231">
        <f t="shared" si="59"/>
        <v>6783545.3951778663</v>
      </c>
      <c r="S231">
        <f>IF(A231&lt;='Prepay vs Invest'!$B$7*12,MAX(0,'Prepay vs Invest'!$E$5+IF(AND(A231&gt;='Prepay vs Invest'!$B$11,A231&lt;='Prepay vs Invest'!$B$12),'Prepay vs Invest'!$B$10,0)+IF(A231='Prepay vs Invest'!$B$9,'Prepay vs Invest'!$B$8,0)-O231-P231),0)</f>
        <v>90559.31935518072</v>
      </c>
      <c r="T231">
        <f>R231*(1+MAX(0,'Prepay vs Invest'!$B$13-'Prepay vs Invest'!$B$14)/1200)+S231</f>
        <v>6939113.691236834</v>
      </c>
      <c r="U231">
        <f t="shared" si="60"/>
        <v>5227959.177213476</v>
      </c>
      <c r="V231">
        <f>MAX(0,(T231-U231-'Prepay vs Invest'!$B$16)*'Prepay vs Invest'!$B$15/100)</f>
        <v>198269.31425291975</v>
      </c>
      <c r="W231">
        <f t="shared" si="52"/>
        <v>6740844.3769839145</v>
      </c>
      <c r="X231">
        <f t="shared" si="61"/>
        <v>392193.16042440222</v>
      </c>
      <c r="Y231">
        <f>IF(X231&gt;0,X231*'Prepay vs Invest'!$B$6/1200,0)</f>
        <v>2451.2072526525139</v>
      </c>
      <c r="Z231">
        <f>IF(X231&gt;0,MIN(-PMT('Prepay vs Invest'!$B$6/1200,'Prepay vs Invest'!$B$7*12-A231+1,X231),X231+Y231),0)</f>
        <v>37004.828688547204</v>
      </c>
      <c r="AA231">
        <f>MIN(MAX(0,X231+Y231-Z231),IF(AND(A231&gt;='Prepay vs Invest'!$B$11,A231&lt;='Prepay vs Invest'!$B$12),'Prepay vs Invest'!$B$10,0)+IF(A231='Prepay vs Invest'!$B$9,'Prepay vs Invest'!$B$8,0))</f>
        <v>10000</v>
      </c>
      <c r="AB231">
        <f t="shared" si="53"/>
        <v>347639.53898850753</v>
      </c>
      <c r="AC231">
        <f t="shared" si="62"/>
        <v>9253369.5643045213</v>
      </c>
      <c r="AD231">
        <f>IF(A231&lt;='Prepay vs Invest'!$B$7*12,MAX(0,'Prepay vs Invest'!$E$5+IF(AND(A231&gt;='Prepay vs Invest'!$B$11,A231&lt;='Prepay vs Invest'!$B$12),'Prepay vs Invest'!$B$10,0)+IF(A231='Prepay vs Invest'!$B$9,'Prepay vs Invest'!$B$8,0)-Z231-AA231),0)</f>
        <v>43554.490666633516</v>
      </c>
      <c r="AE231">
        <f>AC231*(1+MAX(0,'Prepay vs Invest'!$B$13-'Prepay vs Invest'!$B$14)/1200)+AD231</f>
        <v>9385602.1799624059</v>
      </c>
      <c r="AF231">
        <f t="shared" si="63"/>
        <v>3840983.6954291691</v>
      </c>
      <c r="AG231">
        <f>MAX(0,(AE231-AF231-'Prepay vs Invest'!$B$16)*'Prepay vs Invest'!$B$15/100)</f>
        <v>677452.31056665466</v>
      </c>
      <c r="AH231">
        <f t="shared" si="54"/>
        <v>8708149.8693957515</v>
      </c>
    </row>
    <row r="232" spans="1:34" x14ac:dyDescent="0.35">
      <c r="A232">
        <f t="shared" si="55"/>
        <v>231</v>
      </c>
      <c r="B232">
        <f>IF(A232&lt;='Prepay vs Invest'!$B$7*12,F231,0)</f>
        <v>778579.41399780917</v>
      </c>
      <c r="C232">
        <f>IF(B232&gt;0,B232*'Prepay vs Invest'!$B$6/1200,0)</f>
        <v>4866.1213374863073</v>
      </c>
      <c r="D232">
        <f>IF(B232&gt;0,MIN(-PMT('Prepay vs Invest'!$B$6/1200,'Prepay vs Invest'!$B$7*12,'Prepay vs Invest'!$B$5),B232+C232),0)</f>
        <v>80559.31935518072</v>
      </c>
      <c r="E232">
        <f t="shared" si="48"/>
        <v>75693.198017694405</v>
      </c>
      <c r="F232">
        <f t="shared" si="49"/>
        <v>702886.21598011476</v>
      </c>
      <c r="G232">
        <f t="shared" si="56"/>
        <v>12313634.46910179</v>
      </c>
      <c r="H232">
        <f>IF(A232&lt;='Prepay vs Invest'!$B$7*12,IF(AND(A232&gt;='Prepay vs Invest'!$B$11,A232&lt;='Prepay vs Invest'!$B$12),'Prepay vs Invest'!$B$10,0)+IF(A232='Prepay vs Invest'!$B$9,'Prepay vs Invest'!$B$8,0),0)</f>
        <v>10000</v>
      </c>
      <c r="I232">
        <f>G232*(1+MAX(0,'Prepay vs Invest'!$B$13-'Prepay vs Invest'!$B$14)/1200)+H232</f>
        <v>12441640.132764015</v>
      </c>
      <c r="J232">
        <f t="shared" si="57"/>
        <v>2810000</v>
      </c>
      <c r="K232">
        <f>MAX(0,(I232-J232-'Prepay vs Invest'!$B$16)*'Prepay vs Invest'!$B$15/100)</f>
        <v>1188330.0165955019</v>
      </c>
      <c r="L232">
        <f t="shared" si="50"/>
        <v>11253310.116168514</v>
      </c>
      <c r="M232">
        <f t="shared" si="58"/>
        <v>0</v>
      </c>
      <c r="N232">
        <f>IF(M232&gt;0,M232*'Prepay vs Invest'!$B$6/1200,0)</f>
        <v>0</v>
      </c>
      <c r="O232">
        <f>IF(M232&gt;0,MIN('Prepay vs Invest'!$E$5,M232+N232),0)</f>
        <v>0</v>
      </c>
      <c r="P232">
        <f>MIN(MAX(0,M232+N232-O232),IF(AND(A232&gt;='Prepay vs Invest'!$B$11,A232&lt;='Prepay vs Invest'!$B$12),'Prepay vs Invest'!$B$10,0)+IF(A232='Prepay vs Invest'!$B$9,'Prepay vs Invest'!$B$8,0))</f>
        <v>0</v>
      </c>
      <c r="Q232">
        <f t="shared" si="51"/>
        <v>0</v>
      </c>
      <c r="R232">
        <f t="shared" si="59"/>
        <v>6939113.691236834</v>
      </c>
      <c r="S232">
        <f>IF(A232&lt;='Prepay vs Invest'!$B$7*12,MAX(0,'Prepay vs Invest'!$E$5+IF(AND(A232&gt;='Prepay vs Invest'!$B$11,A232&lt;='Prepay vs Invest'!$B$12),'Prepay vs Invest'!$B$10,0)+IF(A232='Prepay vs Invest'!$B$9,'Prepay vs Invest'!$B$8,0)-O232-P232),0)</f>
        <v>90559.31935518072</v>
      </c>
      <c r="T232">
        <f>R232*(1+MAX(0,'Prepay vs Invest'!$B$13-'Prepay vs Invest'!$B$14)/1200)+S232</f>
        <v>7096172.8501330335</v>
      </c>
      <c r="U232">
        <f t="shared" si="60"/>
        <v>5318518.4965686565</v>
      </c>
      <c r="V232">
        <f>MAX(0,(T232-U232-'Prepay vs Invest'!$B$16)*'Prepay vs Invest'!$B$15/100)</f>
        <v>206581.79419554712</v>
      </c>
      <c r="W232">
        <f t="shared" si="52"/>
        <v>6889591.0559374867</v>
      </c>
      <c r="X232">
        <f t="shared" si="61"/>
        <v>347639.53898850753</v>
      </c>
      <c r="Y232">
        <f>IF(X232&gt;0,X232*'Prepay vs Invest'!$B$6/1200,0)</f>
        <v>2172.7471186781722</v>
      </c>
      <c r="Z232">
        <f>IF(X232&gt;0,MIN(-PMT('Prepay vs Invest'!$B$6/1200,'Prepay vs Invest'!$B$7*12-A232+1,X232),X232+Y232),0)</f>
        <v>35970.132446817159</v>
      </c>
      <c r="AA232">
        <f>MIN(MAX(0,X232+Y232-Z232),IF(AND(A232&gt;='Prepay vs Invest'!$B$11,A232&lt;='Prepay vs Invest'!$B$12),'Prepay vs Invest'!$B$10,0)+IF(A232='Prepay vs Invest'!$B$9,'Prepay vs Invest'!$B$8,0))</f>
        <v>10000</v>
      </c>
      <c r="AB232">
        <f t="shared" si="53"/>
        <v>303842.15366036852</v>
      </c>
      <c r="AC232">
        <f t="shared" si="62"/>
        <v>9385602.1799624059</v>
      </c>
      <c r="AD232">
        <f>IF(A232&lt;='Prepay vs Invest'!$B$7*12,MAX(0,'Prepay vs Invest'!$E$5+IF(AND(A232&gt;='Prepay vs Invest'!$B$11,A232&lt;='Prepay vs Invest'!$B$12),'Prepay vs Invest'!$B$10,0)+IF(A232='Prepay vs Invest'!$B$9,'Prepay vs Invest'!$B$8,0)-Z232-AA232),0)</f>
        <v>44589.186908363561</v>
      </c>
      <c r="AE232">
        <f>AC232*(1+MAX(0,'Prepay vs Invest'!$B$13-'Prepay vs Invest'!$B$14)/1200)+AD232</f>
        <v>9520136.7210954092</v>
      </c>
      <c r="AF232">
        <f t="shared" si="63"/>
        <v>3885572.8823375325</v>
      </c>
      <c r="AG232">
        <f>MAX(0,(AE232-AF232-'Prepay vs Invest'!$B$16)*'Prepay vs Invest'!$B$15/100)</f>
        <v>688695.47984473454</v>
      </c>
      <c r="AH232">
        <f t="shared" si="54"/>
        <v>8831441.2412506752</v>
      </c>
    </row>
    <row r="233" spans="1:34" x14ac:dyDescent="0.35">
      <c r="A233">
        <f t="shared" si="55"/>
        <v>232</v>
      </c>
      <c r="B233">
        <f>IF(A233&lt;='Prepay vs Invest'!$B$7*12,F232,0)</f>
        <v>702886.21598011476</v>
      </c>
      <c r="C233">
        <f>IF(B233&gt;0,B233*'Prepay vs Invest'!$B$6/1200,0)</f>
        <v>4393.0388498757175</v>
      </c>
      <c r="D233">
        <f>IF(B233&gt;0,MIN(-PMT('Prepay vs Invest'!$B$6/1200,'Prepay vs Invest'!$B$7*12,'Prepay vs Invest'!$B$5),B233+C233),0)</f>
        <v>80559.31935518072</v>
      </c>
      <c r="E233">
        <f t="shared" si="48"/>
        <v>76166.280505304996</v>
      </c>
      <c r="F233">
        <f t="shared" si="49"/>
        <v>626719.93547480972</v>
      </c>
      <c r="G233">
        <f t="shared" si="56"/>
        <v>12441640.132764015</v>
      </c>
      <c r="H233">
        <f>IF(A233&lt;='Prepay vs Invest'!$B$7*12,IF(AND(A233&gt;='Prepay vs Invest'!$B$11,A233&lt;='Prepay vs Invest'!$B$12),'Prepay vs Invest'!$B$10,0)+IF(A233='Prepay vs Invest'!$B$9,'Prepay vs Invest'!$B$8,0),0)</f>
        <v>10000</v>
      </c>
      <c r="I233">
        <f>G233*(1+MAX(0,'Prepay vs Invest'!$B$13-'Prepay vs Invest'!$B$14)/1200)+H233</f>
        <v>12570872.517369669</v>
      </c>
      <c r="J233">
        <f t="shared" si="57"/>
        <v>2820000</v>
      </c>
      <c r="K233">
        <f>MAX(0,(I233-J233-'Prepay vs Invest'!$B$16)*'Prepay vs Invest'!$B$15/100)</f>
        <v>1203234.0646712086</v>
      </c>
      <c r="L233">
        <f t="shared" si="50"/>
        <v>11367638.45269846</v>
      </c>
      <c r="M233">
        <f t="shared" si="58"/>
        <v>0</v>
      </c>
      <c r="N233">
        <f>IF(M233&gt;0,M233*'Prepay vs Invest'!$B$6/1200,0)</f>
        <v>0</v>
      </c>
      <c r="O233">
        <f>IF(M233&gt;0,MIN('Prepay vs Invest'!$E$5,M233+N233),0)</f>
        <v>0</v>
      </c>
      <c r="P233">
        <f>MIN(MAX(0,M233+N233-O233),IF(AND(A233&gt;='Prepay vs Invest'!$B$11,A233&lt;='Prepay vs Invest'!$B$12),'Prepay vs Invest'!$B$10,0)+IF(A233='Prepay vs Invest'!$B$9,'Prepay vs Invest'!$B$8,0))</f>
        <v>0</v>
      </c>
      <c r="Q233">
        <f t="shared" si="51"/>
        <v>0</v>
      </c>
      <c r="R233">
        <f t="shared" si="59"/>
        <v>7096172.8501330335</v>
      </c>
      <c r="S233">
        <f>IF(A233&lt;='Prepay vs Invest'!$B$7*12,MAX(0,'Prepay vs Invest'!$E$5+IF(AND(A233&gt;='Prepay vs Invest'!$B$11,A233&lt;='Prepay vs Invest'!$B$12),'Prepay vs Invest'!$B$10,0)+IF(A233='Prepay vs Invest'!$B$9,'Prepay vs Invest'!$B$8,0)-O233-P233),0)</f>
        <v>90559.31935518072</v>
      </c>
      <c r="T233">
        <f>R233*(1+MAX(0,'Prepay vs Invest'!$B$13-'Prepay vs Invest'!$B$14)/1200)+S233</f>
        <v>7254737.1593019888</v>
      </c>
      <c r="U233">
        <f t="shared" si="60"/>
        <v>5409077.815923837</v>
      </c>
      <c r="V233">
        <f>MAX(0,(T233-U233-'Prepay vs Invest'!$B$16)*'Prepay vs Invest'!$B$15/100)</f>
        <v>215082.41792226897</v>
      </c>
      <c r="W233">
        <f t="shared" si="52"/>
        <v>7039654.7413797202</v>
      </c>
      <c r="X233">
        <f t="shared" si="61"/>
        <v>303842.15366036852</v>
      </c>
      <c r="Y233">
        <f>IF(X233&gt;0,X233*'Prepay vs Invest'!$B$6/1200,0)</f>
        <v>1899.0134603773033</v>
      </c>
      <c r="Z233">
        <f>IF(X233&gt;0,MIN(-PMT('Prepay vs Invest'!$B$6/1200,'Prepay vs Invest'!$B$7*12-A233+1,X233),X233+Y233),0)</f>
        <v>34824.01067740874</v>
      </c>
      <c r="AA233">
        <f>MIN(MAX(0,X233+Y233-Z233),IF(AND(A233&gt;='Prepay vs Invest'!$B$11,A233&lt;='Prepay vs Invest'!$B$12),'Prepay vs Invest'!$B$10,0)+IF(A233='Prepay vs Invest'!$B$9,'Prepay vs Invest'!$B$8,0))</f>
        <v>10000</v>
      </c>
      <c r="AB233">
        <f t="shared" si="53"/>
        <v>260917.15644333709</v>
      </c>
      <c r="AC233">
        <f t="shared" si="62"/>
        <v>9520136.7210954092</v>
      </c>
      <c r="AD233">
        <f>IF(A233&lt;='Prepay vs Invest'!$B$7*12,MAX(0,'Prepay vs Invest'!$E$5+IF(AND(A233&gt;='Prepay vs Invest'!$B$11,A233&lt;='Prepay vs Invest'!$B$12),'Prepay vs Invest'!$B$10,0)+IF(A233='Prepay vs Invest'!$B$9,'Prepay vs Invest'!$B$8,0)-Z233-AA233),0)</f>
        <v>45735.30867777198</v>
      </c>
      <c r="AE233">
        <f>AC233*(1+MAX(0,'Prepay vs Invest'!$B$13-'Prepay vs Invest'!$B$14)/1200)+AD233</f>
        <v>9657106.6733503453</v>
      </c>
      <c r="AF233">
        <f t="shared" si="63"/>
        <v>3931308.1910153045</v>
      </c>
      <c r="AG233">
        <f>MAX(0,(AE233-AF233-'Prepay vs Invest'!$B$16)*'Prepay vs Invest'!$B$15/100)</f>
        <v>700099.81029188004</v>
      </c>
      <c r="AH233">
        <f t="shared" si="54"/>
        <v>8957006.8630584646</v>
      </c>
    </row>
    <row r="234" spans="1:34" x14ac:dyDescent="0.35">
      <c r="A234">
        <f t="shared" si="55"/>
        <v>233</v>
      </c>
      <c r="B234">
        <f>IF(A234&lt;='Prepay vs Invest'!$B$7*12,F233,0)</f>
        <v>626719.93547480972</v>
      </c>
      <c r="C234">
        <f>IF(B234&gt;0,B234*'Prepay vs Invest'!$B$6/1200,0)</f>
        <v>3916.999596717561</v>
      </c>
      <c r="D234">
        <f>IF(B234&gt;0,MIN(-PMT('Prepay vs Invest'!$B$6/1200,'Prepay vs Invest'!$B$7*12,'Prepay vs Invest'!$B$5),B234+C234),0)</f>
        <v>80559.31935518072</v>
      </c>
      <c r="E234">
        <f t="shared" si="48"/>
        <v>76642.319758463156</v>
      </c>
      <c r="F234">
        <f t="shared" si="49"/>
        <v>550077.61571634654</v>
      </c>
      <c r="G234">
        <f t="shared" si="56"/>
        <v>12570872.517369669</v>
      </c>
      <c r="H234">
        <f>IF(A234&lt;='Prepay vs Invest'!$B$7*12,IF(AND(A234&gt;='Prepay vs Invest'!$B$11,A234&lt;='Prepay vs Invest'!$B$12),'Prepay vs Invest'!$B$10,0)+IF(A234='Prepay vs Invest'!$B$9,'Prepay vs Invest'!$B$8,0),0)</f>
        <v>10000</v>
      </c>
      <c r="I234">
        <f>G234*(1+MAX(0,'Prepay vs Invest'!$B$13-'Prepay vs Invest'!$B$14)/1200)+H234</f>
        <v>12701343.378994461</v>
      </c>
      <c r="J234">
        <f t="shared" si="57"/>
        <v>2830000</v>
      </c>
      <c r="K234">
        <f>MAX(0,(I234-J234-'Prepay vs Invest'!$B$16)*'Prepay vs Invest'!$B$15/100)</f>
        <v>1218292.9223743076</v>
      </c>
      <c r="L234">
        <f t="shared" si="50"/>
        <v>11483050.456620153</v>
      </c>
      <c r="M234">
        <f t="shared" si="58"/>
        <v>0</v>
      </c>
      <c r="N234">
        <f>IF(M234&gt;0,M234*'Prepay vs Invest'!$B$6/1200,0)</f>
        <v>0</v>
      </c>
      <c r="O234">
        <f>IF(M234&gt;0,MIN('Prepay vs Invest'!$E$5,M234+N234),0)</f>
        <v>0</v>
      </c>
      <c r="P234">
        <f>MIN(MAX(0,M234+N234-O234),IF(AND(A234&gt;='Prepay vs Invest'!$B$11,A234&lt;='Prepay vs Invest'!$B$12),'Prepay vs Invest'!$B$10,0)+IF(A234='Prepay vs Invest'!$B$9,'Prepay vs Invest'!$B$8,0))</f>
        <v>0</v>
      </c>
      <c r="Q234">
        <f t="shared" si="51"/>
        <v>0</v>
      </c>
      <c r="R234">
        <f t="shared" si="59"/>
        <v>7254737.1593019888</v>
      </c>
      <c r="S234">
        <f>IF(A234&lt;='Prepay vs Invest'!$B$7*12,MAX(0,'Prepay vs Invest'!$E$5+IF(AND(A234&gt;='Prepay vs Invest'!$B$11,A234&lt;='Prepay vs Invest'!$B$12),'Prepay vs Invest'!$B$10,0)+IF(A234='Prepay vs Invest'!$B$9,'Prepay vs Invest'!$B$8,0)-O234-P234),0)</f>
        <v>90559.31935518072</v>
      </c>
      <c r="T234">
        <f>R234*(1+MAX(0,'Prepay vs Invest'!$B$13-'Prepay vs Invest'!$B$14)/1200)+S234</f>
        <v>7414821.04310048</v>
      </c>
      <c r="U234">
        <f t="shared" si="60"/>
        <v>5499637.1352790175</v>
      </c>
      <c r="V234">
        <f>MAX(0,(T234-U234-'Prepay vs Invest'!$B$16)*'Prepay vs Invest'!$B$15/100)</f>
        <v>223772.98847768281</v>
      </c>
      <c r="W234">
        <f t="shared" si="52"/>
        <v>7191048.0546227973</v>
      </c>
      <c r="X234">
        <f t="shared" si="61"/>
        <v>260917.15644333709</v>
      </c>
      <c r="Y234">
        <f>IF(X234&gt;0,X234*'Prepay vs Invest'!$B$6/1200,0)</f>
        <v>1630.732227770857</v>
      </c>
      <c r="Z234">
        <f>IF(X234&gt;0,MIN(-PMT('Prepay vs Invest'!$B$6/1200,'Prepay vs Invest'!$B$7*12-A234+1,X234),X234+Y234),0)</f>
        <v>33538.59888826307</v>
      </c>
      <c r="AA234">
        <f>MIN(MAX(0,X234+Y234-Z234),IF(AND(A234&gt;='Prepay vs Invest'!$B$11,A234&lt;='Prepay vs Invest'!$B$12),'Prepay vs Invest'!$B$10,0)+IF(A234='Prepay vs Invest'!$B$9,'Prepay vs Invest'!$B$8,0))</f>
        <v>10000</v>
      </c>
      <c r="AB234">
        <f t="shared" si="53"/>
        <v>219009.28978284486</v>
      </c>
      <c r="AC234">
        <f t="shared" si="62"/>
        <v>9657106.6733503453</v>
      </c>
      <c r="AD234">
        <f>IF(A234&lt;='Prepay vs Invest'!$B$7*12,MAX(0,'Prepay vs Invest'!$E$5+IF(AND(A234&gt;='Prepay vs Invest'!$B$11,A234&lt;='Prepay vs Invest'!$B$12),'Prepay vs Invest'!$B$10,0)+IF(A234='Prepay vs Invest'!$B$9,'Prepay vs Invest'!$B$8,0)-Z234-AA234),0)</f>
        <v>47020.72046691765</v>
      </c>
      <c r="AE234">
        <f>AC234*(1+MAX(0,'Prepay vs Invest'!$B$13-'Prepay vs Invest'!$B$14)/1200)+AD234</f>
        <v>9796674.6661035363</v>
      </c>
      <c r="AF234">
        <f t="shared" si="63"/>
        <v>3978328.9114822224</v>
      </c>
      <c r="AG234">
        <f>MAX(0,(AE234-AF234-'Prepay vs Invest'!$B$16)*'Prepay vs Invest'!$B$15/100)</f>
        <v>711668.21932766424</v>
      </c>
      <c r="AH234">
        <f t="shared" si="54"/>
        <v>9085006.4467758723</v>
      </c>
    </row>
    <row r="235" spans="1:34" x14ac:dyDescent="0.35">
      <c r="A235">
        <f t="shared" si="55"/>
        <v>234</v>
      </c>
      <c r="B235">
        <f>IF(A235&lt;='Prepay vs Invest'!$B$7*12,F234,0)</f>
        <v>550077.61571634654</v>
      </c>
      <c r="C235">
        <f>IF(B235&gt;0,B235*'Prepay vs Invest'!$B$6/1200,0)</f>
        <v>3437.985098227166</v>
      </c>
      <c r="D235">
        <f>IF(B235&gt;0,MIN(-PMT('Prepay vs Invest'!$B$6/1200,'Prepay vs Invest'!$B$7*12,'Prepay vs Invest'!$B$5),B235+C235),0)</f>
        <v>80559.31935518072</v>
      </c>
      <c r="E235">
        <f t="shared" si="48"/>
        <v>77121.33425695356</v>
      </c>
      <c r="F235">
        <f t="shared" si="49"/>
        <v>472956.28145939298</v>
      </c>
      <c r="G235">
        <f t="shared" si="56"/>
        <v>12701343.378994461</v>
      </c>
      <c r="H235">
        <f>IF(A235&lt;='Prepay vs Invest'!$B$7*12,IF(AND(A235&gt;='Prepay vs Invest'!$B$11,A235&lt;='Prepay vs Invest'!$B$12),'Prepay vs Invest'!$B$10,0)+IF(A235='Prepay vs Invest'!$B$9,'Prepay vs Invest'!$B$8,0),0)</f>
        <v>10000</v>
      </c>
      <c r="I235">
        <f>G235*(1+MAX(0,'Prepay vs Invest'!$B$13-'Prepay vs Invest'!$B$14)/1200)+H235</f>
        <v>12833064.58637649</v>
      </c>
      <c r="J235">
        <f t="shared" si="57"/>
        <v>2840000</v>
      </c>
      <c r="K235">
        <f>MAX(0,(I235-J235-'Prepay vs Invest'!$B$16)*'Prepay vs Invest'!$B$15/100)</f>
        <v>1233508.0732970613</v>
      </c>
      <c r="L235">
        <f t="shared" si="50"/>
        <v>11599556.513079429</v>
      </c>
      <c r="M235">
        <f t="shared" si="58"/>
        <v>0</v>
      </c>
      <c r="N235">
        <f>IF(M235&gt;0,M235*'Prepay vs Invest'!$B$6/1200,0)</f>
        <v>0</v>
      </c>
      <c r="O235">
        <f>IF(M235&gt;0,MIN('Prepay vs Invest'!$E$5,M235+N235),0)</f>
        <v>0</v>
      </c>
      <c r="P235">
        <f>MIN(MAX(0,M235+N235-O235),IF(AND(A235&gt;='Prepay vs Invest'!$B$11,A235&lt;='Prepay vs Invest'!$B$12),'Prepay vs Invest'!$B$10,0)+IF(A235='Prepay vs Invest'!$B$9,'Prepay vs Invest'!$B$8,0))</f>
        <v>0</v>
      </c>
      <c r="Q235">
        <f t="shared" si="51"/>
        <v>0</v>
      </c>
      <c r="R235">
        <f t="shared" si="59"/>
        <v>7414821.04310048</v>
      </c>
      <c r="S235">
        <f>IF(A235&lt;='Prepay vs Invest'!$B$7*12,MAX(0,'Prepay vs Invest'!$E$5+IF(AND(A235&gt;='Prepay vs Invest'!$B$11,A235&lt;='Prepay vs Invest'!$B$12),'Prepay vs Invest'!$B$10,0)+IF(A235='Prepay vs Invest'!$B$9,'Prepay vs Invest'!$B$8,0)-O235-P235),0)</f>
        <v>90559.31935518072</v>
      </c>
      <c r="T235">
        <f>R235*(1+MAX(0,'Prepay vs Invest'!$B$13-'Prepay vs Invest'!$B$14)/1200)+S235</f>
        <v>7576439.0641187066</v>
      </c>
      <c r="U235">
        <f t="shared" si="60"/>
        <v>5590196.454634198</v>
      </c>
      <c r="V235">
        <f>MAX(0,(T235-U235-'Prepay vs Invest'!$B$16)*'Prepay vs Invest'!$B$15/100)</f>
        <v>232655.32618556358</v>
      </c>
      <c r="W235">
        <f t="shared" si="52"/>
        <v>7343783.737933143</v>
      </c>
      <c r="X235">
        <f t="shared" si="61"/>
        <v>219009.28978284486</v>
      </c>
      <c r="Y235">
        <f>IF(X235&gt;0,X235*'Prepay vs Invest'!$B$6/1200,0)</f>
        <v>1368.8080611427804</v>
      </c>
      <c r="Z235">
        <f>IF(X235&gt;0,MIN(-PMT('Prepay vs Invest'!$B$6/1200,'Prepay vs Invest'!$B$7*12-A235+1,X235),X235+Y235),0)</f>
        <v>32074.090661541544</v>
      </c>
      <c r="AA235">
        <f>MIN(MAX(0,X235+Y235-Z235),IF(AND(A235&gt;='Prepay vs Invest'!$B$11,A235&lt;='Prepay vs Invest'!$B$12),'Prepay vs Invest'!$B$10,0)+IF(A235='Prepay vs Invest'!$B$9,'Prepay vs Invest'!$B$8,0))</f>
        <v>10000</v>
      </c>
      <c r="AB235">
        <f t="shared" si="53"/>
        <v>178304.00718244608</v>
      </c>
      <c r="AC235">
        <f t="shared" si="62"/>
        <v>9796674.6661035363</v>
      </c>
      <c r="AD235">
        <f>IF(A235&lt;='Prepay vs Invest'!$B$7*12,MAX(0,'Prepay vs Invest'!$E$5+IF(AND(A235&gt;='Prepay vs Invest'!$B$11,A235&lt;='Prepay vs Invest'!$B$12),'Prepay vs Invest'!$B$10,0)+IF(A235='Prepay vs Invest'!$B$9,'Prepay vs Invest'!$B$8,0)-Z235-AA235),0)</f>
        <v>48485.228693639176</v>
      </c>
      <c r="AE235">
        <f>AC235*(1+MAX(0,'Prepay vs Invest'!$B$13-'Prepay vs Invest'!$B$14)/1200)+AD235</f>
        <v>9939044.6936806682</v>
      </c>
      <c r="AF235">
        <f t="shared" si="63"/>
        <v>4026814.1401758618</v>
      </c>
      <c r="AG235">
        <f>MAX(0,(AE235-AF235-'Prepay vs Invest'!$B$16)*'Prepay vs Invest'!$B$15/100)</f>
        <v>723403.81918810075</v>
      </c>
      <c r="AH235">
        <f t="shared" si="54"/>
        <v>9215640.874492567</v>
      </c>
    </row>
    <row r="236" spans="1:34" x14ac:dyDescent="0.35">
      <c r="A236">
        <f t="shared" si="55"/>
        <v>235</v>
      </c>
      <c r="B236">
        <f>IF(A236&lt;='Prepay vs Invest'!$B$7*12,F235,0)</f>
        <v>472956.28145939298</v>
      </c>
      <c r="C236">
        <f>IF(B236&gt;0,B236*'Prepay vs Invest'!$B$6/1200,0)</f>
        <v>2955.9767591212062</v>
      </c>
      <c r="D236">
        <f>IF(B236&gt;0,MIN(-PMT('Prepay vs Invest'!$B$6/1200,'Prepay vs Invest'!$B$7*12,'Prepay vs Invest'!$B$5),B236+C236),0)</f>
        <v>80559.31935518072</v>
      </c>
      <c r="E236">
        <f t="shared" si="48"/>
        <v>77603.34259605952</v>
      </c>
      <c r="F236">
        <f t="shared" si="49"/>
        <v>395352.93886333349</v>
      </c>
      <c r="G236">
        <f t="shared" si="56"/>
        <v>12833064.58637649</v>
      </c>
      <c r="H236">
        <f>IF(A236&lt;='Prepay vs Invest'!$B$7*12,IF(AND(A236&gt;='Prepay vs Invest'!$B$11,A236&lt;='Prepay vs Invest'!$B$12),'Prepay vs Invest'!$B$10,0)+IF(A236='Prepay vs Invest'!$B$9,'Prepay vs Invest'!$B$8,0),0)</f>
        <v>10000</v>
      </c>
      <c r="I236">
        <f>G236*(1+MAX(0,'Prepay vs Invest'!$B$13-'Prepay vs Invest'!$B$14)/1200)+H236</f>
        <v>12966048.121995931</v>
      </c>
      <c r="J236">
        <f t="shared" si="57"/>
        <v>2850000</v>
      </c>
      <c r="K236">
        <f>MAX(0,(I236-J236-'Prepay vs Invest'!$B$16)*'Prepay vs Invest'!$B$15/100)</f>
        <v>1248881.0152494914</v>
      </c>
      <c r="L236">
        <f t="shared" si="50"/>
        <v>11717167.106746441</v>
      </c>
      <c r="M236">
        <f t="shared" si="58"/>
        <v>0</v>
      </c>
      <c r="N236">
        <f>IF(M236&gt;0,M236*'Prepay vs Invest'!$B$6/1200,0)</f>
        <v>0</v>
      </c>
      <c r="O236">
        <f>IF(M236&gt;0,MIN('Prepay vs Invest'!$E$5,M236+N236),0)</f>
        <v>0</v>
      </c>
      <c r="P236">
        <f>MIN(MAX(0,M236+N236-O236),IF(AND(A236&gt;='Prepay vs Invest'!$B$11,A236&lt;='Prepay vs Invest'!$B$12),'Prepay vs Invest'!$B$10,0)+IF(A236='Prepay vs Invest'!$B$9,'Prepay vs Invest'!$B$8,0))</f>
        <v>0</v>
      </c>
      <c r="Q236">
        <f t="shared" si="51"/>
        <v>0</v>
      </c>
      <c r="R236">
        <f t="shared" si="59"/>
        <v>7576439.0641187066</v>
      </c>
      <c r="S236">
        <f>IF(A236&lt;='Prepay vs Invest'!$B$7*12,MAX(0,'Prepay vs Invest'!$E$5+IF(AND(A236&gt;='Prepay vs Invest'!$B$11,A236&lt;='Prepay vs Invest'!$B$12),'Prepay vs Invest'!$B$10,0)+IF(A236='Prepay vs Invest'!$B$9,'Prepay vs Invest'!$B$8,0)-O236-P236),0)</f>
        <v>90559.31935518072</v>
      </c>
      <c r="T236">
        <f>R236*(1+MAX(0,'Prepay vs Invest'!$B$13-'Prepay vs Invest'!$B$14)/1200)+S236</f>
        <v>7739605.9245050242</v>
      </c>
      <c r="U236">
        <f t="shared" si="60"/>
        <v>5680755.7739893785</v>
      </c>
      <c r="V236">
        <f>MAX(0,(T236-U236-'Prepay vs Invest'!$B$16)*'Prepay vs Invest'!$B$15/100)</f>
        <v>241731.26881445572</v>
      </c>
      <c r="W236">
        <f t="shared" si="52"/>
        <v>7497874.6556905685</v>
      </c>
      <c r="X236">
        <f t="shared" si="61"/>
        <v>178304.00718244608</v>
      </c>
      <c r="Y236">
        <f>IF(X236&gt;0,X236*'Prepay vs Invest'!$B$6/1200,0)</f>
        <v>1114.400044890288</v>
      </c>
      <c r="Z236">
        <f>IF(X236&gt;0,MIN(-PMT('Prepay vs Invest'!$B$6/1200,'Prepay vs Invest'!$B$7*12-A236+1,X236),X236+Y236),0)</f>
        <v>30370.77636985654</v>
      </c>
      <c r="AA236">
        <f>MIN(MAX(0,X236+Y236-Z236),IF(AND(A236&gt;='Prepay vs Invest'!$B$11,A236&lt;='Prepay vs Invest'!$B$12),'Prepay vs Invest'!$B$10,0)+IF(A236='Prepay vs Invest'!$B$9,'Prepay vs Invest'!$B$8,0))</f>
        <v>10000</v>
      </c>
      <c r="AB236">
        <f t="shared" si="53"/>
        <v>139047.63085747982</v>
      </c>
      <c r="AC236">
        <f t="shared" si="62"/>
        <v>9939044.6936806682</v>
      </c>
      <c r="AD236">
        <f>IF(A236&lt;='Prepay vs Invest'!$B$7*12,MAX(0,'Prepay vs Invest'!$E$5+IF(AND(A236&gt;='Prepay vs Invest'!$B$11,A236&lt;='Prepay vs Invest'!$B$12),'Prepay vs Invest'!$B$10,0)+IF(A236='Prepay vs Invest'!$B$9,'Prepay vs Invest'!$B$8,0)-Z236-AA236),0)</f>
        <v>50188.54298532418</v>
      </c>
      <c r="AE236">
        <f>AC236*(1+MAX(0,'Prepay vs Invest'!$B$13-'Prepay vs Invest'!$B$14)/1200)+AD236</f>
        <v>10084482.414980432</v>
      </c>
      <c r="AF236">
        <f t="shared" si="63"/>
        <v>4077002.6831611861</v>
      </c>
      <c r="AG236">
        <f>MAX(0,(AE236-AF236-'Prepay vs Invest'!$B$16)*'Prepay vs Invest'!$B$15/100)</f>
        <v>735309.96647740575</v>
      </c>
      <c r="AH236">
        <f t="shared" si="54"/>
        <v>9349172.4485030267</v>
      </c>
    </row>
    <row r="237" spans="1:34" x14ac:dyDescent="0.35">
      <c r="A237">
        <f t="shared" si="55"/>
        <v>236</v>
      </c>
      <c r="B237">
        <f>IF(A237&lt;='Prepay vs Invest'!$B$7*12,F236,0)</f>
        <v>395352.93886333349</v>
      </c>
      <c r="C237">
        <f>IF(B237&gt;0,B237*'Prepay vs Invest'!$B$6/1200,0)</f>
        <v>2470.9558678958342</v>
      </c>
      <c r="D237">
        <f>IF(B237&gt;0,MIN(-PMT('Prepay vs Invest'!$B$6/1200,'Prepay vs Invest'!$B$7*12,'Prepay vs Invest'!$B$5),B237+C237),0)</f>
        <v>80559.31935518072</v>
      </c>
      <c r="E237">
        <f t="shared" si="48"/>
        <v>78088.363487284892</v>
      </c>
      <c r="F237">
        <f t="shared" si="49"/>
        <v>317264.57537604863</v>
      </c>
      <c r="G237">
        <f t="shared" si="56"/>
        <v>12966048.121995931</v>
      </c>
      <c r="H237">
        <f>IF(A237&lt;='Prepay vs Invest'!$B$7*12,IF(AND(A237&gt;='Prepay vs Invest'!$B$11,A237&lt;='Prepay vs Invest'!$B$12),'Prepay vs Invest'!$B$10,0)+IF(A237='Prepay vs Invest'!$B$9,'Prepay vs Invest'!$B$8,0),0)</f>
        <v>10000</v>
      </c>
      <c r="I237">
        <f>G237*(1+MAX(0,'Prepay vs Invest'!$B$13-'Prepay vs Invest'!$B$14)/1200)+H237</f>
        <v>13100306.083165059</v>
      </c>
      <c r="J237">
        <f t="shared" si="57"/>
        <v>2860000</v>
      </c>
      <c r="K237">
        <f>MAX(0,(I237-J237-'Prepay vs Invest'!$B$16)*'Prepay vs Invest'!$B$15/100)</f>
        <v>1264413.2603956324</v>
      </c>
      <c r="L237">
        <f t="shared" si="50"/>
        <v>11835892.822769426</v>
      </c>
      <c r="M237">
        <f t="shared" si="58"/>
        <v>0</v>
      </c>
      <c r="N237">
        <f>IF(M237&gt;0,M237*'Prepay vs Invest'!$B$6/1200,0)</f>
        <v>0</v>
      </c>
      <c r="O237">
        <f>IF(M237&gt;0,MIN('Prepay vs Invest'!$E$5,M237+N237),0)</f>
        <v>0</v>
      </c>
      <c r="P237">
        <f>MIN(MAX(0,M237+N237-O237),IF(AND(A237&gt;='Prepay vs Invest'!$B$11,A237&lt;='Prepay vs Invest'!$B$12),'Prepay vs Invest'!$B$10,0)+IF(A237='Prepay vs Invest'!$B$9,'Prepay vs Invest'!$B$8,0))</f>
        <v>0</v>
      </c>
      <c r="Q237">
        <f t="shared" si="51"/>
        <v>0</v>
      </c>
      <c r="R237">
        <f t="shared" si="59"/>
        <v>7739605.9245050242</v>
      </c>
      <c r="S237">
        <f>IF(A237&lt;='Prepay vs Invest'!$B$7*12,MAX(0,'Prepay vs Invest'!$E$5+IF(AND(A237&gt;='Prepay vs Invest'!$B$11,A237&lt;='Prepay vs Invest'!$B$12),'Prepay vs Invest'!$B$10,0)+IF(A237='Prepay vs Invest'!$B$9,'Prepay vs Invest'!$B$8,0)-O237-P237),0)</f>
        <v>90559.31935518072</v>
      </c>
      <c r="T237">
        <f>R237*(1+MAX(0,'Prepay vs Invest'!$B$13-'Prepay vs Invest'!$B$14)/1200)+S237</f>
        <v>7904336.4673033776</v>
      </c>
      <c r="U237">
        <f t="shared" si="60"/>
        <v>5771315.093344559</v>
      </c>
      <c r="V237">
        <f>MAX(0,(T237-U237-'Prepay vs Invest'!$B$16)*'Prepay vs Invest'!$B$15/100)</f>
        <v>251002.67174485233</v>
      </c>
      <c r="W237">
        <f t="shared" si="52"/>
        <v>7653333.7955585252</v>
      </c>
      <c r="X237">
        <f t="shared" si="61"/>
        <v>139047.63085747982</v>
      </c>
      <c r="Y237">
        <f>IF(X237&gt;0,X237*'Prepay vs Invest'!$B$6/1200,0)</f>
        <v>869.04769285924885</v>
      </c>
      <c r="Z237">
        <f>IF(X237&gt;0,MIN(-PMT('Prepay vs Invest'!$B$6/1200,'Prepay vs Invest'!$B$7*12-A237+1,X237),X237+Y237),0)</f>
        <v>28333.120608732945</v>
      </c>
      <c r="AA237">
        <f>MIN(MAX(0,X237+Y237-Z237),IF(AND(A237&gt;='Prepay vs Invest'!$B$11,A237&lt;='Prepay vs Invest'!$B$12),'Prepay vs Invest'!$B$10,0)+IF(A237='Prepay vs Invest'!$B$9,'Prepay vs Invest'!$B$8,0))</f>
        <v>10000</v>
      </c>
      <c r="AB237">
        <f t="shared" si="53"/>
        <v>101583.55794160612</v>
      </c>
      <c r="AC237">
        <f t="shared" si="62"/>
        <v>10084482.414980432</v>
      </c>
      <c r="AD237">
        <f>IF(A237&lt;='Prepay vs Invest'!$B$7*12,MAX(0,'Prepay vs Invest'!$E$5+IF(AND(A237&gt;='Prepay vs Invest'!$B$11,A237&lt;='Prepay vs Invest'!$B$12),'Prepay vs Invest'!$B$10,0)+IF(A237='Prepay vs Invest'!$B$9,'Prepay vs Invest'!$B$8,0)-Z237-AA237),0)</f>
        <v>52226.198746447772</v>
      </c>
      <c r="AE237">
        <f>AC237*(1+MAX(0,'Prepay vs Invest'!$B$13-'Prepay vs Invest'!$B$14)/1200)+AD237</f>
        <v>10233351.570203776</v>
      </c>
      <c r="AF237">
        <f t="shared" si="63"/>
        <v>4129228.881907634</v>
      </c>
      <c r="AG237">
        <f>MAX(0,(AE237-AF237-'Prepay vs Invest'!$B$16)*'Prepay vs Invest'!$B$15/100)</f>
        <v>747390.33603701775</v>
      </c>
      <c r="AH237">
        <f t="shared" si="54"/>
        <v>9485961.2341667581</v>
      </c>
    </row>
    <row r="238" spans="1:34" x14ac:dyDescent="0.35">
      <c r="A238">
        <f t="shared" si="55"/>
        <v>237</v>
      </c>
      <c r="B238">
        <f>IF(A238&lt;='Prepay vs Invest'!$B$7*12,F237,0)</f>
        <v>317264.57537604863</v>
      </c>
      <c r="C238">
        <f>IF(B238&gt;0,B238*'Prepay vs Invest'!$B$6/1200,0)</f>
        <v>1982.903596100304</v>
      </c>
      <c r="D238">
        <f>IF(B238&gt;0,MIN(-PMT('Prepay vs Invest'!$B$6/1200,'Prepay vs Invest'!$B$7*12,'Prepay vs Invest'!$B$5),B238+C238),0)</f>
        <v>80559.31935518072</v>
      </c>
      <c r="E238">
        <f t="shared" si="48"/>
        <v>78576.41575908041</v>
      </c>
      <c r="F238">
        <f t="shared" si="49"/>
        <v>238688.15961696819</v>
      </c>
      <c r="G238">
        <f t="shared" si="56"/>
        <v>13100306.083165059</v>
      </c>
      <c r="H238">
        <f>IF(A238&lt;='Prepay vs Invest'!$B$7*12,IF(AND(A238&gt;='Prepay vs Invest'!$B$11,A238&lt;='Prepay vs Invest'!$B$12),'Prepay vs Invest'!$B$10,0)+IF(A238='Prepay vs Invest'!$B$9,'Prepay vs Invest'!$B$8,0),0)</f>
        <v>10000</v>
      </c>
      <c r="I238">
        <f>G238*(1+MAX(0,'Prepay vs Invest'!$B$13-'Prepay vs Invest'!$B$14)/1200)+H238</f>
        <v>13235850.683128724</v>
      </c>
      <c r="J238">
        <f t="shared" si="57"/>
        <v>2870000</v>
      </c>
      <c r="K238">
        <f>MAX(0,(I238-J238-'Prepay vs Invest'!$B$16)*'Prepay vs Invest'!$B$15/100)</f>
        <v>1280106.3353910905</v>
      </c>
      <c r="L238">
        <f t="shared" si="50"/>
        <v>11955744.347737633</v>
      </c>
      <c r="M238">
        <f t="shared" si="58"/>
        <v>0</v>
      </c>
      <c r="N238">
        <f>IF(M238&gt;0,M238*'Prepay vs Invest'!$B$6/1200,0)</f>
        <v>0</v>
      </c>
      <c r="O238">
        <f>IF(M238&gt;0,MIN('Prepay vs Invest'!$E$5,M238+N238),0)</f>
        <v>0</v>
      </c>
      <c r="P238">
        <f>MIN(MAX(0,M238+N238-O238),IF(AND(A238&gt;='Prepay vs Invest'!$B$11,A238&lt;='Prepay vs Invest'!$B$12),'Prepay vs Invest'!$B$10,0)+IF(A238='Prepay vs Invest'!$B$9,'Prepay vs Invest'!$B$8,0))</f>
        <v>0</v>
      </c>
      <c r="Q238">
        <f t="shared" si="51"/>
        <v>0</v>
      </c>
      <c r="R238">
        <f t="shared" si="59"/>
        <v>7904336.4673033776</v>
      </c>
      <c r="S238">
        <f>IF(A238&lt;='Prepay vs Invest'!$B$7*12,MAX(0,'Prepay vs Invest'!$E$5+IF(AND(A238&gt;='Prepay vs Invest'!$B$11,A238&lt;='Prepay vs Invest'!$B$12),'Prepay vs Invest'!$B$10,0)+IF(A238='Prepay vs Invest'!$B$9,'Prepay vs Invest'!$B$8,0)-O238-P238),0)</f>
        <v>90559.31935518072</v>
      </c>
      <c r="T238">
        <f>R238*(1+MAX(0,'Prepay vs Invest'!$B$13-'Prepay vs Invest'!$B$14)/1200)+S238</f>
        <v>8070645.6778035481</v>
      </c>
      <c r="U238">
        <f t="shared" si="60"/>
        <v>5861874.4126997394</v>
      </c>
      <c r="V238">
        <f>MAX(0,(T238-U238-'Prepay vs Invest'!$B$16)*'Prepay vs Invest'!$B$15/100)</f>
        <v>260471.40813797608</v>
      </c>
      <c r="W238">
        <f t="shared" si="52"/>
        <v>7810174.2696655719</v>
      </c>
      <c r="X238">
        <f t="shared" si="61"/>
        <v>101583.55794160612</v>
      </c>
      <c r="Y238">
        <f>IF(X238&gt;0,X238*'Prepay vs Invest'!$B$6/1200,0)</f>
        <v>634.89723713503827</v>
      </c>
      <c r="Z238">
        <f>IF(X238&gt;0,MIN(-PMT('Prepay vs Invest'!$B$6/1200,'Prepay vs Invest'!$B$7*12-A238+1,X238),X238+Y238),0)</f>
        <v>25793.936419646569</v>
      </c>
      <c r="AA238">
        <f>MIN(MAX(0,X238+Y238-Z238),IF(AND(A238&gt;='Prepay vs Invest'!$B$11,A238&lt;='Prepay vs Invest'!$B$12),'Prepay vs Invest'!$B$10,0)+IF(A238='Prepay vs Invest'!$B$9,'Prepay vs Invest'!$B$8,0))</f>
        <v>10000</v>
      </c>
      <c r="AB238">
        <f t="shared" si="53"/>
        <v>66424.518759094586</v>
      </c>
      <c r="AC238">
        <f t="shared" si="62"/>
        <v>10233351.570203776</v>
      </c>
      <c r="AD238">
        <f>IF(A238&lt;='Prepay vs Invest'!$B$7*12,MAX(0,'Prepay vs Invest'!$E$5+IF(AND(A238&gt;='Prepay vs Invest'!$B$11,A238&lt;='Prepay vs Invest'!$B$12),'Prepay vs Invest'!$B$10,0)+IF(A238='Prepay vs Invest'!$B$9,'Prepay vs Invest'!$B$8,0)-Z238-AA238),0)</f>
        <v>54765.382935534151</v>
      </c>
      <c r="AE238">
        <f>AC238*(1+MAX(0,'Prepay vs Invest'!$B$13-'Prepay vs Invest'!$B$14)/1200)+AD238</f>
        <v>10386186.572353762</v>
      </c>
      <c r="AF238">
        <f t="shared" si="63"/>
        <v>4183994.2648431682</v>
      </c>
      <c r="AG238">
        <f>MAX(0,(AE238-AF238-'Prepay vs Invest'!$B$16)*'Prepay vs Invest'!$B$15/100)</f>
        <v>759649.03843882424</v>
      </c>
      <c r="AH238">
        <f t="shared" si="54"/>
        <v>9626537.5339149367</v>
      </c>
    </row>
    <row r="239" spans="1:34" x14ac:dyDescent="0.35">
      <c r="A239">
        <f t="shared" si="55"/>
        <v>238</v>
      </c>
      <c r="B239">
        <f>IF(A239&lt;='Prepay vs Invest'!$B$7*12,F238,0)</f>
        <v>238688.15961696819</v>
      </c>
      <c r="C239">
        <f>IF(B239&gt;0,B239*'Prepay vs Invest'!$B$6/1200,0)</f>
        <v>1491.8009976060512</v>
      </c>
      <c r="D239">
        <f>IF(B239&gt;0,MIN(-PMT('Prepay vs Invest'!$B$6/1200,'Prepay vs Invest'!$B$7*12,'Prepay vs Invest'!$B$5),B239+C239),0)</f>
        <v>80559.31935518072</v>
      </c>
      <c r="E239">
        <f t="shared" si="48"/>
        <v>79067.518357574663</v>
      </c>
      <c r="F239">
        <f t="shared" si="49"/>
        <v>159620.64125939351</v>
      </c>
      <c r="G239">
        <f t="shared" si="56"/>
        <v>13235850.683128724</v>
      </c>
      <c r="H239">
        <f>IF(A239&lt;='Prepay vs Invest'!$B$7*12,IF(AND(A239&gt;='Prepay vs Invest'!$B$11,A239&lt;='Prepay vs Invest'!$B$12),'Prepay vs Invest'!$B$10,0)+IF(A239='Prepay vs Invest'!$B$9,'Prepay vs Invest'!$B$8,0),0)</f>
        <v>10000</v>
      </c>
      <c r="I239">
        <f>G239*(1+MAX(0,'Prepay vs Invest'!$B$13-'Prepay vs Invest'!$B$14)/1200)+H239</f>
        <v>13372694.252175374</v>
      </c>
      <c r="J239">
        <f t="shared" si="57"/>
        <v>2880000</v>
      </c>
      <c r="K239">
        <f>MAX(0,(I239-J239-'Prepay vs Invest'!$B$16)*'Prepay vs Invest'!$B$15/100)</f>
        <v>1295961.7815219217</v>
      </c>
      <c r="L239">
        <f t="shared" si="50"/>
        <v>12076732.470653452</v>
      </c>
      <c r="M239">
        <f t="shared" si="58"/>
        <v>0</v>
      </c>
      <c r="N239">
        <f>IF(M239&gt;0,M239*'Prepay vs Invest'!$B$6/1200,0)</f>
        <v>0</v>
      </c>
      <c r="O239">
        <f>IF(M239&gt;0,MIN('Prepay vs Invest'!$E$5,M239+N239),0)</f>
        <v>0</v>
      </c>
      <c r="P239">
        <f>MIN(MAX(0,M239+N239-O239),IF(AND(A239&gt;='Prepay vs Invest'!$B$11,A239&lt;='Prepay vs Invest'!$B$12),'Prepay vs Invest'!$B$10,0)+IF(A239='Prepay vs Invest'!$B$9,'Prepay vs Invest'!$B$8,0))</f>
        <v>0</v>
      </c>
      <c r="Q239">
        <f t="shared" si="51"/>
        <v>0</v>
      </c>
      <c r="R239">
        <f t="shared" si="59"/>
        <v>8070645.6778035481</v>
      </c>
      <c r="S239">
        <f>IF(A239&lt;='Prepay vs Invest'!$B$7*12,MAX(0,'Prepay vs Invest'!$E$5+IF(AND(A239&gt;='Prepay vs Invest'!$B$11,A239&lt;='Prepay vs Invest'!$B$12),'Prepay vs Invest'!$B$10,0)+IF(A239='Prepay vs Invest'!$B$9,'Prepay vs Invest'!$B$8,0)-O239-P239),0)</f>
        <v>90559.31935518072</v>
      </c>
      <c r="T239">
        <f>R239*(1+MAX(0,'Prepay vs Invest'!$B$13-'Prepay vs Invest'!$B$14)/1200)+S239</f>
        <v>8238548.6849043453</v>
      </c>
      <c r="U239">
        <f t="shared" si="60"/>
        <v>5952433.7320549199</v>
      </c>
      <c r="V239">
        <f>MAX(0,(T239-U239-'Prepay vs Invest'!$B$16)*'Prepay vs Invest'!$B$15/100)</f>
        <v>270139.36910617817</v>
      </c>
      <c r="W239">
        <f t="shared" si="52"/>
        <v>7968409.3157981671</v>
      </c>
      <c r="X239">
        <f t="shared" si="61"/>
        <v>66424.518759094586</v>
      </c>
      <c r="Y239">
        <f>IF(X239&gt;0,X239*'Prepay vs Invest'!$B$6/1200,0)</f>
        <v>415.15324224434113</v>
      </c>
      <c r="Z239">
        <f>IF(X239&gt;0,MIN(-PMT('Prepay vs Invest'!$B$6/1200,'Prepay vs Invest'!$B$7*12-A239+1,X239),X239+Y239),0)</f>
        <v>22418.849884793242</v>
      </c>
      <c r="AA239">
        <f>MIN(MAX(0,X239+Y239-Z239),IF(AND(A239&gt;='Prepay vs Invest'!$B$11,A239&lt;='Prepay vs Invest'!$B$12),'Prepay vs Invest'!$B$10,0)+IF(A239='Prepay vs Invest'!$B$9,'Prepay vs Invest'!$B$8,0))</f>
        <v>10000</v>
      </c>
      <c r="AB239">
        <f t="shared" si="53"/>
        <v>34420.822116545685</v>
      </c>
      <c r="AC239">
        <f t="shared" si="62"/>
        <v>10386186.572353762</v>
      </c>
      <c r="AD239">
        <f>IF(A239&lt;='Prepay vs Invest'!$B$7*12,MAX(0,'Prepay vs Invest'!$E$5+IF(AND(A239&gt;='Prepay vs Invest'!$B$11,A239&lt;='Prepay vs Invest'!$B$12),'Prepay vs Invest'!$B$10,0)+IF(A239='Prepay vs Invest'!$B$9,'Prepay vs Invest'!$B$8,0)-Z239-AA239),0)</f>
        <v>58140.46947038747</v>
      </c>
      <c r="AE239">
        <f>AC239*(1+MAX(0,'Prepay vs Invest'!$B$13-'Prepay vs Invest'!$B$14)/1200)+AD239</f>
        <v>10543861.329809206</v>
      </c>
      <c r="AF239">
        <f t="shared" si="63"/>
        <v>4242134.734313556</v>
      </c>
      <c r="AG239">
        <f>MAX(0,(AE239-AF239-'Prepay vs Invest'!$B$16)*'Prepay vs Invest'!$B$15/100)</f>
        <v>772090.8244369562</v>
      </c>
      <c r="AH239">
        <f t="shared" si="54"/>
        <v>9771770.5053722486</v>
      </c>
    </row>
    <row r="240" spans="1:34" x14ac:dyDescent="0.35">
      <c r="A240">
        <f t="shared" si="55"/>
        <v>239</v>
      </c>
      <c r="B240">
        <f>IF(A240&lt;='Prepay vs Invest'!$B$7*12,F239,0)</f>
        <v>159620.64125939351</v>
      </c>
      <c r="C240">
        <f>IF(B240&gt;0,B240*'Prepay vs Invest'!$B$6/1200,0)</f>
        <v>997.62900787120941</v>
      </c>
      <c r="D240">
        <f>IF(B240&gt;0,MIN(-PMT('Prepay vs Invest'!$B$6/1200,'Prepay vs Invest'!$B$7*12,'Prepay vs Invest'!$B$5),B240+C240),0)</f>
        <v>80559.31935518072</v>
      </c>
      <c r="E240">
        <f t="shared" si="48"/>
        <v>79561.690347309515</v>
      </c>
      <c r="F240">
        <f t="shared" si="49"/>
        <v>80058.950912083994</v>
      </c>
      <c r="G240">
        <f t="shared" si="56"/>
        <v>13372694.252175374</v>
      </c>
      <c r="H240">
        <f>IF(A240&lt;='Prepay vs Invest'!$B$7*12,IF(AND(A240&gt;='Prepay vs Invest'!$B$11,A240&lt;='Prepay vs Invest'!$B$12),'Prepay vs Invest'!$B$10,0)+IF(A240='Prepay vs Invest'!$B$9,'Prepay vs Invest'!$B$8,0),0)</f>
        <v>10000</v>
      </c>
      <c r="I240">
        <f>G240*(1+MAX(0,'Prepay vs Invest'!$B$13-'Prepay vs Invest'!$B$14)/1200)+H240</f>
        <v>13510849.23875872</v>
      </c>
      <c r="J240">
        <f t="shared" si="57"/>
        <v>2890000</v>
      </c>
      <c r="K240">
        <f>MAX(0,(I240-J240-'Prepay vs Invest'!$B$16)*'Prepay vs Invest'!$B$15/100)</f>
        <v>1311981.1548448401</v>
      </c>
      <c r="L240">
        <f t="shared" si="50"/>
        <v>12198868.083913881</v>
      </c>
      <c r="M240">
        <f t="shared" si="58"/>
        <v>0</v>
      </c>
      <c r="N240">
        <f>IF(M240&gt;0,M240*'Prepay vs Invest'!$B$6/1200,0)</f>
        <v>0</v>
      </c>
      <c r="O240">
        <f>IF(M240&gt;0,MIN('Prepay vs Invest'!$E$5,M240+N240),0)</f>
        <v>0</v>
      </c>
      <c r="P240">
        <f>MIN(MAX(0,M240+N240-O240),IF(AND(A240&gt;='Prepay vs Invest'!$B$11,A240&lt;='Prepay vs Invest'!$B$12),'Prepay vs Invest'!$B$10,0)+IF(A240='Prepay vs Invest'!$B$9,'Prepay vs Invest'!$B$8,0))</f>
        <v>0</v>
      </c>
      <c r="Q240">
        <f t="shared" si="51"/>
        <v>0</v>
      </c>
      <c r="R240">
        <f t="shared" si="59"/>
        <v>8238548.6849043453</v>
      </c>
      <c r="S240">
        <f>IF(A240&lt;='Prepay vs Invest'!$B$7*12,MAX(0,'Prepay vs Invest'!$E$5+IF(AND(A240&gt;='Prepay vs Invest'!$B$11,A240&lt;='Prepay vs Invest'!$B$12),'Prepay vs Invest'!$B$10,0)+IF(A240='Prepay vs Invest'!$B$9,'Prepay vs Invest'!$B$8,0)-O240-P240),0)</f>
        <v>90559.31935518072</v>
      </c>
      <c r="T240">
        <f>R240*(1+MAX(0,'Prepay vs Invest'!$B$13-'Prepay vs Invest'!$B$14)/1200)+S240</f>
        <v>8408060.762489859</v>
      </c>
      <c r="U240">
        <f t="shared" si="60"/>
        <v>6042993.0514101004</v>
      </c>
      <c r="V240">
        <f>MAX(0,(T240-U240-'Prepay vs Invest'!$B$16)*'Prepay vs Invest'!$B$15/100)</f>
        <v>280008.46388496982</v>
      </c>
      <c r="W240">
        <f t="shared" si="52"/>
        <v>8128052.2986048888</v>
      </c>
      <c r="X240">
        <f t="shared" si="61"/>
        <v>34420.822116545685</v>
      </c>
      <c r="Y240">
        <f>IF(X240&gt;0,X240*'Prepay vs Invest'!$B$6/1200,0)</f>
        <v>215.13013822841052</v>
      </c>
      <c r="Z240">
        <f>IF(X240&gt;0,MIN(-PMT('Prepay vs Invest'!$B$6/1200,'Prepay vs Invest'!$B$7*12-A240+1,X240),X240+Y240),0)</f>
        <v>17371.926208780777</v>
      </c>
      <c r="AA240">
        <f>MIN(MAX(0,X240+Y240-Z240),IF(AND(A240&gt;='Prepay vs Invest'!$B$11,A240&lt;='Prepay vs Invest'!$B$12),'Prepay vs Invest'!$B$10,0)+IF(A240='Prepay vs Invest'!$B$9,'Prepay vs Invest'!$B$8,0))</f>
        <v>10000</v>
      </c>
      <c r="AB240">
        <f t="shared" si="53"/>
        <v>7264.0260459933161</v>
      </c>
      <c r="AC240">
        <f t="shared" si="62"/>
        <v>10543861.329809206</v>
      </c>
      <c r="AD240">
        <f>IF(A240&lt;='Prepay vs Invest'!$B$7*12,MAX(0,'Prepay vs Invest'!$E$5+IF(AND(A240&gt;='Prepay vs Invest'!$B$11,A240&lt;='Prepay vs Invest'!$B$12),'Prepay vs Invest'!$B$10,0)+IF(A240='Prepay vs Invest'!$B$9,'Prepay vs Invest'!$B$8,0)-Z240-AA240),0)</f>
        <v>63187.393146399947</v>
      </c>
      <c r="AE240">
        <f>AC240*(1+MAX(0,'Prepay vs Invest'!$B$13-'Prepay vs Invest'!$B$14)/1200)+AD240</f>
        <v>10708094.06069961</v>
      </c>
      <c r="AF240">
        <f t="shared" si="63"/>
        <v>4305322.1274599563</v>
      </c>
      <c r="AG240">
        <f>MAX(0,(AE240-AF240-'Prepay vs Invest'!$B$16)*'Prepay vs Invest'!$B$15/100)</f>
        <v>784721.4916549566</v>
      </c>
      <c r="AH240">
        <f t="shared" si="54"/>
        <v>9923372.5690446533</v>
      </c>
    </row>
    <row r="241" spans="1:34" x14ac:dyDescent="0.35">
      <c r="A241">
        <f t="shared" si="55"/>
        <v>240</v>
      </c>
      <c r="B241">
        <f>IF(A241&lt;='Prepay vs Invest'!$B$7*12,F240,0)</f>
        <v>80058.950912083994</v>
      </c>
      <c r="C241">
        <f>IF(B241&gt;0,B241*'Prepay vs Invest'!$B$6/1200,0)</f>
        <v>500.36844320052495</v>
      </c>
      <c r="D241">
        <f>IF(B241&gt;0,MIN(-PMT('Prepay vs Invest'!$B$6/1200,'Prepay vs Invest'!$B$7*12,'Prepay vs Invest'!$B$5),B241+C241),0)</f>
        <v>80559.31935518072</v>
      </c>
      <c r="E241">
        <f t="shared" si="48"/>
        <v>80058.950911980195</v>
      </c>
      <c r="F241">
        <f t="shared" si="49"/>
        <v>1.0379881132394075E-7</v>
      </c>
      <c r="G241">
        <f t="shared" si="56"/>
        <v>13510849.23875872</v>
      </c>
      <c r="H241">
        <f>IF(A241&lt;='Prepay vs Invest'!$B$7*12,IF(AND(A241&gt;='Prepay vs Invest'!$B$11,A241&lt;='Prepay vs Invest'!$B$12),'Prepay vs Invest'!$B$10,0)+IF(A241='Prepay vs Invest'!$B$9,'Prepay vs Invest'!$B$8,0),0)</f>
        <v>10000</v>
      </c>
      <c r="I241">
        <f>G241*(1+MAX(0,'Prepay vs Invest'!$B$13-'Prepay vs Invest'!$B$14)/1200)+H241</f>
        <v>13650328.210630158</v>
      </c>
      <c r="J241">
        <f t="shared" si="57"/>
        <v>2900000</v>
      </c>
      <c r="K241">
        <f>MAX(0,(I241-J241-'Prepay vs Invest'!$B$16)*'Prepay vs Invest'!$B$15/100)</f>
        <v>1328166.0263287697</v>
      </c>
      <c r="L241">
        <f t="shared" si="50"/>
        <v>12322162.184301388</v>
      </c>
      <c r="M241">
        <f t="shared" si="58"/>
        <v>0</v>
      </c>
      <c r="N241">
        <f>IF(M241&gt;0,M241*'Prepay vs Invest'!$B$6/1200,0)</f>
        <v>0</v>
      </c>
      <c r="O241">
        <f>IF(M241&gt;0,MIN('Prepay vs Invest'!$E$5,M241+N241),0)</f>
        <v>0</v>
      </c>
      <c r="P241">
        <f>MIN(MAX(0,M241+N241-O241),IF(AND(A241&gt;='Prepay vs Invest'!$B$11,A241&lt;='Prepay vs Invest'!$B$12),'Prepay vs Invest'!$B$10,0)+IF(A241='Prepay vs Invest'!$B$9,'Prepay vs Invest'!$B$8,0))</f>
        <v>0</v>
      </c>
      <c r="Q241">
        <f t="shared" si="51"/>
        <v>0</v>
      </c>
      <c r="R241">
        <f t="shared" si="59"/>
        <v>8408060.762489859</v>
      </c>
      <c r="S241">
        <f>IF(A241&lt;='Prepay vs Invest'!$B$7*12,MAX(0,'Prepay vs Invest'!$E$5+IF(AND(A241&gt;='Prepay vs Invest'!$B$11,A241&lt;='Prepay vs Invest'!$B$12),'Prepay vs Invest'!$B$10,0)+IF(A241='Prepay vs Invest'!$B$9,'Prepay vs Invest'!$B$8,0)-O241-P241),0)</f>
        <v>90559.31935518072</v>
      </c>
      <c r="T241">
        <f>R241*(1+MAX(0,'Prepay vs Invest'!$B$13-'Prepay vs Invest'!$B$14)/1200)+S241</f>
        <v>8579197.3308189008</v>
      </c>
      <c r="U241">
        <f t="shared" si="60"/>
        <v>6133552.3707652809</v>
      </c>
      <c r="V241">
        <f>MAX(0,(T241-U241-'Prepay vs Invest'!$B$16)*'Prepay vs Invest'!$B$15/100)</f>
        <v>290080.62000670249</v>
      </c>
      <c r="W241">
        <f t="shared" si="52"/>
        <v>8289116.710812198</v>
      </c>
      <c r="X241">
        <f t="shared" si="61"/>
        <v>7264.0260459933161</v>
      </c>
      <c r="Y241">
        <f>IF(X241&gt;0,X241*'Prepay vs Invest'!$B$6/1200,0)</f>
        <v>45.400162787458221</v>
      </c>
      <c r="Z241">
        <f>IF(X241&gt;0,MIN(-PMT('Prepay vs Invest'!$B$6/1200,'Prepay vs Invest'!$B$7*12-A241+1,X241),X241+Y241),0)</f>
        <v>7309.4262087807747</v>
      </c>
      <c r="AA241">
        <f>MIN(MAX(0,X241+Y241-Z241),IF(AND(A241&gt;='Prepay vs Invest'!$B$11,A241&lt;='Prepay vs Invest'!$B$12),'Prepay vs Invest'!$B$10,0)+IF(A241='Prepay vs Invest'!$B$9,'Prepay vs Invest'!$B$8,0))</f>
        <v>0</v>
      </c>
      <c r="AB241">
        <f t="shared" si="53"/>
        <v>0</v>
      </c>
      <c r="AC241">
        <f t="shared" si="62"/>
        <v>10708094.06069961</v>
      </c>
      <c r="AD241">
        <f>IF(A241&lt;='Prepay vs Invest'!$B$7*12,MAX(0,'Prepay vs Invest'!$E$5+IF(AND(A241&gt;='Prepay vs Invest'!$B$11,A241&lt;='Prepay vs Invest'!$B$12),'Prepay vs Invest'!$B$10,0)+IF(A241='Prepay vs Invest'!$B$9,'Prepay vs Invest'!$B$8,0)-Z241-AA241),0)</f>
        <v>83249.893146399947</v>
      </c>
      <c r="AE241">
        <f>AC241*(1+MAX(0,'Prepay vs Invest'!$B$13-'Prepay vs Invest'!$B$14)/1200)+AD241</f>
        <v>10893963.18859438</v>
      </c>
      <c r="AF241">
        <f t="shared" si="63"/>
        <v>4388572.0206063567</v>
      </c>
      <c r="AG241">
        <f>MAX(0,(AE241-AF241-'Prepay vs Invest'!$B$16)*'Prepay vs Invest'!$B$15/100)</f>
        <v>797548.89599850297</v>
      </c>
      <c r="AH241">
        <f t="shared" si="54"/>
        <v>10096414.292595878</v>
      </c>
    </row>
    <row r="242" spans="1:34" x14ac:dyDescent="0.35">
      <c r="A242">
        <f t="shared" si="55"/>
        <v>241</v>
      </c>
      <c r="B242">
        <f>IF(A242&lt;='Prepay vs Invest'!$B$7*12,F241,0)</f>
        <v>0</v>
      </c>
      <c r="C242">
        <f>IF(B242&gt;0,B242*'Prepay vs Invest'!$B$6/1200,0)</f>
        <v>0</v>
      </c>
      <c r="D242">
        <f>IF(B242&gt;0,MIN(-PMT('Prepay vs Invest'!$B$6/1200,'Prepay vs Invest'!$B$7*12,'Prepay vs Invest'!$B$5),B242+C242),0)</f>
        <v>0</v>
      </c>
      <c r="E242">
        <f t="shared" si="48"/>
        <v>0</v>
      </c>
      <c r="F242">
        <f t="shared" si="49"/>
        <v>0</v>
      </c>
      <c r="G242">
        <f t="shared" si="56"/>
        <v>13650328.210630158</v>
      </c>
      <c r="H242">
        <f>IF(A242&lt;='Prepay vs Invest'!$B$7*12,IF(AND(A242&gt;='Prepay vs Invest'!$B$11,A242&lt;='Prepay vs Invest'!$B$12),'Prepay vs Invest'!$B$10,0)+IF(A242='Prepay vs Invest'!$B$9,'Prepay vs Invest'!$B$8,0),0)</f>
        <v>0</v>
      </c>
      <c r="I242">
        <f>G242*(1+MAX(0,'Prepay vs Invest'!$B$13-'Prepay vs Invest'!$B$14)/1200)+H242</f>
        <v>13781143.85598203</v>
      </c>
      <c r="J242">
        <f t="shared" si="57"/>
        <v>2900000</v>
      </c>
      <c r="K242">
        <f>MAX(0,(I242-J242-'Prepay vs Invest'!$B$16)*'Prepay vs Invest'!$B$15/100)</f>
        <v>1344517.9819977537</v>
      </c>
      <c r="L242">
        <f t="shared" si="50"/>
        <v>12436625.873984275</v>
      </c>
      <c r="M242">
        <f t="shared" si="58"/>
        <v>0</v>
      </c>
      <c r="N242">
        <f>IF(M242&gt;0,M242*'Prepay vs Invest'!$B$6/1200,0)</f>
        <v>0</v>
      </c>
      <c r="O242">
        <f>IF(M242&gt;0,MIN('Prepay vs Invest'!$E$5,M242+N242),0)</f>
        <v>0</v>
      </c>
      <c r="P242">
        <f>MIN(MAX(0,M242+N242-O242),IF(AND(A242&gt;='Prepay vs Invest'!$B$11,A242&lt;='Prepay vs Invest'!$B$12),'Prepay vs Invest'!$B$10,0)+IF(A242='Prepay vs Invest'!$B$9,'Prepay vs Invest'!$B$8,0))</f>
        <v>0</v>
      </c>
      <c r="Q242">
        <f t="shared" si="51"/>
        <v>0</v>
      </c>
      <c r="R242">
        <f t="shared" si="59"/>
        <v>8579197.3308189008</v>
      </c>
      <c r="S242">
        <f>IF(A242&lt;='Prepay vs Invest'!$B$7*12,MAX(0,'Prepay vs Invest'!$E$5+IF(AND(A242&gt;='Prepay vs Invest'!$B$11,A242&lt;='Prepay vs Invest'!$B$12),'Prepay vs Invest'!$B$10,0)+IF(A242='Prepay vs Invest'!$B$9,'Prepay vs Invest'!$B$8,0)-O242-P242),0)</f>
        <v>0</v>
      </c>
      <c r="T242">
        <f>R242*(1+MAX(0,'Prepay vs Invest'!$B$13-'Prepay vs Invest'!$B$14)/1200)+S242</f>
        <v>8661414.6385725811</v>
      </c>
      <c r="U242">
        <f t="shared" si="60"/>
        <v>6133552.3707652809</v>
      </c>
      <c r="V242">
        <f>MAX(0,(T242-U242-'Prepay vs Invest'!$B$16)*'Prepay vs Invest'!$B$15/100)</f>
        <v>300357.78347591253</v>
      </c>
      <c r="W242">
        <f t="shared" si="52"/>
        <v>8361056.8550966689</v>
      </c>
      <c r="X242">
        <f t="shared" si="61"/>
        <v>0</v>
      </c>
      <c r="Y242">
        <f>IF(X242&gt;0,X242*'Prepay vs Invest'!$B$6/1200,0)</f>
        <v>0</v>
      </c>
      <c r="Z242">
        <f>IF(X242&gt;0,MIN(-PMT('Prepay vs Invest'!$B$6/1200,'Prepay vs Invest'!$B$7*12-A242+1,X242),X242+Y242),0)</f>
        <v>0</v>
      </c>
      <c r="AA242">
        <f>MIN(MAX(0,X242+Y242-Z242),IF(AND(A242&gt;='Prepay vs Invest'!$B$11,A242&lt;='Prepay vs Invest'!$B$12),'Prepay vs Invest'!$B$10,0)+IF(A242='Prepay vs Invest'!$B$9,'Prepay vs Invest'!$B$8,0))</f>
        <v>0</v>
      </c>
      <c r="AB242">
        <f t="shared" si="53"/>
        <v>0</v>
      </c>
      <c r="AC242">
        <f t="shared" si="62"/>
        <v>10893963.18859438</v>
      </c>
      <c r="AD242">
        <f>IF(A242&lt;='Prepay vs Invest'!$B$7*12,MAX(0,'Prepay vs Invest'!$E$5+IF(AND(A242&gt;='Prepay vs Invest'!$B$11,A242&lt;='Prepay vs Invest'!$B$12),'Prepay vs Invest'!$B$10,0)+IF(A242='Prepay vs Invest'!$B$9,'Prepay vs Invest'!$B$8,0)-Z242-AA242),0)</f>
        <v>0</v>
      </c>
      <c r="AE242">
        <f>AC242*(1+MAX(0,'Prepay vs Invest'!$B$13-'Prepay vs Invest'!$B$14)/1200)+AD242</f>
        <v>10998363.669151742</v>
      </c>
      <c r="AF242">
        <f t="shared" si="63"/>
        <v>4388572.0206063567</v>
      </c>
      <c r="AG242">
        <f>MAX(0,(AE242-AF242-'Prepay vs Invest'!$B$16)*'Prepay vs Invest'!$B$15/100)</f>
        <v>810598.95606817317</v>
      </c>
      <c r="AH242">
        <f t="shared" si="54"/>
        <v>10187764.713083569</v>
      </c>
    </row>
    <row r="243" spans="1:34" x14ac:dyDescent="0.35">
      <c r="A243">
        <f t="shared" si="55"/>
        <v>242</v>
      </c>
      <c r="B243">
        <f>IF(A243&lt;='Prepay vs Invest'!$B$7*12,F242,0)</f>
        <v>0</v>
      </c>
      <c r="C243">
        <f>IF(B243&gt;0,B243*'Prepay vs Invest'!$B$6/1200,0)</f>
        <v>0</v>
      </c>
      <c r="D243">
        <f>IF(B243&gt;0,MIN(-PMT('Prepay vs Invest'!$B$6/1200,'Prepay vs Invest'!$B$7*12,'Prepay vs Invest'!$B$5),B243+C243),0)</f>
        <v>0</v>
      </c>
      <c r="E243">
        <f t="shared" si="48"/>
        <v>0</v>
      </c>
      <c r="F243">
        <f t="shared" si="49"/>
        <v>0</v>
      </c>
      <c r="G243">
        <f t="shared" si="56"/>
        <v>13781143.85598203</v>
      </c>
      <c r="H243">
        <f>IF(A243&lt;='Prepay vs Invest'!$B$7*12,IF(AND(A243&gt;='Prepay vs Invest'!$B$11,A243&lt;='Prepay vs Invest'!$B$12),'Prepay vs Invest'!$B$10,0)+IF(A243='Prepay vs Invest'!$B$9,'Prepay vs Invest'!$B$8,0),0)</f>
        <v>0</v>
      </c>
      <c r="I243">
        <f>G243*(1+MAX(0,'Prepay vs Invest'!$B$13-'Prepay vs Invest'!$B$14)/1200)+H243</f>
        <v>13913213.151268523</v>
      </c>
      <c r="J243">
        <f t="shared" si="57"/>
        <v>2900000</v>
      </c>
      <c r="K243">
        <f>MAX(0,(I243-J243-'Prepay vs Invest'!$B$16)*'Prepay vs Invest'!$B$15/100)</f>
        <v>1361026.6439085654</v>
      </c>
      <c r="L243">
        <f t="shared" si="50"/>
        <v>12552186.507359957</v>
      </c>
      <c r="M243">
        <f t="shared" si="58"/>
        <v>0</v>
      </c>
      <c r="N243">
        <f>IF(M243&gt;0,M243*'Prepay vs Invest'!$B$6/1200,0)</f>
        <v>0</v>
      </c>
      <c r="O243">
        <f>IF(M243&gt;0,MIN('Prepay vs Invest'!$E$5,M243+N243),0)</f>
        <v>0</v>
      </c>
      <c r="P243">
        <f>MIN(MAX(0,M243+N243-O243),IF(AND(A243&gt;='Prepay vs Invest'!$B$11,A243&lt;='Prepay vs Invest'!$B$12),'Prepay vs Invest'!$B$10,0)+IF(A243='Prepay vs Invest'!$B$9,'Prepay vs Invest'!$B$8,0))</f>
        <v>0</v>
      </c>
      <c r="Q243">
        <f t="shared" si="51"/>
        <v>0</v>
      </c>
      <c r="R243">
        <f t="shared" si="59"/>
        <v>8661414.6385725811</v>
      </c>
      <c r="S243">
        <f>IF(A243&lt;='Prepay vs Invest'!$B$7*12,MAX(0,'Prepay vs Invest'!$E$5+IF(AND(A243&gt;='Prepay vs Invest'!$B$11,A243&lt;='Prepay vs Invest'!$B$12),'Prepay vs Invest'!$B$10,0)+IF(A243='Prepay vs Invest'!$B$9,'Prepay vs Invest'!$B$8,0)-O243-P243),0)</f>
        <v>0</v>
      </c>
      <c r="T243">
        <f>R243*(1+MAX(0,'Prepay vs Invest'!$B$13-'Prepay vs Invest'!$B$14)/1200)+S243</f>
        <v>8744419.862192234</v>
      </c>
      <c r="U243">
        <f t="shared" si="60"/>
        <v>6133552.3707652809</v>
      </c>
      <c r="V243">
        <f>MAX(0,(T243-U243-'Prepay vs Invest'!$B$16)*'Prepay vs Invest'!$B$15/100)</f>
        <v>310733.43642836914</v>
      </c>
      <c r="W243">
        <f t="shared" si="52"/>
        <v>8433686.4257638641</v>
      </c>
      <c r="X243">
        <f t="shared" si="61"/>
        <v>0</v>
      </c>
      <c r="Y243">
        <f>IF(X243&gt;0,X243*'Prepay vs Invest'!$B$6/1200,0)</f>
        <v>0</v>
      </c>
      <c r="Z243">
        <f>IF(X243&gt;0,MIN(-PMT('Prepay vs Invest'!$B$6/1200,'Prepay vs Invest'!$B$7*12-A243+1,X243),X243+Y243),0)</f>
        <v>0</v>
      </c>
      <c r="AA243">
        <f>MIN(MAX(0,X243+Y243-Z243),IF(AND(A243&gt;='Prepay vs Invest'!$B$11,A243&lt;='Prepay vs Invest'!$B$12),'Prepay vs Invest'!$B$10,0)+IF(A243='Prepay vs Invest'!$B$9,'Prepay vs Invest'!$B$8,0))</f>
        <v>0</v>
      </c>
      <c r="AB243">
        <f t="shared" si="53"/>
        <v>0</v>
      </c>
      <c r="AC243">
        <f t="shared" si="62"/>
        <v>10998363.669151742</v>
      </c>
      <c r="AD243">
        <f>IF(A243&lt;='Prepay vs Invest'!$B$7*12,MAX(0,'Prepay vs Invest'!$E$5+IF(AND(A243&gt;='Prepay vs Invest'!$B$11,A243&lt;='Prepay vs Invest'!$B$12),'Prepay vs Invest'!$B$10,0)+IF(A243='Prepay vs Invest'!$B$9,'Prepay vs Invest'!$B$8,0)-Z243-AA243),0)</f>
        <v>0</v>
      </c>
      <c r="AE243">
        <f>AC243*(1+MAX(0,'Prepay vs Invest'!$B$13-'Prepay vs Invest'!$B$14)/1200)+AD243</f>
        <v>11103764.654314445</v>
      </c>
      <c r="AF243">
        <f t="shared" si="63"/>
        <v>4388572.0206063567</v>
      </c>
      <c r="AG243">
        <f>MAX(0,(AE243-AF243-'Prepay vs Invest'!$B$16)*'Prepay vs Invest'!$B$15/100)</f>
        <v>823774.07921351108</v>
      </c>
      <c r="AH243">
        <f t="shared" si="54"/>
        <v>10279990.575100934</v>
      </c>
    </row>
    <row r="244" spans="1:34" x14ac:dyDescent="0.35">
      <c r="A244">
        <f t="shared" si="55"/>
        <v>243</v>
      </c>
      <c r="B244">
        <f>IF(A244&lt;='Prepay vs Invest'!$B$7*12,F243,0)</f>
        <v>0</v>
      </c>
      <c r="C244">
        <f>IF(B244&gt;0,B244*'Prepay vs Invest'!$B$6/1200,0)</f>
        <v>0</v>
      </c>
      <c r="D244">
        <f>IF(B244&gt;0,MIN(-PMT('Prepay vs Invest'!$B$6/1200,'Prepay vs Invest'!$B$7*12,'Prepay vs Invest'!$B$5),B244+C244),0)</f>
        <v>0</v>
      </c>
      <c r="E244">
        <f t="shared" si="48"/>
        <v>0</v>
      </c>
      <c r="F244">
        <f t="shared" si="49"/>
        <v>0</v>
      </c>
      <c r="G244">
        <f t="shared" si="56"/>
        <v>13913213.151268523</v>
      </c>
      <c r="H244">
        <f>IF(A244&lt;='Prepay vs Invest'!$B$7*12,IF(AND(A244&gt;='Prepay vs Invest'!$B$11,A244&lt;='Prepay vs Invest'!$B$12),'Prepay vs Invest'!$B$10,0)+IF(A244='Prepay vs Invest'!$B$9,'Prepay vs Invest'!$B$8,0),0)</f>
        <v>0</v>
      </c>
      <c r="I244">
        <f>G244*(1+MAX(0,'Prepay vs Invest'!$B$13-'Prepay vs Invest'!$B$14)/1200)+H244</f>
        <v>14046548.110634847</v>
      </c>
      <c r="J244">
        <f t="shared" si="57"/>
        <v>2900000</v>
      </c>
      <c r="K244">
        <f>MAX(0,(I244-J244-'Prepay vs Invest'!$B$16)*'Prepay vs Invest'!$B$15/100)</f>
        <v>1377693.5138293558</v>
      </c>
      <c r="L244">
        <f t="shared" si="50"/>
        <v>12668854.596805491</v>
      </c>
      <c r="M244">
        <f t="shared" si="58"/>
        <v>0</v>
      </c>
      <c r="N244">
        <f>IF(M244&gt;0,M244*'Prepay vs Invest'!$B$6/1200,0)</f>
        <v>0</v>
      </c>
      <c r="O244">
        <f>IF(M244&gt;0,MIN('Prepay vs Invest'!$E$5,M244+N244),0)</f>
        <v>0</v>
      </c>
      <c r="P244">
        <f>MIN(MAX(0,M244+N244-O244),IF(AND(A244&gt;='Prepay vs Invest'!$B$11,A244&lt;='Prepay vs Invest'!$B$12),'Prepay vs Invest'!$B$10,0)+IF(A244='Prepay vs Invest'!$B$9,'Prepay vs Invest'!$B$8,0))</f>
        <v>0</v>
      </c>
      <c r="Q244">
        <f t="shared" si="51"/>
        <v>0</v>
      </c>
      <c r="R244">
        <f t="shared" si="59"/>
        <v>8744419.862192234</v>
      </c>
      <c r="S244">
        <f>IF(A244&lt;='Prepay vs Invest'!$B$7*12,MAX(0,'Prepay vs Invest'!$E$5+IF(AND(A244&gt;='Prepay vs Invest'!$B$11,A244&lt;='Prepay vs Invest'!$B$12),'Prepay vs Invest'!$B$10,0)+IF(A244='Prepay vs Invest'!$B$9,'Prepay vs Invest'!$B$8,0)-O244-P244),0)</f>
        <v>0</v>
      </c>
      <c r="T244">
        <f>R244*(1+MAX(0,'Prepay vs Invest'!$B$13-'Prepay vs Invest'!$B$14)/1200)+S244</f>
        <v>8828220.5525382422</v>
      </c>
      <c r="U244">
        <f t="shared" si="60"/>
        <v>6133552.3707652809</v>
      </c>
      <c r="V244">
        <f>MAX(0,(T244-U244-'Prepay vs Invest'!$B$16)*'Prepay vs Invest'!$B$15/100)</f>
        <v>321208.52272162016</v>
      </c>
      <c r="W244">
        <f t="shared" si="52"/>
        <v>8507012.0298166219</v>
      </c>
      <c r="X244">
        <f t="shared" si="61"/>
        <v>0</v>
      </c>
      <c r="Y244">
        <f>IF(X244&gt;0,X244*'Prepay vs Invest'!$B$6/1200,0)</f>
        <v>0</v>
      </c>
      <c r="Z244">
        <f>IF(X244&gt;0,MIN(-PMT('Prepay vs Invest'!$B$6/1200,'Prepay vs Invest'!$B$7*12-A244+1,X244),X244+Y244),0)</f>
        <v>0</v>
      </c>
      <c r="AA244">
        <f>MIN(MAX(0,X244+Y244-Z244),IF(AND(A244&gt;='Prepay vs Invest'!$B$11,A244&lt;='Prepay vs Invest'!$B$12),'Prepay vs Invest'!$B$10,0)+IF(A244='Prepay vs Invest'!$B$9,'Prepay vs Invest'!$B$8,0))</f>
        <v>0</v>
      </c>
      <c r="AB244">
        <f t="shared" si="53"/>
        <v>0</v>
      </c>
      <c r="AC244">
        <f t="shared" si="62"/>
        <v>11103764.654314445</v>
      </c>
      <c r="AD244">
        <f>IF(A244&lt;='Prepay vs Invest'!$B$7*12,MAX(0,'Prepay vs Invest'!$E$5+IF(AND(A244&gt;='Prepay vs Invest'!$B$11,A244&lt;='Prepay vs Invest'!$B$12),'Prepay vs Invest'!$B$10,0)+IF(A244='Prepay vs Invest'!$B$9,'Prepay vs Invest'!$B$8,0)-Z244-AA244),0)</f>
        <v>0</v>
      </c>
      <c r="AE244">
        <f>AC244*(1+MAX(0,'Prepay vs Invest'!$B$13-'Prepay vs Invest'!$B$14)/1200)+AD244</f>
        <v>11210175.732251626</v>
      </c>
      <c r="AF244">
        <f t="shared" si="63"/>
        <v>4388572.0206063567</v>
      </c>
      <c r="AG244">
        <f>MAX(0,(AE244-AF244-'Prepay vs Invest'!$B$16)*'Prepay vs Invest'!$B$15/100)</f>
        <v>837075.46395565872</v>
      </c>
      <c r="AH244">
        <f t="shared" si="54"/>
        <v>10373100.268295966</v>
      </c>
    </row>
    <row r="245" spans="1:34" x14ac:dyDescent="0.35">
      <c r="A245">
        <f t="shared" si="55"/>
        <v>244</v>
      </c>
      <c r="B245">
        <f>IF(A245&lt;='Prepay vs Invest'!$B$7*12,F244,0)</f>
        <v>0</v>
      </c>
      <c r="C245">
        <f>IF(B245&gt;0,B245*'Prepay vs Invest'!$B$6/1200,0)</f>
        <v>0</v>
      </c>
      <c r="D245">
        <f>IF(B245&gt;0,MIN(-PMT('Prepay vs Invest'!$B$6/1200,'Prepay vs Invest'!$B$7*12,'Prepay vs Invest'!$B$5),B245+C245),0)</f>
        <v>0</v>
      </c>
      <c r="E245">
        <f t="shared" si="48"/>
        <v>0</v>
      </c>
      <c r="F245">
        <f t="shared" si="49"/>
        <v>0</v>
      </c>
      <c r="G245">
        <f t="shared" si="56"/>
        <v>14046548.110634847</v>
      </c>
      <c r="H245">
        <f>IF(A245&lt;='Prepay vs Invest'!$B$7*12,IF(AND(A245&gt;='Prepay vs Invest'!$B$11,A245&lt;='Prepay vs Invest'!$B$12),'Prepay vs Invest'!$B$10,0)+IF(A245='Prepay vs Invest'!$B$9,'Prepay vs Invest'!$B$8,0),0)</f>
        <v>0</v>
      </c>
      <c r="I245">
        <f>G245*(1+MAX(0,'Prepay vs Invest'!$B$13-'Prepay vs Invest'!$B$14)/1200)+H245</f>
        <v>14181160.863361763</v>
      </c>
      <c r="J245">
        <f t="shared" si="57"/>
        <v>2900000</v>
      </c>
      <c r="K245">
        <f>MAX(0,(I245-J245-'Prepay vs Invest'!$B$16)*'Prepay vs Invest'!$B$15/100)</f>
        <v>1394520.1079202206</v>
      </c>
      <c r="L245">
        <f t="shared" si="50"/>
        <v>12786640.755441543</v>
      </c>
      <c r="M245">
        <f t="shared" si="58"/>
        <v>0</v>
      </c>
      <c r="N245">
        <f>IF(M245&gt;0,M245*'Prepay vs Invest'!$B$6/1200,0)</f>
        <v>0</v>
      </c>
      <c r="O245">
        <f>IF(M245&gt;0,MIN('Prepay vs Invest'!$E$5,M245+N245),0)</f>
        <v>0</v>
      </c>
      <c r="P245">
        <f>MIN(MAX(0,M245+N245-O245),IF(AND(A245&gt;='Prepay vs Invest'!$B$11,A245&lt;='Prepay vs Invest'!$B$12),'Prepay vs Invest'!$B$10,0)+IF(A245='Prepay vs Invest'!$B$9,'Prepay vs Invest'!$B$8,0))</f>
        <v>0</v>
      </c>
      <c r="Q245">
        <f t="shared" si="51"/>
        <v>0</v>
      </c>
      <c r="R245">
        <f t="shared" si="59"/>
        <v>8828220.5525382422</v>
      </c>
      <c r="S245">
        <f>IF(A245&lt;='Prepay vs Invest'!$B$7*12,MAX(0,'Prepay vs Invest'!$E$5+IF(AND(A245&gt;='Prepay vs Invest'!$B$11,A245&lt;='Prepay vs Invest'!$B$12),'Prepay vs Invest'!$B$10,0)+IF(A245='Prepay vs Invest'!$B$9,'Prepay vs Invest'!$B$8,0)-O245-P245),0)</f>
        <v>0</v>
      </c>
      <c r="T245">
        <f>R245*(1+MAX(0,'Prepay vs Invest'!$B$13-'Prepay vs Invest'!$B$14)/1200)+S245</f>
        <v>8912824.3328334</v>
      </c>
      <c r="U245">
        <f t="shared" si="60"/>
        <v>6133552.3707652809</v>
      </c>
      <c r="V245">
        <f>MAX(0,(T245-U245-'Prepay vs Invest'!$B$16)*'Prepay vs Invest'!$B$15/100)</f>
        <v>331783.99525851489</v>
      </c>
      <c r="W245">
        <f t="shared" si="52"/>
        <v>8581040.3375748843</v>
      </c>
      <c r="X245">
        <f t="shared" si="61"/>
        <v>0</v>
      </c>
      <c r="Y245">
        <f>IF(X245&gt;0,X245*'Prepay vs Invest'!$B$6/1200,0)</f>
        <v>0</v>
      </c>
      <c r="Z245">
        <f>IF(X245&gt;0,MIN(-PMT('Prepay vs Invest'!$B$6/1200,'Prepay vs Invest'!$B$7*12-A245+1,X245),X245+Y245),0)</f>
        <v>0</v>
      </c>
      <c r="AA245">
        <f>MIN(MAX(0,X245+Y245-Z245),IF(AND(A245&gt;='Prepay vs Invest'!$B$11,A245&lt;='Prepay vs Invest'!$B$12),'Prepay vs Invest'!$B$10,0)+IF(A245='Prepay vs Invest'!$B$9,'Prepay vs Invest'!$B$8,0))</f>
        <v>0</v>
      </c>
      <c r="AB245">
        <f t="shared" si="53"/>
        <v>0</v>
      </c>
      <c r="AC245">
        <f t="shared" si="62"/>
        <v>11210175.732251626</v>
      </c>
      <c r="AD245">
        <f>IF(A245&lt;='Prepay vs Invest'!$B$7*12,MAX(0,'Prepay vs Invest'!$E$5+IF(AND(A245&gt;='Prepay vs Invest'!$B$11,A245&lt;='Prepay vs Invest'!$B$12),'Prepay vs Invest'!$B$10,0)+IF(A245='Prepay vs Invest'!$B$9,'Prepay vs Invest'!$B$8,0)-Z245-AA245),0)</f>
        <v>0</v>
      </c>
      <c r="AE245">
        <f>AC245*(1+MAX(0,'Prepay vs Invest'!$B$13-'Prepay vs Invest'!$B$14)/1200)+AD245</f>
        <v>11317606.583019037</v>
      </c>
      <c r="AF245">
        <f t="shared" si="63"/>
        <v>4388572.0206063567</v>
      </c>
      <c r="AG245">
        <f>MAX(0,(AE245-AF245-'Prepay vs Invest'!$B$16)*'Prepay vs Invest'!$B$15/100)</f>
        <v>850504.32030158502</v>
      </c>
      <c r="AH245">
        <f t="shared" si="54"/>
        <v>10467102.262717452</v>
      </c>
    </row>
    <row r="246" spans="1:34" x14ac:dyDescent="0.35">
      <c r="A246">
        <f t="shared" si="55"/>
        <v>245</v>
      </c>
      <c r="B246">
        <f>IF(A246&lt;='Prepay vs Invest'!$B$7*12,F245,0)</f>
        <v>0</v>
      </c>
      <c r="C246">
        <f>IF(B246&gt;0,B246*'Prepay vs Invest'!$B$6/1200,0)</f>
        <v>0</v>
      </c>
      <c r="D246">
        <f>IF(B246&gt;0,MIN(-PMT('Prepay vs Invest'!$B$6/1200,'Prepay vs Invest'!$B$7*12,'Prepay vs Invest'!$B$5),B246+C246),0)</f>
        <v>0</v>
      </c>
      <c r="E246">
        <f t="shared" si="48"/>
        <v>0</v>
      </c>
      <c r="F246">
        <f t="shared" si="49"/>
        <v>0</v>
      </c>
      <c r="G246">
        <f t="shared" si="56"/>
        <v>14181160.863361763</v>
      </c>
      <c r="H246">
        <f>IF(A246&lt;='Prepay vs Invest'!$B$7*12,IF(AND(A246&gt;='Prepay vs Invest'!$B$11,A246&lt;='Prepay vs Invest'!$B$12),'Prepay vs Invest'!$B$10,0)+IF(A246='Prepay vs Invest'!$B$9,'Prepay vs Invest'!$B$8,0),0)</f>
        <v>0</v>
      </c>
      <c r="I246">
        <f>G246*(1+MAX(0,'Prepay vs Invest'!$B$13-'Prepay vs Invest'!$B$14)/1200)+H246</f>
        <v>14317063.654968979</v>
      </c>
      <c r="J246">
        <f t="shared" si="57"/>
        <v>2900000</v>
      </c>
      <c r="K246">
        <f>MAX(0,(I246-J246-'Prepay vs Invest'!$B$16)*'Prepay vs Invest'!$B$15/100)</f>
        <v>1411507.9568711224</v>
      </c>
      <c r="L246">
        <f t="shared" si="50"/>
        <v>12905555.698097857</v>
      </c>
      <c r="M246">
        <f t="shared" si="58"/>
        <v>0</v>
      </c>
      <c r="N246">
        <f>IF(M246&gt;0,M246*'Prepay vs Invest'!$B$6/1200,0)</f>
        <v>0</v>
      </c>
      <c r="O246">
        <f>IF(M246&gt;0,MIN('Prepay vs Invest'!$E$5,M246+N246),0)</f>
        <v>0</v>
      </c>
      <c r="P246">
        <f>MIN(MAX(0,M246+N246-O246),IF(AND(A246&gt;='Prepay vs Invest'!$B$11,A246&lt;='Prepay vs Invest'!$B$12),'Prepay vs Invest'!$B$10,0)+IF(A246='Prepay vs Invest'!$B$9,'Prepay vs Invest'!$B$8,0))</f>
        <v>0</v>
      </c>
      <c r="Q246">
        <f t="shared" si="51"/>
        <v>0</v>
      </c>
      <c r="R246">
        <f t="shared" si="59"/>
        <v>8912824.3328334</v>
      </c>
      <c r="S246">
        <f>IF(A246&lt;='Prepay vs Invest'!$B$7*12,MAX(0,'Prepay vs Invest'!$E$5+IF(AND(A246&gt;='Prepay vs Invest'!$B$11,A246&lt;='Prepay vs Invest'!$B$12),'Prepay vs Invest'!$B$10,0)+IF(A246='Prepay vs Invest'!$B$9,'Prepay vs Invest'!$B$8,0)-O246-P246),0)</f>
        <v>0</v>
      </c>
      <c r="T246">
        <f>R246*(1+MAX(0,'Prepay vs Invest'!$B$13-'Prepay vs Invest'!$B$14)/1200)+S246</f>
        <v>8998238.8993563857</v>
      </c>
      <c r="U246">
        <f t="shared" si="60"/>
        <v>6133552.3707652809</v>
      </c>
      <c r="V246">
        <f>MAX(0,(T246-U246-'Prepay vs Invest'!$B$16)*'Prepay vs Invest'!$B$15/100)</f>
        <v>342460.8160738881</v>
      </c>
      <c r="W246">
        <f t="shared" si="52"/>
        <v>8655778.0832824968</v>
      </c>
      <c r="X246">
        <f t="shared" si="61"/>
        <v>0</v>
      </c>
      <c r="Y246">
        <f>IF(X246&gt;0,X246*'Prepay vs Invest'!$B$6/1200,0)</f>
        <v>0</v>
      </c>
      <c r="Z246">
        <f>IF(X246&gt;0,MIN(-PMT('Prepay vs Invest'!$B$6/1200,'Prepay vs Invest'!$B$7*12-A246+1,X246),X246+Y246),0)</f>
        <v>0</v>
      </c>
      <c r="AA246">
        <f>MIN(MAX(0,X246+Y246-Z246),IF(AND(A246&gt;='Prepay vs Invest'!$B$11,A246&lt;='Prepay vs Invest'!$B$12),'Prepay vs Invest'!$B$10,0)+IF(A246='Prepay vs Invest'!$B$9,'Prepay vs Invest'!$B$8,0))</f>
        <v>0</v>
      </c>
      <c r="AB246">
        <f t="shared" si="53"/>
        <v>0</v>
      </c>
      <c r="AC246">
        <f t="shared" si="62"/>
        <v>11317606.583019037</v>
      </c>
      <c r="AD246">
        <f>IF(A246&lt;='Prepay vs Invest'!$B$7*12,MAX(0,'Prepay vs Invest'!$E$5+IF(AND(A246&gt;='Prepay vs Invest'!$B$11,A246&lt;='Prepay vs Invest'!$B$12),'Prepay vs Invest'!$B$10,0)+IF(A246='Prepay vs Invest'!$B$9,'Prepay vs Invest'!$B$8,0)-Z246-AA246),0)</f>
        <v>0</v>
      </c>
      <c r="AE246">
        <f>AC246*(1+MAX(0,'Prepay vs Invest'!$B$13-'Prepay vs Invest'!$B$14)/1200)+AD246</f>
        <v>11426066.979439635</v>
      </c>
      <c r="AF246">
        <f t="shared" si="63"/>
        <v>4388572.0206063567</v>
      </c>
      <c r="AG246">
        <f>MAX(0,(AE246-AF246-'Prepay vs Invest'!$B$16)*'Prepay vs Invest'!$B$15/100)</f>
        <v>864061.86985415977</v>
      </c>
      <c r="AH246">
        <f t="shared" si="54"/>
        <v>10562005.109585475</v>
      </c>
    </row>
    <row r="247" spans="1:34" x14ac:dyDescent="0.35">
      <c r="A247">
        <f t="shared" si="55"/>
        <v>246</v>
      </c>
      <c r="B247">
        <f>IF(A247&lt;='Prepay vs Invest'!$B$7*12,F246,0)</f>
        <v>0</v>
      </c>
      <c r="C247">
        <f>IF(B247&gt;0,B247*'Prepay vs Invest'!$B$6/1200,0)</f>
        <v>0</v>
      </c>
      <c r="D247">
        <f>IF(B247&gt;0,MIN(-PMT('Prepay vs Invest'!$B$6/1200,'Prepay vs Invest'!$B$7*12,'Prepay vs Invest'!$B$5),B247+C247),0)</f>
        <v>0</v>
      </c>
      <c r="E247">
        <f t="shared" si="48"/>
        <v>0</v>
      </c>
      <c r="F247">
        <f t="shared" si="49"/>
        <v>0</v>
      </c>
      <c r="G247">
        <f t="shared" si="56"/>
        <v>14317063.654968979</v>
      </c>
      <c r="H247">
        <f>IF(A247&lt;='Prepay vs Invest'!$B$7*12,IF(AND(A247&gt;='Prepay vs Invest'!$B$11,A247&lt;='Prepay vs Invest'!$B$12),'Prepay vs Invest'!$B$10,0)+IF(A247='Prepay vs Invest'!$B$9,'Prepay vs Invest'!$B$8,0),0)</f>
        <v>0</v>
      </c>
      <c r="I247">
        <f>G247*(1+MAX(0,'Prepay vs Invest'!$B$13-'Prepay vs Invest'!$B$14)/1200)+H247</f>
        <v>14454268.848329097</v>
      </c>
      <c r="J247">
        <f t="shared" si="57"/>
        <v>2900000</v>
      </c>
      <c r="K247">
        <f>MAX(0,(I247-J247-'Prepay vs Invest'!$B$16)*'Prepay vs Invest'!$B$15/100)</f>
        <v>1428658.6060411369</v>
      </c>
      <c r="L247">
        <f t="shared" si="50"/>
        <v>13025610.24228796</v>
      </c>
      <c r="M247">
        <f t="shared" si="58"/>
        <v>0</v>
      </c>
      <c r="N247">
        <f>IF(M247&gt;0,M247*'Prepay vs Invest'!$B$6/1200,0)</f>
        <v>0</v>
      </c>
      <c r="O247">
        <f>IF(M247&gt;0,MIN('Prepay vs Invest'!$E$5,M247+N247),0)</f>
        <v>0</v>
      </c>
      <c r="P247">
        <f>MIN(MAX(0,M247+N247-O247),IF(AND(A247&gt;='Prepay vs Invest'!$B$11,A247&lt;='Prepay vs Invest'!$B$12),'Prepay vs Invest'!$B$10,0)+IF(A247='Prepay vs Invest'!$B$9,'Prepay vs Invest'!$B$8,0))</f>
        <v>0</v>
      </c>
      <c r="Q247">
        <f t="shared" si="51"/>
        <v>0</v>
      </c>
      <c r="R247">
        <f t="shared" si="59"/>
        <v>8998238.8993563857</v>
      </c>
      <c r="S247">
        <f>IF(A247&lt;='Prepay vs Invest'!$B$7*12,MAX(0,'Prepay vs Invest'!$E$5+IF(AND(A247&gt;='Prepay vs Invest'!$B$11,A247&lt;='Prepay vs Invest'!$B$12),'Prepay vs Invest'!$B$10,0)+IF(A247='Prepay vs Invest'!$B$9,'Prepay vs Invest'!$B$8,0)-O247-P247),0)</f>
        <v>0</v>
      </c>
      <c r="T247">
        <f>R247*(1+MAX(0,'Prepay vs Invest'!$B$13-'Prepay vs Invest'!$B$14)/1200)+S247</f>
        <v>9084472.0221418831</v>
      </c>
      <c r="U247">
        <f t="shared" si="60"/>
        <v>6133552.3707652809</v>
      </c>
      <c r="V247">
        <f>MAX(0,(T247-U247-'Prepay vs Invest'!$B$16)*'Prepay vs Invest'!$B$15/100)</f>
        <v>353239.95642207528</v>
      </c>
      <c r="W247">
        <f t="shared" si="52"/>
        <v>8731232.0657198075</v>
      </c>
      <c r="X247">
        <f t="shared" si="61"/>
        <v>0</v>
      </c>
      <c r="Y247">
        <f>IF(X247&gt;0,X247*'Prepay vs Invest'!$B$6/1200,0)</f>
        <v>0</v>
      </c>
      <c r="Z247">
        <f>IF(X247&gt;0,MIN(-PMT('Prepay vs Invest'!$B$6/1200,'Prepay vs Invest'!$B$7*12-A247+1,X247),X247+Y247),0)</f>
        <v>0</v>
      </c>
      <c r="AA247">
        <f>MIN(MAX(0,X247+Y247-Z247),IF(AND(A247&gt;='Prepay vs Invest'!$B$11,A247&lt;='Prepay vs Invest'!$B$12),'Prepay vs Invest'!$B$10,0)+IF(A247='Prepay vs Invest'!$B$9,'Prepay vs Invest'!$B$8,0))</f>
        <v>0</v>
      </c>
      <c r="AB247">
        <f t="shared" si="53"/>
        <v>0</v>
      </c>
      <c r="AC247">
        <f t="shared" si="62"/>
        <v>11426066.979439635</v>
      </c>
      <c r="AD247">
        <f>IF(A247&lt;='Prepay vs Invest'!$B$7*12,MAX(0,'Prepay vs Invest'!$E$5+IF(AND(A247&gt;='Prepay vs Invest'!$B$11,A247&lt;='Prepay vs Invest'!$B$12),'Prepay vs Invest'!$B$10,0)+IF(A247='Prepay vs Invest'!$B$9,'Prepay vs Invest'!$B$8,0)-Z247-AA247),0)</f>
        <v>0</v>
      </c>
      <c r="AE247">
        <f>AC247*(1+MAX(0,'Prepay vs Invest'!$B$13-'Prepay vs Invest'!$B$14)/1200)+AD247</f>
        <v>11535566.787992597</v>
      </c>
      <c r="AF247">
        <f t="shared" si="63"/>
        <v>4388572.0206063567</v>
      </c>
      <c r="AG247">
        <f>MAX(0,(AE247-AF247-'Prepay vs Invest'!$B$16)*'Prepay vs Invest'!$B$15/100)</f>
        <v>877749.34592327999</v>
      </c>
      <c r="AH247">
        <f t="shared" si="54"/>
        <v>10657817.442069316</v>
      </c>
    </row>
    <row r="248" spans="1:34" x14ac:dyDescent="0.35">
      <c r="A248">
        <f t="shared" si="55"/>
        <v>247</v>
      </c>
      <c r="B248">
        <f>IF(A248&lt;='Prepay vs Invest'!$B$7*12,F247,0)</f>
        <v>0</v>
      </c>
      <c r="C248">
        <f>IF(B248&gt;0,B248*'Prepay vs Invest'!$B$6/1200,0)</f>
        <v>0</v>
      </c>
      <c r="D248">
        <f>IF(B248&gt;0,MIN(-PMT('Prepay vs Invest'!$B$6/1200,'Prepay vs Invest'!$B$7*12,'Prepay vs Invest'!$B$5),B248+C248),0)</f>
        <v>0</v>
      </c>
      <c r="E248">
        <f t="shared" si="48"/>
        <v>0</v>
      </c>
      <c r="F248">
        <f t="shared" si="49"/>
        <v>0</v>
      </c>
      <c r="G248">
        <f t="shared" si="56"/>
        <v>14454268.848329097</v>
      </c>
      <c r="H248">
        <f>IF(A248&lt;='Prepay vs Invest'!$B$7*12,IF(AND(A248&gt;='Prepay vs Invest'!$B$11,A248&lt;='Prepay vs Invest'!$B$12),'Prepay vs Invest'!$B$10,0)+IF(A248='Prepay vs Invest'!$B$9,'Prepay vs Invest'!$B$8,0),0)</f>
        <v>0</v>
      </c>
      <c r="I248">
        <f>G248*(1+MAX(0,'Prepay vs Invest'!$B$13-'Prepay vs Invest'!$B$14)/1200)+H248</f>
        <v>14592788.924792251</v>
      </c>
      <c r="J248">
        <f t="shared" si="57"/>
        <v>2900000</v>
      </c>
      <c r="K248">
        <f>MAX(0,(I248-J248-'Prepay vs Invest'!$B$16)*'Prepay vs Invest'!$B$15/100)</f>
        <v>1445973.6155990316</v>
      </c>
      <c r="L248">
        <f t="shared" si="50"/>
        <v>13146815.30919322</v>
      </c>
      <c r="M248">
        <f t="shared" si="58"/>
        <v>0</v>
      </c>
      <c r="N248">
        <f>IF(M248&gt;0,M248*'Prepay vs Invest'!$B$6/1200,0)</f>
        <v>0</v>
      </c>
      <c r="O248">
        <f>IF(M248&gt;0,MIN('Prepay vs Invest'!$E$5,M248+N248),0)</f>
        <v>0</v>
      </c>
      <c r="P248">
        <f>MIN(MAX(0,M248+N248-O248),IF(AND(A248&gt;='Prepay vs Invest'!$B$11,A248&lt;='Prepay vs Invest'!$B$12),'Prepay vs Invest'!$B$10,0)+IF(A248='Prepay vs Invest'!$B$9,'Prepay vs Invest'!$B$8,0))</f>
        <v>0</v>
      </c>
      <c r="Q248">
        <f t="shared" si="51"/>
        <v>0</v>
      </c>
      <c r="R248">
        <f t="shared" si="59"/>
        <v>9084472.0221418831</v>
      </c>
      <c r="S248">
        <f>IF(A248&lt;='Prepay vs Invest'!$B$7*12,MAX(0,'Prepay vs Invest'!$E$5+IF(AND(A248&gt;='Prepay vs Invest'!$B$11,A248&lt;='Prepay vs Invest'!$B$12),'Prepay vs Invest'!$B$10,0)+IF(A248='Prepay vs Invest'!$B$9,'Prepay vs Invest'!$B$8,0)-O248-P248),0)</f>
        <v>0</v>
      </c>
      <c r="T248">
        <f>R248*(1+MAX(0,'Prepay vs Invest'!$B$13-'Prepay vs Invest'!$B$14)/1200)+S248</f>
        <v>9171531.5456874091</v>
      </c>
      <c r="U248">
        <f t="shared" si="60"/>
        <v>6133552.3707652809</v>
      </c>
      <c r="V248">
        <f>MAX(0,(T248-U248-'Prepay vs Invest'!$B$16)*'Prepay vs Invest'!$B$15/100)</f>
        <v>364122.39686526603</v>
      </c>
      <c r="W248">
        <f t="shared" si="52"/>
        <v>8807409.1488221437</v>
      </c>
      <c r="X248">
        <f t="shared" si="61"/>
        <v>0</v>
      </c>
      <c r="Y248">
        <f>IF(X248&gt;0,X248*'Prepay vs Invest'!$B$6/1200,0)</f>
        <v>0</v>
      </c>
      <c r="Z248">
        <f>IF(X248&gt;0,MIN(-PMT('Prepay vs Invest'!$B$6/1200,'Prepay vs Invest'!$B$7*12-A248+1,X248),X248+Y248),0)</f>
        <v>0</v>
      </c>
      <c r="AA248">
        <f>MIN(MAX(0,X248+Y248-Z248),IF(AND(A248&gt;='Prepay vs Invest'!$B$11,A248&lt;='Prepay vs Invest'!$B$12),'Prepay vs Invest'!$B$10,0)+IF(A248='Prepay vs Invest'!$B$9,'Prepay vs Invest'!$B$8,0))</f>
        <v>0</v>
      </c>
      <c r="AB248">
        <f t="shared" si="53"/>
        <v>0</v>
      </c>
      <c r="AC248">
        <f t="shared" si="62"/>
        <v>11535566.787992597</v>
      </c>
      <c r="AD248">
        <f>IF(A248&lt;='Prepay vs Invest'!$B$7*12,MAX(0,'Prepay vs Invest'!$E$5+IF(AND(A248&gt;='Prepay vs Invest'!$B$11,A248&lt;='Prepay vs Invest'!$B$12),'Prepay vs Invest'!$B$10,0)+IF(A248='Prepay vs Invest'!$B$9,'Prepay vs Invest'!$B$8,0)-Z248-AA248),0)</f>
        <v>0</v>
      </c>
      <c r="AE248">
        <f>AC248*(1+MAX(0,'Prepay vs Invest'!$B$13-'Prepay vs Invest'!$B$14)/1200)+AD248</f>
        <v>11646115.969710859</v>
      </c>
      <c r="AF248">
        <f t="shared" si="63"/>
        <v>4388572.0206063567</v>
      </c>
      <c r="AG248">
        <f>MAX(0,(AE248-AF248-'Prepay vs Invest'!$B$16)*'Prepay vs Invest'!$B$15/100)</f>
        <v>891567.99363806273</v>
      </c>
      <c r="AH248">
        <f t="shared" si="54"/>
        <v>10754547.976072796</v>
      </c>
    </row>
    <row r="249" spans="1:34" x14ac:dyDescent="0.35">
      <c r="A249">
        <f t="shared" si="55"/>
        <v>248</v>
      </c>
      <c r="B249">
        <f>IF(A249&lt;='Prepay vs Invest'!$B$7*12,F248,0)</f>
        <v>0</v>
      </c>
      <c r="C249">
        <f>IF(B249&gt;0,B249*'Prepay vs Invest'!$B$6/1200,0)</f>
        <v>0</v>
      </c>
      <c r="D249">
        <f>IF(B249&gt;0,MIN(-PMT('Prepay vs Invest'!$B$6/1200,'Prepay vs Invest'!$B$7*12,'Prepay vs Invest'!$B$5),B249+C249),0)</f>
        <v>0</v>
      </c>
      <c r="E249">
        <f t="shared" si="48"/>
        <v>0</v>
      </c>
      <c r="F249">
        <f t="shared" si="49"/>
        <v>0</v>
      </c>
      <c r="G249">
        <f t="shared" si="56"/>
        <v>14592788.924792251</v>
      </c>
      <c r="H249">
        <f>IF(A249&lt;='Prepay vs Invest'!$B$7*12,IF(AND(A249&gt;='Prepay vs Invest'!$B$11,A249&lt;='Prepay vs Invest'!$B$12),'Prepay vs Invest'!$B$10,0)+IF(A249='Prepay vs Invest'!$B$9,'Prepay vs Invest'!$B$8,0),0)</f>
        <v>0</v>
      </c>
      <c r="I249">
        <f>G249*(1+MAX(0,'Prepay vs Invest'!$B$13-'Prepay vs Invest'!$B$14)/1200)+H249</f>
        <v>14732636.485321509</v>
      </c>
      <c r="J249">
        <f t="shared" si="57"/>
        <v>2900000</v>
      </c>
      <c r="K249">
        <f>MAX(0,(I249-J249-'Prepay vs Invest'!$B$16)*'Prepay vs Invest'!$B$15/100)</f>
        <v>1463454.5606651888</v>
      </c>
      <c r="L249">
        <f t="shared" si="50"/>
        <v>13269181.92465632</v>
      </c>
      <c r="M249">
        <f t="shared" si="58"/>
        <v>0</v>
      </c>
      <c r="N249">
        <f>IF(M249&gt;0,M249*'Prepay vs Invest'!$B$6/1200,0)</f>
        <v>0</v>
      </c>
      <c r="O249">
        <f>IF(M249&gt;0,MIN('Prepay vs Invest'!$E$5,M249+N249),0)</f>
        <v>0</v>
      </c>
      <c r="P249">
        <f>MIN(MAX(0,M249+N249-O249),IF(AND(A249&gt;='Prepay vs Invest'!$B$11,A249&lt;='Prepay vs Invest'!$B$12),'Prepay vs Invest'!$B$10,0)+IF(A249='Prepay vs Invest'!$B$9,'Prepay vs Invest'!$B$8,0))</f>
        <v>0</v>
      </c>
      <c r="Q249">
        <f t="shared" si="51"/>
        <v>0</v>
      </c>
      <c r="R249">
        <f t="shared" si="59"/>
        <v>9171531.5456874091</v>
      </c>
      <c r="S249">
        <f>IF(A249&lt;='Prepay vs Invest'!$B$7*12,MAX(0,'Prepay vs Invest'!$E$5+IF(AND(A249&gt;='Prepay vs Invest'!$B$11,A249&lt;='Prepay vs Invest'!$B$12),'Prepay vs Invest'!$B$10,0)+IF(A249='Prepay vs Invest'!$B$9,'Prepay vs Invest'!$B$8,0)-O249-P249),0)</f>
        <v>0</v>
      </c>
      <c r="T249">
        <f>R249*(1+MAX(0,'Prepay vs Invest'!$B$13-'Prepay vs Invest'!$B$14)/1200)+S249</f>
        <v>9259425.3896669131</v>
      </c>
      <c r="U249">
        <f t="shared" si="60"/>
        <v>6133552.3707652809</v>
      </c>
      <c r="V249">
        <f>MAX(0,(T249-U249-'Prepay vs Invest'!$B$16)*'Prepay vs Invest'!$B$15/100)</f>
        <v>375109.12736270408</v>
      </c>
      <c r="W249">
        <f t="shared" si="52"/>
        <v>8884316.2623042092</v>
      </c>
      <c r="X249">
        <f t="shared" si="61"/>
        <v>0</v>
      </c>
      <c r="Y249">
        <f>IF(X249&gt;0,X249*'Prepay vs Invest'!$B$6/1200,0)</f>
        <v>0</v>
      </c>
      <c r="Z249">
        <f>IF(X249&gt;0,MIN(-PMT('Prepay vs Invest'!$B$6/1200,'Prepay vs Invest'!$B$7*12-A249+1,X249),X249+Y249),0)</f>
        <v>0</v>
      </c>
      <c r="AA249">
        <f>MIN(MAX(0,X249+Y249-Z249),IF(AND(A249&gt;='Prepay vs Invest'!$B$11,A249&lt;='Prepay vs Invest'!$B$12),'Prepay vs Invest'!$B$10,0)+IF(A249='Prepay vs Invest'!$B$9,'Prepay vs Invest'!$B$8,0))</f>
        <v>0</v>
      </c>
      <c r="AB249">
        <f t="shared" si="53"/>
        <v>0</v>
      </c>
      <c r="AC249">
        <f t="shared" si="62"/>
        <v>11646115.969710859</v>
      </c>
      <c r="AD249">
        <f>IF(A249&lt;='Prepay vs Invest'!$B$7*12,MAX(0,'Prepay vs Invest'!$E$5+IF(AND(A249&gt;='Prepay vs Invest'!$B$11,A249&lt;='Prepay vs Invest'!$B$12),'Prepay vs Invest'!$B$10,0)+IF(A249='Prepay vs Invest'!$B$9,'Prepay vs Invest'!$B$8,0)-Z249-AA249),0)</f>
        <v>0</v>
      </c>
      <c r="AE249">
        <f>AC249*(1+MAX(0,'Prepay vs Invest'!$B$13-'Prepay vs Invest'!$B$14)/1200)+AD249</f>
        <v>11757724.581087254</v>
      </c>
      <c r="AF249">
        <f t="shared" si="63"/>
        <v>4388572.0206063567</v>
      </c>
      <c r="AG249">
        <f>MAX(0,(AE249-AF249-'Prepay vs Invest'!$B$16)*'Prepay vs Invest'!$B$15/100)</f>
        <v>905519.07006011216</v>
      </c>
      <c r="AH249">
        <f t="shared" si="54"/>
        <v>10852205.511027142</v>
      </c>
    </row>
    <row r="250" spans="1:34" x14ac:dyDescent="0.35">
      <c r="A250">
        <f t="shared" si="55"/>
        <v>249</v>
      </c>
      <c r="B250">
        <f>IF(A250&lt;='Prepay vs Invest'!$B$7*12,F249,0)</f>
        <v>0</v>
      </c>
      <c r="C250">
        <f>IF(B250&gt;0,B250*'Prepay vs Invest'!$B$6/1200,0)</f>
        <v>0</v>
      </c>
      <c r="D250">
        <f>IF(B250&gt;0,MIN(-PMT('Prepay vs Invest'!$B$6/1200,'Prepay vs Invest'!$B$7*12,'Prepay vs Invest'!$B$5),B250+C250),0)</f>
        <v>0</v>
      </c>
      <c r="E250">
        <f t="shared" si="48"/>
        <v>0</v>
      </c>
      <c r="F250">
        <f t="shared" si="49"/>
        <v>0</v>
      </c>
      <c r="G250">
        <f t="shared" si="56"/>
        <v>14732636.485321509</v>
      </c>
      <c r="H250">
        <f>IF(A250&lt;='Prepay vs Invest'!$B$7*12,IF(AND(A250&gt;='Prepay vs Invest'!$B$11,A250&lt;='Prepay vs Invest'!$B$12),'Prepay vs Invest'!$B$10,0)+IF(A250='Prepay vs Invest'!$B$9,'Prepay vs Invest'!$B$8,0),0)</f>
        <v>0</v>
      </c>
      <c r="I250">
        <f>G250*(1+MAX(0,'Prepay vs Invest'!$B$13-'Prepay vs Invest'!$B$14)/1200)+H250</f>
        <v>14873824.251639172</v>
      </c>
      <c r="J250">
        <f t="shared" si="57"/>
        <v>2900000</v>
      </c>
      <c r="K250">
        <f>MAX(0,(I250-J250-'Prepay vs Invest'!$B$16)*'Prepay vs Invest'!$B$15/100)</f>
        <v>1481103.0314548966</v>
      </c>
      <c r="L250">
        <f t="shared" si="50"/>
        <v>13392721.220184276</v>
      </c>
      <c r="M250">
        <f t="shared" si="58"/>
        <v>0</v>
      </c>
      <c r="N250">
        <f>IF(M250&gt;0,M250*'Prepay vs Invest'!$B$6/1200,0)</f>
        <v>0</v>
      </c>
      <c r="O250">
        <f>IF(M250&gt;0,MIN('Prepay vs Invest'!$E$5,M250+N250),0)</f>
        <v>0</v>
      </c>
      <c r="P250">
        <f>MIN(MAX(0,M250+N250-O250),IF(AND(A250&gt;='Prepay vs Invest'!$B$11,A250&lt;='Prepay vs Invest'!$B$12),'Prepay vs Invest'!$B$10,0)+IF(A250='Prepay vs Invest'!$B$9,'Prepay vs Invest'!$B$8,0))</f>
        <v>0</v>
      </c>
      <c r="Q250">
        <f t="shared" si="51"/>
        <v>0</v>
      </c>
      <c r="R250">
        <f t="shared" si="59"/>
        <v>9259425.3896669131</v>
      </c>
      <c r="S250">
        <f>IF(A250&lt;='Prepay vs Invest'!$B$7*12,MAX(0,'Prepay vs Invest'!$E$5+IF(AND(A250&gt;='Prepay vs Invest'!$B$11,A250&lt;='Prepay vs Invest'!$B$12),'Prepay vs Invest'!$B$10,0)+IF(A250='Prepay vs Invest'!$B$9,'Prepay vs Invest'!$B$8,0)-O250-P250),0)</f>
        <v>0</v>
      </c>
      <c r="T250">
        <f>R250*(1+MAX(0,'Prepay vs Invest'!$B$13-'Prepay vs Invest'!$B$14)/1200)+S250</f>
        <v>9348161.5496512204</v>
      </c>
      <c r="U250">
        <f t="shared" si="60"/>
        <v>6133552.3707652809</v>
      </c>
      <c r="V250">
        <f>MAX(0,(T250-U250-'Prepay vs Invest'!$B$16)*'Prepay vs Invest'!$B$15/100)</f>
        <v>386201.14736074244</v>
      </c>
      <c r="W250">
        <f t="shared" si="52"/>
        <v>8961960.4022904783</v>
      </c>
      <c r="X250">
        <f t="shared" si="61"/>
        <v>0</v>
      </c>
      <c r="Y250">
        <f>IF(X250&gt;0,X250*'Prepay vs Invest'!$B$6/1200,0)</f>
        <v>0</v>
      </c>
      <c r="Z250">
        <f>IF(X250&gt;0,MIN(-PMT('Prepay vs Invest'!$B$6/1200,'Prepay vs Invest'!$B$7*12-A250+1,X250),X250+Y250),0)</f>
        <v>0</v>
      </c>
      <c r="AA250">
        <f>MIN(MAX(0,X250+Y250-Z250),IF(AND(A250&gt;='Prepay vs Invest'!$B$11,A250&lt;='Prepay vs Invest'!$B$12),'Prepay vs Invest'!$B$10,0)+IF(A250='Prepay vs Invest'!$B$9,'Prepay vs Invest'!$B$8,0))</f>
        <v>0</v>
      </c>
      <c r="AB250">
        <f t="shared" si="53"/>
        <v>0</v>
      </c>
      <c r="AC250">
        <f t="shared" si="62"/>
        <v>11757724.581087254</v>
      </c>
      <c r="AD250">
        <f>IF(A250&lt;='Prepay vs Invest'!$B$7*12,MAX(0,'Prepay vs Invest'!$E$5+IF(AND(A250&gt;='Prepay vs Invest'!$B$11,A250&lt;='Prepay vs Invest'!$B$12),'Prepay vs Invest'!$B$10,0)+IF(A250='Prepay vs Invest'!$B$9,'Prepay vs Invest'!$B$8,0)-Z250-AA250),0)</f>
        <v>0</v>
      </c>
      <c r="AE250">
        <f>AC250*(1+MAX(0,'Prepay vs Invest'!$B$13-'Prepay vs Invest'!$B$14)/1200)+AD250</f>
        <v>11870402.774989339</v>
      </c>
      <c r="AF250">
        <f t="shared" si="63"/>
        <v>4388572.0206063567</v>
      </c>
      <c r="AG250">
        <f>MAX(0,(AE250-AF250-'Prepay vs Invest'!$B$16)*'Prepay vs Invest'!$B$15/100)</f>
        <v>919603.84429787274</v>
      </c>
      <c r="AH250">
        <f t="shared" si="54"/>
        <v>10950798.930691466</v>
      </c>
    </row>
    <row r="251" spans="1:34" x14ac:dyDescent="0.35">
      <c r="A251">
        <f t="shared" si="55"/>
        <v>250</v>
      </c>
      <c r="B251">
        <f>IF(A251&lt;='Prepay vs Invest'!$B$7*12,F250,0)</f>
        <v>0</v>
      </c>
      <c r="C251">
        <f>IF(B251&gt;0,B251*'Prepay vs Invest'!$B$6/1200,0)</f>
        <v>0</v>
      </c>
      <c r="D251">
        <f>IF(B251&gt;0,MIN(-PMT('Prepay vs Invest'!$B$6/1200,'Prepay vs Invest'!$B$7*12,'Prepay vs Invest'!$B$5),B251+C251),0)</f>
        <v>0</v>
      </c>
      <c r="E251">
        <f t="shared" si="48"/>
        <v>0</v>
      </c>
      <c r="F251">
        <f t="shared" si="49"/>
        <v>0</v>
      </c>
      <c r="G251">
        <f t="shared" si="56"/>
        <v>14873824.251639172</v>
      </c>
      <c r="H251">
        <f>IF(A251&lt;='Prepay vs Invest'!$B$7*12,IF(AND(A251&gt;='Prepay vs Invest'!$B$11,A251&lt;='Prepay vs Invest'!$B$12),'Prepay vs Invest'!$B$10,0)+IF(A251='Prepay vs Invest'!$B$9,'Prepay vs Invest'!$B$8,0),0)</f>
        <v>0</v>
      </c>
      <c r="I251">
        <f>G251*(1+MAX(0,'Prepay vs Invest'!$B$13-'Prepay vs Invest'!$B$14)/1200)+H251</f>
        <v>15016365.067384047</v>
      </c>
      <c r="J251">
        <f t="shared" si="57"/>
        <v>2900000</v>
      </c>
      <c r="K251">
        <f>MAX(0,(I251-J251-'Prepay vs Invest'!$B$16)*'Prepay vs Invest'!$B$15/100)</f>
        <v>1498920.6334230059</v>
      </c>
      <c r="L251">
        <f t="shared" si="50"/>
        <v>13517444.433961041</v>
      </c>
      <c r="M251">
        <f t="shared" si="58"/>
        <v>0</v>
      </c>
      <c r="N251">
        <f>IF(M251&gt;0,M251*'Prepay vs Invest'!$B$6/1200,0)</f>
        <v>0</v>
      </c>
      <c r="O251">
        <f>IF(M251&gt;0,MIN('Prepay vs Invest'!$E$5,M251+N251),0)</f>
        <v>0</v>
      </c>
      <c r="P251">
        <f>MIN(MAX(0,M251+N251-O251),IF(AND(A251&gt;='Prepay vs Invest'!$B$11,A251&lt;='Prepay vs Invest'!$B$12),'Prepay vs Invest'!$B$10,0)+IF(A251='Prepay vs Invest'!$B$9,'Prepay vs Invest'!$B$8,0))</f>
        <v>0</v>
      </c>
      <c r="Q251">
        <f t="shared" si="51"/>
        <v>0</v>
      </c>
      <c r="R251">
        <f t="shared" si="59"/>
        <v>9348161.5496512204</v>
      </c>
      <c r="S251">
        <f>IF(A251&lt;='Prepay vs Invest'!$B$7*12,MAX(0,'Prepay vs Invest'!$E$5+IF(AND(A251&gt;='Prepay vs Invest'!$B$11,A251&lt;='Prepay vs Invest'!$B$12),'Prepay vs Invest'!$B$10,0)+IF(A251='Prepay vs Invest'!$B$9,'Prepay vs Invest'!$B$8,0)-O251-P251),0)</f>
        <v>0</v>
      </c>
      <c r="T251">
        <f>R251*(1+MAX(0,'Prepay vs Invest'!$B$13-'Prepay vs Invest'!$B$14)/1200)+S251</f>
        <v>9437748.0978353769</v>
      </c>
      <c r="U251">
        <f t="shared" si="60"/>
        <v>6133552.3707652809</v>
      </c>
      <c r="V251">
        <f>MAX(0,(T251-U251-'Prepay vs Invest'!$B$16)*'Prepay vs Invest'!$B$15/100)</f>
        <v>397399.46588376199</v>
      </c>
      <c r="W251">
        <f t="shared" si="52"/>
        <v>9040348.6319516152</v>
      </c>
      <c r="X251">
        <f t="shared" si="61"/>
        <v>0</v>
      </c>
      <c r="Y251">
        <f>IF(X251&gt;0,X251*'Prepay vs Invest'!$B$6/1200,0)</f>
        <v>0</v>
      </c>
      <c r="Z251">
        <f>IF(X251&gt;0,MIN(-PMT('Prepay vs Invest'!$B$6/1200,'Prepay vs Invest'!$B$7*12-A251+1,X251),X251+Y251),0)</f>
        <v>0</v>
      </c>
      <c r="AA251">
        <f>MIN(MAX(0,X251+Y251-Z251),IF(AND(A251&gt;='Prepay vs Invest'!$B$11,A251&lt;='Prepay vs Invest'!$B$12),'Prepay vs Invest'!$B$10,0)+IF(A251='Prepay vs Invest'!$B$9,'Prepay vs Invest'!$B$8,0))</f>
        <v>0</v>
      </c>
      <c r="AB251">
        <f t="shared" si="53"/>
        <v>0</v>
      </c>
      <c r="AC251">
        <f t="shared" si="62"/>
        <v>11870402.774989339</v>
      </c>
      <c r="AD251">
        <f>IF(A251&lt;='Prepay vs Invest'!$B$7*12,MAX(0,'Prepay vs Invest'!$E$5+IF(AND(A251&gt;='Prepay vs Invest'!$B$11,A251&lt;='Prepay vs Invest'!$B$12),'Prepay vs Invest'!$B$10,0)+IF(A251='Prepay vs Invest'!$B$9,'Prepay vs Invest'!$B$8,0)-Z251-AA251),0)</f>
        <v>0</v>
      </c>
      <c r="AE251">
        <f>AC251*(1+MAX(0,'Prepay vs Invest'!$B$13-'Prepay vs Invest'!$B$14)/1200)+AD251</f>
        <v>11984160.801582986</v>
      </c>
      <c r="AF251">
        <f t="shared" si="63"/>
        <v>4388572.0206063567</v>
      </c>
      <c r="AG251">
        <f>MAX(0,(AE251-AF251-'Prepay vs Invest'!$B$16)*'Prepay vs Invest'!$B$15/100)</f>
        <v>933823.59762207861</v>
      </c>
      <c r="AH251">
        <f t="shared" si="54"/>
        <v>11050337.203960909</v>
      </c>
    </row>
    <row r="252" spans="1:34" x14ac:dyDescent="0.35">
      <c r="A252">
        <f t="shared" si="55"/>
        <v>251</v>
      </c>
      <c r="B252">
        <f>IF(A252&lt;='Prepay vs Invest'!$B$7*12,F251,0)</f>
        <v>0</v>
      </c>
      <c r="C252">
        <f>IF(B252&gt;0,B252*'Prepay vs Invest'!$B$6/1200,0)</f>
        <v>0</v>
      </c>
      <c r="D252">
        <f>IF(B252&gt;0,MIN(-PMT('Prepay vs Invest'!$B$6/1200,'Prepay vs Invest'!$B$7*12,'Prepay vs Invest'!$B$5),B252+C252),0)</f>
        <v>0</v>
      </c>
      <c r="E252">
        <f t="shared" si="48"/>
        <v>0</v>
      </c>
      <c r="F252">
        <f t="shared" si="49"/>
        <v>0</v>
      </c>
      <c r="G252">
        <f t="shared" si="56"/>
        <v>15016365.067384047</v>
      </c>
      <c r="H252">
        <f>IF(A252&lt;='Prepay vs Invest'!$B$7*12,IF(AND(A252&gt;='Prepay vs Invest'!$B$11,A252&lt;='Prepay vs Invest'!$B$12),'Prepay vs Invest'!$B$10,0)+IF(A252='Prepay vs Invest'!$B$9,'Prepay vs Invest'!$B$8,0),0)</f>
        <v>0</v>
      </c>
      <c r="I252">
        <f>G252*(1+MAX(0,'Prepay vs Invest'!$B$13-'Prepay vs Invest'!$B$14)/1200)+H252</f>
        <v>15160271.89927981</v>
      </c>
      <c r="J252">
        <f t="shared" si="57"/>
        <v>2900000</v>
      </c>
      <c r="K252">
        <f>MAX(0,(I252-J252-'Prepay vs Invest'!$B$16)*'Prepay vs Invest'!$B$15/100)</f>
        <v>1516908.9874099763</v>
      </c>
      <c r="L252">
        <f t="shared" si="50"/>
        <v>13643362.911869835</v>
      </c>
      <c r="M252">
        <f t="shared" si="58"/>
        <v>0</v>
      </c>
      <c r="N252">
        <f>IF(M252&gt;0,M252*'Prepay vs Invest'!$B$6/1200,0)</f>
        <v>0</v>
      </c>
      <c r="O252">
        <f>IF(M252&gt;0,MIN('Prepay vs Invest'!$E$5,M252+N252),0)</f>
        <v>0</v>
      </c>
      <c r="P252">
        <f>MIN(MAX(0,M252+N252-O252),IF(AND(A252&gt;='Prepay vs Invest'!$B$11,A252&lt;='Prepay vs Invest'!$B$12),'Prepay vs Invest'!$B$10,0)+IF(A252='Prepay vs Invest'!$B$9,'Prepay vs Invest'!$B$8,0))</f>
        <v>0</v>
      </c>
      <c r="Q252">
        <f t="shared" si="51"/>
        <v>0</v>
      </c>
      <c r="R252">
        <f t="shared" si="59"/>
        <v>9437748.0978353769</v>
      </c>
      <c r="S252">
        <f>IF(A252&lt;='Prepay vs Invest'!$B$7*12,MAX(0,'Prepay vs Invest'!$E$5+IF(AND(A252&gt;='Prepay vs Invest'!$B$11,A252&lt;='Prepay vs Invest'!$B$12),'Prepay vs Invest'!$B$10,0)+IF(A252='Prepay vs Invest'!$B$9,'Prepay vs Invest'!$B$8,0)-O252-P252),0)</f>
        <v>0</v>
      </c>
      <c r="T252">
        <f>R252*(1+MAX(0,'Prepay vs Invest'!$B$13-'Prepay vs Invest'!$B$14)/1200)+S252</f>
        <v>9528193.1837729663</v>
      </c>
      <c r="U252">
        <f t="shared" si="60"/>
        <v>6133552.3707652809</v>
      </c>
      <c r="V252">
        <f>MAX(0,(T252-U252-'Prepay vs Invest'!$B$16)*'Prepay vs Invest'!$B$15/100)</f>
        <v>408705.10162596067</v>
      </c>
      <c r="W252">
        <f t="shared" si="52"/>
        <v>9119488.0821470059</v>
      </c>
      <c r="X252">
        <f t="shared" si="61"/>
        <v>0</v>
      </c>
      <c r="Y252">
        <f>IF(X252&gt;0,X252*'Prepay vs Invest'!$B$6/1200,0)</f>
        <v>0</v>
      </c>
      <c r="Z252">
        <f>IF(X252&gt;0,MIN(-PMT('Prepay vs Invest'!$B$6/1200,'Prepay vs Invest'!$B$7*12-A252+1,X252),X252+Y252),0)</f>
        <v>0</v>
      </c>
      <c r="AA252">
        <f>MIN(MAX(0,X252+Y252-Z252),IF(AND(A252&gt;='Prepay vs Invest'!$B$11,A252&lt;='Prepay vs Invest'!$B$12),'Prepay vs Invest'!$B$10,0)+IF(A252='Prepay vs Invest'!$B$9,'Prepay vs Invest'!$B$8,0))</f>
        <v>0</v>
      </c>
      <c r="AB252">
        <f t="shared" si="53"/>
        <v>0</v>
      </c>
      <c r="AC252">
        <f t="shared" si="62"/>
        <v>11984160.801582986</v>
      </c>
      <c r="AD252">
        <f>IF(A252&lt;='Prepay vs Invest'!$B$7*12,MAX(0,'Prepay vs Invest'!$E$5+IF(AND(A252&gt;='Prepay vs Invest'!$B$11,A252&lt;='Prepay vs Invest'!$B$12),'Prepay vs Invest'!$B$10,0)+IF(A252='Prepay vs Invest'!$B$9,'Prepay vs Invest'!$B$8,0)-Z252-AA252),0)</f>
        <v>0</v>
      </c>
      <c r="AE252">
        <f>AC252*(1+MAX(0,'Prepay vs Invest'!$B$13-'Prepay vs Invest'!$B$14)/1200)+AD252</f>
        <v>12099009.009264823</v>
      </c>
      <c r="AF252">
        <f t="shared" si="63"/>
        <v>4388572.0206063567</v>
      </c>
      <c r="AG252">
        <f>MAX(0,(AE252-AF252-'Prepay vs Invest'!$B$16)*'Prepay vs Invest'!$B$15/100)</f>
        <v>948179.6235823083</v>
      </c>
      <c r="AH252">
        <f t="shared" si="54"/>
        <v>11150829.385682514</v>
      </c>
    </row>
    <row r="253" spans="1:34" x14ac:dyDescent="0.35">
      <c r="A253">
        <f t="shared" si="55"/>
        <v>252</v>
      </c>
      <c r="B253">
        <f>IF(A253&lt;='Prepay vs Invest'!$B$7*12,F252,0)</f>
        <v>0</v>
      </c>
      <c r="C253">
        <f>IF(B253&gt;0,B253*'Prepay vs Invest'!$B$6/1200,0)</f>
        <v>0</v>
      </c>
      <c r="D253">
        <f>IF(B253&gt;0,MIN(-PMT('Prepay vs Invest'!$B$6/1200,'Prepay vs Invest'!$B$7*12,'Prepay vs Invest'!$B$5),B253+C253),0)</f>
        <v>0</v>
      </c>
      <c r="E253">
        <f t="shared" si="48"/>
        <v>0</v>
      </c>
      <c r="F253">
        <f t="shared" si="49"/>
        <v>0</v>
      </c>
      <c r="G253">
        <f t="shared" si="56"/>
        <v>15160271.89927981</v>
      </c>
      <c r="H253">
        <f>IF(A253&lt;='Prepay vs Invest'!$B$7*12,IF(AND(A253&gt;='Prepay vs Invest'!$B$11,A253&lt;='Prepay vs Invest'!$B$12),'Prepay vs Invest'!$B$10,0)+IF(A253='Prepay vs Invest'!$B$9,'Prepay vs Invest'!$B$8,0),0)</f>
        <v>0</v>
      </c>
      <c r="I253">
        <f>G253*(1+MAX(0,'Prepay vs Invest'!$B$13-'Prepay vs Invest'!$B$14)/1200)+H253</f>
        <v>15305557.838314574</v>
      </c>
      <c r="J253">
        <f t="shared" si="57"/>
        <v>2900000</v>
      </c>
      <c r="K253">
        <f>MAX(0,(I253-J253-'Prepay vs Invest'!$B$16)*'Prepay vs Invest'!$B$15/100)</f>
        <v>1535069.7297893218</v>
      </c>
      <c r="L253">
        <f t="shared" si="50"/>
        <v>13770488.108525252</v>
      </c>
      <c r="M253">
        <f t="shared" si="58"/>
        <v>0</v>
      </c>
      <c r="N253">
        <f>IF(M253&gt;0,M253*'Prepay vs Invest'!$B$6/1200,0)</f>
        <v>0</v>
      </c>
      <c r="O253">
        <f>IF(M253&gt;0,MIN('Prepay vs Invest'!$E$5,M253+N253),0)</f>
        <v>0</v>
      </c>
      <c r="P253">
        <f>MIN(MAX(0,M253+N253-O253),IF(AND(A253&gt;='Prepay vs Invest'!$B$11,A253&lt;='Prepay vs Invest'!$B$12),'Prepay vs Invest'!$B$10,0)+IF(A253='Prepay vs Invest'!$B$9,'Prepay vs Invest'!$B$8,0))</f>
        <v>0</v>
      </c>
      <c r="Q253">
        <f t="shared" si="51"/>
        <v>0</v>
      </c>
      <c r="R253">
        <f t="shared" si="59"/>
        <v>9528193.1837729663</v>
      </c>
      <c r="S253">
        <f>IF(A253&lt;='Prepay vs Invest'!$B$7*12,MAX(0,'Prepay vs Invest'!$E$5+IF(AND(A253&gt;='Prepay vs Invest'!$B$11,A253&lt;='Prepay vs Invest'!$B$12),'Prepay vs Invest'!$B$10,0)+IF(A253='Prepay vs Invest'!$B$9,'Prepay vs Invest'!$B$8,0)-O253-P253),0)</f>
        <v>0</v>
      </c>
      <c r="T253">
        <f>R253*(1+MAX(0,'Prepay vs Invest'!$B$13-'Prepay vs Invest'!$B$14)/1200)+S253</f>
        <v>9619505.0351174567</v>
      </c>
      <c r="U253">
        <f t="shared" si="60"/>
        <v>6133552.3707652809</v>
      </c>
      <c r="V253">
        <f>MAX(0,(T253-U253-'Prepay vs Invest'!$B$16)*'Prepay vs Invest'!$B$15/100)</f>
        <v>420119.08304402197</v>
      </c>
      <c r="W253">
        <f t="shared" si="52"/>
        <v>9199385.9520734344</v>
      </c>
      <c r="X253">
        <f t="shared" si="61"/>
        <v>0</v>
      </c>
      <c r="Y253">
        <f>IF(X253&gt;0,X253*'Prepay vs Invest'!$B$6/1200,0)</f>
        <v>0</v>
      </c>
      <c r="Z253">
        <f>IF(X253&gt;0,MIN(-PMT('Prepay vs Invest'!$B$6/1200,'Prepay vs Invest'!$B$7*12-A253+1,X253),X253+Y253),0)</f>
        <v>0</v>
      </c>
      <c r="AA253">
        <f>MIN(MAX(0,X253+Y253-Z253),IF(AND(A253&gt;='Prepay vs Invest'!$B$11,A253&lt;='Prepay vs Invest'!$B$12),'Prepay vs Invest'!$B$10,0)+IF(A253='Prepay vs Invest'!$B$9,'Prepay vs Invest'!$B$8,0))</f>
        <v>0</v>
      </c>
      <c r="AB253">
        <f t="shared" si="53"/>
        <v>0</v>
      </c>
      <c r="AC253">
        <f t="shared" si="62"/>
        <v>12099009.009264823</v>
      </c>
      <c r="AD253">
        <f>IF(A253&lt;='Prepay vs Invest'!$B$7*12,MAX(0,'Prepay vs Invest'!$E$5+IF(AND(A253&gt;='Prepay vs Invest'!$B$11,A253&lt;='Prepay vs Invest'!$B$12),'Prepay vs Invest'!$B$10,0)+IF(A253='Prepay vs Invest'!$B$9,'Prepay vs Invest'!$B$8,0)-Z253-AA253),0)</f>
        <v>0</v>
      </c>
      <c r="AE253">
        <f>AC253*(1+MAX(0,'Prepay vs Invest'!$B$13-'Prepay vs Invest'!$B$14)/1200)+AD253</f>
        <v>12214957.845603609</v>
      </c>
      <c r="AF253">
        <f t="shared" si="63"/>
        <v>4388572.0206063567</v>
      </c>
      <c r="AG253">
        <f>MAX(0,(AE253-AF253-'Prepay vs Invest'!$B$16)*'Prepay vs Invest'!$B$15/100)</f>
        <v>962673.22812465648</v>
      </c>
      <c r="AH253">
        <f t="shared" si="54"/>
        <v>11252284.617478954</v>
      </c>
    </row>
    <row r="254" spans="1:34" x14ac:dyDescent="0.35">
      <c r="A254">
        <f t="shared" si="55"/>
        <v>253</v>
      </c>
      <c r="B254">
        <f>IF(A254&lt;='Prepay vs Invest'!$B$7*12,F253,0)</f>
        <v>0</v>
      </c>
      <c r="C254">
        <f>IF(B254&gt;0,B254*'Prepay vs Invest'!$B$6/1200,0)</f>
        <v>0</v>
      </c>
      <c r="D254">
        <f>IF(B254&gt;0,MIN(-PMT('Prepay vs Invest'!$B$6/1200,'Prepay vs Invest'!$B$7*12,'Prepay vs Invest'!$B$5),B254+C254),0)</f>
        <v>0</v>
      </c>
      <c r="E254">
        <f t="shared" si="48"/>
        <v>0</v>
      </c>
      <c r="F254">
        <f t="shared" si="49"/>
        <v>0</v>
      </c>
      <c r="G254">
        <f t="shared" si="56"/>
        <v>15305557.838314574</v>
      </c>
      <c r="H254">
        <f>IF(A254&lt;='Prepay vs Invest'!$B$7*12,IF(AND(A254&gt;='Prepay vs Invest'!$B$11,A254&lt;='Prepay vs Invest'!$B$12),'Prepay vs Invest'!$B$10,0)+IF(A254='Prepay vs Invest'!$B$9,'Prepay vs Invest'!$B$8,0),0)</f>
        <v>0</v>
      </c>
      <c r="I254">
        <f>G254*(1+MAX(0,'Prepay vs Invest'!$B$13-'Prepay vs Invest'!$B$14)/1200)+H254</f>
        <v>15452236.100931754</v>
      </c>
      <c r="J254">
        <f t="shared" si="57"/>
        <v>2900000</v>
      </c>
      <c r="K254">
        <f>MAX(0,(I254-J254-'Prepay vs Invest'!$B$16)*'Prepay vs Invest'!$B$15/100)</f>
        <v>1553404.5126164693</v>
      </c>
      <c r="L254">
        <f t="shared" si="50"/>
        <v>13898831.588315286</v>
      </c>
      <c r="M254">
        <f t="shared" si="58"/>
        <v>0</v>
      </c>
      <c r="N254">
        <f>IF(M254&gt;0,M254*'Prepay vs Invest'!$B$6/1200,0)</f>
        <v>0</v>
      </c>
      <c r="O254">
        <f>IF(M254&gt;0,MIN('Prepay vs Invest'!$E$5,M254+N254),0)</f>
        <v>0</v>
      </c>
      <c r="P254">
        <f>MIN(MAX(0,M254+N254-O254),IF(AND(A254&gt;='Prepay vs Invest'!$B$11,A254&lt;='Prepay vs Invest'!$B$12),'Prepay vs Invest'!$B$10,0)+IF(A254='Prepay vs Invest'!$B$9,'Prepay vs Invest'!$B$8,0))</f>
        <v>0</v>
      </c>
      <c r="Q254">
        <f t="shared" si="51"/>
        <v>0</v>
      </c>
      <c r="R254">
        <f t="shared" si="59"/>
        <v>9619505.0351174567</v>
      </c>
      <c r="S254">
        <f>IF(A254&lt;='Prepay vs Invest'!$B$7*12,MAX(0,'Prepay vs Invest'!$E$5+IF(AND(A254&gt;='Prepay vs Invest'!$B$11,A254&lt;='Prepay vs Invest'!$B$12),'Prepay vs Invest'!$B$10,0)+IF(A254='Prepay vs Invest'!$B$9,'Prepay vs Invest'!$B$8,0)-O254-P254),0)</f>
        <v>0</v>
      </c>
      <c r="T254">
        <f>R254*(1+MAX(0,'Prepay vs Invest'!$B$13-'Prepay vs Invest'!$B$14)/1200)+S254</f>
        <v>9711691.9583706651</v>
      </c>
      <c r="U254">
        <f t="shared" si="60"/>
        <v>6133552.3707652809</v>
      </c>
      <c r="V254">
        <f>MAX(0,(T254-U254-'Prepay vs Invest'!$B$16)*'Prepay vs Invest'!$B$15/100)</f>
        <v>431642.44845067302</v>
      </c>
      <c r="W254">
        <f t="shared" si="52"/>
        <v>9280049.5099199917</v>
      </c>
      <c r="X254">
        <f t="shared" si="61"/>
        <v>0</v>
      </c>
      <c r="Y254">
        <f>IF(X254&gt;0,X254*'Prepay vs Invest'!$B$6/1200,0)</f>
        <v>0</v>
      </c>
      <c r="Z254">
        <f>IF(X254&gt;0,MIN(-PMT('Prepay vs Invest'!$B$6/1200,'Prepay vs Invest'!$B$7*12-A254+1,X254),X254+Y254),0)</f>
        <v>0</v>
      </c>
      <c r="AA254">
        <f>MIN(MAX(0,X254+Y254-Z254),IF(AND(A254&gt;='Prepay vs Invest'!$B$11,A254&lt;='Prepay vs Invest'!$B$12),'Prepay vs Invest'!$B$10,0)+IF(A254='Prepay vs Invest'!$B$9,'Prepay vs Invest'!$B$8,0))</f>
        <v>0</v>
      </c>
      <c r="AB254">
        <f t="shared" si="53"/>
        <v>0</v>
      </c>
      <c r="AC254">
        <f t="shared" si="62"/>
        <v>12214957.845603609</v>
      </c>
      <c r="AD254">
        <f>IF(A254&lt;='Prepay vs Invest'!$B$7*12,MAX(0,'Prepay vs Invest'!$E$5+IF(AND(A254&gt;='Prepay vs Invest'!$B$11,A254&lt;='Prepay vs Invest'!$B$12),'Prepay vs Invest'!$B$10,0)+IF(A254='Prepay vs Invest'!$B$9,'Prepay vs Invest'!$B$8,0)-Z254-AA254),0)</f>
        <v>0</v>
      </c>
      <c r="AE254">
        <f>AC254*(1+MAX(0,'Prepay vs Invest'!$B$13-'Prepay vs Invest'!$B$14)/1200)+AD254</f>
        <v>12332017.858290642</v>
      </c>
      <c r="AF254">
        <f t="shared" si="63"/>
        <v>4388572.0206063567</v>
      </c>
      <c r="AG254">
        <f>MAX(0,(AE254-AF254-'Prepay vs Invest'!$B$16)*'Prepay vs Invest'!$B$15/100)</f>
        <v>977305.72971053573</v>
      </c>
      <c r="AH254">
        <f t="shared" si="54"/>
        <v>11354712.128580106</v>
      </c>
    </row>
    <row r="255" spans="1:34" x14ac:dyDescent="0.35">
      <c r="A255">
        <f t="shared" si="55"/>
        <v>254</v>
      </c>
      <c r="B255">
        <f>IF(A255&lt;='Prepay vs Invest'!$B$7*12,F254,0)</f>
        <v>0</v>
      </c>
      <c r="C255">
        <f>IF(B255&gt;0,B255*'Prepay vs Invest'!$B$6/1200,0)</f>
        <v>0</v>
      </c>
      <c r="D255">
        <f>IF(B255&gt;0,MIN(-PMT('Prepay vs Invest'!$B$6/1200,'Prepay vs Invest'!$B$7*12,'Prepay vs Invest'!$B$5),B255+C255),0)</f>
        <v>0</v>
      </c>
      <c r="E255">
        <f t="shared" si="48"/>
        <v>0</v>
      </c>
      <c r="F255">
        <f t="shared" si="49"/>
        <v>0</v>
      </c>
      <c r="G255">
        <f t="shared" si="56"/>
        <v>15452236.100931754</v>
      </c>
      <c r="H255">
        <f>IF(A255&lt;='Prepay vs Invest'!$B$7*12,IF(AND(A255&gt;='Prepay vs Invest'!$B$11,A255&lt;='Prepay vs Invest'!$B$12),'Prepay vs Invest'!$B$10,0)+IF(A255='Prepay vs Invest'!$B$9,'Prepay vs Invest'!$B$8,0),0)</f>
        <v>0</v>
      </c>
      <c r="I255">
        <f>G255*(1+MAX(0,'Prepay vs Invest'!$B$13-'Prepay vs Invest'!$B$14)/1200)+H255</f>
        <v>15600320.030232349</v>
      </c>
      <c r="J255">
        <f t="shared" si="57"/>
        <v>2900000</v>
      </c>
      <c r="K255">
        <f>MAX(0,(I255-J255-'Prepay vs Invest'!$B$16)*'Prepay vs Invest'!$B$15/100)</f>
        <v>1571915.0037790434</v>
      </c>
      <c r="L255">
        <f t="shared" si="50"/>
        <v>14028405.026453305</v>
      </c>
      <c r="M255">
        <f t="shared" si="58"/>
        <v>0</v>
      </c>
      <c r="N255">
        <f>IF(M255&gt;0,M255*'Prepay vs Invest'!$B$6/1200,0)</f>
        <v>0</v>
      </c>
      <c r="O255">
        <f>IF(M255&gt;0,MIN('Prepay vs Invest'!$E$5,M255+N255),0)</f>
        <v>0</v>
      </c>
      <c r="P255">
        <f>MIN(MAX(0,M255+N255-O255),IF(AND(A255&gt;='Prepay vs Invest'!$B$11,A255&lt;='Prepay vs Invest'!$B$12),'Prepay vs Invest'!$B$10,0)+IF(A255='Prepay vs Invest'!$B$9,'Prepay vs Invest'!$B$8,0))</f>
        <v>0</v>
      </c>
      <c r="Q255">
        <f t="shared" si="51"/>
        <v>0</v>
      </c>
      <c r="R255">
        <f t="shared" si="59"/>
        <v>9711691.9583706651</v>
      </c>
      <c r="S255">
        <f>IF(A255&lt;='Prepay vs Invest'!$B$7*12,MAX(0,'Prepay vs Invest'!$E$5+IF(AND(A255&gt;='Prepay vs Invest'!$B$11,A255&lt;='Prepay vs Invest'!$B$12),'Prepay vs Invest'!$B$10,0)+IF(A255='Prepay vs Invest'!$B$9,'Prepay vs Invest'!$B$8,0)-O255-P255),0)</f>
        <v>0</v>
      </c>
      <c r="T255">
        <f>R255*(1+MAX(0,'Prepay vs Invest'!$B$13-'Prepay vs Invest'!$B$14)/1200)+S255</f>
        <v>9804762.3396383841</v>
      </c>
      <c r="U255">
        <f t="shared" si="60"/>
        <v>6133552.3707652809</v>
      </c>
      <c r="V255">
        <f>MAX(0,(T255-U255-'Prepay vs Invest'!$B$16)*'Prepay vs Invest'!$B$15/100)</f>
        <v>443276.24610913789</v>
      </c>
      <c r="W255">
        <f t="shared" si="52"/>
        <v>9361486.0935292467</v>
      </c>
      <c r="X255">
        <f t="shared" si="61"/>
        <v>0</v>
      </c>
      <c r="Y255">
        <f>IF(X255&gt;0,X255*'Prepay vs Invest'!$B$6/1200,0)</f>
        <v>0</v>
      </c>
      <c r="Z255">
        <f>IF(X255&gt;0,MIN(-PMT('Prepay vs Invest'!$B$6/1200,'Prepay vs Invest'!$B$7*12-A255+1,X255),X255+Y255),0)</f>
        <v>0</v>
      </c>
      <c r="AA255">
        <f>MIN(MAX(0,X255+Y255-Z255),IF(AND(A255&gt;='Prepay vs Invest'!$B$11,A255&lt;='Prepay vs Invest'!$B$12),'Prepay vs Invest'!$B$10,0)+IF(A255='Prepay vs Invest'!$B$9,'Prepay vs Invest'!$B$8,0))</f>
        <v>0</v>
      </c>
      <c r="AB255">
        <f t="shared" si="53"/>
        <v>0</v>
      </c>
      <c r="AC255">
        <f t="shared" si="62"/>
        <v>12332017.858290642</v>
      </c>
      <c r="AD255">
        <f>IF(A255&lt;='Prepay vs Invest'!$B$7*12,MAX(0,'Prepay vs Invest'!$E$5+IF(AND(A255&gt;='Prepay vs Invest'!$B$11,A255&lt;='Prepay vs Invest'!$B$12),'Prepay vs Invest'!$B$10,0)+IF(A255='Prepay vs Invest'!$B$9,'Prepay vs Invest'!$B$8,0)-Z255-AA255),0)</f>
        <v>0</v>
      </c>
      <c r="AE255">
        <f>AC255*(1+MAX(0,'Prepay vs Invest'!$B$13-'Prepay vs Invest'!$B$14)/1200)+AD255</f>
        <v>12450199.696099261</v>
      </c>
      <c r="AF255">
        <f t="shared" si="63"/>
        <v>4388572.0206063567</v>
      </c>
      <c r="AG255">
        <f>MAX(0,(AE255-AF255-'Prepay vs Invest'!$B$16)*'Prepay vs Invest'!$B$15/100)</f>
        <v>992078.45943661302</v>
      </c>
      <c r="AH255">
        <f t="shared" si="54"/>
        <v>11458121.236662649</v>
      </c>
    </row>
    <row r="256" spans="1:34" x14ac:dyDescent="0.35">
      <c r="A256">
        <f t="shared" si="55"/>
        <v>255</v>
      </c>
      <c r="B256">
        <f>IF(A256&lt;='Prepay vs Invest'!$B$7*12,F255,0)</f>
        <v>0</v>
      </c>
      <c r="C256">
        <f>IF(B256&gt;0,B256*'Prepay vs Invest'!$B$6/1200,0)</f>
        <v>0</v>
      </c>
      <c r="D256">
        <f>IF(B256&gt;0,MIN(-PMT('Prepay vs Invest'!$B$6/1200,'Prepay vs Invest'!$B$7*12,'Prepay vs Invest'!$B$5),B256+C256),0)</f>
        <v>0</v>
      </c>
      <c r="E256">
        <f t="shared" si="48"/>
        <v>0</v>
      </c>
      <c r="F256">
        <f t="shared" si="49"/>
        <v>0</v>
      </c>
      <c r="G256">
        <f t="shared" si="56"/>
        <v>15600320.030232349</v>
      </c>
      <c r="H256">
        <f>IF(A256&lt;='Prepay vs Invest'!$B$7*12,IF(AND(A256&gt;='Prepay vs Invest'!$B$11,A256&lt;='Prepay vs Invest'!$B$12),'Prepay vs Invest'!$B$10,0)+IF(A256='Prepay vs Invest'!$B$9,'Prepay vs Invest'!$B$8,0),0)</f>
        <v>0</v>
      </c>
      <c r="I256">
        <f>G256*(1+MAX(0,'Prepay vs Invest'!$B$13-'Prepay vs Invest'!$B$14)/1200)+H256</f>
        <v>15749823.097188741</v>
      </c>
      <c r="J256">
        <f t="shared" si="57"/>
        <v>2900000</v>
      </c>
      <c r="K256">
        <f>MAX(0,(I256-J256-'Prepay vs Invest'!$B$16)*'Prepay vs Invest'!$B$15/100)</f>
        <v>1590602.8871485924</v>
      </c>
      <c r="L256">
        <f t="shared" si="50"/>
        <v>14159220.210040148</v>
      </c>
      <c r="M256">
        <f t="shared" si="58"/>
        <v>0</v>
      </c>
      <c r="N256">
        <f>IF(M256&gt;0,M256*'Prepay vs Invest'!$B$6/1200,0)</f>
        <v>0</v>
      </c>
      <c r="O256">
        <f>IF(M256&gt;0,MIN('Prepay vs Invest'!$E$5,M256+N256),0)</f>
        <v>0</v>
      </c>
      <c r="P256">
        <f>MIN(MAX(0,M256+N256-O256),IF(AND(A256&gt;='Prepay vs Invest'!$B$11,A256&lt;='Prepay vs Invest'!$B$12),'Prepay vs Invest'!$B$10,0)+IF(A256='Prepay vs Invest'!$B$9,'Prepay vs Invest'!$B$8,0))</f>
        <v>0</v>
      </c>
      <c r="Q256">
        <f t="shared" si="51"/>
        <v>0</v>
      </c>
      <c r="R256">
        <f t="shared" si="59"/>
        <v>9804762.3396383841</v>
      </c>
      <c r="S256">
        <f>IF(A256&lt;='Prepay vs Invest'!$B$7*12,MAX(0,'Prepay vs Invest'!$E$5+IF(AND(A256&gt;='Prepay vs Invest'!$B$11,A256&lt;='Prepay vs Invest'!$B$12),'Prepay vs Invest'!$B$10,0)+IF(A256='Prepay vs Invest'!$B$9,'Prepay vs Invest'!$B$8,0)-O256-P256),0)</f>
        <v>0</v>
      </c>
      <c r="T256">
        <f>R256*(1+MAX(0,'Prepay vs Invest'!$B$13-'Prepay vs Invest'!$B$14)/1200)+S256</f>
        <v>9898724.6453932505</v>
      </c>
      <c r="U256">
        <f t="shared" si="60"/>
        <v>6133552.3707652809</v>
      </c>
      <c r="V256">
        <f>MAX(0,(T256-U256-'Prepay vs Invest'!$B$16)*'Prepay vs Invest'!$B$15/100)</f>
        <v>455021.53432849626</v>
      </c>
      <c r="W256">
        <f t="shared" si="52"/>
        <v>9443703.1110647544</v>
      </c>
      <c r="X256">
        <f t="shared" si="61"/>
        <v>0</v>
      </c>
      <c r="Y256">
        <f>IF(X256&gt;0,X256*'Prepay vs Invest'!$B$6/1200,0)</f>
        <v>0</v>
      </c>
      <c r="Z256">
        <f>IF(X256&gt;0,MIN(-PMT('Prepay vs Invest'!$B$6/1200,'Prepay vs Invest'!$B$7*12-A256+1,X256),X256+Y256),0)</f>
        <v>0</v>
      </c>
      <c r="AA256">
        <f>MIN(MAX(0,X256+Y256-Z256),IF(AND(A256&gt;='Prepay vs Invest'!$B$11,A256&lt;='Prepay vs Invest'!$B$12),'Prepay vs Invest'!$B$10,0)+IF(A256='Prepay vs Invest'!$B$9,'Prepay vs Invest'!$B$8,0))</f>
        <v>0</v>
      </c>
      <c r="AB256">
        <f t="shared" si="53"/>
        <v>0</v>
      </c>
      <c r="AC256">
        <f t="shared" si="62"/>
        <v>12450199.696099261</v>
      </c>
      <c r="AD256">
        <f>IF(A256&lt;='Prepay vs Invest'!$B$7*12,MAX(0,'Prepay vs Invest'!$E$5+IF(AND(A256&gt;='Prepay vs Invest'!$B$11,A256&lt;='Prepay vs Invest'!$B$12),'Prepay vs Invest'!$B$10,0)+IF(A256='Prepay vs Invest'!$B$9,'Prepay vs Invest'!$B$8,0)-Z256-AA256),0)</f>
        <v>0</v>
      </c>
      <c r="AE256">
        <f>AC256*(1+MAX(0,'Prepay vs Invest'!$B$13-'Prepay vs Invest'!$B$14)/1200)+AD256</f>
        <v>12569514.109853545</v>
      </c>
      <c r="AF256">
        <f t="shared" si="63"/>
        <v>4388572.0206063567</v>
      </c>
      <c r="AG256">
        <f>MAX(0,(AE256-AF256-'Prepay vs Invest'!$B$16)*'Prepay vs Invest'!$B$15/100)</f>
        <v>1006992.7611558986</v>
      </c>
      <c r="AH256">
        <f t="shared" si="54"/>
        <v>11562521.348697647</v>
      </c>
    </row>
    <row r="257" spans="1:34" x14ac:dyDescent="0.35">
      <c r="A257">
        <f t="shared" si="55"/>
        <v>256</v>
      </c>
      <c r="B257">
        <f>IF(A257&lt;='Prepay vs Invest'!$B$7*12,F256,0)</f>
        <v>0</v>
      </c>
      <c r="C257">
        <f>IF(B257&gt;0,B257*'Prepay vs Invest'!$B$6/1200,0)</f>
        <v>0</v>
      </c>
      <c r="D257">
        <f>IF(B257&gt;0,MIN(-PMT('Prepay vs Invest'!$B$6/1200,'Prepay vs Invest'!$B$7*12,'Prepay vs Invest'!$B$5),B257+C257),0)</f>
        <v>0</v>
      </c>
      <c r="E257">
        <f t="shared" si="48"/>
        <v>0</v>
      </c>
      <c r="F257">
        <f t="shared" si="49"/>
        <v>0</v>
      </c>
      <c r="G257">
        <f t="shared" si="56"/>
        <v>15749823.097188741</v>
      </c>
      <c r="H257">
        <f>IF(A257&lt;='Prepay vs Invest'!$B$7*12,IF(AND(A257&gt;='Prepay vs Invest'!$B$11,A257&lt;='Prepay vs Invest'!$B$12),'Prepay vs Invest'!$B$10,0)+IF(A257='Prepay vs Invest'!$B$9,'Prepay vs Invest'!$B$8,0),0)</f>
        <v>0</v>
      </c>
      <c r="I257">
        <f>G257*(1+MAX(0,'Prepay vs Invest'!$B$13-'Prepay vs Invest'!$B$14)/1200)+H257</f>
        <v>15900758.901870131</v>
      </c>
      <c r="J257">
        <f t="shared" si="57"/>
        <v>2900000</v>
      </c>
      <c r="K257">
        <f>MAX(0,(I257-J257-'Prepay vs Invest'!$B$16)*'Prepay vs Invest'!$B$15/100)</f>
        <v>1609469.8627337664</v>
      </c>
      <c r="L257">
        <f t="shared" si="50"/>
        <v>14291289.039136365</v>
      </c>
      <c r="M257">
        <f t="shared" si="58"/>
        <v>0</v>
      </c>
      <c r="N257">
        <f>IF(M257&gt;0,M257*'Prepay vs Invest'!$B$6/1200,0)</f>
        <v>0</v>
      </c>
      <c r="O257">
        <f>IF(M257&gt;0,MIN('Prepay vs Invest'!$E$5,M257+N257),0)</f>
        <v>0</v>
      </c>
      <c r="P257">
        <f>MIN(MAX(0,M257+N257-O257),IF(AND(A257&gt;='Prepay vs Invest'!$B$11,A257&lt;='Prepay vs Invest'!$B$12),'Prepay vs Invest'!$B$10,0)+IF(A257='Prepay vs Invest'!$B$9,'Prepay vs Invest'!$B$8,0))</f>
        <v>0</v>
      </c>
      <c r="Q257">
        <f t="shared" si="51"/>
        <v>0</v>
      </c>
      <c r="R257">
        <f t="shared" si="59"/>
        <v>9898724.6453932505</v>
      </c>
      <c r="S257">
        <f>IF(A257&lt;='Prepay vs Invest'!$B$7*12,MAX(0,'Prepay vs Invest'!$E$5+IF(AND(A257&gt;='Prepay vs Invest'!$B$11,A257&lt;='Prepay vs Invest'!$B$12),'Prepay vs Invest'!$B$10,0)+IF(A257='Prepay vs Invest'!$B$9,'Prepay vs Invest'!$B$8,0)-O257-P257),0)</f>
        <v>0</v>
      </c>
      <c r="T257">
        <f>R257*(1+MAX(0,'Prepay vs Invest'!$B$13-'Prepay vs Invest'!$B$14)/1200)+S257</f>
        <v>9993587.4232449345</v>
      </c>
      <c r="U257">
        <f t="shared" si="60"/>
        <v>6133552.3707652809</v>
      </c>
      <c r="V257">
        <f>MAX(0,(T257-U257-'Prepay vs Invest'!$B$16)*'Prepay vs Invest'!$B$15/100)</f>
        <v>466879.38155995664</v>
      </c>
      <c r="W257">
        <f t="shared" si="52"/>
        <v>9526708.0416849777</v>
      </c>
      <c r="X257">
        <f t="shared" si="61"/>
        <v>0</v>
      </c>
      <c r="Y257">
        <f>IF(X257&gt;0,X257*'Prepay vs Invest'!$B$6/1200,0)</f>
        <v>0</v>
      </c>
      <c r="Z257">
        <f>IF(X257&gt;0,MIN(-PMT('Prepay vs Invest'!$B$6/1200,'Prepay vs Invest'!$B$7*12-A257+1,X257),X257+Y257),0)</f>
        <v>0</v>
      </c>
      <c r="AA257">
        <f>MIN(MAX(0,X257+Y257-Z257),IF(AND(A257&gt;='Prepay vs Invest'!$B$11,A257&lt;='Prepay vs Invest'!$B$12),'Prepay vs Invest'!$B$10,0)+IF(A257='Prepay vs Invest'!$B$9,'Prepay vs Invest'!$B$8,0))</f>
        <v>0</v>
      </c>
      <c r="AB257">
        <f t="shared" si="53"/>
        <v>0</v>
      </c>
      <c r="AC257">
        <f t="shared" si="62"/>
        <v>12569514.109853545</v>
      </c>
      <c r="AD257">
        <f>IF(A257&lt;='Prepay vs Invest'!$B$7*12,MAX(0,'Prepay vs Invest'!$E$5+IF(AND(A257&gt;='Prepay vs Invest'!$B$11,A257&lt;='Prepay vs Invest'!$B$12),'Prepay vs Invest'!$B$10,0)+IF(A257='Prepay vs Invest'!$B$9,'Prepay vs Invest'!$B$8,0)-Z257-AA257),0)</f>
        <v>0</v>
      </c>
      <c r="AE257">
        <f>AC257*(1+MAX(0,'Prepay vs Invest'!$B$13-'Prepay vs Invest'!$B$14)/1200)+AD257</f>
        <v>12689971.953406308</v>
      </c>
      <c r="AF257">
        <f t="shared" si="63"/>
        <v>4388572.0206063567</v>
      </c>
      <c r="AG257">
        <f>MAX(0,(AE257-AF257-'Prepay vs Invest'!$B$16)*'Prepay vs Invest'!$B$15/100)</f>
        <v>1022049.9915999939</v>
      </c>
      <c r="AH257">
        <f t="shared" si="54"/>
        <v>11667921.961806314</v>
      </c>
    </row>
    <row r="258" spans="1:34" x14ac:dyDescent="0.35">
      <c r="A258">
        <f t="shared" si="55"/>
        <v>257</v>
      </c>
      <c r="B258">
        <f>IF(A258&lt;='Prepay vs Invest'!$B$7*12,F257,0)</f>
        <v>0</v>
      </c>
      <c r="C258">
        <f>IF(B258&gt;0,B258*'Prepay vs Invest'!$B$6/1200,0)</f>
        <v>0</v>
      </c>
      <c r="D258">
        <f>IF(B258&gt;0,MIN(-PMT('Prepay vs Invest'!$B$6/1200,'Prepay vs Invest'!$B$7*12,'Prepay vs Invest'!$B$5),B258+C258),0)</f>
        <v>0</v>
      </c>
      <c r="E258">
        <f t="shared" si="48"/>
        <v>0</v>
      </c>
      <c r="F258">
        <f t="shared" si="49"/>
        <v>0</v>
      </c>
      <c r="G258">
        <f t="shared" si="56"/>
        <v>15900758.901870131</v>
      </c>
      <c r="H258">
        <f>IF(A258&lt;='Prepay vs Invest'!$B$7*12,IF(AND(A258&gt;='Prepay vs Invest'!$B$11,A258&lt;='Prepay vs Invest'!$B$12),'Prepay vs Invest'!$B$10,0)+IF(A258='Prepay vs Invest'!$B$9,'Prepay vs Invest'!$B$8,0),0)</f>
        <v>0</v>
      </c>
      <c r="I258">
        <f>G258*(1+MAX(0,'Prepay vs Invest'!$B$13-'Prepay vs Invest'!$B$14)/1200)+H258</f>
        <v>16053141.174679719</v>
      </c>
      <c r="J258">
        <f t="shared" si="57"/>
        <v>2900000</v>
      </c>
      <c r="K258">
        <f>MAX(0,(I258-J258-'Prepay vs Invest'!$B$16)*'Prepay vs Invest'!$B$15/100)</f>
        <v>1628517.6468349649</v>
      </c>
      <c r="L258">
        <f t="shared" si="50"/>
        <v>14424623.527844753</v>
      </c>
      <c r="M258">
        <f t="shared" si="58"/>
        <v>0</v>
      </c>
      <c r="N258">
        <f>IF(M258&gt;0,M258*'Prepay vs Invest'!$B$6/1200,0)</f>
        <v>0</v>
      </c>
      <c r="O258">
        <f>IF(M258&gt;0,MIN('Prepay vs Invest'!$E$5,M258+N258),0)</f>
        <v>0</v>
      </c>
      <c r="P258">
        <f>MIN(MAX(0,M258+N258-O258),IF(AND(A258&gt;='Prepay vs Invest'!$B$11,A258&lt;='Prepay vs Invest'!$B$12),'Prepay vs Invest'!$B$10,0)+IF(A258='Prepay vs Invest'!$B$9,'Prepay vs Invest'!$B$8,0))</f>
        <v>0</v>
      </c>
      <c r="Q258">
        <f t="shared" si="51"/>
        <v>0</v>
      </c>
      <c r="R258">
        <f t="shared" si="59"/>
        <v>9993587.4232449345</v>
      </c>
      <c r="S258">
        <f>IF(A258&lt;='Prepay vs Invest'!$B$7*12,MAX(0,'Prepay vs Invest'!$E$5+IF(AND(A258&gt;='Prepay vs Invest'!$B$11,A258&lt;='Prepay vs Invest'!$B$12),'Prepay vs Invest'!$B$10,0)+IF(A258='Prepay vs Invest'!$B$9,'Prepay vs Invest'!$B$8,0)-O258-P258),0)</f>
        <v>0</v>
      </c>
      <c r="T258">
        <f>R258*(1+MAX(0,'Prepay vs Invest'!$B$13-'Prepay vs Invest'!$B$14)/1200)+S258</f>
        <v>10089359.302717699</v>
      </c>
      <c r="U258">
        <f t="shared" si="60"/>
        <v>6133552.3707652809</v>
      </c>
      <c r="V258">
        <f>MAX(0,(T258-U258-'Prepay vs Invest'!$B$16)*'Prepay vs Invest'!$B$15/100)</f>
        <v>478850.86649405229</v>
      </c>
      <c r="W258">
        <f t="shared" si="52"/>
        <v>9610508.4362236466</v>
      </c>
      <c r="X258">
        <f t="shared" si="61"/>
        <v>0</v>
      </c>
      <c r="Y258">
        <f>IF(X258&gt;0,X258*'Prepay vs Invest'!$B$6/1200,0)</f>
        <v>0</v>
      </c>
      <c r="Z258">
        <f>IF(X258&gt;0,MIN(-PMT('Prepay vs Invest'!$B$6/1200,'Prepay vs Invest'!$B$7*12-A258+1,X258),X258+Y258),0)</f>
        <v>0</v>
      </c>
      <c r="AA258">
        <f>MIN(MAX(0,X258+Y258-Z258),IF(AND(A258&gt;='Prepay vs Invest'!$B$11,A258&lt;='Prepay vs Invest'!$B$12),'Prepay vs Invest'!$B$10,0)+IF(A258='Prepay vs Invest'!$B$9,'Prepay vs Invest'!$B$8,0))</f>
        <v>0</v>
      </c>
      <c r="AB258">
        <f t="shared" si="53"/>
        <v>0</v>
      </c>
      <c r="AC258">
        <f t="shared" si="62"/>
        <v>12689971.953406308</v>
      </c>
      <c r="AD258">
        <f>IF(A258&lt;='Prepay vs Invest'!$B$7*12,MAX(0,'Prepay vs Invest'!$E$5+IF(AND(A258&gt;='Prepay vs Invest'!$B$11,A258&lt;='Prepay vs Invest'!$B$12),'Prepay vs Invest'!$B$10,0)+IF(A258='Prepay vs Invest'!$B$9,'Prepay vs Invest'!$B$8,0)-Z258-AA258),0)</f>
        <v>0</v>
      </c>
      <c r="AE258">
        <f>AC258*(1+MAX(0,'Prepay vs Invest'!$B$13-'Prepay vs Invest'!$B$14)/1200)+AD258</f>
        <v>12811584.184626451</v>
      </c>
      <c r="AF258">
        <f t="shared" si="63"/>
        <v>4388572.0206063567</v>
      </c>
      <c r="AG258">
        <f>MAX(0,(AE258-AF258-'Prepay vs Invest'!$B$16)*'Prepay vs Invest'!$B$15/100)</f>
        <v>1037251.5205025119</v>
      </c>
      <c r="AH258">
        <f t="shared" si="54"/>
        <v>11774332.664123939</v>
      </c>
    </row>
    <row r="259" spans="1:34" x14ac:dyDescent="0.35">
      <c r="A259">
        <f t="shared" si="55"/>
        <v>258</v>
      </c>
      <c r="B259">
        <f>IF(A259&lt;='Prepay vs Invest'!$B$7*12,F258,0)</f>
        <v>0</v>
      </c>
      <c r="C259">
        <f>IF(B259&gt;0,B259*'Prepay vs Invest'!$B$6/1200,0)</f>
        <v>0</v>
      </c>
      <c r="D259">
        <f>IF(B259&gt;0,MIN(-PMT('Prepay vs Invest'!$B$6/1200,'Prepay vs Invest'!$B$7*12,'Prepay vs Invest'!$B$5),B259+C259),0)</f>
        <v>0</v>
      </c>
      <c r="E259">
        <f t="shared" ref="E259:E322" si="64">MAX(0,D259-C259)</f>
        <v>0</v>
      </c>
      <c r="F259">
        <f t="shared" ref="F259:F322" si="65">MAX(0,B259+C259-D259)</f>
        <v>0</v>
      </c>
      <c r="G259">
        <f t="shared" si="56"/>
        <v>16053141.174679719</v>
      </c>
      <c r="H259">
        <f>IF(A259&lt;='Prepay vs Invest'!$B$7*12,IF(AND(A259&gt;='Prepay vs Invest'!$B$11,A259&lt;='Prepay vs Invest'!$B$12),'Prepay vs Invest'!$B$10,0)+IF(A259='Prepay vs Invest'!$B$9,'Prepay vs Invest'!$B$8,0),0)</f>
        <v>0</v>
      </c>
      <c r="I259">
        <f>G259*(1+MAX(0,'Prepay vs Invest'!$B$13-'Prepay vs Invest'!$B$14)/1200)+H259</f>
        <v>16206983.777603732</v>
      </c>
      <c r="J259">
        <f t="shared" si="57"/>
        <v>2900000</v>
      </c>
      <c r="K259">
        <f>MAX(0,(I259-J259-'Prepay vs Invest'!$B$16)*'Prepay vs Invest'!$B$15/100)</f>
        <v>1647747.9722004668</v>
      </c>
      <c r="L259">
        <f t="shared" ref="L259:L322" si="66">I259-K259</f>
        <v>14559235.805403266</v>
      </c>
      <c r="M259">
        <f t="shared" si="58"/>
        <v>0</v>
      </c>
      <c r="N259">
        <f>IF(M259&gt;0,M259*'Prepay vs Invest'!$B$6/1200,0)</f>
        <v>0</v>
      </c>
      <c r="O259">
        <f>IF(M259&gt;0,MIN('Prepay vs Invest'!$E$5,M259+N259),0)</f>
        <v>0</v>
      </c>
      <c r="P259">
        <f>MIN(MAX(0,M259+N259-O259),IF(AND(A259&gt;='Prepay vs Invest'!$B$11,A259&lt;='Prepay vs Invest'!$B$12),'Prepay vs Invest'!$B$10,0)+IF(A259='Prepay vs Invest'!$B$9,'Prepay vs Invest'!$B$8,0))</f>
        <v>0</v>
      </c>
      <c r="Q259">
        <f t="shared" ref="Q259:Q322" si="67">MAX(0,M259+N259-O259-P259)</f>
        <v>0</v>
      </c>
      <c r="R259">
        <f t="shared" si="59"/>
        <v>10089359.302717699</v>
      </c>
      <c r="S259">
        <f>IF(A259&lt;='Prepay vs Invest'!$B$7*12,MAX(0,'Prepay vs Invest'!$E$5+IF(AND(A259&gt;='Prepay vs Invest'!$B$11,A259&lt;='Prepay vs Invest'!$B$12),'Prepay vs Invest'!$B$10,0)+IF(A259='Prepay vs Invest'!$B$9,'Prepay vs Invest'!$B$8,0)-O259-P259),0)</f>
        <v>0</v>
      </c>
      <c r="T259">
        <f>R259*(1+MAX(0,'Prepay vs Invest'!$B$13-'Prepay vs Invest'!$B$14)/1200)+S259</f>
        <v>10186048.99603541</v>
      </c>
      <c r="U259">
        <f t="shared" si="60"/>
        <v>6133552.3707652809</v>
      </c>
      <c r="V259">
        <f>MAX(0,(T259-U259-'Prepay vs Invest'!$B$16)*'Prepay vs Invest'!$B$15/100)</f>
        <v>490937.07815876621</v>
      </c>
      <c r="W259">
        <f t="shared" ref="W259:W322" si="68">T259-V259</f>
        <v>9695111.9178766441</v>
      </c>
      <c r="X259">
        <f t="shared" si="61"/>
        <v>0</v>
      </c>
      <c r="Y259">
        <f>IF(X259&gt;0,X259*'Prepay vs Invest'!$B$6/1200,0)</f>
        <v>0</v>
      </c>
      <c r="Z259">
        <f>IF(X259&gt;0,MIN(-PMT('Prepay vs Invest'!$B$6/1200,'Prepay vs Invest'!$B$7*12-A259+1,X259),X259+Y259),0)</f>
        <v>0</v>
      </c>
      <c r="AA259">
        <f>MIN(MAX(0,X259+Y259-Z259),IF(AND(A259&gt;='Prepay vs Invest'!$B$11,A259&lt;='Prepay vs Invest'!$B$12),'Prepay vs Invest'!$B$10,0)+IF(A259='Prepay vs Invest'!$B$9,'Prepay vs Invest'!$B$8,0))</f>
        <v>0</v>
      </c>
      <c r="AB259">
        <f t="shared" ref="AB259:AB322" si="69">MAX(0,X259+Y259-Z259-AA259)</f>
        <v>0</v>
      </c>
      <c r="AC259">
        <f t="shared" si="62"/>
        <v>12811584.184626451</v>
      </c>
      <c r="AD259">
        <f>IF(A259&lt;='Prepay vs Invest'!$B$7*12,MAX(0,'Prepay vs Invest'!$E$5+IF(AND(A259&gt;='Prepay vs Invest'!$B$11,A259&lt;='Prepay vs Invest'!$B$12),'Prepay vs Invest'!$B$10,0)+IF(A259='Prepay vs Invest'!$B$9,'Prepay vs Invest'!$B$8,0)-Z259-AA259),0)</f>
        <v>0</v>
      </c>
      <c r="AE259">
        <f>AC259*(1+MAX(0,'Prepay vs Invest'!$B$13-'Prepay vs Invest'!$B$14)/1200)+AD259</f>
        <v>12934361.866395786</v>
      </c>
      <c r="AF259">
        <f t="shared" si="63"/>
        <v>4388572.0206063567</v>
      </c>
      <c r="AG259">
        <f>MAX(0,(AE259-AF259-'Prepay vs Invest'!$B$16)*'Prepay vs Invest'!$B$15/100)</f>
        <v>1052598.7307236786</v>
      </c>
      <c r="AH259">
        <f t="shared" ref="AH259:AH322" si="70">AE259-AG259</f>
        <v>11881763.135672107</v>
      </c>
    </row>
    <row r="260" spans="1:34" x14ac:dyDescent="0.35">
      <c r="A260">
        <f t="shared" ref="A260:A323" si="71">A259+1</f>
        <v>259</v>
      </c>
      <c r="B260">
        <f>IF(A260&lt;='Prepay vs Invest'!$B$7*12,F259,0)</f>
        <v>0</v>
      </c>
      <c r="C260">
        <f>IF(B260&gt;0,B260*'Prepay vs Invest'!$B$6/1200,0)</f>
        <v>0</v>
      </c>
      <c r="D260">
        <f>IF(B260&gt;0,MIN(-PMT('Prepay vs Invest'!$B$6/1200,'Prepay vs Invest'!$B$7*12,'Prepay vs Invest'!$B$5),B260+C260),0)</f>
        <v>0</v>
      </c>
      <c r="E260">
        <f t="shared" si="64"/>
        <v>0</v>
      </c>
      <c r="F260">
        <f t="shared" si="65"/>
        <v>0</v>
      </c>
      <c r="G260">
        <f t="shared" ref="G260:G323" si="72">I259</f>
        <v>16206983.777603732</v>
      </c>
      <c r="H260">
        <f>IF(A260&lt;='Prepay vs Invest'!$B$7*12,IF(AND(A260&gt;='Prepay vs Invest'!$B$11,A260&lt;='Prepay vs Invest'!$B$12),'Prepay vs Invest'!$B$10,0)+IF(A260='Prepay vs Invest'!$B$9,'Prepay vs Invest'!$B$8,0),0)</f>
        <v>0</v>
      </c>
      <c r="I260">
        <f>G260*(1+MAX(0,'Prepay vs Invest'!$B$13-'Prepay vs Invest'!$B$14)/1200)+H260</f>
        <v>16362300.705472434</v>
      </c>
      <c r="J260">
        <f t="shared" ref="J260:J323" si="73">J259+H260</f>
        <v>2900000</v>
      </c>
      <c r="K260">
        <f>MAX(0,(I260-J260-'Prepay vs Invest'!$B$16)*'Prepay vs Invest'!$B$15/100)</f>
        <v>1667162.5881840542</v>
      </c>
      <c r="L260">
        <f t="shared" si="66"/>
        <v>14695138.117288379</v>
      </c>
      <c r="M260">
        <f t="shared" ref="M260:M323" si="74">Q259</f>
        <v>0</v>
      </c>
      <c r="N260">
        <f>IF(M260&gt;0,M260*'Prepay vs Invest'!$B$6/1200,0)</f>
        <v>0</v>
      </c>
      <c r="O260">
        <f>IF(M260&gt;0,MIN('Prepay vs Invest'!$E$5,M260+N260),0)</f>
        <v>0</v>
      </c>
      <c r="P260">
        <f>MIN(MAX(0,M260+N260-O260),IF(AND(A260&gt;='Prepay vs Invest'!$B$11,A260&lt;='Prepay vs Invest'!$B$12),'Prepay vs Invest'!$B$10,0)+IF(A260='Prepay vs Invest'!$B$9,'Prepay vs Invest'!$B$8,0))</f>
        <v>0</v>
      </c>
      <c r="Q260">
        <f t="shared" si="67"/>
        <v>0</v>
      </c>
      <c r="R260">
        <f t="shared" ref="R260:R323" si="75">T259</f>
        <v>10186048.99603541</v>
      </c>
      <c r="S260">
        <f>IF(A260&lt;='Prepay vs Invest'!$B$7*12,MAX(0,'Prepay vs Invest'!$E$5+IF(AND(A260&gt;='Prepay vs Invest'!$B$11,A260&lt;='Prepay vs Invest'!$B$12),'Prepay vs Invest'!$B$10,0)+IF(A260='Prepay vs Invest'!$B$9,'Prepay vs Invest'!$B$8,0)-O260-P260),0)</f>
        <v>0</v>
      </c>
      <c r="T260">
        <f>R260*(1+MAX(0,'Prepay vs Invest'!$B$13-'Prepay vs Invest'!$B$14)/1200)+S260</f>
        <v>10283665.298914082</v>
      </c>
      <c r="U260">
        <f t="shared" ref="U260:U323" si="76">U259+S260</f>
        <v>6133552.3707652809</v>
      </c>
      <c r="V260">
        <f>MAX(0,(T260-U260-'Prepay vs Invest'!$B$16)*'Prepay vs Invest'!$B$15/100)</f>
        <v>503139.11601860018</v>
      </c>
      <c r="W260">
        <f t="shared" si="68"/>
        <v>9780526.1828954816</v>
      </c>
      <c r="X260">
        <f t="shared" ref="X260:X323" si="77">AB259</f>
        <v>0</v>
      </c>
      <c r="Y260">
        <f>IF(X260&gt;0,X260*'Prepay vs Invest'!$B$6/1200,0)</f>
        <v>0</v>
      </c>
      <c r="Z260">
        <f>IF(X260&gt;0,MIN(-PMT('Prepay vs Invest'!$B$6/1200,'Prepay vs Invest'!$B$7*12-A260+1,X260),X260+Y260),0)</f>
        <v>0</v>
      </c>
      <c r="AA260">
        <f>MIN(MAX(0,X260+Y260-Z260),IF(AND(A260&gt;='Prepay vs Invest'!$B$11,A260&lt;='Prepay vs Invest'!$B$12),'Prepay vs Invest'!$B$10,0)+IF(A260='Prepay vs Invest'!$B$9,'Prepay vs Invest'!$B$8,0))</f>
        <v>0</v>
      </c>
      <c r="AB260">
        <f t="shared" si="69"/>
        <v>0</v>
      </c>
      <c r="AC260">
        <f t="shared" ref="AC260:AC323" si="78">AE259</f>
        <v>12934361.866395786</v>
      </c>
      <c r="AD260">
        <f>IF(A260&lt;='Prepay vs Invest'!$B$7*12,MAX(0,'Prepay vs Invest'!$E$5+IF(AND(A260&gt;='Prepay vs Invest'!$B$11,A260&lt;='Prepay vs Invest'!$B$12),'Prepay vs Invest'!$B$10,0)+IF(A260='Prepay vs Invest'!$B$9,'Prepay vs Invest'!$B$8,0)-Z260-AA260),0)</f>
        <v>0</v>
      </c>
      <c r="AE260">
        <f>AC260*(1+MAX(0,'Prepay vs Invest'!$B$13-'Prepay vs Invest'!$B$14)/1200)+AD260</f>
        <v>13058316.167615412</v>
      </c>
      <c r="AF260">
        <f t="shared" ref="AF260:AF323" si="79">AF259+AD260</f>
        <v>4388572.0206063567</v>
      </c>
      <c r="AG260">
        <f>MAX(0,(AE260-AF260-'Prepay vs Invest'!$B$16)*'Prepay vs Invest'!$B$15/100)</f>
        <v>1068093.018376132</v>
      </c>
      <c r="AH260">
        <f t="shared" si="70"/>
        <v>11990223.149239279</v>
      </c>
    </row>
    <row r="261" spans="1:34" x14ac:dyDescent="0.35">
      <c r="A261">
        <f t="shared" si="71"/>
        <v>260</v>
      </c>
      <c r="B261">
        <f>IF(A261&lt;='Prepay vs Invest'!$B$7*12,F260,0)</f>
        <v>0</v>
      </c>
      <c r="C261">
        <f>IF(B261&gt;0,B261*'Prepay vs Invest'!$B$6/1200,0)</f>
        <v>0</v>
      </c>
      <c r="D261">
        <f>IF(B261&gt;0,MIN(-PMT('Prepay vs Invest'!$B$6/1200,'Prepay vs Invest'!$B$7*12,'Prepay vs Invest'!$B$5),B261+C261),0)</f>
        <v>0</v>
      </c>
      <c r="E261">
        <f t="shared" si="64"/>
        <v>0</v>
      </c>
      <c r="F261">
        <f t="shared" si="65"/>
        <v>0</v>
      </c>
      <c r="G261">
        <f t="shared" si="72"/>
        <v>16362300.705472434</v>
      </c>
      <c r="H261">
        <f>IF(A261&lt;='Prepay vs Invest'!$B$7*12,IF(AND(A261&gt;='Prepay vs Invest'!$B$11,A261&lt;='Prepay vs Invest'!$B$12),'Prepay vs Invest'!$B$10,0)+IF(A261='Prepay vs Invest'!$B$9,'Prepay vs Invest'!$B$8,0),0)</f>
        <v>0</v>
      </c>
      <c r="I261">
        <f>G261*(1+MAX(0,'Prepay vs Invest'!$B$13-'Prepay vs Invest'!$B$14)/1200)+H261</f>
        <v>16519106.08723321</v>
      </c>
      <c r="J261">
        <f t="shared" si="73"/>
        <v>2900000</v>
      </c>
      <c r="K261">
        <f>MAX(0,(I261-J261-'Prepay vs Invest'!$B$16)*'Prepay vs Invest'!$B$15/100)</f>
        <v>1686763.2609041512</v>
      </c>
      <c r="L261">
        <f t="shared" si="66"/>
        <v>14832342.826329058</v>
      </c>
      <c r="M261">
        <f t="shared" si="74"/>
        <v>0</v>
      </c>
      <c r="N261">
        <f>IF(M261&gt;0,M261*'Prepay vs Invest'!$B$6/1200,0)</f>
        <v>0</v>
      </c>
      <c r="O261">
        <f>IF(M261&gt;0,MIN('Prepay vs Invest'!$E$5,M261+N261),0)</f>
        <v>0</v>
      </c>
      <c r="P261">
        <f>MIN(MAX(0,M261+N261-O261),IF(AND(A261&gt;='Prepay vs Invest'!$B$11,A261&lt;='Prepay vs Invest'!$B$12),'Prepay vs Invest'!$B$10,0)+IF(A261='Prepay vs Invest'!$B$9,'Prepay vs Invest'!$B$8,0))</f>
        <v>0</v>
      </c>
      <c r="Q261">
        <f t="shared" si="67"/>
        <v>0</v>
      </c>
      <c r="R261">
        <f t="shared" si="75"/>
        <v>10283665.298914082</v>
      </c>
      <c r="S261">
        <f>IF(A261&lt;='Prepay vs Invest'!$B$7*12,MAX(0,'Prepay vs Invest'!$E$5+IF(AND(A261&gt;='Prepay vs Invest'!$B$11,A261&lt;='Prepay vs Invest'!$B$12),'Prepay vs Invest'!$B$10,0)+IF(A261='Prepay vs Invest'!$B$9,'Prepay vs Invest'!$B$8,0)-O261-P261),0)</f>
        <v>0</v>
      </c>
      <c r="T261">
        <f>R261*(1+MAX(0,'Prepay vs Invest'!$B$13-'Prepay vs Invest'!$B$14)/1200)+S261</f>
        <v>10382217.091362009</v>
      </c>
      <c r="U261">
        <f t="shared" si="76"/>
        <v>6133552.3707652809</v>
      </c>
      <c r="V261">
        <f>MAX(0,(T261-U261-'Prepay vs Invest'!$B$16)*'Prepay vs Invest'!$B$15/100)</f>
        <v>515458.09007459099</v>
      </c>
      <c r="W261">
        <f t="shared" si="68"/>
        <v>9866759.0012874175</v>
      </c>
      <c r="X261">
        <f t="shared" si="77"/>
        <v>0</v>
      </c>
      <c r="Y261">
        <f>IF(X261&gt;0,X261*'Prepay vs Invest'!$B$6/1200,0)</f>
        <v>0</v>
      </c>
      <c r="Z261">
        <f>IF(X261&gt;0,MIN(-PMT('Prepay vs Invest'!$B$6/1200,'Prepay vs Invest'!$B$7*12-A261+1,X261),X261+Y261),0)</f>
        <v>0</v>
      </c>
      <c r="AA261">
        <f>MIN(MAX(0,X261+Y261-Z261),IF(AND(A261&gt;='Prepay vs Invest'!$B$11,A261&lt;='Prepay vs Invest'!$B$12),'Prepay vs Invest'!$B$10,0)+IF(A261='Prepay vs Invest'!$B$9,'Prepay vs Invest'!$B$8,0))</f>
        <v>0</v>
      </c>
      <c r="AB261">
        <f t="shared" si="69"/>
        <v>0</v>
      </c>
      <c r="AC261">
        <f t="shared" si="78"/>
        <v>13058316.167615412</v>
      </c>
      <c r="AD261">
        <f>IF(A261&lt;='Prepay vs Invest'!$B$7*12,MAX(0,'Prepay vs Invest'!$E$5+IF(AND(A261&gt;='Prepay vs Invest'!$B$11,A261&lt;='Prepay vs Invest'!$B$12),'Prepay vs Invest'!$B$10,0)+IF(A261='Prepay vs Invest'!$B$9,'Prepay vs Invest'!$B$8,0)-Z261-AA261),0)</f>
        <v>0</v>
      </c>
      <c r="AE261">
        <f>AC261*(1+MAX(0,'Prepay vs Invest'!$B$13-'Prepay vs Invest'!$B$14)/1200)+AD261</f>
        <v>13183458.364221726</v>
      </c>
      <c r="AF261">
        <f t="shared" si="79"/>
        <v>4388572.0206063567</v>
      </c>
      <c r="AG261">
        <f>MAX(0,(AE261-AF261-'Prepay vs Invest'!$B$16)*'Prepay vs Invest'!$B$15/100)</f>
        <v>1083735.792951921</v>
      </c>
      <c r="AH261">
        <f t="shared" si="70"/>
        <v>12099722.571269805</v>
      </c>
    </row>
    <row r="262" spans="1:34" x14ac:dyDescent="0.35">
      <c r="A262">
        <f t="shared" si="71"/>
        <v>261</v>
      </c>
      <c r="B262">
        <f>IF(A262&lt;='Prepay vs Invest'!$B$7*12,F261,0)</f>
        <v>0</v>
      </c>
      <c r="C262">
        <f>IF(B262&gt;0,B262*'Prepay vs Invest'!$B$6/1200,0)</f>
        <v>0</v>
      </c>
      <c r="D262">
        <f>IF(B262&gt;0,MIN(-PMT('Prepay vs Invest'!$B$6/1200,'Prepay vs Invest'!$B$7*12,'Prepay vs Invest'!$B$5),B262+C262),0)</f>
        <v>0</v>
      </c>
      <c r="E262">
        <f t="shared" si="64"/>
        <v>0</v>
      </c>
      <c r="F262">
        <f t="shared" si="65"/>
        <v>0</v>
      </c>
      <c r="G262">
        <f t="shared" si="72"/>
        <v>16519106.08723321</v>
      </c>
      <c r="H262">
        <f>IF(A262&lt;='Prepay vs Invest'!$B$7*12,IF(AND(A262&gt;='Prepay vs Invest'!$B$11,A262&lt;='Prepay vs Invest'!$B$12),'Prepay vs Invest'!$B$10,0)+IF(A262='Prepay vs Invest'!$B$9,'Prepay vs Invest'!$B$8,0),0)</f>
        <v>0</v>
      </c>
      <c r="I262">
        <f>G262*(1+MAX(0,'Prepay vs Invest'!$B$13-'Prepay vs Invest'!$B$14)/1200)+H262</f>
        <v>16677414.18723586</v>
      </c>
      <c r="J262">
        <f t="shared" si="73"/>
        <v>2900000</v>
      </c>
      <c r="K262">
        <f>MAX(0,(I262-J262-'Prepay vs Invest'!$B$16)*'Prepay vs Invest'!$B$15/100)</f>
        <v>1706551.7734044825</v>
      </c>
      <c r="L262">
        <f t="shared" si="66"/>
        <v>14970862.413831377</v>
      </c>
      <c r="M262">
        <f t="shared" si="74"/>
        <v>0</v>
      </c>
      <c r="N262">
        <f>IF(M262&gt;0,M262*'Prepay vs Invest'!$B$6/1200,0)</f>
        <v>0</v>
      </c>
      <c r="O262">
        <f>IF(M262&gt;0,MIN('Prepay vs Invest'!$E$5,M262+N262),0)</f>
        <v>0</v>
      </c>
      <c r="P262">
        <f>MIN(MAX(0,M262+N262-O262),IF(AND(A262&gt;='Prepay vs Invest'!$B$11,A262&lt;='Prepay vs Invest'!$B$12),'Prepay vs Invest'!$B$10,0)+IF(A262='Prepay vs Invest'!$B$9,'Prepay vs Invest'!$B$8,0))</f>
        <v>0</v>
      </c>
      <c r="Q262">
        <f t="shared" si="67"/>
        <v>0</v>
      </c>
      <c r="R262">
        <f t="shared" si="75"/>
        <v>10382217.091362009</v>
      </c>
      <c r="S262">
        <f>IF(A262&lt;='Prepay vs Invest'!$B$7*12,MAX(0,'Prepay vs Invest'!$E$5+IF(AND(A262&gt;='Prepay vs Invest'!$B$11,A262&lt;='Prepay vs Invest'!$B$12),'Prepay vs Invest'!$B$10,0)+IF(A262='Prepay vs Invest'!$B$9,'Prepay vs Invest'!$B$8,0)-O262-P262),0)</f>
        <v>0</v>
      </c>
      <c r="T262">
        <f>R262*(1+MAX(0,'Prepay vs Invest'!$B$13-'Prepay vs Invest'!$B$14)/1200)+S262</f>
        <v>10481713.33848756</v>
      </c>
      <c r="U262">
        <f t="shared" si="76"/>
        <v>6133552.3707652809</v>
      </c>
      <c r="V262">
        <f>MAX(0,(T262-U262-'Prepay vs Invest'!$B$16)*'Prepay vs Invest'!$B$15/100)</f>
        <v>527895.12096528488</v>
      </c>
      <c r="W262">
        <f t="shared" si="68"/>
        <v>9953818.2175222747</v>
      </c>
      <c r="X262">
        <f t="shared" si="77"/>
        <v>0</v>
      </c>
      <c r="Y262">
        <f>IF(X262&gt;0,X262*'Prepay vs Invest'!$B$6/1200,0)</f>
        <v>0</v>
      </c>
      <c r="Z262">
        <f>IF(X262&gt;0,MIN(-PMT('Prepay vs Invest'!$B$6/1200,'Prepay vs Invest'!$B$7*12-A262+1,X262),X262+Y262),0)</f>
        <v>0</v>
      </c>
      <c r="AA262">
        <f>MIN(MAX(0,X262+Y262-Z262),IF(AND(A262&gt;='Prepay vs Invest'!$B$11,A262&lt;='Prepay vs Invest'!$B$12),'Prepay vs Invest'!$B$10,0)+IF(A262='Prepay vs Invest'!$B$9,'Prepay vs Invest'!$B$8,0))</f>
        <v>0</v>
      </c>
      <c r="AB262">
        <f t="shared" si="69"/>
        <v>0</v>
      </c>
      <c r="AC262">
        <f t="shared" si="78"/>
        <v>13183458.364221726</v>
      </c>
      <c r="AD262">
        <f>IF(A262&lt;='Prepay vs Invest'!$B$7*12,MAX(0,'Prepay vs Invest'!$E$5+IF(AND(A262&gt;='Prepay vs Invest'!$B$11,A262&lt;='Prepay vs Invest'!$B$12),'Prepay vs Invest'!$B$10,0)+IF(A262='Prepay vs Invest'!$B$9,'Prepay vs Invest'!$B$8,0)-Z262-AA262),0)</f>
        <v>0</v>
      </c>
      <c r="AE262">
        <f>AC262*(1+MAX(0,'Prepay vs Invest'!$B$13-'Prepay vs Invest'!$B$14)/1200)+AD262</f>
        <v>13309799.840212183</v>
      </c>
      <c r="AF262">
        <f t="shared" si="79"/>
        <v>4388572.0206063567</v>
      </c>
      <c r="AG262">
        <f>MAX(0,(AE262-AF262-'Prepay vs Invest'!$B$16)*'Prepay vs Invest'!$B$15/100)</f>
        <v>1099528.4774507284</v>
      </c>
      <c r="AH262">
        <f t="shared" si="70"/>
        <v>12210271.362761455</v>
      </c>
    </row>
    <row r="263" spans="1:34" x14ac:dyDescent="0.35">
      <c r="A263">
        <f t="shared" si="71"/>
        <v>262</v>
      </c>
      <c r="B263">
        <f>IF(A263&lt;='Prepay vs Invest'!$B$7*12,F262,0)</f>
        <v>0</v>
      </c>
      <c r="C263">
        <f>IF(B263&gt;0,B263*'Prepay vs Invest'!$B$6/1200,0)</f>
        <v>0</v>
      </c>
      <c r="D263">
        <f>IF(B263&gt;0,MIN(-PMT('Prepay vs Invest'!$B$6/1200,'Prepay vs Invest'!$B$7*12,'Prepay vs Invest'!$B$5),B263+C263),0)</f>
        <v>0</v>
      </c>
      <c r="E263">
        <f t="shared" si="64"/>
        <v>0</v>
      </c>
      <c r="F263">
        <f t="shared" si="65"/>
        <v>0</v>
      </c>
      <c r="G263">
        <f t="shared" si="72"/>
        <v>16677414.18723586</v>
      </c>
      <c r="H263">
        <f>IF(A263&lt;='Prepay vs Invest'!$B$7*12,IF(AND(A263&gt;='Prepay vs Invest'!$B$11,A263&lt;='Prepay vs Invest'!$B$12),'Prepay vs Invest'!$B$10,0)+IF(A263='Prepay vs Invest'!$B$9,'Prepay vs Invest'!$B$8,0),0)</f>
        <v>0</v>
      </c>
      <c r="I263">
        <f>G263*(1+MAX(0,'Prepay vs Invest'!$B$13-'Prepay vs Invest'!$B$14)/1200)+H263</f>
        <v>16837239.406530201</v>
      </c>
      <c r="J263">
        <f t="shared" si="73"/>
        <v>2900000</v>
      </c>
      <c r="K263">
        <f>MAX(0,(I263-J263-'Prepay vs Invest'!$B$16)*'Prepay vs Invest'!$B$15/100)</f>
        <v>1726529.9258162752</v>
      </c>
      <c r="L263">
        <f t="shared" si="66"/>
        <v>15110709.480713926</v>
      </c>
      <c r="M263">
        <f t="shared" si="74"/>
        <v>0</v>
      </c>
      <c r="N263">
        <f>IF(M263&gt;0,M263*'Prepay vs Invest'!$B$6/1200,0)</f>
        <v>0</v>
      </c>
      <c r="O263">
        <f>IF(M263&gt;0,MIN('Prepay vs Invest'!$E$5,M263+N263),0)</f>
        <v>0</v>
      </c>
      <c r="P263">
        <f>MIN(MAX(0,M263+N263-O263),IF(AND(A263&gt;='Prepay vs Invest'!$B$11,A263&lt;='Prepay vs Invest'!$B$12),'Prepay vs Invest'!$B$10,0)+IF(A263='Prepay vs Invest'!$B$9,'Prepay vs Invest'!$B$8,0))</f>
        <v>0</v>
      </c>
      <c r="Q263">
        <f t="shared" si="67"/>
        <v>0</v>
      </c>
      <c r="R263">
        <f t="shared" si="75"/>
        <v>10481713.33848756</v>
      </c>
      <c r="S263">
        <f>IF(A263&lt;='Prepay vs Invest'!$B$7*12,MAX(0,'Prepay vs Invest'!$E$5+IF(AND(A263&gt;='Prepay vs Invest'!$B$11,A263&lt;='Prepay vs Invest'!$B$12),'Prepay vs Invest'!$B$10,0)+IF(A263='Prepay vs Invest'!$B$9,'Prepay vs Invest'!$B$8,0)-O263-P263),0)</f>
        <v>0</v>
      </c>
      <c r="T263">
        <f>R263*(1+MAX(0,'Prepay vs Invest'!$B$13-'Prepay vs Invest'!$B$14)/1200)+S263</f>
        <v>10582163.091314731</v>
      </c>
      <c r="U263">
        <f t="shared" si="76"/>
        <v>6133552.3707652809</v>
      </c>
      <c r="V263">
        <f>MAX(0,(T263-U263-'Prepay vs Invest'!$B$16)*'Prepay vs Invest'!$B$15/100)</f>
        <v>540451.34006868128</v>
      </c>
      <c r="W263">
        <f t="shared" si="68"/>
        <v>10041711.75124605</v>
      </c>
      <c r="X263">
        <f t="shared" si="77"/>
        <v>0</v>
      </c>
      <c r="Y263">
        <f>IF(X263&gt;0,X263*'Prepay vs Invest'!$B$6/1200,0)</f>
        <v>0</v>
      </c>
      <c r="Z263">
        <f>IF(X263&gt;0,MIN(-PMT('Prepay vs Invest'!$B$6/1200,'Prepay vs Invest'!$B$7*12-A263+1,X263),X263+Y263),0)</f>
        <v>0</v>
      </c>
      <c r="AA263">
        <f>MIN(MAX(0,X263+Y263-Z263),IF(AND(A263&gt;='Prepay vs Invest'!$B$11,A263&lt;='Prepay vs Invest'!$B$12),'Prepay vs Invest'!$B$10,0)+IF(A263='Prepay vs Invest'!$B$9,'Prepay vs Invest'!$B$8,0))</f>
        <v>0</v>
      </c>
      <c r="AB263">
        <f t="shared" si="69"/>
        <v>0</v>
      </c>
      <c r="AC263">
        <f t="shared" si="78"/>
        <v>13309799.840212183</v>
      </c>
      <c r="AD263">
        <f>IF(A263&lt;='Prepay vs Invest'!$B$7*12,MAX(0,'Prepay vs Invest'!$E$5+IF(AND(A263&gt;='Prepay vs Invest'!$B$11,A263&lt;='Prepay vs Invest'!$B$12),'Prepay vs Invest'!$B$10,0)+IF(A263='Prepay vs Invest'!$B$9,'Prepay vs Invest'!$B$8,0)-Z263-AA263),0)</f>
        <v>0</v>
      </c>
      <c r="AE263">
        <f>AC263*(1+MAX(0,'Prepay vs Invest'!$B$13-'Prepay vs Invest'!$B$14)/1200)+AD263</f>
        <v>13437352.088680882</v>
      </c>
      <c r="AF263">
        <f t="shared" si="79"/>
        <v>4388572.0206063567</v>
      </c>
      <c r="AG263">
        <f>MAX(0,(AE263-AF263-'Prepay vs Invest'!$B$16)*'Prepay vs Invest'!$B$15/100)</f>
        <v>1115472.5085093156</v>
      </c>
      <c r="AH263">
        <f t="shared" si="70"/>
        <v>12321879.580171566</v>
      </c>
    </row>
    <row r="264" spans="1:34" x14ac:dyDescent="0.35">
      <c r="A264">
        <f t="shared" si="71"/>
        <v>263</v>
      </c>
      <c r="B264">
        <f>IF(A264&lt;='Prepay vs Invest'!$B$7*12,F263,0)</f>
        <v>0</v>
      </c>
      <c r="C264">
        <f>IF(B264&gt;0,B264*'Prepay vs Invest'!$B$6/1200,0)</f>
        <v>0</v>
      </c>
      <c r="D264">
        <f>IF(B264&gt;0,MIN(-PMT('Prepay vs Invest'!$B$6/1200,'Prepay vs Invest'!$B$7*12,'Prepay vs Invest'!$B$5),B264+C264),0)</f>
        <v>0</v>
      </c>
      <c r="E264">
        <f t="shared" si="64"/>
        <v>0</v>
      </c>
      <c r="F264">
        <f t="shared" si="65"/>
        <v>0</v>
      </c>
      <c r="G264">
        <f t="shared" si="72"/>
        <v>16837239.406530201</v>
      </c>
      <c r="H264">
        <f>IF(A264&lt;='Prepay vs Invest'!$B$7*12,IF(AND(A264&gt;='Prepay vs Invest'!$B$11,A264&lt;='Prepay vs Invest'!$B$12),'Prepay vs Invest'!$B$10,0)+IF(A264='Prepay vs Invest'!$B$9,'Prepay vs Invest'!$B$8,0),0)</f>
        <v>0</v>
      </c>
      <c r="I264">
        <f>G264*(1+MAX(0,'Prepay vs Invest'!$B$13-'Prepay vs Invest'!$B$14)/1200)+H264</f>
        <v>16998596.284176115</v>
      </c>
      <c r="J264">
        <f t="shared" si="73"/>
        <v>2900000</v>
      </c>
      <c r="K264">
        <f>MAX(0,(I264-J264-'Prepay vs Invest'!$B$16)*'Prepay vs Invest'!$B$15/100)</f>
        <v>1746699.5355220146</v>
      </c>
      <c r="L264">
        <f t="shared" si="66"/>
        <v>15251896.748654101</v>
      </c>
      <c r="M264">
        <f t="shared" si="74"/>
        <v>0</v>
      </c>
      <c r="N264">
        <f>IF(M264&gt;0,M264*'Prepay vs Invest'!$B$6/1200,0)</f>
        <v>0</v>
      </c>
      <c r="O264">
        <f>IF(M264&gt;0,MIN('Prepay vs Invest'!$E$5,M264+N264),0)</f>
        <v>0</v>
      </c>
      <c r="P264">
        <f>MIN(MAX(0,M264+N264-O264),IF(AND(A264&gt;='Prepay vs Invest'!$B$11,A264&lt;='Prepay vs Invest'!$B$12),'Prepay vs Invest'!$B$10,0)+IF(A264='Prepay vs Invest'!$B$9,'Prepay vs Invest'!$B$8,0))</f>
        <v>0</v>
      </c>
      <c r="Q264">
        <f t="shared" si="67"/>
        <v>0</v>
      </c>
      <c r="R264">
        <f t="shared" si="75"/>
        <v>10582163.091314731</v>
      </c>
      <c r="S264">
        <f>IF(A264&lt;='Prepay vs Invest'!$B$7*12,MAX(0,'Prepay vs Invest'!$E$5+IF(AND(A264&gt;='Prepay vs Invest'!$B$11,A264&lt;='Prepay vs Invest'!$B$12),'Prepay vs Invest'!$B$10,0)+IF(A264='Prepay vs Invest'!$B$9,'Prepay vs Invest'!$B$8,0)-O264-P264),0)</f>
        <v>0</v>
      </c>
      <c r="T264">
        <f>R264*(1+MAX(0,'Prepay vs Invest'!$B$13-'Prepay vs Invest'!$B$14)/1200)+S264</f>
        <v>10683575.487606497</v>
      </c>
      <c r="U264">
        <f t="shared" si="76"/>
        <v>6133552.3707652809</v>
      </c>
      <c r="V264">
        <f>MAX(0,(T264-U264-'Prepay vs Invest'!$B$16)*'Prepay vs Invest'!$B$15/100)</f>
        <v>553127.88960515207</v>
      </c>
      <c r="W264">
        <f t="shared" si="68"/>
        <v>10130447.598001346</v>
      </c>
      <c r="X264">
        <f t="shared" si="77"/>
        <v>0</v>
      </c>
      <c r="Y264">
        <f>IF(X264&gt;0,X264*'Prepay vs Invest'!$B$6/1200,0)</f>
        <v>0</v>
      </c>
      <c r="Z264">
        <f>IF(X264&gt;0,MIN(-PMT('Prepay vs Invest'!$B$6/1200,'Prepay vs Invest'!$B$7*12-A264+1,X264),X264+Y264),0)</f>
        <v>0</v>
      </c>
      <c r="AA264">
        <f>MIN(MAX(0,X264+Y264-Z264),IF(AND(A264&gt;='Prepay vs Invest'!$B$11,A264&lt;='Prepay vs Invest'!$B$12),'Prepay vs Invest'!$B$10,0)+IF(A264='Prepay vs Invest'!$B$9,'Prepay vs Invest'!$B$8,0))</f>
        <v>0</v>
      </c>
      <c r="AB264">
        <f t="shared" si="69"/>
        <v>0</v>
      </c>
      <c r="AC264">
        <f t="shared" si="78"/>
        <v>13437352.088680882</v>
      </c>
      <c r="AD264">
        <f>IF(A264&lt;='Prepay vs Invest'!$B$7*12,MAX(0,'Prepay vs Invest'!$E$5+IF(AND(A264&gt;='Prepay vs Invest'!$B$11,A264&lt;='Prepay vs Invest'!$B$12),'Prepay vs Invest'!$B$10,0)+IF(A264='Prepay vs Invest'!$B$9,'Prepay vs Invest'!$B$8,0)-Z264-AA264),0)</f>
        <v>0</v>
      </c>
      <c r="AE264">
        <f>AC264*(1+MAX(0,'Prepay vs Invest'!$B$13-'Prepay vs Invest'!$B$14)/1200)+AD264</f>
        <v>13566126.712864073</v>
      </c>
      <c r="AF264">
        <f t="shared" si="79"/>
        <v>4388572.0206063567</v>
      </c>
      <c r="AG264">
        <f>MAX(0,(AE264-AF264-'Prepay vs Invest'!$B$16)*'Prepay vs Invest'!$B$15/100)</f>
        <v>1131569.3365322147</v>
      </c>
      <c r="AH264">
        <f t="shared" si="70"/>
        <v>12434557.376331858</v>
      </c>
    </row>
    <row r="265" spans="1:34" x14ac:dyDescent="0.35">
      <c r="A265">
        <f t="shared" si="71"/>
        <v>264</v>
      </c>
      <c r="B265">
        <f>IF(A265&lt;='Prepay vs Invest'!$B$7*12,F264,0)</f>
        <v>0</v>
      </c>
      <c r="C265">
        <f>IF(B265&gt;0,B265*'Prepay vs Invest'!$B$6/1200,0)</f>
        <v>0</v>
      </c>
      <c r="D265">
        <f>IF(B265&gt;0,MIN(-PMT('Prepay vs Invest'!$B$6/1200,'Prepay vs Invest'!$B$7*12,'Prepay vs Invest'!$B$5),B265+C265),0)</f>
        <v>0</v>
      </c>
      <c r="E265">
        <f t="shared" si="64"/>
        <v>0</v>
      </c>
      <c r="F265">
        <f t="shared" si="65"/>
        <v>0</v>
      </c>
      <c r="G265">
        <f t="shared" si="72"/>
        <v>16998596.284176115</v>
      </c>
      <c r="H265">
        <f>IF(A265&lt;='Prepay vs Invest'!$B$7*12,IF(AND(A265&gt;='Prepay vs Invest'!$B$11,A265&lt;='Prepay vs Invest'!$B$12),'Prepay vs Invest'!$B$10,0)+IF(A265='Prepay vs Invest'!$B$9,'Prepay vs Invest'!$B$8,0),0)</f>
        <v>0</v>
      </c>
      <c r="I265">
        <f>G265*(1+MAX(0,'Prepay vs Invest'!$B$13-'Prepay vs Invest'!$B$14)/1200)+H265</f>
        <v>17161499.498566136</v>
      </c>
      <c r="J265">
        <f t="shared" si="73"/>
        <v>2900000</v>
      </c>
      <c r="K265">
        <f>MAX(0,(I265-J265-'Prepay vs Invest'!$B$16)*'Prepay vs Invest'!$B$15/100)</f>
        <v>1767062.437320767</v>
      </c>
      <c r="L265">
        <f t="shared" si="66"/>
        <v>15394437.061245369</v>
      </c>
      <c r="M265">
        <f t="shared" si="74"/>
        <v>0</v>
      </c>
      <c r="N265">
        <f>IF(M265&gt;0,M265*'Prepay vs Invest'!$B$6/1200,0)</f>
        <v>0</v>
      </c>
      <c r="O265">
        <f>IF(M265&gt;0,MIN('Prepay vs Invest'!$E$5,M265+N265),0)</f>
        <v>0</v>
      </c>
      <c r="P265">
        <f>MIN(MAX(0,M265+N265-O265),IF(AND(A265&gt;='Prepay vs Invest'!$B$11,A265&lt;='Prepay vs Invest'!$B$12),'Prepay vs Invest'!$B$10,0)+IF(A265='Prepay vs Invest'!$B$9,'Prepay vs Invest'!$B$8,0))</f>
        <v>0</v>
      </c>
      <c r="Q265">
        <f t="shared" si="67"/>
        <v>0</v>
      </c>
      <c r="R265">
        <f t="shared" si="75"/>
        <v>10683575.487606497</v>
      </c>
      <c r="S265">
        <f>IF(A265&lt;='Prepay vs Invest'!$B$7*12,MAX(0,'Prepay vs Invest'!$E$5+IF(AND(A265&gt;='Prepay vs Invest'!$B$11,A265&lt;='Prepay vs Invest'!$B$12),'Prepay vs Invest'!$B$10,0)+IF(A265='Prepay vs Invest'!$B$9,'Prepay vs Invest'!$B$8,0)-O265-P265),0)</f>
        <v>0</v>
      </c>
      <c r="T265">
        <f>R265*(1+MAX(0,'Prepay vs Invest'!$B$13-'Prepay vs Invest'!$B$14)/1200)+S265</f>
        <v>10785959.75269606</v>
      </c>
      <c r="U265">
        <f t="shared" si="76"/>
        <v>6133552.3707652809</v>
      </c>
      <c r="V265">
        <f>MAX(0,(T265-U265-'Prepay vs Invest'!$B$16)*'Prepay vs Invest'!$B$15/100)</f>
        <v>565925.92274134734</v>
      </c>
      <c r="W265">
        <f t="shared" si="68"/>
        <v>10220033.829954712</v>
      </c>
      <c r="X265">
        <f t="shared" si="77"/>
        <v>0</v>
      </c>
      <c r="Y265">
        <f>IF(X265&gt;0,X265*'Prepay vs Invest'!$B$6/1200,0)</f>
        <v>0</v>
      </c>
      <c r="Z265">
        <f>IF(X265&gt;0,MIN(-PMT('Prepay vs Invest'!$B$6/1200,'Prepay vs Invest'!$B$7*12-A265+1,X265),X265+Y265),0)</f>
        <v>0</v>
      </c>
      <c r="AA265">
        <f>MIN(MAX(0,X265+Y265-Z265),IF(AND(A265&gt;='Prepay vs Invest'!$B$11,A265&lt;='Prepay vs Invest'!$B$12),'Prepay vs Invest'!$B$10,0)+IF(A265='Prepay vs Invest'!$B$9,'Prepay vs Invest'!$B$8,0))</f>
        <v>0</v>
      </c>
      <c r="AB265">
        <f t="shared" si="69"/>
        <v>0</v>
      </c>
      <c r="AC265">
        <f t="shared" si="78"/>
        <v>13566126.712864073</v>
      </c>
      <c r="AD265">
        <f>IF(A265&lt;='Prepay vs Invest'!$B$7*12,MAX(0,'Prepay vs Invest'!$E$5+IF(AND(A265&gt;='Prepay vs Invest'!$B$11,A265&lt;='Prepay vs Invest'!$B$12),'Prepay vs Invest'!$B$10,0)+IF(A265='Prepay vs Invest'!$B$9,'Prepay vs Invest'!$B$8,0)-Z265-AA265),0)</f>
        <v>0</v>
      </c>
      <c r="AE265">
        <f>AC265*(1+MAX(0,'Prepay vs Invest'!$B$13-'Prepay vs Invest'!$B$14)/1200)+AD265</f>
        <v>13696135.427195687</v>
      </c>
      <c r="AF265">
        <f t="shared" si="79"/>
        <v>4388572.0206063567</v>
      </c>
      <c r="AG265">
        <f>MAX(0,(AE265-AF265-'Prepay vs Invest'!$B$16)*'Prepay vs Invest'!$B$15/100)</f>
        <v>1147820.4258236662</v>
      </c>
      <c r="AH265">
        <f t="shared" si="70"/>
        <v>12548315.001372021</v>
      </c>
    </row>
    <row r="266" spans="1:34" x14ac:dyDescent="0.35">
      <c r="A266">
        <f t="shared" si="71"/>
        <v>265</v>
      </c>
      <c r="B266">
        <f>IF(A266&lt;='Prepay vs Invest'!$B$7*12,F265,0)</f>
        <v>0</v>
      </c>
      <c r="C266">
        <f>IF(B266&gt;0,B266*'Prepay vs Invest'!$B$6/1200,0)</f>
        <v>0</v>
      </c>
      <c r="D266">
        <f>IF(B266&gt;0,MIN(-PMT('Prepay vs Invest'!$B$6/1200,'Prepay vs Invest'!$B$7*12,'Prepay vs Invest'!$B$5),B266+C266),0)</f>
        <v>0</v>
      </c>
      <c r="E266">
        <f t="shared" si="64"/>
        <v>0</v>
      </c>
      <c r="F266">
        <f t="shared" si="65"/>
        <v>0</v>
      </c>
      <c r="G266">
        <f t="shared" si="72"/>
        <v>17161499.498566136</v>
      </c>
      <c r="H266">
        <f>IF(A266&lt;='Prepay vs Invest'!$B$7*12,IF(AND(A266&gt;='Prepay vs Invest'!$B$11,A266&lt;='Prepay vs Invest'!$B$12),'Prepay vs Invest'!$B$10,0)+IF(A266='Prepay vs Invest'!$B$9,'Prepay vs Invest'!$B$8,0),0)</f>
        <v>0</v>
      </c>
      <c r="I266">
        <f>G266*(1+MAX(0,'Prepay vs Invest'!$B$13-'Prepay vs Invest'!$B$14)/1200)+H266</f>
        <v>17325963.868760727</v>
      </c>
      <c r="J266">
        <f t="shared" si="73"/>
        <v>2900000</v>
      </c>
      <c r="K266">
        <f>MAX(0,(I266-J266-'Prepay vs Invest'!$B$16)*'Prepay vs Invest'!$B$15/100)</f>
        <v>1787620.4835950909</v>
      </c>
      <c r="L266">
        <f t="shared" si="66"/>
        <v>15538343.385165635</v>
      </c>
      <c r="M266">
        <f t="shared" si="74"/>
        <v>0</v>
      </c>
      <c r="N266">
        <f>IF(M266&gt;0,M266*'Prepay vs Invest'!$B$6/1200,0)</f>
        <v>0</v>
      </c>
      <c r="O266">
        <f>IF(M266&gt;0,MIN('Prepay vs Invest'!$E$5,M266+N266),0)</f>
        <v>0</v>
      </c>
      <c r="P266">
        <f>MIN(MAX(0,M266+N266-O266),IF(AND(A266&gt;='Prepay vs Invest'!$B$11,A266&lt;='Prepay vs Invest'!$B$12),'Prepay vs Invest'!$B$10,0)+IF(A266='Prepay vs Invest'!$B$9,'Prepay vs Invest'!$B$8,0))</f>
        <v>0</v>
      </c>
      <c r="Q266">
        <f t="shared" si="67"/>
        <v>0</v>
      </c>
      <c r="R266">
        <f t="shared" si="75"/>
        <v>10785959.75269606</v>
      </c>
      <c r="S266">
        <f>IF(A266&lt;='Prepay vs Invest'!$B$7*12,MAX(0,'Prepay vs Invest'!$E$5+IF(AND(A266&gt;='Prepay vs Invest'!$B$11,A266&lt;='Prepay vs Invest'!$B$12),'Prepay vs Invest'!$B$10,0)+IF(A266='Prepay vs Invest'!$B$9,'Prepay vs Invest'!$B$8,0)-O266-P266),0)</f>
        <v>0</v>
      </c>
      <c r="T266">
        <f>R266*(1+MAX(0,'Prepay vs Invest'!$B$13-'Prepay vs Invest'!$B$14)/1200)+S266</f>
        <v>10889325.200326063</v>
      </c>
      <c r="U266">
        <f t="shared" si="76"/>
        <v>6133552.3707652809</v>
      </c>
      <c r="V266">
        <f>MAX(0,(T266-U266-'Prepay vs Invest'!$B$16)*'Prepay vs Invest'!$B$15/100)</f>
        <v>578846.60369509773</v>
      </c>
      <c r="W266">
        <f t="shared" si="68"/>
        <v>10310478.596630964</v>
      </c>
      <c r="X266">
        <f t="shared" si="77"/>
        <v>0</v>
      </c>
      <c r="Y266">
        <f>IF(X266&gt;0,X266*'Prepay vs Invest'!$B$6/1200,0)</f>
        <v>0</v>
      </c>
      <c r="Z266">
        <f>IF(X266&gt;0,MIN(-PMT('Prepay vs Invest'!$B$6/1200,'Prepay vs Invest'!$B$7*12-A266+1,X266),X266+Y266),0)</f>
        <v>0</v>
      </c>
      <c r="AA266">
        <f>MIN(MAX(0,X266+Y266-Z266),IF(AND(A266&gt;='Prepay vs Invest'!$B$11,A266&lt;='Prepay vs Invest'!$B$12),'Prepay vs Invest'!$B$10,0)+IF(A266='Prepay vs Invest'!$B$9,'Prepay vs Invest'!$B$8,0))</f>
        <v>0</v>
      </c>
      <c r="AB266">
        <f t="shared" si="69"/>
        <v>0</v>
      </c>
      <c r="AC266">
        <f t="shared" si="78"/>
        <v>13696135.427195687</v>
      </c>
      <c r="AD266">
        <f>IF(A266&lt;='Prepay vs Invest'!$B$7*12,MAX(0,'Prepay vs Invest'!$E$5+IF(AND(A266&gt;='Prepay vs Invest'!$B$11,A266&lt;='Prepay vs Invest'!$B$12),'Prepay vs Invest'!$B$10,0)+IF(A266='Prepay vs Invest'!$B$9,'Prepay vs Invest'!$B$8,0)-Z266-AA266),0)</f>
        <v>0</v>
      </c>
      <c r="AE266">
        <f>AC266*(1+MAX(0,'Prepay vs Invest'!$B$13-'Prepay vs Invest'!$B$14)/1200)+AD266</f>
        <v>13827390.058372978</v>
      </c>
      <c r="AF266">
        <f t="shared" si="79"/>
        <v>4388572.0206063567</v>
      </c>
      <c r="AG266">
        <f>MAX(0,(AE266-AF266-'Prepay vs Invest'!$B$16)*'Prepay vs Invest'!$B$15/100)</f>
        <v>1164227.2547208276</v>
      </c>
      <c r="AH266">
        <f t="shared" si="70"/>
        <v>12663162.803652151</v>
      </c>
    </row>
    <row r="267" spans="1:34" x14ac:dyDescent="0.35">
      <c r="A267">
        <f t="shared" si="71"/>
        <v>266</v>
      </c>
      <c r="B267">
        <f>IF(A267&lt;='Prepay vs Invest'!$B$7*12,F266,0)</f>
        <v>0</v>
      </c>
      <c r="C267">
        <f>IF(B267&gt;0,B267*'Prepay vs Invest'!$B$6/1200,0)</f>
        <v>0</v>
      </c>
      <c r="D267">
        <f>IF(B267&gt;0,MIN(-PMT('Prepay vs Invest'!$B$6/1200,'Prepay vs Invest'!$B$7*12,'Prepay vs Invest'!$B$5),B267+C267),0)</f>
        <v>0</v>
      </c>
      <c r="E267">
        <f t="shared" si="64"/>
        <v>0</v>
      </c>
      <c r="F267">
        <f t="shared" si="65"/>
        <v>0</v>
      </c>
      <c r="G267">
        <f t="shared" si="72"/>
        <v>17325963.868760727</v>
      </c>
      <c r="H267">
        <f>IF(A267&lt;='Prepay vs Invest'!$B$7*12,IF(AND(A267&gt;='Prepay vs Invest'!$B$11,A267&lt;='Prepay vs Invest'!$B$12),'Prepay vs Invest'!$B$10,0)+IF(A267='Prepay vs Invest'!$B$9,'Prepay vs Invest'!$B$8,0),0)</f>
        <v>0</v>
      </c>
      <c r="I267">
        <f>G267*(1+MAX(0,'Prepay vs Invest'!$B$13-'Prepay vs Invest'!$B$14)/1200)+H267</f>
        <v>17492004.35583635</v>
      </c>
      <c r="J267">
        <f t="shared" si="73"/>
        <v>2900000</v>
      </c>
      <c r="K267">
        <f>MAX(0,(I267-J267-'Prepay vs Invest'!$B$16)*'Prepay vs Invest'!$B$15/100)</f>
        <v>1808375.5444795438</v>
      </c>
      <c r="L267">
        <f t="shared" si="66"/>
        <v>15683628.811356807</v>
      </c>
      <c r="M267">
        <f t="shared" si="74"/>
        <v>0</v>
      </c>
      <c r="N267">
        <f>IF(M267&gt;0,M267*'Prepay vs Invest'!$B$6/1200,0)</f>
        <v>0</v>
      </c>
      <c r="O267">
        <f>IF(M267&gt;0,MIN('Prepay vs Invest'!$E$5,M267+N267),0)</f>
        <v>0</v>
      </c>
      <c r="P267">
        <f>MIN(MAX(0,M267+N267-O267),IF(AND(A267&gt;='Prepay vs Invest'!$B$11,A267&lt;='Prepay vs Invest'!$B$12),'Prepay vs Invest'!$B$10,0)+IF(A267='Prepay vs Invest'!$B$9,'Prepay vs Invest'!$B$8,0))</f>
        <v>0</v>
      </c>
      <c r="Q267">
        <f t="shared" si="67"/>
        <v>0</v>
      </c>
      <c r="R267">
        <f t="shared" si="75"/>
        <v>10889325.200326063</v>
      </c>
      <c r="S267">
        <f>IF(A267&lt;='Prepay vs Invest'!$B$7*12,MAX(0,'Prepay vs Invest'!$E$5+IF(AND(A267&gt;='Prepay vs Invest'!$B$11,A267&lt;='Prepay vs Invest'!$B$12),'Prepay vs Invest'!$B$10,0)+IF(A267='Prepay vs Invest'!$B$9,'Prepay vs Invest'!$B$8,0)-O267-P267),0)</f>
        <v>0</v>
      </c>
      <c r="T267">
        <f>R267*(1+MAX(0,'Prepay vs Invest'!$B$13-'Prepay vs Invest'!$B$14)/1200)+S267</f>
        <v>10993681.233495854</v>
      </c>
      <c r="U267">
        <f t="shared" si="76"/>
        <v>6133552.3707652809</v>
      </c>
      <c r="V267">
        <f>MAX(0,(T267-U267-'Prepay vs Invest'!$B$16)*'Prepay vs Invest'!$B$15/100)</f>
        <v>591891.10784132162</v>
      </c>
      <c r="W267">
        <f t="shared" si="68"/>
        <v>10401790.125654532</v>
      </c>
      <c r="X267">
        <f t="shared" si="77"/>
        <v>0</v>
      </c>
      <c r="Y267">
        <f>IF(X267&gt;0,X267*'Prepay vs Invest'!$B$6/1200,0)</f>
        <v>0</v>
      </c>
      <c r="Z267">
        <f>IF(X267&gt;0,MIN(-PMT('Prepay vs Invest'!$B$6/1200,'Prepay vs Invest'!$B$7*12-A267+1,X267),X267+Y267),0)</f>
        <v>0</v>
      </c>
      <c r="AA267">
        <f>MIN(MAX(0,X267+Y267-Z267),IF(AND(A267&gt;='Prepay vs Invest'!$B$11,A267&lt;='Prepay vs Invest'!$B$12),'Prepay vs Invest'!$B$10,0)+IF(A267='Prepay vs Invest'!$B$9,'Prepay vs Invest'!$B$8,0))</f>
        <v>0</v>
      </c>
      <c r="AB267">
        <f t="shared" si="69"/>
        <v>0</v>
      </c>
      <c r="AC267">
        <f t="shared" si="78"/>
        <v>13827390.058372978</v>
      </c>
      <c r="AD267">
        <f>IF(A267&lt;='Prepay vs Invest'!$B$7*12,MAX(0,'Prepay vs Invest'!$E$5+IF(AND(A267&gt;='Prepay vs Invest'!$B$11,A267&lt;='Prepay vs Invest'!$B$12),'Prepay vs Invest'!$B$10,0)+IF(A267='Prepay vs Invest'!$B$9,'Prepay vs Invest'!$B$8,0)-Z267-AA267),0)</f>
        <v>0</v>
      </c>
      <c r="AE267">
        <f>AC267*(1+MAX(0,'Prepay vs Invest'!$B$13-'Prepay vs Invest'!$B$14)/1200)+AD267</f>
        <v>13959902.546432385</v>
      </c>
      <c r="AF267">
        <f t="shared" si="79"/>
        <v>4388572.0206063567</v>
      </c>
      <c r="AG267">
        <f>MAX(0,(AE267-AF267-'Prepay vs Invest'!$B$16)*'Prepay vs Invest'!$B$15/100)</f>
        <v>1180791.3157282537</v>
      </c>
      <c r="AH267">
        <f t="shared" si="70"/>
        <v>12779111.230704132</v>
      </c>
    </row>
    <row r="268" spans="1:34" x14ac:dyDescent="0.35">
      <c r="A268">
        <f t="shared" si="71"/>
        <v>267</v>
      </c>
      <c r="B268">
        <f>IF(A268&lt;='Prepay vs Invest'!$B$7*12,F267,0)</f>
        <v>0</v>
      </c>
      <c r="C268">
        <f>IF(B268&gt;0,B268*'Prepay vs Invest'!$B$6/1200,0)</f>
        <v>0</v>
      </c>
      <c r="D268">
        <f>IF(B268&gt;0,MIN(-PMT('Prepay vs Invest'!$B$6/1200,'Prepay vs Invest'!$B$7*12,'Prepay vs Invest'!$B$5),B268+C268),0)</f>
        <v>0</v>
      </c>
      <c r="E268">
        <f t="shared" si="64"/>
        <v>0</v>
      </c>
      <c r="F268">
        <f t="shared" si="65"/>
        <v>0</v>
      </c>
      <c r="G268">
        <f t="shared" si="72"/>
        <v>17492004.35583635</v>
      </c>
      <c r="H268">
        <f>IF(A268&lt;='Prepay vs Invest'!$B$7*12,IF(AND(A268&gt;='Prepay vs Invest'!$B$11,A268&lt;='Prepay vs Invest'!$B$12),'Prepay vs Invest'!$B$10,0)+IF(A268='Prepay vs Invest'!$B$9,'Prepay vs Invest'!$B$8,0),0)</f>
        <v>0</v>
      </c>
      <c r="I268">
        <f>G268*(1+MAX(0,'Prepay vs Invest'!$B$13-'Prepay vs Invest'!$B$14)/1200)+H268</f>
        <v>17659636.06424645</v>
      </c>
      <c r="J268">
        <f t="shared" si="73"/>
        <v>2900000</v>
      </c>
      <c r="K268">
        <f>MAX(0,(I268-J268-'Prepay vs Invest'!$B$16)*'Prepay vs Invest'!$B$15/100)</f>
        <v>1829329.5080308062</v>
      </c>
      <c r="L268">
        <f t="shared" si="66"/>
        <v>15830306.556215644</v>
      </c>
      <c r="M268">
        <f t="shared" si="74"/>
        <v>0</v>
      </c>
      <c r="N268">
        <f>IF(M268&gt;0,M268*'Prepay vs Invest'!$B$6/1200,0)</f>
        <v>0</v>
      </c>
      <c r="O268">
        <f>IF(M268&gt;0,MIN('Prepay vs Invest'!$E$5,M268+N268),0)</f>
        <v>0</v>
      </c>
      <c r="P268">
        <f>MIN(MAX(0,M268+N268-O268),IF(AND(A268&gt;='Prepay vs Invest'!$B$11,A268&lt;='Prepay vs Invest'!$B$12),'Prepay vs Invest'!$B$10,0)+IF(A268='Prepay vs Invest'!$B$9,'Prepay vs Invest'!$B$8,0))</f>
        <v>0</v>
      </c>
      <c r="Q268">
        <f t="shared" si="67"/>
        <v>0</v>
      </c>
      <c r="R268">
        <f t="shared" si="75"/>
        <v>10993681.233495854</v>
      </c>
      <c r="S268">
        <f>IF(A268&lt;='Prepay vs Invest'!$B$7*12,MAX(0,'Prepay vs Invest'!$E$5+IF(AND(A268&gt;='Prepay vs Invest'!$B$11,A268&lt;='Prepay vs Invest'!$B$12),'Prepay vs Invest'!$B$10,0)+IF(A268='Prepay vs Invest'!$B$9,'Prepay vs Invest'!$B$8,0)-O268-P268),0)</f>
        <v>0</v>
      </c>
      <c r="T268">
        <f>R268*(1+MAX(0,'Prepay vs Invest'!$B$13-'Prepay vs Invest'!$B$14)/1200)+S268</f>
        <v>11099037.345316855</v>
      </c>
      <c r="U268">
        <f t="shared" si="76"/>
        <v>6133552.3707652809</v>
      </c>
      <c r="V268">
        <f>MAX(0,(T268-U268-'Prepay vs Invest'!$B$16)*'Prepay vs Invest'!$B$15/100)</f>
        <v>605060.62181894679</v>
      </c>
      <c r="W268">
        <f t="shared" si="68"/>
        <v>10493976.723497909</v>
      </c>
      <c r="X268">
        <f t="shared" si="77"/>
        <v>0</v>
      </c>
      <c r="Y268">
        <f>IF(X268&gt;0,X268*'Prepay vs Invest'!$B$6/1200,0)</f>
        <v>0</v>
      </c>
      <c r="Z268">
        <f>IF(X268&gt;0,MIN(-PMT('Prepay vs Invest'!$B$6/1200,'Prepay vs Invest'!$B$7*12-A268+1,X268),X268+Y268),0)</f>
        <v>0</v>
      </c>
      <c r="AA268">
        <f>MIN(MAX(0,X268+Y268-Z268),IF(AND(A268&gt;='Prepay vs Invest'!$B$11,A268&lt;='Prepay vs Invest'!$B$12),'Prepay vs Invest'!$B$10,0)+IF(A268='Prepay vs Invest'!$B$9,'Prepay vs Invest'!$B$8,0))</f>
        <v>0</v>
      </c>
      <c r="AB268">
        <f t="shared" si="69"/>
        <v>0</v>
      </c>
      <c r="AC268">
        <f t="shared" si="78"/>
        <v>13959902.546432385</v>
      </c>
      <c r="AD268">
        <f>IF(A268&lt;='Prepay vs Invest'!$B$7*12,MAX(0,'Prepay vs Invest'!$E$5+IF(AND(A268&gt;='Prepay vs Invest'!$B$11,A268&lt;='Prepay vs Invest'!$B$12),'Prepay vs Invest'!$B$10,0)+IF(A268='Prepay vs Invest'!$B$9,'Prepay vs Invest'!$B$8,0)-Z268-AA268),0)</f>
        <v>0</v>
      </c>
      <c r="AE268">
        <f>AC268*(1+MAX(0,'Prepay vs Invest'!$B$13-'Prepay vs Invest'!$B$14)/1200)+AD268</f>
        <v>14093684.945835695</v>
      </c>
      <c r="AF268">
        <f t="shared" si="79"/>
        <v>4388572.0206063567</v>
      </c>
      <c r="AG268">
        <f>MAX(0,(AE268-AF268-'Prepay vs Invest'!$B$16)*'Prepay vs Invest'!$B$15/100)</f>
        <v>1197514.1156536671</v>
      </c>
      <c r="AH268">
        <f t="shared" si="70"/>
        <v>12896170.830182027</v>
      </c>
    </row>
    <row r="269" spans="1:34" x14ac:dyDescent="0.35">
      <c r="A269">
        <f t="shared" si="71"/>
        <v>268</v>
      </c>
      <c r="B269">
        <f>IF(A269&lt;='Prepay vs Invest'!$B$7*12,F268,0)</f>
        <v>0</v>
      </c>
      <c r="C269">
        <f>IF(B269&gt;0,B269*'Prepay vs Invest'!$B$6/1200,0)</f>
        <v>0</v>
      </c>
      <c r="D269">
        <f>IF(B269&gt;0,MIN(-PMT('Prepay vs Invest'!$B$6/1200,'Prepay vs Invest'!$B$7*12,'Prepay vs Invest'!$B$5),B269+C269),0)</f>
        <v>0</v>
      </c>
      <c r="E269">
        <f t="shared" si="64"/>
        <v>0</v>
      </c>
      <c r="F269">
        <f t="shared" si="65"/>
        <v>0</v>
      </c>
      <c r="G269">
        <f t="shared" si="72"/>
        <v>17659636.06424645</v>
      </c>
      <c r="H269">
        <f>IF(A269&lt;='Prepay vs Invest'!$B$7*12,IF(AND(A269&gt;='Prepay vs Invest'!$B$11,A269&lt;='Prepay vs Invest'!$B$12),'Prepay vs Invest'!$B$10,0)+IF(A269='Prepay vs Invest'!$B$9,'Prepay vs Invest'!$B$8,0),0)</f>
        <v>0</v>
      </c>
      <c r="I269">
        <f>G269*(1+MAX(0,'Prepay vs Invest'!$B$13-'Prepay vs Invest'!$B$14)/1200)+H269</f>
        <v>17828874.243195478</v>
      </c>
      <c r="J269">
        <f t="shared" si="73"/>
        <v>2900000</v>
      </c>
      <c r="K269">
        <f>MAX(0,(I269-J269-'Prepay vs Invest'!$B$16)*'Prepay vs Invest'!$B$15/100)</f>
        <v>1850484.280399435</v>
      </c>
      <c r="L269">
        <f t="shared" si="66"/>
        <v>15978389.962796044</v>
      </c>
      <c r="M269">
        <f t="shared" si="74"/>
        <v>0</v>
      </c>
      <c r="N269">
        <f>IF(M269&gt;0,M269*'Prepay vs Invest'!$B$6/1200,0)</f>
        <v>0</v>
      </c>
      <c r="O269">
        <f>IF(M269&gt;0,MIN('Prepay vs Invest'!$E$5,M269+N269),0)</f>
        <v>0</v>
      </c>
      <c r="P269">
        <f>MIN(MAX(0,M269+N269-O269),IF(AND(A269&gt;='Prepay vs Invest'!$B$11,A269&lt;='Prepay vs Invest'!$B$12),'Prepay vs Invest'!$B$10,0)+IF(A269='Prepay vs Invest'!$B$9,'Prepay vs Invest'!$B$8,0))</f>
        <v>0</v>
      </c>
      <c r="Q269">
        <f t="shared" si="67"/>
        <v>0</v>
      </c>
      <c r="R269">
        <f t="shared" si="75"/>
        <v>11099037.345316855</v>
      </c>
      <c r="S269">
        <f>IF(A269&lt;='Prepay vs Invest'!$B$7*12,MAX(0,'Prepay vs Invest'!$E$5+IF(AND(A269&gt;='Prepay vs Invest'!$B$11,A269&lt;='Prepay vs Invest'!$B$12),'Prepay vs Invest'!$B$10,0)+IF(A269='Prepay vs Invest'!$B$9,'Prepay vs Invest'!$B$8,0)-O269-P269),0)</f>
        <v>0</v>
      </c>
      <c r="T269">
        <f>R269*(1+MAX(0,'Prepay vs Invest'!$B$13-'Prepay vs Invest'!$B$14)/1200)+S269</f>
        <v>11205403.119876141</v>
      </c>
      <c r="U269">
        <f t="shared" si="76"/>
        <v>6133552.3707652809</v>
      </c>
      <c r="V269">
        <f>MAX(0,(T269-U269-'Prepay vs Invest'!$B$16)*'Prepay vs Invest'!$B$15/100)</f>
        <v>618356.34363885748</v>
      </c>
      <c r="W269">
        <f t="shared" si="68"/>
        <v>10587046.776237283</v>
      </c>
      <c r="X269">
        <f t="shared" si="77"/>
        <v>0</v>
      </c>
      <c r="Y269">
        <f>IF(X269&gt;0,X269*'Prepay vs Invest'!$B$6/1200,0)</f>
        <v>0</v>
      </c>
      <c r="Z269">
        <f>IF(X269&gt;0,MIN(-PMT('Prepay vs Invest'!$B$6/1200,'Prepay vs Invest'!$B$7*12-A269+1,X269),X269+Y269),0)</f>
        <v>0</v>
      </c>
      <c r="AA269">
        <f>MIN(MAX(0,X269+Y269-Z269),IF(AND(A269&gt;='Prepay vs Invest'!$B$11,A269&lt;='Prepay vs Invest'!$B$12),'Prepay vs Invest'!$B$10,0)+IF(A269='Prepay vs Invest'!$B$9,'Prepay vs Invest'!$B$8,0))</f>
        <v>0</v>
      </c>
      <c r="AB269">
        <f t="shared" si="69"/>
        <v>0</v>
      </c>
      <c r="AC269">
        <f t="shared" si="78"/>
        <v>14093684.945835695</v>
      </c>
      <c r="AD269">
        <f>IF(A269&lt;='Prepay vs Invest'!$B$7*12,MAX(0,'Prepay vs Invest'!$E$5+IF(AND(A269&gt;='Prepay vs Invest'!$B$11,A269&lt;='Prepay vs Invest'!$B$12),'Prepay vs Invest'!$B$10,0)+IF(A269='Prepay vs Invest'!$B$9,'Prepay vs Invest'!$B$8,0)-Z269-AA269),0)</f>
        <v>0</v>
      </c>
      <c r="AE269">
        <f>AC269*(1+MAX(0,'Prepay vs Invest'!$B$13-'Prepay vs Invest'!$B$14)/1200)+AD269</f>
        <v>14228749.426566619</v>
      </c>
      <c r="AF269">
        <f t="shared" si="79"/>
        <v>4388572.0206063567</v>
      </c>
      <c r="AG269">
        <f>MAX(0,(AE269-AF269-'Prepay vs Invest'!$B$16)*'Prepay vs Invest'!$B$15/100)</f>
        <v>1214397.1757450327</v>
      </c>
      <c r="AH269">
        <f t="shared" si="70"/>
        <v>13014352.250821587</v>
      </c>
    </row>
    <row r="270" spans="1:34" x14ac:dyDescent="0.35">
      <c r="A270">
        <f t="shared" si="71"/>
        <v>269</v>
      </c>
      <c r="B270">
        <f>IF(A270&lt;='Prepay vs Invest'!$B$7*12,F269,0)</f>
        <v>0</v>
      </c>
      <c r="C270">
        <f>IF(B270&gt;0,B270*'Prepay vs Invest'!$B$6/1200,0)</f>
        <v>0</v>
      </c>
      <c r="D270">
        <f>IF(B270&gt;0,MIN(-PMT('Prepay vs Invest'!$B$6/1200,'Prepay vs Invest'!$B$7*12,'Prepay vs Invest'!$B$5),B270+C270),0)</f>
        <v>0</v>
      </c>
      <c r="E270">
        <f t="shared" si="64"/>
        <v>0</v>
      </c>
      <c r="F270">
        <f t="shared" si="65"/>
        <v>0</v>
      </c>
      <c r="G270">
        <f t="shared" si="72"/>
        <v>17828874.243195478</v>
      </c>
      <c r="H270">
        <f>IF(A270&lt;='Prepay vs Invest'!$B$7*12,IF(AND(A270&gt;='Prepay vs Invest'!$B$11,A270&lt;='Prepay vs Invest'!$B$12),'Prepay vs Invest'!$B$10,0)+IF(A270='Prepay vs Invest'!$B$9,'Prepay vs Invest'!$B$8,0),0)</f>
        <v>0</v>
      </c>
      <c r="I270">
        <f>G270*(1+MAX(0,'Prepay vs Invest'!$B$13-'Prepay vs Invest'!$B$14)/1200)+H270</f>
        <v>17999734.288026102</v>
      </c>
      <c r="J270">
        <f t="shared" si="73"/>
        <v>2900000</v>
      </c>
      <c r="K270">
        <f>MAX(0,(I270-J270-'Prepay vs Invest'!$B$16)*'Prepay vs Invest'!$B$15/100)</f>
        <v>1871841.7860032627</v>
      </c>
      <c r="L270">
        <f t="shared" si="66"/>
        <v>16127892.50202284</v>
      </c>
      <c r="M270">
        <f t="shared" si="74"/>
        <v>0</v>
      </c>
      <c r="N270">
        <f>IF(M270&gt;0,M270*'Prepay vs Invest'!$B$6/1200,0)</f>
        <v>0</v>
      </c>
      <c r="O270">
        <f>IF(M270&gt;0,MIN('Prepay vs Invest'!$E$5,M270+N270),0)</f>
        <v>0</v>
      </c>
      <c r="P270">
        <f>MIN(MAX(0,M270+N270-O270),IF(AND(A270&gt;='Prepay vs Invest'!$B$11,A270&lt;='Prepay vs Invest'!$B$12),'Prepay vs Invest'!$B$10,0)+IF(A270='Prepay vs Invest'!$B$9,'Prepay vs Invest'!$B$8,0))</f>
        <v>0</v>
      </c>
      <c r="Q270">
        <f t="shared" si="67"/>
        <v>0</v>
      </c>
      <c r="R270">
        <f t="shared" si="75"/>
        <v>11205403.119876141</v>
      </c>
      <c r="S270">
        <f>IF(A270&lt;='Prepay vs Invest'!$B$7*12,MAX(0,'Prepay vs Invest'!$E$5+IF(AND(A270&gt;='Prepay vs Invest'!$B$11,A270&lt;='Prepay vs Invest'!$B$12),'Prepay vs Invest'!$B$10,0)+IF(A270='Prepay vs Invest'!$B$9,'Prepay vs Invest'!$B$8,0)-O270-P270),0)</f>
        <v>0</v>
      </c>
      <c r="T270">
        <f>R270*(1+MAX(0,'Prepay vs Invest'!$B$13-'Prepay vs Invest'!$B$14)/1200)+S270</f>
        <v>11312788.233108286</v>
      </c>
      <c r="U270">
        <f t="shared" si="76"/>
        <v>6133552.3707652809</v>
      </c>
      <c r="V270">
        <f>MAX(0,(T270-U270-'Prepay vs Invest'!$B$16)*'Prepay vs Invest'!$B$15/100)</f>
        <v>631779.48279287561</v>
      </c>
      <c r="W270">
        <f t="shared" si="68"/>
        <v>10681008.750315411</v>
      </c>
      <c r="X270">
        <f t="shared" si="77"/>
        <v>0</v>
      </c>
      <c r="Y270">
        <f>IF(X270&gt;0,X270*'Prepay vs Invest'!$B$6/1200,0)</f>
        <v>0</v>
      </c>
      <c r="Z270">
        <f>IF(X270&gt;0,MIN(-PMT('Prepay vs Invest'!$B$6/1200,'Prepay vs Invest'!$B$7*12-A270+1,X270),X270+Y270),0)</f>
        <v>0</v>
      </c>
      <c r="AA270">
        <f>MIN(MAX(0,X270+Y270-Z270),IF(AND(A270&gt;='Prepay vs Invest'!$B$11,A270&lt;='Prepay vs Invest'!$B$12),'Prepay vs Invest'!$B$10,0)+IF(A270='Prepay vs Invest'!$B$9,'Prepay vs Invest'!$B$8,0))</f>
        <v>0</v>
      </c>
      <c r="AB270">
        <f t="shared" si="69"/>
        <v>0</v>
      </c>
      <c r="AC270">
        <f t="shared" si="78"/>
        <v>14228749.426566619</v>
      </c>
      <c r="AD270">
        <f>IF(A270&lt;='Prepay vs Invest'!$B$7*12,MAX(0,'Prepay vs Invest'!$E$5+IF(AND(A270&gt;='Prepay vs Invest'!$B$11,A270&lt;='Prepay vs Invest'!$B$12),'Prepay vs Invest'!$B$10,0)+IF(A270='Prepay vs Invest'!$B$9,'Prepay vs Invest'!$B$8,0)-Z270-AA270),0)</f>
        <v>0</v>
      </c>
      <c r="AE270">
        <f>AC270*(1+MAX(0,'Prepay vs Invest'!$B$13-'Prepay vs Invest'!$B$14)/1200)+AD270</f>
        <v>14365108.275237883</v>
      </c>
      <c r="AF270">
        <f t="shared" si="79"/>
        <v>4388572.0206063567</v>
      </c>
      <c r="AG270">
        <f>MAX(0,(AE270-AF270-'Prepay vs Invest'!$B$16)*'Prepay vs Invest'!$B$15/100)</f>
        <v>1231442.0318289408</v>
      </c>
      <c r="AH270">
        <f t="shared" si="70"/>
        <v>13133666.243408941</v>
      </c>
    </row>
    <row r="271" spans="1:34" x14ac:dyDescent="0.35">
      <c r="A271">
        <f t="shared" si="71"/>
        <v>270</v>
      </c>
      <c r="B271">
        <f>IF(A271&lt;='Prepay vs Invest'!$B$7*12,F270,0)</f>
        <v>0</v>
      </c>
      <c r="C271">
        <f>IF(B271&gt;0,B271*'Prepay vs Invest'!$B$6/1200,0)</f>
        <v>0</v>
      </c>
      <c r="D271">
        <f>IF(B271&gt;0,MIN(-PMT('Prepay vs Invest'!$B$6/1200,'Prepay vs Invest'!$B$7*12,'Prepay vs Invest'!$B$5),B271+C271),0)</f>
        <v>0</v>
      </c>
      <c r="E271">
        <f t="shared" si="64"/>
        <v>0</v>
      </c>
      <c r="F271">
        <f t="shared" si="65"/>
        <v>0</v>
      </c>
      <c r="G271">
        <f t="shared" si="72"/>
        <v>17999734.288026102</v>
      </c>
      <c r="H271">
        <f>IF(A271&lt;='Prepay vs Invest'!$B$7*12,IF(AND(A271&gt;='Prepay vs Invest'!$B$11,A271&lt;='Prepay vs Invest'!$B$12),'Prepay vs Invest'!$B$10,0)+IF(A271='Prepay vs Invest'!$B$9,'Prepay vs Invest'!$B$8,0),0)</f>
        <v>0</v>
      </c>
      <c r="I271">
        <f>G271*(1+MAX(0,'Prepay vs Invest'!$B$13-'Prepay vs Invest'!$B$14)/1200)+H271</f>
        <v>18172231.741619684</v>
      </c>
      <c r="J271">
        <f t="shared" si="73"/>
        <v>2900000</v>
      </c>
      <c r="K271">
        <f>MAX(0,(I271-J271-'Prepay vs Invest'!$B$16)*'Prepay vs Invest'!$B$15/100)</f>
        <v>1893403.9677024605</v>
      </c>
      <c r="L271">
        <f t="shared" si="66"/>
        <v>16278827.773917224</v>
      </c>
      <c r="M271">
        <f t="shared" si="74"/>
        <v>0</v>
      </c>
      <c r="N271">
        <f>IF(M271&gt;0,M271*'Prepay vs Invest'!$B$6/1200,0)</f>
        <v>0</v>
      </c>
      <c r="O271">
        <f>IF(M271&gt;0,MIN('Prepay vs Invest'!$E$5,M271+N271),0)</f>
        <v>0</v>
      </c>
      <c r="P271">
        <f>MIN(MAX(0,M271+N271-O271),IF(AND(A271&gt;='Prepay vs Invest'!$B$11,A271&lt;='Prepay vs Invest'!$B$12),'Prepay vs Invest'!$B$10,0)+IF(A271='Prepay vs Invest'!$B$9,'Prepay vs Invest'!$B$8,0))</f>
        <v>0</v>
      </c>
      <c r="Q271">
        <f t="shared" si="67"/>
        <v>0</v>
      </c>
      <c r="R271">
        <f t="shared" si="75"/>
        <v>11312788.233108286</v>
      </c>
      <c r="S271">
        <f>IF(A271&lt;='Prepay vs Invest'!$B$7*12,MAX(0,'Prepay vs Invest'!$E$5+IF(AND(A271&gt;='Prepay vs Invest'!$B$11,A271&lt;='Prepay vs Invest'!$B$12),'Prepay vs Invest'!$B$10,0)+IF(A271='Prepay vs Invest'!$B$9,'Prepay vs Invest'!$B$8,0)-O271-P271),0)</f>
        <v>0</v>
      </c>
      <c r="T271">
        <f>R271*(1+MAX(0,'Prepay vs Invest'!$B$13-'Prepay vs Invest'!$B$14)/1200)+S271</f>
        <v>11421202.453675574</v>
      </c>
      <c r="U271">
        <f t="shared" si="76"/>
        <v>6133552.3707652809</v>
      </c>
      <c r="V271">
        <f>MAX(0,(T271-U271-'Prepay vs Invest'!$B$16)*'Prepay vs Invest'!$B$15/100)</f>
        <v>645331.2603637866</v>
      </c>
      <c r="W271">
        <f t="shared" si="68"/>
        <v>10775871.193311786</v>
      </c>
      <c r="X271">
        <f t="shared" si="77"/>
        <v>0</v>
      </c>
      <c r="Y271">
        <f>IF(X271&gt;0,X271*'Prepay vs Invest'!$B$6/1200,0)</f>
        <v>0</v>
      </c>
      <c r="Z271">
        <f>IF(X271&gt;0,MIN(-PMT('Prepay vs Invest'!$B$6/1200,'Prepay vs Invest'!$B$7*12-A271+1,X271),X271+Y271),0)</f>
        <v>0</v>
      </c>
      <c r="AA271">
        <f>MIN(MAX(0,X271+Y271-Z271),IF(AND(A271&gt;='Prepay vs Invest'!$B$11,A271&lt;='Prepay vs Invest'!$B$12),'Prepay vs Invest'!$B$10,0)+IF(A271='Prepay vs Invest'!$B$9,'Prepay vs Invest'!$B$8,0))</f>
        <v>0</v>
      </c>
      <c r="AB271">
        <f t="shared" si="69"/>
        <v>0</v>
      </c>
      <c r="AC271">
        <f t="shared" si="78"/>
        <v>14365108.275237883</v>
      </c>
      <c r="AD271">
        <f>IF(A271&lt;='Prepay vs Invest'!$B$7*12,MAX(0,'Prepay vs Invest'!$E$5+IF(AND(A271&gt;='Prepay vs Invest'!$B$11,A271&lt;='Prepay vs Invest'!$B$12),'Prepay vs Invest'!$B$10,0)+IF(A271='Prepay vs Invest'!$B$9,'Prepay vs Invest'!$B$8,0)-Z271-AA271),0)</f>
        <v>0</v>
      </c>
      <c r="AE271">
        <f>AC271*(1+MAX(0,'Prepay vs Invest'!$B$13-'Prepay vs Invest'!$B$14)/1200)+AD271</f>
        <v>14502773.896208912</v>
      </c>
      <c r="AF271">
        <f t="shared" si="79"/>
        <v>4388572.0206063567</v>
      </c>
      <c r="AG271">
        <f>MAX(0,(AE271-AF271-'Prepay vs Invest'!$B$16)*'Prepay vs Invest'!$B$15/100)</f>
        <v>1248650.2344503193</v>
      </c>
      <c r="AH271">
        <f t="shared" si="70"/>
        <v>13254123.661758592</v>
      </c>
    </row>
    <row r="272" spans="1:34" x14ac:dyDescent="0.35">
      <c r="A272">
        <f t="shared" si="71"/>
        <v>271</v>
      </c>
      <c r="B272">
        <f>IF(A272&lt;='Prepay vs Invest'!$B$7*12,F271,0)</f>
        <v>0</v>
      </c>
      <c r="C272">
        <f>IF(B272&gt;0,B272*'Prepay vs Invest'!$B$6/1200,0)</f>
        <v>0</v>
      </c>
      <c r="D272">
        <f>IF(B272&gt;0,MIN(-PMT('Prepay vs Invest'!$B$6/1200,'Prepay vs Invest'!$B$7*12,'Prepay vs Invest'!$B$5),B272+C272),0)</f>
        <v>0</v>
      </c>
      <c r="E272">
        <f t="shared" si="64"/>
        <v>0</v>
      </c>
      <c r="F272">
        <f t="shared" si="65"/>
        <v>0</v>
      </c>
      <c r="G272">
        <f t="shared" si="72"/>
        <v>18172231.741619684</v>
      </c>
      <c r="H272">
        <f>IF(A272&lt;='Prepay vs Invest'!$B$7*12,IF(AND(A272&gt;='Prepay vs Invest'!$B$11,A272&lt;='Prepay vs Invest'!$B$12),'Prepay vs Invest'!$B$10,0)+IF(A272='Prepay vs Invest'!$B$9,'Prepay vs Invest'!$B$8,0),0)</f>
        <v>0</v>
      </c>
      <c r="I272">
        <f>G272*(1+MAX(0,'Prepay vs Invest'!$B$13-'Prepay vs Invest'!$B$14)/1200)+H272</f>
        <v>18346382.295810204</v>
      </c>
      <c r="J272">
        <f t="shared" si="73"/>
        <v>2900000</v>
      </c>
      <c r="K272">
        <f>MAX(0,(I272-J272-'Prepay vs Invest'!$B$16)*'Prepay vs Invest'!$B$15/100)</f>
        <v>1915172.7869762755</v>
      </c>
      <c r="L272">
        <f t="shared" si="66"/>
        <v>16431209.508833928</v>
      </c>
      <c r="M272">
        <f t="shared" si="74"/>
        <v>0</v>
      </c>
      <c r="N272">
        <f>IF(M272&gt;0,M272*'Prepay vs Invest'!$B$6/1200,0)</f>
        <v>0</v>
      </c>
      <c r="O272">
        <f>IF(M272&gt;0,MIN('Prepay vs Invest'!$E$5,M272+N272),0)</f>
        <v>0</v>
      </c>
      <c r="P272">
        <f>MIN(MAX(0,M272+N272-O272),IF(AND(A272&gt;='Prepay vs Invest'!$B$11,A272&lt;='Prepay vs Invest'!$B$12),'Prepay vs Invest'!$B$10,0)+IF(A272='Prepay vs Invest'!$B$9,'Prepay vs Invest'!$B$8,0))</f>
        <v>0</v>
      </c>
      <c r="Q272">
        <f t="shared" si="67"/>
        <v>0</v>
      </c>
      <c r="R272">
        <f t="shared" si="75"/>
        <v>11421202.453675574</v>
      </c>
      <c r="S272">
        <f>IF(A272&lt;='Prepay vs Invest'!$B$7*12,MAX(0,'Prepay vs Invest'!$E$5+IF(AND(A272&gt;='Prepay vs Invest'!$B$11,A272&lt;='Prepay vs Invest'!$B$12),'Prepay vs Invest'!$B$10,0)+IF(A272='Prepay vs Invest'!$B$9,'Prepay vs Invest'!$B$8,0)-O272-P272),0)</f>
        <v>0</v>
      </c>
      <c r="T272">
        <f>R272*(1+MAX(0,'Prepay vs Invest'!$B$13-'Prepay vs Invest'!$B$14)/1200)+S272</f>
        <v>11530655.64385663</v>
      </c>
      <c r="U272">
        <f t="shared" si="76"/>
        <v>6133552.3707652809</v>
      </c>
      <c r="V272">
        <f>MAX(0,(T272-U272-'Prepay vs Invest'!$B$16)*'Prepay vs Invest'!$B$15/100)</f>
        <v>659012.9091364186</v>
      </c>
      <c r="W272">
        <f t="shared" si="68"/>
        <v>10871642.734720211</v>
      </c>
      <c r="X272">
        <f t="shared" si="77"/>
        <v>0</v>
      </c>
      <c r="Y272">
        <f>IF(X272&gt;0,X272*'Prepay vs Invest'!$B$6/1200,0)</f>
        <v>0</v>
      </c>
      <c r="Z272">
        <f>IF(X272&gt;0,MIN(-PMT('Prepay vs Invest'!$B$6/1200,'Prepay vs Invest'!$B$7*12-A272+1,X272),X272+Y272),0)</f>
        <v>0</v>
      </c>
      <c r="AA272">
        <f>MIN(MAX(0,X272+Y272-Z272),IF(AND(A272&gt;='Prepay vs Invest'!$B$11,A272&lt;='Prepay vs Invest'!$B$12),'Prepay vs Invest'!$B$10,0)+IF(A272='Prepay vs Invest'!$B$9,'Prepay vs Invest'!$B$8,0))</f>
        <v>0</v>
      </c>
      <c r="AB272">
        <f t="shared" si="69"/>
        <v>0</v>
      </c>
      <c r="AC272">
        <f t="shared" si="78"/>
        <v>14502773.896208912</v>
      </c>
      <c r="AD272">
        <f>IF(A272&lt;='Prepay vs Invest'!$B$7*12,MAX(0,'Prepay vs Invest'!$E$5+IF(AND(A272&gt;='Prepay vs Invest'!$B$11,A272&lt;='Prepay vs Invest'!$B$12),'Prepay vs Invest'!$B$10,0)+IF(A272='Prepay vs Invest'!$B$9,'Prepay vs Invest'!$B$8,0)-Z272-AA272),0)</f>
        <v>0</v>
      </c>
      <c r="AE272">
        <f>AC272*(1+MAX(0,'Prepay vs Invest'!$B$13-'Prepay vs Invest'!$B$14)/1200)+AD272</f>
        <v>14641758.812714247</v>
      </c>
      <c r="AF272">
        <f t="shared" si="79"/>
        <v>4388572.0206063567</v>
      </c>
      <c r="AG272">
        <f>MAX(0,(AE272-AF272-'Prepay vs Invest'!$B$16)*'Prepay vs Invest'!$B$15/100)</f>
        <v>1266023.3490134864</v>
      </c>
      <c r="AH272">
        <f t="shared" si="70"/>
        <v>13375735.46370076</v>
      </c>
    </row>
    <row r="273" spans="1:34" x14ac:dyDescent="0.35">
      <c r="A273">
        <f t="shared" si="71"/>
        <v>272</v>
      </c>
      <c r="B273">
        <f>IF(A273&lt;='Prepay vs Invest'!$B$7*12,F272,0)</f>
        <v>0</v>
      </c>
      <c r="C273">
        <f>IF(B273&gt;0,B273*'Prepay vs Invest'!$B$6/1200,0)</f>
        <v>0</v>
      </c>
      <c r="D273">
        <f>IF(B273&gt;0,MIN(-PMT('Prepay vs Invest'!$B$6/1200,'Prepay vs Invest'!$B$7*12,'Prepay vs Invest'!$B$5),B273+C273),0)</f>
        <v>0</v>
      </c>
      <c r="E273">
        <f t="shared" si="64"/>
        <v>0</v>
      </c>
      <c r="F273">
        <f t="shared" si="65"/>
        <v>0</v>
      </c>
      <c r="G273">
        <f t="shared" si="72"/>
        <v>18346382.295810204</v>
      </c>
      <c r="H273">
        <f>IF(A273&lt;='Prepay vs Invest'!$B$7*12,IF(AND(A273&gt;='Prepay vs Invest'!$B$11,A273&lt;='Prepay vs Invest'!$B$12),'Prepay vs Invest'!$B$10,0)+IF(A273='Prepay vs Invest'!$B$9,'Prepay vs Invest'!$B$8,0),0)</f>
        <v>0</v>
      </c>
      <c r="I273">
        <f>G273*(1+MAX(0,'Prepay vs Invest'!$B$13-'Prepay vs Invest'!$B$14)/1200)+H273</f>
        <v>18522201.792811718</v>
      </c>
      <c r="J273">
        <f t="shared" si="73"/>
        <v>2900000</v>
      </c>
      <c r="K273">
        <f>MAX(0,(I273-J273-'Prepay vs Invest'!$B$16)*'Prepay vs Invest'!$B$15/100)</f>
        <v>1937150.2241014647</v>
      </c>
      <c r="L273">
        <f t="shared" si="66"/>
        <v>16585051.568710253</v>
      </c>
      <c r="M273">
        <f t="shared" si="74"/>
        <v>0</v>
      </c>
      <c r="N273">
        <f>IF(M273&gt;0,M273*'Prepay vs Invest'!$B$6/1200,0)</f>
        <v>0</v>
      </c>
      <c r="O273">
        <f>IF(M273&gt;0,MIN('Prepay vs Invest'!$E$5,M273+N273),0)</f>
        <v>0</v>
      </c>
      <c r="P273">
        <f>MIN(MAX(0,M273+N273-O273),IF(AND(A273&gt;='Prepay vs Invest'!$B$11,A273&lt;='Prepay vs Invest'!$B$12),'Prepay vs Invest'!$B$10,0)+IF(A273='Prepay vs Invest'!$B$9,'Prepay vs Invest'!$B$8,0))</f>
        <v>0</v>
      </c>
      <c r="Q273">
        <f t="shared" si="67"/>
        <v>0</v>
      </c>
      <c r="R273">
        <f t="shared" si="75"/>
        <v>11530655.64385663</v>
      </c>
      <c r="S273">
        <f>IF(A273&lt;='Prepay vs Invest'!$B$7*12,MAX(0,'Prepay vs Invest'!$E$5+IF(AND(A273&gt;='Prepay vs Invest'!$B$11,A273&lt;='Prepay vs Invest'!$B$12),'Prepay vs Invest'!$B$10,0)+IF(A273='Prepay vs Invest'!$B$9,'Prepay vs Invest'!$B$8,0)-O273-P273),0)</f>
        <v>0</v>
      </c>
      <c r="T273">
        <f>R273*(1+MAX(0,'Prepay vs Invest'!$B$13-'Prepay vs Invest'!$B$14)/1200)+S273</f>
        <v>11641157.760443589</v>
      </c>
      <c r="U273">
        <f t="shared" si="76"/>
        <v>6133552.3707652809</v>
      </c>
      <c r="V273">
        <f>MAX(0,(T273-U273-'Prepay vs Invest'!$B$16)*'Prepay vs Invest'!$B$15/100)</f>
        <v>672825.67370978848</v>
      </c>
      <c r="W273">
        <f t="shared" si="68"/>
        <v>10968332.086733799</v>
      </c>
      <c r="X273">
        <f t="shared" si="77"/>
        <v>0</v>
      </c>
      <c r="Y273">
        <f>IF(X273&gt;0,X273*'Prepay vs Invest'!$B$6/1200,0)</f>
        <v>0</v>
      </c>
      <c r="Z273">
        <f>IF(X273&gt;0,MIN(-PMT('Prepay vs Invest'!$B$6/1200,'Prepay vs Invest'!$B$7*12-A273+1,X273),X273+Y273),0)</f>
        <v>0</v>
      </c>
      <c r="AA273">
        <f>MIN(MAX(0,X273+Y273-Z273),IF(AND(A273&gt;='Prepay vs Invest'!$B$11,A273&lt;='Prepay vs Invest'!$B$12),'Prepay vs Invest'!$B$10,0)+IF(A273='Prepay vs Invest'!$B$9,'Prepay vs Invest'!$B$8,0))</f>
        <v>0</v>
      </c>
      <c r="AB273">
        <f t="shared" si="69"/>
        <v>0</v>
      </c>
      <c r="AC273">
        <f t="shared" si="78"/>
        <v>14641758.812714247</v>
      </c>
      <c r="AD273">
        <f>IF(A273&lt;='Prepay vs Invest'!$B$7*12,MAX(0,'Prepay vs Invest'!$E$5+IF(AND(A273&gt;='Prepay vs Invest'!$B$11,A273&lt;='Prepay vs Invest'!$B$12),'Prepay vs Invest'!$B$10,0)+IF(A273='Prepay vs Invest'!$B$9,'Prepay vs Invest'!$B$8,0)-Z273-AA273),0)</f>
        <v>0</v>
      </c>
      <c r="AE273">
        <f>AC273*(1+MAX(0,'Prepay vs Invest'!$B$13-'Prepay vs Invest'!$B$14)/1200)+AD273</f>
        <v>14782075.668002758</v>
      </c>
      <c r="AF273">
        <f t="shared" si="79"/>
        <v>4388572.0206063567</v>
      </c>
      <c r="AG273">
        <f>MAX(0,(AE273-AF273-'Prepay vs Invest'!$B$16)*'Prepay vs Invest'!$B$15/100)</f>
        <v>1283562.9559245501</v>
      </c>
      <c r="AH273">
        <f t="shared" si="70"/>
        <v>13498512.712078208</v>
      </c>
    </row>
    <row r="274" spans="1:34" x14ac:dyDescent="0.35">
      <c r="A274">
        <f t="shared" si="71"/>
        <v>273</v>
      </c>
      <c r="B274">
        <f>IF(A274&lt;='Prepay vs Invest'!$B$7*12,F273,0)</f>
        <v>0</v>
      </c>
      <c r="C274">
        <f>IF(B274&gt;0,B274*'Prepay vs Invest'!$B$6/1200,0)</f>
        <v>0</v>
      </c>
      <c r="D274">
        <f>IF(B274&gt;0,MIN(-PMT('Prepay vs Invest'!$B$6/1200,'Prepay vs Invest'!$B$7*12,'Prepay vs Invest'!$B$5),B274+C274),0)</f>
        <v>0</v>
      </c>
      <c r="E274">
        <f t="shared" si="64"/>
        <v>0</v>
      </c>
      <c r="F274">
        <f t="shared" si="65"/>
        <v>0</v>
      </c>
      <c r="G274">
        <f t="shared" si="72"/>
        <v>18522201.792811718</v>
      </c>
      <c r="H274">
        <f>IF(A274&lt;='Prepay vs Invest'!$B$7*12,IF(AND(A274&gt;='Prepay vs Invest'!$B$11,A274&lt;='Prepay vs Invest'!$B$12),'Prepay vs Invest'!$B$10,0)+IF(A274='Prepay vs Invest'!$B$9,'Prepay vs Invest'!$B$8,0),0)</f>
        <v>0</v>
      </c>
      <c r="I274">
        <f>G274*(1+MAX(0,'Prepay vs Invest'!$B$13-'Prepay vs Invest'!$B$14)/1200)+H274</f>
        <v>18699706.226659495</v>
      </c>
      <c r="J274">
        <f t="shared" si="73"/>
        <v>2900000</v>
      </c>
      <c r="K274">
        <f>MAX(0,(I274-J274-'Prepay vs Invest'!$B$16)*'Prepay vs Invest'!$B$15/100)</f>
        <v>1959338.2783324369</v>
      </c>
      <c r="L274">
        <f t="shared" si="66"/>
        <v>16740367.948327059</v>
      </c>
      <c r="M274">
        <f t="shared" si="74"/>
        <v>0</v>
      </c>
      <c r="N274">
        <f>IF(M274&gt;0,M274*'Prepay vs Invest'!$B$6/1200,0)</f>
        <v>0</v>
      </c>
      <c r="O274">
        <f>IF(M274&gt;0,MIN('Prepay vs Invest'!$E$5,M274+N274),0)</f>
        <v>0</v>
      </c>
      <c r="P274">
        <f>MIN(MAX(0,M274+N274-O274),IF(AND(A274&gt;='Prepay vs Invest'!$B$11,A274&lt;='Prepay vs Invest'!$B$12),'Prepay vs Invest'!$B$10,0)+IF(A274='Prepay vs Invest'!$B$9,'Prepay vs Invest'!$B$8,0))</f>
        <v>0</v>
      </c>
      <c r="Q274">
        <f t="shared" si="67"/>
        <v>0</v>
      </c>
      <c r="R274">
        <f t="shared" si="75"/>
        <v>11641157.760443589</v>
      </c>
      <c r="S274">
        <f>IF(A274&lt;='Prepay vs Invest'!$B$7*12,MAX(0,'Prepay vs Invest'!$E$5+IF(AND(A274&gt;='Prepay vs Invest'!$B$11,A274&lt;='Prepay vs Invest'!$B$12),'Prepay vs Invest'!$B$10,0)+IF(A274='Prepay vs Invest'!$B$9,'Prepay vs Invest'!$B$8,0)-O274-P274),0)</f>
        <v>0</v>
      </c>
      <c r="T274">
        <f>R274*(1+MAX(0,'Prepay vs Invest'!$B$13-'Prepay vs Invest'!$B$14)/1200)+S274</f>
        <v>11752718.85564784</v>
      </c>
      <c r="U274">
        <f t="shared" si="76"/>
        <v>6133552.3707652809</v>
      </c>
      <c r="V274">
        <f>MAX(0,(T274-U274-'Prepay vs Invest'!$B$16)*'Prepay vs Invest'!$B$15/100)</f>
        <v>686770.81061031984</v>
      </c>
      <c r="W274">
        <f t="shared" si="68"/>
        <v>11065948.045037519</v>
      </c>
      <c r="X274">
        <f t="shared" si="77"/>
        <v>0</v>
      </c>
      <c r="Y274">
        <f>IF(X274&gt;0,X274*'Prepay vs Invest'!$B$6/1200,0)</f>
        <v>0</v>
      </c>
      <c r="Z274">
        <f>IF(X274&gt;0,MIN(-PMT('Prepay vs Invest'!$B$6/1200,'Prepay vs Invest'!$B$7*12-A274+1,X274),X274+Y274),0)</f>
        <v>0</v>
      </c>
      <c r="AA274">
        <f>MIN(MAX(0,X274+Y274-Z274),IF(AND(A274&gt;='Prepay vs Invest'!$B$11,A274&lt;='Prepay vs Invest'!$B$12),'Prepay vs Invest'!$B$10,0)+IF(A274='Prepay vs Invest'!$B$9,'Prepay vs Invest'!$B$8,0))</f>
        <v>0</v>
      </c>
      <c r="AB274">
        <f t="shared" si="69"/>
        <v>0</v>
      </c>
      <c r="AC274">
        <f t="shared" si="78"/>
        <v>14782075.668002758</v>
      </c>
      <c r="AD274">
        <f>IF(A274&lt;='Prepay vs Invest'!$B$7*12,MAX(0,'Prepay vs Invest'!$E$5+IF(AND(A274&gt;='Prepay vs Invest'!$B$11,A274&lt;='Prepay vs Invest'!$B$12),'Prepay vs Invest'!$B$10,0)+IF(A274='Prepay vs Invest'!$B$9,'Prepay vs Invest'!$B$8,0)-Z274-AA274),0)</f>
        <v>0</v>
      </c>
      <c r="AE274">
        <f>AC274*(1+MAX(0,'Prepay vs Invest'!$B$13-'Prepay vs Invest'!$B$14)/1200)+AD274</f>
        <v>14923737.226487784</v>
      </c>
      <c r="AF274">
        <f t="shared" si="79"/>
        <v>4388572.0206063567</v>
      </c>
      <c r="AG274">
        <f>MAX(0,(AE274-AF274-'Prepay vs Invest'!$B$16)*'Prepay vs Invest'!$B$15/100)</f>
        <v>1301270.6507351785</v>
      </c>
      <c r="AH274">
        <f t="shared" si="70"/>
        <v>13622466.575752605</v>
      </c>
    </row>
    <row r="275" spans="1:34" x14ac:dyDescent="0.35">
      <c r="A275">
        <f t="shared" si="71"/>
        <v>274</v>
      </c>
      <c r="B275">
        <f>IF(A275&lt;='Prepay vs Invest'!$B$7*12,F274,0)</f>
        <v>0</v>
      </c>
      <c r="C275">
        <f>IF(B275&gt;0,B275*'Prepay vs Invest'!$B$6/1200,0)</f>
        <v>0</v>
      </c>
      <c r="D275">
        <f>IF(B275&gt;0,MIN(-PMT('Prepay vs Invest'!$B$6/1200,'Prepay vs Invest'!$B$7*12,'Prepay vs Invest'!$B$5),B275+C275),0)</f>
        <v>0</v>
      </c>
      <c r="E275">
        <f t="shared" si="64"/>
        <v>0</v>
      </c>
      <c r="F275">
        <f t="shared" si="65"/>
        <v>0</v>
      </c>
      <c r="G275">
        <f t="shared" si="72"/>
        <v>18699706.226659495</v>
      </c>
      <c r="H275">
        <f>IF(A275&lt;='Prepay vs Invest'!$B$7*12,IF(AND(A275&gt;='Prepay vs Invest'!$B$11,A275&lt;='Prepay vs Invest'!$B$12),'Prepay vs Invest'!$B$10,0)+IF(A275='Prepay vs Invest'!$B$9,'Prepay vs Invest'!$B$8,0),0)</f>
        <v>0</v>
      </c>
      <c r="I275">
        <f>G275*(1+MAX(0,'Prepay vs Invest'!$B$13-'Prepay vs Invest'!$B$14)/1200)+H275</f>
        <v>18878911.744664982</v>
      </c>
      <c r="J275">
        <f t="shared" si="73"/>
        <v>2900000</v>
      </c>
      <c r="K275">
        <f>MAX(0,(I275-J275-'Prepay vs Invest'!$B$16)*'Prepay vs Invest'!$B$15/100)</f>
        <v>1981738.9680831227</v>
      </c>
      <c r="L275">
        <f t="shared" si="66"/>
        <v>16897172.776581861</v>
      </c>
      <c r="M275">
        <f t="shared" si="74"/>
        <v>0</v>
      </c>
      <c r="N275">
        <f>IF(M275&gt;0,M275*'Prepay vs Invest'!$B$6/1200,0)</f>
        <v>0</v>
      </c>
      <c r="O275">
        <f>IF(M275&gt;0,MIN('Prepay vs Invest'!$E$5,M275+N275),0)</f>
        <v>0</v>
      </c>
      <c r="P275">
        <f>MIN(MAX(0,M275+N275-O275),IF(AND(A275&gt;='Prepay vs Invest'!$B$11,A275&lt;='Prepay vs Invest'!$B$12),'Prepay vs Invest'!$B$10,0)+IF(A275='Prepay vs Invest'!$B$9,'Prepay vs Invest'!$B$8,0))</f>
        <v>0</v>
      </c>
      <c r="Q275">
        <f t="shared" si="67"/>
        <v>0</v>
      </c>
      <c r="R275">
        <f t="shared" si="75"/>
        <v>11752718.85564784</v>
      </c>
      <c r="S275">
        <f>IF(A275&lt;='Prepay vs Invest'!$B$7*12,MAX(0,'Prepay vs Invest'!$E$5+IF(AND(A275&gt;='Prepay vs Invest'!$B$11,A275&lt;='Prepay vs Invest'!$B$12),'Prepay vs Invest'!$B$10,0)+IF(A275='Prepay vs Invest'!$B$9,'Prepay vs Invest'!$B$8,0)-O275-P275),0)</f>
        <v>0</v>
      </c>
      <c r="T275">
        <f>R275*(1+MAX(0,'Prepay vs Invest'!$B$13-'Prepay vs Invest'!$B$14)/1200)+S275</f>
        <v>11865349.078014463</v>
      </c>
      <c r="U275">
        <f t="shared" si="76"/>
        <v>6133552.3707652809</v>
      </c>
      <c r="V275">
        <f>MAX(0,(T275-U275-'Prepay vs Invest'!$B$16)*'Prepay vs Invest'!$B$15/100)</f>
        <v>700849.58840614778</v>
      </c>
      <c r="W275">
        <f t="shared" si="68"/>
        <v>11164499.489608316</v>
      </c>
      <c r="X275">
        <f t="shared" si="77"/>
        <v>0</v>
      </c>
      <c r="Y275">
        <f>IF(X275&gt;0,X275*'Prepay vs Invest'!$B$6/1200,0)</f>
        <v>0</v>
      </c>
      <c r="Z275">
        <f>IF(X275&gt;0,MIN(-PMT('Prepay vs Invest'!$B$6/1200,'Prepay vs Invest'!$B$7*12-A275+1,X275),X275+Y275),0)</f>
        <v>0</v>
      </c>
      <c r="AA275">
        <f>MIN(MAX(0,X275+Y275-Z275),IF(AND(A275&gt;='Prepay vs Invest'!$B$11,A275&lt;='Prepay vs Invest'!$B$12),'Prepay vs Invest'!$B$10,0)+IF(A275='Prepay vs Invest'!$B$9,'Prepay vs Invest'!$B$8,0))</f>
        <v>0</v>
      </c>
      <c r="AB275">
        <f t="shared" si="69"/>
        <v>0</v>
      </c>
      <c r="AC275">
        <f t="shared" si="78"/>
        <v>14923737.226487784</v>
      </c>
      <c r="AD275">
        <f>IF(A275&lt;='Prepay vs Invest'!$B$7*12,MAX(0,'Prepay vs Invest'!$E$5+IF(AND(A275&gt;='Prepay vs Invest'!$B$11,A275&lt;='Prepay vs Invest'!$B$12),'Prepay vs Invest'!$B$10,0)+IF(A275='Prepay vs Invest'!$B$9,'Prepay vs Invest'!$B$8,0)-Z275-AA275),0)</f>
        <v>0</v>
      </c>
      <c r="AE275">
        <f>AC275*(1+MAX(0,'Prepay vs Invest'!$B$13-'Prepay vs Invest'!$B$14)/1200)+AD275</f>
        <v>15066756.374908291</v>
      </c>
      <c r="AF275">
        <f t="shared" si="79"/>
        <v>4388572.0206063567</v>
      </c>
      <c r="AG275">
        <f>MAX(0,(AE275-AF275-'Prepay vs Invest'!$B$16)*'Prepay vs Invest'!$B$15/100)</f>
        <v>1319148.0442877416</v>
      </c>
      <c r="AH275">
        <f t="shared" si="70"/>
        <v>13747608.33062055</v>
      </c>
    </row>
    <row r="276" spans="1:34" x14ac:dyDescent="0.35">
      <c r="A276">
        <f t="shared" si="71"/>
        <v>275</v>
      </c>
      <c r="B276">
        <f>IF(A276&lt;='Prepay vs Invest'!$B$7*12,F275,0)</f>
        <v>0</v>
      </c>
      <c r="C276">
        <f>IF(B276&gt;0,B276*'Prepay vs Invest'!$B$6/1200,0)</f>
        <v>0</v>
      </c>
      <c r="D276">
        <f>IF(B276&gt;0,MIN(-PMT('Prepay vs Invest'!$B$6/1200,'Prepay vs Invest'!$B$7*12,'Prepay vs Invest'!$B$5),B276+C276),0)</f>
        <v>0</v>
      </c>
      <c r="E276">
        <f t="shared" si="64"/>
        <v>0</v>
      </c>
      <c r="F276">
        <f t="shared" si="65"/>
        <v>0</v>
      </c>
      <c r="G276">
        <f t="shared" si="72"/>
        <v>18878911.744664982</v>
      </c>
      <c r="H276">
        <f>IF(A276&lt;='Prepay vs Invest'!$B$7*12,IF(AND(A276&gt;='Prepay vs Invest'!$B$11,A276&lt;='Prepay vs Invest'!$B$12),'Prepay vs Invest'!$B$10,0)+IF(A276='Prepay vs Invest'!$B$9,'Prepay vs Invest'!$B$8,0),0)</f>
        <v>0</v>
      </c>
      <c r="I276">
        <f>G276*(1+MAX(0,'Prepay vs Invest'!$B$13-'Prepay vs Invest'!$B$14)/1200)+H276</f>
        <v>19059834.648884688</v>
      </c>
      <c r="J276">
        <f t="shared" si="73"/>
        <v>2900000</v>
      </c>
      <c r="K276">
        <f>MAX(0,(I276-J276-'Prepay vs Invest'!$B$16)*'Prepay vs Invest'!$B$15/100)</f>
        <v>2004354.3311105859</v>
      </c>
      <c r="L276">
        <f t="shared" si="66"/>
        <v>17055480.317774102</v>
      </c>
      <c r="M276">
        <f t="shared" si="74"/>
        <v>0</v>
      </c>
      <c r="N276">
        <f>IF(M276&gt;0,M276*'Prepay vs Invest'!$B$6/1200,0)</f>
        <v>0</v>
      </c>
      <c r="O276">
        <f>IF(M276&gt;0,MIN('Prepay vs Invest'!$E$5,M276+N276),0)</f>
        <v>0</v>
      </c>
      <c r="P276">
        <f>MIN(MAX(0,M276+N276-O276),IF(AND(A276&gt;='Prepay vs Invest'!$B$11,A276&lt;='Prepay vs Invest'!$B$12),'Prepay vs Invest'!$B$10,0)+IF(A276='Prepay vs Invest'!$B$9,'Prepay vs Invest'!$B$8,0))</f>
        <v>0</v>
      </c>
      <c r="Q276">
        <f t="shared" si="67"/>
        <v>0</v>
      </c>
      <c r="R276">
        <f t="shared" si="75"/>
        <v>11865349.078014463</v>
      </c>
      <c r="S276">
        <f>IF(A276&lt;='Prepay vs Invest'!$B$7*12,MAX(0,'Prepay vs Invest'!$E$5+IF(AND(A276&gt;='Prepay vs Invest'!$B$11,A276&lt;='Prepay vs Invest'!$B$12),'Prepay vs Invest'!$B$10,0)+IF(A276='Prepay vs Invest'!$B$9,'Prepay vs Invest'!$B$8,0)-O276-P276),0)</f>
        <v>0</v>
      </c>
      <c r="T276">
        <f>R276*(1+MAX(0,'Prepay vs Invest'!$B$13-'Prepay vs Invest'!$B$14)/1200)+S276</f>
        <v>11979058.673345434</v>
      </c>
      <c r="U276">
        <f t="shared" si="76"/>
        <v>6133552.3707652809</v>
      </c>
      <c r="V276">
        <f>MAX(0,(T276-U276-'Prepay vs Invest'!$B$16)*'Prepay vs Invest'!$B$15/100)</f>
        <v>715063.28782251908</v>
      </c>
      <c r="W276">
        <f t="shared" si="68"/>
        <v>11263995.385522915</v>
      </c>
      <c r="X276">
        <f t="shared" si="77"/>
        <v>0</v>
      </c>
      <c r="Y276">
        <f>IF(X276&gt;0,X276*'Prepay vs Invest'!$B$6/1200,0)</f>
        <v>0</v>
      </c>
      <c r="Z276">
        <f>IF(X276&gt;0,MIN(-PMT('Prepay vs Invest'!$B$6/1200,'Prepay vs Invest'!$B$7*12-A276+1,X276),X276+Y276),0)</f>
        <v>0</v>
      </c>
      <c r="AA276">
        <f>MIN(MAX(0,X276+Y276-Z276),IF(AND(A276&gt;='Prepay vs Invest'!$B$11,A276&lt;='Prepay vs Invest'!$B$12),'Prepay vs Invest'!$B$10,0)+IF(A276='Prepay vs Invest'!$B$9,'Prepay vs Invest'!$B$8,0))</f>
        <v>0</v>
      </c>
      <c r="AB276">
        <f t="shared" si="69"/>
        <v>0</v>
      </c>
      <c r="AC276">
        <f t="shared" si="78"/>
        <v>15066756.374908291</v>
      </c>
      <c r="AD276">
        <f>IF(A276&lt;='Prepay vs Invest'!$B$7*12,MAX(0,'Prepay vs Invest'!$E$5+IF(AND(A276&gt;='Prepay vs Invest'!$B$11,A276&lt;='Prepay vs Invest'!$B$12),'Prepay vs Invest'!$B$10,0)+IF(A276='Prepay vs Invest'!$B$9,'Prepay vs Invest'!$B$8,0)-Z276-AA276),0)</f>
        <v>0</v>
      </c>
      <c r="AE276">
        <f>AC276*(1+MAX(0,'Prepay vs Invest'!$B$13-'Prepay vs Invest'!$B$14)/1200)+AD276</f>
        <v>15211146.123501161</v>
      </c>
      <c r="AF276">
        <f t="shared" si="79"/>
        <v>4388572.0206063567</v>
      </c>
      <c r="AG276">
        <f>MAX(0,(AE276-AF276-'Prepay vs Invest'!$B$16)*'Prepay vs Invest'!$B$15/100)</f>
        <v>1337196.7628618507</v>
      </c>
      <c r="AH276">
        <f t="shared" si="70"/>
        <v>13873949.360639311</v>
      </c>
    </row>
    <row r="277" spans="1:34" x14ac:dyDescent="0.35">
      <c r="A277">
        <f t="shared" si="71"/>
        <v>276</v>
      </c>
      <c r="B277">
        <f>IF(A277&lt;='Prepay vs Invest'!$B$7*12,F276,0)</f>
        <v>0</v>
      </c>
      <c r="C277">
        <f>IF(B277&gt;0,B277*'Prepay vs Invest'!$B$6/1200,0)</f>
        <v>0</v>
      </c>
      <c r="D277">
        <f>IF(B277&gt;0,MIN(-PMT('Prepay vs Invest'!$B$6/1200,'Prepay vs Invest'!$B$7*12,'Prepay vs Invest'!$B$5),B277+C277),0)</f>
        <v>0</v>
      </c>
      <c r="E277">
        <f t="shared" si="64"/>
        <v>0</v>
      </c>
      <c r="F277">
        <f t="shared" si="65"/>
        <v>0</v>
      </c>
      <c r="G277">
        <f t="shared" si="72"/>
        <v>19059834.648884688</v>
      </c>
      <c r="H277">
        <f>IF(A277&lt;='Prepay vs Invest'!$B$7*12,IF(AND(A277&gt;='Prepay vs Invest'!$B$11,A277&lt;='Prepay vs Invest'!$B$12),'Prepay vs Invest'!$B$10,0)+IF(A277='Prepay vs Invest'!$B$9,'Prepay vs Invest'!$B$8,0),0)</f>
        <v>0</v>
      </c>
      <c r="I277">
        <f>G277*(1+MAX(0,'Prepay vs Invest'!$B$13-'Prepay vs Invest'!$B$14)/1200)+H277</f>
        <v>19242491.397603165</v>
      </c>
      <c r="J277">
        <f t="shared" si="73"/>
        <v>2900000</v>
      </c>
      <c r="K277">
        <f>MAX(0,(I277-J277-'Prepay vs Invest'!$B$16)*'Prepay vs Invest'!$B$15/100)</f>
        <v>2027186.4247003957</v>
      </c>
      <c r="L277">
        <f t="shared" si="66"/>
        <v>17215304.972902771</v>
      </c>
      <c r="M277">
        <f t="shared" si="74"/>
        <v>0</v>
      </c>
      <c r="N277">
        <f>IF(M277&gt;0,M277*'Prepay vs Invest'!$B$6/1200,0)</f>
        <v>0</v>
      </c>
      <c r="O277">
        <f>IF(M277&gt;0,MIN('Prepay vs Invest'!$E$5,M277+N277),0)</f>
        <v>0</v>
      </c>
      <c r="P277">
        <f>MIN(MAX(0,M277+N277-O277),IF(AND(A277&gt;='Prepay vs Invest'!$B$11,A277&lt;='Prepay vs Invest'!$B$12),'Prepay vs Invest'!$B$10,0)+IF(A277='Prepay vs Invest'!$B$9,'Prepay vs Invest'!$B$8,0))</f>
        <v>0</v>
      </c>
      <c r="Q277">
        <f t="shared" si="67"/>
        <v>0</v>
      </c>
      <c r="R277">
        <f t="shared" si="75"/>
        <v>11979058.673345434</v>
      </c>
      <c r="S277">
        <f>IF(A277&lt;='Prepay vs Invest'!$B$7*12,MAX(0,'Prepay vs Invest'!$E$5+IF(AND(A277&gt;='Prepay vs Invest'!$B$11,A277&lt;='Prepay vs Invest'!$B$12),'Prepay vs Invest'!$B$10,0)+IF(A277='Prepay vs Invest'!$B$9,'Prepay vs Invest'!$B$8,0)-O277-P277),0)</f>
        <v>0</v>
      </c>
      <c r="T277">
        <f>R277*(1+MAX(0,'Prepay vs Invest'!$B$13-'Prepay vs Invest'!$B$14)/1200)+S277</f>
        <v>12093857.98563166</v>
      </c>
      <c r="U277">
        <f t="shared" si="76"/>
        <v>6133552.3707652809</v>
      </c>
      <c r="V277">
        <f>MAX(0,(T277-U277-'Prepay vs Invest'!$B$16)*'Prepay vs Invest'!$B$15/100)</f>
        <v>729413.20185829734</v>
      </c>
      <c r="W277">
        <f t="shared" si="68"/>
        <v>11364444.783773363</v>
      </c>
      <c r="X277">
        <f t="shared" si="77"/>
        <v>0</v>
      </c>
      <c r="Y277">
        <f>IF(X277&gt;0,X277*'Prepay vs Invest'!$B$6/1200,0)</f>
        <v>0</v>
      </c>
      <c r="Z277">
        <f>IF(X277&gt;0,MIN(-PMT('Prepay vs Invest'!$B$6/1200,'Prepay vs Invest'!$B$7*12-A277+1,X277),X277+Y277),0)</f>
        <v>0</v>
      </c>
      <c r="AA277">
        <f>MIN(MAX(0,X277+Y277-Z277),IF(AND(A277&gt;='Prepay vs Invest'!$B$11,A277&lt;='Prepay vs Invest'!$B$12),'Prepay vs Invest'!$B$10,0)+IF(A277='Prepay vs Invest'!$B$9,'Prepay vs Invest'!$B$8,0))</f>
        <v>0</v>
      </c>
      <c r="AB277">
        <f t="shared" si="69"/>
        <v>0</v>
      </c>
      <c r="AC277">
        <f t="shared" si="78"/>
        <v>15211146.123501161</v>
      </c>
      <c r="AD277">
        <f>IF(A277&lt;='Prepay vs Invest'!$B$7*12,MAX(0,'Prepay vs Invest'!$E$5+IF(AND(A277&gt;='Prepay vs Invest'!$B$11,A277&lt;='Prepay vs Invest'!$B$12),'Prepay vs Invest'!$B$10,0)+IF(A277='Prepay vs Invest'!$B$9,'Prepay vs Invest'!$B$8,0)-Z277-AA277),0)</f>
        <v>0</v>
      </c>
      <c r="AE277">
        <f>AC277*(1+MAX(0,'Prepay vs Invest'!$B$13-'Prepay vs Invest'!$B$14)/1200)+AD277</f>
        <v>15356919.607184714</v>
      </c>
      <c r="AF277">
        <f t="shared" si="79"/>
        <v>4388572.0206063567</v>
      </c>
      <c r="AG277">
        <f>MAX(0,(AE277-AF277-'Prepay vs Invest'!$B$16)*'Prepay vs Invest'!$B$15/100)</f>
        <v>1355418.4483222947</v>
      </c>
      <c r="AH277">
        <f t="shared" si="70"/>
        <v>14001501.158862419</v>
      </c>
    </row>
    <row r="278" spans="1:34" x14ac:dyDescent="0.35">
      <c r="A278">
        <f t="shared" si="71"/>
        <v>277</v>
      </c>
      <c r="B278">
        <f>IF(A278&lt;='Prepay vs Invest'!$B$7*12,F277,0)</f>
        <v>0</v>
      </c>
      <c r="C278">
        <f>IF(B278&gt;0,B278*'Prepay vs Invest'!$B$6/1200,0)</f>
        <v>0</v>
      </c>
      <c r="D278">
        <f>IF(B278&gt;0,MIN(-PMT('Prepay vs Invest'!$B$6/1200,'Prepay vs Invest'!$B$7*12,'Prepay vs Invest'!$B$5),B278+C278),0)</f>
        <v>0</v>
      </c>
      <c r="E278">
        <f t="shared" si="64"/>
        <v>0</v>
      </c>
      <c r="F278">
        <f t="shared" si="65"/>
        <v>0</v>
      </c>
      <c r="G278">
        <f t="shared" si="72"/>
        <v>19242491.397603165</v>
      </c>
      <c r="H278">
        <f>IF(A278&lt;='Prepay vs Invest'!$B$7*12,IF(AND(A278&gt;='Prepay vs Invest'!$B$11,A278&lt;='Prepay vs Invest'!$B$12),'Prepay vs Invest'!$B$10,0)+IF(A278='Prepay vs Invest'!$B$9,'Prepay vs Invest'!$B$8,0),0)</f>
        <v>0</v>
      </c>
      <c r="I278">
        <f>G278*(1+MAX(0,'Prepay vs Invest'!$B$13-'Prepay vs Invest'!$B$14)/1200)+H278</f>
        <v>19426898.606830195</v>
      </c>
      <c r="J278">
        <f t="shared" si="73"/>
        <v>2900000</v>
      </c>
      <c r="K278">
        <f>MAX(0,(I278-J278-'Prepay vs Invest'!$B$16)*'Prepay vs Invest'!$B$15/100)</f>
        <v>2050237.3258537743</v>
      </c>
      <c r="L278">
        <f t="shared" si="66"/>
        <v>17376661.280976422</v>
      </c>
      <c r="M278">
        <f t="shared" si="74"/>
        <v>0</v>
      </c>
      <c r="N278">
        <f>IF(M278&gt;0,M278*'Prepay vs Invest'!$B$6/1200,0)</f>
        <v>0</v>
      </c>
      <c r="O278">
        <f>IF(M278&gt;0,MIN('Prepay vs Invest'!$E$5,M278+N278),0)</f>
        <v>0</v>
      </c>
      <c r="P278">
        <f>MIN(MAX(0,M278+N278-O278),IF(AND(A278&gt;='Prepay vs Invest'!$B$11,A278&lt;='Prepay vs Invest'!$B$12),'Prepay vs Invest'!$B$10,0)+IF(A278='Prepay vs Invest'!$B$9,'Prepay vs Invest'!$B$8,0))</f>
        <v>0</v>
      </c>
      <c r="Q278">
        <f t="shared" si="67"/>
        <v>0</v>
      </c>
      <c r="R278">
        <f t="shared" si="75"/>
        <v>12093857.98563166</v>
      </c>
      <c r="S278">
        <f>IF(A278&lt;='Prepay vs Invest'!$B$7*12,MAX(0,'Prepay vs Invest'!$E$5+IF(AND(A278&gt;='Prepay vs Invest'!$B$11,A278&lt;='Prepay vs Invest'!$B$12),'Prepay vs Invest'!$B$10,0)+IF(A278='Prepay vs Invest'!$B$9,'Prepay vs Invest'!$B$8,0)-O278-P278),0)</f>
        <v>0</v>
      </c>
      <c r="T278">
        <f>R278*(1+MAX(0,'Prepay vs Invest'!$B$13-'Prepay vs Invest'!$B$14)/1200)+S278</f>
        <v>12209757.457993962</v>
      </c>
      <c r="U278">
        <f t="shared" si="76"/>
        <v>6133552.3707652809</v>
      </c>
      <c r="V278">
        <f>MAX(0,(T278-U278-'Prepay vs Invest'!$B$16)*'Prepay vs Invest'!$B$15/100)</f>
        <v>743900.63590358512</v>
      </c>
      <c r="W278">
        <f t="shared" si="68"/>
        <v>11465856.822090376</v>
      </c>
      <c r="X278">
        <f t="shared" si="77"/>
        <v>0</v>
      </c>
      <c r="Y278">
        <f>IF(X278&gt;0,X278*'Prepay vs Invest'!$B$6/1200,0)</f>
        <v>0</v>
      </c>
      <c r="Z278">
        <f>IF(X278&gt;0,MIN(-PMT('Prepay vs Invest'!$B$6/1200,'Prepay vs Invest'!$B$7*12-A278+1,X278),X278+Y278),0)</f>
        <v>0</v>
      </c>
      <c r="AA278">
        <f>MIN(MAX(0,X278+Y278-Z278),IF(AND(A278&gt;='Prepay vs Invest'!$B$11,A278&lt;='Prepay vs Invest'!$B$12),'Prepay vs Invest'!$B$10,0)+IF(A278='Prepay vs Invest'!$B$9,'Prepay vs Invest'!$B$8,0))</f>
        <v>0</v>
      </c>
      <c r="AB278">
        <f t="shared" si="69"/>
        <v>0</v>
      </c>
      <c r="AC278">
        <f t="shared" si="78"/>
        <v>15356919.607184714</v>
      </c>
      <c r="AD278">
        <f>IF(A278&lt;='Prepay vs Invest'!$B$7*12,MAX(0,'Prepay vs Invest'!$E$5+IF(AND(A278&gt;='Prepay vs Invest'!$B$11,A278&lt;='Prepay vs Invest'!$B$12),'Prepay vs Invest'!$B$10,0)+IF(A278='Prepay vs Invest'!$B$9,'Prepay vs Invest'!$B$8,0)-Z278-AA278),0)</f>
        <v>0</v>
      </c>
      <c r="AE278">
        <f>AC278*(1+MAX(0,'Prepay vs Invest'!$B$13-'Prepay vs Invest'!$B$14)/1200)+AD278</f>
        <v>15504090.086753566</v>
      </c>
      <c r="AF278">
        <f t="shared" si="79"/>
        <v>4388572.0206063567</v>
      </c>
      <c r="AG278">
        <f>MAX(0,(AE278-AF278-'Prepay vs Invest'!$B$16)*'Prepay vs Invest'!$B$15/100)</f>
        <v>1373814.758268401</v>
      </c>
      <c r="AH278">
        <f t="shared" si="70"/>
        <v>14130275.328485165</v>
      </c>
    </row>
    <row r="279" spans="1:34" x14ac:dyDescent="0.35">
      <c r="A279">
        <f t="shared" si="71"/>
        <v>278</v>
      </c>
      <c r="B279">
        <f>IF(A279&lt;='Prepay vs Invest'!$B$7*12,F278,0)</f>
        <v>0</v>
      </c>
      <c r="C279">
        <f>IF(B279&gt;0,B279*'Prepay vs Invest'!$B$6/1200,0)</f>
        <v>0</v>
      </c>
      <c r="D279">
        <f>IF(B279&gt;0,MIN(-PMT('Prepay vs Invest'!$B$6/1200,'Prepay vs Invest'!$B$7*12,'Prepay vs Invest'!$B$5),B279+C279),0)</f>
        <v>0</v>
      </c>
      <c r="E279">
        <f t="shared" si="64"/>
        <v>0</v>
      </c>
      <c r="F279">
        <f t="shared" si="65"/>
        <v>0</v>
      </c>
      <c r="G279">
        <f t="shared" si="72"/>
        <v>19426898.606830195</v>
      </c>
      <c r="H279">
        <f>IF(A279&lt;='Prepay vs Invest'!$B$7*12,IF(AND(A279&gt;='Prepay vs Invest'!$B$11,A279&lt;='Prepay vs Invest'!$B$12),'Prepay vs Invest'!$B$10,0)+IF(A279='Prepay vs Invest'!$B$9,'Prepay vs Invest'!$B$8,0),0)</f>
        <v>0</v>
      </c>
      <c r="I279">
        <f>G279*(1+MAX(0,'Prepay vs Invest'!$B$13-'Prepay vs Invest'!$B$14)/1200)+H279</f>
        <v>19613073.051812317</v>
      </c>
      <c r="J279">
        <f t="shared" si="73"/>
        <v>2900000</v>
      </c>
      <c r="K279">
        <f>MAX(0,(I279-J279-'Prepay vs Invest'!$B$16)*'Prepay vs Invest'!$B$15/100)</f>
        <v>2073509.1314765397</v>
      </c>
      <c r="L279">
        <f t="shared" si="66"/>
        <v>17539563.920335777</v>
      </c>
      <c r="M279">
        <f t="shared" si="74"/>
        <v>0</v>
      </c>
      <c r="N279">
        <f>IF(M279&gt;0,M279*'Prepay vs Invest'!$B$6/1200,0)</f>
        <v>0</v>
      </c>
      <c r="O279">
        <f>IF(M279&gt;0,MIN('Prepay vs Invest'!$E$5,M279+N279),0)</f>
        <v>0</v>
      </c>
      <c r="P279">
        <f>MIN(MAX(0,M279+N279-O279),IF(AND(A279&gt;='Prepay vs Invest'!$B$11,A279&lt;='Prepay vs Invest'!$B$12),'Prepay vs Invest'!$B$10,0)+IF(A279='Prepay vs Invest'!$B$9,'Prepay vs Invest'!$B$8,0))</f>
        <v>0</v>
      </c>
      <c r="Q279">
        <f t="shared" si="67"/>
        <v>0</v>
      </c>
      <c r="R279">
        <f t="shared" si="75"/>
        <v>12209757.457993962</v>
      </c>
      <c r="S279">
        <f>IF(A279&lt;='Prepay vs Invest'!$B$7*12,MAX(0,'Prepay vs Invest'!$E$5+IF(AND(A279&gt;='Prepay vs Invest'!$B$11,A279&lt;='Prepay vs Invest'!$B$12),'Prepay vs Invest'!$B$10,0)+IF(A279='Prepay vs Invest'!$B$9,'Prepay vs Invest'!$B$8,0)-O279-P279),0)</f>
        <v>0</v>
      </c>
      <c r="T279">
        <f>R279*(1+MAX(0,'Prepay vs Invest'!$B$13-'Prepay vs Invest'!$B$14)/1200)+S279</f>
        <v>12326767.63363307</v>
      </c>
      <c r="U279">
        <f t="shared" si="76"/>
        <v>6133552.3707652809</v>
      </c>
      <c r="V279">
        <f>MAX(0,(T279-U279-'Prepay vs Invest'!$B$16)*'Prepay vs Invest'!$B$15/100)</f>
        <v>758526.90785847371</v>
      </c>
      <c r="W279">
        <f t="shared" si="68"/>
        <v>11568240.725774596</v>
      </c>
      <c r="X279">
        <f t="shared" si="77"/>
        <v>0</v>
      </c>
      <c r="Y279">
        <f>IF(X279&gt;0,X279*'Prepay vs Invest'!$B$6/1200,0)</f>
        <v>0</v>
      </c>
      <c r="Z279">
        <f>IF(X279&gt;0,MIN(-PMT('Prepay vs Invest'!$B$6/1200,'Prepay vs Invest'!$B$7*12-A279+1,X279),X279+Y279),0)</f>
        <v>0</v>
      </c>
      <c r="AA279">
        <f>MIN(MAX(0,X279+Y279-Z279),IF(AND(A279&gt;='Prepay vs Invest'!$B$11,A279&lt;='Prepay vs Invest'!$B$12),'Prepay vs Invest'!$B$10,0)+IF(A279='Prepay vs Invest'!$B$9,'Prepay vs Invest'!$B$8,0))</f>
        <v>0</v>
      </c>
      <c r="AB279">
        <f t="shared" si="69"/>
        <v>0</v>
      </c>
      <c r="AC279">
        <f t="shared" si="78"/>
        <v>15504090.086753566</v>
      </c>
      <c r="AD279">
        <f>IF(A279&lt;='Prepay vs Invest'!$B$7*12,MAX(0,'Prepay vs Invest'!$E$5+IF(AND(A279&gt;='Prepay vs Invest'!$B$11,A279&lt;='Prepay vs Invest'!$B$12),'Prepay vs Invest'!$B$10,0)+IF(A279='Prepay vs Invest'!$B$9,'Prepay vs Invest'!$B$8,0)-Z279-AA279),0)</f>
        <v>0</v>
      </c>
      <c r="AE279">
        <f>AC279*(1+MAX(0,'Prepay vs Invest'!$B$13-'Prepay vs Invest'!$B$14)/1200)+AD279</f>
        <v>15652670.950084953</v>
      </c>
      <c r="AF279">
        <f t="shared" si="79"/>
        <v>4388572.0206063567</v>
      </c>
      <c r="AG279">
        <f>MAX(0,(AE279-AF279-'Prepay vs Invest'!$B$16)*'Prepay vs Invest'!$B$15/100)</f>
        <v>1392387.3661848246</v>
      </c>
      <c r="AH279">
        <f t="shared" si="70"/>
        <v>14260283.583900128</v>
      </c>
    </row>
    <row r="280" spans="1:34" x14ac:dyDescent="0.35">
      <c r="A280">
        <f t="shared" si="71"/>
        <v>279</v>
      </c>
      <c r="B280">
        <f>IF(A280&lt;='Prepay vs Invest'!$B$7*12,F279,0)</f>
        <v>0</v>
      </c>
      <c r="C280">
        <f>IF(B280&gt;0,B280*'Prepay vs Invest'!$B$6/1200,0)</f>
        <v>0</v>
      </c>
      <c r="D280">
        <f>IF(B280&gt;0,MIN(-PMT('Prepay vs Invest'!$B$6/1200,'Prepay vs Invest'!$B$7*12,'Prepay vs Invest'!$B$5),B280+C280),0)</f>
        <v>0</v>
      </c>
      <c r="E280">
        <f t="shared" si="64"/>
        <v>0</v>
      </c>
      <c r="F280">
        <f t="shared" si="65"/>
        <v>0</v>
      </c>
      <c r="G280">
        <f t="shared" si="72"/>
        <v>19613073.051812317</v>
      </c>
      <c r="H280">
        <f>IF(A280&lt;='Prepay vs Invest'!$B$7*12,IF(AND(A280&gt;='Prepay vs Invest'!$B$11,A280&lt;='Prepay vs Invest'!$B$12),'Prepay vs Invest'!$B$10,0)+IF(A280='Prepay vs Invest'!$B$9,'Prepay vs Invest'!$B$8,0),0)</f>
        <v>0</v>
      </c>
      <c r="I280">
        <f>G280*(1+MAX(0,'Prepay vs Invest'!$B$13-'Prepay vs Invest'!$B$14)/1200)+H280</f>
        <v>19801031.668558851</v>
      </c>
      <c r="J280">
        <f t="shared" si="73"/>
        <v>2900000</v>
      </c>
      <c r="K280">
        <f>MAX(0,(I280-J280-'Prepay vs Invest'!$B$16)*'Prepay vs Invest'!$B$15/100)</f>
        <v>2097003.9585698564</v>
      </c>
      <c r="L280">
        <f t="shared" si="66"/>
        <v>17704027.709988996</v>
      </c>
      <c r="M280">
        <f t="shared" si="74"/>
        <v>0</v>
      </c>
      <c r="N280">
        <f>IF(M280&gt;0,M280*'Prepay vs Invest'!$B$6/1200,0)</f>
        <v>0</v>
      </c>
      <c r="O280">
        <f>IF(M280&gt;0,MIN('Prepay vs Invest'!$E$5,M280+N280),0)</f>
        <v>0</v>
      </c>
      <c r="P280">
        <f>MIN(MAX(0,M280+N280-O280),IF(AND(A280&gt;='Prepay vs Invest'!$B$11,A280&lt;='Prepay vs Invest'!$B$12),'Prepay vs Invest'!$B$10,0)+IF(A280='Prepay vs Invest'!$B$9,'Prepay vs Invest'!$B$8,0))</f>
        <v>0</v>
      </c>
      <c r="Q280">
        <f t="shared" si="67"/>
        <v>0</v>
      </c>
      <c r="R280">
        <f t="shared" si="75"/>
        <v>12326767.63363307</v>
      </c>
      <c r="S280">
        <f>IF(A280&lt;='Prepay vs Invest'!$B$7*12,MAX(0,'Prepay vs Invest'!$E$5+IF(AND(A280&gt;='Prepay vs Invest'!$B$11,A280&lt;='Prepay vs Invest'!$B$12),'Prepay vs Invest'!$B$10,0)+IF(A280='Prepay vs Invest'!$B$9,'Prepay vs Invest'!$B$8,0)-O280-P280),0)</f>
        <v>0</v>
      </c>
      <c r="T280">
        <f>R280*(1+MAX(0,'Prepay vs Invest'!$B$13-'Prepay vs Invest'!$B$14)/1200)+S280</f>
        <v>12444899.15678872</v>
      </c>
      <c r="U280">
        <f t="shared" si="76"/>
        <v>6133552.3707652809</v>
      </c>
      <c r="V280">
        <f>MAX(0,(T280-U280-'Prepay vs Invest'!$B$16)*'Prepay vs Invest'!$B$15/100)</f>
        <v>773293.34825292986</v>
      </c>
      <c r="W280">
        <f t="shared" si="68"/>
        <v>11671605.80853579</v>
      </c>
      <c r="X280">
        <f t="shared" si="77"/>
        <v>0</v>
      </c>
      <c r="Y280">
        <f>IF(X280&gt;0,X280*'Prepay vs Invest'!$B$6/1200,0)</f>
        <v>0</v>
      </c>
      <c r="Z280">
        <f>IF(X280&gt;0,MIN(-PMT('Prepay vs Invest'!$B$6/1200,'Prepay vs Invest'!$B$7*12-A280+1,X280),X280+Y280),0)</f>
        <v>0</v>
      </c>
      <c r="AA280">
        <f>MIN(MAX(0,X280+Y280-Z280),IF(AND(A280&gt;='Prepay vs Invest'!$B$11,A280&lt;='Prepay vs Invest'!$B$12),'Prepay vs Invest'!$B$10,0)+IF(A280='Prepay vs Invest'!$B$9,'Prepay vs Invest'!$B$8,0))</f>
        <v>0</v>
      </c>
      <c r="AB280">
        <f t="shared" si="69"/>
        <v>0</v>
      </c>
      <c r="AC280">
        <f t="shared" si="78"/>
        <v>15652670.950084953</v>
      </c>
      <c r="AD280">
        <f>IF(A280&lt;='Prepay vs Invest'!$B$7*12,MAX(0,'Prepay vs Invest'!$E$5+IF(AND(A280&gt;='Prepay vs Invest'!$B$11,A280&lt;='Prepay vs Invest'!$B$12),'Prepay vs Invest'!$B$10,0)+IF(A280='Prepay vs Invest'!$B$9,'Prepay vs Invest'!$B$8,0)-Z280-AA280),0)</f>
        <v>0</v>
      </c>
      <c r="AE280">
        <f>AC280*(1+MAX(0,'Prepay vs Invest'!$B$13-'Prepay vs Invest'!$B$14)/1200)+AD280</f>
        <v>15802675.713356599</v>
      </c>
      <c r="AF280">
        <f t="shared" si="79"/>
        <v>4388572.0206063567</v>
      </c>
      <c r="AG280">
        <f>MAX(0,(AE280-AF280-'Prepay vs Invest'!$B$16)*'Prepay vs Invest'!$B$15/100)</f>
        <v>1411137.9615937802</v>
      </c>
      <c r="AH280">
        <f t="shared" si="70"/>
        <v>14391537.751762819</v>
      </c>
    </row>
    <row r="281" spans="1:34" x14ac:dyDescent="0.35">
      <c r="A281">
        <f t="shared" si="71"/>
        <v>280</v>
      </c>
      <c r="B281">
        <f>IF(A281&lt;='Prepay vs Invest'!$B$7*12,F280,0)</f>
        <v>0</v>
      </c>
      <c r="C281">
        <f>IF(B281&gt;0,B281*'Prepay vs Invest'!$B$6/1200,0)</f>
        <v>0</v>
      </c>
      <c r="D281">
        <f>IF(B281&gt;0,MIN(-PMT('Prepay vs Invest'!$B$6/1200,'Prepay vs Invest'!$B$7*12,'Prepay vs Invest'!$B$5),B281+C281),0)</f>
        <v>0</v>
      </c>
      <c r="E281">
        <f t="shared" si="64"/>
        <v>0</v>
      </c>
      <c r="F281">
        <f t="shared" si="65"/>
        <v>0</v>
      </c>
      <c r="G281">
        <f t="shared" si="72"/>
        <v>19801031.668558851</v>
      </c>
      <c r="H281">
        <f>IF(A281&lt;='Prepay vs Invest'!$B$7*12,IF(AND(A281&gt;='Prepay vs Invest'!$B$11,A281&lt;='Prepay vs Invest'!$B$12),'Prepay vs Invest'!$B$10,0)+IF(A281='Prepay vs Invest'!$B$9,'Prepay vs Invest'!$B$8,0),0)</f>
        <v>0</v>
      </c>
      <c r="I281">
        <f>G281*(1+MAX(0,'Prepay vs Invest'!$B$13-'Prepay vs Invest'!$B$14)/1200)+H281</f>
        <v>19990791.555382539</v>
      </c>
      <c r="J281">
        <f t="shared" si="73"/>
        <v>2900000</v>
      </c>
      <c r="K281">
        <f>MAX(0,(I281-J281-'Prepay vs Invest'!$B$16)*'Prepay vs Invest'!$B$15/100)</f>
        <v>2120723.9444228173</v>
      </c>
      <c r="L281">
        <f t="shared" si="66"/>
        <v>17870067.61095972</v>
      </c>
      <c r="M281">
        <f t="shared" si="74"/>
        <v>0</v>
      </c>
      <c r="N281">
        <f>IF(M281&gt;0,M281*'Prepay vs Invest'!$B$6/1200,0)</f>
        <v>0</v>
      </c>
      <c r="O281">
        <f>IF(M281&gt;0,MIN('Prepay vs Invest'!$E$5,M281+N281),0)</f>
        <v>0</v>
      </c>
      <c r="P281">
        <f>MIN(MAX(0,M281+N281-O281),IF(AND(A281&gt;='Prepay vs Invest'!$B$11,A281&lt;='Prepay vs Invest'!$B$12),'Prepay vs Invest'!$B$10,0)+IF(A281='Prepay vs Invest'!$B$9,'Prepay vs Invest'!$B$8,0))</f>
        <v>0</v>
      </c>
      <c r="Q281">
        <f t="shared" si="67"/>
        <v>0</v>
      </c>
      <c r="R281">
        <f t="shared" si="75"/>
        <v>12444899.15678872</v>
      </c>
      <c r="S281">
        <f>IF(A281&lt;='Prepay vs Invest'!$B$7*12,MAX(0,'Prepay vs Invest'!$E$5+IF(AND(A281&gt;='Prepay vs Invest'!$B$11,A281&lt;='Prepay vs Invest'!$B$12),'Prepay vs Invest'!$B$10,0)+IF(A281='Prepay vs Invest'!$B$9,'Prepay vs Invest'!$B$8,0)-O281-P281),0)</f>
        <v>0</v>
      </c>
      <c r="T281">
        <f>R281*(1+MAX(0,'Prepay vs Invest'!$B$13-'Prepay vs Invest'!$B$14)/1200)+S281</f>
        <v>12564162.773707945</v>
      </c>
      <c r="U281">
        <f t="shared" si="76"/>
        <v>6133552.3707652809</v>
      </c>
      <c r="V281">
        <f>MAX(0,(T281-U281-'Prepay vs Invest'!$B$16)*'Prepay vs Invest'!$B$15/100)</f>
        <v>788201.30036783288</v>
      </c>
      <c r="W281">
        <f t="shared" si="68"/>
        <v>11775961.473340113</v>
      </c>
      <c r="X281">
        <f t="shared" si="77"/>
        <v>0</v>
      </c>
      <c r="Y281">
        <f>IF(X281&gt;0,X281*'Prepay vs Invest'!$B$6/1200,0)</f>
        <v>0</v>
      </c>
      <c r="Z281">
        <f>IF(X281&gt;0,MIN(-PMT('Prepay vs Invest'!$B$6/1200,'Prepay vs Invest'!$B$7*12-A281+1,X281),X281+Y281),0)</f>
        <v>0</v>
      </c>
      <c r="AA281">
        <f>MIN(MAX(0,X281+Y281-Z281),IF(AND(A281&gt;='Prepay vs Invest'!$B$11,A281&lt;='Prepay vs Invest'!$B$12),'Prepay vs Invest'!$B$10,0)+IF(A281='Prepay vs Invest'!$B$9,'Prepay vs Invest'!$B$8,0))</f>
        <v>0</v>
      </c>
      <c r="AB281">
        <f t="shared" si="69"/>
        <v>0</v>
      </c>
      <c r="AC281">
        <f t="shared" si="78"/>
        <v>15802675.713356599</v>
      </c>
      <c r="AD281">
        <f>IF(A281&lt;='Prepay vs Invest'!$B$7*12,MAX(0,'Prepay vs Invest'!$E$5+IF(AND(A281&gt;='Prepay vs Invest'!$B$11,A281&lt;='Prepay vs Invest'!$B$12),'Prepay vs Invest'!$B$10,0)+IF(A281='Prepay vs Invest'!$B$9,'Prepay vs Invest'!$B$8,0)-Z281-AA281),0)</f>
        <v>0</v>
      </c>
      <c r="AE281">
        <f>AC281*(1+MAX(0,'Prepay vs Invest'!$B$13-'Prepay vs Invest'!$B$14)/1200)+AD281</f>
        <v>15954118.022276266</v>
      </c>
      <c r="AF281">
        <f t="shared" si="79"/>
        <v>4388572.0206063567</v>
      </c>
      <c r="AG281">
        <f>MAX(0,(AE281-AF281-'Prepay vs Invest'!$B$16)*'Prepay vs Invest'!$B$15/100)</f>
        <v>1430068.2502087387</v>
      </c>
      <c r="AH281">
        <f t="shared" si="70"/>
        <v>14524049.772067526</v>
      </c>
    </row>
    <row r="282" spans="1:34" x14ac:dyDescent="0.35">
      <c r="A282">
        <f t="shared" si="71"/>
        <v>281</v>
      </c>
      <c r="B282">
        <f>IF(A282&lt;='Prepay vs Invest'!$B$7*12,F281,0)</f>
        <v>0</v>
      </c>
      <c r="C282">
        <f>IF(B282&gt;0,B282*'Prepay vs Invest'!$B$6/1200,0)</f>
        <v>0</v>
      </c>
      <c r="D282">
        <f>IF(B282&gt;0,MIN(-PMT('Prepay vs Invest'!$B$6/1200,'Prepay vs Invest'!$B$7*12,'Prepay vs Invest'!$B$5),B282+C282),0)</f>
        <v>0</v>
      </c>
      <c r="E282">
        <f t="shared" si="64"/>
        <v>0</v>
      </c>
      <c r="F282">
        <f t="shared" si="65"/>
        <v>0</v>
      </c>
      <c r="G282">
        <f t="shared" si="72"/>
        <v>19990791.555382539</v>
      </c>
      <c r="H282">
        <f>IF(A282&lt;='Prepay vs Invest'!$B$7*12,IF(AND(A282&gt;='Prepay vs Invest'!$B$11,A282&lt;='Prepay vs Invest'!$B$12),'Prepay vs Invest'!$B$10,0)+IF(A282='Prepay vs Invest'!$B$9,'Prepay vs Invest'!$B$8,0),0)</f>
        <v>0</v>
      </c>
      <c r="I282">
        <f>G282*(1+MAX(0,'Prepay vs Invest'!$B$13-'Prepay vs Invest'!$B$14)/1200)+H282</f>
        <v>20182369.974454954</v>
      </c>
      <c r="J282">
        <f t="shared" si="73"/>
        <v>2900000</v>
      </c>
      <c r="K282">
        <f>MAX(0,(I282-J282-'Prepay vs Invest'!$B$16)*'Prepay vs Invest'!$B$15/100)</f>
        <v>2144671.2468068693</v>
      </c>
      <c r="L282">
        <f t="shared" si="66"/>
        <v>18037698.727648087</v>
      </c>
      <c r="M282">
        <f t="shared" si="74"/>
        <v>0</v>
      </c>
      <c r="N282">
        <f>IF(M282&gt;0,M282*'Prepay vs Invest'!$B$6/1200,0)</f>
        <v>0</v>
      </c>
      <c r="O282">
        <f>IF(M282&gt;0,MIN('Prepay vs Invest'!$E$5,M282+N282),0)</f>
        <v>0</v>
      </c>
      <c r="P282">
        <f>MIN(MAX(0,M282+N282-O282),IF(AND(A282&gt;='Prepay vs Invest'!$B$11,A282&lt;='Prepay vs Invest'!$B$12),'Prepay vs Invest'!$B$10,0)+IF(A282='Prepay vs Invest'!$B$9,'Prepay vs Invest'!$B$8,0))</f>
        <v>0</v>
      </c>
      <c r="Q282">
        <f t="shared" si="67"/>
        <v>0</v>
      </c>
      <c r="R282">
        <f t="shared" si="75"/>
        <v>12564162.773707945</v>
      </c>
      <c r="S282">
        <f>IF(A282&lt;='Prepay vs Invest'!$B$7*12,MAX(0,'Prepay vs Invest'!$E$5+IF(AND(A282&gt;='Prepay vs Invest'!$B$11,A282&lt;='Prepay vs Invest'!$B$12),'Prepay vs Invest'!$B$10,0)+IF(A282='Prepay vs Invest'!$B$9,'Prepay vs Invest'!$B$8,0)-O282-P282),0)</f>
        <v>0</v>
      </c>
      <c r="T282">
        <f>R282*(1+MAX(0,'Prepay vs Invest'!$B$13-'Prepay vs Invest'!$B$14)/1200)+S282</f>
        <v>12684569.333622646</v>
      </c>
      <c r="U282">
        <f t="shared" si="76"/>
        <v>6133552.3707652809</v>
      </c>
      <c r="V282">
        <f>MAX(0,(T282-U282-'Prepay vs Invest'!$B$16)*'Prepay vs Invest'!$B$15/100)</f>
        <v>803252.12035717058</v>
      </c>
      <c r="W282">
        <f t="shared" si="68"/>
        <v>11881317.213265475</v>
      </c>
      <c r="X282">
        <f t="shared" si="77"/>
        <v>0</v>
      </c>
      <c r="Y282">
        <f>IF(X282&gt;0,X282*'Prepay vs Invest'!$B$6/1200,0)</f>
        <v>0</v>
      </c>
      <c r="Z282">
        <f>IF(X282&gt;0,MIN(-PMT('Prepay vs Invest'!$B$6/1200,'Prepay vs Invest'!$B$7*12-A282+1,X282),X282+Y282),0)</f>
        <v>0</v>
      </c>
      <c r="AA282">
        <f>MIN(MAX(0,X282+Y282-Z282),IF(AND(A282&gt;='Prepay vs Invest'!$B$11,A282&lt;='Prepay vs Invest'!$B$12),'Prepay vs Invest'!$B$10,0)+IF(A282='Prepay vs Invest'!$B$9,'Prepay vs Invest'!$B$8,0))</f>
        <v>0</v>
      </c>
      <c r="AB282">
        <f t="shared" si="69"/>
        <v>0</v>
      </c>
      <c r="AC282">
        <f t="shared" si="78"/>
        <v>15954118.022276266</v>
      </c>
      <c r="AD282">
        <f>IF(A282&lt;='Prepay vs Invest'!$B$7*12,MAX(0,'Prepay vs Invest'!$E$5+IF(AND(A282&gt;='Prepay vs Invest'!$B$11,A282&lt;='Prepay vs Invest'!$B$12),'Prepay vs Invest'!$B$10,0)+IF(A282='Prepay vs Invest'!$B$9,'Prepay vs Invest'!$B$8,0)-Z282-AA282),0)</f>
        <v>0</v>
      </c>
      <c r="AE282">
        <f>AC282*(1+MAX(0,'Prepay vs Invest'!$B$13-'Prepay vs Invest'!$B$14)/1200)+AD282</f>
        <v>16107011.653323079</v>
      </c>
      <c r="AF282">
        <f t="shared" si="79"/>
        <v>4388572.0206063567</v>
      </c>
      <c r="AG282">
        <f>MAX(0,(AE282-AF282-'Prepay vs Invest'!$B$16)*'Prepay vs Invest'!$B$15/100)</f>
        <v>1449179.9540895903</v>
      </c>
      <c r="AH282">
        <f t="shared" si="70"/>
        <v>14657831.699233487</v>
      </c>
    </row>
    <row r="283" spans="1:34" x14ac:dyDescent="0.35">
      <c r="A283">
        <f t="shared" si="71"/>
        <v>282</v>
      </c>
      <c r="B283">
        <f>IF(A283&lt;='Prepay vs Invest'!$B$7*12,F282,0)</f>
        <v>0</v>
      </c>
      <c r="C283">
        <f>IF(B283&gt;0,B283*'Prepay vs Invest'!$B$6/1200,0)</f>
        <v>0</v>
      </c>
      <c r="D283">
        <f>IF(B283&gt;0,MIN(-PMT('Prepay vs Invest'!$B$6/1200,'Prepay vs Invest'!$B$7*12,'Prepay vs Invest'!$B$5),B283+C283),0)</f>
        <v>0</v>
      </c>
      <c r="E283">
        <f t="shared" si="64"/>
        <v>0</v>
      </c>
      <c r="F283">
        <f t="shared" si="65"/>
        <v>0</v>
      </c>
      <c r="G283">
        <f t="shared" si="72"/>
        <v>20182369.974454954</v>
      </c>
      <c r="H283">
        <f>IF(A283&lt;='Prepay vs Invest'!$B$7*12,IF(AND(A283&gt;='Prepay vs Invest'!$B$11,A283&lt;='Prepay vs Invest'!$B$12),'Prepay vs Invest'!$B$10,0)+IF(A283='Prepay vs Invest'!$B$9,'Prepay vs Invest'!$B$8,0),0)</f>
        <v>0</v>
      </c>
      <c r="I283">
        <f>G283*(1+MAX(0,'Prepay vs Invest'!$B$13-'Prepay vs Invest'!$B$14)/1200)+H283</f>
        <v>20375784.353376813</v>
      </c>
      <c r="J283">
        <f t="shared" si="73"/>
        <v>2900000</v>
      </c>
      <c r="K283">
        <f>MAX(0,(I283-J283-'Prepay vs Invest'!$B$16)*'Prepay vs Invest'!$B$15/100)</f>
        <v>2168848.0441721017</v>
      </c>
      <c r="L283">
        <f t="shared" si="66"/>
        <v>18206936.309204713</v>
      </c>
      <c r="M283">
        <f t="shared" si="74"/>
        <v>0</v>
      </c>
      <c r="N283">
        <f>IF(M283&gt;0,M283*'Prepay vs Invest'!$B$6/1200,0)</f>
        <v>0</v>
      </c>
      <c r="O283">
        <f>IF(M283&gt;0,MIN('Prepay vs Invest'!$E$5,M283+N283),0)</f>
        <v>0</v>
      </c>
      <c r="P283">
        <f>MIN(MAX(0,M283+N283-O283),IF(AND(A283&gt;='Prepay vs Invest'!$B$11,A283&lt;='Prepay vs Invest'!$B$12),'Prepay vs Invest'!$B$10,0)+IF(A283='Prepay vs Invest'!$B$9,'Prepay vs Invest'!$B$8,0))</f>
        <v>0</v>
      </c>
      <c r="Q283">
        <f t="shared" si="67"/>
        <v>0</v>
      </c>
      <c r="R283">
        <f t="shared" si="75"/>
        <v>12684569.333622646</v>
      </c>
      <c r="S283">
        <f>IF(A283&lt;='Prepay vs Invest'!$B$7*12,MAX(0,'Prepay vs Invest'!$E$5+IF(AND(A283&gt;='Prepay vs Invest'!$B$11,A283&lt;='Prepay vs Invest'!$B$12),'Prepay vs Invest'!$B$10,0)+IF(A283='Prepay vs Invest'!$B$9,'Prepay vs Invest'!$B$8,0)-O283-P283),0)</f>
        <v>0</v>
      </c>
      <c r="T283">
        <f>R283*(1+MAX(0,'Prepay vs Invest'!$B$13-'Prepay vs Invest'!$B$14)/1200)+S283</f>
        <v>12806129.789736528</v>
      </c>
      <c r="U283">
        <f t="shared" si="76"/>
        <v>6133552.3707652809</v>
      </c>
      <c r="V283">
        <f>MAX(0,(T283-U283-'Prepay vs Invest'!$B$16)*'Prepay vs Invest'!$B$15/100)</f>
        <v>818447.17737140576</v>
      </c>
      <c r="W283">
        <f t="shared" si="68"/>
        <v>11987682.612365123</v>
      </c>
      <c r="X283">
        <f t="shared" si="77"/>
        <v>0</v>
      </c>
      <c r="Y283">
        <f>IF(X283&gt;0,X283*'Prepay vs Invest'!$B$6/1200,0)</f>
        <v>0</v>
      </c>
      <c r="Z283">
        <f>IF(X283&gt;0,MIN(-PMT('Prepay vs Invest'!$B$6/1200,'Prepay vs Invest'!$B$7*12-A283+1,X283),X283+Y283),0)</f>
        <v>0</v>
      </c>
      <c r="AA283">
        <f>MIN(MAX(0,X283+Y283-Z283),IF(AND(A283&gt;='Prepay vs Invest'!$B$11,A283&lt;='Prepay vs Invest'!$B$12),'Prepay vs Invest'!$B$10,0)+IF(A283='Prepay vs Invest'!$B$9,'Prepay vs Invest'!$B$8,0))</f>
        <v>0</v>
      </c>
      <c r="AB283">
        <f t="shared" si="69"/>
        <v>0</v>
      </c>
      <c r="AC283">
        <f t="shared" si="78"/>
        <v>16107011.653323079</v>
      </c>
      <c r="AD283">
        <f>IF(A283&lt;='Prepay vs Invest'!$B$7*12,MAX(0,'Prepay vs Invest'!$E$5+IF(AND(A283&gt;='Prepay vs Invest'!$B$11,A283&lt;='Prepay vs Invest'!$B$12),'Prepay vs Invest'!$B$10,0)+IF(A283='Prepay vs Invest'!$B$9,'Prepay vs Invest'!$B$8,0)-Z283-AA283),0)</f>
        <v>0</v>
      </c>
      <c r="AE283">
        <f>AC283*(1+MAX(0,'Prepay vs Invest'!$B$13-'Prepay vs Invest'!$B$14)/1200)+AD283</f>
        <v>16261370.515000757</v>
      </c>
      <c r="AF283">
        <f t="shared" si="79"/>
        <v>4388572.0206063567</v>
      </c>
      <c r="AG283">
        <f>MAX(0,(AE283-AF283-'Prepay vs Invest'!$B$16)*'Prepay vs Invest'!$B$15/100)</f>
        <v>1468474.8117992999</v>
      </c>
      <c r="AH283">
        <f t="shared" si="70"/>
        <v>14792895.703201458</v>
      </c>
    </row>
    <row r="284" spans="1:34" x14ac:dyDescent="0.35">
      <c r="A284">
        <f t="shared" si="71"/>
        <v>283</v>
      </c>
      <c r="B284">
        <f>IF(A284&lt;='Prepay vs Invest'!$B$7*12,F283,0)</f>
        <v>0</v>
      </c>
      <c r="C284">
        <f>IF(B284&gt;0,B284*'Prepay vs Invest'!$B$6/1200,0)</f>
        <v>0</v>
      </c>
      <c r="D284">
        <f>IF(B284&gt;0,MIN(-PMT('Prepay vs Invest'!$B$6/1200,'Prepay vs Invest'!$B$7*12,'Prepay vs Invest'!$B$5),B284+C284),0)</f>
        <v>0</v>
      </c>
      <c r="E284">
        <f t="shared" si="64"/>
        <v>0</v>
      </c>
      <c r="F284">
        <f t="shared" si="65"/>
        <v>0</v>
      </c>
      <c r="G284">
        <f t="shared" si="72"/>
        <v>20375784.353376813</v>
      </c>
      <c r="H284">
        <f>IF(A284&lt;='Prepay vs Invest'!$B$7*12,IF(AND(A284&gt;='Prepay vs Invest'!$B$11,A284&lt;='Prepay vs Invest'!$B$12),'Prepay vs Invest'!$B$10,0)+IF(A284='Prepay vs Invest'!$B$9,'Prepay vs Invest'!$B$8,0),0)</f>
        <v>0</v>
      </c>
      <c r="I284">
        <f>G284*(1+MAX(0,'Prepay vs Invest'!$B$13-'Prepay vs Invest'!$B$14)/1200)+H284</f>
        <v>20571052.28676334</v>
      </c>
      <c r="J284">
        <f t="shared" si="73"/>
        <v>2900000</v>
      </c>
      <c r="K284">
        <f>MAX(0,(I284-J284-'Prepay vs Invest'!$B$16)*'Prepay vs Invest'!$B$15/100)</f>
        <v>2193256.5358454175</v>
      </c>
      <c r="L284">
        <f t="shared" si="66"/>
        <v>18377795.750917923</v>
      </c>
      <c r="M284">
        <f t="shared" si="74"/>
        <v>0</v>
      </c>
      <c r="N284">
        <f>IF(M284&gt;0,M284*'Prepay vs Invest'!$B$6/1200,0)</f>
        <v>0</v>
      </c>
      <c r="O284">
        <f>IF(M284&gt;0,MIN('Prepay vs Invest'!$E$5,M284+N284),0)</f>
        <v>0</v>
      </c>
      <c r="P284">
        <f>MIN(MAX(0,M284+N284-O284),IF(AND(A284&gt;='Prepay vs Invest'!$B$11,A284&lt;='Prepay vs Invest'!$B$12),'Prepay vs Invest'!$B$10,0)+IF(A284='Prepay vs Invest'!$B$9,'Prepay vs Invest'!$B$8,0))</f>
        <v>0</v>
      </c>
      <c r="Q284">
        <f t="shared" si="67"/>
        <v>0</v>
      </c>
      <c r="R284">
        <f t="shared" si="75"/>
        <v>12806129.789736528</v>
      </c>
      <c r="S284">
        <f>IF(A284&lt;='Prepay vs Invest'!$B$7*12,MAX(0,'Prepay vs Invest'!$E$5+IF(AND(A284&gt;='Prepay vs Invest'!$B$11,A284&lt;='Prepay vs Invest'!$B$12),'Prepay vs Invest'!$B$10,0)+IF(A284='Prepay vs Invest'!$B$9,'Prepay vs Invest'!$B$8,0)-O284-P284),0)</f>
        <v>0</v>
      </c>
      <c r="T284">
        <f>R284*(1+MAX(0,'Prepay vs Invest'!$B$13-'Prepay vs Invest'!$B$14)/1200)+S284</f>
        <v>12928855.200221503</v>
      </c>
      <c r="U284">
        <f t="shared" si="76"/>
        <v>6133552.3707652809</v>
      </c>
      <c r="V284">
        <f>MAX(0,(T284-U284-'Prepay vs Invest'!$B$16)*'Prepay vs Invest'!$B$15/100)</f>
        <v>833787.85368202778</v>
      </c>
      <c r="W284">
        <f t="shared" si="68"/>
        <v>12095067.346539475</v>
      </c>
      <c r="X284">
        <f t="shared" si="77"/>
        <v>0</v>
      </c>
      <c r="Y284">
        <f>IF(X284&gt;0,X284*'Prepay vs Invest'!$B$6/1200,0)</f>
        <v>0</v>
      </c>
      <c r="Z284">
        <f>IF(X284&gt;0,MIN(-PMT('Prepay vs Invest'!$B$6/1200,'Prepay vs Invest'!$B$7*12-A284+1,X284),X284+Y284),0)</f>
        <v>0</v>
      </c>
      <c r="AA284">
        <f>MIN(MAX(0,X284+Y284-Z284),IF(AND(A284&gt;='Prepay vs Invest'!$B$11,A284&lt;='Prepay vs Invest'!$B$12),'Prepay vs Invest'!$B$10,0)+IF(A284='Prepay vs Invest'!$B$9,'Prepay vs Invest'!$B$8,0))</f>
        <v>0</v>
      </c>
      <c r="AB284">
        <f t="shared" si="69"/>
        <v>0</v>
      </c>
      <c r="AC284">
        <f t="shared" si="78"/>
        <v>16261370.515000757</v>
      </c>
      <c r="AD284">
        <f>IF(A284&lt;='Prepay vs Invest'!$B$7*12,MAX(0,'Prepay vs Invest'!$E$5+IF(AND(A284&gt;='Prepay vs Invest'!$B$11,A284&lt;='Prepay vs Invest'!$B$12),'Prepay vs Invest'!$B$10,0)+IF(A284='Prepay vs Invest'!$B$9,'Prepay vs Invest'!$B$8,0)-Z284-AA284),0)</f>
        <v>0</v>
      </c>
      <c r="AE284">
        <f>AC284*(1+MAX(0,'Prepay vs Invest'!$B$13-'Prepay vs Invest'!$B$14)/1200)+AD284</f>
        <v>16417208.649102846</v>
      </c>
      <c r="AF284">
        <f t="shared" si="79"/>
        <v>4388572.0206063567</v>
      </c>
      <c r="AG284">
        <f>MAX(0,(AE284-AF284-'Prepay vs Invest'!$B$16)*'Prepay vs Invest'!$B$15/100)</f>
        <v>1487954.5785620613</v>
      </c>
      <c r="AH284">
        <f t="shared" si="70"/>
        <v>14929254.070540786</v>
      </c>
    </row>
    <row r="285" spans="1:34" x14ac:dyDescent="0.35">
      <c r="A285">
        <f t="shared" si="71"/>
        <v>284</v>
      </c>
      <c r="B285">
        <f>IF(A285&lt;='Prepay vs Invest'!$B$7*12,F284,0)</f>
        <v>0</v>
      </c>
      <c r="C285">
        <f>IF(B285&gt;0,B285*'Prepay vs Invest'!$B$6/1200,0)</f>
        <v>0</v>
      </c>
      <c r="D285">
        <f>IF(B285&gt;0,MIN(-PMT('Prepay vs Invest'!$B$6/1200,'Prepay vs Invest'!$B$7*12,'Prepay vs Invest'!$B$5),B285+C285),0)</f>
        <v>0</v>
      </c>
      <c r="E285">
        <f t="shared" si="64"/>
        <v>0</v>
      </c>
      <c r="F285">
        <f t="shared" si="65"/>
        <v>0</v>
      </c>
      <c r="G285">
        <f t="shared" si="72"/>
        <v>20571052.28676334</v>
      </c>
      <c r="H285">
        <f>IF(A285&lt;='Prepay vs Invest'!$B$7*12,IF(AND(A285&gt;='Prepay vs Invest'!$B$11,A285&lt;='Prepay vs Invest'!$B$12),'Prepay vs Invest'!$B$10,0)+IF(A285='Prepay vs Invest'!$B$9,'Prepay vs Invest'!$B$8,0),0)</f>
        <v>0</v>
      </c>
      <c r="I285">
        <f>G285*(1+MAX(0,'Prepay vs Invest'!$B$13-'Prepay vs Invest'!$B$14)/1200)+H285</f>
        <v>20768191.537844822</v>
      </c>
      <c r="J285">
        <f t="shared" si="73"/>
        <v>2900000</v>
      </c>
      <c r="K285">
        <f>MAX(0,(I285-J285-'Prepay vs Invest'!$B$16)*'Prepay vs Invest'!$B$15/100)</f>
        <v>2217898.9422306027</v>
      </c>
      <c r="L285">
        <f t="shared" si="66"/>
        <v>18550292.595614217</v>
      </c>
      <c r="M285">
        <f t="shared" si="74"/>
        <v>0</v>
      </c>
      <c r="N285">
        <f>IF(M285&gt;0,M285*'Prepay vs Invest'!$B$6/1200,0)</f>
        <v>0</v>
      </c>
      <c r="O285">
        <f>IF(M285&gt;0,MIN('Prepay vs Invest'!$E$5,M285+N285),0)</f>
        <v>0</v>
      </c>
      <c r="P285">
        <f>MIN(MAX(0,M285+N285-O285),IF(AND(A285&gt;='Prepay vs Invest'!$B$11,A285&lt;='Prepay vs Invest'!$B$12),'Prepay vs Invest'!$B$10,0)+IF(A285='Prepay vs Invest'!$B$9,'Prepay vs Invest'!$B$8,0))</f>
        <v>0</v>
      </c>
      <c r="Q285">
        <f t="shared" si="67"/>
        <v>0</v>
      </c>
      <c r="R285">
        <f t="shared" si="75"/>
        <v>12928855.200221503</v>
      </c>
      <c r="S285">
        <f>IF(A285&lt;='Prepay vs Invest'!$B$7*12,MAX(0,'Prepay vs Invest'!$E$5+IF(AND(A285&gt;='Prepay vs Invest'!$B$11,A285&lt;='Prepay vs Invest'!$B$12),'Prepay vs Invest'!$B$10,0)+IF(A285='Prepay vs Invest'!$B$9,'Prepay vs Invest'!$B$8,0)-O285-P285),0)</f>
        <v>0</v>
      </c>
      <c r="T285">
        <f>R285*(1+MAX(0,'Prepay vs Invest'!$B$13-'Prepay vs Invest'!$B$14)/1200)+S285</f>
        <v>13052756.729223626</v>
      </c>
      <c r="U285">
        <f t="shared" si="76"/>
        <v>6133552.3707652809</v>
      </c>
      <c r="V285">
        <f>MAX(0,(T285-U285-'Prepay vs Invest'!$B$16)*'Prepay vs Invest'!$B$15/100)</f>
        <v>849275.5448072931</v>
      </c>
      <c r="W285">
        <f t="shared" si="68"/>
        <v>12203481.184416333</v>
      </c>
      <c r="X285">
        <f t="shared" si="77"/>
        <v>0</v>
      </c>
      <c r="Y285">
        <f>IF(X285&gt;0,X285*'Prepay vs Invest'!$B$6/1200,0)</f>
        <v>0</v>
      </c>
      <c r="Z285">
        <f>IF(X285&gt;0,MIN(-PMT('Prepay vs Invest'!$B$6/1200,'Prepay vs Invest'!$B$7*12-A285+1,X285),X285+Y285),0)</f>
        <v>0</v>
      </c>
      <c r="AA285">
        <f>MIN(MAX(0,X285+Y285-Z285),IF(AND(A285&gt;='Prepay vs Invest'!$B$11,A285&lt;='Prepay vs Invest'!$B$12),'Prepay vs Invest'!$B$10,0)+IF(A285='Prepay vs Invest'!$B$9,'Prepay vs Invest'!$B$8,0))</f>
        <v>0</v>
      </c>
      <c r="AB285">
        <f t="shared" si="69"/>
        <v>0</v>
      </c>
      <c r="AC285">
        <f t="shared" si="78"/>
        <v>16417208.649102846</v>
      </c>
      <c r="AD285">
        <f>IF(A285&lt;='Prepay vs Invest'!$B$7*12,MAX(0,'Prepay vs Invest'!$E$5+IF(AND(A285&gt;='Prepay vs Invest'!$B$11,A285&lt;='Prepay vs Invest'!$B$12),'Prepay vs Invest'!$B$10,0)+IF(A285='Prepay vs Invest'!$B$9,'Prepay vs Invest'!$B$8,0)-Z285-AA285),0)</f>
        <v>0</v>
      </c>
      <c r="AE285">
        <f>AC285*(1+MAX(0,'Prepay vs Invest'!$B$13-'Prepay vs Invest'!$B$14)/1200)+AD285</f>
        <v>16574540.23199008</v>
      </c>
      <c r="AF285">
        <f t="shared" si="79"/>
        <v>4388572.0206063567</v>
      </c>
      <c r="AG285">
        <f>MAX(0,(AE285-AF285-'Prepay vs Invest'!$B$16)*'Prepay vs Invest'!$B$15/100)</f>
        <v>1507621.0264229653</v>
      </c>
      <c r="AH285">
        <f t="shared" si="70"/>
        <v>15066919.205567114</v>
      </c>
    </row>
    <row r="286" spans="1:34" x14ac:dyDescent="0.35">
      <c r="A286">
        <f t="shared" si="71"/>
        <v>285</v>
      </c>
      <c r="B286">
        <f>IF(A286&lt;='Prepay vs Invest'!$B$7*12,F285,0)</f>
        <v>0</v>
      </c>
      <c r="C286">
        <f>IF(B286&gt;0,B286*'Prepay vs Invest'!$B$6/1200,0)</f>
        <v>0</v>
      </c>
      <c r="D286">
        <f>IF(B286&gt;0,MIN(-PMT('Prepay vs Invest'!$B$6/1200,'Prepay vs Invest'!$B$7*12,'Prepay vs Invest'!$B$5),B286+C286),0)</f>
        <v>0</v>
      </c>
      <c r="E286">
        <f t="shared" si="64"/>
        <v>0</v>
      </c>
      <c r="F286">
        <f t="shared" si="65"/>
        <v>0</v>
      </c>
      <c r="G286">
        <f t="shared" si="72"/>
        <v>20768191.537844822</v>
      </c>
      <c r="H286">
        <f>IF(A286&lt;='Prepay vs Invest'!$B$7*12,IF(AND(A286&gt;='Prepay vs Invest'!$B$11,A286&lt;='Prepay vs Invest'!$B$12),'Prepay vs Invest'!$B$10,0)+IF(A286='Prepay vs Invest'!$B$9,'Prepay vs Invest'!$B$8,0),0)</f>
        <v>0</v>
      </c>
      <c r="I286">
        <f>G286*(1+MAX(0,'Prepay vs Invest'!$B$13-'Prepay vs Invest'!$B$14)/1200)+H286</f>
        <v>20967220.040082499</v>
      </c>
      <c r="J286">
        <f t="shared" si="73"/>
        <v>2900000</v>
      </c>
      <c r="K286">
        <f>MAX(0,(I286-J286-'Prepay vs Invest'!$B$16)*'Prepay vs Invest'!$B$15/100)</f>
        <v>2242777.5050103124</v>
      </c>
      <c r="L286">
        <f t="shared" si="66"/>
        <v>18724442.535072185</v>
      </c>
      <c r="M286">
        <f t="shared" si="74"/>
        <v>0</v>
      </c>
      <c r="N286">
        <f>IF(M286&gt;0,M286*'Prepay vs Invest'!$B$6/1200,0)</f>
        <v>0</v>
      </c>
      <c r="O286">
        <f>IF(M286&gt;0,MIN('Prepay vs Invest'!$E$5,M286+N286),0)</f>
        <v>0</v>
      </c>
      <c r="P286">
        <f>MIN(MAX(0,M286+N286-O286),IF(AND(A286&gt;='Prepay vs Invest'!$B$11,A286&lt;='Prepay vs Invest'!$B$12),'Prepay vs Invest'!$B$10,0)+IF(A286='Prepay vs Invest'!$B$9,'Prepay vs Invest'!$B$8,0))</f>
        <v>0</v>
      </c>
      <c r="Q286">
        <f t="shared" si="67"/>
        <v>0</v>
      </c>
      <c r="R286">
        <f t="shared" si="75"/>
        <v>13052756.729223626</v>
      </c>
      <c r="S286">
        <f>IF(A286&lt;='Prepay vs Invest'!$B$7*12,MAX(0,'Prepay vs Invest'!$E$5+IF(AND(A286&gt;='Prepay vs Invest'!$B$11,A286&lt;='Prepay vs Invest'!$B$12),'Prepay vs Invest'!$B$10,0)+IF(A286='Prepay vs Invest'!$B$9,'Prepay vs Invest'!$B$8,0)-O286-P286),0)</f>
        <v>0</v>
      </c>
      <c r="T286">
        <f>R286*(1+MAX(0,'Prepay vs Invest'!$B$13-'Prepay vs Invest'!$B$14)/1200)+S286</f>
        <v>13177845.647878684</v>
      </c>
      <c r="U286">
        <f t="shared" si="76"/>
        <v>6133552.3707652809</v>
      </c>
      <c r="V286">
        <f>MAX(0,(T286-U286-'Prepay vs Invest'!$B$16)*'Prepay vs Invest'!$B$15/100)</f>
        <v>864911.6596391754</v>
      </c>
      <c r="W286">
        <f t="shared" si="68"/>
        <v>12312933.988239508</v>
      </c>
      <c r="X286">
        <f t="shared" si="77"/>
        <v>0</v>
      </c>
      <c r="Y286">
        <f>IF(X286&gt;0,X286*'Prepay vs Invest'!$B$6/1200,0)</f>
        <v>0</v>
      </c>
      <c r="Z286">
        <f>IF(X286&gt;0,MIN(-PMT('Prepay vs Invest'!$B$6/1200,'Prepay vs Invest'!$B$7*12-A286+1,X286),X286+Y286),0)</f>
        <v>0</v>
      </c>
      <c r="AA286">
        <f>MIN(MAX(0,X286+Y286-Z286),IF(AND(A286&gt;='Prepay vs Invest'!$B$11,A286&lt;='Prepay vs Invest'!$B$12),'Prepay vs Invest'!$B$10,0)+IF(A286='Prepay vs Invest'!$B$9,'Prepay vs Invest'!$B$8,0))</f>
        <v>0</v>
      </c>
      <c r="AB286">
        <f t="shared" si="69"/>
        <v>0</v>
      </c>
      <c r="AC286">
        <f t="shared" si="78"/>
        <v>16574540.23199008</v>
      </c>
      <c r="AD286">
        <f>IF(A286&lt;='Prepay vs Invest'!$B$7*12,MAX(0,'Prepay vs Invest'!$E$5+IF(AND(A286&gt;='Prepay vs Invest'!$B$11,A286&lt;='Prepay vs Invest'!$B$12),'Prepay vs Invest'!$B$10,0)+IF(A286='Prepay vs Invest'!$B$9,'Prepay vs Invest'!$B$8,0)-Z286-AA286),0)</f>
        <v>0</v>
      </c>
      <c r="AE286">
        <f>AC286*(1+MAX(0,'Prepay vs Invest'!$B$13-'Prepay vs Invest'!$B$14)/1200)+AD286</f>
        <v>16733379.575879984</v>
      </c>
      <c r="AF286">
        <f t="shared" si="79"/>
        <v>4388572.0206063567</v>
      </c>
      <c r="AG286">
        <f>MAX(0,(AE286-AF286-'Prepay vs Invest'!$B$16)*'Prepay vs Invest'!$B$15/100)</f>
        <v>1527475.9444092032</v>
      </c>
      <c r="AH286">
        <f t="shared" si="70"/>
        <v>15205903.631470781</v>
      </c>
    </row>
    <row r="287" spans="1:34" x14ac:dyDescent="0.35">
      <c r="A287">
        <f t="shared" si="71"/>
        <v>286</v>
      </c>
      <c r="B287">
        <f>IF(A287&lt;='Prepay vs Invest'!$B$7*12,F286,0)</f>
        <v>0</v>
      </c>
      <c r="C287">
        <f>IF(B287&gt;0,B287*'Prepay vs Invest'!$B$6/1200,0)</f>
        <v>0</v>
      </c>
      <c r="D287">
        <f>IF(B287&gt;0,MIN(-PMT('Prepay vs Invest'!$B$6/1200,'Prepay vs Invest'!$B$7*12,'Prepay vs Invest'!$B$5),B287+C287),0)</f>
        <v>0</v>
      </c>
      <c r="E287">
        <f t="shared" si="64"/>
        <v>0</v>
      </c>
      <c r="F287">
        <f t="shared" si="65"/>
        <v>0</v>
      </c>
      <c r="G287">
        <f t="shared" si="72"/>
        <v>20967220.040082499</v>
      </c>
      <c r="H287">
        <f>IF(A287&lt;='Prepay vs Invest'!$B$7*12,IF(AND(A287&gt;='Prepay vs Invest'!$B$11,A287&lt;='Prepay vs Invest'!$B$12),'Prepay vs Invest'!$B$10,0)+IF(A287='Prepay vs Invest'!$B$9,'Prepay vs Invest'!$B$8,0),0)</f>
        <v>0</v>
      </c>
      <c r="I287">
        <f>G287*(1+MAX(0,'Prepay vs Invest'!$B$13-'Prepay vs Invest'!$B$14)/1200)+H287</f>
        <v>21168155.898799956</v>
      </c>
      <c r="J287">
        <f t="shared" si="73"/>
        <v>2900000</v>
      </c>
      <c r="K287">
        <f>MAX(0,(I287-J287-'Prepay vs Invest'!$B$16)*'Prepay vs Invest'!$B$15/100)</f>
        <v>2267894.4873499945</v>
      </c>
      <c r="L287">
        <f t="shared" si="66"/>
        <v>18900261.411449961</v>
      </c>
      <c r="M287">
        <f t="shared" si="74"/>
        <v>0</v>
      </c>
      <c r="N287">
        <f>IF(M287&gt;0,M287*'Prepay vs Invest'!$B$6/1200,0)</f>
        <v>0</v>
      </c>
      <c r="O287">
        <f>IF(M287&gt;0,MIN('Prepay vs Invest'!$E$5,M287+N287),0)</f>
        <v>0</v>
      </c>
      <c r="P287">
        <f>MIN(MAX(0,M287+N287-O287),IF(AND(A287&gt;='Prepay vs Invest'!$B$11,A287&lt;='Prepay vs Invest'!$B$12),'Prepay vs Invest'!$B$10,0)+IF(A287='Prepay vs Invest'!$B$9,'Prepay vs Invest'!$B$8,0))</f>
        <v>0</v>
      </c>
      <c r="Q287">
        <f t="shared" si="67"/>
        <v>0</v>
      </c>
      <c r="R287">
        <f t="shared" si="75"/>
        <v>13177845.647878684</v>
      </c>
      <c r="S287">
        <f>IF(A287&lt;='Prepay vs Invest'!$B$7*12,MAX(0,'Prepay vs Invest'!$E$5+IF(AND(A287&gt;='Prepay vs Invest'!$B$11,A287&lt;='Prepay vs Invest'!$B$12),'Prepay vs Invest'!$B$10,0)+IF(A287='Prepay vs Invest'!$B$9,'Prepay vs Invest'!$B$8,0)-O287-P287),0)</f>
        <v>0</v>
      </c>
      <c r="T287">
        <f>R287*(1+MAX(0,'Prepay vs Invest'!$B$13-'Prepay vs Invest'!$B$14)/1200)+S287</f>
        <v>13304133.335337522</v>
      </c>
      <c r="U287">
        <f t="shared" si="76"/>
        <v>6133552.3707652809</v>
      </c>
      <c r="V287">
        <f>MAX(0,(T287-U287-'Prepay vs Invest'!$B$16)*'Prepay vs Invest'!$B$15/100)</f>
        <v>880697.62057152996</v>
      </c>
      <c r="W287">
        <f t="shared" si="68"/>
        <v>12423435.714765992</v>
      </c>
      <c r="X287">
        <f t="shared" si="77"/>
        <v>0</v>
      </c>
      <c r="Y287">
        <f>IF(X287&gt;0,X287*'Prepay vs Invest'!$B$6/1200,0)</f>
        <v>0</v>
      </c>
      <c r="Z287">
        <f>IF(X287&gt;0,MIN(-PMT('Prepay vs Invest'!$B$6/1200,'Prepay vs Invest'!$B$7*12-A287+1,X287),X287+Y287),0)</f>
        <v>0</v>
      </c>
      <c r="AA287">
        <f>MIN(MAX(0,X287+Y287-Z287),IF(AND(A287&gt;='Prepay vs Invest'!$B$11,A287&lt;='Prepay vs Invest'!$B$12),'Prepay vs Invest'!$B$10,0)+IF(A287='Prepay vs Invest'!$B$9,'Prepay vs Invest'!$B$8,0))</f>
        <v>0</v>
      </c>
      <c r="AB287">
        <f t="shared" si="69"/>
        <v>0</v>
      </c>
      <c r="AC287">
        <f t="shared" si="78"/>
        <v>16733379.575879984</v>
      </c>
      <c r="AD287">
        <f>IF(A287&lt;='Prepay vs Invest'!$B$7*12,MAX(0,'Prepay vs Invest'!$E$5+IF(AND(A287&gt;='Prepay vs Invest'!$B$11,A287&lt;='Prepay vs Invest'!$B$12),'Prepay vs Invest'!$B$10,0)+IF(A287='Prepay vs Invest'!$B$9,'Prepay vs Invest'!$B$8,0)-Z287-AA287),0)</f>
        <v>0</v>
      </c>
      <c r="AE287">
        <f>AC287*(1+MAX(0,'Prepay vs Invest'!$B$13-'Prepay vs Invest'!$B$14)/1200)+AD287</f>
        <v>16893741.130148832</v>
      </c>
      <c r="AF287">
        <f t="shared" si="79"/>
        <v>4388572.0206063567</v>
      </c>
      <c r="AG287">
        <f>MAX(0,(AE287-AF287-'Prepay vs Invest'!$B$16)*'Prepay vs Invest'!$B$15/100)</f>
        <v>1547521.1386928093</v>
      </c>
      <c r="AH287">
        <f t="shared" si="70"/>
        <v>15346219.991456022</v>
      </c>
    </row>
    <row r="288" spans="1:34" x14ac:dyDescent="0.35">
      <c r="A288">
        <f t="shared" si="71"/>
        <v>287</v>
      </c>
      <c r="B288">
        <f>IF(A288&lt;='Prepay vs Invest'!$B$7*12,F287,0)</f>
        <v>0</v>
      </c>
      <c r="C288">
        <f>IF(B288&gt;0,B288*'Prepay vs Invest'!$B$6/1200,0)</f>
        <v>0</v>
      </c>
      <c r="D288">
        <f>IF(B288&gt;0,MIN(-PMT('Prepay vs Invest'!$B$6/1200,'Prepay vs Invest'!$B$7*12,'Prepay vs Invest'!$B$5),B288+C288),0)</f>
        <v>0</v>
      </c>
      <c r="E288">
        <f t="shared" si="64"/>
        <v>0</v>
      </c>
      <c r="F288">
        <f t="shared" si="65"/>
        <v>0</v>
      </c>
      <c r="G288">
        <f t="shared" si="72"/>
        <v>21168155.898799956</v>
      </c>
      <c r="H288">
        <f>IF(A288&lt;='Prepay vs Invest'!$B$7*12,IF(AND(A288&gt;='Prepay vs Invest'!$B$11,A288&lt;='Prepay vs Invest'!$B$12),'Prepay vs Invest'!$B$10,0)+IF(A288='Prepay vs Invest'!$B$9,'Prepay vs Invest'!$B$8,0),0)</f>
        <v>0</v>
      </c>
      <c r="I288">
        <f>G288*(1+MAX(0,'Prepay vs Invest'!$B$13-'Prepay vs Invest'!$B$14)/1200)+H288</f>
        <v>21371017.392830122</v>
      </c>
      <c r="J288">
        <f t="shared" si="73"/>
        <v>2900000</v>
      </c>
      <c r="K288">
        <f>MAX(0,(I288-J288-'Prepay vs Invest'!$B$16)*'Prepay vs Invest'!$B$15/100)</f>
        <v>2293252.1741037653</v>
      </c>
      <c r="L288">
        <f t="shared" si="66"/>
        <v>19077765.218726356</v>
      </c>
      <c r="M288">
        <f t="shared" si="74"/>
        <v>0</v>
      </c>
      <c r="N288">
        <f>IF(M288&gt;0,M288*'Prepay vs Invest'!$B$6/1200,0)</f>
        <v>0</v>
      </c>
      <c r="O288">
        <f>IF(M288&gt;0,MIN('Prepay vs Invest'!$E$5,M288+N288),0)</f>
        <v>0</v>
      </c>
      <c r="P288">
        <f>MIN(MAX(0,M288+N288-O288),IF(AND(A288&gt;='Prepay vs Invest'!$B$11,A288&lt;='Prepay vs Invest'!$B$12),'Prepay vs Invest'!$B$10,0)+IF(A288='Prepay vs Invest'!$B$9,'Prepay vs Invest'!$B$8,0))</f>
        <v>0</v>
      </c>
      <c r="Q288">
        <f t="shared" si="67"/>
        <v>0</v>
      </c>
      <c r="R288">
        <f t="shared" si="75"/>
        <v>13304133.335337522</v>
      </c>
      <c r="S288">
        <f>IF(A288&lt;='Prepay vs Invest'!$B$7*12,MAX(0,'Prepay vs Invest'!$E$5+IF(AND(A288&gt;='Prepay vs Invest'!$B$11,A288&lt;='Prepay vs Invest'!$B$12),'Prepay vs Invest'!$B$10,0)+IF(A288='Prepay vs Invest'!$B$9,'Prepay vs Invest'!$B$8,0)-O288-P288),0)</f>
        <v>0</v>
      </c>
      <c r="T288">
        <f>R288*(1+MAX(0,'Prepay vs Invest'!$B$13-'Prepay vs Invest'!$B$14)/1200)+S288</f>
        <v>13431631.279801171</v>
      </c>
      <c r="U288">
        <f t="shared" si="76"/>
        <v>6133552.3707652809</v>
      </c>
      <c r="V288">
        <f>MAX(0,(T288-U288-'Prepay vs Invest'!$B$16)*'Prepay vs Invest'!$B$15/100)</f>
        <v>896634.8636294863</v>
      </c>
      <c r="W288">
        <f t="shared" si="68"/>
        <v>12534996.416171685</v>
      </c>
      <c r="X288">
        <f t="shared" si="77"/>
        <v>0</v>
      </c>
      <c r="Y288">
        <f>IF(X288&gt;0,X288*'Prepay vs Invest'!$B$6/1200,0)</f>
        <v>0</v>
      </c>
      <c r="Z288">
        <f>IF(X288&gt;0,MIN(-PMT('Prepay vs Invest'!$B$6/1200,'Prepay vs Invest'!$B$7*12-A288+1,X288),X288+Y288),0)</f>
        <v>0</v>
      </c>
      <c r="AA288">
        <f>MIN(MAX(0,X288+Y288-Z288),IF(AND(A288&gt;='Prepay vs Invest'!$B$11,A288&lt;='Prepay vs Invest'!$B$12),'Prepay vs Invest'!$B$10,0)+IF(A288='Prepay vs Invest'!$B$9,'Prepay vs Invest'!$B$8,0))</f>
        <v>0</v>
      </c>
      <c r="AB288">
        <f t="shared" si="69"/>
        <v>0</v>
      </c>
      <c r="AC288">
        <f t="shared" si="78"/>
        <v>16893741.130148832</v>
      </c>
      <c r="AD288">
        <f>IF(A288&lt;='Prepay vs Invest'!$B$7*12,MAX(0,'Prepay vs Invest'!$E$5+IF(AND(A288&gt;='Prepay vs Invest'!$B$11,A288&lt;='Prepay vs Invest'!$B$12),'Prepay vs Invest'!$B$10,0)+IF(A288='Prepay vs Invest'!$B$9,'Prepay vs Invest'!$B$8,0)-Z288-AA288),0)</f>
        <v>0</v>
      </c>
      <c r="AE288">
        <f>AC288*(1+MAX(0,'Prepay vs Invest'!$B$13-'Prepay vs Invest'!$B$14)/1200)+AD288</f>
        <v>17055639.482646089</v>
      </c>
      <c r="AF288">
        <f t="shared" si="79"/>
        <v>4388572.0206063567</v>
      </c>
      <c r="AG288">
        <f>MAX(0,(AE288-AF288-'Prepay vs Invest'!$B$16)*'Prepay vs Invest'!$B$15/100)</f>
        <v>1567758.4327549664</v>
      </c>
      <c r="AH288">
        <f t="shared" si="70"/>
        <v>15487881.049891122</v>
      </c>
    </row>
    <row r="289" spans="1:34" x14ac:dyDescent="0.35">
      <c r="A289">
        <f t="shared" si="71"/>
        <v>288</v>
      </c>
      <c r="B289">
        <f>IF(A289&lt;='Prepay vs Invest'!$B$7*12,F288,0)</f>
        <v>0</v>
      </c>
      <c r="C289">
        <f>IF(B289&gt;0,B289*'Prepay vs Invest'!$B$6/1200,0)</f>
        <v>0</v>
      </c>
      <c r="D289">
        <f>IF(B289&gt;0,MIN(-PMT('Prepay vs Invest'!$B$6/1200,'Prepay vs Invest'!$B$7*12,'Prepay vs Invest'!$B$5),B289+C289),0)</f>
        <v>0</v>
      </c>
      <c r="E289">
        <f t="shared" si="64"/>
        <v>0</v>
      </c>
      <c r="F289">
        <f t="shared" si="65"/>
        <v>0</v>
      </c>
      <c r="G289">
        <f t="shared" si="72"/>
        <v>21371017.392830122</v>
      </c>
      <c r="H289">
        <f>IF(A289&lt;='Prepay vs Invest'!$B$7*12,IF(AND(A289&gt;='Prepay vs Invest'!$B$11,A289&lt;='Prepay vs Invest'!$B$12),'Prepay vs Invest'!$B$10,0)+IF(A289='Prepay vs Invest'!$B$9,'Prepay vs Invest'!$B$8,0),0)</f>
        <v>0</v>
      </c>
      <c r="I289">
        <f>G289*(1+MAX(0,'Prepay vs Invest'!$B$13-'Prepay vs Invest'!$B$14)/1200)+H289</f>
        <v>21575822.976178076</v>
      </c>
      <c r="J289">
        <f t="shared" si="73"/>
        <v>2900000</v>
      </c>
      <c r="K289">
        <f>MAX(0,(I289-J289-'Prepay vs Invest'!$B$16)*'Prepay vs Invest'!$B$15/100)</f>
        <v>2318852.8720222595</v>
      </c>
      <c r="L289">
        <f t="shared" si="66"/>
        <v>19256970.104155816</v>
      </c>
      <c r="M289">
        <f t="shared" si="74"/>
        <v>0</v>
      </c>
      <c r="N289">
        <f>IF(M289&gt;0,M289*'Prepay vs Invest'!$B$6/1200,0)</f>
        <v>0</v>
      </c>
      <c r="O289">
        <f>IF(M289&gt;0,MIN('Prepay vs Invest'!$E$5,M289+N289),0)</f>
        <v>0</v>
      </c>
      <c r="P289">
        <f>MIN(MAX(0,M289+N289-O289),IF(AND(A289&gt;='Prepay vs Invest'!$B$11,A289&lt;='Prepay vs Invest'!$B$12),'Prepay vs Invest'!$B$10,0)+IF(A289='Prepay vs Invest'!$B$9,'Prepay vs Invest'!$B$8,0))</f>
        <v>0</v>
      </c>
      <c r="Q289">
        <f t="shared" si="67"/>
        <v>0</v>
      </c>
      <c r="R289">
        <f t="shared" si="75"/>
        <v>13431631.279801171</v>
      </c>
      <c r="S289">
        <f>IF(A289&lt;='Prepay vs Invest'!$B$7*12,MAX(0,'Prepay vs Invest'!$E$5+IF(AND(A289&gt;='Prepay vs Invest'!$B$11,A289&lt;='Prepay vs Invest'!$B$12),'Prepay vs Invest'!$B$10,0)+IF(A289='Prepay vs Invest'!$B$9,'Prepay vs Invest'!$B$8,0)-O289-P289),0)</f>
        <v>0</v>
      </c>
      <c r="T289">
        <f>R289*(1+MAX(0,'Prepay vs Invest'!$B$13-'Prepay vs Invest'!$B$14)/1200)+S289</f>
        <v>13560351.079565931</v>
      </c>
      <c r="U289">
        <f t="shared" si="76"/>
        <v>6133552.3707652809</v>
      </c>
      <c r="V289">
        <f>MAX(0,(T289-U289-'Prepay vs Invest'!$B$16)*'Prepay vs Invest'!$B$15/100)</f>
        <v>912724.83860008116</v>
      </c>
      <c r="W289">
        <f t="shared" si="68"/>
        <v>12647626.240965851</v>
      </c>
      <c r="X289">
        <f t="shared" si="77"/>
        <v>0</v>
      </c>
      <c r="Y289">
        <f>IF(X289&gt;0,X289*'Prepay vs Invest'!$B$6/1200,0)</f>
        <v>0</v>
      </c>
      <c r="Z289">
        <f>IF(X289&gt;0,MIN(-PMT('Prepay vs Invest'!$B$6/1200,'Prepay vs Invest'!$B$7*12-A289+1,X289),X289+Y289),0)</f>
        <v>0</v>
      </c>
      <c r="AA289">
        <f>MIN(MAX(0,X289+Y289-Z289),IF(AND(A289&gt;='Prepay vs Invest'!$B$11,A289&lt;='Prepay vs Invest'!$B$12),'Prepay vs Invest'!$B$10,0)+IF(A289='Prepay vs Invest'!$B$9,'Prepay vs Invest'!$B$8,0))</f>
        <v>0</v>
      </c>
      <c r="AB289">
        <f t="shared" si="69"/>
        <v>0</v>
      </c>
      <c r="AC289">
        <f t="shared" si="78"/>
        <v>17055639.482646089</v>
      </c>
      <c r="AD289">
        <f>IF(A289&lt;='Prepay vs Invest'!$B$7*12,MAX(0,'Prepay vs Invest'!$E$5+IF(AND(A289&gt;='Prepay vs Invest'!$B$11,A289&lt;='Prepay vs Invest'!$B$12),'Prepay vs Invest'!$B$10,0)+IF(A289='Prepay vs Invest'!$B$9,'Prepay vs Invest'!$B$8,0)-Z289-AA289),0)</f>
        <v>0</v>
      </c>
      <c r="AE289">
        <f>AC289*(1+MAX(0,'Prepay vs Invest'!$B$13-'Prepay vs Invest'!$B$14)/1200)+AD289</f>
        <v>17219089.361021448</v>
      </c>
      <c r="AF289">
        <f t="shared" si="79"/>
        <v>4388572.0206063567</v>
      </c>
      <c r="AG289">
        <f>MAX(0,(AE289-AF289-'Prepay vs Invest'!$B$16)*'Prepay vs Invest'!$B$15/100)</f>
        <v>1588189.6675518865</v>
      </c>
      <c r="AH289">
        <f t="shared" si="70"/>
        <v>15630899.693469562</v>
      </c>
    </row>
    <row r="290" spans="1:34" x14ac:dyDescent="0.35">
      <c r="A290">
        <f t="shared" si="71"/>
        <v>289</v>
      </c>
      <c r="B290">
        <f>IF(A290&lt;='Prepay vs Invest'!$B$7*12,F289,0)</f>
        <v>0</v>
      </c>
      <c r="C290">
        <f>IF(B290&gt;0,B290*'Prepay vs Invest'!$B$6/1200,0)</f>
        <v>0</v>
      </c>
      <c r="D290">
        <f>IF(B290&gt;0,MIN(-PMT('Prepay vs Invest'!$B$6/1200,'Prepay vs Invest'!$B$7*12,'Prepay vs Invest'!$B$5),B290+C290),0)</f>
        <v>0</v>
      </c>
      <c r="E290">
        <f t="shared" si="64"/>
        <v>0</v>
      </c>
      <c r="F290">
        <f t="shared" si="65"/>
        <v>0</v>
      </c>
      <c r="G290">
        <f t="shared" si="72"/>
        <v>21575822.976178076</v>
      </c>
      <c r="H290">
        <f>IF(A290&lt;='Prepay vs Invest'!$B$7*12,IF(AND(A290&gt;='Prepay vs Invest'!$B$11,A290&lt;='Prepay vs Invest'!$B$12),'Prepay vs Invest'!$B$10,0)+IF(A290='Prepay vs Invest'!$B$9,'Prepay vs Invest'!$B$8,0),0)</f>
        <v>0</v>
      </c>
      <c r="I290">
        <f>G290*(1+MAX(0,'Prepay vs Invest'!$B$13-'Prepay vs Invest'!$B$14)/1200)+H290</f>
        <v>21782591.27969978</v>
      </c>
      <c r="J290">
        <f t="shared" si="73"/>
        <v>2900000</v>
      </c>
      <c r="K290">
        <f>MAX(0,(I290-J290-'Prepay vs Invest'!$B$16)*'Prepay vs Invest'!$B$15/100)</f>
        <v>2344698.9099624725</v>
      </c>
      <c r="L290">
        <f t="shared" si="66"/>
        <v>19437892.369737308</v>
      </c>
      <c r="M290">
        <f t="shared" si="74"/>
        <v>0</v>
      </c>
      <c r="N290">
        <f>IF(M290&gt;0,M290*'Prepay vs Invest'!$B$6/1200,0)</f>
        <v>0</v>
      </c>
      <c r="O290">
        <f>IF(M290&gt;0,MIN('Prepay vs Invest'!$E$5,M290+N290),0)</f>
        <v>0</v>
      </c>
      <c r="P290">
        <f>MIN(MAX(0,M290+N290-O290),IF(AND(A290&gt;='Prepay vs Invest'!$B$11,A290&lt;='Prepay vs Invest'!$B$12),'Prepay vs Invest'!$B$10,0)+IF(A290='Prepay vs Invest'!$B$9,'Prepay vs Invest'!$B$8,0))</f>
        <v>0</v>
      </c>
      <c r="Q290">
        <f t="shared" si="67"/>
        <v>0</v>
      </c>
      <c r="R290">
        <f t="shared" si="75"/>
        <v>13560351.079565931</v>
      </c>
      <c r="S290">
        <f>IF(A290&lt;='Prepay vs Invest'!$B$7*12,MAX(0,'Prepay vs Invest'!$E$5+IF(AND(A290&gt;='Prepay vs Invest'!$B$11,A290&lt;='Prepay vs Invest'!$B$12),'Prepay vs Invest'!$B$10,0)+IF(A290='Prepay vs Invest'!$B$9,'Prepay vs Invest'!$B$8,0)-O290-P290),0)</f>
        <v>0</v>
      </c>
      <c r="T290">
        <f>R290*(1+MAX(0,'Prepay vs Invest'!$B$13-'Prepay vs Invest'!$B$14)/1200)+S290</f>
        <v>13690304.444078438</v>
      </c>
      <c r="U290">
        <f t="shared" si="76"/>
        <v>6133552.3707652809</v>
      </c>
      <c r="V290">
        <f>MAX(0,(T290-U290-'Prepay vs Invest'!$B$16)*'Prepay vs Invest'!$B$15/100)</f>
        <v>928969.00916414475</v>
      </c>
      <c r="W290">
        <f t="shared" si="68"/>
        <v>12761335.434914293</v>
      </c>
      <c r="X290">
        <f t="shared" si="77"/>
        <v>0</v>
      </c>
      <c r="Y290">
        <f>IF(X290&gt;0,X290*'Prepay vs Invest'!$B$6/1200,0)</f>
        <v>0</v>
      </c>
      <c r="Z290">
        <f>IF(X290&gt;0,MIN(-PMT('Prepay vs Invest'!$B$6/1200,'Prepay vs Invest'!$B$7*12-A290+1,X290),X290+Y290),0)</f>
        <v>0</v>
      </c>
      <c r="AA290">
        <f>MIN(MAX(0,X290+Y290-Z290),IF(AND(A290&gt;='Prepay vs Invest'!$B$11,A290&lt;='Prepay vs Invest'!$B$12),'Prepay vs Invest'!$B$10,0)+IF(A290='Prepay vs Invest'!$B$9,'Prepay vs Invest'!$B$8,0))</f>
        <v>0</v>
      </c>
      <c r="AB290">
        <f t="shared" si="69"/>
        <v>0</v>
      </c>
      <c r="AC290">
        <f t="shared" si="78"/>
        <v>17219089.361021448</v>
      </c>
      <c r="AD290">
        <f>IF(A290&lt;='Prepay vs Invest'!$B$7*12,MAX(0,'Prepay vs Invest'!$E$5+IF(AND(A290&gt;='Prepay vs Invest'!$B$11,A290&lt;='Prepay vs Invest'!$B$12),'Prepay vs Invest'!$B$10,0)+IF(A290='Prepay vs Invest'!$B$9,'Prepay vs Invest'!$B$8,0)-Z290-AA290),0)</f>
        <v>0</v>
      </c>
      <c r="AE290">
        <f>AC290*(1+MAX(0,'Prepay vs Invest'!$B$13-'Prepay vs Invest'!$B$14)/1200)+AD290</f>
        <v>17384105.63406457</v>
      </c>
      <c r="AF290">
        <f t="shared" si="79"/>
        <v>4388572.0206063567</v>
      </c>
      <c r="AG290">
        <f>MAX(0,(AE290-AF290-'Prepay vs Invest'!$B$16)*'Prepay vs Invest'!$B$15/100)</f>
        <v>1608816.7016822763</v>
      </c>
      <c r="AH290">
        <f t="shared" si="70"/>
        <v>15775288.932382293</v>
      </c>
    </row>
    <row r="291" spans="1:34" x14ac:dyDescent="0.35">
      <c r="A291">
        <f t="shared" si="71"/>
        <v>290</v>
      </c>
      <c r="B291">
        <f>IF(A291&lt;='Prepay vs Invest'!$B$7*12,F290,0)</f>
        <v>0</v>
      </c>
      <c r="C291">
        <f>IF(B291&gt;0,B291*'Prepay vs Invest'!$B$6/1200,0)</f>
        <v>0</v>
      </c>
      <c r="D291">
        <f>IF(B291&gt;0,MIN(-PMT('Prepay vs Invest'!$B$6/1200,'Prepay vs Invest'!$B$7*12,'Prepay vs Invest'!$B$5),B291+C291),0)</f>
        <v>0</v>
      </c>
      <c r="E291">
        <f t="shared" si="64"/>
        <v>0</v>
      </c>
      <c r="F291">
        <f t="shared" si="65"/>
        <v>0</v>
      </c>
      <c r="G291">
        <f t="shared" si="72"/>
        <v>21782591.27969978</v>
      </c>
      <c r="H291">
        <f>IF(A291&lt;='Prepay vs Invest'!$B$7*12,IF(AND(A291&gt;='Prepay vs Invest'!$B$11,A291&lt;='Prepay vs Invest'!$B$12),'Prepay vs Invest'!$B$10,0)+IF(A291='Prepay vs Invest'!$B$9,'Prepay vs Invest'!$B$8,0),0)</f>
        <v>0</v>
      </c>
      <c r="I291">
        <f>G291*(1+MAX(0,'Prepay vs Invest'!$B$13-'Prepay vs Invest'!$B$14)/1200)+H291</f>
        <v>21991341.112796903</v>
      </c>
      <c r="J291">
        <f t="shared" si="73"/>
        <v>2900000</v>
      </c>
      <c r="K291">
        <f>MAX(0,(I291-J291-'Prepay vs Invest'!$B$16)*'Prepay vs Invest'!$B$15/100)</f>
        <v>2370792.6390996128</v>
      </c>
      <c r="L291">
        <f t="shared" si="66"/>
        <v>19620548.47369729</v>
      </c>
      <c r="M291">
        <f t="shared" si="74"/>
        <v>0</v>
      </c>
      <c r="N291">
        <f>IF(M291&gt;0,M291*'Prepay vs Invest'!$B$6/1200,0)</f>
        <v>0</v>
      </c>
      <c r="O291">
        <f>IF(M291&gt;0,MIN('Prepay vs Invest'!$E$5,M291+N291),0)</f>
        <v>0</v>
      </c>
      <c r="P291">
        <f>MIN(MAX(0,M291+N291-O291),IF(AND(A291&gt;='Prepay vs Invest'!$B$11,A291&lt;='Prepay vs Invest'!$B$12),'Prepay vs Invest'!$B$10,0)+IF(A291='Prepay vs Invest'!$B$9,'Prepay vs Invest'!$B$8,0))</f>
        <v>0</v>
      </c>
      <c r="Q291">
        <f t="shared" si="67"/>
        <v>0</v>
      </c>
      <c r="R291">
        <f t="shared" si="75"/>
        <v>13690304.444078438</v>
      </c>
      <c r="S291">
        <f>IF(A291&lt;='Prepay vs Invest'!$B$7*12,MAX(0,'Prepay vs Invest'!$E$5+IF(AND(A291&gt;='Prepay vs Invest'!$B$11,A291&lt;='Prepay vs Invest'!$B$12),'Prepay vs Invest'!$B$10,0)+IF(A291='Prepay vs Invest'!$B$9,'Prepay vs Invest'!$B$8,0)-O291-P291),0)</f>
        <v>0</v>
      </c>
      <c r="T291">
        <f>R291*(1+MAX(0,'Prepay vs Invest'!$B$13-'Prepay vs Invest'!$B$14)/1200)+S291</f>
        <v>13821503.195000855</v>
      </c>
      <c r="U291">
        <f t="shared" si="76"/>
        <v>6133552.3707652809</v>
      </c>
      <c r="V291">
        <f>MAX(0,(T291-U291-'Prepay vs Invest'!$B$16)*'Prepay vs Invest'!$B$15/100)</f>
        <v>945368.85302944679</v>
      </c>
      <c r="W291">
        <f t="shared" si="68"/>
        <v>12876134.341971409</v>
      </c>
      <c r="X291">
        <f t="shared" si="77"/>
        <v>0</v>
      </c>
      <c r="Y291">
        <f>IF(X291&gt;0,X291*'Prepay vs Invest'!$B$6/1200,0)</f>
        <v>0</v>
      </c>
      <c r="Z291">
        <f>IF(X291&gt;0,MIN(-PMT('Prepay vs Invest'!$B$6/1200,'Prepay vs Invest'!$B$7*12-A291+1,X291),X291+Y291),0)</f>
        <v>0</v>
      </c>
      <c r="AA291">
        <f>MIN(MAX(0,X291+Y291-Z291),IF(AND(A291&gt;='Prepay vs Invest'!$B$11,A291&lt;='Prepay vs Invest'!$B$12),'Prepay vs Invest'!$B$10,0)+IF(A291='Prepay vs Invest'!$B$9,'Prepay vs Invest'!$B$8,0))</f>
        <v>0</v>
      </c>
      <c r="AB291">
        <f t="shared" si="69"/>
        <v>0</v>
      </c>
      <c r="AC291">
        <f t="shared" si="78"/>
        <v>17384105.63406457</v>
      </c>
      <c r="AD291">
        <f>IF(A291&lt;='Prepay vs Invest'!$B$7*12,MAX(0,'Prepay vs Invest'!$E$5+IF(AND(A291&gt;='Prepay vs Invest'!$B$11,A291&lt;='Prepay vs Invest'!$B$12),'Prepay vs Invest'!$B$10,0)+IF(A291='Prepay vs Invest'!$B$9,'Prepay vs Invest'!$B$8,0)-Z291-AA291),0)</f>
        <v>0</v>
      </c>
      <c r="AE291">
        <f>AC291*(1+MAX(0,'Prepay vs Invest'!$B$13-'Prepay vs Invest'!$B$14)/1200)+AD291</f>
        <v>17550703.313057687</v>
      </c>
      <c r="AF291">
        <f t="shared" si="79"/>
        <v>4388572.0206063567</v>
      </c>
      <c r="AG291">
        <f>MAX(0,(AE291-AF291-'Prepay vs Invest'!$B$16)*'Prepay vs Invest'!$B$15/100)</f>
        <v>1629641.4115564162</v>
      </c>
      <c r="AH291">
        <f t="shared" si="70"/>
        <v>15921061.901501272</v>
      </c>
    </row>
    <row r="292" spans="1:34" x14ac:dyDescent="0.35">
      <c r="A292">
        <f t="shared" si="71"/>
        <v>291</v>
      </c>
      <c r="B292">
        <f>IF(A292&lt;='Prepay vs Invest'!$B$7*12,F291,0)</f>
        <v>0</v>
      </c>
      <c r="C292">
        <f>IF(B292&gt;0,B292*'Prepay vs Invest'!$B$6/1200,0)</f>
        <v>0</v>
      </c>
      <c r="D292">
        <f>IF(B292&gt;0,MIN(-PMT('Prepay vs Invest'!$B$6/1200,'Prepay vs Invest'!$B$7*12,'Prepay vs Invest'!$B$5),B292+C292),0)</f>
        <v>0</v>
      </c>
      <c r="E292">
        <f t="shared" si="64"/>
        <v>0</v>
      </c>
      <c r="F292">
        <f t="shared" si="65"/>
        <v>0</v>
      </c>
      <c r="G292">
        <f t="shared" si="72"/>
        <v>21991341.112796903</v>
      </c>
      <c r="H292">
        <f>IF(A292&lt;='Prepay vs Invest'!$B$7*12,IF(AND(A292&gt;='Prepay vs Invest'!$B$11,A292&lt;='Prepay vs Invest'!$B$12),'Prepay vs Invest'!$B$10,0)+IF(A292='Prepay vs Invest'!$B$9,'Prepay vs Invest'!$B$8,0),0)</f>
        <v>0</v>
      </c>
      <c r="I292">
        <f>G292*(1+MAX(0,'Prepay vs Invest'!$B$13-'Prepay vs Invest'!$B$14)/1200)+H292</f>
        <v>22202091.46512787</v>
      </c>
      <c r="J292">
        <f t="shared" si="73"/>
        <v>2900000</v>
      </c>
      <c r="K292">
        <f>MAX(0,(I292-J292-'Prepay vs Invest'!$B$16)*'Prepay vs Invest'!$B$15/100)</f>
        <v>2397136.4331409838</v>
      </c>
      <c r="L292">
        <f t="shared" si="66"/>
        <v>19804955.031986885</v>
      </c>
      <c r="M292">
        <f t="shared" si="74"/>
        <v>0</v>
      </c>
      <c r="N292">
        <f>IF(M292&gt;0,M292*'Prepay vs Invest'!$B$6/1200,0)</f>
        <v>0</v>
      </c>
      <c r="O292">
        <f>IF(M292&gt;0,MIN('Prepay vs Invest'!$E$5,M292+N292),0)</f>
        <v>0</v>
      </c>
      <c r="P292">
        <f>MIN(MAX(0,M292+N292-O292),IF(AND(A292&gt;='Prepay vs Invest'!$B$11,A292&lt;='Prepay vs Invest'!$B$12),'Prepay vs Invest'!$B$10,0)+IF(A292='Prepay vs Invest'!$B$9,'Prepay vs Invest'!$B$8,0))</f>
        <v>0</v>
      </c>
      <c r="Q292">
        <f t="shared" si="67"/>
        <v>0</v>
      </c>
      <c r="R292">
        <f t="shared" si="75"/>
        <v>13821503.195000855</v>
      </c>
      <c r="S292">
        <f>IF(A292&lt;='Prepay vs Invest'!$B$7*12,MAX(0,'Prepay vs Invest'!$E$5+IF(AND(A292&gt;='Prepay vs Invest'!$B$11,A292&lt;='Prepay vs Invest'!$B$12),'Prepay vs Invest'!$B$10,0)+IF(A292='Prepay vs Invest'!$B$9,'Prepay vs Invest'!$B$8,0)-O292-P292),0)</f>
        <v>0</v>
      </c>
      <c r="T292">
        <f>R292*(1+MAX(0,'Prepay vs Invest'!$B$13-'Prepay vs Invest'!$B$14)/1200)+S292</f>
        <v>13953959.26728628</v>
      </c>
      <c r="U292">
        <f t="shared" si="76"/>
        <v>6133552.3707652809</v>
      </c>
      <c r="V292">
        <f>MAX(0,(T292-U292-'Prepay vs Invest'!$B$16)*'Prepay vs Invest'!$B$15/100)</f>
        <v>961925.86206512491</v>
      </c>
      <c r="W292">
        <f t="shared" si="68"/>
        <v>12992033.405221155</v>
      </c>
      <c r="X292">
        <f t="shared" si="77"/>
        <v>0</v>
      </c>
      <c r="Y292">
        <f>IF(X292&gt;0,X292*'Prepay vs Invest'!$B$6/1200,0)</f>
        <v>0</v>
      </c>
      <c r="Z292">
        <f>IF(X292&gt;0,MIN(-PMT('Prepay vs Invest'!$B$6/1200,'Prepay vs Invest'!$B$7*12-A292+1,X292),X292+Y292),0)</f>
        <v>0</v>
      </c>
      <c r="AA292">
        <f>MIN(MAX(0,X292+Y292-Z292),IF(AND(A292&gt;='Prepay vs Invest'!$B$11,A292&lt;='Prepay vs Invest'!$B$12),'Prepay vs Invest'!$B$10,0)+IF(A292='Prepay vs Invest'!$B$9,'Prepay vs Invest'!$B$8,0))</f>
        <v>0</v>
      </c>
      <c r="AB292">
        <f t="shared" si="69"/>
        <v>0</v>
      </c>
      <c r="AC292">
        <f t="shared" si="78"/>
        <v>17550703.313057687</v>
      </c>
      <c r="AD292">
        <f>IF(A292&lt;='Prepay vs Invest'!$B$7*12,MAX(0,'Prepay vs Invest'!$E$5+IF(AND(A292&gt;='Prepay vs Invest'!$B$11,A292&lt;='Prepay vs Invest'!$B$12),'Prepay vs Invest'!$B$10,0)+IF(A292='Prepay vs Invest'!$B$9,'Prepay vs Invest'!$B$8,0)-Z292-AA292),0)</f>
        <v>0</v>
      </c>
      <c r="AE292">
        <f>AC292*(1+MAX(0,'Prepay vs Invest'!$B$13-'Prepay vs Invest'!$B$14)/1200)+AD292</f>
        <v>17718897.553141154</v>
      </c>
      <c r="AF292">
        <f t="shared" si="79"/>
        <v>4388572.0206063567</v>
      </c>
      <c r="AG292">
        <f>MAX(0,(AE292-AF292-'Prepay vs Invest'!$B$16)*'Prepay vs Invest'!$B$15/100)</f>
        <v>1650665.6915668496</v>
      </c>
      <c r="AH292">
        <f t="shared" si="70"/>
        <v>16068231.861574305</v>
      </c>
    </row>
    <row r="293" spans="1:34" x14ac:dyDescent="0.35">
      <c r="A293">
        <f t="shared" si="71"/>
        <v>292</v>
      </c>
      <c r="B293">
        <f>IF(A293&lt;='Prepay vs Invest'!$B$7*12,F292,0)</f>
        <v>0</v>
      </c>
      <c r="C293">
        <f>IF(B293&gt;0,B293*'Prepay vs Invest'!$B$6/1200,0)</f>
        <v>0</v>
      </c>
      <c r="D293">
        <f>IF(B293&gt;0,MIN(-PMT('Prepay vs Invest'!$B$6/1200,'Prepay vs Invest'!$B$7*12,'Prepay vs Invest'!$B$5),B293+C293),0)</f>
        <v>0</v>
      </c>
      <c r="E293">
        <f t="shared" si="64"/>
        <v>0</v>
      </c>
      <c r="F293">
        <f t="shared" si="65"/>
        <v>0</v>
      </c>
      <c r="G293">
        <f t="shared" si="72"/>
        <v>22202091.46512787</v>
      </c>
      <c r="H293">
        <f>IF(A293&lt;='Prepay vs Invest'!$B$7*12,IF(AND(A293&gt;='Prepay vs Invest'!$B$11,A293&lt;='Prepay vs Invest'!$B$12),'Prepay vs Invest'!$B$10,0)+IF(A293='Prepay vs Invest'!$B$9,'Prepay vs Invest'!$B$8,0),0)</f>
        <v>0</v>
      </c>
      <c r="I293">
        <f>G293*(1+MAX(0,'Prepay vs Invest'!$B$13-'Prepay vs Invest'!$B$14)/1200)+H293</f>
        <v>22414861.508335344</v>
      </c>
      <c r="J293">
        <f t="shared" si="73"/>
        <v>2900000</v>
      </c>
      <c r="K293">
        <f>MAX(0,(I293-J293-'Prepay vs Invest'!$B$16)*'Prepay vs Invest'!$B$15/100)</f>
        <v>2423732.6885419181</v>
      </c>
      <c r="L293">
        <f t="shared" si="66"/>
        <v>19991128.819793426</v>
      </c>
      <c r="M293">
        <f t="shared" si="74"/>
        <v>0</v>
      </c>
      <c r="N293">
        <f>IF(M293&gt;0,M293*'Prepay vs Invest'!$B$6/1200,0)</f>
        <v>0</v>
      </c>
      <c r="O293">
        <f>IF(M293&gt;0,MIN('Prepay vs Invest'!$E$5,M293+N293),0)</f>
        <v>0</v>
      </c>
      <c r="P293">
        <f>MIN(MAX(0,M293+N293-O293),IF(AND(A293&gt;='Prepay vs Invest'!$B$11,A293&lt;='Prepay vs Invest'!$B$12),'Prepay vs Invest'!$B$10,0)+IF(A293='Prepay vs Invest'!$B$9,'Prepay vs Invest'!$B$8,0))</f>
        <v>0</v>
      </c>
      <c r="Q293">
        <f t="shared" si="67"/>
        <v>0</v>
      </c>
      <c r="R293">
        <f t="shared" si="75"/>
        <v>13953959.26728628</v>
      </c>
      <c r="S293">
        <f>IF(A293&lt;='Prepay vs Invest'!$B$7*12,MAX(0,'Prepay vs Invest'!$E$5+IF(AND(A293&gt;='Prepay vs Invest'!$B$11,A293&lt;='Prepay vs Invest'!$B$12),'Prepay vs Invest'!$B$10,0)+IF(A293='Prepay vs Invest'!$B$9,'Prepay vs Invest'!$B$8,0)-O293-P293),0)</f>
        <v>0</v>
      </c>
      <c r="T293">
        <f>R293*(1+MAX(0,'Prepay vs Invest'!$B$13-'Prepay vs Invest'!$B$14)/1200)+S293</f>
        <v>14087684.710264439</v>
      </c>
      <c r="U293">
        <f t="shared" si="76"/>
        <v>6133552.3707652809</v>
      </c>
      <c r="V293">
        <f>MAX(0,(T293-U293-'Prepay vs Invest'!$B$16)*'Prepay vs Invest'!$B$15/100)</f>
        <v>978641.54243739473</v>
      </c>
      <c r="W293">
        <f t="shared" si="68"/>
        <v>13109043.167827044</v>
      </c>
      <c r="X293">
        <f t="shared" si="77"/>
        <v>0</v>
      </c>
      <c r="Y293">
        <f>IF(X293&gt;0,X293*'Prepay vs Invest'!$B$6/1200,0)</f>
        <v>0</v>
      </c>
      <c r="Z293">
        <f>IF(X293&gt;0,MIN(-PMT('Prepay vs Invest'!$B$6/1200,'Prepay vs Invest'!$B$7*12-A293+1,X293),X293+Y293),0)</f>
        <v>0</v>
      </c>
      <c r="AA293">
        <f>MIN(MAX(0,X293+Y293-Z293),IF(AND(A293&gt;='Prepay vs Invest'!$B$11,A293&lt;='Prepay vs Invest'!$B$12),'Prepay vs Invest'!$B$10,0)+IF(A293='Prepay vs Invest'!$B$9,'Prepay vs Invest'!$B$8,0))</f>
        <v>0</v>
      </c>
      <c r="AB293">
        <f t="shared" si="69"/>
        <v>0</v>
      </c>
      <c r="AC293">
        <f t="shared" si="78"/>
        <v>17718897.553141154</v>
      </c>
      <c r="AD293">
        <f>IF(A293&lt;='Prepay vs Invest'!$B$7*12,MAX(0,'Prepay vs Invest'!$E$5+IF(AND(A293&gt;='Prepay vs Invest'!$B$11,A293&lt;='Prepay vs Invest'!$B$12),'Prepay vs Invest'!$B$10,0)+IF(A293='Prepay vs Invest'!$B$9,'Prepay vs Invest'!$B$8,0)-Z293-AA293),0)</f>
        <v>0</v>
      </c>
      <c r="AE293">
        <f>AC293*(1+MAX(0,'Prepay vs Invest'!$B$13-'Prepay vs Invest'!$B$14)/1200)+AD293</f>
        <v>17888703.654692091</v>
      </c>
      <c r="AF293">
        <f t="shared" si="79"/>
        <v>4388572.0206063567</v>
      </c>
      <c r="AG293">
        <f>MAX(0,(AE293-AF293-'Prepay vs Invest'!$B$16)*'Prepay vs Invest'!$B$15/100)</f>
        <v>1671891.4542607167</v>
      </c>
      <c r="AH293">
        <f t="shared" si="70"/>
        <v>16216812.200431375</v>
      </c>
    </row>
    <row r="294" spans="1:34" x14ac:dyDescent="0.35">
      <c r="A294">
        <f t="shared" si="71"/>
        <v>293</v>
      </c>
      <c r="B294">
        <f>IF(A294&lt;='Prepay vs Invest'!$B$7*12,F293,0)</f>
        <v>0</v>
      </c>
      <c r="C294">
        <f>IF(B294&gt;0,B294*'Prepay vs Invest'!$B$6/1200,0)</f>
        <v>0</v>
      </c>
      <c r="D294">
        <f>IF(B294&gt;0,MIN(-PMT('Prepay vs Invest'!$B$6/1200,'Prepay vs Invest'!$B$7*12,'Prepay vs Invest'!$B$5),B294+C294),0)</f>
        <v>0</v>
      </c>
      <c r="E294">
        <f t="shared" si="64"/>
        <v>0</v>
      </c>
      <c r="F294">
        <f t="shared" si="65"/>
        <v>0</v>
      </c>
      <c r="G294">
        <f t="shared" si="72"/>
        <v>22414861.508335344</v>
      </c>
      <c r="H294">
        <f>IF(A294&lt;='Prepay vs Invest'!$B$7*12,IF(AND(A294&gt;='Prepay vs Invest'!$B$11,A294&lt;='Prepay vs Invest'!$B$12),'Prepay vs Invest'!$B$10,0)+IF(A294='Prepay vs Invest'!$B$9,'Prepay vs Invest'!$B$8,0),0)</f>
        <v>0</v>
      </c>
      <c r="I294">
        <f>G294*(1+MAX(0,'Prepay vs Invest'!$B$13-'Prepay vs Invest'!$B$14)/1200)+H294</f>
        <v>22629670.597790223</v>
      </c>
      <c r="J294">
        <f t="shared" si="73"/>
        <v>2900000</v>
      </c>
      <c r="K294">
        <f>MAX(0,(I294-J294-'Prepay vs Invest'!$B$16)*'Prepay vs Invest'!$B$15/100)</f>
        <v>2450583.8247237778</v>
      </c>
      <c r="L294">
        <f t="shared" si="66"/>
        <v>20179086.773066446</v>
      </c>
      <c r="M294">
        <f t="shared" si="74"/>
        <v>0</v>
      </c>
      <c r="N294">
        <f>IF(M294&gt;0,M294*'Prepay vs Invest'!$B$6/1200,0)</f>
        <v>0</v>
      </c>
      <c r="O294">
        <f>IF(M294&gt;0,MIN('Prepay vs Invest'!$E$5,M294+N294),0)</f>
        <v>0</v>
      </c>
      <c r="P294">
        <f>MIN(MAX(0,M294+N294-O294),IF(AND(A294&gt;='Prepay vs Invest'!$B$11,A294&lt;='Prepay vs Invest'!$B$12),'Prepay vs Invest'!$B$10,0)+IF(A294='Prepay vs Invest'!$B$9,'Prepay vs Invest'!$B$8,0))</f>
        <v>0</v>
      </c>
      <c r="Q294">
        <f t="shared" si="67"/>
        <v>0</v>
      </c>
      <c r="R294">
        <f t="shared" si="75"/>
        <v>14087684.710264439</v>
      </c>
      <c r="S294">
        <f>IF(A294&lt;='Prepay vs Invest'!$B$7*12,MAX(0,'Prepay vs Invest'!$E$5+IF(AND(A294&gt;='Prepay vs Invest'!$B$11,A294&lt;='Prepay vs Invest'!$B$12),'Prepay vs Invest'!$B$10,0)+IF(A294='Prepay vs Invest'!$B$9,'Prepay vs Invest'!$B$8,0)-O294-P294),0)</f>
        <v>0</v>
      </c>
      <c r="T294">
        <f>R294*(1+MAX(0,'Prepay vs Invest'!$B$13-'Prepay vs Invest'!$B$14)/1200)+S294</f>
        <v>14222691.688737806</v>
      </c>
      <c r="U294">
        <f t="shared" si="76"/>
        <v>6133552.3707652809</v>
      </c>
      <c r="V294">
        <f>MAX(0,(T294-U294-'Prepay vs Invest'!$B$16)*'Prepay vs Invest'!$B$15/100)</f>
        <v>995517.41474656563</v>
      </c>
      <c r="W294">
        <f t="shared" si="68"/>
        <v>13227174.27399124</v>
      </c>
      <c r="X294">
        <f t="shared" si="77"/>
        <v>0</v>
      </c>
      <c r="Y294">
        <f>IF(X294&gt;0,X294*'Prepay vs Invest'!$B$6/1200,0)</f>
        <v>0</v>
      </c>
      <c r="Z294">
        <f>IF(X294&gt;0,MIN(-PMT('Prepay vs Invest'!$B$6/1200,'Prepay vs Invest'!$B$7*12-A294+1,X294),X294+Y294),0)</f>
        <v>0</v>
      </c>
      <c r="AA294">
        <f>MIN(MAX(0,X294+Y294-Z294),IF(AND(A294&gt;='Prepay vs Invest'!$B$11,A294&lt;='Prepay vs Invest'!$B$12),'Prepay vs Invest'!$B$10,0)+IF(A294='Prepay vs Invest'!$B$9,'Prepay vs Invest'!$B$8,0))</f>
        <v>0</v>
      </c>
      <c r="AB294">
        <f t="shared" si="69"/>
        <v>0</v>
      </c>
      <c r="AC294">
        <f t="shared" si="78"/>
        <v>17888703.654692091</v>
      </c>
      <c r="AD294">
        <f>IF(A294&lt;='Prepay vs Invest'!$B$7*12,MAX(0,'Prepay vs Invest'!$E$5+IF(AND(A294&gt;='Prepay vs Invest'!$B$11,A294&lt;='Prepay vs Invest'!$B$12),'Prepay vs Invest'!$B$10,0)+IF(A294='Prepay vs Invest'!$B$9,'Prepay vs Invest'!$B$8,0)-Z294-AA294),0)</f>
        <v>0</v>
      </c>
      <c r="AE294">
        <f>AC294*(1+MAX(0,'Prepay vs Invest'!$B$13-'Prepay vs Invest'!$B$14)/1200)+AD294</f>
        <v>18060137.064716224</v>
      </c>
      <c r="AF294">
        <f t="shared" si="79"/>
        <v>4388572.0206063567</v>
      </c>
      <c r="AG294">
        <f>MAX(0,(AE294-AF294-'Prepay vs Invest'!$B$16)*'Prepay vs Invest'!$B$15/100)</f>
        <v>1693320.6305137333</v>
      </c>
      <c r="AH294">
        <f t="shared" si="70"/>
        <v>16366816.43420249</v>
      </c>
    </row>
    <row r="295" spans="1:34" x14ac:dyDescent="0.35">
      <c r="A295">
        <f t="shared" si="71"/>
        <v>294</v>
      </c>
      <c r="B295">
        <f>IF(A295&lt;='Prepay vs Invest'!$B$7*12,F294,0)</f>
        <v>0</v>
      </c>
      <c r="C295">
        <f>IF(B295&gt;0,B295*'Prepay vs Invest'!$B$6/1200,0)</f>
        <v>0</v>
      </c>
      <c r="D295">
        <f>IF(B295&gt;0,MIN(-PMT('Prepay vs Invest'!$B$6/1200,'Prepay vs Invest'!$B$7*12,'Prepay vs Invest'!$B$5),B295+C295),0)</f>
        <v>0</v>
      </c>
      <c r="E295">
        <f t="shared" si="64"/>
        <v>0</v>
      </c>
      <c r="F295">
        <f t="shared" si="65"/>
        <v>0</v>
      </c>
      <c r="G295">
        <f t="shared" si="72"/>
        <v>22629670.597790223</v>
      </c>
      <c r="H295">
        <f>IF(A295&lt;='Prepay vs Invest'!$B$7*12,IF(AND(A295&gt;='Prepay vs Invest'!$B$11,A295&lt;='Prepay vs Invest'!$B$12),'Prepay vs Invest'!$B$10,0)+IF(A295='Prepay vs Invest'!$B$9,'Prepay vs Invest'!$B$8,0),0)</f>
        <v>0</v>
      </c>
      <c r="I295">
        <f>G295*(1+MAX(0,'Prepay vs Invest'!$B$13-'Prepay vs Invest'!$B$14)/1200)+H295</f>
        <v>22846538.274352379</v>
      </c>
      <c r="J295">
        <f t="shared" si="73"/>
        <v>2900000</v>
      </c>
      <c r="K295">
        <f>MAX(0,(I295-J295-'Prepay vs Invest'!$B$16)*'Prepay vs Invest'!$B$15/100)</f>
        <v>2477692.2842940474</v>
      </c>
      <c r="L295">
        <f t="shared" si="66"/>
        <v>20368845.990058333</v>
      </c>
      <c r="M295">
        <f t="shared" si="74"/>
        <v>0</v>
      </c>
      <c r="N295">
        <f>IF(M295&gt;0,M295*'Prepay vs Invest'!$B$6/1200,0)</f>
        <v>0</v>
      </c>
      <c r="O295">
        <f>IF(M295&gt;0,MIN('Prepay vs Invest'!$E$5,M295+N295),0)</f>
        <v>0</v>
      </c>
      <c r="P295">
        <f>MIN(MAX(0,M295+N295-O295),IF(AND(A295&gt;='Prepay vs Invest'!$B$11,A295&lt;='Prepay vs Invest'!$B$12),'Prepay vs Invest'!$B$10,0)+IF(A295='Prepay vs Invest'!$B$9,'Prepay vs Invest'!$B$8,0))</f>
        <v>0</v>
      </c>
      <c r="Q295">
        <f t="shared" si="67"/>
        <v>0</v>
      </c>
      <c r="R295">
        <f t="shared" si="75"/>
        <v>14222691.688737806</v>
      </c>
      <c r="S295">
        <f>IF(A295&lt;='Prepay vs Invest'!$B$7*12,MAX(0,'Prepay vs Invest'!$E$5+IF(AND(A295&gt;='Prepay vs Invest'!$B$11,A295&lt;='Prepay vs Invest'!$B$12),'Prepay vs Invest'!$B$10,0)+IF(A295='Prepay vs Invest'!$B$9,'Prepay vs Invest'!$B$8,0)-O295-P295),0)</f>
        <v>0</v>
      </c>
      <c r="T295">
        <f>R295*(1+MAX(0,'Prepay vs Invest'!$B$13-'Prepay vs Invest'!$B$14)/1200)+S295</f>
        <v>14358992.484088209</v>
      </c>
      <c r="U295">
        <f t="shared" si="76"/>
        <v>6133552.3707652809</v>
      </c>
      <c r="V295">
        <f>MAX(0,(T295-U295-'Prepay vs Invest'!$B$16)*'Prepay vs Invest'!$B$15/100)</f>
        <v>1012555.014165366</v>
      </c>
      <c r="W295">
        <f t="shared" si="68"/>
        <v>13346437.469922842</v>
      </c>
      <c r="X295">
        <f t="shared" si="77"/>
        <v>0</v>
      </c>
      <c r="Y295">
        <f>IF(X295&gt;0,X295*'Prepay vs Invest'!$B$6/1200,0)</f>
        <v>0</v>
      </c>
      <c r="Z295">
        <f>IF(X295&gt;0,MIN(-PMT('Prepay vs Invest'!$B$6/1200,'Prepay vs Invest'!$B$7*12-A295+1,X295),X295+Y295),0)</f>
        <v>0</v>
      </c>
      <c r="AA295">
        <f>MIN(MAX(0,X295+Y295-Z295),IF(AND(A295&gt;='Prepay vs Invest'!$B$11,A295&lt;='Prepay vs Invest'!$B$12),'Prepay vs Invest'!$B$10,0)+IF(A295='Prepay vs Invest'!$B$9,'Prepay vs Invest'!$B$8,0))</f>
        <v>0</v>
      </c>
      <c r="AB295">
        <f t="shared" si="69"/>
        <v>0</v>
      </c>
      <c r="AC295">
        <f t="shared" si="78"/>
        <v>18060137.064716224</v>
      </c>
      <c r="AD295">
        <f>IF(A295&lt;='Prepay vs Invest'!$B$7*12,MAX(0,'Prepay vs Invest'!$E$5+IF(AND(A295&gt;='Prepay vs Invest'!$B$11,A295&lt;='Prepay vs Invest'!$B$12),'Prepay vs Invest'!$B$10,0)+IF(A295='Prepay vs Invest'!$B$9,'Prepay vs Invest'!$B$8,0)-Z295-AA295),0)</f>
        <v>0</v>
      </c>
      <c r="AE295">
        <f>AC295*(1+MAX(0,'Prepay vs Invest'!$B$13-'Prepay vs Invest'!$B$14)/1200)+AD295</f>
        <v>18233213.378253087</v>
      </c>
      <c r="AF295">
        <f t="shared" si="79"/>
        <v>4388572.0206063567</v>
      </c>
      <c r="AG295">
        <f>MAX(0,(AE295-AF295-'Prepay vs Invest'!$B$16)*'Prepay vs Invest'!$B$15/100)</f>
        <v>1714955.1697058412</v>
      </c>
      <c r="AH295">
        <f t="shared" si="70"/>
        <v>16518258.208547246</v>
      </c>
    </row>
    <row r="296" spans="1:34" x14ac:dyDescent="0.35">
      <c r="A296">
        <f t="shared" si="71"/>
        <v>295</v>
      </c>
      <c r="B296">
        <f>IF(A296&lt;='Prepay vs Invest'!$B$7*12,F295,0)</f>
        <v>0</v>
      </c>
      <c r="C296">
        <f>IF(B296&gt;0,B296*'Prepay vs Invest'!$B$6/1200,0)</f>
        <v>0</v>
      </c>
      <c r="D296">
        <f>IF(B296&gt;0,MIN(-PMT('Prepay vs Invest'!$B$6/1200,'Prepay vs Invest'!$B$7*12,'Prepay vs Invest'!$B$5),B296+C296),0)</f>
        <v>0</v>
      </c>
      <c r="E296">
        <f t="shared" si="64"/>
        <v>0</v>
      </c>
      <c r="F296">
        <f t="shared" si="65"/>
        <v>0</v>
      </c>
      <c r="G296">
        <f t="shared" si="72"/>
        <v>22846538.274352379</v>
      </c>
      <c r="H296">
        <f>IF(A296&lt;='Prepay vs Invest'!$B$7*12,IF(AND(A296&gt;='Prepay vs Invest'!$B$11,A296&lt;='Prepay vs Invest'!$B$12),'Prepay vs Invest'!$B$10,0)+IF(A296='Prepay vs Invest'!$B$9,'Prepay vs Invest'!$B$8,0),0)</f>
        <v>0</v>
      </c>
      <c r="I296">
        <f>G296*(1+MAX(0,'Prepay vs Invest'!$B$13-'Prepay vs Invest'!$B$14)/1200)+H296</f>
        <v>23065484.266148254</v>
      </c>
      <c r="J296">
        <f t="shared" si="73"/>
        <v>2900000</v>
      </c>
      <c r="K296">
        <f>MAX(0,(I296-J296-'Prepay vs Invest'!$B$16)*'Prepay vs Invest'!$B$15/100)</f>
        <v>2505060.5332685318</v>
      </c>
      <c r="L296">
        <f t="shared" si="66"/>
        <v>20560423.732879721</v>
      </c>
      <c r="M296">
        <f t="shared" si="74"/>
        <v>0</v>
      </c>
      <c r="N296">
        <f>IF(M296&gt;0,M296*'Prepay vs Invest'!$B$6/1200,0)</f>
        <v>0</v>
      </c>
      <c r="O296">
        <f>IF(M296&gt;0,MIN('Prepay vs Invest'!$E$5,M296+N296),0)</f>
        <v>0</v>
      </c>
      <c r="P296">
        <f>MIN(MAX(0,M296+N296-O296),IF(AND(A296&gt;='Prepay vs Invest'!$B$11,A296&lt;='Prepay vs Invest'!$B$12),'Prepay vs Invest'!$B$10,0)+IF(A296='Prepay vs Invest'!$B$9,'Prepay vs Invest'!$B$8,0))</f>
        <v>0</v>
      </c>
      <c r="Q296">
        <f t="shared" si="67"/>
        <v>0</v>
      </c>
      <c r="R296">
        <f t="shared" si="75"/>
        <v>14358992.484088209</v>
      </c>
      <c r="S296">
        <f>IF(A296&lt;='Prepay vs Invest'!$B$7*12,MAX(0,'Prepay vs Invest'!$E$5+IF(AND(A296&gt;='Prepay vs Invest'!$B$11,A296&lt;='Prepay vs Invest'!$B$12),'Prepay vs Invest'!$B$10,0)+IF(A296='Prepay vs Invest'!$B$9,'Prepay vs Invest'!$B$8,0)-O296-P296),0)</f>
        <v>0</v>
      </c>
      <c r="T296">
        <f>R296*(1+MAX(0,'Prepay vs Invest'!$B$13-'Prepay vs Invest'!$B$14)/1200)+S296</f>
        <v>14496599.495394053</v>
      </c>
      <c r="U296">
        <f t="shared" si="76"/>
        <v>6133552.3707652809</v>
      </c>
      <c r="V296">
        <f>MAX(0,(T296-U296-'Prepay vs Invest'!$B$16)*'Prepay vs Invest'!$B$15/100)</f>
        <v>1029755.8905785964</v>
      </c>
      <c r="W296">
        <f t="shared" si="68"/>
        <v>13466843.604815457</v>
      </c>
      <c r="X296">
        <f t="shared" si="77"/>
        <v>0</v>
      </c>
      <c r="Y296">
        <f>IF(X296&gt;0,X296*'Prepay vs Invest'!$B$6/1200,0)</f>
        <v>0</v>
      </c>
      <c r="Z296">
        <f>IF(X296&gt;0,MIN(-PMT('Prepay vs Invest'!$B$6/1200,'Prepay vs Invest'!$B$7*12-A296+1,X296),X296+Y296),0)</f>
        <v>0</v>
      </c>
      <c r="AA296">
        <f>MIN(MAX(0,X296+Y296-Z296),IF(AND(A296&gt;='Prepay vs Invest'!$B$11,A296&lt;='Prepay vs Invest'!$B$12),'Prepay vs Invest'!$B$10,0)+IF(A296='Prepay vs Invest'!$B$9,'Prepay vs Invest'!$B$8,0))</f>
        <v>0</v>
      </c>
      <c r="AB296">
        <f t="shared" si="69"/>
        <v>0</v>
      </c>
      <c r="AC296">
        <f t="shared" si="78"/>
        <v>18233213.378253087</v>
      </c>
      <c r="AD296">
        <f>IF(A296&lt;='Prepay vs Invest'!$B$7*12,MAX(0,'Prepay vs Invest'!$E$5+IF(AND(A296&gt;='Prepay vs Invest'!$B$11,A296&lt;='Prepay vs Invest'!$B$12),'Prepay vs Invest'!$B$10,0)+IF(A296='Prepay vs Invest'!$B$9,'Prepay vs Invest'!$B$8,0)-Z296-AA296),0)</f>
        <v>0</v>
      </c>
      <c r="AE296">
        <f>AC296*(1+MAX(0,'Prepay vs Invest'!$B$13-'Prepay vs Invest'!$B$14)/1200)+AD296</f>
        <v>18407948.339794677</v>
      </c>
      <c r="AF296">
        <f t="shared" si="79"/>
        <v>4388572.0206063567</v>
      </c>
      <c r="AG296">
        <f>MAX(0,(AE296-AF296-'Prepay vs Invest'!$B$16)*'Prepay vs Invest'!$B$15/100)</f>
        <v>1736797.0398985399</v>
      </c>
      <c r="AH296">
        <f t="shared" si="70"/>
        <v>16671151.299896136</v>
      </c>
    </row>
    <row r="297" spans="1:34" x14ac:dyDescent="0.35">
      <c r="A297">
        <f t="shared" si="71"/>
        <v>296</v>
      </c>
      <c r="B297">
        <f>IF(A297&lt;='Prepay vs Invest'!$B$7*12,F296,0)</f>
        <v>0</v>
      </c>
      <c r="C297">
        <f>IF(B297&gt;0,B297*'Prepay vs Invest'!$B$6/1200,0)</f>
        <v>0</v>
      </c>
      <c r="D297">
        <f>IF(B297&gt;0,MIN(-PMT('Prepay vs Invest'!$B$6/1200,'Prepay vs Invest'!$B$7*12,'Prepay vs Invest'!$B$5),B297+C297),0)</f>
        <v>0</v>
      </c>
      <c r="E297">
        <f t="shared" si="64"/>
        <v>0</v>
      </c>
      <c r="F297">
        <f t="shared" si="65"/>
        <v>0</v>
      </c>
      <c r="G297">
        <f t="shared" si="72"/>
        <v>23065484.266148254</v>
      </c>
      <c r="H297">
        <f>IF(A297&lt;='Prepay vs Invest'!$B$7*12,IF(AND(A297&gt;='Prepay vs Invest'!$B$11,A297&lt;='Prepay vs Invest'!$B$12),'Prepay vs Invest'!$B$10,0)+IF(A297='Prepay vs Invest'!$B$9,'Prepay vs Invest'!$B$8,0),0)</f>
        <v>0</v>
      </c>
      <c r="I297">
        <f>G297*(1+MAX(0,'Prepay vs Invest'!$B$13-'Prepay vs Invest'!$B$14)/1200)+H297</f>
        <v>23286528.490365505</v>
      </c>
      <c r="J297">
        <f t="shared" si="73"/>
        <v>2900000</v>
      </c>
      <c r="K297">
        <f>MAX(0,(I297-J297-'Prepay vs Invest'!$B$16)*'Prepay vs Invest'!$B$15/100)</f>
        <v>2532691.0612956882</v>
      </c>
      <c r="L297">
        <f t="shared" si="66"/>
        <v>20753837.429069817</v>
      </c>
      <c r="M297">
        <f t="shared" si="74"/>
        <v>0</v>
      </c>
      <c r="N297">
        <f>IF(M297&gt;0,M297*'Prepay vs Invest'!$B$6/1200,0)</f>
        <v>0</v>
      </c>
      <c r="O297">
        <f>IF(M297&gt;0,MIN('Prepay vs Invest'!$E$5,M297+N297),0)</f>
        <v>0</v>
      </c>
      <c r="P297">
        <f>MIN(MAX(0,M297+N297-O297),IF(AND(A297&gt;='Prepay vs Invest'!$B$11,A297&lt;='Prepay vs Invest'!$B$12),'Prepay vs Invest'!$B$10,0)+IF(A297='Prepay vs Invest'!$B$9,'Prepay vs Invest'!$B$8,0))</f>
        <v>0</v>
      </c>
      <c r="Q297">
        <f t="shared" si="67"/>
        <v>0</v>
      </c>
      <c r="R297">
        <f t="shared" si="75"/>
        <v>14496599.495394053</v>
      </c>
      <c r="S297">
        <f>IF(A297&lt;='Prepay vs Invest'!$B$7*12,MAX(0,'Prepay vs Invest'!$E$5+IF(AND(A297&gt;='Prepay vs Invest'!$B$11,A297&lt;='Prepay vs Invest'!$B$12),'Prepay vs Invest'!$B$10,0)+IF(A297='Prepay vs Invest'!$B$9,'Prepay vs Invest'!$B$8,0)-O297-P297),0)</f>
        <v>0</v>
      </c>
      <c r="T297">
        <f>R297*(1+MAX(0,'Prepay vs Invest'!$B$13-'Prepay vs Invest'!$B$14)/1200)+S297</f>
        <v>14635525.240558244</v>
      </c>
      <c r="U297">
        <f t="shared" si="76"/>
        <v>6133552.3707652809</v>
      </c>
      <c r="V297">
        <f>MAX(0,(T297-U297-'Prepay vs Invest'!$B$16)*'Prepay vs Invest'!$B$15/100)</f>
        <v>1047121.6087241205</v>
      </c>
      <c r="W297">
        <f t="shared" si="68"/>
        <v>13588403.631834123</v>
      </c>
      <c r="X297">
        <f t="shared" si="77"/>
        <v>0</v>
      </c>
      <c r="Y297">
        <f>IF(X297&gt;0,X297*'Prepay vs Invest'!$B$6/1200,0)</f>
        <v>0</v>
      </c>
      <c r="Z297">
        <f>IF(X297&gt;0,MIN(-PMT('Prepay vs Invest'!$B$6/1200,'Prepay vs Invest'!$B$7*12-A297+1,X297),X297+Y297),0)</f>
        <v>0</v>
      </c>
      <c r="AA297">
        <f>MIN(MAX(0,X297+Y297-Z297),IF(AND(A297&gt;='Prepay vs Invest'!$B$11,A297&lt;='Prepay vs Invest'!$B$12),'Prepay vs Invest'!$B$10,0)+IF(A297='Prepay vs Invest'!$B$9,'Prepay vs Invest'!$B$8,0))</f>
        <v>0</v>
      </c>
      <c r="AB297">
        <f t="shared" si="69"/>
        <v>0</v>
      </c>
      <c r="AC297">
        <f t="shared" si="78"/>
        <v>18407948.339794677</v>
      </c>
      <c r="AD297">
        <f>IF(A297&lt;='Prepay vs Invest'!$B$7*12,MAX(0,'Prepay vs Invest'!$E$5+IF(AND(A297&gt;='Prepay vs Invest'!$B$11,A297&lt;='Prepay vs Invest'!$B$12),'Prepay vs Invest'!$B$10,0)+IF(A297='Prepay vs Invest'!$B$9,'Prepay vs Invest'!$B$8,0)-Z297-AA297),0)</f>
        <v>0</v>
      </c>
      <c r="AE297">
        <f>AC297*(1+MAX(0,'Prepay vs Invest'!$B$13-'Prepay vs Invest'!$B$14)/1200)+AD297</f>
        <v>18584357.844717707</v>
      </c>
      <c r="AF297">
        <f t="shared" si="79"/>
        <v>4388572.0206063567</v>
      </c>
      <c r="AG297">
        <f>MAX(0,(AE297-AF297-'Prepay vs Invest'!$B$16)*'Prepay vs Invest'!$B$15/100)</f>
        <v>1758848.2280139187</v>
      </c>
      <c r="AH297">
        <f t="shared" si="70"/>
        <v>16825509.61670379</v>
      </c>
    </row>
    <row r="298" spans="1:34" x14ac:dyDescent="0.35">
      <c r="A298">
        <f t="shared" si="71"/>
        <v>297</v>
      </c>
      <c r="B298">
        <f>IF(A298&lt;='Prepay vs Invest'!$B$7*12,F297,0)</f>
        <v>0</v>
      </c>
      <c r="C298">
        <f>IF(B298&gt;0,B298*'Prepay vs Invest'!$B$6/1200,0)</f>
        <v>0</v>
      </c>
      <c r="D298">
        <f>IF(B298&gt;0,MIN(-PMT('Prepay vs Invest'!$B$6/1200,'Prepay vs Invest'!$B$7*12,'Prepay vs Invest'!$B$5),B298+C298),0)</f>
        <v>0</v>
      </c>
      <c r="E298">
        <f t="shared" si="64"/>
        <v>0</v>
      </c>
      <c r="F298">
        <f t="shared" si="65"/>
        <v>0</v>
      </c>
      <c r="G298">
        <f t="shared" si="72"/>
        <v>23286528.490365505</v>
      </c>
      <c r="H298">
        <f>IF(A298&lt;='Prepay vs Invest'!$B$7*12,IF(AND(A298&gt;='Prepay vs Invest'!$B$11,A298&lt;='Prepay vs Invest'!$B$12),'Prepay vs Invest'!$B$10,0)+IF(A298='Prepay vs Invest'!$B$9,'Prepay vs Invest'!$B$8,0),0)</f>
        <v>0</v>
      </c>
      <c r="I298">
        <f>G298*(1+MAX(0,'Prepay vs Invest'!$B$13-'Prepay vs Invest'!$B$14)/1200)+H298</f>
        <v>23509691.055064838</v>
      </c>
      <c r="J298">
        <f t="shared" si="73"/>
        <v>2900000</v>
      </c>
      <c r="K298">
        <f>MAX(0,(I298-J298-'Prepay vs Invest'!$B$16)*'Prepay vs Invest'!$B$15/100)</f>
        <v>2560586.3818831048</v>
      </c>
      <c r="L298">
        <f t="shared" si="66"/>
        <v>20949104.673181735</v>
      </c>
      <c r="M298">
        <f t="shared" si="74"/>
        <v>0</v>
      </c>
      <c r="N298">
        <f>IF(M298&gt;0,M298*'Prepay vs Invest'!$B$6/1200,0)</f>
        <v>0</v>
      </c>
      <c r="O298">
        <f>IF(M298&gt;0,MIN('Prepay vs Invest'!$E$5,M298+N298),0)</f>
        <v>0</v>
      </c>
      <c r="P298">
        <f>MIN(MAX(0,M298+N298-O298),IF(AND(A298&gt;='Prepay vs Invest'!$B$11,A298&lt;='Prepay vs Invest'!$B$12),'Prepay vs Invest'!$B$10,0)+IF(A298='Prepay vs Invest'!$B$9,'Prepay vs Invest'!$B$8,0))</f>
        <v>0</v>
      </c>
      <c r="Q298">
        <f t="shared" si="67"/>
        <v>0</v>
      </c>
      <c r="R298">
        <f t="shared" si="75"/>
        <v>14635525.240558244</v>
      </c>
      <c r="S298">
        <f>IF(A298&lt;='Prepay vs Invest'!$B$7*12,MAX(0,'Prepay vs Invest'!$E$5+IF(AND(A298&gt;='Prepay vs Invest'!$B$11,A298&lt;='Prepay vs Invest'!$B$12),'Prepay vs Invest'!$B$10,0)+IF(A298='Prepay vs Invest'!$B$9,'Prepay vs Invest'!$B$8,0)-O298-P298),0)</f>
        <v>0</v>
      </c>
      <c r="T298">
        <f>R298*(1+MAX(0,'Prepay vs Invest'!$B$13-'Prepay vs Invest'!$B$14)/1200)+S298</f>
        <v>14775782.357446926</v>
      </c>
      <c r="U298">
        <f t="shared" si="76"/>
        <v>6133552.3707652809</v>
      </c>
      <c r="V298">
        <f>MAX(0,(T298-U298-'Prepay vs Invest'!$B$16)*'Prepay vs Invest'!$B$15/100)</f>
        <v>1064653.7483352055</v>
      </c>
      <c r="W298">
        <f t="shared" si="68"/>
        <v>13711128.609111721</v>
      </c>
      <c r="X298">
        <f t="shared" si="77"/>
        <v>0</v>
      </c>
      <c r="Y298">
        <f>IF(X298&gt;0,X298*'Prepay vs Invest'!$B$6/1200,0)</f>
        <v>0</v>
      </c>
      <c r="Z298">
        <f>IF(X298&gt;0,MIN(-PMT('Prepay vs Invest'!$B$6/1200,'Prepay vs Invest'!$B$7*12-A298+1,X298),X298+Y298),0)</f>
        <v>0</v>
      </c>
      <c r="AA298">
        <f>MIN(MAX(0,X298+Y298-Z298),IF(AND(A298&gt;='Prepay vs Invest'!$B$11,A298&lt;='Prepay vs Invest'!$B$12),'Prepay vs Invest'!$B$10,0)+IF(A298='Prepay vs Invest'!$B$9,'Prepay vs Invest'!$B$8,0))</f>
        <v>0</v>
      </c>
      <c r="AB298">
        <f t="shared" si="69"/>
        <v>0</v>
      </c>
      <c r="AC298">
        <f t="shared" si="78"/>
        <v>18584357.844717707</v>
      </c>
      <c r="AD298">
        <f>IF(A298&lt;='Prepay vs Invest'!$B$7*12,MAX(0,'Prepay vs Invest'!$E$5+IF(AND(A298&gt;='Prepay vs Invest'!$B$11,A298&lt;='Prepay vs Invest'!$B$12),'Prepay vs Invest'!$B$10,0)+IF(A298='Prepay vs Invest'!$B$9,'Prepay vs Invest'!$B$8,0)-Z298-AA298),0)</f>
        <v>0</v>
      </c>
      <c r="AE298">
        <f>AC298*(1+MAX(0,'Prepay vs Invest'!$B$13-'Prepay vs Invest'!$B$14)/1200)+AD298</f>
        <v>18762457.940729585</v>
      </c>
      <c r="AF298">
        <f t="shared" si="79"/>
        <v>4388572.0206063567</v>
      </c>
      <c r="AG298">
        <f>MAX(0,(AE298-AF298-'Prepay vs Invest'!$B$16)*'Prepay vs Invest'!$B$15/100)</f>
        <v>1781110.7400154034</v>
      </c>
      <c r="AH298">
        <f t="shared" si="70"/>
        <v>16981347.200714182</v>
      </c>
    </row>
    <row r="299" spans="1:34" x14ac:dyDescent="0.35">
      <c r="A299">
        <f t="shared" si="71"/>
        <v>298</v>
      </c>
      <c r="B299">
        <f>IF(A299&lt;='Prepay vs Invest'!$B$7*12,F298,0)</f>
        <v>0</v>
      </c>
      <c r="C299">
        <f>IF(B299&gt;0,B299*'Prepay vs Invest'!$B$6/1200,0)</f>
        <v>0</v>
      </c>
      <c r="D299">
        <f>IF(B299&gt;0,MIN(-PMT('Prepay vs Invest'!$B$6/1200,'Prepay vs Invest'!$B$7*12,'Prepay vs Invest'!$B$5),B299+C299),0)</f>
        <v>0</v>
      </c>
      <c r="E299">
        <f t="shared" si="64"/>
        <v>0</v>
      </c>
      <c r="F299">
        <f t="shared" si="65"/>
        <v>0</v>
      </c>
      <c r="G299">
        <f t="shared" si="72"/>
        <v>23509691.055064838</v>
      </c>
      <c r="H299">
        <f>IF(A299&lt;='Prepay vs Invest'!$B$7*12,IF(AND(A299&gt;='Prepay vs Invest'!$B$11,A299&lt;='Prepay vs Invest'!$B$12),'Prepay vs Invest'!$B$10,0)+IF(A299='Prepay vs Invest'!$B$9,'Prepay vs Invest'!$B$8,0),0)</f>
        <v>0</v>
      </c>
      <c r="I299">
        <f>G299*(1+MAX(0,'Prepay vs Invest'!$B$13-'Prepay vs Invest'!$B$14)/1200)+H299</f>
        <v>23734992.261009209</v>
      </c>
      <c r="J299">
        <f t="shared" si="73"/>
        <v>2900000</v>
      </c>
      <c r="K299">
        <f>MAX(0,(I299-J299-'Prepay vs Invest'!$B$16)*'Prepay vs Invest'!$B$15/100)</f>
        <v>2588749.0326261511</v>
      </c>
      <c r="L299">
        <f t="shared" si="66"/>
        <v>21146243.228383057</v>
      </c>
      <c r="M299">
        <f t="shared" si="74"/>
        <v>0</v>
      </c>
      <c r="N299">
        <f>IF(M299&gt;0,M299*'Prepay vs Invest'!$B$6/1200,0)</f>
        <v>0</v>
      </c>
      <c r="O299">
        <f>IF(M299&gt;0,MIN('Prepay vs Invest'!$E$5,M299+N299),0)</f>
        <v>0</v>
      </c>
      <c r="P299">
        <f>MIN(MAX(0,M299+N299-O299),IF(AND(A299&gt;='Prepay vs Invest'!$B$11,A299&lt;='Prepay vs Invest'!$B$12),'Prepay vs Invest'!$B$10,0)+IF(A299='Prepay vs Invest'!$B$9,'Prepay vs Invest'!$B$8,0))</f>
        <v>0</v>
      </c>
      <c r="Q299">
        <f t="shared" si="67"/>
        <v>0</v>
      </c>
      <c r="R299">
        <f t="shared" si="75"/>
        <v>14775782.357446926</v>
      </c>
      <c r="S299">
        <f>IF(A299&lt;='Prepay vs Invest'!$B$7*12,MAX(0,'Prepay vs Invest'!$E$5+IF(AND(A299&gt;='Prepay vs Invest'!$B$11,A299&lt;='Prepay vs Invest'!$B$12),'Prepay vs Invest'!$B$10,0)+IF(A299='Prepay vs Invest'!$B$9,'Prepay vs Invest'!$B$8,0)-O299-P299),0)</f>
        <v>0</v>
      </c>
      <c r="T299">
        <f>R299*(1+MAX(0,'Prepay vs Invest'!$B$13-'Prepay vs Invest'!$B$14)/1200)+S299</f>
        <v>14917383.605039125</v>
      </c>
      <c r="U299">
        <f t="shared" si="76"/>
        <v>6133552.3707652809</v>
      </c>
      <c r="V299">
        <f>MAX(0,(T299-U299-'Prepay vs Invest'!$B$16)*'Prepay vs Invest'!$B$15/100)</f>
        <v>1082353.9042842304</v>
      </c>
      <c r="W299">
        <f t="shared" si="68"/>
        <v>13835029.700754896</v>
      </c>
      <c r="X299">
        <f t="shared" si="77"/>
        <v>0</v>
      </c>
      <c r="Y299">
        <f>IF(X299&gt;0,X299*'Prepay vs Invest'!$B$6/1200,0)</f>
        <v>0</v>
      </c>
      <c r="Z299">
        <f>IF(X299&gt;0,MIN(-PMT('Prepay vs Invest'!$B$6/1200,'Prepay vs Invest'!$B$7*12-A299+1,X299),X299+Y299),0)</f>
        <v>0</v>
      </c>
      <c r="AA299">
        <f>MIN(MAX(0,X299+Y299-Z299),IF(AND(A299&gt;='Prepay vs Invest'!$B$11,A299&lt;='Prepay vs Invest'!$B$12),'Prepay vs Invest'!$B$10,0)+IF(A299='Prepay vs Invest'!$B$9,'Prepay vs Invest'!$B$8,0))</f>
        <v>0</v>
      </c>
      <c r="AB299">
        <f t="shared" si="69"/>
        <v>0</v>
      </c>
      <c r="AC299">
        <f t="shared" si="78"/>
        <v>18762457.940729585</v>
      </c>
      <c r="AD299">
        <f>IF(A299&lt;='Prepay vs Invest'!$B$7*12,MAX(0,'Prepay vs Invest'!$E$5+IF(AND(A299&gt;='Prepay vs Invest'!$B$11,A299&lt;='Prepay vs Invest'!$B$12),'Prepay vs Invest'!$B$10,0)+IF(A299='Prepay vs Invest'!$B$9,'Prepay vs Invest'!$B$8,0)-Z299-AA299),0)</f>
        <v>0</v>
      </c>
      <c r="AE299">
        <f>AC299*(1+MAX(0,'Prepay vs Invest'!$B$13-'Prepay vs Invest'!$B$14)/1200)+AD299</f>
        <v>18942264.829328243</v>
      </c>
      <c r="AF299">
        <f t="shared" si="79"/>
        <v>4388572.0206063567</v>
      </c>
      <c r="AG299">
        <f>MAX(0,(AE299-AF299-'Prepay vs Invest'!$B$16)*'Prepay vs Invest'!$B$15/100)</f>
        <v>1803586.6010902356</v>
      </c>
      <c r="AH299">
        <f t="shared" si="70"/>
        <v>17138678.228238009</v>
      </c>
    </row>
    <row r="300" spans="1:34" x14ac:dyDescent="0.35">
      <c r="A300">
        <f t="shared" si="71"/>
        <v>299</v>
      </c>
      <c r="B300">
        <f>IF(A300&lt;='Prepay vs Invest'!$B$7*12,F299,0)</f>
        <v>0</v>
      </c>
      <c r="C300">
        <f>IF(B300&gt;0,B300*'Prepay vs Invest'!$B$6/1200,0)</f>
        <v>0</v>
      </c>
      <c r="D300">
        <f>IF(B300&gt;0,MIN(-PMT('Prepay vs Invest'!$B$6/1200,'Prepay vs Invest'!$B$7*12,'Prepay vs Invest'!$B$5),B300+C300),0)</f>
        <v>0</v>
      </c>
      <c r="E300">
        <f t="shared" si="64"/>
        <v>0</v>
      </c>
      <c r="F300">
        <f t="shared" si="65"/>
        <v>0</v>
      </c>
      <c r="G300">
        <f t="shared" si="72"/>
        <v>23734992.261009209</v>
      </c>
      <c r="H300">
        <f>IF(A300&lt;='Prepay vs Invest'!$B$7*12,IF(AND(A300&gt;='Prepay vs Invest'!$B$11,A300&lt;='Prepay vs Invest'!$B$12),'Prepay vs Invest'!$B$10,0)+IF(A300='Prepay vs Invest'!$B$9,'Prepay vs Invest'!$B$8,0),0)</f>
        <v>0</v>
      </c>
      <c r="I300">
        <f>G300*(1+MAX(0,'Prepay vs Invest'!$B$13-'Prepay vs Invest'!$B$14)/1200)+H300</f>
        <v>23962452.603510547</v>
      </c>
      <c r="J300">
        <f t="shared" si="73"/>
        <v>2900000</v>
      </c>
      <c r="K300">
        <f>MAX(0,(I300-J300-'Prepay vs Invest'!$B$16)*'Prepay vs Invest'!$B$15/100)</f>
        <v>2617181.5754388184</v>
      </c>
      <c r="L300">
        <f t="shared" si="66"/>
        <v>21345271.028071728</v>
      </c>
      <c r="M300">
        <f t="shared" si="74"/>
        <v>0</v>
      </c>
      <c r="N300">
        <f>IF(M300&gt;0,M300*'Prepay vs Invest'!$B$6/1200,0)</f>
        <v>0</v>
      </c>
      <c r="O300">
        <f>IF(M300&gt;0,MIN('Prepay vs Invest'!$E$5,M300+N300),0)</f>
        <v>0</v>
      </c>
      <c r="P300">
        <f>MIN(MAX(0,M300+N300-O300),IF(AND(A300&gt;='Prepay vs Invest'!$B$11,A300&lt;='Prepay vs Invest'!$B$12),'Prepay vs Invest'!$B$10,0)+IF(A300='Prepay vs Invest'!$B$9,'Prepay vs Invest'!$B$8,0))</f>
        <v>0</v>
      </c>
      <c r="Q300">
        <f t="shared" si="67"/>
        <v>0</v>
      </c>
      <c r="R300">
        <f t="shared" si="75"/>
        <v>14917383.605039125</v>
      </c>
      <c r="S300">
        <f>IF(A300&lt;='Prepay vs Invest'!$B$7*12,MAX(0,'Prepay vs Invest'!$E$5+IF(AND(A300&gt;='Prepay vs Invest'!$B$11,A300&lt;='Prepay vs Invest'!$B$12),'Prepay vs Invest'!$B$10,0)+IF(A300='Prepay vs Invest'!$B$9,'Prepay vs Invest'!$B$8,0)-O300-P300),0)</f>
        <v>0</v>
      </c>
      <c r="T300">
        <f>R300*(1+MAX(0,'Prepay vs Invest'!$B$13-'Prepay vs Invest'!$B$14)/1200)+S300</f>
        <v>15060341.864587417</v>
      </c>
      <c r="U300">
        <f t="shared" si="76"/>
        <v>6133552.3707652809</v>
      </c>
      <c r="V300">
        <f>MAX(0,(T300-U300-'Prepay vs Invest'!$B$16)*'Prepay vs Invest'!$B$15/100)</f>
        <v>1100223.6867277669</v>
      </c>
      <c r="W300">
        <f t="shared" si="68"/>
        <v>13960118.177859649</v>
      </c>
      <c r="X300">
        <f t="shared" si="77"/>
        <v>0</v>
      </c>
      <c r="Y300">
        <f>IF(X300&gt;0,X300*'Prepay vs Invest'!$B$6/1200,0)</f>
        <v>0</v>
      </c>
      <c r="Z300">
        <f>IF(X300&gt;0,MIN(-PMT('Prepay vs Invest'!$B$6/1200,'Prepay vs Invest'!$B$7*12-A300+1,X300),X300+Y300),0)</f>
        <v>0</v>
      </c>
      <c r="AA300">
        <f>MIN(MAX(0,X300+Y300-Z300),IF(AND(A300&gt;='Prepay vs Invest'!$B$11,A300&lt;='Prepay vs Invest'!$B$12),'Prepay vs Invest'!$B$10,0)+IF(A300='Prepay vs Invest'!$B$9,'Prepay vs Invest'!$B$8,0))</f>
        <v>0</v>
      </c>
      <c r="AB300">
        <f t="shared" si="69"/>
        <v>0</v>
      </c>
      <c r="AC300">
        <f t="shared" si="78"/>
        <v>18942264.829328243</v>
      </c>
      <c r="AD300">
        <f>IF(A300&lt;='Prepay vs Invest'!$B$7*12,MAX(0,'Prepay vs Invest'!$E$5+IF(AND(A300&gt;='Prepay vs Invest'!$B$11,A300&lt;='Prepay vs Invest'!$B$12),'Prepay vs Invest'!$B$10,0)+IF(A300='Prepay vs Invest'!$B$9,'Prepay vs Invest'!$B$8,0)-Z300-AA300),0)</f>
        <v>0</v>
      </c>
      <c r="AE300">
        <f>AC300*(1+MAX(0,'Prepay vs Invest'!$B$13-'Prepay vs Invest'!$B$14)/1200)+AD300</f>
        <v>19123794.867275972</v>
      </c>
      <c r="AF300">
        <f t="shared" si="79"/>
        <v>4388572.0206063567</v>
      </c>
      <c r="AG300">
        <f>MAX(0,(AE300-AF300-'Prepay vs Invest'!$B$16)*'Prepay vs Invest'!$B$15/100)</f>
        <v>1826277.8558337018</v>
      </c>
      <c r="AH300">
        <f t="shared" si="70"/>
        <v>17297517.01144227</v>
      </c>
    </row>
    <row r="301" spans="1:34" x14ac:dyDescent="0.35">
      <c r="A301">
        <f t="shared" si="71"/>
        <v>300</v>
      </c>
      <c r="B301">
        <f>IF(A301&lt;='Prepay vs Invest'!$B$7*12,F300,0)</f>
        <v>0</v>
      </c>
      <c r="C301">
        <f>IF(B301&gt;0,B301*'Prepay vs Invest'!$B$6/1200,0)</f>
        <v>0</v>
      </c>
      <c r="D301">
        <f>IF(B301&gt;0,MIN(-PMT('Prepay vs Invest'!$B$6/1200,'Prepay vs Invest'!$B$7*12,'Prepay vs Invest'!$B$5),B301+C301),0)</f>
        <v>0</v>
      </c>
      <c r="E301">
        <f t="shared" si="64"/>
        <v>0</v>
      </c>
      <c r="F301">
        <f t="shared" si="65"/>
        <v>0</v>
      </c>
      <c r="G301">
        <f t="shared" si="72"/>
        <v>23962452.603510547</v>
      </c>
      <c r="H301">
        <f>IF(A301&lt;='Prepay vs Invest'!$B$7*12,IF(AND(A301&gt;='Prepay vs Invest'!$B$11,A301&lt;='Prepay vs Invest'!$B$12),'Prepay vs Invest'!$B$10,0)+IF(A301='Prepay vs Invest'!$B$9,'Prepay vs Invest'!$B$8,0),0)</f>
        <v>0</v>
      </c>
      <c r="I301">
        <f>G301*(1+MAX(0,'Prepay vs Invest'!$B$13-'Prepay vs Invest'!$B$14)/1200)+H301</f>
        <v>24192092.77429419</v>
      </c>
      <c r="J301">
        <f t="shared" si="73"/>
        <v>2900000</v>
      </c>
      <c r="K301">
        <f>MAX(0,(I301-J301-'Prepay vs Invest'!$B$16)*'Prepay vs Invest'!$B$15/100)</f>
        <v>2645886.5967867738</v>
      </c>
      <c r="L301">
        <f t="shared" si="66"/>
        <v>21546206.177507415</v>
      </c>
      <c r="M301">
        <f t="shared" si="74"/>
        <v>0</v>
      </c>
      <c r="N301">
        <f>IF(M301&gt;0,M301*'Prepay vs Invest'!$B$6/1200,0)</f>
        <v>0</v>
      </c>
      <c r="O301">
        <f>IF(M301&gt;0,MIN('Prepay vs Invest'!$E$5,M301+N301),0)</f>
        <v>0</v>
      </c>
      <c r="P301">
        <f>MIN(MAX(0,M301+N301-O301),IF(AND(A301&gt;='Prepay vs Invest'!$B$11,A301&lt;='Prepay vs Invest'!$B$12),'Prepay vs Invest'!$B$10,0)+IF(A301='Prepay vs Invest'!$B$9,'Prepay vs Invest'!$B$8,0))</f>
        <v>0</v>
      </c>
      <c r="Q301">
        <f t="shared" si="67"/>
        <v>0</v>
      </c>
      <c r="R301">
        <f t="shared" si="75"/>
        <v>15060341.864587417</v>
      </c>
      <c r="S301">
        <f>IF(A301&lt;='Prepay vs Invest'!$B$7*12,MAX(0,'Prepay vs Invest'!$E$5+IF(AND(A301&gt;='Prepay vs Invest'!$B$11,A301&lt;='Prepay vs Invest'!$B$12),'Prepay vs Invest'!$B$10,0)+IF(A301='Prepay vs Invest'!$B$9,'Prepay vs Invest'!$B$8,0)-O301-P301),0)</f>
        <v>0</v>
      </c>
      <c r="T301">
        <f>R301*(1+MAX(0,'Prepay vs Invest'!$B$13-'Prepay vs Invest'!$B$14)/1200)+S301</f>
        <v>15204670.140789712</v>
      </c>
      <c r="U301">
        <f t="shared" si="76"/>
        <v>6133552.3707652809</v>
      </c>
      <c r="V301">
        <f>MAX(0,(T301-U301-'Prepay vs Invest'!$B$16)*'Prepay vs Invest'!$B$15/100)</f>
        <v>1118264.7212530538</v>
      </c>
      <c r="W301">
        <f t="shared" si="68"/>
        <v>14086405.419536658</v>
      </c>
      <c r="X301">
        <f t="shared" si="77"/>
        <v>0</v>
      </c>
      <c r="Y301">
        <f>IF(X301&gt;0,X301*'Prepay vs Invest'!$B$6/1200,0)</f>
        <v>0</v>
      </c>
      <c r="Z301">
        <f>IF(X301&gt;0,MIN(-PMT('Prepay vs Invest'!$B$6/1200,'Prepay vs Invest'!$B$7*12-A301+1,X301),X301+Y301),0)</f>
        <v>0</v>
      </c>
      <c r="AA301">
        <f>MIN(MAX(0,X301+Y301-Z301),IF(AND(A301&gt;='Prepay vs Invest'!$B$11,A301&lt;='Prepay vs Invest'!$B$12),'Prepay vs Invest'!$B$10,0)+IF(A301='Prepay vs Invest'!$B$9,'Prepay vs Invest'!$B$8,0))</f>
        <v>0</v>
      </c>
      <c r="AB301">
        <f t="shared" si="69"/>
        <v>0</v>
      </c>
      <c r="AC301">
        <f t="shared" si="78"/>
        <v>19123794.867275972</v>
      </c>
      <c r="AD301">
        <f>IF(A301&lt;='Prepay vs Invest'!$B$7*12,MAX(0,'Prepay vs Invest'!$E$5+IF(AND(A301&gt;='Prepay vs Invest'!$B$11,A301&lt;='Prepay vs Invest'!$B$12),'Prepay vs Invest'!$B$10,0)+IF(A301='Prepay vs Invest'!$B$9,'Prepay vs Invest'!$B$8,0)-Z301-AA301),0)</f>
        <v>0</v>
      </c>
      <c r="AE301">
        <f>AC301*(1+MAX(0,'Prepay vs Invest'!$B$13-'Prepay vs Invest'!$B$14)/1200)+AD301</f>
        <v>19307064.568087365</v>
      </c>
      <c r="AF301">
        <f t="shared" si="79"/>
        <v>4388572.0206063567</v>
      </c>
      <c r="AG301">
        <f>MAX(0,(AE301-AF301-'Prepay vs Invest'!$B$16)*'Prepay vs Invest'!$B$15/100)</f>
        <v>1849186.568435126</v>
      </c>
      <c r="AH301">
        <f t="shared" si="70"/>
        <v>17457877.99965224</v>
      </c>
    </row>
    <row r="302" spans="1:34" x14ac:dyDescent="0.35">
      <c r="A302">
        <f t="shared" si="71"/>
        <v>301</v>
      </c>
      <c r="B302">
        <f>IF(A302&lt;='Prepay vs Invest'!$B$7*12,F301,0)</f>
        <v>0</v>
      </c>
      <c r="C302">
        <f>IF(B302&gt;0,B302*'Prepay vs Invest'!$B$6/1200,0)</f>
        <v>0</v>
      </c>
      <c r="D302">
        <f>IF(B302&gt;0,MIN(-PMT('Prepay vs Invest'!$B$6/1200,'Prepay vs Invest'!$B$7*12,'Prepay vs Invest'!$B$5),B302+C302),0)</f>
        <v>0</v>
      </c>
      <c r="E302">
        <f t="shared" si="64"/>
        <v>0</v>
      </c>
      <c r="F302">
        <f t="shared" si="65"/>
        <v>0</v>
      </c>
      <c r="G302">
        <f t="shared" si="72"/>
        <v>24192092.77429419</v>
      </c>
      <c r="H302">
        <f>IF(A302&lt;='Prepay vs Invest'!$B$7*12,IF(AND(A302&gt;='Prepay vs Invest'!$B$11,A302&lt;='Prepay vs Invest'!$B$12),'Prepay vs Invest'!$B$10,0)+IF(A302='Prepay vs Invest'!$B$9,'Prepay vs Invest'!$B$8,0),0)</f>
        <v>0</v>
      </c>
      <c r="I302">
        <f>G302*(1+MAX(0,'Prepay vs Invest'!$B$13-'Prepay vs Invest'!$B$14)/1200)+H302</f>
        <v>24423933.663381174</v>
      </c>
      <c r="J302">
        <f t="shared" si="73"/>
        <v>2900000</v>
      </c>
      <c r="K302">
        <f>MAX(0,(I302-J302-'Prepay vs Invest'!$B$16)*'Prepay vs Invest'!$B$15/100)</f>
        <v>2674866.7079226468</v>
      </c>
      <c r="L302">
        <f t="shared" si="66"/>
        <v>21749066.955458529</v>
      </c>
      <c r="M302">
        <f t="shared" si="74"/>
        <v>0</v>
      </c>
      <c r="N302">
        <f>IF(M302&gt;0,M302*'Prepay vs Invest'!$B$6/1200,0)</f>
        <v>0</v>
      </c>
      <c r="O302">
        <f>IF(M302&gt;0,MIN('Prepay vs Invest'!$E$5,M302+N302),0)</f>
        <v>0</v>
      </c>
      <c r="P302">
        <f>MIN(MAX(0,M302+N302-O302),IF(AND(A302&gt;='Prepay vs Invest'!$B$11,A302&lt;='Prepay vs Invest'!$B$12),'Prepay vs Invest'!$B$10,0)+IF(A302='Prepay vs Invest'!$B$9,'Prepay vs Invest'!$B$8,0))</f>
        <v>0</v>
      </c>
      <c r="Q302">
        <f t="shared" si="67"/>
        <v>0</v>
      </c>
      <c r="R302">
        <f t="shared" si="75"/>
        <v>15204670.140789712</v>
      </c>
      <c r="S302">
        <f>IF(A302&lt;='Prepay vs Invest'!$B$7*12,MAX(0,'Prepay vs Invest'!$E$5+IF(AND(A302&gt;='Prepay vs Invest'!$B$11,A302&lt;='Prepay vs Invest'!$B$12),'Prepay vs Invest'!$B$10,0)+IF(A302='Prepay vs Invest'!$B$9,'Prepay vs Invest'!$B$8,0)-O302-P302),0)</f>
        <v>0</v>
      </c>
      <c r="T302">
        <f>R302*(1+MAX(0,'Prepay vs Invest'!$B$13-'Prepay vs Invest'!$B$14)/1200)+S302</f>
        <v>15350381.562972279</v>
      </c>
      <c r="U302">
        <f t="shared" si="76"/>
        <v>6133552.3707652809</v>
      </c>
      <c r="V302">
        <f>MAX(0,(T302-U302-'Prepay vs Invest'!$B$16)*'Prepay vs Invest'!$B$15/100)</f>
        <v>1136478.6490258747</v>
      </c>
      <c r="W302">
        <f t="shared" si="68"/>
        <v>14213902.913946405</v>
      </c>
      <c r="X302">
        <f t="shared" si="77"/>
        <v>0</v>
      </c>
      <c r="Y302">
        <f>IF(X302&gt;0,X302*'Prepay vs Invest'!$B$6/1200,0)</f>
        <v>0</v>
      </c>
      <c r="Z302">
        <f>IF(X302&gt;0,MIN(-PMT('Prepay vs Invest'!$B$6/1200,'Prepay vs Invest'!$B$7*12-A302+1,X302),X302+Y302),0)</f>
        <v>0</v>
      </c>
      <c r="AA302">
        <f>MIN(MAX(0,X302+Y302-Z302),IF(AND(A302&gt;='Prepay vs Invest'!$B$11,A302&lt;='Prepay vs Invest'!$B$12),'Prepay vs Invest'!$B$10,0)+IF(A302='Prepay vs Invest'!$B$9,'Prepay vs Invest'!$B$8,0))</f>
        <v>0</v>
      </c>
      <c r="AB302">
        <f t="shared" si="69"/>
        <v>0</v>
      </c>
      <c r="AC302">
        <f t="shared" si="78"/>
        <v>19307064.568087365</v>
      </c>
      <c r="AD302">
        <f>IF(A302&lt;='Prepay vs Invest'!$B$7*12,MAX(0,'Prepay vs Invest'!$E$5+IF(AND(A302&gt;='Prepay vs Invest'!$B$11,A302&lt;='Prepay vs Invest'!$B$12),'Prepay vs Invest'!$B$10,0)+IF(A302='Prepay vs Invest'!$B$9,'Prepay vs Invest'!$B$8,0)-Z302-AA302),0)</f>
        <v>0</v>
      </c>
      <c r="AE302">
        <f>AC302*(1+MAX(0,'Prepay vs Invest'!$B$13-'Prepay vs Invest'!$B$14)/1200)+AD302</f>
        <v>19492090.603531536</v>
      </c>
      <c r="AF302">
        <f t="shared" si="79"/>
        <v>4388572.0206063567</v>
      </c>
      <c r="AG302">
        <f>MAX(0,(AE302-AF302-'Prepay vs Invest'!$B$16)*'Prepay vs Invest'!$B$15/100)</f>
        <v>1872314.8228656473</v>
      </c>
      <c r="AH302">
        <f t="shared" si="70"/>
        <v>17619775.780665889</v>
      </c>
    </row>
    <row r="303" spans="1:34" x14ac:dyDescent="0.35">
      <c r="A303">
        <f t="shared" si="71"/>
        <v>302</v>
      </c>
      <c r="B303">
        <f>IF(A303&lt;='Prepay vs Invest'!$B$7*12,F302,0)</f>
        <v>0</v>
      </c>
      <c r="C303">
        <f>IF(B303&gt;0,B303*'Prepay vs Invest'!$B$6/1200,0)</f>
        <v>0</v>
      </c>
      <c r="D303">
        <f>IF(B303&gt;0,MIN(-PMT('Prepay vs Invest'!$B$6/1200,'Prepay vs Invest'!$B$7*12,'Prepay vs Invest'!$B$5),B303+C303),0)</f>
        <v>0</v>
      </c>
      <c r="E303">
        <f t="shared" si="64"/>
        <v>0</v>
      </c>
      <c r="F303">
        <f t="shared" si="65"/>
        <v>0</v>
      </c>
      <c r="G303">
        <f t="shared" si="72"/>
        <v>24423933.663381174</v>
      </c>
      <c r="H303">
        <f>IF(A303&lt;='Prepay vs Invest'!$B$7*12,IF(AND(A303&gt;='Prepay vs Invest'!$B$11,A303&lt;='Prepay vs Invest'!$B$12),'Prepay vs Invest'!$B$10,0)+IF(A303='Prepay vs Invest'!$B$9,'Prepay vs Invest'!$B$8,0),0)</f>
        <v>0</v>
      </c>
      <c r="I303">
        <f>G303*(1+MAX(0,'Prepay vs Invest'!$B$13-'Prepay vs Invest'!$B$14)/1200)+H303</f>
        <v>24657996.360988576</v>
      </c>
      <c r="J303">
        <f t="shared" si="73"/>
        <v>2900000</v>
      </c>
      <c r="K303">
        <f>MAX(0,(I303-J303-'Prepay vs Invest'!$B$16)*'Prepay vs Invest'!$B$15/100)</f>
        <v>2704124.5451235715</v>
      </c>
      <c r="L303">
        <f t="shared" si="66"/>
        <v>21953871.815865003</v>
      </c>
      <c r="M303">
        <f t="shared" si="74"/>
        <v>0</v>
      </c>
      <c r="N303">
        <f>IF(M303&gt;0,M303*'Prepay vs Invest'!$B$6/1200,0)</f>
        <v>0</v>
      </c>
      <c r="O303">
        <f>IF(M303&gt;0,MIN('Prepay vs Invest'!$E$5,M303+N303),0)</f>
        <v>0</v>
      </c>
      <c r="P303">
        <f>MIN(MAX(0,M303+N303-O303),IF(AND(A303&gt;='Prepay vs Invest'!$B$11,A303&lt;='Prepay vs Invest'!$B$12),'Prepay vs Invest'!$B$10,0)+IF(A303='Prepay vs Invest'!$B$9,'Prepay vs Invest'!$B$8,0))</f>
        <v>0</v>
      </c>
      <c r="Q303">
        <f t="shared" si="67"/>
        <v>0</v>
      </c>
      <c r="R303">
        <f t="shared" si="75"/>
        <v>15350381.562972279</v>
      </c>
      <c r="S303">
        <f>IF(A303&lt;='Prepay vs Invest'!$B$7*12,MAX(0,'Prepay vs Invest'!$E$5+IF(AND(A303&gt;='Prepay vs Invest'!$B$11,A303&lt;='Prepay vs Invest'!$B$12),'Prepay vs Invest'!$B$10,0)+IF(A303='Prepay vs Invest'!$B$9,'Prepay vs Invest'!$B$8,0)-O303-P303),0)</f>
        <v>0</v>
      </c>
      <c r="T303">
        <f>R303*(1+MAX(0,'Prepay vs Invest'!$B$13-'Prepay vs Invest'!$B$14)/1200)+S303</f>
        <v>15497489.386284096</v>
      </c>
      <c r="U303">
        <f t="shared" si="76"/>
        <v>6133552.3707652809</v>
      </c>
      <c r="V303">
        <f>MAX(0,(T303-U303-'Prepay vs Invest'!$B$16)*'Prepay vs Invest'!$B$15/100)</f>
        <v>1154867.1269398518</v>
      </c>
      <c r="W303">
        <f t="shared" si="68"/>
        <v>14342622.259344244</v>
      </c>
      <c r="X303">
        <f t="shared" si="77"/>
        <v>0</v>
      </c>
      <c r="Y303">
        <f>IF(X303&gt;0,X303*'Prepay vs Invest'!$B$6/1200,0)</f>
        <v>0</v>
      </c>
      <c r="Z303">
        <f>IF(X303&gt;0,MIN(-PMT('Prepay vs Invest'!$B$6/1200,'Prepay vs Invest'!$B$7*12-A303+1,X303),X303+Y303),0)</f>
        <v>0</v>
      </c>
      <c r="AA303">
        <f>MIN(MAX(0,X303+Y303-Z303),IF(AND(A303&gt;='Prepay vs Invest'!$B$11,A303&lt;='Prepay vs Invest'!$B$12),'Prepay vs Invest'!$B$10,0)+IF(A303='Prepay vs Invest'!$B$9,'Prepay vs Invest'!$B$8,0))</f>
        <v>0</v>
      </c>
      <c r="AB303">
        <f t="shared" si="69"/>
        <v>0</v>
      </c>
      <c r="AC303">
        <f t="shared" si="78"/>
        <v>19492090.603531536</v>
      </c>
      <c r="AD303">
        <f>IF(A303&lt;='Prepay vs Invest'!$B$7*12,MAX(0,'Prepay vs Invest'!$E$5+IF(AND(A303&gt;='Prepay vs Invest'!$B$11,A303&lt;='Prepay vs Invest'!$B$12),'Prepay vs Invest'!$B$10,0)+IF(A303='Prepay vs Invest'!$B$9,'Prepay vs Invest'!$B$8,0)-Z303-AA303),0)</f>
        <v>0</v>
      </c>
      <c r="AE303">
        <f>AC303*(1+MAX(0,'Prepay vs Invest'!$B$13-'Prepay vs Invest'!$B$14)/1200)+AD303</f>
        <v>19678889.805148713</v>
      </c>
      <c r="AF303">
        <f t="shared" si="79"/>
        <v>4388572.0206063567</v>
      </c>
      <c r="AG303">
        <f>MAX(0,(AE303-AF303-'Prepay vs Invest'!$B$16)*'Prepay vs Invest'!$B$15/100)</f>
        <v>1895664.7230677945</v>
      </c>
      <c r="AH303">
        <f t="shared" si="70"/>
        <v>17783225.082080919</v>
      </c>
    </row>
    <row r="304" spans="1:34" x14ac:dyDescent="0.35">
      <c r="A304">
        <f t="shared" si="71"/>
        <v>303</v>
      </c>
      <c r="B304">
        <f>IF(A304&lt;='Prepay vs Invest'!$B$7*12,F303,0)</f>
        <v>0</v>
      </c>
      <c r="C304">
        <f>IF(B304&gt;0,B304*'Prepay vs Invest'!$B$6/1200,0)</f>
        <v>0</v>
      </c>
      <c r="D304">
        <f>IF(B304&gt;0,MIN(-PMT('Prepay vs Invest'!$B$6/1200,'Prepay vs Invest'!$B$7*12,'Prepay vs Invest'!$B$5),B304+C304),0)</f>
        <v>0</v>
      </c>
      <c r="E304">
        <f t="shared" si="64"/>
        <v>0</v>
      </c>
      <c r="F304">
        <f t="shared" si="65"/>
        <v>0</v>
      </c>
      <c r="G304">
        <f t="shared" si="72"/>
        <v>24657996.360988576</v>
      </c>
      <c r="H304">
        <f>IF(A304&lt;='Prepay vs Invest'!$B$7*12,IF(AND(A304&gt;='Prepay vs Invest'!$B$11,A304&lt;='Prepay vs Invest'!$B$12),'Prepay vs Invest'!$B$10,0)+IF(A304='Prepay vs Invest'!$B$9,'Prepay vs Invest'!$B$8,0),0)</f>
        <v>0</v>
      </c>
      <c r="I304">
        <f>G304*(1+MAX(0,'Prepay vs Invest'!$B$13-'Prepay vs Invest'!$B$14)/1200)+H304</f>
        <v>24894302.15944805</v>
      </c>
      <c r="J304">
        <f t="shared" si="73"/>
        <v>2900000</v>
      </c>
      <c r="K304">
        <f>MAX(0,(I304-J304-'Prepay vs Invest'!$B$16)*'Prepay vs Invest'!$B$15/100)</f>
        <v>2733662.7699310062</v>
      </c>
      <c r="L304">
        <f t="shared" si="66"/>
        <v>22160639.389517043</v>
      </c>
      <c r="M304">
        <f t="shared" si="74"/>
        <v>0</v>
      </c>
      <c r="N304">
        <f>IF(M304&gt;0,M304*'Prepay vs Invest'!$B$6/1200,0)</f>
        <v>0</v>
      </c>
      <c r="O304">
        <f>IF(M304&gt;0,MIN('Prepay vs Invest'!$E$5,M304+N304),0)</f>
        <v>0</v>
      </c>
      <c r="P304">
        <f>MIN(MAX(0,M304+N304-O304),IF(AND(A304&gt;='Prepay vs Invest'!$B$11,A304&lt;='Prepay vs Invest'!$B$12),'Prepay vs Invest'!$B$10,0)+IF(A304='Prepay vs Invest'!$B$9,'Prepay vs Invest'!$B$8,0))</f>
        <v>0</v>
      </c>
      <c r="Q304">
        <f t="shared" si="67"/>
        <v>0</v>
      </c>
      <c r="R304">
        <f t="shared" si="75"/>
        <v>15497489.386284096</v>
      </c>
      <c r="S304">
        <f>IF(A304&lt;='Prepay vs Invest'!$B$7*12,MAX(0,'Prepay vs Invest'!$E$5+IF(AND(A304&gt;='Prepay vs Invest'!$B$11,A304&lt;='Prepay vs Invest'!$B$12),'Prepay vs Invest'!$B$10,0)+IF(A304='Prepay vs Invest'!$B$9,'Prepay vs Invest'!$B$8,0)-O304-P304),0)</f>
        <v>0</v>
      </c>
      <c r="T304">
        <f>R304*(1+MAX(0,'Prepay vs Invest'!$B$13-'Prepay vs Invest'!$B$14)/1200)+S304</f>
        <v>15646006.992902651</v>
      </c>
      <c r="U304">
        <f t="shared" si="76"/>
        <v>6133552.3707652809</v>
      </c>
      <c r="V304">
        <f>MAX(0,(T304-U304-'Prepay vs Invest'!$B$16)*'Prepay vs Invest'!$B$15/100)</f>
        <v>1173431.8277671714</v>
      </c>
      <c r="W304">
        <f t="shared" si="68"/>
        <v>14472575.16513548</v>
      </c>
      <c r="X304">
        <f t="shared" si="77"/>
        <v>0</v>
      </c>
      <c r="Y304">
        <f>IF(X304&gt;0,X304*'Prepay vs Invest'!$B$6/1200,0)</f>
        <v>0</v>
      </c>
      <c r="Z304">
        <f>IF(X304&gt;0,MIN(-PMT('Prepay vs Invest'!$B$6/1200,'Prepay vs Invest'!$B$7*12-A304+1,X304),X304+Y304),0)</f>
        <v>0</v>
      </c>
      <c r="AA304">
        <f>MIN(MAX(0,X304+Y304-Z304),IF(AND(A304&gt;='Prepay vs Invest'!$B$11,A304&lt;='Prepay vs Invest'!$B$12),'Prepay vs Invest'!$B$10,0)+IF(A304='Prepay vs Invest'!$B$9,'Prepay vs Invest'!$B$8,0))</f>
        <v>0</v>
      </c>
      <c r="AB304">
        <f t="shared" si="69"/>
        <v>0</v>
      </c>
      <c r="AC304">
        <f t="shared" si="78"/>
        <v>19678889.805148713</v>
      </c>
      <c r="AD304">
        <f>IF(A304&lt;='Prepay vs Invest'!$B$7*12,MAX(0,'Prepay vs Invest'!$E$5+IF(AND(A304&gt;='Prepay vs Invest'!$B$11,A304&lt;='Prepay vs Invest'!$B$12),'Prepay vs Invest'!$B$10,0)+IF(A304='Prepay vs Invest'!$B$9,'Prepay vs Invest'!$B$8,0)-Z304-AA304),0)</f>
        <v>0</v>
      </c>
      <c r="AE304">
        <f>AC304*(1+MAX(0,'Prepay vs Invest'!$B$13-'Prepay vs Invest'!$B$14)/1200)+AD304</f>
        <v>19867479.165781386</v>
      </c>
      <c r="AF304">
        <f t="shared" si="79"/>
        <v>4388572.0206063567</v>
      </c>
      <c r="AG304">
        <f>MAX(0,(AE304-AF304-'Prepay vs Invest'!$B$16)*'Prepay vs Invest'!$B$15/100)</f>
        <v>1919238.3931468786</v>
      </c>
      <c r="AH304">
        <f t="shared" si="70"/>
        <v>17948240.772634506</v>
      </c>
    </row>
    <row r="305" spans="1:34" x14ac:dyDescent="0.35">
      <c r="A305">
        <f t="shared" si="71"/>
        <v>304</v>
      </c>
      <c r="B305">
        <f>IF(A305&lt;='Prepay vs Invest'!$B$7*12,F304,0)</f>
        <v>0</v>
      </c>
      <c r="C305">
        <f>IF(B305&gt;0,B305*'Prepay vs Invest'!$B$6/1200,0)</f>
        <v>0</v>
      </c>
      <c r="D305">
        <f>IF(B305&gt;0,MIN(-PMT('Prepay vs Invest'!$B$6/1200,'Prepay vs Invest'!$B$7*12,'Prepay vs Invest'!$B$5),B305+C305),0)</f>
        <v>0</v>
      </c>
      <c r="E305">
        <f t="shared" si="64"/>
        <v>0</v>
      </c>
      <c r="F305">
        <f t="shared" si="65"/>
        <v>0</v>
      </c>
      <c r="G305">
        <f t="shared" si="72"/>
        <v>24894302.15944805</v>
      </c>
      <c r="H305">
        <f>IF(A305&lt;='Prepay vs Invest'!$B$7*12,IF(AND(A305&gt;='Prepay vs Invest'!$B$11,A305&lt;='Prepay vs Invest'!$B$12),'Prepay vs Invest'!$B$10,0)+IF(A305='Prepay vs Invest'!$B$9,'Prepay vs Invest'!$B$8,0),0)</f>
        <v>0</v>
      </c>
      <c r="I305">
        <f>G305*(1+MAX(0,'Prepay vs Invest'!$B$13-'Prepay vs Invest'!$B$14)/1200)+H305</f>
        <v>25132872.55514276</v>
      </c>
      <c r="J305">
        <f t="shared" si="73"/>
        <v>2900000</v>
      </c>
      <c r="K305">
        <f>MAX(0,(I305-J305-'Prepay vs Invest'!$B$16)*'Prepay vs Invest'!$B$15/100)</f>
        <v>2763484.069392845</v>
      </c>
      <c r="L305">
        <f t="shared" si="66"/>
        <v>22369388.485749915</v>
      </c>
      <c r="M305">
        <f t="shared" si="74"/>
        <v>0</v>
      </c>
      <c r="N305">
        <f>IF(M305&gt;0,M305*'Prepay vs Invest'!$B$6/1200,0)</f>
        <v>0</v>
      </c>
      <c r="O305">
        <f>IF(M305&gt;0,MIN('Prepay vs Invest'!$E$5,M305+N305),0)</f>
        <v>0</v>
      </c>
      <c r="P305">
        <f>MIN(MAX(0,M305+N305-O305),IF(AND(A305&gt;='Prepay vs Invest'!$B$11,A305&lt;='Prepay vs Invest'!$B$12),'Prepay vs Invest'!$B$10,0)+IF(A305='Prepay vs Invest'!$B$9,'Prepay vs Invest'!$B$8,0))</f>
        <v>0</v>
      </c>
      <c r="Q305">
        <f t="shared" si="67"/>
        <v>0</v>
      </c>
      <c r="R305">
        <f t="shared" si="75"/>
        <v>15646006.992902651</v>
      </c>
      <c r="S305">
        <f>IF(A305&lt;='Prepay vs Invest'!$B$7*12,MAX(0,'Prepay vs Invest'!$E$5+IF(AND(A305&gt;='Prepay vs Invest'!$B$11,A305&lt;='Prepay vs Invest'!$B$12),'Prepay vs Invest'!$B$10,0)+IF(A305='Prepay vs Invest'!$B$9,'Prepay vs Invest'!$B$8,0)-O305-P305),0)</f>
        <v>0</v>
      </c>
      <c r="T305">
        <f>R305*(1+MAX(0,'Prepay vs Invest'!$B$13-'Prepay vs Invest'!$B$14)/1200)+S305</f>
        <v>15795947.893251302</v>
      </c>
      <c r="U305">
        <f t="shared" si="76"/>
        <v>6133552.3707652809</v>
      </c>
      <c r="V305">
        <f>MAX(0,(T305-U305-'Prepay vs Invest'!$B$16)*'Prepay vs Invest'!$B$15/100)</f>
        <v>1192174.4403107525</v>
      </c>
      <c r="W305">
        <f t="shared" si="68"/>
        <v>14603773.45294055</v>
      </c>
      <c r="X305">
        <f t="shared" si="77"/>
        <v>0</v>
      </c>
      <c r="Y305">
        <f>IF(X305&gt;0,X305*'Prepay vs Invest'!$B$6/1200,0)</f>
        <v>0</v>
      </c>
      <c r="Z305">
        <f>IF(X305&gt;0,MIN(-PMT('Prepay vs Invest'!$B$6/1200,'Prepay vs Invest'!$B$7*12-A305+1,X305),X305+Y305),0)</f>
        <v>0</v>
      </c>
      <c r="AA305">
        <f>MIN(MAX(0,X305+Y305-Z305),IF(AND(A305&gt;='Prepay vs Invest'!$B$11,A305&lt;='Prepay vs Invest'!$B$12),'Prepay vs Invest'!$B$10,0)+IF(A305='Prepay vs Invest'!$B$9,'Prepay vs Invest'!$B$8,0))</f>
        <v>0</v>
      </c>
      <c r="AB305">
        <f t="shared" si="69"/>
        <v>0</v>
      </c>
      <c r="AC305">
        <f t="shared" si="78"/>
        <v>19867479.165781386</v>
      </c>
      <c r="AD305">
        <f>IF(A305&lt;='Prepay vs Invest'!$B$7*12,MAX(0,'Prepay vs Invest'!$E$5+IF(AND(A305&gt;='Prepay vs Invest'!$B$11,A305&lt;='Prepay vs Invest'!$B$12),'Prepay vs Invest'!$B$10,0)+IF(A305='Prepay vs Invest'!$B$9,'Prepay vs Invest'!$B$8,0)-Z305-AA305),0)</f>
        <v>0</v>
      </c>
      <c r="AE305">
        <f>AC305*(1+MAX(0,'Prepay vs Invest'!$B$13-'Prepay vs Invest'!$B$14)/1200)+AD305</f>
        <v>20057875.841120124</v>
      </c>
      <c r="AF305">
        <f t="shared" si="79"/>
        <v>4388572.0206063567</v>
      </c>
      <c r="AG305">
        <f>MAX(0,(AE305-AF305-'Prepay vs Invest'!$B$16)*'Prepay vs Invest'!$B$15/100)</f>
        <v>1943037.9775642208</v>
      </c>
      <c r="AH305">
        <f t="shared" si="70"/>
        <v>18114837.863555904</v>
      </c>
    </row>
    <row r="306" spans="1:34" x14ac:dyDescent="0.35">
      <c r="A306">
        <f t="shared" si="71"/>
        <v>305</v>
      </c>
      <c r="B306">
        <f>IF(A306&lt;='Prepay vs Invest'!$B$7*12,F305,0)</f>
        <v>0</v>
      </c>
      <c r="C306">
        <f>IF(B306&gt;0,B306*'Prepay vs Invest'!$B$6/1200,0)</f>
        <v>0</v>
      </c>
      <c r="D306">
        <f>IF(B306&gt;0,MIN(-PMT('Prepay vs Invest'!$B$6/1200,'Prepay vs Invest'!$B$7*12,'Prepay vs Invest'!$B$5),B306+C306),0)</f>
        <v>0</v>
      </c>
      <c r="E306">
        <f t="shared" si="64"/>
        <v>0</v>
      </c>
      <c r="F306">
        <f t="shared" si="65"/>
        <v>0</v>
      </c>
      <c r="G306">
        <f t="shared" si="72"/>
        <v>25132872.55514276</v>
      </c>
      <c r="H306">
        <f>IF(A306&lt;='Prepay vs Invest'!$B$7*12,IF(AND(A306&gt;='Prepay vs Invest'!$B$11,A306&lt;='Prepay vs Invest'!$B$12),'Prepay vs Invest'!$B$10,0)+IF(A306='Prepay vs Invest'!$B$9,'Prepay vs Invest'!$B$8,0),0)</f>
        <v>0</v>
      </c>
      <c r="I306">
        <f>G306*(1+MAX(0,'Prepay vs Invest'!$B$13-'Prepay vs Invest'!$B$14)/1200)+H306</f>
        <v>25373729.250462878</v>
      </c>
      <c r="J306">
        <f t="shared" si="73"/>
        <v>2900000</v>
      </c>
      <c r="K306">
        <f>MAX(0,(I306-J306-'Prepay vs Invest'!$B$16)*'Prepay vs Invest'!$B$15/100)</f>
        <v>2793591.1563078598</v>
      </c>
      <c r="L306">
        <f t="shared" si="66"/>
        <v>22580138.094155017</v>
      </c>
      <c r="M306">
        <f t="shared" si="74"/>
        <v>0</v>
      </c>
      <c r="N306">
        <f>IF(M306&gt;0,M306*'Prepay vs Invest'!$B$6/1200,0)</f>
        <v>0</v>
      </c>
      <c r="O306">
        <f>IF(M306&gt;0,MIN('Prepay vs Invest'!$E$5,M306+N306),0)</f>
        <v>0</v>
      </c>
      <c r="P306">
        <f>MIN(MAX(0,M306+N306-O306),IF(AND(A306&gt;='Prepay vs Invest'!$B$11,A306&lt;='Prepay vs Invest'!$B$12),'Prepay vs Invest'!$B$10,0)+IF(A306='Prepay vs Invest'!$B$9,'Prepay vs Invest'!$B$8,0))</f>
        <v>0</v>
      </c>
      <c r="Q306">
        <f t="shared" si="67"/>
        <v>0</v>
      </c>
      <c r="R306">
        <f t="shared" si="75"/>
        <v>15795947.893251302</v>
      </c>
      <c r="S306">
        <f>IF(A306&lt;='Prepay vs Invest'!$B$7*12,MAX(0,'Prepay vs Invest'!$E$5+IF(AND(A306&gt;='Prepay vs Invest'!$B$11,A306&lt;='Prepay vs Invest'!$B$12),'Prepay vs Invest'!$B$10,0)+IF(A306='Prepay vs Invest'!$B$9,'Prepay vs Invest'!$B$8,0)-O306-P306),0)</f>
        <v>0</v>
      </c>
      <c r="T306">
        <f>R306*(1+MAX(0,'Prepay vs Invest'!$B$13-'Prepay vs Invest'!$B$14)/1200)+S306</f>
        <v>15947325.727228293</v>
      </c>
      <c r="U306">
        <f t="shared" si="76"/>
        <v>6133552.3707652809</v>
      </c>
      <c r="V306">
        <f>MAX(0,(T306-U306-'Prepay vs Invest'!$B$16)*'Prepay vs Invest'!$B$15/100)</f>
        <v>1211096.6695578764</v>
      </c>
      <c r="W306">
        <f t="shared" si="68"/>
        <v>14736229.057670416</v>
      </c>
      <c r="X306">
        <f t="shared" si="77"/>
        <v>0</v>
      </c>
      <c r="Y306">
        <f>IF(X306&gt;0,X306*'Prepay vs Invest'!$B$6/1200,0)</f>
        <v>0</v>
      </c>
      <c r="Z306">
        <f>IF(X306&gt;0,MIN(-PMT('Prepay vs Invest'!$B$6/1200,'Prepay vs Invest'!$B$7*12-A306+1,X306),X306+Y306),0)</f>
        <v>0</v>
      </c>
      <c r="AA306">
        <f>MIN(MAX(0,X306+Y306-Z306),IF(AND(A306&gt;='Prepay vs Invest'!$B$11,A306&lt;='Prepay vs Invest'!$B$12),'Prepay vs Invest'!$B$10,0)+IF(A306='Prepay vs Invest'!$B$9,'Prepay vs Invest'!$B$8,0))</f>
        <v>0</v>
      </c>
      <c r="AB306">
        <f t="shared" si="69"/>
        <v>0</v>
      </c>
      <c r="AC306">
        <f t="shared" si="78"/>
        <v>20057875.841120124</v>
      </c>
      <c r="AD306">
        <f>IF(A306&lt;='Prepay vs Invest'!$B$7*12,MAX(0,'Prepay vs Invest'!$E$5+IF(AND(A306&gt;='Prepay vs Invest'!$B$11,A306&lt;='Prepay vs Invest'!$B$12),'Prepay vs Invest'!$B$10,0)+IF(A306='Prepay vs Invest'!$B$9,'Prepay vs Invest'!$B$8,0)-Z306-AA306),0)</f>
        <v>0</v>
      </c>
      <c r="AE306">
        <f>AC306*(1+MAX(0,'Prepay vs Invest'!$B$13-'Prepay vs Invest'!$B$14)/1200)+AD306</f>
        <v>20250097.151264191</v>
      </c>
      <c r="AF306">
        <f t="shared" si="79"/>
        <v>4388572.0206063567</v>
      </c>
      <c r="AG306">
        <f>MAX(0,(AE306-AF306-'Prepay vs Invest'!$B$16)*'Prepay vs Invest'!$B$15/100)</f>
        <v>1967065.6413322291</v>
      </c>
      <c r="AH306">
        <f t="shared" si="70"/>
        <v>18283031.509931963</v>
      </c>
    </row>
    <row r="307" spans="1:34" x14ac:dyDescent="0.35">
      <c r="A307">
        <f t="shared" si="71"/>
        <v>306</v>
      </c>
      <c r="B307">
        <f>IF(A307&lt;='Prepay vs Invest'!$B$7*12,F306,0)</f>
        <v>0</v>
      </c>
      <c r="C307">
        <f>IF(B307&gt;0,B307*'Prepay vs Invest'!$B$6/1200,0)</f>
        <v>0</v>
      </c>
      <c r="D307">
        <f>IF(B307&gt;0,MIN(-PMT('Prepay vs Invest'!$B$6/1200,'Prepay vs Invest'!$B$7*12,'Prepay vs Invest'!$B$5),B307+C307),0)</f>
        <v>0</v>
      </c>
      <c r="E307">
        <f t="shared" si="64"/>
        <v>0</v>
      </c>
      <c r="F307">
        <f t="shared" si="65"/>
        <v>0</v>
      </c>
      <c r="G307">
        <f t="shared" si="72"/>
        <v>25373729.250462878</v>
      </c>
      <c r="H307">
        <f>IF(A307&lt;='Prepay vs Invest'!$B$7*12,IF(AND(A307&gt;='Prepay vs Invest'!$B$11,A307&lt;='Prepay vs Invest'!$B$12),'Prepay vs Invest'!$B$10,0)+IF(A307='Prepay vs Invest'!$B$9,'Prepay vs Invest'!$B$8,0),0)</f>
        <v>0</v>
      </c>
      <c r="I307">
        <f>G307*(1+MAX(0,'Prepay vs Invest'!$B$13-'Prepay vs Invest'!$B$14)/1200)+H307</f>
        <v>25616894.155779812</v>
      </c>
      <c r="J307">
        <f t="shared" si="73"/>
        <v>2900000</v>
      </c>
      <c r="K307">
        <f>MAX(0,(I307-J307-'Prepay vs Invest'!$B$16)*'Prepay vs Invest'!$B$15/100)</f>
        <v>2823986.769472477</v>
      </c>
      <c r="L307">
        <f t="shared" si="66"/>
        <v>22792907.386307336</v>
      </c>
      <c r="M307">
        <f t="shared" si="74"/>
        <v>0</v>
      </c>
      <c r="N307">
        <f>IF(M307&gt;0,M307*'Prepay vs Invest'!$B$6/1200,0)</f>
        <v>0</v>
      </c>
      <c r="O307">
        <f>IF(M307&gt;0,MIN('Prepay vs Invest'!$E$5,M307+N307),0)</f>
        <v>0</v>
      </c>
      <c r="P307">
        <f>MIN(MAX(0,M307+N307-O307),IF(AND(A307&gt;='Prepay vs Invest'!$B$11,A307&lt;='Prepay vs Invest'!$B$12),'Prepay vs Invest'!$B$10,0)+IF(A307='Prepay vs Invest'!$B$9,'Prepay vs Invest'!$B$8,0))</f>
        <v>0</v>
      </c>
      <c r="Q307">
        <f t="shared" si="67"/>
        <v>0</v>
      </c>
      <c r="R307">
        <f t="shared" si="75"/>
        <v>15947325.727228293</v>
      </c>
      <c r="S307">
        <f>IF(A307&lt;='Prepay vs Invest'!$B$7*12,MAX(0,'Prepay vs Invest'!$E$5+IF(AND(A307&gt;='Prepay vs Invest'!$B$11,A307&lt;='Prepay vs Invest'!$B$12),'Prepay vs Invest'!$B$10,0)+IF(A307='Prepay vs Invest'!$B$9,'Prepay vs Invest'!$B$8,0)-O307-P307),0)</f>
        <v>0</v>
      </c>
      <c r="T307">
        <f>R307*(1+MAX(0,'Prepay vs Invest'!$B$13-'Prepay vs Invest'!$B$14)/1200)+S307</f>
        <v>16100154.265447563</v>
      </c>
      <c r="U307">
        <f t="shared" si="76"/>
        <v>6133552.3707652809</v>
      </c>
      <c r="V307">
        <f>MAX(0,(T307-U307-'Prepay vs Invest'!$B$16)*'Prepay vs Invest'!$B$15/100)</f>
        <v>1230200.2368352851</v>
      </c>
      <c r="W307">
        <f t="shared" si="68"/>
        <v>14869954.028612278</v>
      </c>
      <c r="X307">
        <f t="shared" si="77"/>
        <v>0</v>
      </c>
      <c r="Y307">
        <f>IF(X307&gt;0,X307*'Prepay vs Invest'!$B$6/1200,0)</f>
        <v>0</v>
      </c>
      <c r="Z307">
        <f>IF(X307&gt;0,MIN(-PMT('Prepay vs Invest'!$B$6/1200,'Prepay vs Invest'!$B$7*12-A307+1,X307),X307+Y307),0)</f>
        <v>0</v>
      </c>
      <c r="AA307">
        <f>MIN(MAX(0,X307+Y307-Z307),IF(AND(A307&gt;='Prepay vs Invest'!$B$11,A307&lt;='Prepay vs Invest'!$B$12),'Prepay vs Invest'!$B$10,0)+IF(A307='Prepay vs Invest'!$B$9,'Prepay vs Invest'!$B$8,0))</f>
        <v>0</v>
      </c>
      <c r="AB307">
        <f t="shared" si="69"/>
        <v>0</v>
      </c>
      <c r="AC307">
        <f t="shared" si="78"/>
        <v>20250097.151264191</v>
      </c>
      <c r="AD307">
        <f>IF(A307&lt;='Prepay vs Invest'!$B$7*12,MAX(0,'Prepay vs Invest'!$E$5+IF(AND(A307&gt;='Prepay vs Invest'!$B$11,A307&lt;='Prepay vs Invest'!$B$12),'Prepay vs Invest'!$B$10,0)+IF(A307='Prepay vs Invest'!$B$9,'Prepay vs Invest'!$B$8,0)-Z307-AA307),0)</f>
        <v>0</v>
      </c>
      <c r="AE307">
        <f>AC307*(1+MAX(0,'Prepay vs Invest'!$B$13-'Prepay vs Invest'!$B$14)/1200)+AD307</f>
        <v>20444160.582297139</v>
      </c>
      <c r="AF307">
        <f t="shared" si="79"/>
        <v>4388572.0206063567</v>
      </c>
      <c r="AG307">
        <f>MAX(0,(AE307-AF307-'Prepay vs Invest'!$B$16)*'Prepay vs Invest'!$B$15/100)</f>
        <v>1991323.5702113477</v>
      </c>
      <c r="AH307">
        <f t="shared" si="70"/>
        <v>18452837.012085792</v>
      </c>
    </row>
    <row r="308" spans="1:34" x14ac:dyDescent="0.35">
      <c r="A308">
        <f t="shared" si="71"/>
        <v>307</v>
      </c>
      <c r="B308">
        <f>IF(A308&lt;='Prepay vs Invest'!$B$7*12,F307,0)</f>
        <v>0</v>
      </c>
      <c r="C308">
        <f>IF(B308&gt;0,B308*'Prepay vs Invest'!$B$6/1200,0)</f>
        <v>0</v>
      </c>
      <c r="D308">
        <f>IF(B308&gt;0,MIN(-PMT('Prepay vs Invest'!$B$6/1200,'Prepay vs Invest'!$B$7*12,'Prepay vs Invest'!$B$5),B308+C308),0)</f>
        <v>0</v>
      </c>
      <c r="E308">
        <f t="shared" si="64"/>
        <v>0</v>
      </c>
      <c r="F308">
        <f t="shared" si="65"/>
        <v>0</v>
      </c>
      <c r="G308">
        <f t="shared" si="72"/>
        <v>25616894.155779812</v>
      </c>
      <c r="H308">
        <f>IF(A308&lt;='Prepay vs Invest'!$B$7*12,IF(AND(A308&gt;='Prepay vs Invest'!$B$11,A308&lt;='Prepay vs Invest'!$B$12),'Prepay vs Invest'!$B$10,0)+IF(A308='Prepay vs Invest'!$B$9,'Prepay vs Invest'!$B$8,0),0)</f>
        <v>0</v>
      </c>
      <c r="I308">
        <f>G308*(1+MAX(0,'Prepay vs Invest'!$B$13-'Prepay vs Invest'!$B$14)/1200)+H308</f>
        <v>25862389.391439367</v>
      </c>
      <c r="J308">
        <f t="shared" si="73"/>
        <v>2900000</v>
      </c>
      <c r="K308">
        <f>MAX(0,(I308-J308-'Prepay vs Invest'!$B$16)*'Prepay vs Invest'!$B$15/100)</f>
        <v>2854673.6739299209</v>
      </c>
      <c r="L308">
        <f t="shared" si="66"/>
        <v>23007715.717509445</v>
      </c>
      <c r="M308">
        <f t="shared" si="74"/>
        <v>0</v>
      </c>
      <c r="N308">
        <f>IF(M308&gt;0,M308*'Prepay vs Invest'!$B$6/1200,0)</f>
        <v>0</v>
      </c>
      <c r="O308">
        <f>IF(M308&gt;0,MIN('Prepay vs Invest'!$E$5,M308+N308),0)</f>
        <v>0</v>
      </c>
      <c r="P308">
        <f>MIN(MAX(0,M308+N308-O308),IF(AND(A308&gt;='Prepay vs Invest'!$B$11,A308&lt;='Prepay vs Invest'!$B$12),'Prepay vs Invest'!$B$10,0)+IF(A308='Prepay vs Invest'!$B$9,'Prepay vs Invest'!$B$8,0))</f>
        <v>0</v>
      </c>
      <c r="Q308">
        <f t="shared" si="67"/>
        <v>0</v>
      </c>
      <c r="R308">
        <f t="shared" si="75"/>
        <v>16100154.265447563</v>
      </c>
      <c r="S308">
        <f>IF(A308&lt;='Prepay vs Invest'!$B$7*12,MAX(0,'Prepay vs Invest'!$E$5+IF(AND(A308&gt;='Prepay vs Invest'!$B$11,A308&lt;='Prepay vs Invest'!$B$12),'Prepay vs Invest'!$B$10,0)+IF(A308='Prepay vs Invest'!$B$9,'Prepay vs Invest'!$B$8,0)-O308-P308),0)</f>
        <v>0</v>
      </c>
      <c r="T308">
        <f>R308*(1+MAX(0,'Prepay vs Invest'!$B$13-'Prepay vs Invest'!$B$14)/1200)+S308</f>
        <v>16254447.410491435</v>
      </c>
      <c r="U308">
        <f t="shared" si="76"/>
        <v>6133552.3707652809</v>
      </c>
      <c r="V308">
        <f>MAX(0,(T308-U308-'Prepay vs Invest'!$B$16)*'Prepay vs Invest'!$B$15/100)</f>
        <v>1249486.8799657691</v>
      </c>
      <c r="W308">
        <f t="shared" si="68"/>
        <v>15004960.530525666</v>
      </c>
      <c r="X308">
        <f t="shared" si="77"/>
        <v>0</v>
      </c>
      <c r="Y308">
        <f>IF(X308&gt;0,X308*'Prepay vs Invest'!$B$6/1200,0)</f>
        <v>0</v>
      </c>
      <c r="Z308">
        <f>IF(X308&gt;0,MIN(-PMT('Prepay vs Invest'!$B$6/1200,'Prepay vs Invest'!$B$7*12-A308+1,X308),X308+Y308),0)</f>
        <v>0</v>
      </c>
      <c r="AA308">
        <f>MIN(MAX(0,X308+Y308-Z308),IF(AND(A308&gt;='Prepay vs Invest'!$B$11,A308&lt;='Prepay vs Invest'!$B$12),'Prepay vs Invest'!$B$10,0)+IF(A308='Prepay vs Invest'!$B$9,'Prepay vs Invest'!$B$8,0))</f>
        <v>0</v>
      </c>
      <c r="AB308">
        <f t="shared" si="69"/>
        <v>0</v>
      </c>
      <c r="AC308">
        <f t="shared" si="78"/>
        <v>20444160.582297139</v>
      </c>
      <c r="AD308">
        <f>IF(A308&lt;='Prepay vs Invest'!$B$7*12,MAX(0,'Prepay vs Invest'!$E$5+IF(AND(A308&gt;='Prepay vs Invest'!$B$11,A308&lt;='Prepay vs Invest'!$B$12),'Prepay vs Invest'!$B$10,0)+IF(A308='Prepay vs Invest'!$B$9,'Prepay vs Invest'!$B$8,0)-Z308-AA308),0)</f>
        <v>0</v>
      </c>
      <c r="AE308">
        <f>AC308*(1+MAX(0,'Prepay vs Invest'!$B$13-'Prepay vs Invest'!$B$14)/1200)+AD308</f>
        <v>20640083.787877485</v>
      </c>
      <c r="AF308">
        <f t="shared" si="79"/>
        <v>4388572.0206063567</v>
      </c>
      <c r="AG308">
        <f>MAX(0,(AE308-AF308-'Prepay vs Invest'!$B$16)*'Prepay vs Invest'!$B$15/100)</f>
        <v>2015813.9709088909</v>
      </c>
      <c r="AH308">
        <f t="shared" si="70"/>
        <v>18624269.816968594</v>
      </c>
    </row>
    <row r="309" spans="1:34" x14ac:dyDescent="0.35">
      <c r="A309">
        <f t="shared" si="71"/>
        <v>308</v>
      </c>
      <c r="B309">
        <f>IF(A309&lt;='Prepay vs Invest'!$B$7*12,F308,0)</f>
        <v>0</v>
      </c>
      <c r="C309">
        <f>IF(B309&gt;0,B309*'Prepay vs Invest'!$B$6/1200,0)</f>
        <v>0</v>
      </c>
      <c r="D309">
        <f>IF(B309&gt;0,MIN(-PMT('Prepay vs Invest'!$B$6/1200,'Prepay vs Invest'!$B$7*12,'Prepay vs Invest'!$B$5),B309+C309),0)</f>
        <v>0</v>
      </c>
      <c r="E309">
        <f t="shared" si="64"/>
        <v>0</v>
      </c>
      <c r="F309">
        <f t="shared" si="65"/>
        <v>0</v>
      </c>
      <c r="G309">
        <f t="shared" si="72"/>
        <v>25862389.391439367</v>
      </c>
      <c r="H309">
        <f>IF(A309&lt;='Prepay vs Invest'!$B$7*12,IF(AND(A309&gt;='Prepay vs Invest'!$B$11,A309&lt;='Prepay vs Invest'!$B$12),'Prepay vs Invest'!$B$10,0)+IF(A309='Prepay vs Invest'!$B$9,'Prepay vs Invest'!$B$8,0),0)</f>
        <v>0</v>
      </c>
      <c r="I309">
        <f>G309*(1+MAX(0,'Prepay vs Invest'!$B$13-'Prepay vs Invest'!$B$14)/1200)+H309</f>
        <v>26110237.289773993</v>
      </c>
      <c r="J309">
        <f t="shared" si="73"/>
        <v>2900000</v>
      </c>
      <c r="K309">
        <f>MAX(0,(I309-J309-'Prepay vs Invest'!$B$16)*'Prepay vs Invest'!$B$15/100)</f>
        <v>2885654.6612217491</v>
      </c>
      <c r="L309">
        <f t="shared" si="66"/>
        <v>23224582.628552243</v>
      </c>
      <c r="M309">
        <f t="shared" si="74"/>
        <v>0</v>
      </c>
      <c r="N309">
        <f>IF(M309&gt;0,M309*'Prepay vs Invest'!$B$6/1200,0)</f>
        <v>0</v>
      </c>
      <c r="O309">
        <f>IF(M309&gt;0,MIN('Prepay vs Invest'!$E$5,M309+N309),0)</f>
        <v>0</v>
      </c>
      <c r="P309">
        <f>MIN(MAX(0,M309+N309-O309),IF(AND(A309&gt;='Prepay vs Invest'!$B$11,A309&lt;='Prepay vs Invest'!$B$12),'Prepay vs Invest'!$B$10,0)+IF(A309='Prepay vs Invest'!$B$9,'Prepay vs Invest'!$B$8,0))</f>
        <v>0</v>
      </c>
      <c r="Q309">
        <f t="shared" si="67"/>
        <v>0</v>
      </c>
      <c r="R309">
        <f t="shared" si="75"/>
        <v>16254447.410491435</v>
      </c>
      <c r="S309">
        <f>IF(A309&lt;='Prepay vs Invest'!$B$7*12,MAX(0,'Prepay vs Invest'!$E$5+IF(AND(A309&gt;='Prepay vs Invest'!$B$11,A309&lt;='Prepay vs Invest'!$B$12),'Prepay vs Invest'!$B$10,0)+IF(A309='Prepay vs Invest'!$B$9,'Prepay vs Invest'!$B$8,0)-O309-P309),0)</f>
        <v>0</v>
      </c>
      <c r="T309">
        <f>R309*(1+MAX(0,'Prepay vs Invest'!$B$13-'Prepay vs Invest'!$B$14)/1200)+S309</f>
        <v>16410219.198175311</v>
      </c>
      <c r="U309">
        <f t="shared" si="76"/>
        <v>6133552.3707652809</v>
      </c>
      <c r="V309">
        <f>MAX(0,(T309-U309-'Prepay vs Invest'!$B$16)*'Prepay vs Invest'!$B$15/100)</f>
        <v>1268958.3534262539</v>
      </c>
      <c r="W309">
        <f t="shared" si="68"/>
        <v>15141260.844749058</v>
      </c>
      <c r="X309">
        <f t="shared" si="77"/>
        <v>0</v>
      </c>
      <c r="Y309">
        <f>IF(X309&gt;0,X309*'Prepay vs Invest'!$B$6/1200,0)</f>
        <v>0</v>
      </c>
      <c r="Z309">
        <f>IF(X309&gt;0,MIN(-PMT('Prepay vs Invest'!$B$6/1200,'Prepay vs Invest'!$B$7*12-A309+1,X309),X309+Y309),0)</f>
        <v>0</v>
      </c>
      <c r="AA309">
        <f>MIN(MAX(0,X309+Y309-Z309),IF(AND(A309&gt;='Prepay vs Invest'!$B$11,A309&lt;='Prepay vs Invest'!$B$12),'Prepay vs Invest'!$B$10,0)+IF(A309='Prepay vs Invest'!$B$9,'Prepay vs Invest'!$B$8,0))</f>
        <v>0</v>
      </c>
      <c r="AB309">
        <f t="shared" si="69"/>
        <v>0</v>
      </c>
      <c r="AC309">
        <f t="shared" si="78"/>
        <v>20640083.787877485</v>
      </c>
      <c r="AD309">
        <f>IF(A309&lt;='Prepay vs Invest'!$B$7*12,MAX(0,'Prepay vs Invest'!$E$5+IF(AND(A309&gt;='Prepay vs Invest'!$B$11,A309&lt;='Prepay vs Invest'!$B$12),'Prepay vs Invest'!$B$10,0)+IF(A309='Prepay vs Invest'!$B$9,'Prepay vs Invest'!$B$8,0)-Z309-AA309),0)</f>
        <v>0</v>
      </c>
      <c r="AE309">
        <f>AC309*(1+MAX(0,'Prepay vs Invest'!$B$13-'Prepay vs Invest'!$B$14)/1200)+AD309</f>
        <v>20837884.590844642</v>
      </c>
      <c r="AF309">
        <f t="shared" si="79"/>
        <v>4388572.0206063567</v>
      </c>
      <c r="AG309">
        <f>MAX(0,(AE309-AF309-'Prepay vs Invest'!$B$16)*'Prepay vs Invest'!$B$15/100)</f>
        <v>2040539.0712797856</v>
      </c>
      <c r="AH309">
        <f t="shared" si="70"/>
        <v>18797345.519564856</v>
      </c>
    </row>
    <row r="310" spans="1:34" x14ac:dyDescent="0.35">
      <c r="A310">
        <f t="shared" si="71"/>
        <v>309</v>
      </c>
      <c r="B310">
        <f>IF(A310&lt;='Prepay vs Invest'!$B$7*12,F309,0)</f>
        <v>0</v>
      </c>
      <c r="C310">
        <f>IF(B310&gt;0,B310*'Prepay vs Invest'!$B$6/1200,0)</f>
        <v>0</v>
      </c>
      <c r="D310">
        <f>IF(B310&gt;0,MIN(-PMT('Prepay vs Invest'!$B$6/1200,'Prepay vs Invest'!$B$7*12,'Prepay vs Invest'!$B$5),B310+C310),0)</f>
        <v>0</v>
      </c>
      <c r="E310">
        <f t="shared" si="64"/>
        <v>0</v>
      </c>
      <c r="F310">
        <f t="shared" si="65"/>
        <v>0</v>
      </c>
      <c r="G310">
        <f t="shared" si="72"/>
        <v>26110237.289773993</v>
      </c>
      <c r="H310">
        <f>IF(A310&lt;='Prepay vs Invest'!$B$7*12,IF(AND(A310&gt;='Prepay vs Invest'!$B$11,A310&lt;='Prepay vs Invest'!$B$12),'Prepay vs Invest'!$B$10,0)+IF(A310='Prepay vs Invest'!$B$9,'Prepay vs Invest'!$B$8,0),0)</f>
        <v>0</v>
      </c>
      <c r="I310">
        <f>G310*(1+MAX(0,'Prepay vs Invest'!$B$13-'Prepay vs Invest'!$B$14)/1200)+H310</f>
        <v>26360460.397134326</v>
      </c>
      <c r="J310">
        <f t="shared" si="73"/>
        <v>2900000</v>
      </c>
      <c r="K310">
        <f>MAX(0,(I310-J310-'Prepay vs Invest'!$B$16)*'Prepay vs Invest'!$B$15/100)</f>
        <v>2916932.5496417908</v>
      </c>
      <c r="L310">
        <f t="shared" si="66"/>
        <v>23443527.847492535</v>
      </c>
      <c r="M310">
        <f t="shared" si="74"/>
        <v>0</v>
      </c>
      <c r="N310">
        <f>IF(M310&gt;0,M310*'Prepay vs Invest'!$B$6/1200,0)</f>
        <v>0</v>
      </c>
      <c r="O310">
        <f>IF(M310&gt;0,MIN('Prepay vs Invest'!$E$5,M310+N310),0)</f>
        <v>0</v>
      </c>
      <c r="P310">
        <f>MIN(MAX(0,M310+N310-O310),IF(AND(A310&gt;='Prepay vs Invest'!$B$11,A310&lt;='Prepay vs Invest'!$B$12),'Prepay vs Invest'!$B$10,0)+IF(A310='Prepay vs Invest'!$B$9,'Prepay vs Invest'!$B$8,0))</f>
        <v>0</v>
      </c>
      <c r="Q310">
        <f t="shared" si="67"/>
        <v>0</v>
      </c>
      <c r="R310">
        <f t="shared" si="75"/>
        <v>16410219.198175311</v>
      </c>
      <c r="S310">
        <f>IF(A310&lt;='Prepay vs Invest'!$B$7*12,MAX(0,'Prepay vs Invest'!$E$5+IF(AND(A310&gt;='Prepay vs Invest'!$B$11,A310&lt;='Prepay vs Invest'!$B$12),'Prepay vs Invest'!$B$10,0)+IF(A310='Prepay vs Invest'!$B$9,'Prepay vs Invest'!$B$8,0)-O310-P310),0)</f>
        <v>0</v>
      </c>
      <c r="T310">
        <f>R310*(1+MAX(0,'Prepay vs Invest'!$B$13-'Prepay vs Invest'!$B$14)/1200)+S310</f>
        <v>16567483.798824491</v>
      </c>
      <c r="U310">
        <f t="shared" si="76"/>
        <v>6133552.3707652809</v>
      </c>
      <c r="V310">
        <f>MAX(0,(T310-U310-'Prepay vs Invest'!$B$16)*'Prepay vs Invest'!$B$15/100)</f>
        <v>1288616.4285074011</v>
      </c>
      <c r="W310">
        <f t="shared" si="68"/>
        <v>15278867.37031709</v>
      </c>
      <c r="X310">
        <f t="shared" si="77"/>
        <v>0</v>
      </c>
      <c r="Y310">
        <f>IF(X310&gt;0,X310*'Prepay vs Invest'!$B$6/1200,0)</f>
        <v>0</v>
      </c>
      <c r="Z310">
        <f>IF(X310&gt;0,MIN(-PMT('Prepay vs Invest'!$B$6/1200,'Prepay vs Invest'!$B$7*12-A310+1,X310),X310+Y310),0)</f>
        <v>0</v>
      </c>
      <c r="AA310">
        <f>MIN(MAX(0,X310+Y310-Z310),IF(AND(A310&gt;='Prepay vs Invest'!$B$11,A310&lt;='Prepay vs Invest'!$B$12),'Prepay vs Invest'!$B$10,0)+IF(A310='Prepay vs Invest'!$B$9,'Prepay vs Invest'!$B$8,0))</f>
        <v>0</v>
      </c>
      <c r="AB310">
        <f t="shared" si="69"/>
        <v>0</v>
      </c>
      <c r="AC310">
        <f t="shared" si="78"/>
        <v>20837884.590844642</v>
      </c>
      <c r="AD310">
        <f>IF(A310&lt;='Prepay vs Invest'!$B$7*12,MAX(0,'Prepay vs Invest'!$E$5+IF(AND(A310&gt;='Prepay vs Invest'!$B$11,A310&lt;='Prepay vs Invest'!$B$12),'Prepay vs Invest'!$B$10,0)+IF(A310='Prepay vs Invest'!$B$9,'Prepay vs Invest'!$B$8,0)-Z310-AA310),0)</f>
        <v>0</v>
      </c>
      <c r="AE310">
        <f>AC310*(1+MAX(0,'Prepay vs Invest'!$B$13-'Prepay vs Invest'!$B$14)/1200)+AD310</f>
        <v>21037580.984840237</v>
      </c>
      <c r="AF310">
        <f t="shared" si="79"/>
        <v>4388572.0206063567</v>
      </c>
      <c r="AG310">
        <f>MAX(0,(AE310-AF310-'Prepay vs Invest'!$B$16)*'Prepay vs Invest'!$B$15/100)</f>
        <v>2065501.1205292351</v>
      </c>
      <c r="AH310">
        <f t="shared" si="70"/>
        <v>18972079.864311002</v>
      </c>
    </row>
    <row r="311" spans="1:34" x14ac:dyDescent="0.35">
      <c r="A311">
        <f t="shared" si="71"/>
        <v>310</v>
      </c>
      <c r="B311">
        <f>IF(A311&lt;='Prepay vs Invest'!$B$7*12,F310,0)</f>
        <v>0</v>
      </c>
      <c r="C311">
        <f>IF(B311&gt;0,B311*'Prepay vs Invest'!$B$6/1200,0)</f>
        <v>0</v>
      </c>
      <c r="D311">
        <f>IF(B311&gt;0,MIN(-PMT('Prepay vs Invest'!$B$6/1200,'Prepay vs Invest'!$B$7*12,'Prepay vs Invest'!$B$5),B311+C311),0)</f>
        <v>0</v>
      </c>
      <c r="E311">
        <f t="shared" si="64"/>
        <v>0</v>
      </c>
      <c r="F311">
        <f t="shared" si="65"/>
        <v>0</v>
      </c>
      <c r="G311">
        <f t="shared" si="72"/>
        <v>26360460.397134326</v>
      </c>
      <c r="H311">
        <f>IF(A311&lt;='Prepay vs Invest'!$B$7*12,IF(AND(A311&gt;='Prepay vs Invest'!$B$11,A311&lt;='Prepay vs Invest'!$B$12),'Prepay vs Invest'!$B$10,0)+IF(A311='Prepay vs Invest'!$B$9,'Prepay vs Invest'!$B$8,0),0)</f>
        <v>0</v>
      </c>
      <c r="I311">
        <f>G311*(1+MAX(0,'Prepay vs Invest'!$B$13-'Prepay vs Invest'!$B$14)/1200)+H311</f>
        <v>26613081.475940194</v>
      </c>
      <c r="J311">
        <f t="shared" si="73"/>
        <v>2900000</v>
      </c>
      <c r="K311">
        <f>MAX(0,(I311-J311-'Prepay vs Invest'!$B$16)*'Prepay vs Invest'!$B$15/100)</f>
        <v>2948510.1844925242</v>
      </c>
      <c r="L311">
        <f t="shared" si="66"/>
        <v>23664571.291447669</v>
      </c>
      <c r="M311">
        <f t="shared" si="74"/>
        <v>0</v>
      </c>
      <c r="N311">
        <f>IF(M311&gt;0,M311*'Prepay vs Invest'!$B$6/1200,0)</f>
        <v>0</v>
      </c>
      <c r="O311">
        <f>IF(M311&gt;0,MIN('Prepay vs Invest'!$E$5,M311+N311),0)</f>
        <v>0</v>
      </c>
      <c r="P311">
        <f>MIN(MAX(0,M311+N311-O311),IF(AND(A311&gt;='Prepay vs Invest'!$B$11,A311&lt;='Prepay vs Invest'!$B$12),'Prepay vs Invest'!$B$10,0)+IF(A311='Prepay vs Invest'!$B$9,'Prepay vs Invest'!$B$8,0))</f>
        <v>0</v>
      </c>
      <c r="Q311">
        <f t="shared" si="67"/>
        <v>0</v>
      </c>
      <c r="R311">
        <f t="shared" si="75"/>
        <v>16567483.798824491</v>
      </c>
      <c r="S311">
        <f>IF(A311&lt;='Prepay vs Invest'!$B$7*12,MAX(0,'Prepay vs Invest'!$E$5+IF(AND(A311&gt;='Prepay vs Invest'!$B$11,A311&lt;='Prepay vs Invest'!$B$12),'Prepay vs Invest'!$B$10,0)+IF(A311='Prepay vs Invest'!$B$9,'Prepay vs Invest'!$B$8,0)-O311-P311),0)</f>
        <v>0</v>
      </c>
      <c r="T311">
        <f>R311*(1+MAX(0,'Prepay vs Invest'!$B$13-'Prepay vs Invest'!$B$14)/1200)+S311</f>
        <v>16726255.518563224</v>
      </c>
      <c r="U311">
        <f t="shared" si="76"/>
        <v>6133552.3707652809</v>
      </c>
      <c r="V311">
        <f>MAX(0,(T311-U311-'Prepay vs Invest'!$B$16)*'Prepay vs Invest'!$B$15/100)</f>
        <v>1308462.8934747428</v>
      </c>
      <c r="W311">
        <f t="shared" si="68"/>
        <v>15417792.625088481</v>
      </c>
      <c r="X311">
        <f t="shared" si="77"/>
        <v>0</v>
      </c>
      <c r="Y311">
        <f>IF(X311&gt;0,X311*'Prepay vs Invest'!$B$6/1200,0)</f>
        <v>0</v>
      </c>
      <c r="Z311">
        <f>IF(X311&gt;0,MIN(-PMT('Prepay vs Invest'!$B$6/1200,'Prepay vs Invest'!$B$7*12-A311+1,X311),X311+Y311),0)</f>
        <v>0</v>
      </c>
      <c r="AA311">
        <f>MIN(MAX(0,X311+Y311-Z311),IF(AND(A311&gt;='Prepay vs Invest'!$B$11,A311&lt;='Prepay vs Invest'!$B$12),'Prepay vs Invest'!$B$10,0)+IF(A311='Prepay vs Invest'!$B$9,'Prepay vs Invest'!$B$8,0))</f>
        <v>0</v>
      </c>
      <c r="AB311">
        <f t="shared" si="69"/>
        <v>0</v>
      </c>
      <c r="AC311">
        <f t="shared" si="78"/>
        <v>21037580.984840237</v>
      </c>
      <c r="AD311">
        <f>IF(A311&lt;='Prepay vs Invest'!$B$7*12,MAX(0,'Prepay vs Invest'!$E$5+IF(AND(A311&gt;='Prepay vs Invest'!$B$11,A311&lt;='Prepay vs Invest'!$B$12),'Prepay vs Invest'!$B$10,0)+IF(A311='Prepay vs Invest'!$B$9,'Prepay vs Invest'!$B$8,0)-Z311-AA311),0)</f>
        <v>0</v>
      </c>
      <c r="AE311">
        <f>AC311*(1+MAX(0,'Prepay vs Invest'!$B$13-'Prepay vs Invest'!$B$14)/1200)+AD311</f>
        <v>21239191.135944955</v>
      </c>
      <c r="AF311">
        <f t="shared" si="79"/>
        <v>4388572.0206063567</v>
      </c>
      <c r="AG311">
        <f>MAX(0,(AE311-AF311-'Prepay vs Invest'!$B$16)*'Prepay vs Invest'!$B$15/100)</f>
        <v>2090702.3894173247</v>
      </c>
      <c r="AH311">
        <f t="shared" si="70"/>
        <v>19148488.746527631</v>
      </c>
    </row>
    <row r="312" spans="1:34" x14ac:dyDescent="0.35">
      <c r="A312">
        <f t="shared" si="71"/>
        <v>311</v>
      </c>
      <c r="B312">
        <f>IF(A312&lt;='Prepay vs Invest'!$B$7*12,F311,0)</f>
        <v>0</v>
      </c>
      <c r="C312">
        <f>IF(B312&gt;0,B312*'Prepay vs Invest'!$B$6/1200,0)</f>
        <v>0</v>
      </c>
      <c r="D312">
        <f>IF(B312&gt;0,MIN(-PMT('Prepay vs Invest'!$B$6/1200,'Prepay vs Invest'!$B$7*12,'Prepay vs Invest'!$B$5),B312+C312),0)</f>
        <v>0</v>
      </c>
      <c r="E312">
        <f t="shared" si="64"/>
        <v>0</v>
      </c>
      <c r="F312">
        <f t="shared" si="65"/>
        <v>0</v>
      </c>
      <c r="G312">
        <f t="shared" si="72"/>
        <v>26613081.475940194</v>
      </c>
      <c r="H312">
        <f>IF(A312&lt;='Prepay vs Invest'!$B$7*12,IF(AND(A312&gt;='Prepay vs Invest'!$B$11,A312&lt;='Prepay vs Invest'!$B$12),'Prepay vs Invest'!$B$10,0)+IF(A312='Prepay vs Invest'!$B$9,'Prepay vs Invest'!$B$8,0),0)</f>
        <v>0</v>
      </c>
      <c r="I312">
        <f>G312*(1+MAX(0,'Prepay vs Invest'!$B$13-'Prepay vs Invest'!$B$14)/1200)+H312</f>
        <v>26868123.506751288</v>
      </c>
      <c r="J312">
        <f t="shared" si="73"/>
        <v>2900000</v>
      </c>
      <c r="K312">
        <f>MAX(0,(I312-J312-'Prepay vs Invest'!$B$16)*'Prepay vs Invest'!$B$15/100)</f>
        <v>2980390.438343911</v>
      </c>
      <c r="L312">
        <f t="shared" si="66"/>
        <v>23887733.068407375</v>
      </c>
      <c r="M312">
        <f t="shared" si="74"/>
        <v>0</v>
      </c>
      <c r="N312">
        <f>IF(M312&gt;0,M312*'Prepay vs Invest'!$B$6/1200,0)</f>
        <v>0</v>
      </c>
      <c r="O312">
        <f>IF(M312&gt;0,MIN('Prepay vs Invest'!$E$5,M312+N312),0)</f>
        <v>0</v>
      </c>
      <c r="P312">
        <f>MIN(MAX(0,M312+N312-O312),IF(AND(A312&gt;='Prepay vs Invest'!$B$11,A312&lt;='Prepay vs Invest'!$B$12),'Prepay vs Invest'!$B$10,0)+IF(A312='Prepay vs Invest'!$B$9,'Prepay vs Invest'!$B$8,0))</f>
        <v>0</v>
      </c>
      <c r="Q312">
        <f t="shared" si="67"/>
        <v>0</v>
      </c>
      <c r="R312">
        <f t="shared" si="75"/>
        <v>16726255.518563224</v>
      </c>
      <c r="S312">
        <f>IF(A312&lt;='Prepay vs Invest'!$B$7*12,MAX(0,'Prepay vs Invest'!$E$5+IF(AND(A312&gt;='Prepay vs Invest'!$B$11,A312&lt;='Prepay vs Invest'!$B$12),'Prepay vs Invest'!$B$10,0)+IF(A312='Prepay vs Invest'!$B$9,'Prepay vs Invest'!$B$8,0)-O312-P312),0)</f>
        <v>0</v>
      </c>
      <c r="T312">
        <f>R312*(1+MAX(0,'Prepay vs Invest'!$B$13-'Prepay vs Invest'!$B$14)/1200)+S312</f>
        <v>16886548.800616119</v>
      </c>
      <c r="U312">
        <f t="shared" si="76"/>
        <v>6133552.3707652809</v>
      </c>
      <c r="V312">
        <f>MAX(0,(T312-U312-'Prepay vs Invest'!$B$16)*'Prepay vs Invest'!$B$15/100)</f>
        <v>1328499.5537313549</v>
      </c>
      <c r="W312">
        <f t="shared" si="68"/>
        <v>15558049.246884763</v>
      </c>
      <c r="X312">
        <f t="shared" si="77"/>
        <v>0</v>
      </c>
      <c r="Y312">
        <f>IF(X312&gt;0,X312*'Prepay vs Invest'!$B$6/1200,0)</f>
        <v>0</v>
      </c>
      <c r="Z312">
        <f>IF(X312&gt;0,MIN(-PMT('Prepay vs Invest'!$B$6/1200,'Prepay vs Invest'!$B$7*12-A312+1,X312),X312+Y312),0)</f>
        <v>0</v>
      </c>
      <c r="AA312">
        <f>MIN(MAX(0,X312+Y312-Z312),IF(AND(A312&gt;='Prepay vs Invest'!$B$11,A312&lt;='Prepay vs Invest'!$B$12),'Prepay vs Invest'!$B$10,0)+IF(A312='Prepay vs Invest'!$B$9,'Prepay vs Invest'!$B$8,0))</f>
        <v>0</v>
      </c>
      <c r="AB312">
        <f t="shared" si="69"/>
        <v>0</v>
      </c>
      <c r="AC312">
        <f t="shared" si="78"/>
        <v>21239191.135944955</v>
      </c>
      <c r="AD312">
        <f>IF(A312&lt;='Prepay vs Invest'!$B$7*12,MAX(0,'Prepay vs Invest'!$E$5+IF(AND(A312&gt;='Prepay vs Invest'!$B$11,A312&lt;='Prepay vs Invest'!$B$12),'Prepay vs Invest'!$B$10,0)+IF(A312='Prepay vs Invest'!$B$9,'Prepay vs Invest'!$B$8,0)-Z312-AA312),0)</f>
        <v>0</v>
      </c>
      <c r="AE312">
        <f>AC312*(1+MAX(0,'Prepay vs Invest'!$B$13-'Prepay vs Invest'!$B$14)/1200)+AD312</f>
        <v>21442733.384331092</v>
      </c>
      <c r="AF312">
        <f t="shared" si="79"/>
        <v>4388572.0206063567</v>
      </c>
      <c r="AG312">
        <f>MAX(0,(AE312-AF312-'Prepay vs Invest'!$B$16)*'Prepay vs Invest'!$B$15/100)</f>
        <v>2116145.1704655918</v>
      </c>
      <c r="AH312">
        <f t="shared" si="70"/>
        <v>19326588.2138655</v>
      </c>
    </row>
    <row r="313" spans="1:34" x14ac:dyDescent="0.35">
      <c r="A313">
        <f t="shared" si="71"/>
        <v>312</v>
      </c>
      <c r="B313">
        <f>IF(A313&lt;='Prepay vs Invest'!$B$7*12,F312,0)</f>
        <v>0</v>
      </c>
      <c r="C313">
        <f>IF(B313&gt;0,B313*'Prepay vs Invest'!$B$6/1200,0)</f>
        <v>0</v>
      </c>
      <c r="D313">
        <f>IF(B313&gt;0,MIN(-PMT('Prepay vs Invest'!$B$6/1200,'Prepay vs Invest'!$B$7*12,'Prepay vs Invest'!$B$5),B313+C313),0)</f>
        <v>0</v>
      </c>
      <c r="E313">
        <f t="shared" si="64"/>
        <v>0</v>
      </c>
      <c r="F313">
        <f t="shared" si="65"/>
        <v>0</v>
      </c>
      <c r="G313">
        <f t="shared" si="72"/>
        <v>26868123.506751288</v>
      </c>
      <c r="H313">
        <f>IF(A313&lt;='Prepay vs Invest'!$B$7*12,IF(AND(A313&gt;='Prepay vs Invest'!$B$11,A313&lt;='Prepay vs Invest'!$B$12),'Prepay vs Invest'!$B$10,0)+IF(A313='Prepay vs Invest'!$B$9,'Prepay vs Invest'!$B$8,0),0)</f>
        <v>0</v>
      </c>
      <c r="I313">
        <f>G313*(1+MAX(0,'Prepay vs Invest'!$B$13-'Prepay vs Invest'!$B$14)/1200)+H313</f>
        <v>27125609.690357652</v>
      </c>
      <c r="J313">
        <f t="shared" si="73"/>
        <v>2900000</v>
      </c>
      <c r="K313">
        <f>MAX(0,(I313-J313-'Prepay vs Invest'!$B$16)*'Prepay vs Invest'!$B$15/100)</f>
        <v>3012576.2112947064</v>
      </c>
      <c r="L313">
        <f t="shared" si="66"/>
        <v>24113033.479062945</v>
      </c>
      <c r="M313">
        <f t="shared" si="74"/>
        <v>0</v>
      </c>
      <c r="N313">
        <f>IF(M313&gt;0,M313*'Prepay vs Invest'!$B$6/1200,0)</f>
        <v>0</v>
      </c>
      <c r="O313">
        <f>IF(M313&gt;0,MIN('Prepay vs Invest'!$E$5,M313+N313),0)</f>
        <v>0</v>
      </c>
      <c r="P313">
        <f>MIN(MAX(0,M313+N313-O313),IF(AND(A313&gt;='Prepay vs Invest'!$B$11,A313&lt;='Prepay vs Invest'!$B$12),'Prepay vs Invest'!$B$10,0)+IF(A313='Prepay vs Invest'!$B$9,'Prepay vs Invest'!$B$8,0))</f>
        <v>0</v>
      </c>
      <c r="Q313">
        <f t="shared" si="67"/>
        <v>0</v>
      </c>
      <c r="R313">
        <f t="shared" si="75"/>
        <v>16886548.800616119</v>
      </c>
      <c r="S313">
        <f>IF(A313&lt;='Prepay vs Invest'!$B$7*12,MAX(0,'Prepay vs Invest'!$E$5+IF(AND(A313&gt;='Prepay vs Invest'!$B$11,A313&lt;='Prepay vs Invest'!$B$12),'Prepay vs Invest'!$B$10,0)+IF(A313='Prepay vs Invest'!$B$9,'Prepay vs Invest'!$B$8,0)-O313-P313),0)</f>
        <v>0</v>
      </c>
      <c r="T313">
        <f>R313*(1+MAX(0,'Prepay vs Invest'!$B$13-'Prepay vs Invest'!$B$14)/1200)+S313</f>
        <v>17048378.226622023</v>
      </c>
      <c r="U313">
        <f t="shared" si="76"/>
        <v>6133552.3707652809</v>
      </c>
      <c r="V313">
        <f>MAX(0,(T313-U313-'Prepay vs Invest'!$B$16)*'Prepay vs Invest'!$B$15/100)</f>
        <v>1348728.2319820928</v>
      </c>
      <c r="W313">
        <f t="shared" si="68"/>
        <v>15699649.994639929</v>
      </c>
      <c r="X313">
        <f t="shared" si="77"/>
        <v>0</v>
      </c>
      <c r="Y313">
        <f>IF(X313&gt;0,X313*'Prepay vs Invest'!$B$6/1200,0)</f>
        <v>0</v>
      </c>
      <c r="Z313">
        <f>IF(X313&gt;0,MIN(-PMT('Prepay vs Invest'!$B$6/1200,'Prepay vs Invest'!$B$7*12-A313+1,X313),X313+Y313),0)</f>
        <v>0</v>
      </c>
      <c r="AA313">
        <f>MIN(MAX(0,X313+Y313-Z313),IF(AND(A313&gt;='Prepay vs Invest'!$B$11,A313&lt;='Prepay vs Invest'!$B$12),'Prepay vs Invest'!$B$10,0)+IF(A313='Prepay vs Invest'!$B$9,'Prepay vs Invest'!$B$8,0))</f>
        <v>0</v>
      </c>
      <c r="AB313">
        <f t="shared" si="69"/>
        <v>0</v>
      </c>
      <c r="AC313">
        <f t="shared" si="78"/>
        <v>21442733.384331092</v>
      </c>
      <c r="AD313">
        <f>IF(A313&lt;='Prepay vs Invest'!$B$7*12,MAX(0,'Prepay vs Invest'!$E$5+IF(AND(A313&gt;='Prepay vs Invest'!$B$11,A313&lt;='Prepay vs Invest'!$B$12),'Prepay vs Invest'!$B$10,0)+IF(A313='Prepay vs Invest'!$B$9,'Prepay vs Invest'!$B$8,0)-Z313-AA313),0)</f>
        <v>0</v>
      </c>
      <c r="AE313">
        <f>AC313*(1+MAX(0,'Prepay vs Invest'!$B$13-'Prepay vs Invest'!$B$14)/1200)+AD313</f>
        <v>21648226.245930932</v>
      </c>
      <c r="AF313">
        <f t="shared" si="79"/>
        <v>4388572.0206063567</v>
      </c>
      <c r="AG313">
        <f>MAX(0,(AE313-AF313-'Prepay vs Invest'!$B$16)*'Prepay vs Invest'!$B$15/100)</f>
        <v>2141831.7781655719</v>
      </c>
      <c r="AH313">
        <f t="shared" si="70"/>
        <v>19506394.467765361</v>
      </c>
    </row>
    <row r="314" spans="1:34" x14ac:dyDescent="0.35">
      <c r="A314">
        <f t="shared" si="71"/>
        <v>313</v>
      </c>
      <c r="B314">
        <f>IF(A314&lt;='Prepay vs Invest'!$B$7*12,F313,0)</f>
        <v>0</v>
      </c>
      <c r="C314">
        <f>IF(B314&gt;0,B314*'Prepay vs Invest'!$B$6/1200,0)</f>
        <v>0</v>
      </c>
      <c r="D314">
        <f>IF(B314&gt;0,MIN(-PMT('Prepay vs Invest'!$B$6/1200,'Prepay vs Invest'!$B$7*12,'Prepay vs Invest'!$B$5),B314+C314),0)</f>
        <v>0</v>
      </c>
      <c r="E314">
        <f t="shared" si="64"/>
        <v>0</v>
      </c>
      <c r="F314">
        <f t="shared" si="65"/>
        <v>0</v>
      </c>
      <c r="G314">
        <f t="shared" si="72"/>
        <v>27125609.690357652</v>
      </c>
      <c r="H314">
        <f>IF(A314&lt;='Prepay vs Invest'!$B$7*12,IF(AND(A314&gt;='Prepay vs Invest'!$B$11,A314&lt;='Prepay vs Invest'!$B$12),'Prepay vs Invest'!$B$10,0)+IF(A314='Prepay vs Invest'!$B$9,'Prepay vs Invest'!$B$8,0),0)</f>
        <v>0</v>
      </c>
      <c r="I314">
        <f>G314*(1+MAX(0,'Prepay vs Invest'!$B$13-'Prepay vs Invest'!$B$14)/1200)+H314</f>
        <v>27385563.449890245</v>
      </c>
      <c r="J314">
        <f t="shared" si="73"/>
        <v>2900000</v>
      </c>
      <c r="K314">
        <f>MAX(0,(I314-J314-'Prepay vs Invest'!$B$16)*'Prepay vs Invest'!$B$15/100)</f>
        <v>3045070.4312362806</v>
      </c>
      <c r="L314">
        <f t="shared" si="66"/>
        <v>24340493.018653963</v>
      </c>
      <c r="M314">
        <f t="shared" si="74"/>
        <v>0</v>
      </c>
      <c r="N314">
        <f>IF(M314&gt;0,M314*'Prepay vs Invest'!$B$6/1200,0)</f>
        <v>0</v>
      </c>
      <c r="O314">
        <f>IF(M314&gt;0,MIN('Prepay vs Invest'!$E$5,M314+N314),0)</f>
        <v>0</v>
      </c>
      <c r="P314">
        <f>MIN(MAX(0,M314+N314-O314),IF(AND(A314&gt;='Prepay vs Invest'!$B$11,A314&lt;='Prepay vs Invest'!$B$12),'Prepay vs Invest'!$B$10,0)+IF(A314='Prepay vs Invest'!$B$9,'Prepay vs Invest'!$B$8,0))</f>
        <v>0</v>
      </c>
      <c r="Q314">
        <f t="shared" si="67"/>
        <v>0</v>
      </c>
      <c r="R314">
        <f t="shared" si="75"/>
        <v>17048378.226622023</v>
      </c>
      <c r="S314">
        <f>IF(A314&lt;='Prepay vs Invest'!$B$7*12,MAX(0,'Prepay vs Invest'!$E$5+IF(AND(A314&gt;='Prepay vs Invest'!$B$11,A314&lt;='Prepay vs Invest'!$B$12),'Prepay vs Invest'!$B$10,0)+IF(A314='Prepay vs Invest'!$B$9,'Prepay vs Invest'!$B$8,0)-O314-P314),0)</f>
        <v>0</v>
      </c>
      <c r="T314">
        <f>R314*(1+MAX(0,'Prepay vs Invest'!$B$13-'Prepay vs Invest'!$B$14)/1200)+S314</f>
        <v>17211758.517960481</v>
      </c>
      <c r="U314">
        <f t="shared" si="76"/>
        <v>6133552.3707652809</v>
      </c>
      <c r="V314">
        <f>MAX(0,(T314-U314-'Prepay vs Invest'!$B$16)*'Prepay vs Invest'!$B$15/100)</f>
        <v>1369150.7683994002</v>
      </c>
      <c r="W314">
        <f t="shared" si="68"/>
        <v>15842607.749561081</v>
      </c>
      <c r="X314">
        <f t="shared" si="77"/>
        <v>0</v>
      </c>
      <c r="Y314">
        <f>IF(X314&gt;0,X314*'Prepay vs Invest'!$B$6/1200,0)</f>
        <v>0</v>
      </c>
      <c r="Z314">
        <f>IF(X314&gt;0,MIN(-PMT('Prepay vs Invest'!$B$6/1200,'Prepay vs Invest'!$B$7*12-A314+1,X314),X314+Y314),0)</f>
        <v>0</v>
      </c>
      <c r="AA314">
        <f>MIN(MAX(0,X314+Y314-Z314),IF(AND(A314&gt;='Prepay vs Invest'!$B$11,A314&lt;='Prepay vs Invest'!$B$12),'Prepay vs Invest'!$B$10,0)+IF(A314='Prepay vs Invest'!$B$9,'Prepay vs Invest'!$B$8,0))</f>
        <v>0</v>
      </c>
      <c r="AB314">
        <f t="shared" si="69"/>
        <v>0</v>
      </c>
      <c r="AC314">
        <f t="shared" si="78"/>
        <v>21648226.245930932</v>
      </c>
      <c r="AD314">
        <f>IF(A314&lt;='Prepay vs Invest'!$B$7*12,MAX(0,'Prepay vs Invest'!$E$5+IF(AND(A314&gt;='Prepay vs Invest'!$B$11,A314&lt;='Prepay vs Invest'!$B$12),'Prepay vs Invest'!$B$10,0)+IF(A314='Prepay vs Invest'!$B$9,'Prepay vs Invest'!$B$8,0)-Z314-AA314),0)</f>
        <v>0</v>
      </c>
      <c r="AE314">
        <f>AC314*(1+MAX(0,'Prepay vs Invest'!$B$13-'Prepay vs Invest'!$B$14)/1200)+AD314</f>
        <v>21855688.414121103</v>
      </c>
      <c r="AF314">
        <f t="shared" si="79"/>
        <v>4388572.0206063567</v>
      </c>
      <c r="AG314">
        <f>MAX(0,(AE314-AF314-'Prepay vs Invest'!$B$16)*'Prepay vs Invest'!$B$15/100)</f>
        <v>2167764.5491893431</v>
      </c>
      <c r="AH314">
        <f t="shared" si="70"/>
        <v>19687923.864931758</v>
      </c>
    </row>
    <row r="315" spans="1:34" x14ac:dyDescent="0.35">
      <c r="A315">
        <f t="shared" si="71"/>
        <v>314</v>
      </c>
      <c r="B315">
        <f>IF(A315&lt;='Prepay vs Invest'!$B$7*12,F314,0)</f>
        <v>0</v>
      </c>
      <c r="C315">
        <f>IF(B315&gt;0,B315*'Prepay vs Invest'!$B$6/1200,0)</f>
        <v>0</v>
      </c>
      <c r="D315">
        <f>IF(B315&gt;0,MIN(-PMT('Prepay vs Invest'!$B$6/1200,'Prepay vs Invest'!$B$7*12,'Prepay vs Invest'!$B$5),B315+C315),0)</f>
        <v>0</v>
      </c>
      <c r="E315">
        <f t="shared" si="64"/>
        <v>0</v>
      </c>
      <c r="F315">
        <f t="shared" si="65"/>
        <v>0</v>
      </c>
      <c r="G315">
        <f t="shared" si="72"/>
        <v>27385563.449890245</v>
      </c>
      <c r="H315">
        <f>IF(A315&lt;='Prepay vs Invest'!$B$7*12,IF(AND(A315&gt;='Prepay vs Invest'!$B$11,A315&lt;='Prepay vs Invest'!$B$12),'Prepay vs Invest'!$B$10,0)+IF(A315='Prepay vs Invest'!$B$9,'Prepay vs Invest'!$B$8,0),0)</f>
        <v>0</v>
      </c>
      <c r="I315">
        <f>G315*(1+MAX(0,'Prepay vs Invest'!$B$13-'Prepay vs Invest'!$B$14)/1200)+H315</f>
        <v>27648008.432951692</v>
      </c>
      <c r="J315">
        <f t="shared" si="73"/>
        <v>2900000</v>
      </c>
      <c r="K315">
        <f>MAX(0,(I315-J315-'Prepay vs Invest'!$B$16)*'Prepay vs Invest'!$B$15/100)</f>
        <v>3077876.0541189616</v>
      </c>
      <c r="L315">
        <f t="shared" si="66"/>
        <v>24570132.378832731</v>
      </c>
      <c r="M315">
        <f t="shared" si="74"/>
        <v>0</v>
      </c>
      <c r="N315">
        <f>IF(M315&gt;0,M315*'Prepay vs Invest'!$B$6/1200,0)</f>
        <v>0</v>
      </c>
      <c r="O315">
        <f>IF(M315&gt;0,MIN('Prepay vs Invest'!$E$5,M315+N315),0)</f>
        <v>0</v>
      </c>
      <c r="P315">
        <f>MIN(MAX(0,M315+N315-O315),IF(AND(A315&gt;='Prepay vs Invest'!$B$11,A315&lt;='Prepay vs Invest'!$B$12),'Prepay vs Invest'!$B$10,0)+IF(A315='Prepay vs Invest'!$B$9,'Prepay vs Invest'!$B$8,0))</f>
        <v>0</v>
      </c>
      <c r="Q315">
        <f t="shared" si="67"/>
        <v>0</v>
      </c>
      <c r="R315">
        <f t="shared" si="75"/>
        <v>17211758.517960481</v>
      </c>
      <c r="S315">
        <f>IF(A315&lt;='Prepay vs Invest'!$B$7*12,MAX(0,'Prepay vs Invest'!$E$5+IF(AND(A315&gt;='Prepay vs Invest'!$B$11,A315&lt;='Prepay vs Invest'!$B$12),'Prepay vs Invest'!$B$10,0)+IF(A315='Prepay vs Invest'!$B$9,'Prepay vs Invest'!$B$8,0)-O315-P315),0)</f>
        <v>0</v>
      </c>
      <c r="T315">
        <f>R315*(1+MAX(0,'Prepay vs Invest'!$B$13-'Prepay vs Invest'!$B$14)/1200)+S315</f>
        <v>17376704.537090935</v>
      </c>
      <c r="U315">
        <f t="shared" si="76"/>
        <v>6133552.3707652809</v>
      </c>
      <c r="V315">
        <f>MAX(0,(T315-U315-'Prepay vs Invest'!$B$16)*'Prepay vs Invest'!$B$15/100)</f>
        <v>1389769.0207907069</v>
      </c>
      <c r="W315">
        <f t="shared" si="68"/>
        <v>15986935.516300227</v>
      </c>
      <c r="X315">
        <f t="shared" si="77"/>
        <v>0</v>
      </c>
      <c r="Y315">
        <f>IF(X315&gt;0,X315*'Prepay vs Invest'!$B$6/1200,0)</f>
        <v>0</v>
      </c>
      <c r="Z315">
        <f>IF(X315&gt;0,MIN(-PMT('Prepay vs Invest'!$B$6/1200,'Prepay vs Invest'!$B$7*12-A315+1,X315),X315+Y315),0)</f>
        <v>0</v>
      </c>
      <c r="AA315">
        <f>MIN(MAX(0,X315+Y315-Z315),IF(AND(A315&gt;='Prepay vs Invest'!$B$11,A315&lt;='Prepay vs Invest'!$B$12),'Prepay vs Invest'!$B$10,0)+IF(A315='Prepay vs Invest'!$B$9,'Prepay vs Invest'!$B$8,0))</f>
        <v>0</v>
      </c>
      <c r="AB315">
        <f t="shared" si="69"/>
        <v>0</v>
      </c>
      <c r="AC315">
        <f t="shared" si="78"/>
        <v>21855688.414121103</v>
      </c>
      <c r="AD315">
        <f>IF(A315&lt;='Prepay vs Invest'!$B$7*12,MAX(0,'Prepay vs Invest'!$E$5+IF(AND(A315&gt;='Prepay vs Invest'!$B$11,A315&lt;='Prepay vs Invest'!$B$12),'Prepay vs Invest'!$B$10,0)+IF(A315='Prepay vs Invest'!$B$9,'Prepay vs Invest'!$B$8,0)-Z315-AA315),0)</f>
        <v>0</v>
      </c>
      <c r="AE315">
        <f>AC315*(1+MAX(0,'Prepay vs Invest'!$B$13-'Prepay vs Invest'!$B$14)/1200)+AD315</f>
        <v>22065138.761423096</v>
      </c>
      <c r="AF315">
        <f t="shared" si="79"/>
        <v>4388572.0206063567</v>
      </c>
      <c r="AG315">
        <f>MAX(0,(AE315-AF315-'Prepay vs Invest'!$B$16)*'Prepay vs Invest'!$B$15/100)</f>
        <v>2193945.8426020923</v>
      </c>
      <c r="AH315">
        <f t="shared" si="70"/>
        <v>19871192.918821003</v>
      </c>
    </row>
    <row r="316" spans="1:34" x14ac:dyDescent="0.35">
      <c r="A316">
        <f t="shared" si="71"/>
        <v>315</v>
      </c>
      <c r="B316">
        <f>IF(A316&lt;='Prepay vs Invest'!$B$7*12,F315,0)</f>
        <v>0</v>
      </c>
      <c r="C316">
        <f>IF(B316&gt;0,B316*'Prepay vs Invest'!$B$6/1200,0)</f>
        <v>0</v>
      </c>
      <c r="D316">
        <f>IF(B316&gt;0,MIN(-PMT('Prepay vs Invest'!$B$6/1200,'Prepay vs Invest'!$B$7*12,'Prepay vs Invest'!$B$5),B316+C316),0)</f>
        <v>0</v>
      </c>
      <c r="E316">
        <f t="shared" si="64"/>
        <v>0</v>
      </c>
      <c r="F316">
        <f t="shared" si="65"/>
        <v>0</v>
      </c>
      <c r="G316">
        <f t="shared" si="72"/>
        <v>27648008.432951692</v>
      </c>
      <c r="H316">
        <f>IF(A316&lt;='Prepay vs Invest'!$B$7*12,IF(AND(A316&gt;='Prepay vs Invest'!$B$11,A316&lt;='Prepay vs Invest'!$B$12),'Prepay vs Invest'!$B$10,0)+IF(A316='Prepay vs Invest'!$B$9,'Prepay vs Invest'!$B$8,0),0)</f>
        <v>0</v>
      </c>
      <c r="I316">
        <f>G316*(1+MAX(0,'Prepay vs Invest'!$B$13-'Prepay vs Invest'!$B$14)/1200)+H316</f>
        <v>27912968.513767477</v>
      </c>
      <c r="J316">
        <f t="shared" si="73"/>
        <v>2900000</v>
      </c>
      <c r="K316">
        <f>MAX(0,(I316-J316-'Prepay vs Invest'!$B$16)*'Prepay vs Invest'!$B$15/100)</f>
        <v>3110996.0642209346</v>
      </c>
      <c r="L316">
        <f t="shared" si="66"/>
        <v>24801972.449546542</v>
      </c>
      <c r="M316">
        <f t="shared" si="74"/>
        <v>0</v>
      </c>
      <c r="N316">
        <f>IF(M316&gt;0,M316*'Prepay vs Invest'!$B$6/1200,0)</f>
        <v>0</v>
      </c>
      <c r="O316">
        <f>IF(M316&gt;0,MIN('Prepay vs Invest'!$E$5,M316+N316),0)</f>
        <v>0</v>
      </c>
      <c r="P316">
        <f>MIN(MAX(0,M316+N316-O316),IF(AND(A316&gt;='Prepay vs Invest'!$B$11,A316&lt;='Prepay vs Invest'!$B$12),'Prepay vs Invest'!$B$10,0)+IF(A316='Prepay vs Invest'!$B$9,'Prepay vs Invest'!$B$8,0))</f>
        <v>0</v>
      </c>
      <c r="Q316">
        <f t="shared" si="67"/>
        <v>0</v>
      </c>
      <c r="R316">
        <f t="shared" si="75"/>
        <v>17376704.537090935</v>
      </c>
      <c r="S316">
        <f>IF(A316&lt;='Prepay vs Invest'!$B$7*12,MAX(0,'Prepay vs Invest'!$E$5+IF(AND(A316&gt;='Prepay vs Invest'!$B$11,A316&lt;='Prepay vs Invest'!$B$12),'Prepay vs Invest'!$B$10,0)+IF(A316='Prepay vs Invest'!$B$9,'Prepay vs Invest'!$B$8,0)-O316-P316),0)</f>
        <v>0</v>
      </c>
      <c r="T316">
        <f>R316*(1+MAX(0,'Prepay vs Invest'!$B$13-'Prepay vs Invest'!$B$14)/1200)+S316</f>
        <v>17543231.288904723</v>
      </c>
      <c r="U316">
        <f t="shared" si="76"/>
        <v>6133552.3707652809</v>
      </c>
      <c r="V316">
        <f>MAX(0,(T316-U316-'Prepay vs Invest'!$B$16)*'Prepay vs Invest'!$B$15/100)</f>
        <v>1410584.8647674304</v>
      </c>
      <c r="W316">
        <f t="shared" si="68"/>
        <v>16132646.424137292</v>
      </c>
      <c r="X316">
        <f t="shared" si="77"/>
        <v>0</v>
      </c>
      <c r="Y316">
        <f>IF(X316&gt;0,X316*'Prepay vs Invest'!$B$6/1200,0)</f>
        <v>0</v>
      </c>
      <c r="Z316">
        <f>IF(X316&gt;0,MIN(-PMT('Prepay vs Invest'!$B$6/1200,'Prepay vs Invest'!$B$7*12-A316+1,X316),X316+Y316),0)</f>
        <v>0</v>
      </c>
      <c r="AA316">
        <f>MIN(MAX(0,X316+Y316-Z316),IF(AND(A316&gt;='Prepay vs Invest'!$B$11,A316&lt;='Prepay vs Invest'!$B$12),'Prepay vs Invest'!$B$10,0)+IF(A316='Prepay vs Invest'!$B$9,'Prepay vs Invest'!$B$8,0))</f>
        <v>0</v>
      </c>
      <c r="AB316">
        <f t="shared" si="69"/>
        <v>0</v>
      </c>
      <c r="AC316">
        <f t="shared" si="78"/>
        <v>22065138.761423096</v>
      </c>
      <c r="AD316">
        <f>IF(A316&lt;='Prepay vs Invest'!$B$7*12,MAX(0,'Prepay vs Invest'!$E$5+IF(AND(A316&gt;='Prepay vs Invest'!$B$11,A316&lt;='Prepay vs Invest'!$B$12),'Prepay vs Invest'!$B$10,0)+IF(A316='Prepay vs Invest'!$B$9,'Prepay vs Invest'!$B$8,0)-Z316-AA316),0)</f>
        <v>0</v>
      </c>
      <c r="AE316">
        <f>AC316*(1+MAX(0,'Prepay vs Invest'!$B$13-'Prepay vs Invest'!$B$14)/1200)+AD316</f>
        <v>22276596.341220066</v>
      </c>
      <c r="AF316">
        <f t="shared" si="79"/>
        <v>4388572.0206063567</v>
      </c>
      <c r="AG316">
        <f>MAX(0,(AE316-AF316-'Prepay vs Invest'!$B$16)*'Prepay vs Invest'!$B$15/100)</f>
        <v>2220378.0400767135</v>
      </c>
      <c r="AH316">
        <f t="shared" si="70"/>
        <v>20056218.301143352</v>
      </c>
    </row>
    <row r="317" spans="1:34" x14ac:dyDescent="0.35">
      <c r="A317">
        <f t="shared" si="71"/>
        <v>316</v>
      </c>
      <c r="B317">
        <f>IF(A317&lt;='Prepay vs Invest'!$B$7*12,F316,0)</f>
        <v>0</v>
      </c>
      <c r="C317">
        <f>IF(B317&gt;0,B317*'Prepay vs Invest'!$B$6/1200,0)</f>
        <v>0</v>
      </c>
      <c r="D317">
        <f>IF(B317&gt;0,MIN(-PMT('Prepay vs Invest'!$B$6/1200,'Prepay vs Invest'!$B$7*12,'Prepay vs Invest'!$B$5),B317+C317),0)</f>
        <v>0</v>
      </c>
      <c r="E317">
        <f t="shared" si="64"/>
        <v>0</v>
      </c>
      <c r="F317">
        <f t="shared" si="65"/>
        <v>0</v>
      </c>
      <c r="G317">
        <f t="shared" si="72"/>
        <v>27912968.513767477</v>
      </c>
      <c r="H317">
        <f>IF(A317&lt;='Prepay vs Invest'!$B$7*12,IF(AND(A317&gt;='Prepay vs Invest'!$B$11,A317&lt;='Prepay vs Invest'!$B$12),'Prepay vs Invest'!$B$10,0)+IF(A317='Prepay vs Invest'!$B$9,'Prepay vs Invest'!$B$8,0),0)</f>
        <v>0</v>
      </c>
      <c r="I317">
        <f>G317*(1+MAX(0,'Prepay vs Invest'!$B$13-'Prepay vs Invest'!$B$14)/1200)+H317</f>
        <v>28180467.795357749</v>
      </c>
      <c r="J317">
        <f t="shared" si="73"/>
        <v>2900000</v>
      </c>
      <c r="K317">
        <f>MAX(0,(I317-J317-'Prepay vs Invest'!$B$16)*'Prepay vs Invest'!$B$15/100)</f>
        <v>3144433.4744197186</v>
      </c>
      <c r="L317">
        <f t="shared" si="66"/>
        <v>25036034.320938028</v>
      </c>
      <c r="M317">
        <f t="shared" si="74"/>
        <v>0</v>
      </c>
      <c r="N317">
        <f>IF(M317&gt;0,M317*'Prepay vs Invest'!$B$6/1200,0)</f>
        <v>0</v>
      </c>
      <c r="O317">
        <f>IF(M317&gt;0,MIN('Prepay vs Invest'!$E$5,M317+N317),0)</f>
        <v>0</v>
      </c>
      <c r="P317">
        <f>MIN(MAX(0,M317+N317-O317),IF(AND(A317&gt;='Prepay vs Invest'!$B$11,A317&lt;='Prepay vs Invest'!$B$12),'Prepay vs Invest'!$B$10,0)+IF(A317='Prepay vs Invest'!$B$9,'Prepay vs Invest'!$B$8,0))</f>
        <v>0</v>
      </c>
      <c r="Q317">
        <f t="shared" si="67"/>
        <v>0</v>
      </c>
      <c r="R317">
        <f t="shared" si="75"/>
        <v>17543231.288904723</v>
      </c>
      <c r="S317">
        <f>IF(A317&lt;='Prepay vs Invest'!$B$7*12,MAX(0,'Prepay vs Invest'!$E$5+IF(AND(A317&gt;='Prepay vs Invest'!$B$11,A317&lt;='Prepay vs Invest'!$B$12),'Prepay vs Invest'!$B$10,0)+IF(A317='Prepay vs Invest'!$B$9,'Prepay vs Invest'!$B$8,0)-O317-P317),0)</f>
        <v>0</v>
      </c>
      <c r="T317">
        <f>R317*(1+MAX(0,'Prepay vs Invest'!$B$13-'Prepay vs Invest'!$B$14)/1200)+S317</f>
        <v>17711353.922090057</v>
      </c>
      <c r="U317">
        <f t="shared" si="76"/>
        <v>6133552.3707652809</v>
      </c>
      <c r="V317">
        <f>MAX(0,(T317-U317-'Prepay vs Invest'!$B$16)*'Prepay vs Invest'!$B$15/100)</f>
        <v>1431600.1939155972</v>
      </c>
      <c r="W317">
        <f t="shared" si="68"/>
        <v>16279753.728174459</v>
      </c>
      <c r="X317">
        <f t="shared" si="77"/>
        <v>0</v>
      </c>
      <c r="Y317">
        <f>IF(X317&gt;0,X317*'Prepay vs Invest'!$B$6/1200,0)</f>
        <v>0</v>
      </c>
      <c r="Z317">
        <f>IF(X317&gt;0,MIN(-PMT('Prepay vs Invest'!$B$6/1200,'Prepay vs Invest'!$B$7*12-A317+1,X317),X317+Y317),0)</f>
        <v>0</v>
      </c>
      <c r="AA317">
        <f>MIN(MAX(0,X317+Y317-Z317),IF(AND(A317&gt;='Prepay vs Invest'!$B$11,A317&lt;='Prepay vs Invest'!$B$12),'Prepay vs Invest'!$B$10,0)+IF(A317='Prepay vs Invest'!$B$9,'Prepay vs Invest'!$B$8,0))</f>
        <v>0</v>
      </c>
      <c r="AB317">
        <f t="shared" si="69"/>
        <v>0</v>
      </c>
      <c r="AC317">
        <f t="shared" si="78"/>
        <v>22276596.341220066</v>
      </c>
      <c r="AD317">
        <f>IF(A317&lt;='Prepay vs Invest'!$B$7*12,MAX(0,'Prepay vs Invest'!$E$5+IF(AND(A317&gt;='Prepay vs Invest'!$B$11,A317&lt;='Prepay vs Invest'!$B$12),'Prepay vs Invest'!$B$10,0)+IF(A317='Prepay vs Invest'!$B$9,'Prepay vs Invest'!$B$8,0)-Z317-AA317),0)</f>
        <v>0</v>
      </c>
      <c r="AE317">
        <f>AC317*(1+MAX(0,'Prepay vs Invest'!$B$13-'Prepay vs Invest'!$B$14)/1200)+AD317</f>
        <v>22490080.38949009</v>
      </c>
      <c r="AF317">
        <f t="shared" si="79"/>
        <v>4388572.0206063567</v>
      </c>
      <c r="AG317">
        <f>MAX(0,(AE317-AF317-'Prepay vs Invest'!$B$16)*'Prepay vs Invest'!$B$15/100)</f>
        <v>2247063.5461104666</v>
      </c>
      <c r="AH317">
        <f t="shared" si="70"/>
        <v>20243016.843379624</v>
      </c>
    </row>
    <row r="318" spans="1:34" x14ac:dyDescent="0.35">
      <c r="A318">
        <f t="shared" si="71"/>
        <v>317</v>
      </c>
      <c r="B318">
        <f>IF(A318&lt;='Prepay vs Invest'!$B$7*12,F317,0)</f>
        <v>0</v>
      </c>
      <c r="C318">
        <f>IF(B318&gt;0,B318*'Prepay vs Invest'!$B$6/1200,0)</f>
        <v>0</v>
      </c>
      <c r="D318">
        <f>IF(B318&gt;0,MIN(-PMT('Prepay vs Invest'!$B$6/1200,'Prepay vs Invest'!$B$7*12,'Prepay vs Invest'!$B$5),B318+C318),0)</f>
        <v>0</v>
      </c>
      <c r="E318">
        <f t="shared" si="64"/>
        <v>0</v>
      </c>
      <c r="F318">
        <f t="shared" si="65"/>
        <v>0</v>
      </c>
      <c r="G318">
        <f t="shared" si="72"/>
        <v>28180467.795357749</v>
      </c>
      <c r="H318">
        <f>IF(A318&lt;='Prepay vs Invest'!$B$7*12,IF(AND(A318&gt;='Prepay vs Invest'!$B$11,A318&lt;='Prepay vs Invest'!$B$12),'Prepay vs Invest'!$B$10,0)+IF(A318='Prepay vs Invest'!$B$9,'Prepay vs Invest'!$B$8,0),0)</f>
        <v>0</v>
      </c>
      <c r="I318">
        <f>G318*(1+MAX(0,'Prepay vs Invest'!$B$13-'Prepay vs Invest'!$B$14)/1200)+H318</f>
        <v>28450530.611729927</v>
      </c>
      <c r="J318">
        <f t="shared" si="73"/>
        <v>2900000</v>
      </c>
      <c r="K318">
        <f>MAX(0,(I318-J318-'Prepay vs Invest'!$B$16)*'Prepay vs Invest'!$B$15/100)</f>
        <v>3178191.3264662409</v>
      </c>
      <c r="L318">
        <f t="shared" si="66"/>
        <v>25272339.285263687</v>
      </c>
      <c r="M318">
        <f t="shared" si="74"/>
        <v>0</v>
      </c>
      <c r="N318">
        <f>IF(M318&gt;0,M318*'Prepay vs Invest'!$B$6/1200,0)</f>
        <v>0</v>
      </c>
      <c r="O318">
        <f>IF(M318&gt;0,MIN('Prepay vs Invest'!$E$5,M318+N318),0)</f>
        <v>0</v>
      </c>
      <c r="P318">
        <f>MIN(MAX(0,M318+N318-O318),IF(AND(A318&gt;='Prepay vs Invest'!$B$11,A318&lt;='Prepay vs Invest'!$B$12),'Prepay vs Invest'!$B$10,0)+IF(A318='Prepay vs Invest'!$B$9,'Prepay vs Invest'!$B$8,0))</f>
        <v>0</v>
      </c>
      <c r="Q318">
        <f t="shared" si="67"/>
        <v>0</v>
      </c>
      <c r="R318">
        <f t="shared" si="75"/>
        <v>17711353.922090057</v>
      </c>
      <c r="S318">
        <f>IF(A318&lt;='Prepay vs Invest'!$B$7*12,MAX(0,'Prepay vs Invest'!$E$5+IF(AND(A318&gt;='Prepay vs Invest'!$B$11,A318&lt;='Prepay vs Invest'!$B$12),'Prepay vs Invest'!$B$10,0)+IF(A318='Prepay vs Invest'!$B$9,'Prepay vs Invest'!$B$8,0)-O318-P318),0)</f>
        <v>0</v>
      </c>
      <c r="T318">
        <f>R318*(1+MAX(0,'Prepay vs Invest'!$B$13-'Prepay vs Invest'!$B$14)/1200)+S318</f>
        <v>17881087.730510086</v>
      </c>
      <c r="U318">
        <f t="shared" si="76"/>
        <v>6133552.3707652809</v>
      </c>
      <c r="V318">
        <f>MAX(0,(T318-U318-'Prepay vs Invest'!$B$16)*'Prepay vs Invest'!$B$15/100)</f>
        <v>1452816.9199681007</v>
      </c>
      <c r="W318">
        <f t="shared" si="68"/>
        <v>16428270.810541986</v>
      </c>
      <c r="X318">
        <f t="shared" si="77"/>
        <v>0</v>
      </c>
      <c r="Y318">
        <f>IF(X318&gt;0,X318*'Prepay vs Invest'!$B$6/1200,0)</f>
        <v>0</v>
      </c>
      <c r="Z318">
        <f>IF(X318&gt;0,MIN(-PMT('Prepay vs Invest'!$B$6/1200,'Prepay vs Invest'!$B$7*12-A318+1,X318),X318+Y318),0)</f>
        <v>0</v>
      </c>
      <c r="AA318">
        <f>MIN(MAX(0,X318+Y318-Z318),IF(AND(A318&gt;='Prepay vs Invest'!$B$11,A318&lt;='Prepay vs Invest'!$B$12),'Prepay vs Invest'!$B$10,0)+IF(A318='Prepay vs Invest'!$B$9,'Prepay vs Invest'!$B$8,0))</f>
        <v>0</v>
      </c>
      <c r="AB318">
        <f t="shared" si="69"/>
        <v>0</v>
      </c>
      <c r="AC318">
        <f t="shared" si="78"/>
        <v>22490080.38949009</v>
      </c>
      <c r="AD318">
        <f>IF(A318&lt;='Prepay vs Invest'!$B$7*12,MAX(0,'Prepay vs Invest'!$E$5+IF(AND(A318&gt;='Prepay vs Invest'!$B$11,A318&lt;='Prepay vs Invest'!$B$12),'Prepay vs Invest'!$B$10,0)+IF(A318='Prepay vs Invest'!$B$9,'Prepay vs Invest'!$B$8,0)-Z318-AA318),0)</f>
        <v>0</v>
      </c>
      <c r="AE318">
        <f>AC318*(1+MAX(0,'Prepay vs Invest'!$B$13-'Prepay vs Invest'!$B$14)/1200)+AD318</f>
        <v>22705610.326556034</v>
      </c>
      <c r="AF318">
        <f t="shared" si="79"/>
        <v>4388572.0206063567</v>
      </c>
      <c r="AG318">
        <f>MAX(0,(AE318-AF318-'Prepay vs Invest'!$B$16)*'Prepay vs Invest'!$B$15/100)</f>
        <v>2274004.7882437096</v>
      </c>
      <c r="AH318">
        <f t="shared" si="70"/>
        <v>20431605.538312323</v>
      </c>
    </row>
    <row r="319" spans="1:34" x14ac:dyDescent="0.35">
      <c r="A319">
        <f t="shared" si="71"/>
        <v>318</v>
      </c>
      <c r="B319">
        <f>IF(A319&lt;='Prepay vs Invest'!$B$7*12,F318,0)</f>
        <v>0</v>
      </c>
      <c r="C319">
        <f>IF(B319&gt;0,B319*'Prepay vs Invest'!$B$6/1200,0)</f>
        <v>0</v>
      </c>
      <c r="D319">
        <f>IF(B319&gt;0,MIN(-PMT('Prepay vs Invest'!$B$6/1200,'Prepay vs Invest'!$B$7*12,'Prepay vs Invest'!$B$5),B319+C319),0)</f>
        <v>0</v>
      </c>
      <c r="E319">
        <f t="shared" si="64"/>
        <v>0</v>
      </c>
      <c r="F319">
        <f t="shared" si="65"/>
        <v>0</v>
      </c>
      <c r="G319">
        <f t="shared" si="72"/>
        <v>28450530.611729927</v>
      </c>
      <c r="H319">
        <f>IF(A319&lt;='Prepay vs Invest'!$B$7*12,IF(AND(A319&gt;='Prepay vs Invest'!$B$11,A319&lt;='Prepay vs Invest'!$B$12),'Prepay vs Invest'!$B$10,0)+IF(A319='Prepay vs Invest'!$B$9,'Prepay vs Invest'!$B$8,0),0)</f>
        <v>0</v>
      </c>
      <c r="I319">
        <f>G319*(1+MAX(0,'Prepay vs Invest'!$B$13-'Prepay vs Invest'!$B$14)/1200)+H319</f>
        <v>28723181.530092336</v>
      </c>
      <c r="J319">
        <f t="shared" si="73"/>
        <v>2900000</v>
      </c>
      <c r="K319">
        <f>MAX(0,(I319-J319-'Prepay vs Invest'!$B$16)*'Prepay vs Invest'!$B$15/100)</f>
        <v>3212272.691261542</v>
      </c>
      <c r="L319">
        <f t="shared" si="66"/>
        <v>25510908.838830795</v>
      </c>
      <c r="M319">
        <f t="shared" si="74"/>
        <v>0</v>
      </c>
      <c r="N319">
        <f>IF(M319&gt;0,M319*'Prepay vs Invest'!$B$6/1200,0)</f>
        <v>0</v>
      </c>
      <c r="O319">
        <f>IF(M319&gt;0,MIN('Prepay vs Invest'!$E$5,M319+N319),0)</f>
        <v>0</v>
      </c>
      <c r="P319">
        <f>MIN(MAX(0,M319+N319-O319),IF(AND(A319&gt;='Prepay vs Invest'!$B$11,A319&lt;='Prepay vs Invest'!$B$12),'Prepay vs Invest'!$B$10,0)+IF(A319='Prepay vs Invest'!$B$9,'Prepay vs Invest'!$B$8,0))</f>
        <v>0</v>
      </c>
      <c r="Q319">
        <f t="shared" si="67"/>
        <v>0</v>
      </c>
      <c r="R319">
        <f t="shared" si="75"/>
        <v>17881087.730510086</v>
      </c>
      <c r="S319">
        <f>IF(A319&lt;='Prepay vs Invest'!$B$7*12,MAX(0,'Prepay vs Invest'!$E$5+IF(AND(A319&gt;='Prepay vs Invest'!$B$11,A319&lt;='Prepay vs Invest'!$B$12),'Prepay vs Invest'!$B$10,0)+IF(A319='Prepay vs Invest'!$B$9,'Prepay vs Invest'!$B$8,0)-O319-P319),0)</f>
        <v>0</v>
      </c>
      <c r="T319">
        <f>R319*(1+MAX(0,'Prepay vs Invest'!$B$13-'Prepay vs Invest'!$B$14)/1200)+S319</f>
        <v>18052448.154594138</v>
      </c>
      <c r="U319">
        <f t="shared" si="76"/>
        <v>6133552.3707652809</v>
      </c>
      <c r="V319">
        <f>MAX(0,(T319-U319-'Prepay vs Invest'!$B$16)*'Prepay vs Invest'!$B$15/100)</f>
        <v>1474236.9729786075</v>
      </c>
      <c r="W319">
        <f t="shared" si="68"/>
        <v>16578211.181615531</v>
      </c>
      <c r="X319">
        <f t="shared" si="77"/>
        <v>0</v>
      </c>
      <c r="Y319">
        <f>IF(X319&gt;0,X319*'Prepay vs Invest'!$B$6/1200,0)</f>
        <v>0</v>
      </c>
      <c r="Z319">
        <f>IF(X319&gt;0,MIN(-PMT('Prepay vs Invest'!$B$6/1200,'Prepay vs Invest'!$B$7*12-A319+1,X319),X319+Y319),0)</f>
        <v>0</v>
      </c>
      <c r="AA319">
        <f>MIN(MAX(0,X319+Y319-Z319),IF(AND(A319&gt;='Prepay vs Invest'!$B$11,A319&lt;='Prepay vs Invest'!$B$12),'Prepay vs Invest'!$B$10,0)+IF(A319='Prepay vs Invest'!$B$9,'Prepay vs Invest'!$B$8,0))</f>
        <v>0</v>
      </c>
      <c r="AB319">
        <f t="shared" si="69"/>
        <v>0</v>
      </c>
      <c r="AC319">
        <f t="shared" si="78"/>
        <v>22705610.326556034</v>
      </c>
      <c r="AD319">
        <f>IF(A319&lt;='Prepay vs Invest'!$B$7*12,MAX(0,'Prepay vs Invest'!$E$5+IF(AND(A319&gt;='Prepay vs Invest'!$B$11,A319&lt;='Prepay vs Invest'!$B$12),'Prepay vs Invest'!$B$10,0)+IF(A319='Prepay vs Invest'!$B$9,'Prepay vs Invest'!$B$8,0)-Z319-AA319),0)</f>
        <v>0</v>
      </c>
      <c r="AE319">
        <f>AC319*(1+MAX(0,'Prepay vs Invest'!$B$13-'Prepay vs Invest'!$B$14)/1200)+AD319</f>
        <v>22923205.758852195</v>
      </c>
      <c r="AF319">
        <f t="shared" si="79"/>
        <v>4388572.0206063567</v>
      </c>
      <c r="AG319">
        <f>MAX(0,(AE319-AF319-'Prepay vs Invest'!$B$16)*'Prepay vs Invest'!$B$15/100)</f>
        <v>2301204.2172807297</v>
      </c>
      <c r="AH319">
        <f t="shared" si="70"/>
        <v>20622001.541571464</v>
      </c>
    </row>
    <row r="320" spans="1:34" x14ac:dyDescent="0.35">
      <c r="A320">
        <f t="shared" si="71"/>
        <v>319</v>
      </c>
      <c r="B320">
        <f>IF(A320&lt;='Prepay vs Invest'!$B$7*12,F319,0)</f>
        <v>0</v>
      </c>
      <c r="C320">
        <f>IF(B320&gt;0,B320*'Prepay vs Invest'!$B$6/1200,0)</f>
        <v>0</v>
      </c>
      <c r="D320">
        <f>IF(B320&gt;0,MIN(-PMT('Prepay vs Invest'!$B$6/1200,'Prepay vs Invest'!$B$7*12,'Prepay vs Invest'!$B$5),B320+C320),0)</f>
        <v>0</v>
      </c>
      <c r="E320">
        <f t="shared" si="64"/>
        <v>0</v>
      </c>
      <c r="F320">
        <f t="shared" si="65"/>
        <v>0</v>
      </c>
      <c r="G320">
        <f t="shared" si="72"/>
        <v>28723181.530092336</v>
      </c>
      <c r="H320">
        <f>IF(A320&lt;='Prepay vs Invest'!$B$7*12,IF(AND(A320&gt;='Prepay vs Invest'!$B$11,A320&lt;='Prepay vs Invest'!$B$12),'Prepay vs Invest'!$B$10,0)+IF(A320='Prepay vs Invest'!$B$9,'Prepay vs Invest'!$B$8,0),0)</f>
        <v>0</v>
      </c>
      <c r="I320">
        <f>G320*(1+MAX(0,'Prepay vs Invest'!$B$13-'Prepay vs Invest'!$B$14)/1200)+H320</f>
        <v>28998445.353089053</v>
      </c>
      <c r="J320">
        <f t="shared" si="73"/>
        <v>2900000</v>
      </c>
      <c r="K320">
        <f>MAX(0,(I320-J320-'Prepay vs Invest'!$B$16)*'Prepay vs Invest'!$B$15/100)</f>
        <v>3246680.6691361312</v>
      </c>
      <c r="L320">
        <f t="shared" si="66"/>
        <v>25751764.68395292</v>
      </c>
      <c r="M320">
        <f t="shared" si="74"/>
        <v>0</v>
      </c>
      <c r="N320">
        <f>IF(M320&gt;0,M320*'Prepay vs Invest'!$B$6/1200,0)</f>
        <v>0</v>
      </c>
      <c r="O320">
        <f>IF(M320&gt;0,MIN('Prepay vs Invest'!$E$5,M320+N320),0)</f>
        <v>0</v>
      </c>
      <c r="P320">
        <f>MIN(MAX(0,M320+N320-O320),IF(AND(A320&gt;='Prepay vs Invest'!$B$11,A320&lt;='Prepay vs Invest'!$B$12),'Prepay vs Invest'!$B$10,0)+IF(A320='Prepay vs Invest'!$B$9,'Prepay vs Invest'!$B$8,0))</f>
        <v>0</v>
      </c>
      <c r="Q320">
        <f t="shared" si="67"/>
        <v>0</v>
      </c>
      <c r="R320">
        <f t="shared" si="75"/>
        <v>18052448.154594138</v>
      </c>
      <c r="S320">
        <f>IF(A320&lt;='Prepay vs Invest'!$B$7*12,MAX(0,'Prepay vs Invest'!$E$5+IF(AND(A320&gt;='Prepay vs Invest'!$B$11,A320&lt;='Prepay vs Invest'!$B$12),'Prepay vs Invest'!$B$10,0)+IF(A320='Prepay vs Invest'!$B$9,'Prepay vs Invest'!$B$8,0)-O320-P320),0)</f>
        <v>0</v>
      </c>
      <c r="T320">
        <f>R320*(1+MAX(0,'Prepay vs Invest'!$B$13-'Prepay vs Invest'!$B$14)/1200)+S320</f>
        <v>18225450.782742333</v>
      </c>
      <c r="U320">
        <f t="shared" si="76"/>
        <v>6133552.3707652809</v>
      </c>
      <c r="V320">
        <f>MAX(0,(T320-U320-'Prepay vs Invest'!$B$16)*'Prepay vs Invest'!$B$15/100)</f>
        <v>1495862.3014971316</v>
      </c>
      <c r="W320">
        <f t="shared" si="68"/>
        <v>16729588.481245201</v>
      </c>
      <c r="X320">
        <f t="shared" si="77"/>
        <v>0</v>
      </c>
      <c r="Y320">
        <f>IF(X320&gt;0,X320*'Prepay vs Invest'!$B$6/1200,0)</f>
        <v>0</v>
      </c>
      <c r="Z320">
        <f>IF(X320&gt;0,MIN(-PMT('Prepay vs Invest'!$B$6/1200,'Prepay vs Invest'!$B$7*12-A320+1,X320),X320+Y320),0)</f>
        <v>0</v>
      </c>
      <c r="AA320">
        <f>MIN(MAX(0,X320+Y320-Z320),IF(AND(A320&gt;='Prepay vs Invest'!$B$11,A320&lt;='Prepay vs Invest'!$B$12),'Prepay vs Invest'!$B$10,0)+IF(A320='Prepay vs Invest'!$B$9,'Prepay vs Invest'!$B$8,0))</f>
        <v>0</v>
      </c>
      <c r="AB320">
        <f t="shared" si="69"/>
        <v>0</v>
      </c>
      <c r="AC320">
        <f t="shared" si="78"/>
        <v>22923205.758852195</v>
      </c>
      <c r="AD320">
        <f>IF(A320&lt;='Prepay vs Invest'!$B$7*12,MAX(0,'Prepay vs Invest'!$E$5+IF(AND(A320&gt;='Prepay vs Invest'!$B$11,A320&lt;='Prepay vs Invest'!$B$12),'Prepay vs Invest'!$B$10,0)+IF(A320='Prepay vs Invest'!$B$9,'Prepay vs Invest'!$B$8,0)-Z320-AA320),0)</f>
        <v>0</v>
      </c>
      <c r="AE320">
        <f>AC320*(1+MAX(0,'Prepay vs Invest'!$B$13-'Prepay vs Invest'!$B$14)/1200)+AD320</f>
        <v>23142886.480707861</v>
      </c>
      <c r="AF320">
        <f t="shared" si="79"/>
        <v>4388572.0206063567</v>
      </c>
      <c r="AG320">
        <f>MAX(0,(AE320-AF320-'Prepay vs Invest'!$B$16)*'Prepay vs Invest'!$B$15/100)</f>
        <v>2328664.307512688</v>
      </c>
      <c r="AH320">
        <f t="shared" si="70"/>
        <v>20814222.173195172</v>
      </c>
    </row>
    <row r="321" spans="1:34" x14ac:dyDescent="0.35">
      <c r="A321">
        <f t="shared" si="71"/>
        <v>320</v>
      </c>
      <c r="B321">
        <f>IF(A321&lt;='Prepay vs Invest'!$B$7*12,F320,0)</f>
        <v>0</v>
      </c>
      <c r="C321">
        <f>IF(B321&gt;0,B321*'Prepay vs Invest'!$B$6/1200,0)</f>
        <v>0</v>
      </c>
      <c r="D321">
        <f>IF(B321&gt;0,MIN(-PMT('Prepay vs Invest'!$B$6/1200,'Prepay vs Invest'!$B$7*12,'Prepay vs Invest'!$B$5),B321+C321),0)</f>
        <v>0</v>
      </c>
      <c r="E321">
        <f t="shared" si="64"/>
        <v>0</v>
      </c>
      <c r="F321">
        <f t="shared" si="65"/>
        <v>0</v>
      </c>
      <c r="G321">
        <f t="shared" si="72"/>
        <v>28998445.353089053</v>
      </c>
      <c r="H321">
        <f>IF(A321&lt;='Prepay vs Invest'!$B$7*12,IF(AND(A321&gt;='Prepay vs Invest'!$B$11,A321&lt;='Prepay vs Invest'!$B$12),'Prepay vs Invest'!$B$10,0)+IF(A321='Prepay vs Invest'!$B$9,'Prepay vs Invest'!$B$8,0),0)</f>
        <v>0</v>
      </c>
      <c r="I321">
        <f>G321*(1+MAX(0,'Prepay vs Invest'!$B$13-'Prepay vs Invest'!$B$14)/1200)+H321</f>
        <v>29276347.121056154</v>
      </c>
      <c r="J321">
        <f t="shared" si="73"/>
        <v>2900000</v>
      </c>
      <c r="K321">
        <f>MAX(0,(I321-J321-'Prepay vs Invest'!$B$16)*'Prepay vs Invest'!$B$15/100)</f>
        <v>3281418.3901320193</v>
      </c>
      <c r="L321">
        <f t="shared" si="66"/>
        <v>25994928.730924137</v>
      </c>
      <c r="M321">
        <f t="shared" si="74"/>
        <v>0</v>
      </c>
      <c r="N321">
        <f>IF(M321&gt;0,M321*'Prepay vs Invest'!$B$6/1200,0)</f>
        <v>0</v>
      </c>
      <c r="O321">
        <f>IF(M321&gt;0,MIN('Prepay vs Invest'!$E$5,M321+N321),0)</f>
        <v>0</v>
      </c>
      <c r="P321">
        <f>MIN(MAX(0,M321+N321-O321),IF(AND(A321&gt;='Prepay vs Invest'!$B$11,A321&lt;='Prepay vs Invest'!$B$12),'Prepay vs Invest'!$B$10,0)+IF(A321='Prepay vs Invest'!$B$9,'Prepay vs Invest'!$B$8,0))</f>
        <v>0</v>
      </c>
      <c r="Q321">
        <f t="shared" si="67"/>
        <v>0</v>
      </c>
      <c r="R321">
        <f t="shared" si="75"/>
        <v>18225450.782742333</v>
      </c>
      <c r="S321">
        <f>IF(A321&lt;='Prepay vs Invest'!$B$7*12,MAX(0,'Prepay vs Invest'!$E$5+IF(AND(A321&gt;='Prepay vs Invest'!$B$11,A321&lt;='Prepay vs Invest'!$B$12),'Prepay vs Invest'!$B$10,0)+IF(A321='Prepay vs Invest'!$B$9,'Prepay vs Invest'!$B$8,0)-O321-P321),0)</f>
        <v>0</v>
      </c>
      <c r="T321">
        <f>R321*(1+MAX(0,'Prepay vs Invest'!$B$13-'Prepay vs Invest'!$B$14)/1200)+S321</f>
        <v>18400111.352743611</v>
      </c>
      <c r="U321">
        <f t="shared" si="76"/>
        <v>6133552.3707652809</v>
      </c>
      <c r="V321">
        <f>MAX(0,(T321-U321-'Prepay vs Invest'!$B$16)*'Prepay vs Invest'!$B$15/100)</f>
        <v>1517694.8727472913</v>
      </c>
      <c r="W321">
        <f t="shared" si="68"/>
        <v>16882416.47999632</v>
      </c>
      <c r="X321">
        <f t="shared" si="77"/>
        <v>0</v>
      </c>
      <c r="Y321">
        <f>IF(X321&gt;0,X321*'Prepay vs Invest'!$B$6/1200,0)</f>
        <v>0</v>
      </c>
      <c r="Z321">
        <f>IF(X321&gt;0,MIN(-PMT('Prepay vs Invest'!$B$6/1200,'Prepay vs Invest'!$B$7*12-A321+1,X321),X321+Y321),0)</f>
        <v>0</v>
      </c>
      <c r="AA321">
        <f>MIN(MAX(0,X321+Y321-Z321),IF(AND(A321&gt;='Prepay vs Invest'!$B$11,A321&lt;='Prepay vs Invest'!$B$12),'Prepay vs Invest'!$B$10,0)+IF(A321='Prepay vs Invest'!$B$9,'Prepay vs Invest'!$B$8,0))</f>
        <v>0</v>
      </c>
      <c r="AB321">
        <f t="shared" si="69"/>
        <v>0</v>
      </c>
      <c r="AC321">
        <f t="shared" si="78"/>
        <v>23142886.480707861</v>
      </c>
      <c r="AD321">
        <f>IF(A321&lt;='Prepay vs Invest'!$B$7*12,MAX(0,'Prepay vs Invest'!$E$5+IF(AND(A321&gt;='Prepay vs Invest'!$B$11,A321&lt;='Prepay vs Invest'!$B$12),'Prepay vs Invest'!$B$10,0)+IF(A321='Prepay vs Invest'!$B$9,'Prepay vs Invest'!$B$8,0)-Z321-AA321),0)</f>
        <v>0</v>
      </c>
      <c r="AE321">
        <f>AC321*(1+MAX(0,'Prepay vs Invest'!$B$13-'Prepay vs Invest'!$B$14)/1200)+AD321</f>
        <v>23364672.476147976</v>
      </c>
      <c r="AF321">
        <f t="shared" si="79"/>
        <v>4388572.0206063567</v>
      </c>
      <c r="AG321">
        <f>MAX(0,(AE321-AF321-'Prepay vs Invest'!$B$16)*'Prepay vs Invest'!$B$15/100)</f>
        <v>2356387.5569427023</v>
      </c>
      <c r="AH321">
        <f t="shared" si="70"/>
        <v>21008284.919205274</v>
      </c>
    </row>
    <row r="322" spans="1:34" x14ac:dyDescent="0.35">
      <c r="A322">
        <f t="shared" si="71"/>
        <v>321</v>
      </c>
      <c r="B322">
        <f>IF(A322&lt;='Prepay vs Invest'!$B$7*12,F321,0)</f>
        <v>0</v>
      </c>
      <c r="C322">
        <f>IF(B322&gt;0,B322*'Prepay vs Invest'!$B$6/1200,0)</f>
        <v>0</v>
      </c>
      <c r="D322">
        <f>IF(B322&gt;0,MIN(-PMT('Prepay vs Invest'!$B$6/1200,'Prepay vs Invest'!$B$7*12,'Prepay vs Invest'!$B$5),B322+C322),0)</f>
        <v>0</v>
      </c>
      <c r="E322">
        <f t="shared" si="64"/>
        <v>0</v>
      </c>
      <c r="F322">
        <f t="shared" si="65"/>
        <v>0</v>
      </c>
      <c r="G322">
        <f t="shared" si="72"/>
        <v>29276347.121056154</v>
      </c>
      <c r="H322">
        <f>IF(A322&lt;='Prepay vs Invest'!$B$7*12,IF(AND(A322&gt;='Prepay vs Invest'!$B$11,A322&lt;='Prepay vs Invest'!$B$12),'Prepay vs Invest'!$B$10,0)+IF(A322='Prepay vs Invest'!$B$9,'Prepay vs Invest'!$B$8,0),0)</f>
        <v>0</v>
      </c>
      <c r="I322">
        <f>G322*(1+MAX(0,'Prepay vs Invest'!$B$13-'Prepay vs Invest'!$B$14)/1200)+H322</f>
        <v>29556912.114299607</v>
      </c>
      <c r="J322">
        <f t="shared" si="73"/>
        <v>2900000</v>
      </c>
      <c r="K322">
        <f>MAX(0,(I322-J322-'Prepay vs Invest'!$B$16)*'Prepay vs Invest'!$B$15/100)</f>
        <v>3316489.0142874508</v>
      </c>
      <c r="L322">
        <f t="shared" si="66"/>
        <v>26240423.100012157</v>
      </c>
      <c r="M322">
        <f t="shared" si="74"/>
        <v>0</v>
      </c>
      <c r="N322">
        <f>IF(M322&gt;0,M322*'Prepay vs Invest'!$B$6/1200,0)</f>
        <v>0</v>
      </c>
      <c r="O322">
        <f>IF(M322&gt;0,MIN('Prepay vs Invest'!$E$5,M322+N322),0)</f>
        <v>0</v>
      </c>
      <c r="P322">
        <f>MIN(MAX(0,M322+N322-O322),IF(AND(A322&gt;='Prepay vs Invest'!$B$11,A322&lt;='Prepay vs Invest'!$B$12),'Prepay vs Invest'!$B$10,0)+IF(A322='Prepay vs Invest'!$B$9,'Prepay vs Invest'!$B$8,0))</f>
        <v>0</v>
      </c>
      <c r="Q322">
        <f t="shared" si="67"/>
        <v>0</v>
      </c>
      <c r="R322">
        <f t="shared" si="75"/>
        <v>18400111.352743611</v>
      </c>
      <c r="S322">
        <f>IF(A322&lt;='Prepay vs Invest'!$B$7*12,MAX(0,'Prepay vs Invest'!$E$5+IF(AND(A322&gt;='Prepay vs Invest'!$B$11,A322&lt;='Prepay vs Invest'!$B$12),'Prepay vs Invest'!$B$10,0)+IF(A322='Prepay vs Invest'!$B$9,'Prepay vs Invest'!$B$8,0)-O322-P322),0)</f>
        <v>0</v>
      </c>
      <c r="T322">
        <f>R322*(1+MAX(0,'Prepay vs Invest'!$B$13-'Prepay vs Invest'!$B$14)/1200)+S322</f>
        <v>18576445.753207404</v>
      </c>
      <c r="U322">
        <f t="shared" si="76"/>
        <v>6133552.3707652809</v>
      </c>
      <c r="V322">
        <f>MAX(0,(T322-U322-'Prepay vs Invest'!$B$16)*'Prepay vs Invest'!$B$15/100)</f>
        <v>1539736.6728052655</v>
      </c>
      <c r="W322">
        <f t="shared" si="68"/>
        <v>17036709.08040214</v>
      </c>
      <c r="X322">
        <f t="shared" si="77"/>
        <v>0</v>
      </c>
      <c r="Y322">
        <f>IF(X322&gt;0,X322*'Prepay vs Invest'!$B$6/1200,0)</f>
        <v>0</v>
      </c>
      <c r="Z322">
        <f>IF(X322&gt;0,MIN(-PMT('Prepay vs Invest'!$B$6/1200,'Prepay vs Invest'!$B$7*12-A322+1,X322),X322+Y322),0)</f>
        <v>0</v>
      </c>
      <c r="AA322">
        <f>MIN(MAX(0,X322+Y322-Z322),IF(AND(A322&gt;='Prepay vs Invest'!$B$11,A322&lt;='Prepay vs Invest'!$B$12),'Prepay vs Invest'!$B$10,0)+IF(A322='Prepay vs Invest'!$B$9,'Prepay vs Invest'!$B$8,0))</f>
        <v>0</v>
      </c>
      <c r="AB322">
        <f t="shared" si="69"/>
        <v>0</v>
      </c>
      <c r="AC322">
        <f t="shared" si="78"/>
        <v>23364672.476147976</v>
      </c>
      <c r="AD322">
        <f>IF(A322&lt;='Prepay vs Invest'!$B$7*12,MAX(0,'Prepay vs Invest'!$E$5+IF(AND(A322&gt;='Prepay vs Invest'!$B$11,A322&lt;='Prepay vs Invest'!$B$12),'Prepay vs Invest'!$B$10,0)+IF(A322='Prepay vs Invest'!$B$9,'Prepay vs Invest'!$B$8,0)-Z322-AA322),0)</f>
        <v>0</v>
      </c>
      <c r="AE322">
        <f>AC322*(1+MAX(0,'Prepay vs Invest'!$B$13-'Prepay vs Invest'!$B$14)/1200)+AD322</f>
        <v>23588583.920711059</v>
      </c>
      <c r="AF322">
        <f t="shared" si="79"/>
        <v>4388572.0206063567</v>
      </c>
      <c r="AG322">
        <f>MAX(0,(AE322-AF322-'Prepay vs Invest'!$B$16)*'Prepay vs Invest'!$B$15/100)</f>
        <v>2384376.4875130877</v>
      </c>
      <c r="AH322">
        <f t="shared" si="70"/>
        <v>21204207.433197971</v>
      </c>
    </row>
    <row r="323" spans="1:34" x14ac:dyDescent="0.35">
      <c r="A323">
        <f t="shared" si="71"/>
        <v>322</v>
      </c>
      <c r="B323">
        <f>IF(A323&lt;='Prepay vs Invest'!$B$7*12,F322,0)</f>
        <v>0</v>
      </c>
      <c r="C323">
        <f>IF(B323&gt;0,B323*'Prepay vs Invest'!$B$6/1200,0)</f>
        <v>0</v>
      </c>
      <c r="D323">
        <f>IF(B323&gt;0,MIN(-PMT('Prepay vs Invest'!$B$6/1200,'Prepay vs Invest'!$B$7*12,'Prepay vs Invest'!$B$5),B323+C323),0)</f>
        <v>0</v>
      </c>
      <c r="E323">
        <f t="shared" ref="E323:E361" si="80">MAX(0,D323-C323)</f>
        <v>0</v>
      </c>
      <c r="F323">
        <f t="shared" ref="F323:F361" si="81">MAX(0,B323+C323-D323)</f>
        <v>0</v>
      </c>
      <c r="G323">
        <f t="shared" si="72"/>
        <v>29556912.114299607</v>
      </c>
      <c r="H323">
        <f>IF(A323&lt;='Prepay vs Invest'!$B$7*12,IF(AND(A323&gt;='Prepay vs Invest'!$B$11,A323&lt;='Prepay vs Invest'!$B$12),'Prepay vs Invest'!$B$10,0)+IF(A323='Prepay vs Invest'!$B$9,'Prepay vs Invest'!$B$8,0),0)</f>
        <v>0</v>
      </c>
      <c r="I323">
        <f>G323*(1+MAX(0,'Prepay vs Invest'!$B$13-'Prepay vs Invest'!$B$14)/1200)+H323</f>
        <v>29840165.855394974</v>
      </c>
      <c r="J323">
        <f t="shared" si="73"/>
        <v>2900000</v>
      </c>
      <c r="K323">
        <f>MAX(0,(I323-J323-'Prepay vs Invest'!$B$16)*'Prepay vs Invest'!$B$15/100)</f>
        <v>3351895.7319243718</v>
      </c>
      <c r="L323">
        <f t="shared" ref="L323:L361" si="82">I323-K323</f>
        <v>26488270.123470604</v>
      </c>
      <c r="M323">
        <f t="shared" si="74"/>
        <v>0</v>
      </c>
      <c r="N323">
        <f>IF(M323&gt;0,M323*'Prepay vs Invest'!$B$6/1200,0)</f>
        <v>0</v>
      </c>
      <c r="O323">
        <f>IF(M323&gt;0,MIN('Prepay vs Invest'!$E$5,M323+N323),0)</f>
        <v>0</v>
      </c>
      <c r="P323">
        <f>MIN(MAX(0,M323+N323-O323),IF(AND(A323&gt;='Prepay vs Invest'!$B$11,A323&lt;='Prepay vs Invest'!$B$12),'Prepay vs Invest'!$B$10,0)+IF(A323='Prepay vs Invest'!$B$9,'Prepay vs Invest'!$B$8,0))</f>
        <v>0</v>
      </c>
      <c r="Q323">
        <f t="shared" ref="Q323:Q361" si="83">MAX(0,M323+N323-O323-P323)</f>
        <v>0</v>
      </c>
      <c r="R323">
        <f t="shared" si="75"/>
        <v>18576445.753207404</v>
      </c>
      <c r="S323">
        <f>IF(A323&lt;='Prepay vs Invest'!$B$7*12,MAX(0,'Prepay vs Invest'!$E$5+IF(AND(A323&gt;='Prepay vs Invest'!$B$11,A323&lt;='Prepay vs Invest'!$B$12),'Prepay vs Invest'!$B$10,0)+IF(A323='Prepay vs Invest'!$B$9,'Prepay vs Invest'!$B$8,0)-O323-P323),0)</f>
        <v>0</v>
      </c>
      <c r="T323">
        <f>R323*(1+MAX(0,'Prepay vs Invest'!$B$13-'Prepay vs Invest'!$B$14)/1200)+S323</f>
        <v>18754470.025008973</v>
      </c>
      <c r="U323">
        <f t="shared" si="76"/>
        <v>6133552.3707652809</v>
      </c>
      <c r="V323">
        <f>MAX(0,(T323-U323-'Prepay vs Invest'!$B$16)*'Prepay vs Invest'!$B$15/100)</f>
        <v>1561989.7067804616</v>
      </c>
      <c r="W323">
        <f t="shared" ref="W323:W361" si="84">T323-V323</f>
        <v>17192480.318228513</v>
      </c>
      <c r="X323">
        <f t="shared" si="77"/>
        <v>0</v>
      </c>
      <c r="Y323">
        <f>IF(X323&gt;0,X323*'Prepay vs Invest'!$B$6/1200,0)</f>
        <v>0</v>
      </c>
      <c r="Z323">
        <f>IF(X323&gt;0,MIN(-PMT('Prepay vs Invest'!$B$6/1200,'Prepay vs Invest'!$B$7*12-A323+1,X323),X323+Y323),0)</f>
        <v>0</v>
      </c>
      <c r="AA323">
        <f>MIN(MAX(0,X323+Y323-Z323),IF(AND(A323&gt;='Prepay vs Invest'!$B$11,A323&lt;='Prepay vs Invest'!$B$12),'Prepay vs Invest'!$B$10,0)+IF(A323='Prepay vs Invest'!$B$9,'Prepay vs Invest'!$B$8,0))</f>
        <v>0</v>
      </c>
      <c r="AB323">
        <f t="shared" ref="AB323:AB361" si="85">MAX(0,X323+Y323-Z323-AA323)</f>
        <v>0</v>
      </c>
      <c r="AC323">
        <f t="shared" si="78"/>
        <v>23588583.920711059</v>
      </c>
      <c r="AD323">
        <f>IF(A323&lt;='Prepay vs Invest'!$B$7*12,MAX(0,'Prepay vs Invest'!$E$5+IF(AND(A323&gt;='Prepay vs Invest'!$B$11,A323&lt;='Prepay vs Invest'!$B$12),'Prepay vs Invest'!$B$10,0)+IF(A323='Prepay vs Invest'!$B$9,'Prepay vs Invest'!$B$8,0)-Z323-AA323),0)</f>
        <v>0</v>
      </c>
      <c r="AE323">
        <f>AC323*(1+MAX(0,'Prepay vs Invest'!$B$13-'Prepay vs Invest'!$B$14)/1200)+AD323</f>
        <v>23814641.18328454</v>
      </c>
      <c r="AF323">
        <f t="shared" si="79"/>
        <v>4388572.0206063567</v>
      </c>
      <c r="AG323">
        <f>MAX(0,(AE323-AF323-'Prepay vs Invest'!$B$16)*'Prepay vs Invest'!$B$15/100)</f>
        <v>2412633.6453347728</v>
      </c>
      <c r="AH323">
        <f t="shared" ref="AH323:AH361" si="86">AE323-AG323</f>
        <v>21402007.537949767</v>
      </c>
    </row>
    <row r="324" spans="1:34" x14ac:dyDescent="0.35">
      <c r="A324">
        <f t="shared" ref="A324:A361" si="87">A323+1</f>
        <v>323</v>
      </c>
      <c r="B324">
        <f>IF(A324&lt;='Prepay vs Invest'!$B$7*12,F323,0)</f>
        <v>0</v>
      </c>
      <c r="C324">
        <f>IF(B324&gt;0,B324*'Prepay vs Invest'!$B$6/1200,0)</f>
        <v>0</v>
      </c>
      <c r="D324">
        <f>IF(B324&gt;0,MIN(-PMT('Prepay vs Invest'!$B$6/1200,'Prepay vs Invest'!$B$7*12,'Prepay vs Invest'!$B$5),B324+C324),0)</f>
        <v>0</v>
      </c>
      <c r="E324">
        <f t="shared" si="80"/>
        <v>0</v>
      </c>
      <c r="F324">
        <f t="shared" si="81"/>
        <v>0</v>
      </c>
      <c r="G324">
        <f t="shared" ref="G324:G361" si="88">I323</f>
        <v>29840165.855394974</v>
      </c>
      <c r="H324">
        <f>IF(A324&lt;='Prepay vs Invest'!$B$7*12,IF(AND(A324&gt;='Prepay vs Invest'!$B$11,A324&lt;='Prepay vs Invest'!$B$12),'Prepay vs Invest'!$B$10,0)+IF(A324='Prepay vs Invest'!$B$9,'Prepay vs Invest'!$B$8,0),0)</f>
        <v>0</v>
      </c>
      <c r="I324">
        <f>G324*(1+MAX(0,'Prepay vs Invest'!$B$13-'Prepay vs Invest'!$B$14)/1200)+H324</f>
        <v>30126134.111509174</v>
      </c>
      <c r="J324">
        <f t="shared" ref="J324:J361" si="89">J323+H324</f>
        <v>2900000</v>
      </c>
      <c r="K324">
        <f>MAX(0,(I324-J324-'Prepay vs Invest'!$B$16)*'Prepay vs Invest'!$B$15/100)</f>
        <v>3387641.7639386468</v>
      </c>
      <c r="L324">
        <f t="shared" si="82"/>
        <v>26738492.347570527</v>
      </c>
      <c r="M324">
        <f t="shared" ref="M324:M361" si="90">Q323</f>
        <v>0</v>
      </c>
      <c r="N324">
        <f>IF(M324&gt;0,M324*'Prepay vs Invest'!$B$6/1200,0)</f>
        <v>0</v>
      </c>
      <c r="O324">
        <f>IF(M324&gt;0,MIN('Prepay vs Invest'!$E$5,M324+N324),0)</f>
        <v>0</v>
      </c>
      <c r="P324">
        <f>MIN(MAX(0,M324+N324-O324),IF(AND(A324&gt;='Prepay vs Invest'!$B$11,A324&lt;='Prepay vs Invest'!$B$12),'Prepay vs Invest'!$B$10,0)+IF(A324='Prepay vs Invest'!$B$9,'Prepay vs Invest'!$B$8,0))</f>
        <v>0</v>
      </c>
      <c r="Q324">
        <f t="shared" si="83"/>
        <v>0</v>
      </c>
      <c r="R324">
        <f t="shared" ref="R324:R361" si="91">T323</f>
        <v>18754470.025008973</v>
      </c>
      <c r="S324">
        <f>IF(A324&lt;='Prepay vs Invest'!$B$7*12,MAX(0,'Prepay vs Invest'!$E$5+IF(AND(A324&gt;='Prepay vs Invest'!$B$11,A324&lt;='Prepay vs Invest'!$B$12),'Prepay vs Invest'!$B$10,0)+IF(A324='Prepay vs Invest'!$B$9,'Prepay vs Invest'!$B$8,0)-O324-P324),0)</f>
        <v>0</v>
      </c>
      <c r="T324">
        <f>R324*(1+MAX(0,'Prepay vs Invest'!$B$13-'Prepay vs Invest'!$B$14)/1200)+S324</f>
        <v>18934200.362748642</v>
      </c>
      <c r="U324">
        <f t="shared" ref="U324:U361" si="92">U323+S324</f>
        <v>6133552.3707652809</v>
      </c>
      <c r="V324">
        <f>MAX(0,(T324-U324-'Prepay vs Invest'!$B$16)*'Prepay vs Invest'!$B$15/100)</f>
        <v>1584455.9989979202</v>
      </c>
      <c r="W324">
        <f t="shared" si="84"/>
        <v>17349744.363750722</v>
      </c>
      <c r="X324">
        <f t="shared" ref="X324:X361" si="93">AB323</f>
        <v>0</v>
      </c>
      <c r="Y324">
        <f>IF(X324&gt;0,X324*'Prepay vs Invest'!$B$6/1200,0)</f>
        <v>0</v>
      </c>
      <c r="Z324">
        <f>IF(X324&gt;0,MIN(-PMT('Prepay vs Invest'!$B$6/1200,'Prepay vs Invest'!$B$7*12-A324+1,X324),X324+Y324),0)</f>
        <v>0</v>
      </c>
      <c r="AA324">
        <f>MIN(MAX(0,X324+Y324-Z324),IF(AND(A324&gt;='Prepay vs Invest'!$B$11,A324&lt;='Prepay vs Invest'!$B$12),'Prepay vs Invest'!$B$10,0)+IF(A324='Prepay vs Invest'!$B$9,'Prepay vs Invest'!$B$8,0))</f>
        <v>0</v>
      </c>
      <c r="AB324">
        <f t="shared" si="85"/>
        <v>0</v>
      </c>
      <c r="AC324">
        <f t="shared" ref="AC324:AC361" si="94">AE323</f>
        <v>23814641.18328454</v>
      </c>
      <c r="AD324">
        <f>IF(A324&lt;='Prepay vs Invest'!$B$7*12,MAX(0,'Prepay vs Invest'!$E$5+IF(AND(A324&gt;='Prepay vs Invest'!$B$11,A324&lt;='Prepay vs Invest'!$B$12),'Prepay vs Invest'!$B$10,0)+IF(A324='Prepay vs Invest'!$B$9,'Prepay vs Invest'!$B$8,0)-Z324-AA324),0)</f>
        <v>0</v>
      </c>
      <c r="AE324">
        <f>AC324*(1+MAX(0,'Prepay vs Invest'!$B$13-'Prepay vs Invest'!$B$14)/1200)+AD324</f>
        <v>24042864.827957682</v>
      </c>
      <c r="AF324">
        <f t="shared" ref="AF324:AF361" si="95">AF323+AD324</f>
        <v>4388572.0206063567</v>
      </c>
      <c r="AG324">
        <f>MAX(0,(AE324-AF324-'Prepay vs Invest'!$B$16)*'Prepay vs Invest'!$B$15/100)</f>
        <v>2441161.6009189156</v>
      </c>
      <c r="AH324">
        <f t="shared" si="86"/>
        <v>21601703.227038767</v>
      </c>
    </row>
    <row r="325" spans="1:34" x14ac:dyDescent="0.35">
      <c r="A325">
        <f t="shared" si="87"/>
        <v>324</v>
      </c>
      <c r="B325">
        <f>IF(A325&lt;='Prepay vs Invest'!$B$7*12,F324,0)</f>
        <v>0</v>
      </c>
      <c r="C325">
        <f>IF(B325&gt;0,B325*'Prepay vs Invest'!$B$6/1200,0)</f>
        <v>0</v>
      </c>
      <c r="D325">
        <f>IF(B325&gt;0,MIN(-PMT('Prepay vs Invest'!$B$6/1200,'Prepay vs Invest'!$B$7*12,'Prepay vs Invest'!$B$5),B325+C325),0)</f>
        <v>0</v>
      </c>
      <c r="E325">
        <f t="shared" si="80"/>
        <v>0</v>
      </c>
      <c r="F325">
        <f t="shared" si="81"/>
        <v>0</v>
      </c>
      <c r="G325">
        <f t="shared" si="88"/>
        <v>30126134.111509174</v>
      </c>
      <c r="H325">
        <f>IF(A325&lt;='Prepay vs Invest'!$B$7*12,IF(AND(A325&gt;='Prepay vs Invest'!$B$11,A325&lt;='Prepay vs Invest'!$B$12),'Prepay vs Invest'!$B$10,0)+IF(A325='Prepay vs Invest'!$B$9,'Prepay vs Invest'!$B$8,0),0)</f>
        <v>0</v>
      </c>
      <c r="I325">
        <f>G325*(1+MAX(0,'Prepay vs Invest'!$B$13-'Prepay vs Invest'!$B$14)/1200)+H325</f>
        <v>30414842.896744467</v>
      </c>
      <c r="J325">
        <f t="shared" si="89"/>
        <v>2900000</v>
      </c>
      <c r="K325">
        <f>MAX(0,(I325-J325-'Prepay vs Invest'!$B$16)*'Prepay vs Invest'!$B$15/100)</f>
        <v>3423730.3620930584</v>
      </c>
      <c r="L325">
        <f t="shared" si="82"/>
        <v>26991112.53465141</v>
      </c>
      <c r="M325">
        <f t="shared" si="90"/>
        <v>0</v>
      </c>
      <c r="N325">
        <f>IF(M325&gt;0,M325*'Prepay vs Invest'!$B$6/1200,0)</f>
        <v>0</v>
      </c>
      <c r="O325">
        <f>IF(M325&gt;0,MIN('Prepay vs Invest'!$E$5,M325+N325),0)</f>
        <v>0</v>
      </c>
      <c r="P325">
        <f>MIN(MAX(0,M325+N325-O325),IF(AND(A325&gt;='Prepay vs Invest'!$B$11,A325&lt;='Prepay vs Invest'!$B$12),'Prepay vs Invest'!$B$10,0)+IF(A325='Prepay vs Invest'!$B$9,'Prepay vs Invest'!$B$8,0))</f>
        <v>0</v>
      </c>
      <c r="Q325">
        <f t="shared" si="83"/>
        <v>0</v>
      </c>
      <c r="R325">
        <f t="shared" si="91"/>
        <v>18934200.362748642</v>
      </c>
      <c r="S325">
        <f>IF(A325&lt;='Prepay vs Invest'!$B$7*12,MAX(0,'Prepay vs Invest'!$E$5+IF(AND(A325&gt;='Prepay vs Invest'!$B$11,A325&lt;='Prepay vs Invest'!$B$12),'Prepay vs Invest'!$B$10,0)+IF(A325='Prepay vs Invest'!$B$9,'Prepay vs Invest'!$B$8,0)-O325-P325),0)</f>
        <v>0</v>
      </c>
      <c r="T325">
        <f>R325*(1+MAX(0,'Prepay vs Invest'!$B$13-'Prepay vs Invest'!$B$14)/1200)+S325</f>
        <v>19115653.116224982</v>
      </c>
      <c r="U325">
        <f t="shared" si="92"/>
        <v>6133552.3707652809</v>
      </c>
      <c r="V325">
        <f>MAX(0,(T325-U325-'Prepay vs Invest'!$B$16)*'Prepay vs Invest'!$B$15/100)</f>
        <v>1607137.5931824627</v>
      </c>
      <c r="W325">
        <f t="shared" si="84"/>
        <v>17508515.523042519</v>
      </c>
      <c r="X325">
        <f t="shared" si="93"/>
        <v>0</v>
      </c>
      <c r="Y325">
        <f>IF(X325&gt;0,X325*'Prepay vs Invest'!$B$6/1200,0)</f>
        <v>0</v>
      </c>
      <c r="Z325">
        <f>IF(X325&gt;0,MIN(-PMT('Prepay vs Invest'!$B$6/1200,'Prepay vs Invest'!$B$7*12-A325+1,X325),X325+Y325),0)</f>
        <v>0</v>
      </c>
      <c r="AA325">
        <f>MIN(MAX(0,X325+Y325-Z325),IF(AND(A325&gt;='Prepay vs Invest'!$B$11,A325&lt;='Prepay vs Invest'!$B$12),'Prepay vs Invest'!$B$10,0)+IF(A325='Prepay vs Invest'!$B$9,'Prepay vs Invest'!$B$8,0))</f>
        <v>0</v>
      </c>
      <c r="AB325">
        <f t="shared" si="85"/>
        <v>0</v>
      </c>
      <c r="AC325">
        <f t="shared" si="94"/>
        <v>24042864.827957682</v>
      </c>
      <c r="AD325">
        <f>IF(A325&lt;='Prepay vs Invest'!$B$7*12,MAX(0,'Prepay vs Invest'!$E$5+IF(AND(A325&gt;='Prepay vs Invest'!$B$11,A325&lt;='Prepay vs Invest'!$B$12),'Prepay vs Invest'!$B$10,0)+IF(A325='Prepay vs Invest'!$B$9,'Prepay vs Invest'!$B$8,0)-Z325-AA325),0)</f>
        <v>0</v>
      </c>
      <c r="AE325">
        <f>AC325*(1+MAX(0,'Prepay vs Invest'!$B$13-'Prepay vs Invest'!$B$14)/1200)+AD325</f>
        <v>24273275.615892276</v>
      </c>
      <c r="AF325">
        <f t="shared" si="95"/>
        <v>4388572.0206063567</v>
      </c>
      <c r="AG325">
        <f>MAX(0,(AE325-AF325-'Prepay vs Invest'!$B$16)*'Prepay vs Invest'!$B$15/100)</f>
        <v>2469962.9494107398</v>
      </c>
      <c r="AH325">
        <f t="shared" si="86"/>
        <v>21803312.666481536</v>
      </c>
    </row>
    <row r="326" spans="1:34" x14ac:dyDescent="0.35">
      <c r="A326">
        <f t="shared" si="87"/>
        <v>325</v>
      </c>
      <c r="B326">
        <f>IF(A326&lt;='Prepay vs Invest'!$B$7*12,F325,0)</f>
        <v>0</v>
      </c>
      <c r="C326">
        <f>IF(B326&gt;0,B326*'Prepay vs Invest'!$B$6/1200,0)</f>
        <v>0</v>
      </c>
      <c r="D326">
        <f>IF(B326&gt;0,MIN(-PMT('Prepay vs Invest'!$B$6/1200,'Prepay vs Invest'!$B$7*12,'Prepay vs Invest'!$B$5),B326+C326),0)</f>
        <v>0</v>
      </c>
      <c r="E326">
        <f t="shared" si="80"/>
        <v>0</v>
      </c>
      <c r="F326">
        <f t="shared" si="81"/>
        <v>0</v>
      </c>
      <c r="G326">
        <f t="shared" si="88"/>
        <v>30414842.896744467</v>
      </c>
      <c r="H326">
        <f>IF(A326&lt;='Prepay vs Invest'!$B$7*12,IF(AND(A326&gt;='Prepay vs Invest'!$B$11,A326&lt;='Prepay vs Invest'!$B$12),'Prepay vs Invest'!$B$10,0)+IF(A326='Prepay vs Invest'!$B$9,'Prepay vs Invest'!$B$8,0),0)</f>
        <v>0</v>
      </c>
      <c r="I326">
        <f>G326*(1+MAX(0,'Prepay vs Invest'!$B$13-'Prepay vs Invest'!$B$14)/1200)+H326</f>
        <v>30706318.474504933</v>
      </c>
      <c r="J326">
        <f t="shared" si="89"/>
        <v>2900000</v>
      </c>
      <c r="K326">
        <f>MAX(0,(I326-J326-'Prepay vs Invest'!$B$16)*'Prepay vs Invest'!$B$15/100)</f>
        <v>3460164.8093131166</v>
      </c>
      <c r="L326">
        <f t="shared" si="82"/>
        <v>27246153.665191814</v>
      </c>
      <c r="M326">
        <f t="shared" si="90"/>
        <v>0</v>
      </c>
      <c r="N326">
        <f>IF(M326&gt;0,M326*'Prepay vs Invest'!$B$6/1200,0)</f>
        <v>0</v>
      </c>
      <c r="O326">
        <f>IF(M326&gt;0,MIN('Prepay vs Invest'!$E$5,M326+N326),0)</f>
        <v>0</v>
      </c>
      <c r="P326">
        <f>MIN(MAX(0,M326+N326-O326),IF(AND(A326&gt;='Prepay vs Invest'!$B$11,A326&lt;='Prepay vs Invest'!$B$12),'Prepay vs Invest'!$B$10,0)+IF(A326='Prepay vs Invest'!$B$9,'Prepay vs Invest'!$B$8,0))</f>
        <v>0</v>
      </c>
      <c r="Q326">
        <f t="shared" si="83"/>
        <v>0</v>
      </c>
      <c r="R326">
        <f t="shared" si="91"/>
        <v>19115653.116224982</v>
      </c>
      <c r="S326">
        <f>IF(A326&lt;='Prepay vs Invest'!$B$7*12,MAX(0,'Prepay vs Invest'!$E$5+IF(AND(A326&gt;='Prepay vs Invest'!$B$11,A326&lt;='Prepay vs Invest'!$B$12),'Prepay vs Invest'!$B$10,0)+IF(A326='Prepay vs Invest'!$B$9,'Prepay vs Invest'!$B$8,0)-O326-P326),0)</f>
        <v>0</v>
      </c>
      <c r="T326">
        <f>R326*(1+MAX(0,'Prepay vs Invest'!$B$13-'Prepay vs Invest'!$B$14)/1200)+S326</f>
        <v>19298844.791922137</v>
      </c>
      <c r="U326">
        <f t="shared" si="92"/>
        <v>6133552.3707652809</v>
      </c>
      <c r="V326">
        <f>MAX(0,(T326-U326-'Prepay vs Invest'!$B$16)*'Prepay vs Invest'!$B$15/100)</f>
        <v>1630036.5526446071</v>
      </c>
      <c r="W326">
        <f t="shared" si="84"/>
        <v>17668808.23927753</v>
      </c>
      <c r="X326">
        <f t="shared" si="93"/>
        <v>0</v>
      </c>
      <c r="Y326">
        <f>IF(X326&gt;0,X326*'Prepay vs Invest'!$B$6/1200,0)</f>
        <v>0</v>
      </c>
      <c r="Z326">
        <f>IF(X326&gt;0,MIN(-PMT('Prepay vs Invest'!$B$6/1200,'Prepay vs Invest'!$B$7*12-A326+1,X326),X326+Y326),0)</f>
        <v>0</v>
      </c>
      <c r="AA326">
        <f>MIN(MAX(0,X326+Y326-Z326),IF(AND(A326&gt;='Prepay vs Invest'!$B$11,A326&lt;='Prepay vs Invest'!$B$12),'Prepay vs Invest'!$B$10,0)+IF(A326='Prepay vs Invest'!$B$9,'Prepay vs Invest'!$B$8,0))</f>
        <v>0</v>
      </c>
      <c r="AB326">
        <f t="shared" si="85"/>
        <v>0</v>
      </c>
      <c r="AC326">
        <f t="shared" si="94"/>
        <v>24273275.615892276</v>
      </c>
      <c r="AD326">
        <f>IF(A326&lt;='Prepay vs Invest'!$B$7*12,MAX(0,'Prepay vs Invest'!$E$5+IF(AND(A326&gt;='Prepay vs Invest'!$B$11,A326&lt;='Prepay vs Invest'!$B$12),'Prepay vs Invest'!$B$10,0)+IF(A326='Prepay vs Invest'!$B$9,'Prepay vs Invest'!$B$8,0)-Z326-AA326),0)</f>
        <v>0</v>
      </c>
      <c r="AE326">
        <f>AC326*(1+MAX(0,'Prepay vs Invest'!$B$13-'Prepay vs Invest'!$B$14)/1200)+AD326</f>
        <v>24505894.507211242</v>
      </c>
      <c r="AF326">
        <f t="shared" si="95"/>
        <v>4388572.0206063567</v>
      </c>
      <c r="AG326">
        <f>MAX(0,(AE326-AF326-'Prepay vs Invest'!$B$16)*'Prepay vs Invest'!$B$15/100)</f>
        <v>2499040.3108256105</v>
      </c>
      <c r="AH326">
        <f t="shared" si="86"/>
        <v>22006854.196385629</v>
      </c>
    </row>
    <row r="327" spans="1:34" x14ac:dyDescent="0.35">
      <c r="A327">
        <f t="shared" si="87"/>
        <v>326</v>
      </c>
      <c r="B327">
        <f>IF(A327&lt;='Prepay vs Invest'!$B$7*12,F326,0)</f>
        <v>0</v>
      </c>
      <c r="C327">
        <f>IF(B327&gt;0,B327*'Prepay vs Invest'!$B$6/1200,0)</f>
        <v>0</v>
      </c>
      <c r="D327">
        <f>IF(B327&gt;0,MIN(-PMT('Prepay vs Invest'!$B$6/1200,'Prepay vs Invest'!$B$7*12,'Prepay vs Invest'!$B$5),B327+C327),0)</f>
        <v>0</v>
      </c>
      <c r="E327">
        <f t="shared" si="80"/>
        <v>0</v>
      </c>
      <c r="F327">
        <f t="shared" si="81"/>
        <v>0</v>
      </c>
      <c r="G327">
        <f t="shared" si="88"/>
        <v>30706318.474504933</v>
      </c>
      <c r="H327">
        <f>IF(A327&lt;='Prepay vs Invest'!$B$7*12,IF(AND(A327&gt;='Prepay vs Invest'!$B$11,A327&lt;='Prepay vs Invest'!$B$12),'Prepay vs Invest'!$B$10,0)+IF(A327='Prepay vs Invest'!$B$9,'Prepay vs Invest'!$B$8,0),0)</f>
        <v>0</v>
      </c>
      <c r="I327">
        <f>G327*(1+MAX(0,'Prepay vs Invest'!$B$13-'Prepay vs Invest'!$B$14)/1200)+H327</f>
        <v>31000587.359885603</v>
      </c>
      <c r="J327">
        <f t="shared" si="89"/>
        <v>2900000</v>
      </c>
      <c r="K327">
        <f>MAX(0,(I327-J327-'Prepay vs Invest'!$B$16)*'Prepay vs Invest'!$B$15/100)</f>
        <v>3496948.4199857004</v>
      </c>
      <c r="L327">
        <f t="shared" si="82"/>
        <v>27503638.939899903</v>
      </c>
      <c r="M327">
        <f t="shared" si="90"/>
        <v>0</v>
      </c>
      <c r="N327">
        <f>IF(M327&gt;0,M327*'Prepay vs Invest'!$B$6/1200,0)</f>
        <v>0</v>
      </c>
      <c r="O327">
        <f>IF(M327&gt;0,MIN('Prepay vs Invest'!$E$5,M327+N327),0)</f>
        <v>0</v>
      </c>
      <c r="P327">
        <f>MIN(MAX(0,M327+N327-O327),IF(AND(A327&gt;='Prepay vs Invest'!$B$11,A327&lt;='Prepay vs Invest'!$B$12),'Prepay vs Invest'!$B$10,0)+IF(A327='Prepay vs Invest'!$B$9,'Prepay vs Invest'!$B$8,0))</f>
        <v>0</v>
      </c>
      <c r="Q327">
        <f t="shared" si="83"/>
        <v>0</v>
      </c>
      <c r="R327">
        <f t="shared" si="91"/>
        <v>19298844.791922137</v>
      </c>
      <c r="S327">
        <f>IF(A327&lt;='Prepay vs Invest'!$B$7*12,MAX(0,'Prepay vs Invest'!$E$5+IF(AND(A327&gt;='Prepay vs Invest'!$B$11,A327&lt;='Prepay vs Invest'!$B$12),'Prepay vs Invest'!$B$10,0)+IF(A327='Prepay vs Invest'!$B$9,'Prepay vs Invest'!$B$8,0)-O327-P327),0)</f>
        <v>0</v>
      </c>
      <c r="T327">
        <f>R327*(1+MAX(0,'Prepay vs Invest'!$B$13-'Prepay vs Invest'!$B$14)/1200)+S327</f>
        <v>19483792.054511391</v>
      </c>
      <c r="U327">
        <f t="shared" si="92"/>
        <v>6133552.3707652809</v>
      </c>
      <c r="V327">
        <f>MAX(0,(T327-U327-'Prepay vs Invest'!$B$16)*'Prepay vs Invest'!$B$15/100)</f>
        <v>1653154.9604682638</v>
      </c>
      <c r="W327">
        <f t="shared" si="84"/>
        <v>17830637.094043128</v>
      </c>
      <c r="X327">
        <f t="shared" si="93"/>
        <v>0</v>
      </c>
      <c r="Y327">
        <f>IF(X327&gt;0,X327*'Prepay vs Invest'!$B$6/1200,0)</f>
        <v>0</v>
      </c>
      <c r="Z327">
        <f>IF(X327&gt;0,MIN(-PMT('Prepay vs Invest'!$B$6/1200,'Prepay vs Invest'!$B$7*12-A327+1,X327),X327+Y327),0)</f>
        <v>0</v>
      </c>
      <c r="AA327">
        <f>MIN(MAX(0,X327+Y327-Z327),IF(AND(A327&gt;='Prepay vs Invest'!$B$11,A327&lt;='Prepay vs Invest'!$B$12),'Prepay vs Invest'!$B$10,0)+IF(A327='Prepay vs Invest'!$B$9,'Prepay vs Invest'!$B$8,0))</f>
        <v>0</v>
      </c>
      <c r="AB327">
        <f t="shared" si="85"/>
        <v>0</v>
      </c>
      <c r="AC327">
        <f t="shared" si="94"/>
        <v>24505894.507211242</v>
      </c>
      <c r="AD327">
        <f>IF(A327&lt;='Prepay vs Invest'!$B$7*12,MAX(0,'Prepay vs Invest'!$E$5+IF(AND(A327&gt;='Prepay vs Invest'!$B$11,A327&lt;='Prepay vs Invest'!$B$12),'Prepay vs Invest'!$B$10,0)+IF(A327='Prepay vs Invest'!$B$9,'Prepay vs Invest'!$B$8,0)-Z327-AA327),0)</f>
        <v>0</v>
      </c>
      <c r="AE327">
        <f>AC327*(1+MAX(0,'Prepay vs Invest'!$B$13-'Prepay vs Invest'!$B$14)/1200)+AD327</f>
        <v>24740742.662905347</v>
      </c>
      <c r="AF327">
        <f t="shared" si="95"/>
        <v>4388572.0206063567</v>
      </c>
      <c r="AG327">
        <f>MAX(0,(AE327-AF327-'Prepay vs Invest'!$B$16)*'Prepay vs Invest'!$B$15/100)</f>
        <v>2528396.3302873736</v>
      </c>
      <c r="AH327">
        <f t="shared" si="86"/>
        <v>22212346.332617972</v>
      </c>
    </row>
    <row r="328" spans="1:34" x14ac:dyDescent="0.35">
      <c r="A328">
        <f t="shared" si="87"/>
        <v>327</v>
      </c>
      <c r="B328">
        <f>IF(A328&lt;='Prepay vs Invest'!$B$7*12,F327,0)</f>
        <v>0</v>
      </c>
      <c r="C328">
        <f>IF(B328&gt;0,B328*'Prepay vs Invest'!$B$6/1200,0)</f>
        <v>0</v>
      </c>
      <c r="D328">
        <f>IF(B328&gt;0,MIN(-PMT('Prepay vs Invest'!$B$6/1200,'Prepay vs Invest'!$B$7*12,'Prepay vs Invest'!$B$5),B328+C328),0)</f>
        <v>0</v>
      </c>
      <c r="E328">
        <f t="shared" si="80"/>
        <v>0</v>
      </c>
      <c r="F328">
        <f t="shared" si="81"/>
        <v>0</v>
      </c>
      <c r="G328">
        <f t="shared" si="88"/>
        <v>31000587.359885603</v>
      </c>
      <c r="H328">
        <f>IF(A328&lt;='Prepay vs Invest'!$B$7*12,IF(AND(A328&gt;='Prepay vs Invest'!$B$11,A328&lt;='Prepay vs Invest'!$B$12),'Prepay vs Invest'!$B$10,0)+IF(A328='Prepay vs Invest'!$B$9,'Prepay vs Invest'!$B$8,0),0)</f>
        <v>0</v>
      </c>
      <c r="I328">
        <f>G328*(1+MAX(0,'Prepay vs Invest'!$B$13-'Prepay vs Invest'!$B$14)/1200)+H328</f>
        <v>31297676.322084505</v>
      </c>
      <c r="J328">
        <f t="shared" si="89"/>
        <v>2900000</v>
      </c>
      <c r="K328">
        <f>MAX(0,(I328-J328-'Prepay vs Invest'!$B$16)*'Prepay vs Invest'!$B$15/100)</f>
        <v>3534084.5402605627</v>
      </c>
      <c r="L328">
        <f t="shared" si="82"/>
        <v>27763591.781823941</v>
      </c>
      <c r="M328">
        <f t="shared" si="90"/>
        <v>0</v>
      </c>
      <c r="N328">
        <f>IF(M328&gt;0,M328*'Prepay vs Invest'!$B$6/1200,0)</f>
        <v>0</v>
      </c>
      <c r="O328">
        <f>IF(M328&gt;0,MIN('Prepay vs Invest'!$E$5,M328+N328),0)</f>
        <v>0</v>
      </c>
      <c r="P328">
        <f>MIN(MAX(0,M328+N328-O328),IF(AND(A328&gt;='Prepay vs Invest'!$B$11,A328&lt;='Prepay vs Invest'!$B$12),'Prepay vs Invest'!$B$10,0)+IF(A328='Prepay vs Invest'!$B$9,'Prepay vs Invest'!$B$8,0))</f>
        <v>0</v>
      </c>
      <c r="Q328">
        <f t="shared" si="83"/>
        <v>0</v>
      </c>
      <c r="R328">
        <f t="shared" si="91"/>
        <v>19483792.054511391</v>
      </c>
      <c r="S328">
        <f>IF(A328&lt;='Prepay vs Invest'!$B$7*12,MAX(0,'Prepay vs Invest'!$E$5+IF(AND(A328&gt;='Prepay vs Invest'!$B$11,A328&lt;='Prepay vs Invest'!$B$12),'Prepay vs Invest'!$B$10,0)+IF(A328='Prepay vs Invest'!$B$9,'Prepay vs Invest'!$B$8,0)-O328-P328),0)</f>
        <v>0</v>
      </c>
      <c r="T328">
        <f>R328*(1+MAX(0,'Prepay vs Invest'!$B$13-'Prepay vs Invest'!$B$14)/1200)+S328</f>
        <v>19670511.728367124</v>
      </c>
      <c r="U328">
        <f t="shared" si="92"/>
        <v>6133552.3707652809</v>
      </c>
      <c r="V328">
        <f>MAX(0,(T328-U328-'Prepay vs Invest'!$B$16)*'Prepay vs Invest'!$B$15/100)</f>
        <v>1676494.9197002305</v>
      </c>
      <c r="W328">
        <f t="shared" si="84"/>
        <v>17994016.808666892</v>
      </c>
      <c r="X328">
        <f t="shared" si="93"/>
        <v>0</v>
      </c>
      <c r="Y328">
        <f>IF(X328&gt;0,X328*'Prepay vs Invest'!$B$6/1200,0)</f>
        <v>0</v>
      </c>
      <c r="Z328">
        <f>IF(X328&gt;0,MIN(-PMT('Prepay vs Invest'!$B$6/1200,'Prepay vs Invest'!$B$7*12-A328+1,X328),X328+Y328),0)</f>
        <v>0</v>
      </c>
      <c r="AA328">
        <f>MIN(MAX(0,X328+Y328-Z328),IF(AND(A328&gt;='Prepay vs Invest'!$B$11,A328&lt;='Prepay vs Invest'!$B$12),'Prepay vs Invest'!$B$10,0)+IF(A328='Prepay vs Invest'!$B$9,'Prepay vs Invest'!$B$8,0))</f>
        <v>0</v>
      </c>
      <c r="AB328">
        <f t="shared" si="85"/>
        <v>0</v>
      </c>
      <c r="AC328">
        <f t="shared" si="94"/>
        <v>24740742.662905347</v>
      </c>
      <c r="AD328">
        <f>IF(A328&lt;='Prepay vs Invest'!$B$7*12,MAX(0,'Prepay vs Invest'!$E$5+IF(AND(A328&gt;='Prepay vs Invest'!$B$11,A328&lt;='Prepay vs Invest'!$B$12),'Prepay vs Invest'!$B$10,0)+IF(A328='Prepay vs Invest'!$B$9,'Prepay vs Invest'!$B$8,0)-Z328-AA328),0)</f>
        <v>0</v>
      </c>
      <c r="AE328">
        <f>AC328*(1+MAX(0,'Prepay vs Invest'!$B$13-'Prepay vs Invest'!$B$14)/1200)+AD328</f>
        <v>24977841.446758188</v>
      </c>
      <c r="AF328">
        <f t="shared" si="95"/>
        <v>4388572.0206063567</v>
      </c>
      <c r="AG328">
        <f>MAX(0,(AE328-AF328-'Prepay vs Invest'!$B$16)*'Prepay vs Invest'!$B$15/100)</f>
        <v>2558033.6782689788</v>
      </c>
      <c r="AH328">
        <f t="shared" si="86"/>
        <v>22419807.768489208</v>
      </c>
    </row>
    <row r="329" spans="1:34" x14ac:dyDescent="0.35">
      <c r="A329">
        <f t="shared" si="87"/>
        <v>328</v>
      </c>
      <c r="B329">
        <f>IF(A329&lt;='Prepay vs Invest'!$B$7*12,F328,0)</f>
        <v>0</v>
      </c>
      <c r="C329">
        <f>IF(B329&gt;0,B329*'Prepay vs Invest'!$B$6/1200,0)</f>
        <v>0</v>
      </c>
      <c r="D329">
        <f>IF(B329&gt;0,MIN(-PMT('Prepay vs Invest'!$B$6/1200,'Prepay vs Invest'!$B$7*12,'Prepay vs Invest'!$B$5),B329+C329),0)</f>
        <v>0</v>
      </c>
      <c r="E329">
        <f t="shared" si="80"/>
        <v>0</v>
      </c>
      <c r="F329">
        <f t="shared" si="81"/>
        <v>0</v>
      </c>
      <c r="G329">
        <f t="shared" si="88"/>
        <v>31297676.322084505</v>
      </c>
      <c r="H329">
        <f>IF(A329&lt;='Prepay vs Invest'!$B$7*12,IF(AND(A329&gt;='Prepay vs Invest'!$B$11,A329&lt;='Prepay vs Invest'!$B$12),'Prepay vs Invest'!$B$10,0)+IF(A329='Prepay vs Invest'!$B$9,'Prepay vs Invest'!$B$8,0),0)</f>
        <v>0</v>
      </c>
      <c r="I329">
        <f>G329*(1+MAX(0,'Prepay vs Invest'!$B$13-'Prepay vs Invest'!$B$14)/1200)+H329</f>
        <v>31597612.386837814</v>
      </c>
      <c r="J329">
        <f t="shared" si="89"/>
        <v>2900000</v>
      </c>
      <c r="K329">
        <f>MAX(0,(I329-J329-'Prepay vs Invest'!$B$16)*'Prepay vs Invest'!$B$15/100)</f>
        <v>3571576.5483547272</v>
      </c>
      <c r="L329">
        <f t="shared" si="82"/>
        <v>28026035.838483088</v>
      </c>
      <c r="M329">
        <f t="shared" si="90"/>
        <v>0</v>
      </c>
      <c r="N329">
        <f>IF(M329&gt;0,M329*'Prepay vs Invest'!$B$6/1200,0)</f>
        <v>0</v>
      </c>
      <c r="O329">
        <f>IF(M329&gt;0,MIN('Prepay vs Invest'!$E$5,M329+N329),0)</f>
        <v>0</v>
      </c>
      <c r="P329">
        <f>MIN(MAX(0,M329+N329-O329),IF(AND(A329&gt;='Prepay vs Invest'!$B$11,A329&lt;='Prepay vs Invest'!$B$12),'Prepay vs Invest'!$B$10,0)+IF(A329='Prepay vs Invest'!$B$9,'Prepay vs Invest'!$B$8,0))</f>
        <v>0</v>
      </c>
      <c r="Q329">
        <f t="shared" si="83"/>
        <v>0</v>
      </c>
      <c r="R329">
        <f t="shared" si="91"/>
        <v>19670511.728367124</v>
      </c>
      <c r="S329">
        <f>IF(A329&lt;='Prepay vs Invest'!$B$7*12,MAX(0,'Prepay vs Invest'!$E$5+IF(AND(A329&gt;='Prepay vs Invest'!$B$11,A329&lt;='Prepay vs Invest'!$B$12),'Prepay vs Invest'!$B$10,0)+IF(A329='Prepay vs Invest'!$B$9,'Prepay vs Invest'!$B$8,0)-O329-P329),0)</f>
        <v>0</v>
      </c>
      <c r="T329">
        <f>R329*(1+MAX(0,'Prepay vs Invest'!$B$13-'Prepay vs Invest'!$B$14)/1200)+S329</f>
        <v>19859020.799097307</v>
      </c>
      <c r="U329">
        <f t="shared" si="92"/>
        <v>6133552.3707652809</v>
      </c>
      <c r="V329">
        <f>MAX(0,(T329-U329-'Prepay vs Invest'!$B$16)*'Prepay vs Invest'!$B$15/100)</f>
        <v>1700058.5535415031</v>
      </c>
      <c r="W329">
        <f t="shared" si="84"/>
        <v>18158962.245555803</v>
      </c>
      <c r="X329">
        <f t="shared" si="93"/>
        <v>0</v>
      </c>
      <c r="Y329">
        <f>IF(X329&gt;0,X329*'Prepay vs Invest'!$B$6/1200,0)</f>
        <v>0</v>
      </c>
      <c r="Z329">
        <f>IF(X329&gt;0,MIN(-PMT('Prepay vs Invest'!$B$6/1200,'Prepay vs Invest'!$B$7*12-A329+1,X329),X329+Y329),0)</f>
        <v>0</v>
      </c>
      <c r="AA329">
        <f>MIN(MAX(0,X329+Y329-Z329),IF(AND(A329&gt;='Prepay vs Invest'!$B$11,A329&lt;='Prepay vs Invest'!$B$12),'Prepay vs Invest'!$B$10,0)+IF(A329='Prepay vs Invest'!$B$9,'Prepay vs Invest'!$B$8,0))</f>
        <v>0</v>
      </c>
      <c r="AB329">
        <f t="shared" si="85"/>
        <v>0</v>
      </c>
      <c r="AC329">
        <f t="shared" si="94"/>
        <v>24977841.446758188</v>
      </c>
      <c r="AD329">
        <f>IF(A329&lt;='Prepay vs Invest'!$B$7*12,MAX(0,'Prepay vs Invest'!$E$5+IF(AND(A329&gt;='Prepay vs Invest'!$B$11,A329&lt;='Prepay vs Invest'!$B$12),'Prepay vs Invest'!$B$10,0)+IF(A329='Prepay vs Invest'!$B$9,'Prepay vs Invest'!$B$8,0)-Z329-AA329),0)</f>
        <v>0</v>
      </c>
      <c r="AE329">
        <f>AC329*(1+MAX(0,'Prepay vs Invest'!$B$13-'Prepay vs Invest'!$B$14)/1200)+AD329</f>
        <v>25217212.42728962</v>
      </c>
      <c r="AF329">
        <f t="shared" si="95"/>
        <v>4388572.0206063567</v>
      </c>
      <c r="AG329">
        <f>MAX(0,(AE329-AF329-'Prepay vs Invest'!$B$16)*'Prepay vs Invest'!$B$15/100)</f>
        <v>2587955.0508354078</v>
      </c>
      <c r="AH329">
        <f t="shared" si="86"/>
        <v>22629257.376454212</v>
      </c>
    </row>
    <row r="330" spans="1:34" x14ac:dyDescent="0.35">
      <c r="A330">
        <f t="shared" si="87"/>
        <v>329</v>
      </c>
      <c r="B330">
        <f>IF(A330&lt;='Prepay vs Invest'!$B$7*12,F329,0)</f>
        <v>0</v>
      </c>
      <c r="C330">
        <f>IF(B330&gt;0,B330*'Prepay vs Invest'!$B$6/1200,0)</f>
        <v>0</v>
      </c>
      <c r="D330">
        <f>IF(B330&gt;0,MIN(-PMT('Prepay vs Invest'!$B$6/1200,'Prepay vs Invest'!$B$7*12,'Prepay vs Invest'!$B$5),B330+C330),0)</f>
        <v>0</v>
      </c>
      <c r="E330">
        <f t="shared" si="80"/>
        <v>0</v>
      </c>
      <c r="F330">
        <f t="shared" si="81"/>
        <v>0</v>
      </c>
      <c r="G330">
        <f t="shared" si="88"/>
        <v>31597612.386837814</v>
      </c>
      <c r="H330">
        <f>IF(A330&lt;='Prepay vs Invest'!$B$7*12,IF(AND(A330&gt;='Prepay vs Invest'!$B$11,A330&lt;='Prepay vs Invest'!$B$12),'Prepay vs Invest'!$B$10,0)+IF(A330='Prepay vs Invest'!$B$9,'Prepay vs Invest'!$B$8,0),0)</f>
        <v>0</v>
      </c>
      <c r="I330">
        <f>G330*(1+MAX(0,'Prepay vs Invest'!$B$13-'Prepay vs Invest'!$B$14)/1200)+H330</f>
        <v>31900422.838878341</v>
      </c>
      <c r="J330">
        <f t="shared" si="89"/>
        <v>2900000</v>
      </c>
      <c r="K330">
        <f>MAX(0,(I330-J330-'Prepay vs Invest'!$B$16)*'Prepay vs Invest'!$B$15/100)</f>
        <v>3609427.8548597926</v>
      </c>
      <c r="L330">
        <f t="shared" si="82"/>
        <v>28290994.984018549</v>
      </c>
      <c r="M330">
        <f t="shared" si="90"/>
        <v>0</v>
      </c>
      <c r="N330">
        <f>IF(M330&gt;0,M330*'Prepay vs Invest'!$B$6/1200,0)</f>
        <v>0</v>
      </c>
      <c r="O330">
        <f>IF(M330&gt;0,MIN('Prepay vs Invest'!$E$5,M330+N330),0)</f>
        <v>0</v>
      </c>
      <c r="P330">
        <f>MIN(MAX(0,M330+N330-O330),IF(AND(A330&gt;='Prepay vs Invest'!$B$11,A330&lt;='Prepay vs Invest'!$B$12),'Prepay vs Invest'!$B$10,0)+IF(A330='Prepay vs Invest'!$B$9,'Prepay vs Invest'!$B$8,0))</f>
        <v>0</v>
      </c>
      <c r="Q330">
        <f t="shared" si="83"/>
        <v>0</v>
      </c>
      <c r="R330">
        <f t="shared" si="91"/>
        <v>19859020.799097307</v>
      </c>
      <c r="S330">
        <f>IF(A330&lt;='Prepay vs Invest'!$B$7*12,MAX(0,'Prepay vs Invest'!$E$5+IF(AND(A330&gt;='Prepay vs Invest'!$B$11,A330&lt;='Prepay vs Invest'!$B$12),'Prepay vs Invest'!$B$10,0)+IF(A330='Prepay vs Invest'!$B$9,'Prepay vs Invest'!$B$8,0)-O330-P330),0)</f>
        <v>0</v>
      </c>
      <c r="T330">
        <f>R330*(1+MAX(0,'Prepay vs Invest'!$B$13-'Prepay vs Invest'!$B$14)/1200)+S330</f>
        <v>20049336.415088654</v>
      </c>
      <c r="U330">
        <f t="shared" si="92"/>
        <v>6133552.3707652809</v>
      </c>
      <c r="V330">
        <f>MAX(0,(T330-U330-'Prepay vs Invest'!$B$16)*'Prepay vs Invest'!$B$15/100)</f>
        <v>1723848.0055404217</v>
      </c>
      <c r="W330">
        <f t="shared" si="84"/>
        <v>18325488.40954823</v>
      </c>
      <c r="X330">
        <f t="shared" si="93"/>
        <v>0</v>
      </c>
      <c r="Y330">
        <f>IF(X330&gt;0,X330*'Prepay vs Invest'!$B$6/1200,0)</f>
        <v>0</v>
      </c>
      <c r="Z330">
        <f>IF(X330&gt;0,MIN(-PMT('Prepay vs Invest'!$B$6/1200,'Prepay vs Invest'!$B$7*12-A330+1,X330),X330+Y330),0)</f>
        <v>0</v>
      </c>
      <c r="AA330">
        <f>MIN(MAX(0,X330+Y330-Z330),IF(AND(A330&gt;='Prepay vs Invest'!$B$11,A330&lt;='Prepay vs Invest'!$B$12),'Prepay vs Invest'!$B$10,0)+IF(A330='Prepay vs Invest'!$B$9,'Prepay vs Invest'!$B$8,0))</f>
        <v>0</v>
      </c>
      <c r="AB330">
        <f t="shared" si="85"/>
        <v>0</v>
      </c>
      <c r="AC330">
        <f t="shared" si="94"/>
        <v>25217212.42728962</v>
      </c>
      <c r="AD330">
        <f>IF(A330&lt;='Prepay vs Invest'!$B$7*12,MAX(0,'Prepay vs Invest'!$E$5+IF(AND(A330&gt;='Prepay vs Invest'!$B$11,A330&lt;='Prepay vs Invest'!$B$12),'Prepay vs Invest'!$B$10,0)+IF(A330='Prepay vs Invest'!$B$9,'Prepay vs Invest'!$B$8,0)-Z330-AA330),0)</f>
        <v>0</v>
      </c>
      <c r="AE330">
        <f>AC330*(1+MAX(0,'Prepay vs Invest'!$B$13-'Prepay vs Invest'!$B$14)/1200)+AD330</f>
        <v>25458877.379717812</v>
      </c>
      <c r="AF330">
        <f t="shared" si="95"/>
        <v>4388572.0206063567</v>
      </c>
      <c r="AG330">
        <f>MAX(0,(AE330-AF330-'Prepay vs Invest'!$B$16)*'Prepay vs Invest'!$B$15/100)</f>
        <v>2618163.1698889318</v>
      </c>
      <c r="AH330">
        <f t="shared" si="86"/>
        <v>22840714.20982888</v>
      </c>
    </row>
    <row r="331" spans="1:34" x14ac:dyDescent="0.35">
      <c r="A331">
        <f t="shared" si="87"/>
        <v>330</v>
      </c>
      <c r="B331">
        <f>IF(A331&lt;='Prepay vs Invest'!$B$7*12,F330,0)</f>
        <v>0</v>
      </c>
      <c r="C331">
        <f>IF(B331&gt;0,B331*'Prepay vs Invest'!$B$6/1200,0)</f>
        <v>0</v>
      </c>
      <c r="D331">
        <f>IF(B331&gt;0,MIN(-PMT('Prepay vs Invest'!$B$6/1200,'Prepay vs Invest'!$B$7*12,'Prepay vs Invest'!$B$5),B331+C331),0)</f>
        <v>0</v>
      </c>
      <c r="E331">
        <f t="shared" si="80"/>
        <v>0</v>
      </c>
      <c r="F331">
        <f t="shared" si="81"/>
        <v>0</v>
      </c>
      <c r="G331">
        <f t="shared" si="88"/>
        <v>31900422.838878341</v>
      </c>
      <c r="H331">
        <f>IF(A331&lt;='Prepay vs Invest'!$B$7*12,IF(AND(A331&gt;='Prepay vs Invest'!$B$11,A331&lt;='Prepay vs Invest'!$B$12),'Prepay vs Invest'!$B$10,0)+IF(A331='Prepay vs Invest'!$B$9,'Prepay vs Invest'!$B$8,0),0)</f>
        <v>0</v>
      </c>
      <c r="I331">
        <f>G331*(1+MAX(0,'Prepay vs Invest'!$B$13-'Prepay vs Invest'!$B$14)/1200)+H331</f>
        <v>32206135.22441759</v>
      </c>
      <c r="J331">
        <f t="shared" si="89"/>
        <v>2900000</v>
      </c>
      <c r="K331">
        <f>MAX(0,(I331-J331-'Prepay vs Invest'!$B$16)*'Prepay vs Invest'!$B$15/100)</f>
        <v>3647641.9030521987</v>
      </c>
      <c r="L331">
        <f t="shared" si="82"/>
        <v>28558493.32136539</v>
      </c>
      <c r="M331">
        <f t="shared" si="90"/>
        <v>0</v>
      </c>
      <c r="N331">
        <f>IF(M331&gt;0,M331*'Prepay vs Invest'!$B$6/1200,0)</f>
        <v>0</v>
      </c>
      <c r="O331">
        <f>IF(M331&gt;0,MIN('Prepay vs Invest'!$E$5,M331+N331),0)</f>
        <v>0</v>
      </c>
      <c r="P331">
        <f>MIN(MAX(0,M331+N331-O331),IF(AND(A331&gt;='Prepay vs Invest'!$B$11,A331&lt;='Prepay vs Invest'!$B$12),'Prepay vs Invest'!$B$10,0)+IF(A331='Prepay vs Invest'!$B$9,'Prepay vs Invest'!$B$8,0))</f>
        <v>0</v>
      </c>
      <c r="Q331">
        <f t="shared" si="83"/>
        <v>0</v>
      </c>
      <c r="R331">
        <f t="shared" si="91"/>
        <v>20049336.415088654</v>
      </c>
      <c r="S331">
        <f>IF(A331&lt;='Prepay vs Invest'!$B$7*12,MAX(0,'Prepay vs Invest'!$E$5+IF(AND(A331&gt;='Prepay vs Invest'!$B$11,A331&lt;='Prepay vs Invest'!$B$12),'Prepay vs Invest'!$B$10,0)+IF(A331='Prepay vs Invest'!$B$9,'Prepay vs Invest'!$B$8,0)-O331-P331),0)</f>
        <v>0</v>
      </c>
      <c r="T331">
        <f>R331*(1+MAX(0,'Prepay vs Invest'!$B$13-'Prepay vs Invest'!$B$14)/1200)+S331</f>
        <v>20241475.889066584</v>
      </c>
      <c r="U331">
        <f t="shared" si="92"/>
        <v>6133552.3707652809</v>
      </c>
      <c r="V331">
        <f>MAX(0,(T331-U331-'Prepay vs Invest'!$B$16)*'Prepay vs Invest'!$B$15/100)</f>
        <v>1747865.4397876628</v>
      </c>
      <c r="W331">
        <f t="shared" si="84"/>
        <v>18493610.449278921</v>
      </c>
      <c r="X331">
        <f t="shared" si="93"/>
        <v>0</v>
      </c>
      <c r="Y331">
        <f>IF(X331&gt;0,X331*'Prepay vs Invest'!$B$6/1200,0)</f>
        <v>0</v>
      </c>
      <c r="Z331">
        <f>IF(X331&gt;0,MIN(-PMT('Prepay vs Invest'!$B$6/1200,'Prepay vs Invest'!$B$7*12-A331+1,X331),X331+Y331),0)</f>
        <v>0</v>
      </c>
      <c r="AA331">
        <f>MIN(MAX(0,X331+Y331-Z331),IF(AND(A331&gt;='Prepay vs Invest'!$B$11,A331&lt;='Prepay vs Invest'!$B$12),'Prepay vs Invest'!$B$10,0)+IF(A331='Prepay vs Invest'!$B$9,'Prepay vs Invest'!$B$8,0))</f>
        <v>0</v>
      </c>
      <c r="AB331">
        <f t="shared" si="85"/>
        <v>0</v>
      </c>
      <c r="AC331">
        <f t="shared" si="94"/>
        <v>25458877.379717812</v>
      </c>
      <c r="AD331">
        <f>IF(A331&lt;='Prepay vs Invest'!$B$7*12,MAX(0,'Prepay vs Invest'!$E$5+IF(AND(A331&gt;='Prepay vs Invest'!$B$11,A331&lt;='Prepay vs Invest'!$B$12),'Prepay vs Invest'!$B$10,0)+IF(A331='Prepay vs Invest'!$B$9,'Prepay vs Invest'!$B$8,0)-Z331-AA331),0)</f>
        <v>0</v>
      </c>
      <c r="AE331">
        <f>AC331*(1+MAX(0,'Prepay vs Invest'!$B$13-'Prepay vs Invest'!$B$14)/1200)+AD331</f>
        <v>25702858.287940107</v>
      </c>
      <c r="AF331">
        <f t="shared" si="95"/>
        <v>4388572.0206063567</v>
      </c>
      <c r="AG331">
        <f>MAX(0,(AE331-AF331-'Prepay vs Invest'!$B$16)*'Prepay vs Invest'!$B$15/100)</f>
        <v>2648660.7834167187</v>
      </c>
      <c r="AH331">
        <f t="shared" si="86"/>
        <v>23054197.504523389</v>
      </c>
    </row>
    <row r="332" spans="1:34" x14ac:dyDescent="0.35">
      <c r="A332">
        <f t="shared" si="87"/>
        <v>331</v>
      </c>
      <c r="B332">
        <f>IF(A332&lt;='Prepay vs Invest'!$B$7*12,F331,0)</f>
        <v>0</v>
      </c>
      <c r="C332">
        <f>IF(B332&gt;0,B332*'Prepay vs Invest'!$B$6/1200,0)</f>
        <v>0</v>
      </c>
      <c r="D332">
        <f>IF(B332&gt;0,MIN(-PMT('Prepay vs Invest'!$B$6/1200,'Prepay vs Invest'!$B$7*12,'Prepay vs Invest'!$B$5),B332+C332),0)</f>
        <v>0</v>
      </c>
      <c r="E332">
        <f t="shared" si="80"/>
        <v>0</v>
      </c>
      <c r="F332">
        <f t="shared" si="81"/>
        <v>0</v>
      </c>
      <c r="G332">
        <f t="shared" si="88"/>
        <v>32206135.22441759</v>
      </c>
      <c r="H332">
        <f>IF(A332&lt;='Prepay vs Invest'!$B$7*12,IF(AND(A332&gt;='Prepay vs Invest'!$B$11,A332&lt;='Prepay vs Invest'!$B$12),'Prepay vs Invest'!$B$10,0)+IF(A332='Prepay vs Invest'!$B$9,'Prepay vs Invest'!$B$8,0),0)</f>
        <v>0</v>
      </c>
      <c r="I332">
        <f>G332*(1+MAX(0,'Prepay vs Invest'!$B$13-'Prepay vs Invest'!$B$14)/1200)+H332</f>
        <v>32514777.353651591</v>
      </c>
      <c r="J332">
        <f t="shared" si="89"/>
        <v>2900000</v>
      </c>
      <c r="K332">
        <f>MAX(0,(I332-J332-'Prepay vs Invest'!$B$16)*'Prepay vs Invest'!$B$15/100)</f>
        <v>3686222.1692064488</v>
      </c>
      <c r="L332">
        <f t="shared" si="82"/>
        <v>28828555.184445143</v>
      </c>
      <c r="M332">
        <f t="shared" si="90"/>
        <v>0</v>
      </c>
      <c r="N332">
        <f>IF(M332&gt;0,M332*'Prepay vs Invest'!$B$6/1200,0)</f>
        <v>0</v>
      </c>
      <c r="O332">
        <f>IF(M332&gt;0,MIN('Prepay vs Invest'!$E$5,M332+N332),0)</f>
        <v>0</v>
      </c>
      <c r="P332">
        <f>MIN(MAX(0,M332+N332-O332),IF(AND(A332&gt;='Prepay vs Invest'!$B$11,A332&lt;='Prepay vs Invest'!$B$12),'Prepay vs Invest'!$B$10,0)+IF(A332='Prepay vs Invest'!$B$9,'Prepay vs Invest'!$B$8,0))</f>
        <v>0</v>
      </c>
      <c r="Q332">
        <f t="shared" si="83"/>
        <v>0</v>
      </c>
      <c r="R332">
        <f t="shared" si="91"/>
        <v>20241475.889066584</v>
      </c>
      <c r="S332">
        <f>IF(A332&lt;='Prepay vs Invest'!$B$7*12,MAX(0,'Prepay vs Invest'!$E$5+IF(AND(A332&gt;='Prepay vs Invest'!$B$11,A332&lt;='Prepay vs Invest'!$B$12),'Prepay vs Invest'!$B$10,0)+IF(A332='Prepay vs Invest'!$B$9,'Prepay vs Invest'!$B$8,0)-O332-P332),0)</f>
        <v>0</v>
      </c>
      <c r="T332">
        <f>R332*(1+MAX(0,'Prepay vs Invest'!$B$13-'Prepay vs Invest'!$B$14)/1200)+S332</f>
        <v>20435456.69967014</v>
      </c>
      <c r="U332">
        <f t="shared" si="92"/>
        <v>6133552.3707652809</v>
      </c>
      <c r="V332">
        <f>MAX(0,(T332-U332-'Prepay vs Invest'!$B$16)*'Prepay vs Invest'!$B$15/100)</f>
        <v>1772113.0411131075</v>
      </c>
      <c r="W332">
        <f t="shared" si="84"/>
        <v>18663343.658557031</v>
      </c>
      <c r="X332">
        <f t="shared" si="93"/>
        <v>0</v>
      </c>
      <c r="Y332">
        <f>IF(X332&gt;0,X332*'Prepay vs Invest'!$B$6/1200,0)</f>
        <v>0</v>
      </c>
      <c r="Z332">
        <f>IF(X332&gt;0,MIN(-PMT('Prepay vs Invest'!$B$6/1200,'Prepay vs Invest'!$B$7*12-A332+1,X332),X332+Y332),0)</f>
        <v>0</v>
      </c>
      <c r="AA332">
        <f>MIN(MAX(0,X332+Y332-Z332),IF(AND(A332&gt;='Prepay vs Invest'!$B$11,A332&lt;='Prepay vs Invest'!$B$12),'Prepay vs Invest'!$B$10,0)+IF(A332='Prepay vs Invest'!$B$9,'Prepay vs Invest'!$B$8,0))</f>
        <v>0</v>
      </c>
      <c r="AB332">
        <f t="shared" si="85"/>
        <v>0</v>
      </c>
      <c r="AC332">
        <f t="shared" si="94"/>
        <v>25702858.287940107</v>
      </c>
      <c r="AD332">
        <f>IF(A332&lt;='Prepay vs Invest'!$B$7*12,MAX(0,'Prepay vs Invest'!$E$5+IF(AND(A332&gt;='Prepay vs Invest'!$B$11,A332&lt;='Prepay vs Invest'!$B$12),'Prepay vs Invest'!$B$10,0)+IF(A332='Prepay vs Invest'!$B$9,'Prepay vs Invest'!$B$8,0)-Z332-AA332),0)</f>
        <v>0</v>
      </c>
      <c r="AE332">
        <f>AC332*(1+MAX(0,'Prepay vs Invest'!$B$13-'Prepay vs Invest'!$B$14)/1200)+AD332</f>
        <v>25949177.346532866</v>
      </c>
      <c r="AF332">
        <f t="shared" si="95"/>
        <v>4388572.0206063567</v>
      </c>
      <c r="AG332">
        <f>MAX(0,(AE332-AF332-'Prepay vs Invest'!$B$16)*'Prepay vs Invest'!$B$15/100)</f>
        <v>2679450.6657408136</v>
      </c>
      <c r="AH332">
        <f t="shared" si="86"/>
        <v>23269726.680792052</v>
      </c>
    </row>
    <row r="333" spans="1:34" x14ac:dyDescent="0.35">
      <c r="A333">
        <f t="shared" si="87"/>
        <v>332</v>
      </c>
      <c r="B333">
        <f>IF(A333&lt;='Prepay vs Invest'!$B$7*12,F332,0)</f>
        <v>0</v>
      </c>
      <c r="C333">
        <f>IF(B333&gt;0,B333*'Prepay vs Invest'!$B$6/1200,0)</f>
        <v>0</v>
      </c>
      <c r="D333">
        <f>IF(B333&gt;0,MIN(-PMT('Prepay vs Invest'!$B$6/1200,'Prepay vs Invest'!$B$7*12,'Prepay vs Invest'!$B$5),B333+C333),0)</f>
        <v>0</v>
      </c>
      <c r="E333">
        <f t="shared" si="80"/>
        <v>0</v>
      </c>
      <c r="F333">
        <f t="shared" si="81"/>
        <v>0</v>
      </c>
      <c r="G333">
        <f t="shared" si="88"/>
        <v>32514777.353651591</v>
      </c>
      <c r="H333">
        <f>IF(A333&lt;='Prepay vs Invest'!$B$7*12,IF(AND(A333&gt;='Prepay vs Invest'!$B$11,A333&lt;='Prepay vs Invest'!$B$12),'Prepay vs Invest'!$B$10,0)+IF(A333='Prepay vs Invest'!$B$9,'Prepay vs Invest'!$B$8,0),0)</f>
        <v>0</v>
      </c>
      <c r="I333">
        <f>G333*(1+MAX(0,'Prepay vs Invest'!$B$13-'Prepay vs Invest'!$B$14)/1200)+H333</f>
        <v>32826377.303290751</v>
      </c>
      <c r="J333">
        <f t="shared" si="89"/>
        <v>2900000</v>
      </c>
      <c r="K333">
        <f>MAX(0,(I333-J333-'Prepay vs Invest'!$B$16)*'Prepay vs Invest'!$B$15/100)</f>
        <v>3725172.1629113434</v>
      </c>
      <c r="L333">
        <f t="shared" si="82"/>
        <v>29101205.140379407</v>
      </c>
      <c r="M333">
        <f t="shared" si="90"/>
        <v>0</v>
      </c>
      <c r="N333">
        <f>IF(M333&gt;0,M333*'Prepay vs Invest'!$B$6/1200,0)</f>
        <v>0</v>
      </c>
      <c r="O333">
        <f>IF(M333&gt;0,MIN('Prepay vs Invest'!$E$5,M333+N333),0)</f>
        <v>0</v>
      </c>
      <c r="P333">
        <f>MIN(MAX(0,M333+N333-O333),IF(AND(A333&gt;='Prepay vs Invest'!$B$11,A333&lt;='Prepay vs Invest'!$B$12),'Prepay vs Invest'!$B$10,0)+IF(A333='Prepay vs Invest'!$B$9,'Prepay vs Invest'!$B$8,0))</f>
        <v>0</v>
      </c>
      <c r="Q333">
        <f t="shared" si="83"/>
        <v>0</v>
      </c>
      <c r="R333">
        <f t="shared" si="91"/>
        <v>20435456.69967014</v>
      </c>
      <c r="S333">
        <f>IF(A333&lt;='Prepay vs Invest'!$B$7*12,MAX(0,'Prepay vs Invest'!$E$5+IF(AND(A333&gt;='Prepay vs Invest'!$B$11,A333&lt;='Prepay vs Invest'!$B$12),'Prepay vs Invest'!$B$10,0)+IF(A333='Prepay vs Invest'!$B$9,'Prepay vs Invest'!$B$8,0)-O333-P333),0)</f>
        <v>0</v>
      </c>
      <c r="T333">
        <f>R333*(1+MAX(0,'Prepay vs Invest'!$B$13-'Prepay vs Invest'!$B$14)/1200)+S333</f>
        <v>20631296.493041977</v>
      </c>
      <c r="U333">
        <f t="shared" si="92"/>
        <v>6133552.3707652809</v>
      </c>
      <c r="V333">
        <f>MAX(0,(T333-U333-'Prepay vs Invest'!$B$16)*'Prepay vs Invest'!$B$15/100)</f>
        <v>1796593.0152845872</v>
      </c>
      <c r="W333">
        <f t="shared" si="84"/>
        <v>18834703.477757391</v>
      </c>
      <c r="X333">
        <f t="shared" si="93"/>
        <v>0</v>
      </c>
      <c r="Y333">
        <f>IF(X333&gt;0,X333*'Prepay vs Invest'!$B$6/1200,0)</f>
        <v>0</v>
      </c>
      <c r="Z333">
        <f>IF(X333&gt;0,MIN(-PMT('Prepay vs Invest'!$B$6/1200,'Prepay vs Invest'!$B$7*12-A333+1,X333),X333+Y333),0)</f>
        <v>0</v>
      </c>
      <c r="AA333">
        <f>MIN(MAX(0,X333+Y333-Z333),IF(AND(A333&gt;='Prepay vs Invest'!$B$11,A333&lt;='Prepay vs Invest'!$B$12),'Prepay vs Invest'!$B$10,0)+IF(A333='Prepay vs Invest'!$B$9,'Prepay vs Invest'!$B$8,0))</f>
        <v>0</v>
      </c>
      <c r="AB333">
        <f t="shared" si="85"/>
        <v>0</v>
      </c>
      <c r="AC333">
        <f t="shared" si="94"/>
        <v>25949177.346532866</v>
      </c>
      <c r="AD333">
        <f>IF(A333&lt;='Prepay vs Invest'!$B$7*12,MAX(0,'Prepay vs Invest'!$E$5+IF(AND(A333&gt;='Prepay vs Invest'!$B$11,A333&lt;='Prepay vs Invest'!$B$12),'Prepay vs Invest'!$B$10,0)+IF(A333='Prepay vs Invest'!$B$9,'Prepay vs Invest'!$B$8,0)-Z333-AA333),0)</f>
        <v>0</v>
      </c>
      <c r="AE333">
        <f>AC333*(1+MAX(0,'Prepay vs Invest'!$B$13-'Prepay vs Invest'!$B$14)/1200)+AD333</f>
        <v>26197856.962770473</v>
      </c>
      <c r="AF333">
        <f t="shared" si="95"/>
        <v>4388572.0206063567</v>
      </c>
      <c r="AG333">
        <f>MAX(0,(AE333-AF333-'Prepay vs Invest'!$B$16)*'Prepay vs Invest'!$B$15/100)</f>
        <v>2710535.6177705145</v>
      </c>
      <c r="AH333">
        <f t="shared" si="86"/>
        <v>23487321.344999958</v>
      </c>
    </row>
    <row r="334" spans="1:34" x14ac:dyDescent="0.35">
      <c r="A334">
        <f t="shared" si="87"/>
        <v>333</v>
      </c>
      <c r="B334">
        <f>IF(A334&lt;='Prepay vs Invest'!$B$7*12,F333,0)</f>
        <v>0</v>
      </c>
      <c r="C334">
        <f>IF(B334&gt;0,B334*'Prepay vs Invest'!$B$6/1200,0)</f>
        <v>0</v>
      </c>
      <c r="D334">
        <f>IF(B334&gt;0,MIN(-PMT('Prepay vs Invest'!$B$6/1200,'Prepay vs Invest'!$B$7*12,'Prepay vs Invest'!$B$5),B334+C334),0)</f>
        <v>0</v>
      </c>
      <c r="E334">
        <f t="shared" si="80"/>
        <v>0</v>
      </c>
      <c r="F334">
        <f t="shared" si="81"/>
        <v>0</v>
      </c>
      <c r="G334">
        <f t="shared" si="88"/>
        <v>32826377.303290751</v>
      </c>
      <c r="H334">
        <f>IF(A334&lt;='Prepay vs Invest'!$B$7*12,IF(AND(A334&gt;='Prepay vs Invest'!$B$11,A334&lt;='Prepay vs Invest'!$B$12),'Prepay vs Invest'!$B$10,0)+IF(A334='Prepay vs Invest'!$B$9,'Prepay vs Invest'!$B$8,0),0)</f>
        <v>0</v>
      </c>
      <c r="I334">
        <f>G334*(1+MAX(0,'Prepay vs Invest'!$B$13-'Prepay vs Invest'!$B$14)/1200)+H334</f>
        <v>33140963.419113953</v>
      </c>
      <c r="J334">
        <f t="shared" si="89"/>
        <v>2900000</v>
      </c>
      <c r="K334">
        <f>MAX(0,(I334-J334-'Prepay vs Invest'!$B$16)*'Prepay vs Invest'!$B$15/100)</f>
        <v>3764495.4273892436</v>
      </c>
      <c r="L334">
        <f t="shared" si="82"/>
        <v>29376467.991724707</v>
      </c>
      <c r="M334">
        <f t="shared" si="90"/>
        <v>0</v>
      </c>
      <c r="N334">
        <f>IF(M334&gt;0,M334*'Prepay vs Invest'!$B$6/1200,0)</f>
        <v>0</v>
      </c>
      <c r="O334">
        <f>IF(M334&gt;0,MIN('Prepay vs Invest'!$E$5,M334+N334),0)</f>
        <v>0</v>
      </c>
      <c r="P334">
        <f>MIN(MAX(0,M334+N334-O334),IF(AND(A334&gt;='Prepay vs Invest'!$B$11,A334&lt;='Prepay vs Invest'!$B$12),'Prepay vs Invest'!$B$10,0)+IF(A334='Prepay vs Invest'!$B$9,'Prepay vs Invest'!$B$8,0))</f>
        <v>0</v>
      </c>
      <c r="Q334">
        <f t="shared" si="83"/>
        <v>0</v>
      </c>
      <c r="R334">
        <f t="shared" si="91"/>
        <v>20631296.493041977</v>
      </c>
      <c r="S334">
        <f>IF(A334&lt;='Prepay vs Invest'!$B$7*12,MAX(0,'Prepay vs Invest'!$E$5+IF(AND(A334&gt;='Prepay vs Invest'!$B$11,A334&lt;='Prepay vs Invest'!$B$12),'Prepay vs Invest'!$B$10,0)+IF(A334='Prepay vs Invest'!$B$9,'Prepay vs Invest'!$B$8,0)-O334-P334),0)</f>
        <v>0</v>
      </c>
      <c r="T334">
        <f>R334*(1+MAX(0,'Prepay vs Invest'!$B$13-'Prepay vs Invest'!$B$14)/1200)+S334</f>
        <v>20829013.08443363</v>
      </c>
      <c r="U334">
        <f t="shared" si="92"/>
        <v>6133552.3707652809</v>
      </c>
      <c r="V334">
        <f>MAX(0,(T334-U334-'Prepay vs Invest'!$B$16)*'Prepay vs Invest'!$B$15/100)</f>
        <v>1821307.589208544</v>
      </c>
      <c r="W334">
        <f t="shared" si="84"/>
        <v>19007705.495225087</v>
      </c>
      <c r="X334">
        <f t="shared" si="93"/>
        <v>0</v>
      </c>
      <c r="Y334">
        <f>IF(X334&gt;0,X334*'Prepay vs Invest'!$B$6/1200,0)</f>
        <v>0</v>
      </c>
      <c r="Z334">
        <f>IF(X334&gt;0,MIN(-PMT('Prepay vs Invest'!$B$6/1200,'Prepay vs Invest'!$B$7*12-A334+1,X334),X334+Y334),0)</f>
        <v>0</v>
      </c>
      <c r="AA334">
        <f>MIN(MAX(0,X334+Y334-Z334),IF(AND(A334&gt;='Prepay vs Invest'!$B$11,A334&lt;='Prepay vs Invest'!$B$12),'Prepay vs Invest'!$B$10,0)+IF(A334='Prepay vs Invest'!$B$9,'Prepay vs Invest'!$B$8,0))</f>
        <v>0</v>
      </c>
      <c r="AB334">
        <f t="shared" si="85"/>
        <v>0</v>
      </c>
      <c r="AC334">
        <f t="shared" si="94"/>
        <v>26197856.962770473</v>
      </c>
      <c r="AD334">
        <f>IF(A334&lt;='Prepay vs Invest'!$B$7*12,MAX(0,'Prepay vs Invest'!$E$5+IF(AND(A334&gt;='Prepay vs Invest'!$B$11,A334&lt;='Prepay vs Invest'!$B$12),'Prepay vs Invest'!$B$10,0)+IF(A334='Prepay vs Invest'!$B$9,'Prepay vs Invest'!$B$8,0)-Z334-AA334),0)</f>
        <v>0</v>
      </c>
      <c r="AE334">
        <f>AC334*(1+MAX(0,'Prepay vs Invest'!$B$13-'Prepay vs Invest'!$B$14)/1200)+AD334</f>
        <v>26448919.758663688</v>
      </c>
      <c r="AF334">
        <f t="shared" si="95"/>
        <v>4388572.0206063567</v>
      </c>
      <c r="AG334">
        <f>MAX(0,(AE334-AF334-'Prepay vs Invest'!$B$16)*'Prepay vs Invest'!$B$15/100)</f>
        <v>2741918.4672571663</v>
      </c>
      <c r="AH334">
        <f t="shared" si="86"/>
        <v>23707001.29140652</v>
      </c>
    </row>
    <row r="335" spans="1:34" x14ac:dyDescent="0.35">
      <c r="A335">
        <f t="shared" si="87"/>
        <v>334</v>
      </c>
      <c r="B335">
        <f>IF(A335&lt;='Prepay vs Invest'!$B$7*12,F334,0)</f>
        <v>0</v>
      </c>
      <c r="C335">
        <f>IF(B335&gt;0,B335*'Prepay vs Invest'!$B$6/1200,0)</f>
        <v>0</v>
      </c>
      <c r="D335">
        <f>IF(B335&gt;0,MIN(-PMT('Prepay vs Invest'!$B$6/1200,'Prepay vs Invest'!$B$7*12,'Prepay vs Invest'!$B$5),B335+C335),0)</f>
        <v>0</v>
      </c>
      <c r="E335">
        <f t="shared" si="80"/>
        <v>0</v>
      </c>
      <c r="F335">
        <f t="shared" si="81"/>
        <v>0</v>
      </c>
      <c r="G335">
        <f t="shared" si="88"/>
        <v>33140963.419113953</v>
      </c>
      <c r="H335">
        <f>IF(A335&lt;='Prepay vs Invest'!$B$7*12,IF(AND(A335&gt;='Prepay vs Invest'!$B$11,A335&lt;='Prepay vs Invest'!$B$12),'Prepay vs Invest'!$B$10,0)+IF(A335='Prepay vs Invest'!$B$9,'Prepay vs Invest'!$B$8,0),0)</f>
        <v>0</v>
      </c>
      <c r="I335">
        <f>G335*(1+MAX(0,'Prepay vs Invest'!$B$13-'Prepay vs Invest'!$B$14)/1200)+H335</f>
        <v>33458564.318547126</v>
      </c>
      <c r="J335">
        <f t="shared" si="89"/>
        <v>2900000</v>
      </c>
      <c r="K335">
        <f>MAX(0,(I335-J335-'Prepay vs Invest'!$B$16)*'Prepay vs Invest'!$B$15/100)</f>
        <v>3804195.5398183907</v>
      </c>
      <c r="L335">
        <f t="shared" si="82"/>
        <v>29654368.778728735</v>
      </c>
      <c r="M335">
        <f t="shared" si="90"/>
        <v>0</v>
      </c>
      <c r="N335">
        <f>IF(M335&gt;0,M335*'Prepay vs Invest'!$B$6/1200,0)</f>
        <v>0</v>
      </c>
      <c r="O335">
        <f>IF(M335&gt;0,MIN('Prepay vs Invest'!$E$5,M335+N335),0)</f>
        <v>0</v>
      </c>
      <c r="P335">
        <f>MIN(MAX(0,M335+N335-O335),IF(AND(A335&gt;='Prepay vs Invest'!$B$11,A335&lt;='Prepay vs Invest'!$B$12),'Prepay vs Invest'!$B$10,0)+IF(A335='Prepay vs Invest'!$B$9,'Prepay vs Invest'!$B$8,0))</f>
        <v>0</v>
      </c>
      <c r="Q335">
        <f t="shared" si="83"/>
        <v>0</v>
      </c>
      <c r="R335">
        <f t="shared" si="91"/>
        <v>20829013.08443363</v>
      </c>
      <c r="S335">
        <f>IF(A335&lt;='Prepay vs Invest'!$B$7*12,MAX(0,'Prepay vs Invest'!$E$5+IF(AND(A335&gt;='Prepay vs Invest'!$B$11,A335&lt;='Prepay vs Invest'!$B$12),'Prepay vs Invest'!$B$10,0)+IF(A335='Prepay vs Invest'!$B$9,'Prepay vs Invest'!$B$8,0)-O335-P335),0)</f>
        <v>0</v>
      </c>
      <c r="T335">
        <f>R335*(1+MAX(0,'Prepay vs Invest'!$B$13-'Prepay vs Invest'!$B$14)/1200)+S335</f>
        <v>21028624.459826119</v>
      </c>
      <c r="U335">
        <f t="shared" si="92"/>
        <v>6133552.3707652809</v>
      </c>
      <c r="V335">
        <f>MAX(0,(T335-U335-'Prepay vs Invest'!$B$16)*'Prepay vs Invest'!$B$15/100)</f>
        <v>1846259.0111326047</v>
      </c>
      <c r="W335">
        <f t="shared" si="84"/>
        <v>19182365.448693514</v>
      </c>
      <c r="X335">
        <f t="shared" si="93"/>
        <v>0</v>
      </c>
      <c r="Y335">
        <f>IF(X335&gt;0,X335*'Prepay vs Invest'!$B$6/1200,0)</f>
        <v>0</v>
      </c>
      <c r="Z335">
        <f>IF(X335&gt;0,MIN(-PMT('Prepay vs Invest'!$B$6/1200,'Prepay vs Invest'!$B$7*12-A335+1,X335),X335+Y335),0)</f>
        <v>0</v>
      </c>
      <c r="AA335">
        <f>MIN(MAX(0,X335+Y335-Z335),IF(AND(A335&gt;='Prepay vs Invest'!$B$11,A335&lt;='Prepay vs Invest'!$B$12),'Prepay vs Invest'!$B$10,0)+IF(A335='Prepay vs Invest'!$B$9,'Prepay vs Invest'!$B$8,0))</f>
        <v>0</v>
      </c>
      <c r="AB335">
        <f t="shared" si="85"/>
        <v>0</v>
      </c>
      <c r="AC335">
        <f t="shared" si="94"/>
        <v>26448919.758663688</v>
      </c>
      <c r="AD335">
        <f>IF(A335&lt;='Prepay vs Invest'!$B$7*12,MAX(0,'Prepay vs Invest'!$E$5+IF(AND(A335&gt;='Prepay vs Invest'!$B$11,A335&lt;='Prepay vs Invest'!$B$12),'Prepay vs Invest'!$B$10,0)+IF(A335='Prepay vs Invest'!$B$9,'Prepay vs Invest'!$B$8,0)-Z335-AA335),0)</f>
        <v>0</v>
      </c>
      <c r="AE335">
        <f>AC335*(1+MAX(0,'Prepay vs Invest'!$B$13-'Prepay vs Invest'!$B$14)/1200)+AD335</f>
        <v>26702388.573017545</v>
      </c>
      <c r="AF335">
        <f t="shared" si="95"/>
        <v>4388572.0206063567</v>
      </c>
      <c r="AG335">
        <f>MAX(0,(AE335-AF335-'Prepay vs Invest'!$B$16)*'Prepay vs Invest'!$B$15/100)</f>
        <v>2773602.0690513984</v>
      </c>
      <c r="AH335">
        <f t="shared" si="86"/>
        <v>23928786.503966145</v>
      </c>
    </row>
    <row r="336" spans="1:34" x14ac:dyDescent="0.35">
      <c r="A336">
        <f t="shared" si="87"/>
        <v>335</v>
      </c>
      <c r="B336">
        <f>IF(A336&lt;='Prepay vs Invest'!$B$7*12,F335,0)</f>
        <v>0</v>
      </c>
      <c r="C336">
        <f>IF(B336&gt;0,B336*'Prepay vs Invest'!$B$6/1200,0)</f>
        <v>0</v>
      </c>
      <c r="D336">
        <f>IF(B336&gt;0,MIN(-PMT('Prepay vs Invest'!$B$6/1200,'Prepay vs Invest'!$B$7*12,'Prepay vs Invest'!$B$5),B336+C336),0)</f>
        <v>0</v>
      </c>
      <c r="E336">
        <f t="shared" si="80"/>
        <v>0</v>
      </c>
      <c r="F336">
        <f t="shared" si="81"/>
        <v>0</v>
      </c>
      <c r="G336">
        <f t="shared" si="88"/>
        <v>33458564.318547126</v>
      </c>
      <c r="H336">
        <f>IF(A336&lt;='Prepay vs Invest'!$B$7*12,IF(AND(A336&gt;='Prepay vs Invest'!$B$11,A336&lt;='Prepay vs Invest'!$B$12),'Prepay vs Invest'!$B$10,0)+IF(A336='Prepay vs Invest'!$B$9,'Prepay vs Invest'!$B$8,0),0)</f>
        <v>0</v>
      </c>
      <c r="I336">
        <f>G336*(1+MAX(0,'Prepay vs Invest'!$B$13-'Prepay vs Invest'!$B$14)/1200)+H336</f>
        <v>33779208.893266536</v>
      </c>
      <c r="J336">
        <f t="shared" si="89"/>
        <v>2900000</v>
      </c>
      <c r="K336">
        <f>MAX(0,(I336-J336-'Prepay vs Invest'!$B$16)*'Prepay vs Invest'!$B$15/100)</f>
        <v>3844276.111658317</v>
      </c>
      <c r="L336">
        <f t="shared" si="82"/>
        <v>29934932.78160822</v>
      </c>
      <c r="M336">
        <f t="shared" si="90"/>
        <v>0</v>
      </c>
      <c r="N336">
        <f>IF(M336&gt;0,M336*'Prepay vs Invest'!$B$6/1200,0)</f>
        <v>0</v>
      </c>
      <c r="O336">
        <f>IF(M336&gt;0,MIN('Prepay vs Invest'!$E$5,M336+N336),0)</f>
        <v>0</v>
      </c>
      <c r="P336">
        <f>MIN(MAX(0,M336+N336-O336),IF(AND(A336&gt;='Prepay vs Invest'!$B$11,A336&lt;='Prepay vs Invest'!$B$12),'Prepay vs Invest'!$B$10,0)+IF(A336='Prepay vs Invest'!$B$9,'Prepay vs Invest'!$B$8,0))</f>
        <v>0</v>
      </c>
      <c r="Q336">
        <f t="shared" si="83"/>
        <v>0</v>
      </c>
      <c r="R336">
        <f t="shared" si="91"/>
        <v>21028624.459826119</v>
      </c>
      <c r="S336">
        <f>IF(A336&lt;='Prepay vs Invest'!$B$7*12,MAX(0,'Prepay vs Invest'!$E$5+IF(AND(A336&gt;='Prepay vs Invest'!$B$11,A336&lt;='Prepay vs Invest'!$B$12),'Prepay vs Invest'!$B$10,0)+IF(A336='Prepay vs Invest'!$B$9,'Prepay vs Invest'!$B$8,0)-O336-P336),0)</f>
        <v>0</v>
      </c>
      <c r="T336">
        <f>R336*(1+MAX(0,'Prepay vs Invest'!$B$13-'Prepay vs Invest'!$B$14)/1200)+S336</f>
        <v>21230148.77756612</v>
      </c>
      <c r="U336">
        <f t="shared" si="92"/>
        <v>6133552.3707652809</v>
      </c>
      <c r="V336">
        <f>MAX(0,(T336-U336-'Prepay vs Invest'!$B$16)*'Prepay vs Invest'!$B$15/100)</f>
        <v>1871449.550850105</v>
      </c>
      <c r="W336">
        <f t="shared" si="84"/>
        <v>19358699.226716015</v>
      </c>
      <c r="X336">
        <f t="shared" si="93"/>
        <v>0</v>
      </c>
      <c r="Y336">
        <f>IF(X336&gt;0,X336*'Prepay vs Invest'!$B$6/1200,0)</f>
        <v>0</v>
      </c>
      <c r="Z336">
        <f>IF(X336&gt;0,MIN(-PMT('Prepay vs Invest'!$B$6/1200,'Prepay vs Invest'!$B$7*12-A336+1,X336),X336+Y336),0)</f>
        <v>0</v>
      </c>
      <c r="AA336">
        <f>MIN(MAX(0,X336+Y336-Z336),IF(AND(A336&gt;='Prepay vs Invest'!$B$11,A336&lt;='Prepay vs Invest'!$B$12),'Prepay vs Invest'!$B$10,0)+IF(A336='Prepay vs Invest'!$B$9,'Prepay vs Invest'!$B$8,0))</f>
        <v>0</v>
      </c>
      <c r="AB336">
        <f t="shared" si="85"/>
        <v>0</v>
      </c>
      <c r="AC336">
        <f t="shared" si="94"/>
        <v>26702388.573017545</v>
      </c>
      <c r="AD336">
        <f>IF(A336&lt;='Prepay vs Invest'!$B$7*12,MAX(0,'Prepay vs Invest'!$E$5+IF(AND(A336&gt;='Prepay vs Invest'!$B$11,A336&lt;='Prepay vs Invest'!$B$12),'Prepay vs Invest'!$B$10,0)+IF(A336='Prepay vs Invest'!$B$9,'Prepay vs Invest'!$B$8,0)-Z336-AA336),0)</f>
        <v>0</v>
      </c>
      <c r="AE336">
        <f>AC336*(1+MAX(0,'Prepay vs Invest'!$B$13-'Prepay vs Invest'!$B$14)/1200)+AD336</f>
        <v>26958286.46350896</v>
      </c>
      <c r="AF336">
        <f t="shared" si="95"/>
        <v>4388572.0206063567</v>
      </c>
      <c r="AG336">
        <f>MAX(0,(AE336-AF336-'Prepay vs Invest'!$B$16)*'Prepay vs Invest'!$B$15/100)</f>
        <v>2805589.3053628253</v>
      </c>
      <c r="AH336">
        <f t="shared" si="86"/>
        <v>24152697.158146136</v>
      </c>
    </row>
    <row r="337" spans="1:34" x14ac:dyDescent="0.35">
      <c r="A337">
        <f t="shared" si="87"/>
        <v>336</v>
      </c>
      <c r="B337">
        <f>IF(A337&lt;='Prepay vs Invest'!$B$7*12,F336,0)</f>
        <v>0</v>
      </c>
      <c r="C337">
        <f>IF(B337&gt;0,B337*'Prepay vs Invest'!$B$6/1200,0)</f>
        <v>0</v>
      </c>
      <c r="D337">
        <f>IF(B337&gt;0,MIN(-PMT('Prepay vs Invest'!$B$6/1200,'Prepay vs Invest'!$B$7*12,'Prepay vs Invest'!$B$5),B337+C337),0)</f>
        <v>0</v>
      </c>
      <c r="E337">
        <f t="shared" si="80"/>
        <v>0</v>
      </c>
      <c r="F337">
        <f t="shared" si="81"/>
        <v>0</v>
      </c>
      <c r="G337">
        <f t="shared" si="88"/>
        <v>33779208.893266536</v>
      </c>
      <c r="H337">
        <f>IF(A337&lt;='Prepay vs Invest'!$B$7*12,IF(AND(A337&gt;='Prepay vs Invest'!$B$11,A337&lt;='Prepay vs Invest'!$B$12),'Prepay vs Invest'!$B$10,0)+IF(A337='Prepay vs Invest'!$B$9,'Prepay vs Invest'!$B$8,0),0)</f>
        <v>0</v>
      </c>
      <c r="I337">
        <f>G337*(1+MAX(0,'Prepay vs Invest'!$B$13-'Prepay vs Invest'!$B$14)/1200)+H337</f>
        <v>34102926.311827004</v>
      </c>
      <c r="J337">
        <f t="shared" si="89"/>
        <v>2900000</v>
      </c>
      <c r="K337">
        <f>MAX(0,(I337-J337-'Prepay vs Invest'!$B$16)*'Prepay vs Invest'!$B$15/100)</f>
        <v>3884740.788978375</v>
      </c>
      <c r="L337">
        <f t="shared" si="82"/>
        <v>30218185.522848628</v>
      </c>
      <c r="M337">
        <f t="shared" si="90"/>
        <v>0</v>
      </c>
      <c r="N337">
        <f>IF(M337&gt;0,M337*'Prepay vs Invest'!$B$6/1200,0)</f>
        <v>0</v>
      </c>
      <c r="O337">
        <f>IF(M337&gt;0,MIN('Prepay vs Invest'!$E$5,M337+N337),0)</f>
        <v>0</v>
      </c>
      <c r="P337">
        <f>MIN(MAX(0,M337+N337-O337),IF(AND(A337&gt;='Prepay vs Invest'!$B$11,A337&lt;='Prepay vs Invest'!$B$12),'Prepay vs Invest'!$B$10,0)+IF(A337='Prepay vs Invest'!$B$9,'Prepay vs Invest'!$B$8,0))</f>
        <v>0</v>
      </c>
      <c r="Q337">
        <f t="shared" si="83"/>
        <v>0</v>
      </c>
      <c r="R337">
        <f t="shared" si="91"/>
        <v>21230148.77756612</v>
      </c>
      <c r="S337">
        <f>IF(A337&lt;='Prepay vs Invest'!$B$7*12,MAX(0,'Prepay vs Invest'!$E$5+IF(AND(A337&gt;='Prepay vs Invest'!$B$11,A337&lt;='Prepay vs Invest'!$B$12),'Prepay vs Invest'!$B$10,0)+IF(A337='Prepay vs Invest'!$B$9,'Prepay vs Invest'!$B$8,0)-O337-P337),0)</f>
        <v>0</v>
      </c>
      <c r="T337">
        <f>R337*(1+MAX(0,'Prepay vs Invest'!$B$13-'Prepay vs Invest'!$B$14)/1200)+S337</f>
        <v>21433604.370017793</v>
      </c>
      <c r="U337">
        <f t="shared" si="92"/>
        <v>6133552.3707652809</v>
      </c>
      <c r="V337">
        <f>MAX(0,(T337-U337-'Prepay vs Invest'!$B$16)*'Prepay vs Invest'!$B$15/100)</f>
        <v>1896881.4999065641</v>
      </c>
      <c r="W337">
        <f t="shared" si="84"/>
        <v>19536722.870111227</v>
      </c>
      <c r="X337">
        <f t="shared" si="93"/>
        <v>0</v>
      </c>
      <c r="Y337">
        <f>IF(X337&gt;0,X337*'Prepay vs Invest'!$B$6/1200,0)</f>
        <v>0</v>
      </c>
      <c r="Z337">
        <f>IF(X337&gt;0,MIN(-PMT('Prepay vs Invest'!$B$6/1200,'Prepay vs Invest'!$B$7*12-A337+1,X337),X337+Y337),0)</f>
        <v>0</v>
      </c>
      <c r="AA337">
        <f>MIN(MAX(0,X337+Y337-Z337),IF(AND(A337&gt;='Prepay vs Invest'!$B$11,A337&lt;='Prepay vs Invest'!$B$12),'Prepay vs Invest'!$B$10,0)+IF(A337='Prepay vs Invest'!$B$9,'Prepay vs Invest'!$B$8,0))</f>
        <v>0</v>
      </c>
      <c r="AB337">
        <f t="shared" si="85"/>
        <v>0</v>
      </c>
      <c r="AC337">
        <f t="shared" si="94"/>
        <v>26958286.46350896</v>
      </c>
      <c r="AD337">
        <f>IF(A337&lt;='Prepay vs Invest'!$B$7*12,MAX(0,'Prepay vs Invest'!$E$5+IF(AND(A337&gt;='Prepay vs Invest'!$B$11,A337&lt;='Prepay vs Invest'!$B$12),'Prepay vs Invest'!$B$10,0)+IF(A337='Prepay vs Invest'!$B$9,'Prepay vs Invest'!$B$8,0)-Z337-AA337),0)</f>
        <v>0</v>
      </c>
      <c r="AE337">
        <f>AC337*(1+MAX(0,'Prepay vs Invest'!$B$13-'Prepay vs Invest'!$B$14)/1200)+AD337</f>
        <v>27216636.708784252</v>
      </c>
      <c r="AF337">
        <f t="shared" si="95"/>
        <v>4388572.0206063567</v>
      </c>
      <c r="AG337">
        <f>MAX(0,(AE337-AF337-'Prepay vs Invest'!$B$16)*'Prepay vs Invest'!$B$15/100)</f>
        <v>2837883.0860222369</v>
      </c>
      <c r="AH337">
        <f t="shared" si="86"/>
        <v>24378753.622762017</v>
      </c>
    </row>
    <row r="338" spans="1:34" x14ac:dyDescent="0.35">
      <c r="A338">
        <f t="shared" si="87"/>
        <v>337</v>
      </c>
      <c r="B338">
        <f>IF(A338&lt;='Prepay vs Invest'!$B$7*12,F337,0)</f>
        <v>0</v>
      </c>
      <c r="C338">
        <f>IF(B338&gt;0,B338*'Prepay vs Invest'!$B$6/1200,0)</f>
        <v>0</v>
      </c>
      <c r="D338">
        <f>IF(B338&gt;0,MIN(-PMT('Prepay vs Invest'!$B$6/1200,'Prepay vs Invest'!$B$7*12,'Prepay vs Invest'!$B$5),B338+C338),0)</f>
        <v>0</v>
      </c>
      <c r="E338">
        <f t="shared" si="80"/>
        <v>0</v>
      </c>
      <c r="F338">
        <f t="shared" si="81"/>
        <v>0</v>
      </c>
      <c r="G338">
        <f t="shared" si="88"/>
        <v>34102926.311827004</v>
      </c>
      <c r="H338">
        <f>IF(A338&lt;='Prepay vs Invest'!$B$7*12,IF(AND(A338&gt;='Prepay vs Invest'!$B$11,A338&lt;='Prepay vs Invest'!$B$12),'Prepay vs Invest'!$B$10,0)+IF(A338='Prepay vs Invest'!$B$9,'Prepay vs Invest'!$B$8,0),0)</f>
        <v>0</v>
      </c>
      <c r="I338">
        <f>G338*(1+MAX(0,'Prepay vs Invest'!$B$13-'Prepay vs Invest'!$B$14)/1200)+H338</f>
        <v>34429746.022315346</v>
      </c>
      <c r="J338">
        <f t="shared" si="89"/>
        <v>2900000</v>
      </c>
      <c r="K338">
        <f>MAX(0,(I338-J338-'Prepay vs Invest'!$B$16)*'Prepay vs Invest'!$B$15/100)</f>
        <v>3925593.2527894182</v>
      </c>
      <c r="L338">
        <f t="shared" si="82"/>
        <v>30504152.769525927</v>
      </c>
      <c r="M338">
        <f t="shared" si="90"/>
        <v>0</v>
      </c>
      <c r="N338">
        <f>IF(M338&gt;0,M338*'Prepay vs Invest'!$B$6/1200,0)</f>
        <v>0</v>
      </c>
      <c r="O338">
        <f>IF(M338&gt;0,MIN('Prepay vs Invest'!$E$5,M338+N338),0)</f>
        <v>0</v>
      </c>
      <c r="P338">
        <f>MIN(MAX(0,M338+N338-O338),IF(AND(A338&gt;='Prepay vs Invest'!$B$11,A338&lt;='Prepay vs Invest'!$B$12),'Prepay vs Invest'!$B$10,0)+IF(A338='Prepay vs Invest'!$B$9,'Prepay vs Invest'!$B$8,0))</f>
        <v>0</v>
      </c>
      <c r="Q338">
        <f t="shared" si="83"/>
        <v>0</v>
      </c>
      <c r="R338">
        <f t="shared" si="91"/>
        <v>21433604.370017793</v>
      </c>
      <c r="S338">
        <f>IF(A338&lt;='Prepay vs Invest'!$B$7*12,MAX(0,'Prepay vs Invest'!$E$5+IF(AND(A338&gt;='Prepay vs Invest'!$B$11,A338&lt;='Prepay vs Invest'!$B$12),'Prepay vs Invest'!$B$10,0)+IF(A338='Prepay vs Invest'!$B$9,'Prepay vs Invest'!$B$8,0)-O338-P338),0)</f>
        <v>0</v>
      </c>
      <c r="T338">
        <f>R338*(1+MAX(0,'Prepay vs Invest'!$B$13-'Prepay vs Invest'!$B$14)/1200)+S338</f>
        <v>21639009.745230462</v>
      </c>
      <c r="U338">
        <f t="shared" si="92"/>
        <v>6133552.3707652809</v>
      </c>
      <c r="V338">
        <f>MAX(0,(T338-U338-'Prepay vs Invest'!$B$16)*'Prepay vs Invest'!$B$15/100)</f>
        <v>1922557.1718081478</v>
      </c>
      <c r="W338">
        <f t="shared" si="84"/>
        <v>19716452.573422313</v>
      </c>
      <c r="X338">
        <f t="shared" si="93"/>
        <v>0</v>
      </c>
      <c r="Y338">
        <f>IF(X338&gt;0,X338*'Prepay vs Invest'!$B$6/1200,0)</f>
        <v>0</v>
      </c>
      <c r="Z338">
        <f>IF(X338&gt;0,MIN(-PMT('Prepay vs Invest'!$B$6/1200,'Prepay vs Invest'!$B$7*12-A338+1,X338),X338+Y338),0)</f>
        <v>0</v>
      </c>
      <c r="AA338">
        <f>MIN(MAX(0,X338+Y338-Z338),IF(AND(A338&gt;='Prepay vs Invest'!$B$11,A338&lt;='Prepay vs Invest'!$B$12),'Prepay vs Invest'!$B$10,0)+IF(A338='Prepay vs Invest'!$B$9,'Prepay vs Invest'!$B$8,0))</f>
        <v>0</v>
      </c>
      <c r="AB338">
        <f t="shared" si="85"/>
        <v>0</v>
      </c>
      <c r="AC338">
        <f t="shared" si="94"/>
        <v>27216636.708784252</v>
      </c>
      <c r="AD338">
        <f>IF(A338&lt;='Prepay vs Invest'!$B$7*12,MAX(0,'Prepay vs Invest'!$E$5+IF(AND(A338&gt;='Prepay vs Invest'!$B$11,A338&lt;='Prepay vs Invest'!$B$12),'Prepay vs Invest'!$B$10,0)+IF(A338='Prepay vs Invest'!$B$9,'Prepay vs Invest'!$B$8,0)-Z338-AA338),0)</f>
        <v>0</v>
      </c>
      <c r="AE338">
        <f>AC338*(1+MAX(0,'Prepay vs Invest'!$B$13-'Prepay vs Invest'!$B$14)/1200)+AD338</f>
        <v>27477462.810576767</v>
      </c>
      <c r="AF338">
        <f t="shared" si="95"/>
        <v>4388572.0206063567</v>
      </c>
      <c r="AG338">
        <f>MAX(0,(AE338-AF338-'Prepay vs Invest'!$B$16)*'Prepay vs Invest'!$B$15/100)</f>
        <v>2870486.3487463011</v>
      </c>
      <c r="AH338">
        <f t="shared" si="86"/>
        <v>24606976.461830467</v>
      </c>
    </row>
    <row r="339" spans="1:34" x14ac:dyDescent="0.35">
      <c r="A339">
        <f t="shared" si="87"/>
        <v>338</v>
      </c>
      <c r="B339">
        <f>IF(A339&lt;='Prepay vs Invest'!$B$7*12,F338,0)</f>
        <v>0</v>
      </c>
      <c r="C339">
        <f>IF(B339&gt;0,B339*'Prepay vs Invest'!$B$6/1200,0)</f>
        <v>0</v>
      </c>
      <c r="D339">
        <f>IF(B339&gt;0,MIN(-PMT('Prepay vs Invest'!$B$6/1200,'Prepay vs Invest'!$B$7*12,'Prepay vs Invest'!$B$5),B339+C339),0)</f>
        <v>0</v>
      </c>
      <c r="E339">
        <f t="shared" si="80"/>
        <v>0</v>
      </c>
      <c r="F339">
        <f t="shared" si="81"/>
        <v>0</v>
      </c>
      <c r="G339">
        <f t="shared" si="88"/>
        <v>34429746.022315346</v>
      </c>
      <c r="H339">
        <f>IF(A339&lt;='Prepay vs Invest'!$B$7*12,IF(AND(A339&gt;='Prepay vs Invest'!$B$11,A339&lt;='Prepay vs Invest'!$B$12),'Prepay vs Invest'!$B$10,0)+IF(A339='Prepay vs Invest'!$B$9,'Prepay vs Invest'!$B$8,0),0)</f>
        <v>0</v>
      </c>
      <c r="I339">
        <f>G339*(1+MAX(0,'Prepay vs Invest'!$B$13-'Prepay vs Invest'!$B$14)/1200)+H339</f>
        <v>34759697.755029202</v>
      </c>
      <c r="J339">
        <f t="shared" si="89"/>
        <v>2900000</v>
      </c>
      <c r="K339">
        <f>MAX(0,(I339-J339-'Prepay vs Invest'!$B$16)*'Prepay vs Invest'!$B$15/100)</f>
        <v>3966837.2193786502</v>
      </c>
      <c r="L339">
        <f t="shared" si="82"/>
        <v>30792860.535650551</v>
      </c>
      <c r="M339">
        <f t="shared" si="90"/>
        <v>0</v>
      </c>
      <c r="N339">
        <f>IF(M339&gt;0,M339*'Prepay vs Invest'!$B$6/1200,0)</f>
        <v>0</v>
      </c>
      <c r="O339">
        <f>IF(M339&gt;0,MIN('Prepay vs Invest'!$E$5,M339+N339),0)</f>
        <v>0</v>
      </c>
      <c r="P339">
        <f>MIN(MAX(0,M339+N339-O339),IF(AND(A339&gt;='Prepay vs Invest'!$B$11,A339&lt;='Prepay vs Invest'!$B$12),'Prepay vs Invest'!$B$10,0)+IF(A339='Prepay vs Invest'!$B$9,'Prepay vs Invest'!$B$8,0))</f>
        <v>0</v>
      </c>
      <c r="Q339">
        <f t="shared" si="83"/>
        <v>0</v>
      </c>
      <c r="R339">
        <f t="shared" si="91"/>
        <v>21639009.745230462</v>
      </c>
      <c r="S339">
        <f>IF(A339&lt;='Prepay vs Invest'!$B$7*12,MAX(0,'Prepay vs Invest'!$E$5+IF(AND(A339&gt;='Prepay vs Invest'!$B$11,A339&lt;='Prepay vs Invest'!$B$12),'Prepay vs Invest'!$B$10,0)+IF(A339='Prepay vs Invest'!$B$9,'Prepay vs Invest'!$B$8,0)-O339-P339),0)</f>
        <v>0</v>
      </c>
      <c r="T339">
        <f>R339*(1+MAX(0,'Prepay vs Invest'!$B$13-'Prepay vs Invest'!$B$14)/1200)+S339</f>
        <v>21846383.588622253</v>
      </c>
      <c r="U339">
        <f t="shared" si="92"/>
        <v>6133552.3707652809</v>
      </c>
      <c r="V339">
        <f>MAX(0,(T339-U339-'Prepay vs Invest'!$B$16)*'Prepay vs Invest'!$B$15/100)</f>
        <v>1948478.9022321219</v>
      </c>
      <c r="W339">
        <f t="shared" si="84"/>
        <v>19897904.686390132</v>
      </c>
      <c r="X339">
        <f t="shared" si="93"/>
        <v>0</v>
      </c>
      <c r="Y339">
        <f>IF(X339&gt;0,X339*'Prepay vs Invest'!$B$6/1200,0)</f>
        <v>0</v>
      </c>
      <c r="Z339">
        <f>IF(X339&gt;0,MIN(-PMT('Prepay vs Invest'!$B$6/1200,'Prepay vs Invest'!$B$7*12-A339+1,X339),X339+Y339),0)</f>
        <v>0</v>
      </c>
      <c r="AA339">
        <f>MIN(MAX(0,X339+Y339-Z339),IF(AND(A339&gt;='Prepay vs Invest'!$B$11,A339&lt;='Prepay vs Invest'!$B$12),'Prepay vs Invest'!$B$10,0)+IF(A339='Prepay vs Invest'!$B$9,'Prepay vs Invest'!$B$8,0))</f>
        <v>0</v>
      </c>
      <c r="AB339">
        <f t="shared" si="85"/>
        <v>0</v>
      </c>
      <c r="AC339">
        <f t="shared" si="94"/>
        <v>27477462.810576767</v>
      </c>
      <c r="AD339">
        <f>IF(A339&lt;='Prepay vs Invest'!$B$7*12,MAX(0,'Prepay vs Invest'!$E$5+IF(AND(A339&gt;='Prepay vs Invest'!$B$11,A339&lt;='Prepay vs Invest'!$B$12),'Prepay vs Invest'!$B$10,0)+IF(A339='Prepay vs Invest'!$B$9,'Prepay vs Invest'!$B$8,0)-Z339-AA339),0)</f>
        <v>0</v>
      </c>
      <c r="AE339">
        <f>AC339*(1+MAX(0,'Prepay vs Invest'!$B$13-'Prepay vs Invest'!$B$14)/1200)+AD339</f>
        <v>27740788.495844793</v>
      </c>
      <c r="AF339">
        <f t="shared" si="95"/>
        <v>4388572.0206063567</v>
      </c>
      <c r="AG339">
        <f>MAX(0,(AE339-AF339-'Prepay vs Invest'!$B$16)*'Prepay vs Invest'!$B$15/100)</f>
        <v>2903402.0594048039</v>
      </c>
      <c r="AH339">
        <f t="shared" si="86"/>
        <v>24837386.436439987</v>
      </c>
    </row>
    <row r="340" spans="1:34" x14ac:dyDescent="0.35">
      <c r="A340">
        <f t="shared" si="87"/>
        <v>339</v>
      </c>
      <c r="B340">
        <f>IF(A340&lt;='Prepay vs Invest'!$B$7*12,F339,0)</f>
        <v>0</v>
      </c>
      <c r="C340">
        <f>IF(B340&gt;0,B340*'Prepay vs Invest'!$B$6/1200,0)</f>
        <v>0</v>
      </c>
      <c r="D340">
        <f>IF(B340&gt;0,MIN(-PMT('Prepay vs Invest'!$B$6/1200,'Prepay vs Invest'!$B$7*12,'Prepay vs Invest'!$B$5),B340+C340),0)</f>
        <v>0</v>
      </c>
      <c r="E340">
        <f t="shared" si="80"/>
        <v>0</v>
      </c>
      <c r="F340">
        <f t="shared" si="81"/>
        <v>0</v>
      </c>
      <c r="G340">
        <f t="shared" si="88"/>
        <v>34759697.755029202</v>
      </c>
      <c r="H340">
        <f>IF(A340&lt;='Prepay vs Invest'!$B$7*12,IF(AND(A340&gt;='Prepay vs Invest'!$B$11,A340&lt;='Prepay vs Invest'!$B$12),'Prepay vs Invest'!$B$10,0)+IF(A340='Prepay vs Invest'!$B$9,'Prepay vs Invest'!$B$8,0),0)</f>
        <v>0</v>
      </c>
      <c r="I340">
        <f>G340*(1+MAX(0,'Prepay vs Invest'!$B$13-'Prepay vs Invest'!$B$14)/1200)+H340</f>
        <v>35092811.525181562</v>
      </c>
      <c r="J340">
        <f t="shared" si="89"/>
        <v>2900000</v>
      </c>
      <c r="K340">
        <f>MAX(0,(I340-J340-'Prepay vs Invest'!$B$16)*'Prepay vs Invest'!$B$15/100)</f>
        <v>4008476.4406476952</v>
      </c>
      <c r="L340">
        <f t="shared" si="82"/>
        <v>31084335.084533866</v>
      </c>
      <c r="M340">
        <f t="shared" si="90"/>
        <v>0</v>
      </c>
      <c r="N340">
        <f>IF(M340&gt;0,M340*'Prepay vs Invest'!$B$6/1200,0)</f>
        <v>0</v>
      </c>
      <c r="O340">
        <f>IF(M340&gt;0,MIN('Prepay vs Invest'!$E$5,M340+N340),0)</f>
        <v>0</v>
      </c>
      <c r="P340">
        <f>MIN(MAX(0,M340+N340-O340),IF(AND(A340&gt;='Prepay vs Invest'!$B$11,A340&lt;='Prepay vs Invest'!$B$12),'Prepay vs Invest'!$B$10,0)+IF(A340='Prepay vs Invest'!$B$9,'Prepay vs Invest'!$B$8,0))</f>
        <v>0</v>
      </c>
      <c r="Q340">
        <f t="shared" si="83"/>
        <v>0</v>
      </c>
      <c r="R340">
        <f t="shared" si="91"/>
        <v>21846383.588622253</v>
      </c>
      <c r="S340">
        <f>IF(A340&lt;='Prepay vs Invest'!$B$7*12,MAX(0,'Prepay vs Invest'!$E$5+IF(AND(A340&gt;='Prepay vs Invest'!$B$11,A340&lt;='Prepay vs Invest'!$B$12),'Prepay vs Invest'!$B$10,0)+IF(A340='Prepay vs Invest'!$B$9,'Prepay vs Invest'!$B$8,0)-O340-P340),0)</f>
        <v>0</v>
      </c>
      <c r="T340">
        <f>R340*(1+MAX(0,'Prepay vs Invest'!$B$13-'Prepay vs Invest'!$B$14)/1200)+S340</f>
        <v>22055744.764679883</v>
      </c>
      <c r="U340">
        <f t="shared" si="92"/>
        <v>6133552.3707652809</v>
      </c>
      <c r="V340">
        <f>MAX(0,(T340-U340-'Prepay vs Invest'!$B$16)*'Prepay vs Invest'!$B$15/100)</f>
        <v>1974649.0492393253</v>
      </c>
      <c r="W340">
        <f t="shared" si="84"/>
        <v>20081095.715440556</v>
      </c>
      <c r="X340">
        <f t="shared" si="93"/>
        <v>0</v>
      </c>
      <c r="Y340">
        <f>IF(X340&gt;0,X340*'Prepay vs Invest'!$B$6/1200,0)</f>
        <v>0</v>
      </c>
      <c r="Z340">
        <f>IF(X340&gt;0,MIN(-PMT('Prepay vs Invest'!$B$6/1200,'Prepay vs Invest'!$B$7*12-A340+1,X340),X340+Y340),0)</f>
        <v>0</v>
      </c>
      <c r="AA340">
        <f>MIN(MAX(0,X340+Y340-Z340),IF(AND(A340&gt;='Prepay vs Invest'!$B$11,A340&lt;='Prepay vs Invest'!$B$12),'Prepay vs Invest'!$B$10,0)+IF(A340='Prepay vs Invest'!$B$9,'Prepay vs Invest'!$B$8,0))</f>
        <v>0</v>
      </c>
      <c r="AB340">
        <f t="shared" si="85"/>
        <v>0</v>
      </c>
      <c r="AC340">
        <f t="shared" si="94"/>
        <v>27740788.495844793</v>
      </c>
      <c r="AD340">
        <f>IF(A340&lt;='Prepay vs Invest'!$B$7*12,MAX(0,'Prepay vs Invest'!$E$5+IF(AND(A340&gt;='Prepay vs Invest'!$B$11,A340&lt;='Prepay vs Invest'!$B$12),'Prepay vs Invest'!$B$10,0)+IF(A340='Prepay vs Invest'!$B$9,'Prepay vs Invest'!$B$8,0)-Z340-AA340),0)</f>
        <v>0</v>
      </c>
      <c r="AE340">
        <f>AC340*(1+MAX(0,'Prepay vs Invest'!$B$13-'Prepay vs Invest'!$B$14)/1200)+AD340</f>
        <v>28006637.718929969</v>
      </c>
      <c r="AF340">
        <f t="shared" si="95"/>
        <v>4388572.0206063567</v>
      </c>
      <c r="AG340">
        <f>MAX(0,(AE340-AF340-'Prepay vs Invest'!$B$16)*'Prepay vs Invest'!$B$15/100)</f>
        <v>2936633.2122904514</v>
      </c>
      <c r="AH340">
        <f t="shared" si="86"/>
        <v>25070004.506639518</v>
      </c>
    </row>
    <row r="341" spans="1:34" x14ac:dyDescent="0.35">
      <c r="A341">
        <f t="shared" si="87"/>
        <v>340</v>
      </c>
      <c r="B341">
        <f>IF(A341&lt;='Prepay vs Invest'!$B$7*12,F340,0)</f>
        <v>0</v>
      </c>
      <c r="C341">
        <f>IF(B341&gt;0,B341*'Prepay vs Invest'!$B$6/1200,0)</f>
        <v>0</v>
      </c>
      <c r="D341">
        <f>IF(B341&gt;0,MIN(-PMT('Prepay vs Invest'!$B$6/1200,'Prepay vs Invest'!$B$7*12,'Prepay vs Invest'!$B$5),B341+C341),0)</f>
        <v>0</v>
      </c>
      <c r="E341">
        <f t="shared" si="80"/>
        <v>0</v>
      </c>
      <c r="F341">
        <f t="shared" si="81"/>
        <v>0</v>
      </c>
      <c r="G341">
        <f t="shared" si="88"/>
        <v>35092811.525181562</v>
      </c>
      <c r="H341">
        <f>IF(A341&lt;='Prepay vs Invest'!$B$7*12,IF(AND(A341&gt;='Prepay vs Invest'!$B$11,A341&lt;='Prepay vs Invest'!$B$12),'Prepay vs Invest'!$B$10,0)+IF(A341='Prepay vs Invest'!$B$9,'Prepay vs Invest'!$B$8,0),0)</f>
        <v>0</v>
      </c>
      <c r="I341">
        <f>G341*(1+MAX(0,'Prepay vs Invest'!$B$13-'Prepay vs Invest'!$B$14)/1200)+H341</f>
        <v>35429117.635631219</v>
      </c>
      <c r="J341">
        <f t="shared" si="89"/>
        <v>2900000</v>
      </c>
      <c r="K341">
        <f>MAX(0,(I341-J341-'Prepay vs Invest'!$B$16)*'Prepay vs Invest'!$B$15/100)</f>
        <v>4050514.7044539023</v>
      </c>
      <c r="L341">
        <f t="shared" si="82"/>
        <v>31378602.931177318</v>
      </c>
      <c r="M341">
        <f t="shared" si="90"/>
        <v>0</v>
      </c>
      <c r="N341">
        <f>IF(M341&gt;0,M341*'Prepay vs Invest'!$B$6/1200,0)</f>
        <v>0</v>
      </c>
      <c r="O341">
        <f>IF(M341&gt;0,MIN('Prepay vs Invest'!$E$5,M341+N341),0)</f>
        <v>0</v>
      </c>
      <c r="P341">
        <f>MIN(MAX(0,M341+N341-O341),IF(AND(A341&gt;='Prepay vs Invest'!$B$11,A341&lt;='Prepay vs Invest'!$B$12),'Prepay vs Invest'!$B$10,0)+IF(A341='Prepay vs Invest'!$B$9,'Prepay vs Invest'!$B$8,0))</f>
        <v>0</v>
      </c>
      <c r="Q341">
        <f t="shared" si="83"/>
        <v>0</v>
      </c>
      <c r="R341">
        <f t="shared" si="91"/>
        <v>22055744.764679883</v>
      </c>
      <c r="S341">
        <f>IF(A341&lt;='Prepay vs Invest'!$B$7*12,MAX(0,'Prepay vs Invest'!$E$5+IF(AND(A341&gt;='Prepay vs Invest'!$B$11,A341&lt;='Prepay vs Invest'!$B$12),'Prepay vs Invest'!$B$10,0)+IF(A341='Prepay vs Invest'!$B$9,'Prepay vs Invest'!$B$8,0)-O341-P341),0)</f>
        <v>0</v>
      </c>
      <c r="T341">
        <f>R341*(1+MAX(0,'Prepay vs Invest'!$B$13-'Prepay vs Invest'!$B$14)/1200)+S341</f>
        <v>22267112.318674732</v>
      </c>
      <c r="U341">
        <f t="shared" si="92"/>
        <v>6133552.3707652809</v>
      </c>
      <c r="V341">
        <f>MAX(0,(T341-U341-'Prepay vs Invest'!$B$16)*'Prepay vs Invest'!$B$15/100)</f>
        <v>2001069.9934886815</v>
      </c>
      <c r="W341">
        <f t="shared" si="84"/>
        <v>20266042.325186051</v>
      </c>
      <c r="X341">
        <f t="shared" si="93"/>
        <v>0</v>
      </c>
      <c r="Y341">
        <f>IF(X341&gt;0,X341*'Prepay vs Invest'!$B$6/1200,0)</f>
        <v>0</v>
      </c>
      <c r="Z341">
        <f>IF(X341&gt;0,MIN(-PMT('Prepay vs Invest'!$B$6/1200,'Prepay vs Invest'!$B$7*12-A341+1,X341),X341+Y341),0)</f>
        <v>0</v>
      </c>
      <c r="AA341">
        <f>MIN(MAX(0,X341+Y341-Z341),IF(AND(A341&gt;='Prepay vs Invest'!$B$11,A341&lt;='Prepay vs Invest'!$B$12),'Prepay vs Invest'!$B$10,0)+IF(A341='Prepay vs Invest'!$B$9,'Prepay vs Invest'!$B$8,0))</f>
        <v>0</v>
      </c>
      <c r="AB341">
        <f t="shared" si="85"/>
        <v>0</v>
      </c>
      <c r="AC341">
        <f t="shared" si="94"/>
        <v>28006637.718929969</v>
      </c>
      <c r="AD341">
        <f>IF(A341&lt;='Prepay vs Invest'!$B$7*12,MAX(0,'Prepay vs Invest'!$E$5+IF(AND(A341&gt;='Prepay vs Invest'!$B$11,A341&lt;='Prepay vs Invest'!$B$12),'Prepay vs Invest'!$B$10,0)+IF(A341='Prepay vs Invest'!$B$9,'Prepay vs Invest'!$B$8,0)-Z341-AA341),0)</f>
        <v>0</v>
      </c>
      <c r="AE341">
        <f>AC341*(1+MAX(0,'Prepay vs Invest'!$B$13-'Prepay vs Invest'!$B$14)/1200)+AD341</f>
        <v>28275034.663736381</v>
      </c>
      <c r="AF341">
        <f t="shared" si="95"/>
        <v>4388572.0206063567</v>
      </c>
      <c r="AG341">
        <f>MAX(0,(AE341-AF341-'Prepay vs Invest'!$B$16)*'Prepay vs Invest'!$B$15/100)</f>
        <v>2970182.8303912524</v>
      </c>
      <c r="AH341">
        <f t="shared" si="86"/>
        <v>25304851.83334513</v>
      </c>
    </row>
    <row r="342" spans="1:34" x14ac:dyDescent="0.35">
      <c r="A342">
        <f t="shared" si="87"/>
        <v>341</v>
      </c>
      <c r="B342">
        <f>IF(A342&lt;='Prepay vs Invest'!$B$7*12,F341,0)</f>
        <v>0</v>
      </c>
      <c r="C342">
        <f>IF(B342&gt;0,B342*'Prepay vs Invest'!$B$6/1200,0)</f>
        <v>0</v>
      </c>
      <c r="D342">
        <f>IF(B342&gt;0,MIN(-PMT('Prepay vs Invest'!$B$6/1200,'Prepay vs Invest'!$B$7*12,'Prepay vs Invest'!$B$5),B342+C342),0)</f>
        <v>0</v>
      </c>
      <c r="E342">
        <f t="shared" si="80"/>
        <v>0</v>
      </c>
      <c r="F342">
        <f t="shared" si="81"/>
        <v>0</v>
      </c>
      <c r="G342">
        <f t="shared" si="88"/>
        <v>35429117.635631219</v>
      </c>
      <c r="H342">
        <f>IF(A342&lt;='Prepay vs Invest'!$B$7*12,IF(AND(A342&gt;='Prepay vs Invest'!$B$11,A342&lt;='Prepay vs Invest'!$B$12),'Prepay vs Invest'!$B$10,0)+IF(A342='Prepay vs Invest'!$B$9,'Prepay vs Invest'!$B$8,0),0)</f>
        <v>0</v>
      </c>
      <c r="I342">
        <f>G342*(1+MAX(0,'Prepay vs Invest'!$B$13-'Prepay vs Invest'!$B$14)/1200)+H342</f>
        <v>35768646.679639347</v>
      </c>
      <c r="J342">
        <f t="shared" si="89"/>
        <v>2900000</v>
      </c>
      <c r="K342">
        <f>MAX(0,(I342-J342-'Prepay vs Invest'!$B$16)*'Prepay vs Invest'!$B$15/100)</f>
        <v>4092955.8349549188</v>
      </c>
      <c r="L342">
        <f t="shared" si="82"/>
        <v>31675690.844684429</v>
      </c>
      <c r="M342">
        <f t="shared" si="90"/>
        <v>0</v>
      </c>
      <c r="N342">
        <f>IF(M342&gt;0,M342*'Prepay vs Invest'!$B$6/1200,0)</f>
        <v>0</v>
      </c>
      <c r="O342">
        <f>IF(M342&gt;0,MIN('Prepay vs Invest'!$E$5,M342+N342),0)</f>
        <v>0</v>
      </c>
      <c r="P342">
        <f>MIN(MAX(0,M342+N342-O342),IF(AND(A342&gt;='Prepay vs Invest'!$B$11,A342&lt;='Prepay vs Invest'!$B$12),'Prepay vs Invest'!$B$10,0)+IF(A342='Prepay vs Invest'!$B$9,'Prepay vs Invest'!$B$8,0))</f>
        <v>0</v>
      </c>
      <c r="Q342">
        <f t="shared" si="83"/>
        <v>0</v>
      </c>
      <c r="R342">
        <f t="shared" si="91"/>
        <v>22267112.318674732</v>
      </c>
      <c r="S342">
        <f>IF(A342&lt;='Prepay vs Invest'!$B$7*12,MAX(0,'Prepay vs Invest'!$E$5+IF(AND(A342&gt;='Prepay vs Invest'!$B$11,A342&lt;='Prepay vs Invest'!$B$12),'Prepay vs Invest'!$B$10,0)+IF(A342='Prepay vs Invest'!$B$9,'Prepay vs Invest'!$B$8,0)-O342-P342),0)</f>
        <v>0</v>
      </c>
      <c r="T342">
        <f>R342*(1+MAX(0,'Prepay vs Invest'!$B$13-'Prepay vs Invest'!$B$14)/1200)+S342</f>
        <v>22480505.478395365</v>
      </c>
      <c r="U342">
        <f t="shared" si="92"/>
        <v>6133552.3707652809</v>
      </c>
      <c r="V342">
        <f>MAX(0,(T342-U342-'Prepay vs Invest'!$B$16)*'Prepay vs Invest'!$B$15/100)</f>
        <v>2027744.1384537607</v>
      </c>
      <c r="W342">
        <f t="shared" si="84"/>
        <v>20452761.339941606</v>
      </c>
      <c r="X342">
        <f t="shared" si="93"/>
        <v>0</v>
      </c>
      <c r="Y342">
        <f>IF(X342&gt;0,X342*'Prepay vs Invest'!$B$6/1200,0)</f>
        <v>0</v>
      </c>
      <c r="Z342">
        <f>IF(X342&gt;0,MIN(-PMT('Prepay vs Invest'!$B$6/1200,'Prepay vs Invest'!$B$7*12-A342+1,X342),X342+Y342),0)</f>
        <v>0</v>
      </c>
      <c r="AA342">
        <f>MIN(MAX(0,X342+Y342-Z342),IF(AND(A342&gt;='Prepay vs Invest'!$B$11,A342&lt;='Prepay vs Invest'!$B$12),'Prepay vs Invest'!$B$10,0)+IF(A342='Prepay vs Invest'!$B$9,'Prepay vs Invest'!$B$8,0))</f>
        <v>0</v>
      </c>
      <c r="AB342">
        <f t="shared" si="85"/>
        <v>0</v>
      </c>
      <c r="AC342">
        <f t="shared" si="94"/>
        <v>28275034.663736381</v>
      </c>
      <c r="AD342">
        <f>IF(A342&lt;='Prepay vs Invest'!$B$7*12,MAX(0,'Prepay vs Invest'!$E$5+IF(AND(A342&gt;='Prepay vs Invest'!$B$11,A342&lt;='Prepay vs Invest'!$B$12),'Prepay vs Invest'!$B$10,0)+IF(A342='Prepay vs Invest'!$B$9,'Prepay vs Invest'!$B$8,0)-Z342-AA342),0)</f>
        <v>0</v>
      </c>
      <c r="AE342">
        <f>AC342*(1+MAX(0,'Prepay vs Invest'!$B$13-'Prepay vs Invest'!$B$14)/1200)+AD342</f>
        <v>28546003.745930519</v>
      </c>
      <c r="AF342">
        <f t="shared" si="95"/>
        <v>4388572.0206063567</v>
      </c>
      <c r="AG342">
        <f>MAX(0,(AE342-AF342-'Prepay vs Invest'!$B$16)*'Prepay vs Invest'!$B$15/100)</f>
        <v>3004053.9656655206</v>
      </c>
      <c r="AH342">
        <f t="shared" si="86"/>
        <v>25541949.780265</v>
      </c>
    </row>
    <row r="343" spans="1:34" x14ac:dyDescent="0.35">
      <c r="A343">
        <f t="shared" si="87"/>
        <v>342</v>
      </c>
      <c r="B343">
        <f>IF(A343&lt;='Prepay vs Invest'!$B$7*12,F342,0)</f>
        <v>0</v>
      </c>
      <c r="C343">
        <f>IF(B343&gt;0,B343*'Prepay vs Invest'!$B$6/1200,0)</f>
        <v>0</v>
      </c>
      <c r="D343">
        <f>IF(B343&gt;0,MIN(-PMT('Prepay vs Invest'!$B$6/1200,'Prepay vs Invest'!$B$7*12,'Prepay vs Invest'!$B$5),B343+C343),0)</f>
        <v>0</v>
      </c>
      <c r="E343">
        <f t="shared" si="80"/>
        <v>0</v>
      </c>
      <c r="F343">
        <f t="shared" si="81"/>
        <v>0</v>
      </c>
      <c r="G343">
        <f t="shared" si="88"/>
        <v>35768646.679639347</v>
      </c>
      <c r="H343">
        <f>IF(A343&lt;='Prepay vs Invest'!$B$7*12,IF(AND(A343&gt;='Prepay vs Invest'!$B$11,A343&lt;='Prepay vs Invest'!$B$12),'Prepay vs Invest'!$B$10,0)+IF(A343='Prepay vs Invest'!$B$9,'Prepay vs Invest'!$B$8,0),0)</f>
        <v>0</v>
      </c>
      <c r="I343">
        <f>G343*(1+MAX(0,'Prepay vs Invest'!$B$13-'Prepay vs Invest'!$B$14)/1200)+H343</f>
        <v>36111429.543652557</v>
      </c>
      <c r="J343">
        <f t="shared" si="89"/>
        <v>2900000</v>
      </c>
      <c r="K343">
        <f>MAX(0,(I343-J343-'Prepay vs Invest'!$B$16)*'Prepay vs Invest'!$B$15/100)</f>
        <v>4135803.6929565696</v>
      </c>
      <c r="L343">
        <f t="shared" si="82"/>
        <v>31975625.850695986</v>
      </c>
      <c r="M343">
        <f t="shared" si="90"/>
        <v>0</v>
      </c>
      <c r="N343">
        <f>IF(M343&gt;0,M343*'Prepay vs Invest'!$B$6/1200,0)</f>
        <v>0</v>
      </c>
      <c r="O343">
        <f>IF(M343&gt;0,MIN('Prepay vs Invest'!$E$5,M343+N343),0)</f>
        <v>0</v>
      </c>
      <c r="P343">
        <f>MIN(MAX(0,M343+N343-O343),IF(AND(A343&gt;='Prepay vs Invest'!$B$11,A343&lt;='Prepay vs Invest'!$B$12),'Prepay vs Invest'!$B$10,0)+IF(A343='Prepay vs Invest'!$B$9,'Prepay vs Invest'!$B$8,0))</f>
        <v>0</v>
      </c>
      <c r="Q343">
        <f t="shared" si="83"/>
        <v>0</v>
      </c>
      <c r="R343">
        <f t="shared" si="91"/>
        <v>22480505.478395365</v>
      </c>
      <c r="S343">
        <f>IF(A343&lt;='Prepay vs Invest'!$B$7*12,MAX(0,'Prepay vs Invest'!$E$5+IF(AND(A343&gt;='Prepay vs Invest'!$B$11,A343&lt;='Prepay vs Invest'!$B$12),'Prepay vs Invest'!$B$10,0)+IF(A343='Prepay vs Invest'!$B$9,'Prepay vs Invest'!$B$8,0)-O343-P343),0)</f>
        <v>0</v>
      </c>
      <c r="T343">
        <f>R343*(1+MAX(0,'Prepay vs Invest'!$B$13-'Prepay vs Invest'!$B$14)/1200)+S343</f>
        <v>22695943.655896652</v>
      </c>
      <c r="U343">
        <f t="shared" si="92"/>
        <v>6133552.3707652809</v>
      </c>
      <c r="V343">
        <f>MAX(0,(T343-U343-'Prepay vs Invest'!$B$16)*'Prepay vs Invest'!$B$15/100)</f>
        <v>2054673.9106414216</v>
      </c>
      <c r="W343">
        <f t="shared" si="84"/>
        <v>20641269.745255232</v>
      </c>
      <c r="X343">
        <f t="shared" si="93"/>
        <v>0</v>
      </c>
      <c r="Y343">
        <f>IF(X343&gt;0,X343*'Prepay vs Invest'!$B$6/1200,0)</f>
        <v>0</v>
      </c>
      <c r="Z343">
        <f>IF(X343&gt;0,MIN(-PMT('Prepay vs Invest'!$B$6/1200,'Prepay vs Invest'!$B$7*12-A343+1,X343),X343+Y343),0)</f>
        <v>0</v>
      </c>
      <c r="AA343">
        <f>MIN(MAX(0,X343+Y343-Z343),IF(AND(A343&gt;='Prepay vs Invest'!$B$11,A343&lt;='Prepay vs Invest'!$B$12),'Prepay vs Invest'!$B$10,0)+IF(A343='Prepay vs Invest'!$B$9,'Prepay vs Invest'!$B$8,0))</f>
        <v>0</v>
      </c>
      <c r="AB343">
        <f t="shared" si="85"/>
        <v>0</v>
      </c>
      <c r="AC343">
        <f t="shared" si="94"/>
        <v>28546003.745930519</v>
      </c>
      <c r="AD343">
        <f>IF(A343&lt;='Prepay vs Invest'!$B$7*12,MAX(0,'Prepay vs Invest'!$E$5+IF(AND(A343&gt;='Prepay vs Invest'!$B$11,A343&lt;='Prepay vs Invest'!$B$12),'Prepay vs Invest'!$B$10,0)+IF(A343='Prepay vs Invest'!$B$9,'Prepay vs Invest'!$B$8,0)-Z343-AA343),0)</f>
        <v>0</v>
      </c>
      <c r="AE343">
        <f>AC343*(1+MAX(0,'Prepay vs Invest'!$B$13-'Prepay vs Invest'!$B$14)/1200)+AD343</f>
        <v>28819569.61516235</v>
      </c>
      <c r="AF343">
        <f t="shared" si="95"/>
        <v>4388572.0206063567</v>
      </c>
      <c r="AG343">
        <f>MAX(0,(AE343-AF343-'Prepay vs Invest'!$B$16)*'Prepay vs Invest'!$B$15/100)</f>
        <v>3038249.6993194991</v>
      </c>
      <c r="AH343">
        <f t="shared" si="86"/>
        <v>25781319.91584285</v>
      </c>
    </row>
    <row r="344" spans="1:34" x14ac:dyDescent="0.35">
      <c r="A344">
        <f t="shared" si="87"/>
        <v>343</v>
      </c>
      <c r="B344">
        <f>IF(A344&lt;='Prepay vs Invest'!$B$7*12,F343,0)</f>
        <v>0</v>
      </c>
      <c r="C344">
        <f>IF(B344&gt;0,B344*'Prepay vs Invest'!$B$6/1200,0)</f>
        <v>0</v>
      </c>
      <c r="D344">
        <f>IF(B344&gt;0,MIN(-PMT('Prepay vs Invest'!$B$6/1200,'Prepay vs Invest'!$B$7*12,'Prepay vs Invest'!$B$5),B344+C344),0)</f>
        <v>0</v>
      </c>
      <c r="E344">
        <f t="shared" si="80"/>
        <v>0</v>
      </c>
      <c r="F344">
        <f t="shared" si="81"/>
        <v>0</v>
      </c>
      <c r="G344">
        <f t="shared" si="88"/>
        <v>36111429.543652557</v>
      </c>
      <c r="H344">
        <f>IF(A344&lt;='Prepay vs Invest'!$B$7*12,IF(AND(A344&gt;='Prepay vs Invest'!$B$11,A344&lt;='Prepay vs Invest'!$B$12),'Prepay vs Invest'!$B$10,0)+IF(A344='Prepay vs Invest'!$B$9,'Prepay vs Invest'!$B$8,0),0)</f>
        <v>0</v>
      </c>
      <c r="I344">
        <f>G344*(1+MAX(0,'Prepay vs Invest'!$B$13-'Prepay vs Invest'!$B$14)/1200)+H344</f>
        <v>36457497.41011256</v>
      </c>
      <c r="J344">
        <f t="shared" si="89"/>
        <v>2900000</v>
      </c>
      <c r="K344">
        <f>MAX(0,(I344-J344-'Prepay vs Invest'!$B$16)*'Prepay vs Invest'!$B$15/100)</f>
        <v>4179062.1762640704</v>
      </c>
      <c r="L344">
        <f t="shared" si="82"/>
        <v>32278435.23384849</v>
      </c>
      <c r="M344">
        <f t="shared" si="90"/>
        <v>0</v>
      </c>
      <c r="N344">
        <f>IF(M344&gt;0,M344*'Prepay vs Invest'!$B$6/1200,0)</f>
        <v>0</v>
      </c>
      <c r="O344">
        <f>IF(M344&gt;0,MIN('Prepay vs Invest'!$E$5,M344+N344),0)</f>
        <v>0</v>
      </c>
      <c r="P344">
        <f>MIN(MAX(0,M344+N344-O344),IF(AND(A344&gt;='Prepay vs Invest'!$B$11,A344&lt;='Prepay vs Invest'!$B$12),'Prepay vs Invest'!$B$10,0)+IF(A344='Prepay vs Invest'!$B$9,'Prepay vs Invest'!$B$8,0))</f>
        <v>0</v>
      </c>
      <c r="Q344">
        <f t="shared" si="83"/>
        <v>0</v>
      </c>
      <c r="R344">
        <f t="shared" si="91"/>
        <v>22695943.655896652</v>
      </c>
      <c r="S344">
        <f>IF(A344&lt;='Prepay vs Invest'!$B$7*12,MAX(0,'Prepay vs Invest'!$E$5+IF(AND(A344&gt;='Prepay vs Invest'!$B$11,A344&lt;='Prepay vs Invest'!$B$12),'Prepay vs Invest'!$B$10,0)+IF(A344='Prepay vs Invest'!$B$9,'Prepay vs Invest'!$B$8,0)-O344-P344),0)</f>
        <v>0</v>
      </c>
      <c r="T344">
        <f>R344*(1+MAX(0,'Prepay vs Invest'!$B$13-'Prepay vs Invest'!$B$14)/1200)+S344</f>
        <v>22913446.449265663</v>
      </c>
      <c r="U344">
        <f t="shared" si="92"/>
        <v>6133552.3707652809</v>
      </c>
      <c r="V344">
        <f>MAX(0,(T344-U344-'Prepay vs Invest'!$B$16)*'Prepay vs Invest'!$B$15/100)</f>
        <v>2081861.7598125478</v>
      </c>
      <c r="W344">
        <f t="shared" si="84"/>
        <v>20831584.689453114</v>
      </c>
      <c r="X344">
        <f t="shared" si="93"/>
        <v>0</v>
      </c>
      <c r="Y344">
        <f>IF(X344&gt;0,X344*'Prepay vs Invest'!$B$6/1200,0)</f>
        <v>0</v>
      </c>
      <c r="Z344">
        <f>IF(X344&gt;0,MIN(-PMT('Prepay vs Invest'!$B$6/1200,'Prepay vs Invest'!$B$7*12-A344+1,X344),X344+Y344),0)</f>
        <v>0</v>
      </c>
      <c r="AA344">
        <f>MIN(MAX(0,X344+Y344-Z344),IF(AND(A344&gt;='Prepay vs Invest'!$B$11,A344&lt;='Prepay vs Invest'!$B$12),'Prepay vs Invest'!$B$10,0)+IF(A344='Prepay vs Invest'!$B$9,'Prepay vs Invest'!$B$8,0))</f>
        <v>0</v>
      </c>
      <c r="AB344">
        <f t="shared" si="85"/>
        <v>0</v>
      </c>
      <c r="AC344">
        <f t="shared" si="94"/>
        <v>28819569.61516235</v>
      </c>
      <c r="AD344">
        <f>IF(A344&lt;='Prepay vs Invest'!$B$7*12,MAX(0,'Prepay vs Invest'!$E$5+IF(AND(A344&gt;='Prepay vs Invest'!$B$11,A344&lt;='Prepay vs Invest'!$B$12),'Prepay vs Invest'!$B$10,0)+IF(A344='Prepay vs Invest'!$B$9,'Prepay vs Invest'!$B$8,0)-Z344-AA344),0)</f>
        <v>0</v>
      </c>
      <c r="AE344">
        <f>AC344*(1+MAX(0,'Prepay vs Invest'!$B$13-'Prepay vs Invest'!$B$14)/1200)+AD344</f>
        <v>29095757.157307655</v>
      </c>
      <c r="AF344">
        <f t="shared" si="95"/>
        <v>4388572.0206063567</v>
      </c>
      <c r="AG344">
        <f>MAX(0,(AE344-AF344-'Prepay vs Invest'!$B$16)*'Prepay vs Invest'!$B$15/100)</f>
        <v>3072773.1420876621</v>
      </c>
      <c r="AH344">
        <f t="shared" si="86"/>
        <v>26022984.015219994</v>
      </c>
    </row>
    <row r="345" spans="1:34" x14ac:dyDescent="0.35">
      <c r="A345">
        <f t="shared" si="87"/>
        <v>344</v>
      </c>
      <c r="B345">
        <f>IF(A345&lt;='Prepay vs Invest'!$B$7*12,F344,0)</f>
        <v>0</v>
      </c>
      <c r="C345">
        <f>IF(B345&gt;0,B345*'Prepay vs Invest'!$B$6/1200,0)</f>
        <v>0</v>
      </c>
      <c r="D345">
        <f>IF(B345&gt;0,MIN(-PMT('Prepay vs Invest'!$B$6/1200,'Prepay vs Invest'!$B$7*12,'Prepay vs Invest'!$B$5),B345+C345),0)</f>
        <v>0</v>
      </c>
      <c r="E345">
        <f t="shared" si="80"/>
        <v>0</v>
      </c>
      <c r="F345">
        <f t="shared" si="81"/>
        <v>0</v>
      </c>
      <c r="G345">
        <f t="shared" si="88"/>
        <v>36457497.41011256</v>
      </c>
      <c r="H345">
        <f>IF(A345&lt;='Prepay vs Invest'!$B$7*12,IF(AND(A345&gt;='Prepay vs Invest'!$B$11,A345&lt;='Prepay vs Invest'!$B$12),'Prepay vs Invest'!$B$10,0)+IF(A345='Prepay vs Invest'!$B$9,'Prepay vs Invest'!$B$8,0),0)</f>
        <v>0</v>
      </c>
      <c r="I345">
        <f>G345*(1+MAX(0,'Prepay vs Invest'!$B$13-'Prepay vs Invest'!$B$14)/1200)+H345</f>
        <v>36806881.760292806</v>
      </c>
      <c r="J345">
        <f t="shared" si="89"/>
        <v>2900000</v>
      </c>
      <c r="K345">
        <f>MAX(0,(I345-J345-'Prepay vs Invest'!$B$16)*'Prepay vs Invest'!$B$15/100)</f>
        <v>4222735.2200366007</v>
      </c>
      <c r="L345">
        <f t="shared" si="82"/>
        <v>32584146.540256206</v>
      </c>
      <c r="M345">
        <f t="shared" si="90"/>
        <v>0</v>
      </c>
      <c r="N345">
        <f>IF(M345&gt;0,M345*'Prepay vs Invest'!$B$6/1200,0)</f>
        <v>0</v>
      </c>
      <c r="O345">
        <f>IF(M345&gt;0,MIN('Prepay vs Invest'!$E$5,M345+N345),0)</f>
        <v>0</v>
      </c>
      <c r="P345">
        <f>MIN(MAX(0,M345+N345-O345),IF(AND(A345&gt;='Prepay vs Invest'!$B$11,A345&lt;='Prepay vs Invest'!$B$12),'Prepay vs Invest'!$B$10,0)+IF(A345='Prepay vs Invest'!$B$9,'Prepay vs Invest'!$B$8,0))</f>
        <v>0</v>
      </c>
      <c r="Q345">
        <f t="shared" si="83"/>
        <v>0</v>
      </c>
      <c r="R345">
        <f t="shared" si="91"/>
        <v>22913446.449265663</v>
      </c>
      <c r="S345">
        <f>IF(A345&lt;='Prepay vs Invest'!$B$7*12,MAX(0,'Prepay vs Invest'!$E$5+IF(AND(A345&gt;='Prepay vs Invest'!$B$11,A345&lt;='Prepay vs Invest'!$B$12),'Prepay vs Invest'!$B$10,0)+IF(A345='Prepay vs Invest'!$B$9,'Prepay vs Invest'!$B$8,0)-O345-P345),0)</f>
        <v>0</v>
      </c>
      <c r="T345">
        <f>R345*(1+MAX(0,'Prepay vs Invest'!$B$13-'Prepay vs Invest'!$B$14)/1200)+S345</f>
        <v>23133033.644404456</v>
      </c>
      <c r="U345">
        <f t="shared" si="92"/>
        <v>6133552.3707652809</v>
      </c>
      <c r="V345">
        <f>MAX(0,(T345-U345-'Prepay vs Invest'!$B$16)*'Prepay vs Invest'!$B$15/100)</f>
        <v>2109310.159204897</v>
      </c>
      <c r="W345">
        <f t="shared" si="84"/>
        <v>21023723.485199559</v>
      </c>
      <c r="X345">
        <f t="shared" si="93"/>
        <v>0</v>
      </c>
      <c r="Y345">
        <f>IF(X345&gt;0,X345*'Prepay vs Invest'!$B$6/1200,0)</f>
        <v>0</v>
      </c>
      <c r="Z345">
        <f>IF(X345&gt;0,MIN(-PMT('Prepay vs Invest'!$B$6/1200,'Prepay vs Invest'!$B$7*12-A345+1,X345),X345+Y345),0)</f>
        <v>0</v>
      </c>
      <c r="AA345">
        <f>MIN(MAX(0,X345+Y345-Z345),IF(AND(A345&gt;='Prepay vs Invest'!$B$11,A345&lt;='Prepay vs Invest'!$B$12),'Prepay vs Invest'!$B$10,0)+IF(A345='Prepay vs Invest'!$B$9,'Prepay vs Invest'!$B$8,0))</f>
        <v>0</v>
      </c>
      <c r="AB345">
        <f t="shared" si="85"/>
        <v>0</v>
      </c>
      <c r="AC345">
        <f t="shared" si="94"/>
        <v>29095757.157307655</v>
      </c>
      <c r="AD345">
        <f>IF(A345&lt;='Prepay vs Invest'!$B$7*12,MAX(0,'Prepay vs Invest'!$E$5+IF(AND(A345&gt;='Prepay vs Invest'!$B$11,A345&lt;='Prepay vs Invest'!$B$12),'Prepay vs Invest'!$B$10,0)+IF(A345='Prepay vs Invest'!$B$9,'Prepay vs Invest'!$B$8,0)-Z345-AA345),0)</f>
        <v>0</v>
      </c>
      <c r="AE345">
        <f>AC345*(1+MAX(0,'Prepay vs Invest'!$B$13-'Prepay vs Invest'!$B$14)/1200)+AD345</f>
        <v>29374591.496731851</v>
      </c>
      <c r="AF345">
        <f t="shared" si="95"/>
        <v>4388572.0206063567</v>
      </c>
      <c r="AG345">
        <f>MAX(0,(AE345-AF345-'Prepay vs Invest'!$B$16)*'Prepay vs Invest'!$B$15/100)</f>
        <v>3107627.4345156867</v>
      </c>
      <c r="AH345">
        <f t="shared" si="86"/>
        <v>26266964.062216163</v>
      </c>
    </row>
    <row r="346" spans="1:34" x14ac:dyDescent="0.35">
      <c r="A346">
        <f t="shared" si="87"/>
        <v>345</v>
      </c>
      <c r="B346">
        <f>IF(A346&lt;='Prepay vs Invest'!$B$7*12,F345,0)</f>
        <v>0</v>
      </c>
      <c r="C346">
        <f>IF(B346&gt;0,B346*'Prepay vs Invest'!$B$6/1200,0)</f>
        <v>0</v>
      </c>
      <c r="D346">
        <f>IF(B346&gt;0,MIN(-PMT('Prepay vs Invest'!$B$6/1200,'Prepay vs Invest'!$B$7*12,'Prepay vs Invest'!$B$5),B346+C346),0)</f>
        <v>0</v>
      </c>
      <c r="E346">
        <f t="shared" si="80"/>
        <v>0</v>
      </c>
      <c r="F346">
        <f t="shared" si="81"/>
        <v>0</v>
      </c>
      <c r="G346">
        <f t="shared" si="88"/>
        <v>36806881.760292806</v>
      </c>
      <c r="H346">
        <f>IF(A346&lt;='Prepay vs Invest'!$B$7*12,IF(AND(A346&gt;='Prepay vs Invest'!$B$11,A346&lt;='Prepay vs Invest'!$B$12),'Prepay vs Invest'!$B$10,0)+IF(A346='Prepay vs Invest'!$B$9,'Prepay vs Invest'!$B$8,0),0)</f>
        <v>0</v>
      </c>
      <c r="I346">
        <f>G346*(1+MAX(0,'Prepay vs Invest'!$B$13-'Prepay vs Invest'!$B$14)/1200)+H346</f>
        <v>37159614.377162278</v>
      </c>
      <c r="J346">
        <f t="shared" si="89"/>
        <v>2900000</v>
      </c>
      <c r="K346">
        <f>MAX(0,(I346-J346-'Prepay vs Invest'!$B$16)*'Prepay vs Invest'!$B$15/100)</f>
        <v>4266826.7971452847</v>
      </c>
      <c r="L346">
        <f t="shared" si="82"/>
        <v>32892787.580016993</v>
      </c>
      <c r="M346">
        <f t="shared" si="90"/>
        <v>0</v>
      </c>
      <c r="N346">
        <f>IF(M346&gt;0,M346*'Prepay vs Invest'!$B$6/1200,0)</f>
        <v>0</v>
      </c>
      <c r="O346">
        <f>IF(M346&gt;0,MIN('Prepay vs Invest'!$E$5,M346+N346),0)</f>
        <v>0</v>
      </c>
      <c r="P346">
        <f>MIN(MAX(0,M346+N346-O346),IF(AND(A346&gt;='Prepay vs Invest'!$B$11,A346&lt;='Prepay vs Invest'!$B$12),'Prepay vs Invest'!$B$10,0)+IF(A346='Prepay vs Invest'!$B$9,'Prepay vs Invest'!$B$8,0))</f>
        <v>0</v>
      </c>
      <c r="Q346">
        <f t="shared" si="83"/>
        <v>0</v>
      </c>
      <c r="R346">
        <f t="shared" si="91"/>
        <v>23133033.644404456</v>
      </c>
      <c r="S346">
        <f>IF(A346&lt;='Prepay vs Invest'!$B$7*12,MAX(0,'Prepay vs Invest'!$E$5+IF(AND(A346&gt;='Prepay vs Invest'!$B$11,A346&lt;='Prepay vs Invest'!$B$12),'Prepay vs Invest'!$B$10,0)+IF(A346='Prepay vs Invest'!$B$9,'Prepay vs Invest'!$B$8,0)-O346-P346),0)</f>
        <v>0</v>
      </c>
      <c r="T346">
        <f>R346*(1+MAX(0,'Prepay vs Invest'!$B$13-'Prepay vs Invest'!$B$14)/1200)+S346</f>
        <v>23354725.216829997</v>
      </c>
      <c r="U346">
        <f t="shared" si="92"/>
        <v>6133552.3707652809</v>
      </c>
      <c r="V346">
        <f>MAX(0,(T346-U346-'Prepay vs Invest'!$B$16)*'Prepay vs Invest'!$B$15/100)</f>
        <v>2137021.6057580896</v>
      </c>
      <c r="W346">
        <f t="shared" si="84"/>
        <v>21217703.611071907</v>
      </c>
      <c r="X346">
        <f t="shared" si="93"/>
        <v>0</v>
      </c>
      <c r="Y346">
        <f>IF(X346&gt;0,X346*'Prepay vs Invest'!$B$6/1200,0)</f>
        <v>0</v>
      </c>
      <c r="Z346">
        <f>IF(X346&gt;0,MIN(-PMT('Prepay vs Invest'!$B$6/1200,'Prepay vs Invest'!$B$7*12-A346+1,X346),X346+Y346),0)</f>
        <v>0</v>
      </c>
      <c r="AA346">
        <f>MIN(MAX(0,X346+Y346-Z346),IF(AND(A346&gt;='Prepay vs Invest'!$B$11,A346&lt;='Prepay vs Invest'!$B$12),'Prepay vs Invest'!$B$10,0)+IF(A346='Prepay vs Invest'!$B$9,'Prepay vs Invest'!$B$8,0))</f>
        <v>0</v>
      </c>
      <c r="AB346">
        <f t="shared" si="85"/>
        <v>0</v>
      </c>
      <c r="AC346">
        <f t="shared" si="94"/>
        <v>29374591.496731851</v>
      </c>
      <c r="AD346">
        <f>IF(A346&lt;='Prepay vs Invest'!$B$7*12,MAX(0,'Prepay vs Invest'!$E$5+IF(AND(A346&gt;='Prepay vs Invest'!$B$11,A346&lt;='Prepay vs Invest'!$B$12),'Prepay vs Invest'!$B$10,0)+IF(A346='Prepay vs Invest'!$B$9,'Prepay vs Invest'!$B$8,0)-Z346-AA346),0)</f>
        <v>0</v>
      </c>
      <c r="AE346">
        <f>AC346*(1+MAX(0,'Prepay vs Invest'!$B$13-'Prepay vs Invest'!$B$14)/1200)+AD346</f>
        <v>29656097.998575531</v>
      </c>
      <c r="AF346">
        <f t="shared" si="95"/>
        <v>4388572.0206063567</v>
      </c>
      <c r="AG346">
        <f>MAX(0,(AE346-AF346-'Prepay vs Invest'!$B$16)*'Prepay vs Invest'!$B$15/100)</f>
        <v>3142815.7472461467</v>
      </c>
      <c r="AH346">
        <f t="shared" si="86"/>
        <v>26513282.251329385</v>
      </c>
    </row>
    <row r="347" spans="1:34" x14ac:dyDescent="0.35">
      <c r="A347">
        <f t="shared" si="87"/>
        <v>346</v>
      </c>
      <c r="B347">
        <f>IF(A347&lt;='Prepay vs Invest'!$B$7*12,F346,0)</f>
        <v>0</v>
      </c>
      <c r="C347">
        <f>IF(B347&gt;0,B347*'Prepay vs Invest'!$B$6/1200,0)</f>
        <v>0</v>
      </c>
      <c r="D347">
        <f>IF(B347&gt;0,MIN(-PMT('Prepay vs Invest'!$B$6/1200,'Prepay vs Invest'!$B$7*12,'Prepay vs Invest'!$B$5),B347+C347),0)</f>
        <v>0</v>
      </c>
      <c r="E347">
        <f t="shared" si="80"/>
        <v>0</v>
      </c>
      <c r="F347">
        <f t="shared" si="81"/>
        <v>0</v>
      </c>
      <c r="G347">
        <f t="shared" si="88"/>
        <v>37159614.377162278</v>
      </c>
      <c r="H347">
        <f>IF(A347&lt;='Prepay vs Invest'!$B$7*12,IF(AND(A347&gt;='Prepay vs Invest'!$B$11,A347&lt;='Prepay vs Invest'!$B$12),'Prepay vs Invest'!$B$10,0)+IF(A347='Prepay vs Invest'!$B$9,'Prepay vs Invest'!$B$8,0),0)</f>
        <v>0</v>
      </c>
      <c r="I347">
        <f>G347*(1+MAX(0,'Prepay vs Invest'!$B$13-'Prepay vs Invest'!$B$14)/1200)+H347</f>
        <v>37515727.348276749</v>
      </c>
      <c r="J347">
        <f t="shared" si="89"/>
        <v>2900000</v>
      </c>
      <c r="K347">
        <f>MAX(0,(I347-J347-'Prepay vs Invest'!$B$16)*'Prepay vs Invest'!$B$15/100)</f>
        <v>4311340.9185345937</v>
      </c>
      <c r="L347">
        <f t="shared" si="82"/>
        <v>33204386.429742157</v>
      </c>
      <c r="M347">
        <f t="shared" si="90"/>
        <v>0</v>
      </c>
      <c r="N347">
        <f>IF(M347&gt;0,M347*'Prepay vs Invest'!$B$6/1200,0)</f>
        <v>0</v>
      </c>
      <c r="O347">
        <f>IF(M347&gt;0,MIN('Prepay vs Invest'!$E$5,M347+N347),0)</f>
        <v>0</v>
      </c>
      <c r="P347">
        <f>MIN(MAX(0,M347+N347-O347),IF(AND(A347&gt;='Prepay vs Invest'!$B$11,A347&lt;='Prepay vs Invest'!$B$12),'Prepay vs Invest'!$B$10,0)+IF(A347='Prepay vs Invest'!$B$9,'Prepay vs Invest'!$B$8,0))</f>
        <v>0</v>
      </c>
      <c r="Q347">
        <f t="shared" si="83"/>
        <v>0</v>
      </c>
      <c r="R347">
        <f t="shared" si="91"/>
        <v>23354725.216829997</v>
      </c>
      <c r="S347">
        <f>IF(A347&lt;='Prepay vs Invest'!$B$7*12,MAX(0,'Prepay vs Invest'!$E$5+IF(AND(A347&gt;='Prepay vs Invest'!$B$11,A347&lt;='Prepay vs Invest'!$B$12),'Prepay vs Invest'!$B$10,0)+IF(A347='Prepay vs Invest'!$B$9,'Prepay vs Invest'!$B$8,0)-O347-P347),0)</f>
        <v>0</v>
      </c>
      <c r="T347">
        <f>R347*(1+MAX(0,'Prepay vs Invest'!$B$13-'Prepay vs Invest'!$B$14)/1200)+S347</f>
        <v>23578541.333491284</v>
      </c>
      <c r="U347">
        <f t="shared" si="92"/>
        <v>6133552.3707652809</v>
      </c>
      <c r="V347">
        <f>MAX(0,(T347-U347-'Prepay vs Invest'!$B$16)*'Prepay vs Invest'!$B$15/100)</f>
        <v>2164998.6203407506</v>
      </c>
      <c r="W347">
        <f t="shared" si="84"/>
        <v>21413542.713150535</v>
      </c>
      <c r="X347">
        <f t="shared" si="93"/>
        <v>0</v>
      </c>
      <c r="Y347">
        <f>IF(X347&gt;0,X347*'Prepay vs Invest'!$B$6/1200,0)</f>
        <v>0</v>
      </c>
      <c r="Z347">
        <f>IF(X347&gt;0,MIN(-PMT('Prepay vs Invest'!$B$6/1200,'Prepay vs Invest'!$B$7*12-A347+1,X347),X347+Y347),0)</f>
        <v>0</v>
      </c>
      <c r="AA347">
        <f>MIN(MAX(0,X347+Y347-Z347),IF(AND(A347&gt;='Prepay vs Invest'!$B$11,A347&lt;='Prepay vs Invest'!$B$12),'Prepay vs Invest'!$B$10,0)+IF(A347='Prepay vs Invest'!$B$9,'Prepay vs Invest'!$B$8,0))</f>
        <v>0</v>
      </c>
      <c r="AB347">
        <f t="shared" si="85"/>
        <v>0</v>
      </c>
      <c r="AC347">
        <f t="shared" si="94"/>
        <v>29656097.998575531</v>
      </c>
      <c r="AD347">
        <f>IF(A347&lt;='Prepay vs Invest'!$B$7*12,MAX(0,'Prepay vs Invest'!$E$5+IF(AND(A347&gt;='Prepay vs Invest'!$B$11,A347&lt;='Prepay vs Invest'!$B$12),'Prepay vs Invest'!$B$10,0)+IF(A347='Prepay vs Invest'!$B$9,'Prepay vs Invest'!$B$8,0)-Z347-AA347),0)</f>
        <v>0</v>
      </c>
      <c r="AE347">
        <f>AC347*(1+MAX(0,'Prepay vs Invest'!$B$13-'Prepay vs Invest'!$B$14)/1200)+AD347</f>
        <v>29940302.271061879</v>
      </c>
      <c r="AF347">
        <f t="shared" si="95"/>
        <v>4388572.0206063567</v>
      </c>
      <c r="AG347">
        <f>MAX(0,(AE347-AF347-'Prepay vs Invest'!$B$16)*'Prepay vs Invest'!$B$15/100)</f>
        <v>3178341.2813069401</v>
      </c>
      <c r="AH347">
        <f t="shared" si="86"/>
        <v>26761960.989754938</v>
      </c>
    </row>
    <row r="348" spans="1:34" x14ac:dyDescent="0.35">
      <c r="A348">
        <f t="shared" si="87"/>
        <v>347</v>
      </c>
      <c r="B348">
        <f>IF(A348&lt;='Prepay vs Invest'!$B$7*12,F347,0)</f>
        <v>0</v>
      </c>
      <c r="C348">
        <f>IF(B348&gt;0,B348*'Prepay vs Invest'!$B$6/1200,0)</f>
        <v>0</v>
      </c>
      <c r="D348">
        <f>IF(B348&gt;0,MIN(-PMT('Prepay vs Invest'!$B$6/1200,'Prepay vs Invest'!$B$7*12,'Prepay vs Invest'!$B$5),B348+C348),0)</f>
        <v>0</v>
      </c>
      <c r="E348">
        <f t="shared" si="80"/>
        <v>0</v>
      </c>
      <c r="F348">
        <f t="shared" si="81"/>
        <v>0</v>
      </c>
      <c r="G348">
        <f t="shared" si="88"/>
        <v>37515727.348276749</v>
      </c>
      <c r="H348">
        <f>IF(A348&lt;='Prepay vs Invest'!$B$7*12,IF(AND(A348&gt;='Prepay vs Invest'!$B$11,A348&lt;='Prepay vs Invest'!$B$12),'Prepay vs Invest'!$B$10,0)+IF(A348='Prepay vs Invest'!$B$9,'Prepay vs Invest'!$B$8,0),0)</f>
        <v>0</v>
      </c>
      <c r="I348">
        <f>G348*(1+MAX(0,'Prepay vs Invest'!$B$13-'Prepay vs Invest'!$B$14)/1200)+H348</f>
        <v>37875253.068697736</v>
      </c>
      <c r="J348">
        <f t="shared" si="89"/>
        <v>2900000</v>
      </c>
      <c r="K348">
        <f>MAX(0,(I348-J348-'Prepay vs Invest'!$B$16)*'Prepay vs Invest'!$B$15/100)</f>
        <v>4356281.633587217</v>
      </c>
      <c r="L348">
        <f t="shared" si="82"/>
        <v>33518971.435110517</v>
      </c>
      <c r="M348">
        <f t="shared" si="90"/>
        <v>0</v>
      </c>
      <c r="N348">
        <f>IF(M348&gt;0,M348*'Prepay vs Invest'!$B$6/1200,0)</f>
        <v>0</v>
      </c>
      <c r="O348">
        <f>IF(M348&gt;0,MIN('Prepay vs Invest'!$E$5,M348+N348),0)</f>
        <v>0</v>
      </c>
      <c r="P348">
        <f>MIN(MAX(0,M348+N348-O348),IF(AND(A348&gt;='Prepay vs Invest'!$B$11,A348&lt;='Prepay vs Invest'!$B$12),'Prepay vs Invest'!$B$10,0)+IF(A348='Prepay vs Invest'!$B$9,'Prepay vs Invest'!$B$8,0))</f>
        <v>0</v>
      </c>
      <c r="Q348">
        <f t="shared" si="83"/>
        <v>0</v>
      </c>
      <c r="R348">
        <f t="shared" si="91"/>
        <v>23578541.333491284</v>
      </c>
      <c r="S348">
        <f>IF(A348&lt;='Prepay vs Invest'!$B$7*12,MAX(0,'Prepay vs Invest'!$E$5+IF(AND(A348&gt;='Prepay vs Invest'!$B$11,A348&lt;='Prepay vs Invest'!$B$12),'Prepay vs Invest'!$B$10,0)+IF(A348='Prepay vs Invest'!$B$9,'Prepay vs Invest'!$B$8,0)-O348-P348),0)</f>
        <v>0</v>
      </c>
      <c r="T348">
        <f>R348*(1+MAX(0,'Prepay vs Invest'!$B$13-'Prepay vs Invest'!$B$14)/1200)+S348</f>
        <v>23804502.354603909</v>
      </c>
      <c r="U348">
        <f t="shared" si="92"/>
        <v>6133552.3707652809</v>
      </c>
      <c r="V348">
        <f>MAX(0,(T348-U348-'Prepay vs Invest'!$B$16)*'Prepay vs Invest'!$B$15/100)</f>
        <v>2193243.7479798286</v>
      </c>
      <c r="W348">
        <f t="shared" si="84"/>
        <v>21611258.606624082</v>
      </c>
      <c r="X348">
        <f t="shared" si="93"/>
        <v>0</v>
      </c>
      <c r="Y348">
        <f>IF(X348&gt;0,X348*'Prepay vs Invest'!$B$6/1200,0)</f>
        <v>0</v>
      </c>
      <c r="Z348">
        <f>IF(X348&gt;0,MIN(-PMT('Prepay vs Invest'!$B$6/1200,'Prepay vs Invest'!$B$7*12-A348+1,X348),X348+Y348),0)</f>
        <v>0</v>
      </c>
      <c r="AA348">
        <f>MIN(MAX(0,X348+Y348-Z348),IF(AND(A348&gt;='Prepay vs Invest'!$B$11,A348&lt;='Prepay vs Invest'!$B$12),'Prepay vs Invest'!$B$10,0)+IF(A348='Prepay vs Invest'!$B$9,'Prepay vs Invest'!$B$8,0))</f>
        <v>0</v>
      </c>
      <c r="AB348">
        <f t="shared" si="85"/>
        <v>0</v>
      </c>
      <c r="AC348">
        <f t="shared" si="94"/>
        <v>29940302.271061879</v>
      </c>
      <c r="AD348">
        <f>IF(A348&lt;='Prepay vs Invest'!$B$7*12,MAX(0,'Prepay vs Invest'!$E$5+IF(AND(A348&gt;='Prepay vs Invest'!$B$11,A348&lt;='Prepay vs Invest'!$B$12),'Prepay vs Invest'!$B$10,0)+IF(A348='Prepay vs Invest'!$B$9,'Prepay vs Invest'!$B$8,0)-Z348-AA348),0)</f>
        <v>0</v>
      </c>
      <c r="AE348">
        <f>AC348*(1+MAX(0,'Prepay vs Invest'!$B$13-'Prepay vs Invest'!$B$14)/1200)+AD348</f>
        <v>30227230.16782622</v>
      </c>
      <c r="AF348">
        <f t="shared" si="95"/>
        <v>4388572.0206063567</v>
      </c>
      <c r="AG348">
        <f>MAX(0,(AE348-AF348-'Prepay vs Invest'!$B$16)*'Prepay vs Invest'!$B$15/100)</f>
        <v>3214207.2684024828</v>
      </c>
      <c r="AH348">
        <f t="shared" si="86"/>
        <v>27013022.899423737</v>
      </c>
    </row>
    <row r="349" spans="1:34" x14ac:dyDescent="0.35">
      <c r="A349">
        <f t="shared" si="87"/>
        <v>348</v>
      </c>
      <c r="B349">
        <f>IF(A349&lt;='Prepay vs Invest'!$B$7*12,F348,0)</f>
        <v>0</v>
      </c>
      <c r="C349">
        <f>IF(B349&gt;0,B349*'Prepay vs Invest'!$B$6/1200,0)</f>
        <v>0</v>
      </c>
      <c r="D349">
        <f>IF(B349&gt;0,MIN(-PMT('Prepay vs Invest'!$B$6/1200,'Prepay vs Invest'!$B$7*12,'Prepay vs Invest'!$B$5),B349+C349),0)</f>
        <v>0</v>
      </c>
      <c r="E349">
        <f t="shared" si="80"/>
        <v>0</v>
      </c>
      <c r="F349">
        <f t="shared" si="81"/>
        <v>0</v>
      </c>
      <c r="G349">
        <f t="shared" si="88"/>
        <v>37875253.068697736</v>
      </c>
      <c r="H349">
        <f>IF(A349&lt;='Prepay vs Invest'!$B$7*12,IF(AND(A349&gt;='Prepay vs Invest'!$B$11,A349&lt;='Prepay vs Invest'!$B$12),'Prepay vs Invest'!$B$10,0)+IF(A349='Prepay vs Invest'!$B$9,'Prepay vs Invest'!$B$8,0),0)</f>
        <v>0</v>
      </c>
      <c r="I349">
        <f>G349*(1+MAX(0,'Prepay vs Invest'!$B$13-'Prepay vs Invest'!$B$14)/1200)+H349</f>
        <v>38238224.243939422</v>
      </c>
      <c r="J349">
        <f t="shared" si="89"/>
        <v>2900000</v>
      </c>
      <c r="K349">
        <f>MAX(0,(I349-J349-'Prepay vs Invest'!$B$16)*'Prepay vs Invest'!$B$15/100)</f>
        <v>4401653.0304924278</v>
      </c>
      <c r="L349">
        <f t="shared" si="82"/>
        <v>33836571.213446997</v>
      </c>
      <c r="M349">
        <f t="shared" si="90"/>
        <v>0</v>
      </c>
      <c r="N349">
        <f>IF(M349&gt;0,M349*'Prepay vs Invest'!$B$6/1200,0)</f>
        <v>0</v>
      </c>
      <c r="O349">
        <f>IF(M349&gt;0,MIN('Prepay vs Invest'!$E$5,M349+N349),0)</f>
        <v>0</v>
      </c>
      <c r="P349">
        <f>MIN(MAX(0,M349+N349-O349),IF(AND(A349&gt;='Prepay vs Invest'!$B$11,A349&lt;='Prepay vs Invest'!$B$12),'Prepay vs Invest'!$B$10,0)+IF(A349='Prepay vs Invest'!$B$9,'Prepay vs Invest'!$B$8,0))</f>
        <v>0</v>
      </c>
      <c r="Q349">
        <f t="shared" si="83"/>
        <v>0</v>
      </c>
      <c r="R349">
        <f t="shared" si="91"/>
        <v>23804502.354603909</v>
      </c>
      <c r="S349">
        <f>IF(A349&lt;='Prepay vs Invest'!$B$7*12,MAX(0,'Prepay vs Invest'!$E$5+IF(AND(A349&gt;='Prepay vs Invest'!$B$11,A349&lt;='Prepay vs Invest'!$B$12),'Prepay vs Invest'!$B$10,0)+IF(A349='Prepay vs Invest'!$B$9,'Prepay vs Invest'!$B$8,0)-O349-P349),0)</f>
        <v>0</v>
      </c>
      <c r="T349">
        <f>R349*(1+MAX(0,'Prepay vs Invest'!$B$13-'Prepay vs Invest'!$B$14)/1200)+S349</f>
        <v>24032628.835502196</v>
      </c>
      <c r="U349">
        <f t="shared" si="92"/>
        <v>6133552.3707652809</v>
      </c>
      <c r="V349">
        <f>MAX(0,(T349-U349-'Prepay vs Invest'!$B$16)*'Prepay vs Invest'!$B$15/100)</f>
        <v>2221759.5580921145</v>
      </c>
      <c r="W349">
        <f t="shared" si="84"/>
        <v>21810869.277410083</v>
      </c>
      <c r="X349">
        <f t="shared" si="93"/>
        <v>0</v>
      </c>
      <c r="Y349">
        <f>IF(X349&gt;0,X349*'Prepay vs Invest'!$B$6/1200,0)</f>
        <v>0</v>
      </c>
      <c r="Z349">
        <f>IF(X349&gt;0,MIN(-PMT('Prepay vs Invest'!$B$6/1200,'Prepay vs Invest'!$B$7*12-A349+1,X349),X349+Y349),0)</f>
        <v>0</v>
      </c>
      <c r="AA349">
        <f>MIN(MAX(0,X349+Y349-Z349),IF(AND(A349&gt;='Prepay vs Invest'!$B$11,A349&lt;='Prepay vs Invest'!$B$12),'Prepay vs Invest'!$B$10,0)+IF(A349='Prepay vs Invest'!$B$9,'Prepay vs Invest'!$B$8,0))</f>
        <v>0</v>
      </c>
      <c r="AB349">
        <f t="shared" si="85"/>
        <v>0</v>
      </c>
      <c r="AC349">
        <f t="shared" si="94"/>
        <v>30227230.16782622</v>
      </c>
      <c r="AD349">
        <f>IF(A349&lt;='Prepay vs Invest'!$B$7*12,MAX(0,'Prepay vs Invest'!$E$5+IF(AND(A349&gt;='Prepay vs Invest'!$B$11,A349&lt;='Prepay vs Invest'!$B$12),'Prepay vs Invest'!$B$10,0)+IF(A349='Prepay vs Invest'!$B$9,'Prepay vs Invest'!$B$8,0)-Z349-AA349),0)</f>
        <v>0</v>
      </c>
      <c r="AE349">
        <f>AC349*(1+MAX(0,'Prepay vs Invest'!$B$13-'Prepay vs Invest'!$B$14)/1200)+AD349</f>
        <v>30516907.790267888</v>
      </c>
      <c r="AF349">
        <f t="shared" si="95"/>
        <v>4388572.0206063567</v>
      </c>
      <c r="AG349">
        <f>MAX(0,(AE349-AF349-'Prepay vs Invest'!$B$16)*'Prepay vs Invest'!$B$15/100)</f>
        <v>3250416.9712076914</v>
      </c>
      <c r="AH349">
        <f t="shared" si="86"/>
        <v>27266490.819060199</v>
      </c>
    </row>
    <row r="350" spans="1:34" x14ac:dyDescent="0.35">
      <c r="A350">
        <f t="shared" si="87"/>
        <v>349</v>
      </c>
      <c r="B350">
        <f>IF(A350&lt;='Prepay vs Invest'!$B$7*12,F349,0)</f>
        <v>0</v>
      </c>
      <c r="C350">
        <f>IF(B350&gt;0,B350*'Prepay vs Invest'!$B$6/1200,0)</f>
        <v>0</v>
      </c>
      <c r="D350">
        <f>IF(B350&gt;0,MIN(-PMT('Prepay vs Invest'!$B$6/1200,'Prepay vs Invest'!$B$7*12,'Prepay vs Invest'!$B$5),B350+C350),0)</f>
        <v>0</v>
      </c>
      <c r="E350">
        <f t="shared" si="80"/>
        <v>0</v>
      </c>
      <c r="F350">
        <f t="shared" si="81"/>
        <v>0</v>
      </c>
      <c r="G350">
        <f t="shared" si="88"/>
        <v>38238224.243939422</v>
      </c>
      <c r="H350">
        <f>IF(A350&lt;='Prepay vs Invest'!$B$7*12,IF(AND(A350&gt;='Prepay vs Invest'!$B$11,A350&lt;='Prepay vs Invest'!$B$12),'Prepay vs Invest'!$B$10,0)+IF(A350='Prepay vs Invest'!$B$9,'Prepay vs Invest'!$B$8,0),0)</f>
        <v>0</v>
      </c>
      <c r="I350">
        <f>G350*(1+MAX(0,'Prepay vs Invest'!$B$13-'Prepay vs Invest'!$B$14)/1200)+H350</f>
        <v>38604673.892943837</v>
      </c>
      <c r="J350">
        <f t="shared" si="89"/>
        <v>2900000</v>
      </c>
      <c r="K350">
        <f>MAX(0,(I350-J350-'Prepay vs Invest'!$B$16)*'Prepay vs Invest'!$B$15/100)</f>
        <v>4447459.2366179796</v>
      </c>
      <c r="L350">
        <f t="shared" si="82"/>
        <v>34157214.656325854</v>
      </c>
      <c r="M350">
        <f t="shared" si="90"/>
        <v>0</v>
      </c>
      <c r="N350">
        <f>IF(M350&gt;0,M350*'Prepay vs Invest'!$B$6/1200,0)</f>
        <v>0</v>
      </c>
      <c r="O350">
        <f>IF(M350&gt;0,MIN('Prepay vs Invest'!$E$5,M350+N350),0)</f>
        <v>0</v>
      </c>
      <c r="P350">
        <f>MIN(MAX(0,M350+N350-O350),IF(AND(A350&gt;='Prepay vs Invest'!$B$11,A350&lt;='Prepay vs Invest'!$B$12),'Prepay vs Invest'!$B$10,0)+IF(A350='Prepay vs Invest'!$B$9,'Prepay vs Invest'!$B$8,0))</f>
        <v>0</v>
      </c>
      <c r="Q350">
        <f t="shared" si="83"/>
        <v>0</v>
      </c>
      <c r="R350">
        <f t="shared" si="91"/>
        <v>24032628.835502196</v>
      </c>
      <c r="S350">
        <f>IF(A350&lt;='Prepay vs Invest'!$B$7*12,MAX(0,'Prepay vs Invest'!$E$5+IF(AND(A350&gt;='Prepay vs Invest'!$B$11,A350&lt;='Prepay vs Invest'!$B$12),'Prepay vs Invest'!$B$10,0)+IF(A350='Prepay vs Invest'!$B$9,'Prepay vs Invest'!$B$8,0)-O350-P350),0)</f>
        <v>0</v>
      </c>
      <c r="T350">
        <f>R350*(1+MAX(0,'Prepay vs Invest'!$B$13-'Prepay vs Invest'!$B$14)/1200)+S350</f>
        <v>24262941.528509092</v>
      </c>
      <c r="U350">
        <f t="shared" si="92"/>
        <v>6133552.3707652809</v>
      </c>
      <c r="V350">
        <f>MAX(0,(T350-U350-'Prepay vs Invest'!$B$16)*'Prepay vs Invest'!$B$15/100)</f>
        <v>2250548.6447179765</v>
      </c>
      <c r="W350">
        <f t="shared" si="84"/>
        <v>22012392.883791115</v>
      </c>
      <c r="X350">
        <f t="shared" si="93"/>
        <v>0</v>
      </c>
      <c r="Y350">
        <f>IF(X350&gt;0,X350*'Prepay vs Invest'!$B$6/1200,0)</f>
        <v>0</v>
      </c>
      <c r="Z350">
        <f>IF(X350&gt;0,MIN(-PMT('Prepay vs Invest'!$B$6/1200,'Prepay vs Invest'!$B$7*12-A350+1,X350),X350+Y350),0)</f>
        <v>0</v>
      </c>
      <c r="AA350">
        <f>MIN(MAX(0,X350+Y350-Z350),IF(AND(A350&gt;='Prepay vs Invest'!$B$11,A350&lt;='Prepay vs Invest'!$B$12),'Prepay vs Invest'!$B$10,0)+IF(A350='Prepay vs Invest'!$B$9,'Prepay vs Invest'!$B$8,0))</f>
        <v>0</v>
      </c>
      <c r="AB350">
        <f t="shared" si="85"/>
        <v>0</v>
      </c>
      <c r="AC350">
        <f t="shared" si="94"/>
        <v>30516907.790267888</v>
      </c>
      <c r="AD350">
        <f>IF(A350&lt;='Prepay vs Invest'!$B$7*12,MAX(0,'Prepay vs Invest'!$E$5+IF(AND(A350&gt;='Prepay vs Invest'!$B$11,A350&lt;='Prepay vs Invest'!$B$12),'Prepay vs Invest'!$B$10,0)+IF(A350='Prepay vs Invest'!$B$9,'Prepay vs Invest'!$B$8,0)-Z350-AA350),0)</f>
        <v>0</v>
      </c>
      <c r="AE350">
        <f>AC350*(1+MAX(0,'Prepay vs Invest'!$B$13-'Prepay vs Invest'!$B$14)/1200)+AD350</f>
        <v>30809361.489924621</v>
      </c>
      <c r="AF350">
        <f t="shared" si="95"/>
        <v>4388572.0206063567</v>
      </c>
      <c r="AG350">
        <f>MAX(0,(AE350-AF350-'Prepay vs Invest'!$B$16)*'Prepay vs Invest'!$B$15/100)</f>
        <v>3286973.6836647824</v>
      </c>
      <c r="AH350">
        <f t="shared" si="86"/>
        <v>27522387.806259837</v>
      </c>
    </row>
    <row r="351" spans="1:34" x14ac:dyDescent="0.35">
      <c r="A351">
        <f t="shared" si="87"/>
        <v>350</v>
      </c>
      <c r="B351">
        <f>IF(A351&lt;='Prepay vs Invest'!$B$7*12,F350,0)</f>
        <v>0</v>
      </c>
      <c r="C351">
        <f>IF(B351&gt;0,B351*'Prepay vs Invest'!$B$6/1200,0)</f>
        <v>0</v>
      </c>
      <c r="D351">
        <f>IF(B351&gt;0,MIN(-PMT('Prepay vs Invest'!$B$6/1200,'Prepay vs Invest'!$B$7*12,'Prepay vs Invest'!$B$5),B351+C351),0)</f>
        <v>0</v>
      </c>
      <c r="E351">
        <f t="shared" si="80"/>
        <v>0</v>
      </c>
      <c r="F351">
        <f t="shared" si="81"/>
        <v>0</v>
      </c>
      <c r="G351">
        <f t="shared" si="88"/>
        <v>38604673.892943837</v>
      </c>
      <c r="H351">
        <f>IF(A351&lt;='Prepay vs Invest'!$B$7*12,IF(AND(A351&gt;='Prepay vs Invest'!$B$11,A351&lt;='Prepay vs Invest'!$B$12),'Prepay vs Invest'!$B$10,0)+IF(A351='Prepay vs Invest'!$B$9,'Prepay vs Invest'!$B$8,0),0)</f>
        <v>0</v>
      </c>
      <c r="I351">
        <f>G351*(1+MAX(0,'Prepay vs Invest'!$B$13-'Prepay vs Invest'!$B$14)/1200)+H351</f>
        <v>38974635.351084545</v>
      </c>
      <c r="J351">
        <f t="shared" si="89"/>
        <v>2900000</v>
      </c>
      <c r="K351">
        <f>MAX(0,(I351-J351-'Prepay vs Invest'!$B$16)*'Prepay vs Invest'!$B$15/100)</f>
        <v>4493704.4188855682</v>
      </c>
      <c r="L351">
        <f t="shared" si="82"/>
        <v>34480930.932198979</v>
      </c>
      <c r="M351">
        <f t="shared" si="90"/>
        <v>0</v>
      </c>
      <c r="N351">
        <f>IF(M351&gt;0,M351*'Prepay vs Invest'!$B$6/1200,0)</f>
        <v>0</v>
      </c>
      <c r="O351">
        <f>IF(M351&gt;0,MIN('Prepay vs Invest'!$E$5,M351+N351),0)</f>
        <v>0</v>
      </c>
      <c r="P351">
        <f>MIN(MAX(0,M351+N351-O351),IF(AND(A351&gt;='Prepay vs Invest'!$B$11,A351&lt;='Prepay vs Invest'!$B$12),'Prepay vs Invest'!$B$10,0)+IF(A351='Prepay vs Invest'!$B$9,'Prepay vs Invest'!$B$8,0))</f>
        <v>0</v>
      </c>
      <c r="Q351">
        <f t="shared" si="83"/>
        <v>0</v>
      </c>
      <c r="R351">
        <f t="shared" si="91"/>
        <v>24262941.528509092</v>
      </c>
      <c r="S351">
        <f>IF(A351&lt;='Prepay vs Invest'!$B$7*12,MAX(0,'Prepay vs Invest'!$E$5+IF(AND(A351&gt;='Prepay vs Invest'!$B$11,A351&lt;='Prepay vs Invest'!$B$12),'Prepay vs Invest'!$B$10,0)+IF(A351='Prepay vs Invest'!$B$9,'Prepay vs Invest'!$B$8,0)-O351-P351),0)</f>
        <v>0</v>
      </c>
      <c r="T351">
        <f>R351*(1+MAX(0,'Prepay vs Invest'!$B$13-'Prepay vs Invest'!$B$14)/1200)+S351</f>
        <v>24495461.38482397</v>
      </c>
      <c r="U351">
        <f t="shared" si="92"/>
        <v>6133552.3707652809</v>
      </c>
      <c r="V351">
        <f>MAX(0,(T351-U351-'Prepay vs Invest'!$B$16)*'Prepay vs Invest'!$B$15/100)</f>
        <v>2279613.6267573363</v>
      </c>
      <c r="W351">
        <f t="shared" si="84"/>
        <v>22215847.758066636</v>
      </c>
      <c r="X351">
        <f t="shared" si="93"/>
        <v>0</v>
      </c>
      <c r="Y351">
        <f>IF(X351&gt;0,X351*'Prepay vs Invest'!$B$6/1200,0)</f>
        <v>0</v>
      </c>
      <c r="Z351">
        <f>IF(X351&gt;0,MIN(-PMT('Prepay vs Invest'!$B$6/1200,'Prepay vs Invest'!$B$7*12-A351+1,X351),X351+Y351),0)</f>
        <v>0</v>
      </c>
      <c r="AA351">
        <f>MIN(MAX(0,X351+Y351-Z351),IF(AND(A351&gt;='Prepay vs Invest'!$B$11,A351&lt;='Prepay vs Invest'!$B$12),'Prepay vs Invest'!$B$10,0)+IF(A351='Prepay vs Invest'!$B$9,'Prepay vs Invest'!$B$8,0))</f>
        <v>0</v>
      </c>
      <c r="AB351">
        <f t="shared" si="85"/>
        <v>0</v>
      </c>
      <c r="AC351">
        <f t="shared" si="94"/>
        <v>30809361.489924621</v>
      </c>
      <c r="AD351">
        <f>IF(A351&lt;='Prepay vs Invest'!$B$7*12,MAX(0,'Prepay vs Invest'!$E$5+IF(AND(A351&gt;='Prepay vs Invest'!$B$11,A351&lt;='Prepay vs Invest'!$B$12),'Prepay vs Invest'!$B$10,0)+IF(A351='Prepay vs Invest'!$B$9,'Prepay vs Invest'!$B$8,0)-Z351-AA351),0)</f>
        <v>0</v>
      </c>
      <c r="AE351">
        <f>AC351*(1+MAX(0,'Prepay vs Invest'!$B$13-'Prepay vs Invest'!$B$14)/1200)+AD351</f>
        <v>31104617.87086973</v>
      </c>
      <c r="AF351">
        <f t="shared" si="95"/>
        <v>4388572.0206063567</v>
      </c>
      <c r="AG351">
        <f>MAX(0,(AE351-AF351-'Prepay vs Invest'!$B$16)*'Prepay vs Invest'!$B$15/100)</f>
        <v>3323880.7312829215</v>
      </c>
      <c r="AH351">
        <f t="shared" si="86"/>
        <v>27780737.139586806</v>
      </c>
    </row>
    <row r="352" spans="1:34" x14ac:dyDescent="0.35">
      <c r="A352">
        <f t="shared" si="87"/>
        <v>351</v>
      </c>
      <c r="B352">
        <f>IF(A352&lt;='Prepay vs Invest'!$B$7*12,F351,0)</f>
        <v>0</v>
      </c>
      <c r="C352">
        <f>IF(B352&gt;0,B352*'Prepay vs Invest'!$B$6/1200,0)</f>
        <v>0</v>
      </c>
      <c r="D352">
        <f>IF(B352&gt;0,MIN(-PMT('Prepay vs Invest'!$B$6/1200,'Prepay vs Invest'!$B$7*12,'Prepay vs Invest'!$B$5),B352+C352),0)</f>
        <v>0</v>
      </c>
      <c r="E352">
        <f t="shared" si="80"/>
        <v>0</v>
      </c>
      <c r="F352">
        <f t="shared" si="81"/>
        <v>0</v>
      </c>
      <c r="G352">
        <f t="shared" si="88"/>
        <v>38974635.351084545</v>
      </c>
      <c r="H352">
        <f>IF(A352&lt;='Prepay vs Invest'!$B$7*12,IF(AND(A352&gt;='Prepay vs Invest'!$B$11,A352&lt;='Prepay vs Invest'!$B$12),'Prepay vs Invest'!$B$10,0)+IF(A352='Prepay vs Invest'!$B$9,'Prepay vs Invest'!$B$8,0),0)</f>
        <v>0</v>
      </c>
      <c r="I352">
        <f>G352*(1+MAX(0,'Prepay vs Invest'!$B$13-'Prepay vs Invest'!$B$14)/1200)+H352</f>
        <v>39348142.273199104</v>
      </c>
      <c r="J352">
        <f t="shared" si="89"/>
        <v>2900000</v>
      </c>
      <c r="K352">
        <f>MAX(0,(I352-J352-'Prepay vs Invest'!$B$16)*'Prepay vs Invest'!$B$15/100)</f>
        <v>4540392.784149888</v>
      </c>
      <c r="L352">
        <f t="shared" si="82"/>
        <v>34807749.489049219</v>
      </c>
      <c r="M352">
        <f t="shared" si="90"/>
        <v>0</v>
      </c>
      <c r="N352">
        <f>IF(M352&gt;0,M352*'Prepay vs Invest'!$B$6/1200,0)</f>
        <v>0</v>
      </c>
      <c r="O352">
        <f>IF(M352&gt;0,MIN('Prepay vs Invest'!$E$5,M352+N352),0)</f>
        <v>0</v>
      </c>
      <c r="P352">
        <f>MIN(MAX(0,M352+N352-O352),IF(AND(A352&gt;='Prepay vs Invest'!$B$11,A352&lt;='Prepay vs Invest'!$B$12),'Prepay vs Invest'!$B$10,0)+IF(A352='Prepay vs Invest'!$B$9,'Prepay vs Invest'!$B$8,0))</f>
        <v>0</v>
      </c>
      <c r="Q352">
        <f t="shared" si="83"/>
        <v>0</v>
      </c>
      <c r="R352">
        <f t="shared" si="91"/>
        <v>24495461.38482397</v>
      </c>
      <c r="S352">
        <f>IF(A352&lt;='Prepay vs Invest'!$B$7*12,MAX(0,'Prepay vs Invest'!$E$5+IF(AND(A352&gt;='Prepay vs Invest'!$B$11,A352&lt;='Prepay vs Invest'!$B$12),'Prepay vs Invest'!$B$10,0)+IF(A352='Prepay vs Invest'!$B$9,'Prepay vs Invest'!$B$8,0)-O352-P352),0)</f>
        <v>0</v>
      </c>
      <c r="T352">
        <f>R352*(1+MAX(0,'Prepay vs Invest'!$B$13-'Prepay vs Invest'!$B$14)/1200)+S352</f>
        <v>24730209.556428533</v>
      </c>
      <c r="U352">
        <f t="shared" si="92"/>
        <v>6133552.3707652809</v>
      </c>
      <c r="V352">
        <f>MAX(0,(T352-U352-'Prepay vs Invest'!$B$16)*'Prepay vs Invest'!$B$15/100)</f>
        <v>2308957.1482079066</v>
      </c>
      <c r="W352">
        <f t="shared" si="84"/>
        <v>22421252.408220626</v>
      </c>
      <c r="X352">
        <f t="shared" si="93"/>
        <v>0</v>
      </c>
      <c r="Y352">
        <f>IF(X352&gt;0,X352*'Prepay vs Invest'!$B$6/1200,0)</f>
        <v>0</v>
      </c>
      <c r="Z352">
        <f>IF(X352&gt;0,MIN(-PMT('Prepay vs Invest'!$B$6/1200,'Prepay vs Invest'!$B$7*12-A352+1,X352),X352+Y352),0)</f>
        <v>0</v>
      </c>
      <c r="AA352">
        <f>MIN(MAX(0,X352+Y352-Z352),IF(AND(A352&gt;='Prepay vs Invest'!$B$11,A352&lt;='Prepay vs Invest'!$B$12),'Prepay vs Invest'!$B$10,0)+IF(A352='Prepay vs Invest'!$B$9,'Prepay vs Invest'!$B$8,0))</f>
        <v>0</v>
      </c>
      <c r="AB352">
        <f t="shared" si="85"/>
        <v>0</v>
      </c>
      <c r="AC352">
        <f t="shared" si="94"/>
        <v>31104617.87086973</v>
      </c>
      <c r="AD352">
        <f>IF(A352&lt;='Prepay vs Invest'!$B$7*12,MAX(0,'Prepay vs Invest'!$E$5+IF(AND(A352&gt;='Prepay vs Invest'!$B$11,A352&lt;='Prepay vs Invest'!$B$12),'Prepay vs Invest'!$B$10,0)+IF(A352='Prepay vs Invest'!$B$9,'Prepay vs Invest'!$B$8,0)-Z352-AA352),0)</f>
        <v>0</v>
      </c>
      <c r="AE352">
        <f>AC352*(1+MAX(0,'Prepay vs Invest'!$B$13-'Prepay vs Invest'!$B$14)/1200)+AD352</f>
        <v>31402703.792132229</v>
      </c>
      <c r="AF352">
        <f t="shared" si="95"/>
        <v>4388572.0206063567</v>
      </c>
      <c r="AG352">
        <f>MAX(0,(AE352-AF352-'Prepay vs Invest'!$B$16)*'Prepay vs Invest'!$B$15/100)</f>
        <v>3361141.4714407339</v>
      </c>
      <c r="AH352">
        <f t="shared" si="86"/>
        <v>28041562.320691496</v>
      </c>
    </row>
    <row r="353" spans="1:34" x14ac:dyDescent="0.35">
      <c r="A353">
        <f t="shared" si="87"/>
        <v>352</v>
      </c>
      <c r="B353">
        <f>IF(A353&lt;='Prepay vs Invest'!$B$7*12,F352,0)</f>
        <v>0</v>
      </c>
      <c r="C353">
        <f>IF(B353&gt;0,B353*'Prepay vs Invest'!$B$6/1200,0)</f>
        <v>0</v>
      </c>
      <c r="D353">
        <f>IF(B353&gt;0,MIN(-PMT('Prepay vs Invest'!$B$6/1200,'Prepay vs Invest'!$B$7*12,'Prepay vs Invest'!$B$5),B353+C353),0)</f>
        <v>0</v>
      </c>
      <c r="E353">
        <f t="shared" si="80"/>
        <v>0</v>
      </c>
      <c r="F353">
        <f t="shared" si="81"/>
        <v>0</v>
      </c>
      <c r="G353">
        <f t="shared" si="88"/>
        <v>39348142.273199104</v>
      </c>
      <c r="H353">
        <f>IF(A353&lt;='Prepay vs Invest'!$B$7*12,IF(AND(A353&gt;='Prepay vs Invest'!$B$11,A353&lt;='Prepay vs Invest'!$B$12),'Prepay vs Invest'!$B$10,0)+IF(A353='Prepay vs Invest'!$B$9,'Prepay vs Invest'!$B$8,0),0)</f>
        <v>0</v>
      </c>
      <c r="I353">
        <f>G353*(1+MAX(0,'Prepay vs Invest'!$B$13-'Prepay vs Invest'!$B$14)/1200)+H353</f>
        <v>39725228.636650592</v>
      </c>
      <c r="J353">
        <f t="shared" si="89"/>
        <v>2900000</v>
      </c>
      <c r="K353">
        <f>MAX(0,(I353-J353-'Prepay vs Invest'!$B$16)*'Prepay vs Invest'!$B$15/100)</f>
        <v>4587528.579581324</v>
      </c>
      <c r="L353">
        <f t="shared" si="82"/>
        <v>35137700.057069272</v>
      </c>
      <c r="M353">
        <f t="shared" si="90"/>
        <v>0</v>
      </c>
      <c r="N353">
        <f>IF(M353&gt;0,M353*'Prepay vs Invest'!$B$6/1200,0)</f>
        <v>0</v>
      </c>
      <c r="O353">
        <f>IF(M353&gt;0,MIN('Prepay vs Invest'!$E$5,M353+N353),0)</f>
        <v>0</v>
      </c>
      <c r="P353">
        <f>MIN(MAX(0,M353+N353-O353),IF(AND(A353&gt;='Prepay vs Invest'!$B$11,A353&lt;='Prepay vs Invest'!$B$12),'Prepay vs Invest'!$B$10,0)+IF(A353='Prepay vs Invest'!$B$9,'Prepay vs Invest'!$B$8,0))</f>
        <v>0</v>
      </c>
      <c r="Q353">
        <f t="shared" si="83"/>
        <v>0</v>
      </c>
      <c r="R353">
        <f t="shared" si="91"/>
        <v>24730209.556428533</v>
      </c>
      <c r="S353">
        <f>IF(A353&lt;='Prepay vs Invest'!$B$7*12,MAX(0,'Prepay vs Invest'!$E$5+IF(AND(A353&gt;='Prepay vs Invest'!$B$11,A353&lt;='Prepay vs Invest'!$B$12),'Prepay vs Invest'!$B$10,0)+IF(A353='Prepay vs Invest'!$B$9,'Prepay vs Invest'!$B$8,0)-O353-P353),0)</f>
        <v>0</v>
      </c>
      <c r="T353">
        <f>R353*(1+MAX(0,'Prepay vs Invest'!$B$13-'Prepay vs Invest'!$B$14)/1200)+S353</f>
        <v>24967207.398010973</v>
      </c>
      <c r="U353">
        <f t="shared" si="92"/>
        <v>6133552.3707652809</v>
      </c>
      <c r="V353">
        <f>MAX(0,(T353-U353-'Prepay vs Invest'!$B$16)*'Prepay vs Invest'!$B$15/100)</f>
        <v>2338581.8784057116</v>
      </c>
      <c r="W353">
        <f t="shared" si="84"/>
        <v>22628625.51960526</v>
      </c>
      <c r="X353">
        <f t="shared" si="93"/>
        <v>0</v>
      </c>
      <c r="Y353">
        <f>IF(X353&gt;0,X353*'Prepay vs Invest'!$B$6/1200,0)</f>
        <v>0</v>
      </c>
      <c r="Z353">
        <f>IF(X353&gt;0,MIN(-PMT('Prepay vs Invest'!$B$6/1200,'Prepay vs Invest'!$B$7*12-A353+1,X353),X353+Y353),0)</f>
        <v>0</v>
      </c>
      <c r="AA353">
        <f>MIN(MAX(0,X353+Y353-Z353),IF(AND(A353&gt;='Prepay vs Invest'!$B$11,A353&lt;='Prepay vs Invest'!$B$12),'Prepay vs Invest'!$B$10,0)+IF(A353='Prepay vs Invest'!$B$9,'Prepay vs Invest'!$B$8,0))</f>
        <v>0</v>
      </c>
      <c r="AB353">
        <f t="shared" si="85"/>
        <v>0</v>
      </c>
      <c r="AC353">
        <f t="shared" si="94"/>
        <v>31402703.792132229</v>
      </c>
      <c r="AD353">
        <f>IF(A353&lt;='Prepay vs Invest'!$B$7*12,MAX(0,'Prepay vs Invest'!$E$5+IF(AND(A353&gt;='Prepay vs Invest'!$B$11,A353&lt;='Prepay vs Invest'!$B$12),'Prepay vs Invest'!$B$10,0)+IF(A353='Prepay vs Invest'!$B$9,'Prepay vs Invest'!$B$8,0)-Z353-AA353),0)</f>
        <v>0</v>
      </c>
      <c r="AE353">
        <f>AC353*(1+MAX(0,'Prepay vs Invest'!$B$13-'Prepay vs Invest'!$B$14)/1200)+AD353</f>
        <v>31703646.370140161</v>
      </c>
      <c r="AF353">
        <f t="shared" si="95"/>
        <v>4388572.0206063567</v>
      </c>
      <c r="AG353">
        <f>MAX(0,(AE353-AF353-'Prepay vs Invest'!$B$16)*'Prepay vs Invest'!$B$15/100)</f>
        <v>3398759.2936917259</v>
      </c>
      <c r="AH353">
        <f t="shared" si="86"/>
        <v>28304887.076448437</v>
      </c>
    </row>
    <row r="354" spans="1:34" x14ac:dyDescent="0.35">
      <c r="A354">
        <f t="shared" si="87"/>
        <v>353</v>
      </c>
      <c r="B354">
        <f>IF(A354&lt;='Prepay vs Invest'!$B$7*12,F353,0)</f>
        <v>0</v>
      </c>
      <c r="C354">
        <f>IF(B354&gt;0,B354*'Prepay vs Invest'!$B$6/1200,0)</f>
        <v>0</v>
      </c>
      <c r="D354">
        <f>IF(B354&gt;0,MIN(-PMT('Prepay vs Invest'!$B$6/1200,'Prepay vs Invest'!$B$7*12,'Prepay vs Invest'!$B$5),B354+C354),0)</f>
        <v>0</v>
      </c>
      <c r="E354">
        <f t="shared" si="80"/>
        <v>0</v>
      </c>
      <c r="F354">
        <f t="shared" si="81"/>
        <v>0</v>
      </c>
      <c r="G354">
        <f t="shared" si="88"/>
        <v>39725228.636650592</v>
      </c>
      <c r="H354">
        <f>IF(A354&lt;='Prepay vs Invest'!$B$7*12,IF(AND(A354&gt;='Prepay vs Invest'!$B$11,A354&lt;='Prepay vs Invest'!$B$12),'Prepay vs Invest'!$B$10,0)+IF(A354='Prepay vs Invest'!$B$9,'Prepay vs Invest'!$B$8,0),0)</f>
        <v>0</v>
      </c>
      <c r="I354">
        <f>G354*(1+MAX(0,'Prepay vs Invest'!$B$13-'Prepay vs Invest'!$B$14)/1200)+H354</f>
        <v>40105928.744418494</v>
      </c>
      <c r="J354">
        <f t="shared" si="89"/>
        <v>2900000</v>
      </c>
      <c r="K354">
        <f>MAX(0,(I354-J354-'Prepay vs Invest'!$B$16)*'Prepay vs Invest'!$B$15/100)</f>
        <v>4635116.0930523118</v>
      </c>
      <c r="L354">
        <f t="shared" si="82"/>
        <v>35470812.651366182</v>
      </c>
      <c r="M354">
        <f t="shared" si="90"/>
        <v>0</v>
      </c>
      <c r="N354">
        <f>IF(M354&gt;0,M354*'Prepay vs Invest'!$B$6/1200,0)</f>
        <v>0</v>
      </c>
      <c r="O354">
        <f>IF(M354&gt;0,MIN('Prepay vs Invest'!$E$5,M354+N354),0)</f>
        <v>0</v>
      </c>
      <c r="P354">
        <f>MIN(MAX(0,M354+N354-O354),IF(AND(A354&gt;='Prepay vs Invest'!$B$11,A354&lt;='Prepay vs Invest'!$B$12),'Prepay vs Invest'!$B$10,0)+IF(A354='Prepay vs Invest'!$B$9,'Prepay vs Invest'!$B$8,0))</f>
        <v>0</v>
      </c>
      <c r="Q354">
        <f t="shared" si="83"/>
        <v>0</v>
      </c>
      <c r="R354">
        <f t="shared" si="91"/>
        <v>24967207.398010973</v>
      </c>
      <c r="S354">
        <f>IF(A354&lt;='Prepay vs Invest'!$B$7*12,MAX(0,'Prepay vs Invest'!$E$5+IF(AND(A354&gt;='Prepay vs Invest'!$B$11,A354&lt;='Prepay vs Invest'!$B$12),'Prepay vs Invest'!$B$10,0)+IF(A354='Prepay vs Invest'!$B$9,'Prepay vs Invest'!$B$8,0)-O354-P354),0)</f>
        <v>0</v>
      </c>
      <c r="T354">
        <f>R354*(1+MAX(0,'Prepay vs Invest'!$B$13-'Prepay vs Invest'!$B$14)/1200)+S354</f>
        <v>25206476.468908578</v>
      </c>
      <c r="U354">
        <f t="shared" si="92"/>
        <v>6133552.3707652809</v>
      </c>
      <c r="V354">
        <f>MAX(0,(T354-U354-'Prepay vs Invest'!$B$16)*'Prepay vs Invest'!$B$15/100)</f>
        <v>2368490.5122679123</v>
      </c>
      <c r="W354">
        <f t="shared" si="84"/>
        <v>22837985.956640664</v>
      </c>
      <c r="X354">
        <f t="shared" si="93"/>
        <v>0</v>
      </c>
      <c r="Y354">
        <f>IF(X354&gt;0,X354*'Prepay vs Invest'!$B$6/1200,0)</f>
        <v>0</v>
      </c>
      <c r="Z354">
        <f>IF(X354&gt;0,MIN(-PMT('Prepay vs Invest'!$B$6/1200,'Prepay vs Invest'!$B$7*12-A354+1,X354),X354+Y354),0)</f>
        <v>0</v>
      </c>
      <c r="AA354">
        <f>MIN(MAX(0,X354+Y354-Z354),IF(AND(A354&gt;='Prepay vs Invest'!$B$11,A354&lt;='Prepay vs Invest'!$B$12),'Prepay vs Invest'!$B$10,0)+IF(A354='Prepay vs Invest'!$B$9,'Prepay vs Invest'!$B$8,0))</f>
        <v>0</v>
      </c>
      <c r="AB354">
        <f t="shared" si="85"/>
        <v>0</v>
      </c>
      <c r="AC354">
        <f t="shared" si="94"/>
        <v>31703646.370140161</v>
      </c>
      <c r="AD354">
        <f>IF(A354&lt;='Prepay vs Invest'!$B$7*12,MAX(0,'Prepay vs Invest'!$E$5+IF(AND(A354&gt;='Prepay vs Invest'!$B$11,A354&lt;='Prepay vs Invest'!$B$12),'Prepay vs Invest'!$B$10,0)+IF(A354='Prepay vs Invest'!$B$9,'Prepay vs Invest'!$B$8,0)-Z354-AA354),0)</f>
        <v>0</v>
      </c>
      <c r="AE354">
        <f>AC354*(1+MAX(0,'Prepay vs Invest'!$B$13-'Prepay vs Invest'!$B$14)/1200)+AD354</f>
        <v>32007472.981187336</v>
      </c>
      <c r="AF354">
        <f t="shared" si="95"/>
        <v>4388572.0206063567</v>
      </c>
      <c r="AG354">
        <f>MAX(0,(AE354-AF354-'Prepay vs Invest'!$B$16)*'Prepay vs Invest'!$B$15/100)</f>
        <v>3436737.6200726223</v>
      </c>
      <c r="AH354">
        <f t="shared" si="86"/>
        <v>28570735.361114714</v>
      </c>
    </row>
    <row r="355" spans="1:34" x14ac:dyDescent="0.35">
      <c r="A355">
        <f t="shared" si="87"/>
        <v>354</v>
      </c>
      <c r="B355">
        <f>IF(A355&lt;='Prepay vs Invest'!$B$7*12,F354,0)</f>
        <v>0</v>
      </c>
      <c r="C355">
        <f>IF(B355&gt;0,B355*'Prepay vs Invest'!$B$6/1200,0)</f>
        <v>0</v>
      </c>
      <c r="D355">
        <f>IF(B355&gt;0,MIN(-PMT('Prepay vs Invest'!$B$6/1200,'Prepay vs Invest'!$B$7*12,'Prepay vs Invest'!$B$5),B355+C355),0)</f>
        <v>0</v>
      </c>
      <c r="E355">
        <f t="shared" si="80"/>
        <v>0</v>
      </c>
      <c r="F355">
        <f t="shared" si="81"/>
        <v>0</v>
      </c>
      <c r="G355">
        <f t="shared" si="88"/>
        <v>40105928.744418494</v>
      </c>
      <c r="H355">
        <f>IF(A355&lt;='Prepay vs Invest'!$B$7*12,IF(AND(A355&gt;='Prepay vs Invest'!$B$11,A355&lt;='Prepay vs Invest'!$B$12),'Prepay vs Invest'!$B$10,0)+IF(A355='Prepay vs Invest'!$B$9,'Prepay vs Invest'!$B$8,0),0)</f>
        <v>0</v>
      </c>
      <c r="I355">
        <f>G355*(1+MAX(0,'Prepay vs Invest'!$B$13-'Prepay vs Invest'!$B$14)/1200)+H355</f>
        <v>40490277.228219166</v>
      </c>
      <c r="J355">
        <f t="shared" si="89"/>
        <v>2900000</v>
      </c>
      <c r="K355">
        <f>MAX(0,(I355-J355-'Prepay vs Invest'!$B$16)*'Prepay vs Invest'!$B$15/100)</f>
        <v>4683159.6535273958</v>
      </c>
      <c r="L355">
        <f t="shared" si="82"/>
        <v>35807117.574691772</v>
      </c>
      <c r="M355">
        <f t="shared" si="90"/>
        <v>0</v>
      </c>
      <c r="N355">
        <f>IF(M355&gt;0,M355*'Prepay vs Invest'!$B$6/1200,0)</f>
        <v>0</v>
      </c>
      <c r="O355">
        <f>IF(M355&gt;0,MIN('Prepay vs Invest'!$E$5,M355+N355),0)</f>
        <v>0</v>
      </c>
      <c r="P355">
        <f>MIN(MAX(0,M355+N355-O355),IF(AND(A355&gt;='Prepay vs Invest'!$B$11,A355&lt;='Prepay vs Invest'!$B$12),'Prepay vs Invest'!$B$10,0)+IF(A355='Prepay vs Invest'!$B$9,'Prepay vs Invest'!$B$8,0))</f>
        <v>0</v>
      </c>
      <c r="Q355">
        <f t="shared" si="83"/>
        <v>0</v>
      </c>
      <c r="R355">
        <f t="shared" si="91"/>
        <v>25206476.468908578</v>
      </c>
      <c r="S355">
        <f>IF(A355&lt;='Prepay vs Invest'!$B$7*12,MAX(0,'Prepay vs Invest'!$E$5+IF(AND(A355&gt;='Prepay vs Invest'!$B$11,A355&lt;='Prepay vs Invest'!$B$12),'Prepay vs Invest'!$B$10,0)+IF(A355='Prepay vs Invest'!$B$9,'Prepay vs Invest'!$B$8,0)-O355-P355),0)</f>
        <v>0</v>
      </c>
      <c r="T355">
        <f>R355*(1+MAX(0,'Prepay vs Invest'!$B$13-'Prepay vs Invest'!$B$14)/1200)+S355</f>
        <v>25448038.535068952</v>
      </c>
      <c r="U355">
        <f t="shared" si="92"/>
        <v>6133552.3707652809</v>
      </c>
      <c r="V355">
        <f>MAX(0,(T355-U355-'Prepay vs Invest'!$B$16)*'Prepay vs Invest'!$B$15/100)</f>
        <v>2398685.7705379589</v>
      </c>
      <c r="W355">
        <f t="shared" si="84"/>
        <v>23049352.764530994</v>
      </c>
      <c r="X355">
        <f t="shared" si="93"/>
        <v>0</v>
      </c>
      <c r="Y355">
        <f>IF(X355&gt;0,X355*'Prepay vs Invest'!$B$6/1200,0)</f>
        <v>0</v>
      </c>
      <c r="Z355">
        <f>IF(X355&gt;0,MIN(-PMT('Prepay vs Invest'!$B$6/1200,'Prepay vs Invest'!$B$7*12-A355+1,X355),X355+Y355),0)</f>
        <v>0</v>
      </c>
      <c r="AA355">
        <f>MIN(MAX(0,X355+Y355-Z355),IF(AND(A355&gt;='Prepay vs Invest'!$B$11,A355&lt;='Prepay vs Invest'!$B$12),'Prepay vs Invest'!$B$10,0)+IF(A355='Prepay vs Invest'!$B$9,'Prepay vs Invest'!$B$8,0))</f>
        <v>0</v>
      </c>
      <c r="AB355">
        <f t="shared" si="85"/>
        <v>0</v>
      </c>
      <c r="AC355">
        <f t="shared" si="94"/>
        <v>32007472.981187336</v>
      </c>
      <c r="AD355">
        <f>IF(A355&lt;='Prepay vs Invest'!$B$7*12,MAX(0,'Prepay vs Invest'!$E$5+IF(AND(A355&gt;='Prepay vs Invest'!$B$11,A355&lt;='Prepay vs Invest'!$B$12),'Prepay vs Invest'!$B$10,0)+IF(A355='Prepay vs Invest'!$B$9,'Prepay vs Invest'!$B$8,0)-Z355-AA355),0)</f>
        <v>0</v>
      </c>
      <c r="AE355">
        <f>AC355*(1+MAX(0,'Prepay vs Invest'!$B$13-'Prepay vs Invest'!$B$14)/1200)+AD355</f>
        <v>32314211.263923712</v>
      </c>
      <c r="AF355">
        <f t="shared" si="95"/>
        <v>4388572.0206063567</v>
      </c>
      <c r="AG355">
        <f>MAX(0,(AE355-AF355-'Prepay vs Invest'!$B$16)*'Prepay vs Invest'!$B$15/100)</f>
        <v>3475079.9054146693</v>
      </c>
      <c r="AH355">
        <f t="shared" si="86"/>
        <v>28839131.358509041</v>
      </c>
    </row>
    <row r="356" spans="1:34" x14ac:dyDescent="0.35">
      <c r="A356">
        <f t="shared" si="87"/>
        <v>355</v>
      </c>
      <c r="B356">
        <f>IF(A356&lt;='Prepay vs Invest'!$B$7*12,F355,0)</f>
        <v>0</v>
      </c>
      <c r="C356">
        <f>IF(B356&gt;0,B356*'Prepay vs Invest'!$B$6/1200,0)</f>
        <v>0</v>
      </c>
      <c r="D356">
        <f>IF(B356&gt;0,MIN(-PMT('Prepay vs Invest'!$B$6/1200,'Prepay vs Invest'!$B$7*12,'Prepay vs Invest'!$B$5),B356+C356),0)</f>
        <v>0</v>
      </c>
      <c r="E356">
        <f t="shared" si="80"/>
        <v>0</v>
      </c>
      <c r="F356">
        <f t="shared" si="81"/>
        <v>0</v>
      </c>
      <c r="G356">
        <f t="shared" si="88"/>
        <v>40490277.228219166</v>
      </c>
      <c r="H356">
        <f>IF(A356&lt;='Prepay vs Invest'!$B$7*12,IF(AND(A356&gt;='Prepay vs Invest'!$B$11,A356&lt;='Prepay vs Invest'!$B$12),'Prepay vs Invest'!$B$10,0)+IF(A356='Prepay vs Invest'!$B$9,'Prepay vs Invest'!$B$8,0),0)</f>
        <v>0</v>
      </c>
      <c r="I356">
        <f>G356*(1+MAX(0,'Prepay vs Invest'!$B$13-'Prepay vs Invest'!$B$14)/1200)+H356</f>
        <v>40878309.051656261</v>
      </c>
      <c r="J356">
        <f t="shared" si="89"/>
        <v>2900000</v>
      </c>
      <c r="K356">
        <f>MAX(0,(I356-J356-'Prepay vs Invest'!$B$16)*'Prepay vs Invest'!$B$15/100)</f>
        <v>4731663.6314570326</v>
      </c>
      <c r="L356">
        <f t="shared" si="82"/>
        <v>36146645.42019923</v>
      </c>
      <c r="M356">
        <f t="shared" si="90"/>
        <v>0</v>
      </c>
      <c r="N356">
        <f>IF(M356&gt;0,M356*'Prepay vs Invest'!$B$6/1200,0)</f>
        <v>0</v>
      </c>
      <c r="O356">
        <f>IF(M356&gt;0,MIN('Prepay vs Invest'!$E$5,M356+N356),0)</f>
        <v>0</v>
      </c>
      <c r="P356">
        <f>MIN(MAX(0,M356+N356-O356),IF(AND(A356&gt;='Prepay vs Invest'!$B$11,A356&lt;='Prepay vs Invest'!$B$12),'Prepay vs Invest'!$B$10,0)+IF(A356='Prepay vs Invest'!$B$9,'Prepay vs Invest'!$B$8,0))</f>
        <v>0</v>
      </c>
      <c r="Q356">
        <f t="shared" si="83"/>
        <v>0</v>
      </c>
      <c r="R356">
        <f t="shared" si="91"/>
        <v>25448038.535068952</v>
      </c>
      <c r="S356">
        <f>IF(A356&lt;='Prepay vs Invest'!$B$7*12,MAX(0,'Prepay vs Invest'!$E$5+IF(AND(A356&gt;='Prepay vs Invest'!$B$11,A356&lt;='Prepay vs Invest'!$B$12),'Prepay vs Invest'!$B$10,0)+IF(A356='Prepay vs Invest'!$B$9,'Prepay vs Invest'!$B$8,0)-O356-P356),0)</f>
        <v>0</v>
      </c>
      <c r="T356">
        <f>R356*(1+MAX(0,'Prepay vs Invest'!$B$13-'Prepay vs Invest'!$B$14)/1200)+S356</f>
        <v>25691915.571030028</v>
      </c>
      <c r="U356">
        <f t="shared" si="92"/>
        <v>6133552.3707652809</v>
      </c>
      <c r="V356">
        <f>MAX(0,(T356-U356-'Prepay vs Invest'!$B$16)*'Prepay vs Invest'!$B$15/100)</f>
        <v>2429170.4000330935</v>
      </c>
      <c r="W356">
        <f t="shared" si="84"/>
        <v>23262745.170996934</v>
      </c>
      <c r="X356">
        <f t="shared" si="93"/>
        <v>0</v>
      </c>
      <c r="Y356">
        <f>IF(X356&gt;0,X356*'Prepay vs Invest'!$B$6/1200,0)</f>
        <v>0</v>
      </c>
      <c r="Z356">
        <f>IF(X356&gt;0,MIN(-PMT('Prepay vs Invest'!$B$6/1200,'Prepay vs Invest'!$B$7*12-A356+1,X356),X356+Y356),0)</f>
        <v>0</v>
      </c>
      <c r="AA356">
        <f>MIN(MAX(0,X356+Y356-Z356),IF(AND(A356&gt;='Prepay vs Invest'!$B$11,A356&lt;='Prepay vs Invest'!$B$12),'Prepay vs Invest'!$B$10,0)+IF(A356='Prepay vs Invest'!$B$9,'Prepay vs Invest'!$B$8,0))</f>
        <v>0</v>
      </c>
      <c r="AB356">
        <f t="shared" si="85"/>
        <v>0</v>
      </c>
      <c r="AC356">
        <f t="shared" si="94"/>
        <v>32314211.263923712</v>
      </c>
      <c r="AD356">
        <f>IF(A356&lt;='Prepay vs Invest'!$B$7*12,MAX(0,'Prepay vs Invest'!$E$5+IF(AND(A356&gt;='Prepay vs Invest'!$B$11,A356&lt;='Prepay vs Invest'!$B$12),'Prepay vs Invest'!$B$10,0)+IF(A356='Prepay vs Invest'!$B$9,'Prepay vs Invest'!$B$8,0)-Z356-AA356),0)</f>
        <v>0</v>
      </c>
      <c r="AE356">
        <f>AC356*(1+MAX(0,'Prepay vs Invest'!$B$13-'Prepay vs Invest'!$B$14)/1200)+AD356</f>
        <v>32623889.121869646</v>
      </c>
      <c r="AF356">
        <f t="shared" si="95"/>
        <v>4388572.0206063567</v>
      </c>
      <c r="AG356">
        <f>MAX(0,(AE356-AF356-'Prepay vs Invest'!$B$16)*'Prepay vs Invest'!$B$15/100)</f>
        <v>3513789.6376579111</v>
      </c>
      <c r="AH356">
        <f t="shared" si="86"/>
        <v>29110099.484211735</v>
      </c>
    </row>
    <row r="357" spans="1:34" x14ac:dyDescent="0.35">
      <c r="A357">
        <f t="shared" si="87"/>
        <v>356</v>
      </c>
      <c r="B357">
        <f>IF(A357&lt;='Prepay vs Invest'!$B$7*12,F356,0)</f>
        <v>0</v>
      </c>
      <c r="C357">
        <f>IF(B357&gt;0,B357*'Prepay vs Invest'!$B$6/1200,0)</f>
        <v>0</v>
      </c>
      <c r="D357">
        <f>IF(B357&gt;0,MIN(-PMT('Prepay vs Invest'!$B$6/1200,'Prepay vs Invest'!$B$7*12,'Prepay vs Invest'!$B$5),B357+C357),0)</f>
        <v>0</v>
      </c>
      <c r="E357">
        <f t="shared" si="80"/>
        <v>0</v>
      </c>
      <c r="F357">
        <f t="shared" si="81"/>
        <v>0</v>
      </c>
      <c r="G357">
        <f t="shared" si="88"/>
        <v>40878309.051656261</v>
      </c>
      <c r="H357">
        <f>IF(A357&lt;='Prepay vs Invest'!$B$7*12,IF(AND(A357&gt;='Prepay vs Invest'!$B$11,A357&lt;='Prepay vs Invest'!$B$12),'Prepay vs Invest'!$B$10,0)+IF(A357='Prepay vs Invest'!$B$9,'Prepay vs Invest'!$B$8,0),0)</f>
        <v>0</v>
      </c>
      <c r="I357">
        <f>G357*(1+MAX(0,'Prepay vs Invest'!$B$13-'Prepay vs Invest'!$B$14)/1200)+H357</f>
        <v>41270059.5134013</v>
      </c>
      <c r="J357">
        <f t="shared" si="89"/>
        <v>2900000</v>
      </c>
      <c r="K357">
        <f>MAX(0,(I357-J357-'Prepay vs Invest'!$B$16)*'Prepay vs Invest'!$B$15/100)</f>
        <v>4780632.4391751625</v>
      </c>
      <c r="L357">
        <f t="shared" si="82"/>
        <v>36489427.074226141</v>
      </c>
      <c r="M357">
        <f t="shared" si="90"/>
        <v>0</v>
      </c>
      <c r="N357">
        <f>IF(M357&gt;0,M357*'Prepay vs Invest'!$B$6/1200,0)</f>
        <v>0</v>
      </c>
      <c r="O357">
        <f>IF(M357&gt;0,MIN('Prepay vs Invest'!$E$5,M357+N357),0)</f>
        <v>0</v>
      </c>
      <c r="P357">
        <f>MIN(MAX(0,M357+N357-O357),IF(AND(A357&gt;='Prepay vs Invest'!$B$11,A357&lt;='Prepay vs Invest'!$B$12),'Prepay vs Invest'!$B$10,0)+IF(A357='Prepay vs Invest'!$B$9,'Prepay vs Invest'!$B$8,0))</f>
        <v>0</v>
      </c>
      <c r="Q357">
        <f t="shared" si="83"/>
        <v>0</v>
      </c>
      <c r="R357">
        <f t="shared" si="91"/>
        <v>25691915.571030028</v>
      </c>
      <c r="S357">
        <f>IF(A357&lt;='Prepay vs Invest'!$B$7*12,MAX(0,'Prepay vs Invest'!$E$5+IF(AND(A357&gt;='Prepay vs Invest'!$B$11,A357&lt;='Prepay vs Invest'!$B$12),'Prepay vs Invest'!$B$10,0)+IF(A357='Prepay vs Invest'!$B$9,'Prepay vs Invest'!$B$8,0)-O357-P357),0)</f>
        <v>0</v>
      </c>
      <c r="T357">
        <f>R357*(1+MAX(0,'Prepay vs Invest'!$B$13-'Prepay vs Invest'!$B$14)/1200)+S357</f>
        <v>25938129.761919066</v>
      </c>
      <c r="U357">
        <f t="shared" si="92"/>
        <v>6133552.3707652809</v>
      </c>
      <c r="V357">
        <f>MAX(0,(T357-U357-'Prepay vs Invest'!$B$16)*'Prepay vs Invest'!$B$15/100)</f>
        <v>2459947.1738942233</v>
      </c>
      <c r="W357">
        <f t="shared" si="84"/>
        <v>23478182.588024843</v>
      </c>
      <c r="X357">
        <f t="shared" si="93"/>
        <v>0</v>
      </c>
      <c r="Y357">
        <f>IF(X357&gt;0,X357*'Prepay vs Invest'!$B$6/1200,0)</f>
        <v>0</v>
      </c>
      <c r="Z357">
        <f>IF(X357&gt;0,MIN(-PMT('Prepay vs Invest'!$B$6/1200,'Prepay vs Invest'!$B$7*12-A357+1,X357),X357+Y357),0)</f>
        <v>0</v>
      </c>
      <c r="AA357">
        <f>MIN(MAX(0,X357+Y357-Z357),IF(AND(A357&gt;='Prepay vs Invest'!$B$11,A357&lt;='Prepay vs Invest'!$B$12),'Prepay vs Invest'!$B$10,0)+IF(A357='Prepay vs Invest'!$B$9,'Prepay vs Invest'!$B$8,0))</f>
        <v>0</v>
      </c>
      <c r="AB357">
        <f t="shared" si="85"/>
        <v>0</v>
      </c>
      <c r="AC357">
        <f t="shared" si="94"/>
        <v>32623889.121869646</v>
      </c>
      <c r="AD357">
        <f>IF(A357&lt;='Prepay vs Invest'!$B$7*12,MAX(0,'Prepay vs Invest'!$E$5+IF(AND(A357&gt;='Prepay vs Invest'!$B$11,A357&lt;='Prepay vs Invest'!$B$12),'Prepay vs Invest'!$B$10,0)+IF(A357='Prepay vs Invest'!$B$9,'Prepay vs Invest'!$B$8,0)-Z357-AA357),0)</f>
        <v>0</v>
      </c>
      <c r="AE357">
        <f>AC357*(1+MAX(0,'Prepay vs Invest'!$B$13-'Prepay vs Invest'!$B$14)/1200)+AD357</f>
        <v>32936534.725954227</v>
      </c>
      <c r="AF357">
        <f t="shared" si="95"/>
        <v>4388572.0206063567</v>
      </c>
      <c r="AG357">
        <f>MAX(0,(AE357-AF357-'Prepay vs Invest'!$B$16)*'Prepay vs Invest'!$B$15/100)</f>
        <v>3552870.3381684842</v>
      </c>
      <c r="AH357">
        <f t="shared" si="86"/>
        <v>29383664.387785744</v>
      </c>
    </row>
    <row r="358" spans="1:34" x14ac:dyDescent="0.35">
      <c r="A358">
        <f t="shared" si="87"/>
        <v>357</v>
      </c>
      <c r="B358">
        <f>IF(A358&lt;='Prepay vs Invest'!$B$7*12,F357,0)</f>
        <v>0</v>
      </c>
      <c r="C358">
        <f>IF(B358&gt;0,B358*'Prepay vs Invest'!$B$6/1200,0)</f>
        <v>0</v>
      </c>
      <c r="D358">
        <f>IF(B358&gt;0,MIN(-PMT('Prepay vs Invest'!$B$6/1200,'Prepay vs Invest'!$B$7*12,'Prepay vs Invest'!$B$5),B358+C358),0)</f>
        <v>0</v>
      </c>
      <c r="E358">
        <f t="shared" si="80"/>
        <v>0</v>
      </c>
      <c r="F358">
        <f t="shared" si="81"/>
        <v>0</v>
      </c>
      <c r="G358">
        <f t="shared" si="88"/>
        <v>41270059.5134013</v>
      </c>
      <c r="H358">
        <f>IF(A358&lt;='Prepay vs Invest'!$B$7*12,IF(AND(A358&gt;='Prepay vs Invest'!$B$11,A358&lt;='Prepay vs Invest'!$B$12),'Prepay vs Invest'!$B$10,0)+IF(A358='Prepay vs Invest'!$B$9,'Prepay vs Invest'!$B$8,0),0)</f>
        <v>0</v>
      </c>
      <c r="I358">
        <f>G358*(1+MAX(0,'Prepay vs Invest'!$B$13-'Prepay vs Invest'!$B$14)/1200)+H358</f>
        <v>41665564.250404723</v>
      </c>
      <c r="J358">
        <f t="shared" si="89"/>
        <v>2900000</v>
      </c>
      <c r="K358">
        <f>MAX(0,(I358-J358-'Prepay vs Invest'!$B$16)*'Prepay vs Invest'!$B$15/100)</f>
        <v>4830070.5313005904</v>
      </c>
      <c r="L358">
        <f t="shared" si="82"/>
        <v>36835493.719104134</v>
      </c>
      <c r="M358">
        <f t="shared" si="90"/>
        <v>0</v>
      </c>
      <c r="N358">
        <f>IF(M358&gt;0,M358*'Prepay vs Invest'!$B$6/1200,0)</f>
        <v>0</v>
      </c>
      <c r="O358">
        <f>IF(M358&gt;0,MIN('Prepay vs Invest'!$E$5,M358+N358),0)</f>
        <v>0</v>
      </c>
      <c r="P358">
        <f>MIN(MAX(0,M358+N358-O358),IF(AND(A358&gt;='Prepay vs Invest'!$B$11,A358&lt;='Prepay vs Invest'!$B$12),'Prepay vs Invest'!$B$10,0)+IF(A358='Prepay vs Invest'!$B$9,'Prepay vs Invest'!$B$8,0))</f>
        <v>0</v>
      </c>
      <c r="Q358">
        <f t="shared" si="83"/>
        <v>0</v>
      </c>
      <c r="R358">
        <f t="shared" si="91"/>
        <v>25938129.761919066</v>
      </c>
      <c r="S358">
        <f>IF(A358&lt;='Prepay vs Invest'!$B$7*12,MAX(0,'Prepay vs Invest'!$E$5+IF(AND(A358&gt;='Prepay vs Invest'!$B$11,A358&lt;='Prepay vs Invest'!$B$12),'Prepay vs Invest'!$B$10,0)+IF(A358='Prepay vs Invest'!$B$9,'Prepay vs Invest'!$B$8,0)-O358-P358),0)</f>
        <v>0</v>
      </c>
      <c r="T358">
        <f>R358*(1+MAX(0,'Prepay vs Invest'!$B$13-'Prepay vs Invest'!$B$14)/1200)+S358</f>
        <v>26186703.50547079</v>
      </c>
      <c r="U358">
        <f t="shared" si="92"/>
        <v>6133552.3707652809</v>
      </c>
      <c r="V358">
        <f>MAX(0,(T358-U358-'Prepay vs Invest'!$B$16)*'Prepay vs Invest'!$B$15/100)</f>
        <v>2491018.8918381887</v>
      </c>
      <c r="W358">
        <f t="shared" si="84"/>
        <v>23695684.613632601</v>
      </c>
      <c r="X358">
        <f t="shared" si="93"/>
        <v>0</v>
      </c>
      <c r="Y358">
        <f>IF(X358&gt;0,X358*'Prepay vs Invest'!$B$6/1200,0)</f>
        <v>0</v>
      </c>
      <c r="Z358">
        <f>IF(X358&gt;0,MIN(-PMT('Prepay vs Invest'!$B$6/1200,'Prepay vs Invest'!$B$7*12-A358+1,X358),X358+Y358),0)</f>
        <v>0</v>
      </c>
      <c r="AA358">
        <f>MIN(MAX(0,X358+Y358-Z358),IF(AND(A358&gt;='Prepay vs Invest'!$B$11,A358&lt;='Prepay vs Invest'!$B$12),'Prepay vs Invest'!$B$10,0)+IF(A358='Prepay vs Invest'!$B$9,'Prepay vs Invest'!$B$8,0))</f>
        <v>0</v>
      </c>
      <c r="AB358">
        <f t="shared" si="85"/>
        <v>0</v>
      </c>
      <c r="AC358">
        <f t="shared" si="94"/>
        <v>32936534.725954227</v>
      </c>
      <c r="AD358">
        <f>IF(A358&lt;='Prepay vs Invest'!$B$7*12,MAX(0,'Prepay vs Invest'!$E$5+IF(AND(A358&gt;='Prepay vs Invest'!$B$11,A358&lt;='Prepay vs Invest'!$B$12),'Prepay vs Invest'!$B$10,0)+IF(A358='Prepay vs Invest'!$B$9,'Prepay vs Invest'!$B$8,0)-Z358-AA358),0)</f>
        <v>0</v>
      </c>
      <c r="AE358">
        <f>AC358*(1+MAX(0,'Prepay vs Invest'!$B$13-'Prepay vs Invest'!$B$14)/1200)+AD358</f>
        <v>33252176.517077953</v>
      </c>
      <c r="AF358">
        <f t="shared" si="95"/>
        <v>4388572.0206063567</v>
      </c>
      <c r="AG358">
        <f>MAX(0,(AE358-AF358-'Prepay vs Invest'!$B$16)*'Prepay vs Invest'!$B$15/100)</f>
        <v>3592325.5620589494</v>
      </c>
      <c r="AH358">
        <f t="shared" si="86"/>
        <v>29659850.955019005</v>
      </c>
    </row>
    <row r="359" spans="1:34" x14ac:dyDescent="0.35">
      <c r="A359">
        <f t="shared" si="87"/>
        <v>358</v>
      </c>
      <c r="B359">
        <f>IF(A359&lt;='Prepay vs Invest'!$B$7*12,F358,0)</f>
        <v>0</v>
      </c>
      <c r="C359">
        <f>IF(B359&gt;0,B359*'Prepay vs Invest'!$B$6/1200,0)</f>
        <v>0</v>
      </c>
      <c r="D359">
        <f>IF(B359&gt;0,MIN(-PMT('Prepay vs Invest'!$B$6/1200,'Prepay vs Invest'!$B$7*12,'Prepay vs Invest'!$B$5),B359+C359),0)</f>
        <v>0</v>
      </c>
      <c r="E359">
        <f t="shared" si="80"/>
        <v>0</v>
      </c>
      <c r="F359">
        <f t="shared" si="81"/>
        <v>0</v>
      </c>
      <c r="G359">
        <f t="shared" si="88"/>
        <v>41665564.250404723</v>
      </c>
      <c r="H359">
        <f>IF(A359&lt;='Prepay vs Invest'!$B$7*12,IF(AND(A359&gt;='Prepay vs Invest'!$B$11,A359&lt;='Prepay vs Invest'!$B$12),'Prepay vs Invest'!$B$10,0)+IF(A359='Prepay vs Invest'!$B$9,'Prepay vs Invest'!$B$8,0),0)</f>
        <v>0</v>
      </c>
      <c r="I359">
        <f>G359*(1+MAX(0,'Prepay vs Invest'!$B$13-'Prepay vs Invest'!$B$14)/1200)+H359</f>
        <v>42064859.241137765</v>
      </c>
      <c r="J359">
        <f t="shared" si="89"/>
        <v>2900000</v>
      </c>
      <c r="K359">
        <f>MAX(0,(I359-J359-'Prepay vs Invest'!$B$16)*'Prepay vs Invest'!$B$15/100)</f>
        <v>4879982.4051422207</v>
      </c>
      <c r="L359">
        <f t="shared" si="82"/>
        <v>37184876.835995547</v>
      </c>
      <c r="M359">
        <f t="shared" si="90"/>
        <v>0</v>
      </c>
      <c r="N359">
        <f>IF(M359&gt;0,M359*'Prepay vs Invest'!$B$6/1200,0)</f>
        <v>0</v>
      </c>
      <c r="O359">
        <f>IF(M359&gt;0,MIN('Prepay vs Invest'!$E$5,M359+N359),0)</f>
        <v>0</v>
      </c>
      <c r="P359">
        <f>MIN(MAX(0,M359+N359-O359),IF(AND(A359&gt;='Prepay vs Invest'!$B$11,A359&lt;='Prepay vs Invest'!$B$12),'Prepay vs Invest'!$B$10,0)+IF(A359='Prepay vs Invest'!$B$9,'Prepay vs Invest'!$B$8,0))</f>
        <v>0</v>
      </c>
      <c r="Q359">
        <f t="shared" si="83"/>
        <v>0</v>
      </c>
      <c r="R359">
        <f t="shared" si="91"/>
        <v>26186703.50547079</v>
      </c>
      <c r="S359">
        <f>IF(A359&lt;='Prepay vs Invest'!$B$7*12,MAX(0,'Prepay vs Invest'!$E$5+IF(AND(A359&gt;='Prepay vs Invest'!$B$11,A359&lt;='Prepay vs Invest'!$B$12),'Prepay vs Invest'!$B$10,0)+IF(A359='Prepay vs Invest'!$B$9,'Prepay vs Invest'!$B$8,0)-O359-P359),0)</f>
        <v>0</v>
      </c>
      <c r="T359">
        <f>R359*(1+MAX(0,'Prepay vs Invest'!$B$13-'Prepay vs Invest'!$B$14)/1200)+S359</f>
        <v>26437659.414064884</v>
      </c>
      <c r="U359">
        <f t="shared" si="92"/>
        <v>6133552.3707652809</v>
      </c>
      <c r="V359">
        <f>MAX(0,(T359-U359-'Prepay vs Invest'!$B$16)*'Prepay vs Invest'!$B$15/100)</f>
        <v>2522388.3804124505</v>
      </c>
      <c r="W359">
        <f t="shared" si="84"/>
        <v>23915271.033652432</v>
      </c>
      <c r="X359">
        <f t="shared" si="93"/>
        <v>0</v>
      </c>
      <c r="Y359">
        <f>IF(X359&gt;0,X359*'Prepay vs Invest'!$B$6/1200,0)</f>
        <v>0</v>
      </c>
      <c r="Z359">
        <f>IF(X359&gt;0,MIN(-PMT('Prepay vs Invest'!$B$6/1200,'Prepay vs Invest'!$B$7*12-A359+1,X359),X359+Y359),0)</f>
        <v>0</v>
      </c>
      <c r="AA359">
        <f>MIN(MAX(0,X359+Y359-Z359),IF(AND(A359&gt;='Prepay vs Invest'!$B$11,A359&lt;='Prepay vs Invest'!$B$12),'Prepay vs Invest'!$B$10,0)+IF(A359='Prepay vs Invest'!$B$9,'Prepay vs Invest'!$B$8,0))</f>
        <v>0</v>
      </c>
      <c r="AB359">
        <f t="shared" si="85"/>
        <v>0</v>
      </c>
      <c r="AC359">
        <f t="shared" si="94"/>
        <v>33252176.517077953</v>
      </c>
      <c r="AD359">
        <f>IF(A359&lt;='Prepay vs Invest'!$B$7*12,MAX(0,'Prepay vs Invest'!$E$5+IF(AND(A359&gt;='Prepay vs Invest'!$B$11,A359&lt;='Prepay vs Invest'!$B$12),'Prepay vs Invest'!$B$10,0)+IF(A359='Prepay vs Invest'!$B$9,'Prepay vs Invest'!$B$8,0)-Z359-AA359),0)</f>
        <v>0</v>
      </c>
      <c r="AE359">
        <f>AC359*(1+MAX(0,'Prepay vs Invest'!$B$13-'Prepay vs Invest'!$B$14)/1200)+AD359</f>
        <v>33570843.208699949</v>
      </c>
      <c r="AF359">
        <f t="shared" si="95"/>
        <v>4388572.0206063567</v>
      </c>
      <c r="AG359">
        <f>MAX(0,(AE359-AF359-'Prepay vs Invest'!$B$16)*'Prepay vs Invest'!$B$15/100)</f>
        <v>3632158.8985116989</v>
      </c>
      <c r="AH359">
        <f t="shared" si="86"/>
        <v>29938684.310188249</v>
      </c>
    </row>
    <row r="360" spans="1:34" x14ac:dyDescent="0.35">
      <c r="A360">
        <f t="shared" si="87"/>
        <v>359</v>
      </c>
      <c r="B360">
        <f>IF(A360&lt;='Prepay vs Invest'!$B$7*12,F359,0)</f>
        <v>0</v>
      </c>
      <c r="C360">
        <f>IF(B360&gt;0,B360*'Prepay vs Invest'!$B$6/1200,0)</f>
        <v>0</v>
      </c>
      <c r="D360">
        <f>IF(B360&gt;0,MIN(-PMT('Prepay vs Invest'!$B$6/1200,'Prepay vs Invest'!$B$7*12,'Prepay vs Invest'!$B$5),B360+C360),0)</f>
        <v>0</v>
      </c>
      <c r="E360">
        <f t="shared" si="80"/>
        <v>0</v>
      </c>
      <c r="F360">
        <f t="shared" si="81"/>
        <v>0</v>
      </c>
      <c r="G360">
        <f t="shared" si="88"/>
        <v>42064859.241137765</v>
      </c>
      <c r="H360">
        <f>IF(A360&lt;='Prepay vs Invest'!$B$7*12,IF(AND(A360&gt;='Prepay vs Invest'!$B$11,A360&lt;='Prepay vs Invest'!$B$12),'Prepay vs Invest'!$B$10,0)+IF(A360='Prepay vs Invest'!$B$9,'Prepay vs Invest'!$B$8,0),0)</f>
        <v>0</v>
      </c>
      <c r="I360">
        <f>G360*(1+MAX(0,'Prepay vs Invest'!$B$13-'Prepay vs Invest'!$B$14)/1200)+H360</f>
        <v>42467980.808865331</v>
      </c>
      <c r="J360">
        <f t="shared" si="89"/>
        <v>2900000</v>
      </c>
      <c r="K360">
        <f>MAX(0,(I360-J360-'Prepay vs Invest'!$B$16)*'Prepay vs Invest'!$B$15/100)</f>
        <v>4930372.6011081664</v>
      </c>
      <c r="L360">
        <f t="shared" si="82"/>
        <v>37537608.207757168</v>
      </c>
      <c r="M360">
        <f t="shared" si="90"/>
        <v>0</v>
      </c>
      <c r="N360">
        <f>IF(M360&gt;0,M360*'Prepay vs Invest'!$B$6/1200,0)</f>
        <v>0</v>
      </c>
      <c r="O360">
        <f>IF(M360&gt;0,MIN('Prepay vs Invest'!$E$5,M360+N360),0)</f>
        <v>0</v>
      </c>
      <c r="P360">
        <f>MIN(MAX(0,M360+N360-O360),IF(AND(A360&gt;='Prepay vs Invest'!$B$11,A360&lt;='Prepay vs Invest'!$B$12),'Prepay vs Invest'!$B$10,0)+IF(A360='Prepay vs Invest'!$B$9,'Prepay vs Invest'!$B$8,0))</f>
        <v>0</v>
      </c>
      <c r="Q360">
        <f t="shared" si="83"/>
        <v>0</v>
      </c>
      <c r="R360">
        <f t="shared" si="91"/>
        <v>26437659.414064884</v>
      </c>
      <c r="S360">
        <f>IF(A360&lt;='Prepay vs Invest'!$B$7*12,MAX(0,'Prepay vs Invest'!$E$5+IF(AND(A360&gt;='Prepay vs Invest'!$B$11,A360&lt;='Prepay vs Invest'!$B$12),'Prepay vs Invest'!$B$10,0)+IF(A360='Prepay vs Invest'!$B$9,'Prepay vs Invest'!$B$8,0)-O360-P360),0)</f>
        <v>0</v>
      </c>
      <c r="T360">
        <f>R360*(1+MAX(0,'Prepay vs Invest'!$B$13-'Prepay vs Invest'!$B$14)/1200)+S360</f>
        <v>26691020.316783004</v>
      </c>
      <c r="U360">
        <f t="shared" si="92"/>
        <v>6133552.3707652809</v>
      </c>
      <c r="V360">
        <f>MAX(0,(T360-U360-'Prepay vs Invest'!$B$16)*'Prepay vs Invest'!$B$15/100)</f>
        <v>2554058.4932522154</v>
      </c>
      <c r="W360">
        <f t="shared" si="84"/>
        <v>24136961.823530789</v>
      </c>
      <c r="X360">
        <f t="shared" si="93"/>
        <v>0</v>
      </c>
      <c r="Y360">
        <f>IF(X360&gt;0,X360*'Prepay vs Invest'!$B$6/1200,0)</f>
        <v>0</v>
      </c>
      <c r="Z360">
        <f>IF(X360&gt;0,MIN(-PMT('Prepay vs Invest'!$B$6/1200,'Prepay vs Invest'!$B$7*12-A360+1,X360),X360+Y360),0)</f>
        <v>0</v>
      </c>
      <c r="AA360">
        <f>MIN(MAX(0,X360+Y360-Z360),IF(AND(A360&gt;='Prepay vs Invest'!$B$11,A360&lt;='Prepay vs Invest'!$B$12),'Prepay vs Invest'!$B$10,0)+IF(A360='Prepay vs Invest'!$B$9,'Prepay vs Invest'!$B$8,0))</f>
        <v>0</v>
      </c>
      <c r="AB360">
        <f t="shared" si="85"/>
        <v>0</v>
      </c>
      <c r="AC360">
        <f t="shared" si="94"/>
        <v>33570843.208699949</v>
      </c>
      <c r="AD360">
        <f>IF(A360&lt;='Prepay vs Invest'!$B$7*12,MAX(0,'Prepay vs Invest'!$E$5+IF(AND(A360&gt;='Prepay vs Invest'!$B$11,A360&lt;='Prepay vs Invest'!$B$12),'Prepay vs Invest'!$B$10,0)+IF(A360='Prepay vs Invest'!$B$9,'Prepay vs Invest'!$B$8,0)-Z360-AA360),0)</f>
        <v>0</v>
      </c>
      <c r="AE360">
        <f>AC360*(1+MAX(0,'Prepay vs Invest'!$B$13-'Prepay vs Invest'!$B$14)/1200)+AD360</f>
        <v>33892563.78944999</v>
      </c>
      <c r="AF360">
        <f t="shared" si="95"/>
        <v>4388572.0206063567</v>
      </c>
      <c r="AG360">
        <f>MAX(0,(AE360-AF360-'Prepay vs Invest'!$B$16)*'Prepay vs Invest'!$B$15/100)</f>
        <v>3672373.971105454</v>
      </c>
      <c r="AH360">
        <f t="shared" si="86"/>
        <v>30220189.818344537</v>
      </c>
    </row>
    <row r="361" spans="1:34" x14ac:dyDescent="0.35">
      <c r="A361">
        <f t="shared" si="87"/>
        <v>360</v>
      </c>
      <c r="B361">
        <f>IF(A361&lt;='Prepay vs Invest'!$B$7*12,F360,0)</f>
        <v>0</v>
      </c>
      <c r="C361">
        <f>IF(B361&gt;0,B361*'Prepay vs Invest'!$B$6/1200,0)</f>
        <v>0</v>
      </c>
      <c r="D361">
        <f>IF(B361&gt;0,MIN(-PMT('Prepay vs Invest'!$B$6/1200,'Prepay vs Invest'!$B$7*12,'Prepay vs Invest'!$B$5),B361+C361),0)</f>
        <v>0</v>
      </c>
      <c r="E361">
        <f t="shared" si="80"/>
        <v>0</v>
      </c>
      <c r="F361">
        <f t="shared" si="81"/>
        <v>0</v>
      </c>
      <c r="G361">
        <f t="shared" si="88"/>
        <v>42467980.808865331</v>
      </c>
      <c r="H361">
        <f>IF(A361&lt;='Prepay vs Invest'!$B$7*12,IF(AND(A361&gt;='Prepay vs Invest'!$B$11,A361&lt;='Prepay vs Invest'!$B$12),'Prepay vs Invest'!$B$10,0)+IF(A361='Prepay vs Invest'!$B$9,'Prepay vs Invest'!$B$8,0),0)</f>
        <v>0</v>
      </c>
      <c r="I361">
        <f>G361*(1+MAX(0,'Prepay vs Invest'!$B$13-'Prepay vs Invest'!$B$14)/1200)+H361</f>
        <v>42874965.62495029</v>
      </c>
      <c r="J361">
        <f t="shared" si="89"/>
        <v>2900000</v>
      </c>
      <c r="K361">
        <f>MAX(0,(I361-J361-'Prepay vs Invest'!$B$16)*'Prepay vs Invest'!$B$15/100)</f>
        <v>4981245.7031187862</v>
      </c>
      <c r="L361">
        <f t="shared" si="82"/>
        <v>37893719.921831504</v>
      </c>
      <c r="M361">
        <f t="shared" si="90"/>
        <v>0</v>
      </c>
      <c r="N361">
        <f>IF(M361&gt;0,M361*'Prepay vs Invest'!$B$6/1200,0)</f>
        <v>0</v>
      </c>
      <c r="O361">
        <f>IF(M361&gt;0,MIN('Prepay vs Invest'!$E$5,M361+N361),0)</f>
        <v>0</v>
      </c>
      <c r="P361">
        <f>MIN(MAX(0,M361+N361-O361),IF(AND(A361&gt;='Prepay vs Invest'!$B$11,A361&lt;='Prepay vs Invest'!$B$12),'Prepay vs Invest'!$B$10,0)+IF(A361='Prepay vs Invest'!$B$9,'Prepay vs Invest'!$B$8,0))</f>
        <v>0</v>
      </c>
      <c r="Q361">
        <f t="shared" si="83"/>
        <v>0</v>
      </c>
      <c r="R361">
        <f t="shared" si="91"/>
        <v>26691020.316783004</v>
      </c>
      <c r="S361">
        <f>IF(A361&lt;='Prepay vs Invest'!$B$7*12,MAX(0,'Prepay vs Invest'!$E$5+IF(AND(A361&gt;='Prepay vs Invest'!$B$11,A361&lt;='Prepay vs Invest'!$B$12),'Prepay vs Invest'!$B$10,0)+IF(A361='Prepay vs Invest'!$B$9,'Prepay vs Invest'!$B$8,0)-O361-P361),0)</f>
        <v>0</v>
      </c>
      <c r="T361">
        <f>R361*(1+MAX(0,'Prepay vs Invest'!$B$13-'Prepay vs Invest'!$B$14)/1200)+S361</f>
        <v>26946809.261485506</v>
      </c>
      <c r="U361">
        <f t="shared" si="92"/>
        <v>6133552.3707652809</v>
      </c>
      <c r="V361">
        <f>MAX(0,(T361-U361-'Prepay vs Invest'!$B$16)*'Prepay vs Invest'!$B$15/100)</f>
        <v>2586032.1113400282</v>
      </c>
      <c r="W361">
        <f t="shared" si="84"/>
        <v>24360777.150145479</v>
      </c>
      <c r="X361">
        <f t="shared" si="93"/>
        <v>0</v>
      </c>
      <c r="Y361">
        <f>IF(X361&gt;0,X361*'Prepay vs Invest'!$B$6/1200,0)</f>
        <v>0</v>
      </c>
      <c r="Z361">
        <f>IF(X361&gt;0,MIN(-PMT('Prepay vs Invest'!$B$6/1200,'Prepay vs Invest'!$B$7*12-A361+1,X361),X361+Y361),0)</f>
        <v>0</v>
      </c>
      <c r="AA361">
        <f>MIN(MAX(0,X361+Y361-Z361),IF(AND(A361&gt;='Prepay vs Invest'!$B$11,A361&lt;='Prepay vs Invest'!$B$12),'Prepay vs Invest'!$B$10,0)+IF(A361='Prepay vs Invest'!$B$9,'Prepay vs Invest'!$B$8,0))</f>
        <v>0</v>
      </c>
      <c r="AB361">
        <f t="shared" si="85"/>
        <v>0</v>
      </c>
      <c r="AC361">
        <f t="shared" si="94"/>
        <v>33892563.78944999</v>
      </c>
      <c r="AD361">
        <f>IF(A361&lt;='Prepay vs Invest'!$B$7*12,MAX(0,'Prepay vs Invest'!$E$5+IF(AND(A361&gt;='Prepay vs Invest'!$B$11,A361&lt;='Prepay vs Invest'!$B$12),'Prepay vs Invest'!$B$10,0)+IF(A361='Prepay vs Invest'!$B$9,'Prepay vs Invest'!$B$8,0)-Z361-AA361),0)</f>
        <v>0</v>
      </c>
      <c r="AE361">
        <f>AC361*(1+MAX(0,'Prepay vs Invest'!$B$13-'Prepay vs Invest'!$B$14)/1200)+AD361</f>
        <v>34217367.525765553</v>
      </c>
      <c r="AF361">
        <f t="shared" si="95"/>
        <v>4388572.0206063567</v>
      </c>
      <c r="AG361">
        <f>MAX(0,(AE361-AF361-'Prepay vs Invest'!$B$16)*'Prepay vs Invest'!$B$15/100)</f>
        <v>3712974.4381448994</v>
      </c>
      <c r="AH361">
        <f t="shared" si="86"/>
        <v>30504393.087620653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02F73-3CC1-4B48-9275-8D32BEC775A2}">
  <dimension ref="A1:L60"/>
  <sheetViews>
    <sheetView workbookViewId="0">
      <selection activeCell="A5" sqref="A5:A9"/>
    </sheetView>
  </sheetViews>
  <sheetFormatPr defaultRowHeight="14.5" x14ac:dyDescent="0.35"/>
  <cols>
    <col min="1" max="1" width="28.1796875" customWidth="1"/>
    <col min="2" max="2" width="17.26953125" customWidth="1"/>
    <col min="3" max="3" width="3.26953125" customWidth="1"/>
    <col min="4" max="4" width="26.36328125" customWidth="1"/>
    <col min="5" max="5" width="18.1796875" customWidth="1"/>
    <col min="6" max="7" width="3.26953125" customWidth="1"/>
    <col min="8" max="8" width="28.1796875" customWidth="1"/>
    <col min="9" max="9" width="18.1796875" customWidth="1"/>
    <col min="10" max="10" width="20" customWidth="1"/>
    <col min="11" max="12" width="3.26953125" customWidth="1"/>
  </cols>
  <sheetData>
    <row r="1" spans="1:12" ht="28.5" x14ac:dyDescent="0.65">
      <c r="A1" s="318" t="s">
        <v>636</v>
      </c>
      <c r="B1" s="319"/>
      <c r="C1" s="319"/>
      <c r="D1" s="319"/>
      <c r="E1" s="319"/>
      <c r="F1" s="319"/>
      <c r="G1" s="319"/>
      <c r="H1" s="319"/>
      <c r="I1" s="319"/>
      <c r="J1" s="319"/>
      <c r="K1" s="319"/>
      <c r="L1" s="319"/>
    </row>
    <row r="2" spans="1:12" x14ac:dyDescent="0.35">
      <c r="A2" s="320" t="s">
        <v>637</v>
      </c>
      <c r="B2" s="321"/>
      <c r="C2" s="321"/>
      <c r="D2" s="321"/>
      <c r="E2" s="321"/>
      <c r="F2" s="321"/>
      <c r="G2" s="321"/>
      <c r="H2" s="321"/>
      <c r="I2" s="321"/>
      <c r="J2" s="321"/>
      <c r="K2" s="321"/>
      <c r="L2" s="321"/>
    </row>
    <row r="3" spans="1:12" x14ac:dyDescent="0.35">
      <c r="A3" s="120"/>
      <c r="B3" s="120"/>
      <c r="C3" s="120"/>
      <c r="D3" s="120"/>
      <c r="E3" s="120"/>
      <c r="F3" s="120"/>
      <c r="G3" s="120"/>
      <c r="H3" s="120"/>
      <c r="I3" s="120"/>
      <c r="J3" s="120"/>
      <c r="K3" s="120"/>
      <c r="L3" s="120"/>
    </row>
    <row r="4" spans="1:12" x14ac:dyDescent="0.35">
      <c r="A4" s="153" t="s">
        <v>881</v>
      </c>
      <c r="B4" s="153" t="s">
        <v>638</v>
      </c>
      <c r="C4" s="120"/>
      <c r="D4" s="153" t="s">
        <v>659</v>
      </c>
      <c r="E4" s="153" t="s">
        <v>660</v>
      </c>
      <c r="F4" s="120"/>
      <c r="G4" s="120"/>
      <c r="H4" s="153" t="s">
        <v>684</v>
      </c>
      <c r="I4" s="153" t="s">
        <v>638</v>
      </c>
      <c r="J4" s="153" t="s">
        <v>685</v>
      </c>
      <c r="K4" s="120"/>
      <c r="L4" s="120"/>
    </row>
    <row r="5" spans="1:12" x14ac:dyDescent="0.35">
      <c r="A5" s="120" t="s">
        <v>639</v>
      </c>
      <c r="B5" s="156">
        <v>150000</v>
      </c>
      <c r="C5" s="120"/>
      <c r="D5" s="120" t="s">
        <v>661</v>
      </c>
      <c r="E5" s="156">
        <v>300000</v>
      </c>
      <c r="F5" s="120"/>
      <c r="G5" s="120"/>
      <c r="H5" s="120" t="s">
        <v>686</v>
      </c>
      <c r="I5" s="156">
        <v>10000</v>
      </c>
      <c r="J5" s="120" t="str">
        <f>IF($E$25&gt;='Emergency Fund'!$E$7,"Funded","Build first")</f>
        <v>Build first</v>
      </c>
      <c r="K5" s="120"/>
      <c r="L5" s="120"/>
    </row>
    <row r="6" spans="1:12" x14ac:dyDescent="0.35">
      <c r="A6" s="120" t="s">
        <v>640</v>
      </c>
      <c r="B6" s="156">
        <v>60000</v>
      </c>
      <c r="C6" s="120"/>
      <c r="D6" s="120" t="s">
        <v>662</v>
      </c>
      <c r="E6" s="156">
        <v>800000</v>
      </c>
      <c r="F6" s="120"/>
      <c r="G6" s="120"/>
      <c r="H6" s="120" t="s">
        <v>286</v>
      </c>
      <c r="I6" s="156">
        <v>25000</v>
      </c>
      <c r="J6" s="120" t="s">
        <v>687</v>
      </c>
      <c r="K6" s="120"/>
      <c r="L6" s="120"/>
    </row>
    <row r="7" spans="1:12" x14ac:dyDescent="0.35">
      <c r="A7" s="120" t="s">
        <v>641</v>
      </c>
      <c r="B7" s="156">
        <v>0</v>
      </c>
      <c r="C7" s="120"/>
      <c r="D7" s="120" t="s">
        <v>663</v>
      </c>
      <c r="E7" s="156">
        <v>1500000</v>
      </c>
      <c r="F7" s="120"/>
      <c r="G7" s="120"/>
      <c r="H7" s="120" t="s">
        <v>688</v>
      </c>
      <c r="I7" s="156">
        <v>15000</v>
      </c>
      <c r="J7" s="120" t="s">
        <v>689</v>
      </c>
      <c r="K7" s="120"/>
      <c r="L7" s="120"/>
    </row>
    <row r="8" spans="1:12" x14ac:dyDescent="0.35">
      <c r="A8" s="120" t="s">
        <v>642</v>
      </c>
      <c r="B8" s="156">
        <v>10000</v>
      </c>
      <c r="C8" s="120"/>
      <c r="D8" s="120" t="s">
        <v>664</v>
      </c>
      <c r="E8" s="156">
        <v>400000</v>
      </c>
      <c r="F8" s="120"/>
      <c r="G8" s="120"/>
      <c r="H8" s="120" t="s">
        <v>690</v>
      </c>
      <c r="I8" s="156">
        <v>10000</v>
      </c>
      <c r="J8" s="120" t="s">
        <v>691</v>
      </c>
      <c r="K8" s="120"/>
      <c r="L8" s="120"/>
    </row>
    <row r="9" spans="1:12" x14ac:dyDescent="0.35">
      <c r="A9" s="120" t="s">
        <v>643</v>
      </c>
      <c r="B9" s="157">
        <f>SUM(B5:B8)</f>
        <v>220000</v>
      </c>
      <c r="C9" s="120"/>
      <c r="D9" s="120" t="s">
        <v>665</v>
      </c>
      <c r="E9" s="156">
        <v>300000</v>
      </c>
      <c r="F9" s="120"/>
      <c r="G9" s="120"/>
      <c r="H9" s="120" t="s">
        <v>692</v>
      </c>
      <c r="I9" s="159">
        <f>SUM(I5:I8)</f>
        <v>60000</v>
      </c>
      <c r="J9" s="155" t="str">
        <f>IF(I9&lt;=$B$22,"Within surplus","Over-allocated")</f>
        <v>Within surplus</v>
      </c>
      <c r="K9" s="120"/>
      <c r="L9" s="120"/>
    </row>
    <row r="10" spans="1:12" x14ac:dyDescent="0.35">
      <c r="A10" s="120"/>
      <c r="B10" s="157"/>
      <c r="C10" s="120"/>
      <c r="D10" s="120" t="s">
        <v>666</v>
      </c>
      <c r="E10" s="156">
        <v>8000000</v>
      </c>
      <c r="F10" s="120"/>
      <c r="G10" s="120"/>
      <c r="H10" s="120" t="s">
        <v>693</v>
      </c>
      <c r="I10" s="159">
        <f>B22-I9</f>
        <v>0</v>
      </c>
      <c r="J10" s="155" t="str">
        <f>IF(I10&gt;=0,"Available","Reduce plans")</f>
        <v>Available</v>
      </c>
      <c r="K10" s="120"/>
      <c r="L10" s="120"/>
    </row>
    <row r="11" spans="1:12" x14ac:dyDescent="0.35">
      <c r="A11" s="153" t="s">
        <v>644</v>
      </c>
      <c r="B11" s="158" t="s">
        <v>638</v>
      </c>
      <c r="C11" s="120"/>
      <c r="D11" s="120" t="s">
        <v>667</v>
      </c>
      <c r="E11" s="156">
        <v>100000</v>
      </c>
      <c r="F11" s="120"/>
      <c r="G11" s="120"/>
      <c r="H11" s="120"/>
      <c r="I11" s="120"/>
      <c r="J11" s="120"/>
      <c r="K11" s="120"/>
      <c r="L11" s="120"/>
    </row>
    <row r="12" spans="1:12" x14ac:dyDescent="0.35">
      <c r="A12" s="120" t="s">
        <v>645</v>
      </c>
      <c r="B12" s="156">
        <v>40000</v>
      </c>
      <c r="C12" s="120"/>
      <c r="D12" s="120" t="s">
        <v>668</v>
      </c>
      <c r="E12" s="157">
        <f>SUM(E5:E11)</f>
        <v>11400000</v>
      </c>
      <c r="F12" s="120"/>
      <c r="G12" s="120"/>
      <c r="H12" s="153" t="s">
        <v>483</v>
      </c>
      <c r="I12" s="153"/>
      <c r="J12" s="153"/>
      <c r="K12" s="120"/>
      <c r="L12" s="120"/>
    </row>
    <row r="13" spans="1:12" x14ac:dyDescent="0.35">
      <c r="A13" s="120" t="s">
        <v>646</v>
      </c>
      <c r="B13" s="156">
        <v>20000</v>
      </c>
      <c r="C13" s="120"/>
      <c r="D13" s="120"/>
      <c r="E13" s="157"/>
      <c r="F13" s="120"/>
      <c r="G13" s="120"/>
      <c r="H13" s="322" t="str">
        <f>IF($B$22&gt;0,"1. You have a monthly surplus of "&amp;TEXT($B$22,"₹#,##0")&amp;", or "&amp;TEXT($B$23,"0%")&amp;" of income.","1. Spending exceeds income by "&amp;TEXT(-$B$22,"₹#,##0")&amp;" per month; pause new investing until cash flow is positive.")</f>
        <v>1. You have a monthly surplus of ₹60,000, or 27% of income.</v>
      </c>
      <c r="I13" s="322"/>
      <c r="J13" s="322"/>
      <c r="K13" s="120"/>
      <c r="L13" s="120"/>
    </row>
    <row r="14" spans="1:12" x14ac:dyDescent="0.35">
      <c r="A14" s="120" t="s">
        <v>647</v>
      </c>
      <c r="B14" s="156">
        <v>8000</v>
      </c>
      <c r="C14" s="120"/>
      <c r="D14" s="153" t="s">
        <v>669</v>
      </c>
      <c r="E14" s="158" t="s">
        <v>670</v>
      </c>
      <c r="F14" s="120"/>
      <c r="G14" s="120"/>
      <c r="H14" s="322"/>
      <c r="I14" s="322"/>
      <c r="J14" s="322"/>
      <c r="K14" s="120"/>
      <c r="L14" s="120"/>
    </row>
    <row r="15" spans="1:12" x14ac:dyDescent="0.35">
      <c r="A15" s="120" t="s">
        <v>648</v>
      </c>
      <c r="B15" s="156">
        <v>12000</v>
      </c>
      <c r="C15" s="120"/>
      <c r="D15" s="120" t="s">
        <v>671</v>
      </c>
      <c r="E15" s="156">
        <v>5000000</v>
      </c>
      <c r="F15" s="120"/>
      <c r="G15" s="120"/>
      <c r="H15" s="322"/>
      <c r="I15" s="322"/>
      <c r="J15" s="322"/>
      <c r="K15" s="120"/>
      <c r="L15" s="120"/>
    </row>
    <row r="16" spans="1:12" x14ac:dyDescent="0.35">
      <c r="A16" s="120" t="s">
        <v>649</v>
      </c>
      <c r="B16" s="156">
        <v>10000</v>
      </c>
      <c r="C16" s="120"/>
      <c r="D16" s="120" t="s">
        <v>672</v>
      </c>
      <c r="E16" s="156">
        <v>500000</v>
      </c>
      <c r="F16" s="120"/>
      <c r="G16" s="120"/>
      <c r="H16" s="322"/>
      <c r="I16" s="322"/>
      <c r="J16" s="322"/>
      <c r="K16" s="120"/>
      <c r="L16" s="120"/>
    </row>
    <row r="17" spans="1:12" x14ac:dyDescent="0.35">
      <c r="A17" s="120" t="s">
        <v>650</v>
      </c>
      <c r="B17" s="156">
        <v>15000</v>
      </c>
      <c r="C17" s="120"/>
      <c r="D17" s="120" t="s">
        <v>673</v>
      </c>
      <c r="E17" s="156">
        <v>200000</v>
      </c>
      <c r="F17" s="120"/>
      <c r="G17" s="120"/>
      <c r="H17" s="322"/>
      <c r="I17" s="322"/>
      <c r="J17" s="322"/>
      <c r="K17" s="120"/>
      <c r="L17" s="120"/>
    </row>
    <row r="18" spans="1:12" x14ac:dyDescent="0.35">
      <c r="A18" s="120" t="s">
        <v>651</v>
      </c>
      <c r="B18" s="156">
        <v>12000</v>
      </c>
      <c r="C18" s="120"/>
      <c r="D18" s="120" t="s">
        <v>674</v>
      </c>
      <c r="E18" s="156">
        <v>50000</v>
      </c>
      <c r="F18" s="120"/>
      <c r="G18" s="120"/>
      <c r="H18" s="120"/>
      <c r="I18" s="120"/>
      <c r="J18" s="120"/>
      <c r="K18" s="120"/>
      <c r="L18" s="120"/>
    </row>
    <row r="19" spans="1:12" x14ac:dyDescent="0.35">
      <c r="A19" s="120" t="s">
        <v>652</v>
      </c>
      <c r="B19" s="156">
        <v>35000</v>
      </c>
      <c r="C19" s="120"/>
      <c r="D19" s="120" t="s">
        <v>675</v>
      </c>
      <c r="E19" s="156">
        <v>0</v>
      </c>
      <c r="F19" s="120"/>
      <c r="G19" s="120"/>
      <c r="H19" s="120"/>
      <c r="I19" s="120"/>
      <c r="J19" s="120"/>
      <c r="K19" s="120"/>
      <c r="L19" s="120"/>
    </row>
    <row r="20" spans="1:12" x14ac:dyDescent="0.35">
      <c r="A20" s="120" t="s">
        <v>653</v>
      </c>
      <c r="B20" s="156">
        <v>8000</v>
      </c>
      <c r="C20" s="120"/>
      <c r="D20" s="120" t="s">
        <v>676</v>
      </c>
      <c r="E20" s="159">
        <f>SUM(E15:E19)</f>
        <v>5750000</v>
      </c>
      <c r="F20" s="120"/>
      <c r="G20" s="120"/>
      <c r="H20" s="120"/>
      <c r="I20" s="120"/>
      <c r="J20" s="120"/>
      <c r="K20" s="120"/>
      <c r="L20" s="120"/>
    </row>
    <row r="21" spans="1:12" x14ac:dyDescent="0.35">
      <c r="A21" s="120" t="s">
        <v>654</v>
      </c>
      <c r="B21" s="157">
        <f>SUM(B12:B20)</f>
        <v>160000</v>
      </c>
      <c r="C21" s="120"/>
      <c r="D21" s="120" t="s">
        <v>677</v>
      </c>
      <c r="E21" s="159">
        <f>E12-E20</f>
        <v>5650000</v>
      </c>
      <c r="F21" s="120"/>
      <c r="G21" s="120"/>
      <c r="H21" s="120"/>
      <c r="I21" s="120"/>
      <c r="J21" s="120"/>
      <c r="K21" s="120"/>
      <c r="L21" s="120"/>
    </row>
    <row r="22" spans="1:12" x14ac:dyDescent="0.35">
      <c r="A22" s="120" t="s">
        <v>655</v>
      </c>
      <c r="B22" s="159">
        <f>B9-B21</f>
        <v>60000</v>
      </c>
      <c r="C22" s="120"/>
      <c r="D22" s="120" t="s">
        <v>678</v>
      </c>
      <c r="E22" s="160">
        <f>IFERROR(E20/E12,0)</f>
        <v>0.50438596491228072</v>
      </c>
      <c r="F22" s="120"/>
      <c r="G22" s="120"/>
      <c r="H22" s="120"/>
      <c r="I22" s="120"/>
      <c r="J22" s="120"/>
      <c r="K22" s="120"/>
      <c r="L22" s="120"/>
    </row>
    <row r="23" spans="1:12" x14ac:dyDescent="0.35">
      <c r="A23" s="120" t="s">
        <v>656</v>
      </c>
      <c r="B23" s="160">
        <f>IFERROR(B22/B9,0)</f>
        <v>0.27272727272727271</v>
      </c>
      <c r="C23" s="120"/>
      <c r="D23" s="120" t="s">
        <v>882</v>
      </c>
      <c r="E23" s="159">
        <f>SUM(E5:E9)</f>
        <v>3300000</v>
      </c>
      <c r="F23" s="120"/>
      <c r="G23" s="120"/>
      <c r="H23" s="120"/>
      <c r="I23" s="120"/>
      <c r="J23" s="120"/>
      <c r="K23" s="120"/>
      <c r="L23" s="120"/>
    </row>
    <row r="24" spans="1:12" x14ac:dyDescent="0.35">
      <c r="A24" s="120" t="s">
        <v>657</v>
      </c>
      <c r="B24" s="160">
        <f>IFERROR(B19/B9,0)</f>
        <v>0.15909090909090909</v>
      </c>
      <c r="C24" s="120"/>
      <c r="D24" s="120" t="s">
        <v>679</v>
      </c>
      <c r="E24" s="226">
        <f>SUM(E5,E7:E9)</f>
        <v>2500000</v>
      </c>
      <c r="F24" s="120"/>
      <c r="G24" s="120"/>
      <c r="H24" s="120"/>
      <c r="I24" s="120"/>
      <c r="J24" s="120"/>
      <c r="K24" s="120"/>
      <c r="L24" s="120"/>
    </row>
    <row r="25" spans="1:12" x14ac:dyDescent="0.35">
      <c r="A25" s="120" t="s">
        <v>658</v>
      </c>
      <c r="B25" s="159">
        <f>B22*12</f>
        <v>720000</v>
      </c>
      <c r="C25" s="120"/>
      <c r="D25" s="120" t="s">
        <v>912</v>
      </c>
      <c r="E25" s="227">
        <f>IFERROR(E5/B21,0)</f>
        <v>1.875</v>
      </c>
      <c r="F25" s="120"/>
      <c r="G25" s="120"/>
      <c r="H25" s="120"/>
      <c r="I25" s="120"/>
      <c r="J25" s="120"/>
      <c r="K25" s="120"/>
      <c r="L25" s="120"/>
    </row>
    <row r="26" spans="1:12" x14ac:dyDescent="0.35">
      <c r="A26" s="120"/>
      <c r="B26" s="120"/>
      <c r="C26" s="120"/>
      <c r="D26" s="120" t="s">
        <v>680</v>
      </c>
      <c r="E26" s="120" t="s">
        <v>638</v>
      </c>
      <c r="F26" s="120"/>
      <c r="G26" s="120"/>
      <c r="H26" s="120"/>
      <c r="I26" s="120"/>
      <c r="J26" s="120"/>
      <c r="K26" s="120"/>
      <c r="L26" s="120"/>
    </row>
    <row r="27" spans="1:12" x14ac:dyDescent="0.35">
      <c r="A27" s="120"/>
      <c r="B27" s="120"/>
      <c r="C27" s="120"/>
      <c r="D27" s="153" t="s">
        <v>681</v>
      </c>
      <c r="E27" s="153">
        <f>B9</f>
        <v>220000</v>
      </c>
      <c r="F27" s="120"/>
      <c r="G27" s="120"/>
      <c r="H27" s="120"/>
      <c r="I27" s="120"/>
      <c r="J27" s="120"/>
      <c r="K27" s="120"/>
      <c r="L27" s="120"/>
    </row>
    <row r="28" spans="1:12" x14ac:dyDescent="0.35">
      <c r="A28" s="120"/>
      <c r="B28" s="120"/>
      <c r="C28" s="120"/>
      <c r="D28" s="120" t="s">
        <v>682</v>
      </c>
      <c r="E28" s="120">
        <f>B21</f>
        <v>160000</v>
      </c>
      <c r="F28" s="120"/>
      <c r="G28" s="120"/>
      <c r="H28" s="120"/>
      <c r="I28" s="120"/>
      <c r="J28" s="120"/>
      <c r="K28" s="120"/>
      <c r="L28" s="120"/>
    </row>
    <row r="29" spans="1:12" x14ac:dyDescent="0.35">
      <c r="A29" s="120"/>
      <c r="B29" s="120"/>
      <c r="C29" s="120"/>
      <c r="D29" s="120" t="s">
        <v>683</v>
      </c>
      <c r="E29" s="120">
        <f>B22</f>
        <v>60000</v>
      </c>
      <c r="F29" s="120"/>
      <c r="G29" s="120"/>
      <c r="H29" s="120"/>
      <c r="I29" s="120"/>
      <c r="J29" s="120"/>
      <c r="K29" s="120"/>
      <c r="L29" s="120"/>
    </row>
    <row r="30" spans="1:12" ht="19" customHeight="1" x14ac:dyDescent="0.35">
      <c r="A30" s="120"/>
      <c r="B30" s="120"/>
      <c r="C30" s="120"/>
      <c r="D30" s="120"/>
      <c r="E30" s="120"/>
      <c r="F30" s="120"/>
      <c r="G30" s="120"/>
      <c r="H30" s="120"/>
      <c r="I30" s="120"/>
      <c r="J30" s="120"/>
      <c r="K30" s="120"/>
      <c r="L30" s="120"/>
    </row>
    <row r="31" spans="1:12" ht="19" customHeight="1" x14ac:dyDescent="0.35">
      <c r="A31" s="120"/>
      <c r="B31" s="120"/>
      <c r="C31" s="120"/>
      <c r="D31" s="120"/>
      <c r="E31" s="120"/>
      <c r="F31" s="120"/>
      <c r="G31" s="120"/>
      <c r="H31" s="120"/>
      <c r="I31" s="120"/>
      <c r="J31" s="120"/>
      <c r="K31" s="120"/>
      <c r="L31" s="120"/>
    </row>
    <row r="32" spans="1:12" ht="19" customHeight="1" x14ac:dyDescent="0.35">
      <c r="A32" s="120"/>
      <c r="B32" s="120"/>
      <c r="C32" s="120"/>
      <c r="D32" s="120"/>
      <c r="E32" s="120"/>
      <c r="F32" s="120"/>
      <c r="G32" s="120"/>
      <c r="H32" s="120"/>
      <c r="I32" s="120"/>
      <c r="J32" s="120"/>
      <c r="K32" s="120"/>
      <c r="L32" s="120"/>
    </row>
    <row r="33" spans="1:12" ht="19" customHeight="1" x14ac:dyDescent="0.35">
      <c r="A33" s="120"/>
      <c r="B33" s="120"/>
      <c r="C33" s="120"/>
      <c r="D33" s="120"/>
      <c r="E33" s="120"/>
      <c r="F33" s="120"/>
      <c r="G33" s="120"/>
      <c r="H33" s="120"/>
      <c r="I33" s="120"/>
      <c r="J33" s="120"/>
      <c r="K33" s="120"/>
      <c r="L33" s="120"/>
    </row>
    <row r="34" spans="1:12" ht="19" customHeight="1" x14ac:dyDescent="0.35">
      <c r="A34" s="120"/>
      <c r="B34" s="120"/>
      <c r="C34" s="120"/>
      <c r="D34" s="120"/>
      <c r="E34" s="120"/>
      <c r="F34" s="120"/>
      <c r="G34" s="120"/>
      <c r="H34" s="120"/>
      <c r="I34" s="120"/>
      <c r="J34" s="120"/>
      <c r="K34" s="120"/>
      <c r="L34" s="120"/>
    </row>
    <row r="35" spans="1:12" ht="19" customHeight="1" x14ac:dyDescent="0.35">
      <c r="A35" s="120"/>
      <c r="B35" s="120"/>
      <c r="C35" s="120"/>
      <c r="D35" s="120"/>
      <c r="E35" s="120"/>
      <c r="F35" s="120"/>
      <c r="G35" s="120"/>
      <c r="H35" s="120"/>
      <c r="I35" s="120"/>
      <c r="J35" s="120"/>
      <c r="K35" s="120"/>
      <c r="L35" s="120"/>
    </row>
    <row r="36" spans="1:12" ht="19" customHeight="1" x14ac:dyDescent="0.35">
      <c r="A36" s="120"/>
      <c r="B36" s="120"/>
      <c r="C36" s="120"/>
      <c r="D36" s="120"/>
      <c r="E36" s="120"/>
      <c r="F36" s="120"/>
      <c r="G36" s="120"/>
      <c r="H36" s="120"/>
      <c r="I36" s="120"/>
      <c r="J36" s="120"/>
      <c r="K36" s="120"/>
      <c r="L36" s="120"/>
    </row>
    <row r="37" spans="1:12" ht="19" customHeight="1" x14ac:dyDescent="0.35">
      <c r="A37" s="120"/>
      <c r="B37" s="120"/>
      <c r="C37" s="120"/>
      <c r="D37" s="120"/>
      <c r="E37" s="120"/>
      <c r="F37" s="120"/>
      <c r="G37" s="120"/>
      <c r="H37" s="120"/>
      <c r="I37" s="120"/>
      <c r="J37" s="120"/>
      <c r="K37" s="120"/>
      <c r="L37" s="120"/>
    </row>
    <row r="38" spans="1:12" ht="19" customHeight="1" x14ac:dyDescent="0.35">
      <c r="A38" s="120"/>
      <c r="B38" s="120"/>
      <c r="C38" s="120"/>
      <c r="D38" s="120"/>
      <c r="E38" s="120"/>
      <c r="F38" s="120"/>
      <c r="G38" s="120"/>
      <c r="H38" s="120"/>
      <c r="I38" s="120"/>
      <c r="J38" s="120"/>
      <c r="K38" s="120"/>
      <c r="L38" s="120"/>
    </row>
    <row r="39" spans="1:12" ht="19" customHeight="1" x14ac:dyDescent="0.35">
      <c r="A39" s="120"/>
      <c r="B39" s="120"/>
      <c r="C39" s="120"/>
      <c r="D39" s="120"/>
      <c r="E39" s="120"/>
      <c r="F39" s="120"/>
      <c r="G39" s="120"/>
      <c r="H39" s="120"/>
      <c r="I39" s="120"/>
      <c r="J39" s="120"/>
      <c r="K39" s="120"/>
      <c r="L39" s="120"/>
    </row>
    <row r="40" spans="1:12" ht="19" customHeight="1" x14ac:dyDescent="0.35">
      <c r="A40" s="120"/>
      <c r="B40" s="120"/>
      <c r="C40" s="120"/>
      <c r="D40" s="120"/>
      <c r="E40" s="120"/>
      <c r="F40" s="120"/>
      <c r="G40" s="120"/>
      <c r="H40" s="120"/>
      <c r="I40" s="120"/>
      <c r="J40" s="120"/>
      <c r="K40" s="120"/>
      <c r="L40" s="120"/>
    </row>
    <row r="41" spans="1:12" ht="19" customHeight="1" x14ac:dyDescent="0.35">
      <c r="A41" s="120"/>
      <c r="B41" s="120"/>
      <c r="C41" s="120"/>
      <c r="D41" s="120"/>
      <c r="E41" s="120"/>
      <c r="F41" s="120"/>
      <c r="G41" s="120"/>
      <c r="H41" s="120"/>
      <c r="I41" s="120"/>
      <c r="J41" s="120"/>
      <c r="K41" s="120"/>
      <c r="L41" s="120"/>
    </row>
    <row r="42" spans="1:12" ht="19" customHeight="1" x14ac:dyDescent="0.35">
      <c r="A42" s="120"/>
      <c r="B42" s="120"/>
      <c r="C42" s="120"/>
      <c r="D42" s="120"/>
      <c r="E42" s="120"/>
      <c r="F42" s="120"/>
      <c r="G42" s="120"/>
      <c r="H42" s="120"/>
      <c r="I42" s="120"/>
      <c r="J42" s="120"/>
      <c r="K42" s="120"/>
      <c r="L42" s="120"/>
    </row>
    <row r="43" spans="1:12" ht="19" customHeight="1" x14ac:dyDescent="0.35">
      <c r="A43" s="120"/>
      <c r="B43" s="120"/>
      <c r="C43" s="120"/>
      <c r="D43" s="120"/>
      <c r="E43" s="120"/>
      <c r="F43" s="120"/>
      <c r="G43" s="120"/>
      <c r="H43" s="120"/>
      <c r="I43" s="120"/>
      <c r="J43" s="120"/>
      <c r="K43" s="120"/>
      <c r="L43" s="120"/>
    </row>
    <row r="44" spans="1:12" ht="19" customHeight="1" x14ac:dyDescent="0.35">
      <c r="A44" s="120"/>
      <c r="B44" s="120"/>
      <c r="C44" s="120"/>
      <c r="D44" s="120"/>
      <c r="E44" s="120"/>
      <c r="F44" s="120"/>
      <c r="G44" s="120"/>
      <c r="H44" s="120"/>
      <c r="I44" s="120"/>
      <c r="J44" s="120"/>
      <c r="K44" s="120"/>
      <c r="L44" s="120"/>
    </row>
    <row r="45" spans="1:12" ht="19" customHeight="1" x14ac:dyDescent="0.35">
      <c r="A45" s="120"/>
      <c r="B45" s="120"/>
      <c r="C45" s="120"/>
      <c r="D45" s="120"/>
      <c r="E45" s="120"/>
      <c r="F45" s="120"/>
      <c r="G45" s="120"/>
      <c r="H45" s="120"/>
      <c r="I45" s="120"/>
      <c r="J45" s="120"/>
      <c r="K45" s="120"/>
      <c r="L45" s="120"/>
    </row>
    <row r="46" spans="1:12" ht="19" customHeight="1" x14ac:dyDescent="0.35">
      <c r="A46" s="120"/>
      <c r="B46" s="120"/>
      <c r="C46" s="120"/>
      <c r="D46" s="120"/>
      <c r="E46" s="120"/>
      <c r="F46" s="120"/>
      <c r="G46" s="120"/>
      <c r="H46" s="120"/>
      <c r="I46" s="120"/>
      <c r="J46" s="120"/>
      <c r="K46" s="120"/>
      <c r="L46" s="120"/>
    </row>
    <row r="47" spans="1:12" ht="19" customHeight="1" x14ac:dyDescent="0.35">
      <c r="A47" s="120"/>
      <c r="B47" s="120"/>
      <c r="C47" s="120"/>
      <c r="D47" s="120"/>
      <c r="E47" s="120"/>
      <c r="F47" s="120"/>
      <c r="G47" s="120"/>
      <c r="H47" s="120"/>
      <c r="I47" s="120"/>
      <c r="J47" s="120"/>
      <c r="K47" s="120"/>
      <c r="L47" s="120"/>
    </row>
    <row r="48" spans="1:12" ht="19" customHeight="1" x14ac:dyDescent="0.35">
      <c r="A48" s="120"/>
      <c r="B48" s="120"/>
      <c r="C48" s="120"/>
      <c r="D48" s="120"/>
      <c r="E48" s="120"/>
      <c r="F48" s="120"/>
      <c r="G48" s="120"/>
      <c r="H48" s="120"/>
      <c r="I48" s="120"/>
      <c r="J48" s="120"/>
      <c r="K48" s="120"/>
      <c r="L48" s="120"/>
    </row>
    <row r="49" spans="1:12" ht="19" customHeight="1" x14ac:dyDescent="0.35">
      <c r="A49" s="120"/>
      <c r="B49" s="120"/>
      <c r="C49" s="120"/>
      <c r="D49" s="120"/>
      <c r="E49" s="120"/>
      <c r="F49" s="120"/>
      <c r="G49" s="120"/>
      <c r="H49" s="120"/>
      <c r="I49" s="120"/>
      <c r="J49" s="120"/>
      <c r="K49" s="120"/>
      <c r="L49" s="120"/>
    </row>
    <row r="50" spans="1:12" ht="19" customHeight="1" x14ac:dyDescent="0.35">
      <c r="A50" s="120"/>
      <c r="B50" s="120"/>
      <c r="C50" s="120"/>
      <c r="D50" s="120"/>
      <c r="E50" s="120"/>
      <c r="F50" s="120"/>
      <c r="G50" s="120"/>
      <c r="H50" s="120"/>
      <c r="I50" s="120"/>
      <c r="J50" s="120"/>
      <c r="K50" s="120"/>
      <c r="L50" s="120"/>
    </row>
    <row r="51" spans="1:12" ht="19" customHeight="1" x14ac:dyDescent="0.35">
      <c r="A51" s="120"/>
      <c r="B51" s="120"/>
      <c r="C51" s="120"/>
      <c r="D51" s="120"/>
      <c r="E51" s="120"/>
      <c r="F51" s="120"/>
      <c r="G51" s="120"/>
      <c r="H51" s="120"/>
      <c r="I51" s="120"/>
      <c r="J51" s="120"/>
      <c r="K51" s="120"/>
      <c r="L51" s="120"/>
    </row>
    <row r="52" spans="1:12" ht="19" customHeight="1" x14ac:dyDescent="0.35">
      <c r="A52" s="120"/>
      <c r="B52" s="120"/>
      <c r="C52" s="120"/>
      <c r="D52" s="120"/>
      <c r="E52" s="120"/>
      <c r="F52" s="120"/>
      <c r="G52" s="120"/>
      <c r="H52" s="120"/>
      <c r="I52" s="120"/>
      <c r="J52" s="120"/>
      <c r="K52" s="120"/>
      <c r="L52" s="120"/>
    </row>
    <row r="53" spans="1:12" ht="19" customHeight="1" x14ac:dyDescent="0.35">
      <c r="A53" s="120"/>
      <c r="B53" s="120"/>
      <c r="C53" s="120"/>
      <c r="D53" s="120"/>
      <c r="E53" s="120"/>
      <c r="F53" s="120"/>
      <c r="G53" s="120"/>
      <c r="H53" s="120"/>
      <c r="I53" s="120"/>
      <c r="J53" s="120"/>
      <c r="K53" s="120"/>
      <c r="L53" s="120"/>
    </row>
    <row r="54" spans="1:12" ht="19" customHeight="1" x14ac:dyDescent="0.35">
      <c r="A54" s="120"/>
      <c r="B54" s="120"/>
      <c r="C54" s="120"/>
      <c r="D54" s="120"/>
      <c r="E54" s="120"/>
      <c r="F54" s="120"/>
      <c r="G54" s="120"/>
      <c r="H54" s="120"/>
      <c r="I54" s="120"/>
      <c r="J54" s="120"/>
      <c r="K54" s="120"/>
      <c r="L54" s="120"/>
    </row>
    <row r="55" spans="1:12" ht="19" customHeight="1" x14ac:dyDescent="0.35">
      <c r="A55" s="120"/>
      <c r="B55" s="120"/>
      <c r="C55" s="120"/>
      <c r="D55" s="120"/>
      <c r="E55" s="120"/>
      <c r="F55" s="120"/>
      <c r="G55" s="120"/>
      <c r="H55" s="120"/>
      <c r="I55" s="120"/>
      <c r="J55" s="120"/>
      <c r="K55" s="120"/>
      <c r="L55" s="120"/>
    </row>
    <row r="56" spans="1:12" ht="19" customHeight="1" x14ac:dyDescent="0.35">
      <c r="A56" s="120"/>
      <c r="B56" s="120"/>
      <c r="C56" s="120"/>
      <c r="D56" s="120"/>
      <c r="E56" s="120"/>
      <c r="F56" s="120"/>
      <c r="G56" s="120"/>
      <c r="H56" s="120"/>
      <c r="I56" s="120"/>
      <c r="J56" s="120"/>
      <c r="K56" s="120"/>
      <c r="L56" s="120"/>
    </row>
    <row r="57" spans="1:12" ht="19" customHeight="1" x14ac:dyDescent="0.35">
      <c r="A57" s="120"/>
      <c r="B57" s="120"/>
      <c r="C57" s="120"/>
      <c r="D57" s="120"/>
      <c r="E57" s="120"/>
      <c r="F57" s="120"/>
      <c r="G57" s="120"/>
      <c r="H57" s="120"/>
      <c r="I57" s="120"/>
      <c r="J57" s="120"/>
      <c r="K57" s="120"/>
      <c r="L57" s="120"/>
    </row>
    <row r="58" spans="1:12" ht="19" customHeight="1" x14ac:dyDescent="0.35">
      <c r="A58" s="120"/>
      <c r="B58" s="120"/>
      <c r="C58" s="120"/>
      <c r="D58" s="120"/>
      <c r="E58" s="120"/>
      <c r="F58" s="120"/>
      <c r="G58" s="120"/>
      <c r="H58" s="120"/>
      <c r="I58" s="120"/>
      <c r="J58" s="120"/>
      <c r="K58" s="120"/>
      <c r="L58" s="120"/>
    </row>
    <row r="59" spans="1:12" ht="19" customHeight="1" x14ac:dyDescent="0.35">
      <c r="A59" s="120"/>
      <c r="B59" s="120"/>
      <c r="C59" s="120"/>
      <c r="D59" s="120"/>
      <c r="E59" s="120"/>
      <c r="F59" s="120"/>
      <c r="G59" s="120"/>
      <c r="H59" s="120"/>
      <c r="I59" s="120"/>
      <c r="J59" s="120"/>
      <c r="K59" s="120"/>
      <c r="L59" s="120"/>
    </row>
    <row r="60" spans="1:12" ht="19" customHeight="1" x14ac:dyDescent="0.35">
      <c r="A60" s="120"/>
      <c r="B60" s="120"/>
      <c r="C60" s="120"/>
      <c r="D60" s="120"/>
      <c r="E60" s="120"/>
      <c r="F60" s="120"/>
      <c r="G60" s="120"/>
      <c r="H60" s="120"/>
      <c r="I60" s="120"/>
      <c r="J60" s="120"/>
      <c r="K60" s="120"/>
      <c r="L60" s="120"/>
    </row>
  </sheetData>
  <mergeCells count="3">
    <mergeCell ref="A1:L1"/>
    <mergeCell ref="A2:L2"/>
    <mergeCell ref="H13:J17"/>
  </mergeCells>
  <conditionalFormatting sqref="B12:B20">
    <cfRule type="dataBar" priority="1">
      <dataBar>
        <cfvo type="min"/>
        <cfvo type="max"/>
        <color rgb="FF638EC6"/>
      </dataBar>
      <extLst>
        <ext xmlns:x14="http://schemas.microsoft.com/office/spreadsheetml/2009/9/main" uri="{B025F937-C7B1-47D3-B67F-A62EFF666E3E}">
          <x14:id>{C2E4B019-EF09-4515-B3D5-5CDBB5ED33C4}</x14:id>
        </ext>
      </extLst>
    </cfRule>
  </conditionalFormatting>
  <dataValidations count="1">
    <dataValidation type="decimal" operator="greaterThanOrEqual" allowBlank="1" showInputMessage="1" showErrorMessage="1" errorTitle="Invalid input" error="Amount cannot be negative." promptTitle="Non-negative amount" prompt="Enter zero or a positive amount." sqref="B5:B8 I5:I8 E15:E19 E5:E11 B12:B20" xr:uid="{090FE352-816D-426E-959B-1A038786BDC6}">
      <formula1>0</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2E4B019-EF09-4515-B3D5-5CDBB5ED33C4}">
            <x14:dataBar minLength="0" maxLength="100" negativeBarColorSameAsPositive="1" axisPosition="none">
              <x14:cfvo type="min"/>
              <x14:cfvo type="max"/>
            </x14:dataBar>
          </x14:cfRule>
          <xm:sqref>B12:B20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D5DD-66E4-4701-8DC3-0B3629895930}">
  <dimension ref="A1:L60"/>
  <sheetViews>
    <sheetView workbookViewId="0">
      <selection activeCell="E7" sqref="E7"/>
    </sheetView>
  </sheetViews>
  <sheetFormatPr defaultRowHeight="14.5" x14ac:dyDescent="0.35"/>
  <cols>
    <col min="1" max="1" width="31.81640625" customWidth="1"/>
    <col min="2" max="2" width="17.26953125" customWidth="1"/>
    <col min="3" max="3" width="20" customWidth="1"/>
    <col min="4" max="4" width="28.1796875" customWidth="1"/>
    <col min="5" max="5" width="19.08984375" customWidth="1"/>
    <col min="6" max="7" width="3.26953125" customWidth="1"/>
    <col min="8" max="8" width="32.7265625" customWidth="1"/>
    <col min="9" max="10" width="16.36328125" customWidth="1"/>
    <col min="11" max="12" width="3.26953125" customWidth="1"/>
  </cols>
  <sheetData>
    <row r="1" spans="1:12" ht="28.5" x14ac:dyDescent="0.65">
      <c r="A1" s="318" t="s">
        <v>694</v>
      </c>
      <c r="B1" s="319"/>
      <c r="C1" s="319"/>
      <c r="D1" s="319"/>
      <c r="E1" s="319"/>
      <c r="F1" s="319"/>
      <c r="G1" s="319"/>
      <c r="H1" s="319"/>
      <c r="I1" s="319"/>
      <c r="J1" s="319"/>
      <c r="K1" s="319"/>
      <c r="L1" s="319"/>
    </row>
    <row r="2" spans="1:12" x14ac:dyDescent="0.35">
      <c r="A2" s="320" t="s">
        <v>695</v>
      </c>
      <c r="B2" s="321"/>
      <c r="C2" s="321"/>
      <c r="D2" s="321"/>
      <c r="E2" s="321"/>
      <c r="F2" s="321"/>
      <c r="G2" s="321"/>
      <c r="H2" s="321"/>
      <c r="I2" s="321"/>
      <c r="J2" s="321"/>
      <c r="K2" s="321"/>
      <c r="L2" s="321"/>
    </row>
    <row r="3" spans="1:12" x14ac:dyDescent="0.35">
      <c r="A3" s="120"/>
      <c r="B3" s="120"/>
      <c r="C3" s="120"/>
      <c r="D3" s="120"/>
      <c r="E3" s="120"/>
      <c r="F3" s="120"/>
      <c r="G3" s="120"/>
      <c r="H3" s="120"/>
      <c r="I3" s="120"/>
      <c r="J3" s="120"/>
      <c r="K3" s="120"/>
      <c r="L3" s="120"/>
    </row>
    <row r="4" spans="1:12" x14ac:dyDescent="0.35">
      <c r="A4" s="153" t="s">
        <v>456</v>
      </c>
      <c r="B4" s="153" t="s">
        <v>696</v>
      </c>
      <c r="C4" s="120"/>
      <c r="D4" s="153" t="s">
        <v>706</v>
      </c>
      <c r="E4" s="153" t="s">
        <v>638</v>
      </c>
      <c r="F4" s="120"/>
      <c r="G4" s="120"/>
      <c r="H4" s="153" t="s">
        <v>483</v>
      </c>
      <c r="I4" s="153"/>
      <c r="J4" s="153"/>
      <c r="K4" s="120"/>
      <c r="L4" s="120"/>
    </row>
    <row r="5" spans="1:12" x14ac:dyDescent="0.35">
      <c r="A5" s="120" t="s">
        <v>697</v>
      </c>
      <c r="B5" s="154">
        <v>40</v>
      </c>
      <c r="C5" s="120"/>
      <c r="D5" s="120" t="s">
        <v>707</v>
      </c>
      <c r="E5" s="157">
        <f>$B$7*MIN($B$8,MAX(0,$B$6-$B$5))</f>
        <v>31680000</v>
      </c>
      <c r="F5" s="120"/>
      <c r="G5" s="120"/>
      <c r="H5" s="322" t="str">
        <f>IF($B$6&lt;=$B$5,"Warning: Planned retirement age must be greater than current age.","1. The model suggests total term cover of about "&amp;TEXT($E$13,"₹#,##0")&amp;".")</f>
        <v>1. The model suggests total term cover of about ₹5,25,00,000.</v>
      </c>
      <c r="I5" s="322"/>
      <c r="J5" s="322"/>
      <c r="K5" s="120"/>
      <c r="L5" s="120"/>
    </row>
    <row r="6" spans="1:12" x14ac:dyDescent="0.35">
      <c r="A6" s="120" t="s">
        <v>698</v>
      </c>
      <c r="B6" s="154">
        <v>60</v>
      </c>
      <c r="C6" s="120"/>
      <c r="D6" s="120" t="s">
        <v>708</v>
      </c>
      <c r="E6" s="157">
        <f>$B$9</f>
        <v>5750000</v>
      </c>
      <c r="F6" s="120"/>
      <c r="G6" s="120"/>
      <c r="H6" s="322"/>
      <c r="I6" s="322"/>
      <c r="J6" s="322"/>
      <c r="K6" s="120"/>
      <c r="L6" s="120"/>
    </row>
    <row r="7" spans="1:12" x14ac:dyDescent="0.35">
      <c r="A7" s="120" t="s">
        <v>699</v>
      </c>
      <c r="B7" s="156">
        <v>2640000</v>
      </c>
      <c r="C7" s="120"/>
      <c r="D7" s="120" t="s">
        <v>709</v>
      </c>
      <c r="E7" s="157">
        <f>SUM(E18:E22)</f>
        <v>18105407.787089884</v>
      </c>
      <c r="F7" s="120"/>
      <c r="G7" s="120"/>
      <c r="H7" s="322"/>
      <c r="I7" s="322"/>
      <c r="J7" s="322"/>
      <c r="K7" s="120"/>
      <c r="L7" s="120"/>
    </row>
    <row r="8" spans="1:12" x14ac:dyDescent="0.35">
      <c r="A8" s="120" t="s">
        <v>883</v>
      </c>
      <c r="B8" s="156">
        <v>12</v>
      </c>
      <c r="C8" s="120"/>
      <c r="D8" s="120" t="s">
        <v>710</v>
      </c>
      <c r="E8" s="157">
        <f>$B$13</f>
        <v>500000</v>
      </c>
      <c r="F8" s="120"/>
      <c r="G8" s="120"/>
      <c r="H8" s="322"/>
      <c r="I8" s="322"/>
      <c r="J8" s="322"/>
      <c r="K8" s="120"/>
      <c r="L8" s="120"/>
    </row>
    <row r="9" spans="1:12" x14ac:dyDescent="0.35">
      <c r="A9" s="120" t="s">
        <v>700</v>
      </c>
      <c r="B9" s="156">
        <v>5750000</v>
      </c>
      <c r="C9" s="120"/>
      <c r="D9" s="120" t="s">
        <v>711</v>
      </c>
      <c r="E9" s="159">
        <f>SUM(E5:E8)</f>
        <v>56035407.787089884</v>
      </c>
      <c r="F9" s="120"/>
      <c r="G9" s="120"/>
      <c r="H9" s="322"/>
      <c r="I9" s="322"/>
      <c r="J9" s="322"/>
      <c r="K9" s="120"/>
      <c r="L9" s="120"/>
    </row>
    <row r="10" spans="1:12" x14ac:dyDescent="0.35">
      <c r="A10" s="120" t="s">
        <v>701</v>
      </c>
      <c r="B10" s="156">
        <v>2000000</v>
      </c>
      <c r="C10" s="120"/>
      <c r="D10" s="120" t="s">
        <v>712</v>
      </c>
      <c r="E10" s="159">
        <f>$B$11*(1-$B$12)</f>
        <v>3000000</v>
      </c>
      <c r="F10" s="120"/>
      <c r="G10" s="120"/>
      <c r="H10" s="120"/>
      <c r="I10" s="120"/>
      <c r="J10" s="120"/>
      <c r="K10" s="120"/>
      <c r="L10" s="120"/>
    </row>
    <row r="11" spans="1:12" x14ac:dyDescent="0.35">
      <c r="A11" s="120" t="s">
        <v>702</v>
      </c>
      <c r="B11" s="156">
        <v>4000000</v>
      </c>
      <c r="C11" s="120"/>
      <c r="D11" s="120" t="s">
        <v>713</v>
      </c>
      <c r="E11" s="159">
        <f>$B$10</f>
        <v>2000000</v>
      </c>
      <c r="F11" s="120"/>
      <c r="G11" s="120"/>
      <c r="H11" s="120"/>
      <c r="I11" s="120"/>
      <c r="J11" s="120"/>
      <c r="K11" s="120"/>
      <c r="L11" s="120"/>
    </row>
    <row r="12" spans="1:12" x14ac:dyDescent="0.35">
      <c r="A12" s="120" t="s">
        <v>703</v>
      </c>
      <c r="B12" s="162">
        <v>0.25</v>
      </c>
      <c r="C12" s="120"/>
      <c r="D12" s="120" t="s">
        <v>714</v>
      </c>
      <c r="E12" s="159">
        <f>MAX(0,E9-E10-E11)</f>
        <v>51035407.787089884</v>
      </c>
      <c r="F12" s="120"/>
      <c r="G12" s="120"/>
      <c r="H12" s="120"/>
      <c r="I12" s="120"/>
      <c r="J12" s="120"/>
      <c r="K12" s="120"/>
      <c r="L12" s="120"/>
    </row>
    <row r="13" spans="1:12" x14ac:dyDescent="0.35">
      <c r="A13" s="120" t="s">
        <v>704</v>
      </c>
      <c r="B13" s="156">
        <v>500000</v>
      </c>
      <c r="C13" s="120"/>
      <c r="D13" s="120" t="s">
        <v>715</v>
      </c>
      <c r="E13" s="159">
        <f>IF(OR($B$14=0,$B$14=""),E12,CEILING(E12,$B$14))</f>
        <v>52500000</v>
      </c>
      <c r="F13" s="120"/>
      <c r="G13" s="120"/>
      <c r="H13" s="120"/>
      <c r="I13" s="120"/>
      <c r="J13" s="120"/>
      <c r="K13" s="120"/>
      <c r="L13" s="120"/>
    </row>
    <row r="14" spans="1:12" x14ac:dyDescent="0.35">
      <c r="A14" s="120" t="s">
        <v>705</v>
      </c>
      <c r="B14" s="156">
        <v>2500000</v>
      </c>
      <c r="C14" s="120"/>
      <c r="D14" s="120" t="s">
        <v>716</v>
      </c>
      <c r="E14" s="163">
        <f>IFERROR(E13/$B$7,0)</f>
        <v>19.886363636363637</v>
      </c>
      <c r="F14" s="120"/>
      <c r="G14" s="120"/>
      <c r="H14" s="120" t="s">
        <v>884</v>
      </c>
      <c r="I14" s="120"/>
      <c r="J14" s="120"/>
      <c r="K14" s="120"/>
      <c r="L14" s="120"/>
    </row>
    <row r="15" spans="1:12" x14ac:dyDescent="0.35">
      <c r="A15" s="120"/>
      <c r="B15" s="120"/>
      <c r="C15" s="120"/>
      <c r="D15" s="120"/>
      <c r="E15" s="120"/>
      <c r="F15" s="120"/>
      <c r="G15" s="120"/>
      <c r="H15" s="120"/>
      <c r="I15" s="120"/>
      <c r="J15" s="120"/>
      <c r="K15" s="120"/>
      <c r="L15" s="120"/>
    </row>
    <row r="16" spans="1:12" x14ac:dyDescent="0.35">
      <c r="A16" s="120"/>
      <c r="B16" s="120"/>
      <c r="C16" s="120"/>
      <c r="D16" s="120"/>
      <c r="E16" s="120"/>
      <c r="F16" s="120"/>
      <c r="G16" s="120"/>
      <c r="H16" s="120"/>
      <c r="I16" s="120"/>
      <c r="J16" s="120"/>
      <c r="K16" s="120"/>
      <c r="L16" s="120"/>
    </row>
    <row r="17" spans="1:12" x14ac:dyDescent="0.35">
      <c r="A17" s="153" t="s">
        <v>717</v>
      </c>
      <c r="B17" s="153" t="s">
        <v>718</v>
      </c>
      <c r="C17" s="153" t="s">
        <v>719</v>
      </c>
      <c r="D17" s="153" t="s">
        <v>720</v>
      </c>
      <c r="E17" s="153" t="s">
        <v>721</v>
      </c>
      <c r="F17" s="120"/>
      <c r="G17" s="120"/>
      <c r="H17" s="120"/>
      <c r="I17" s="120"/>
      <c r="J17" s="120"/>
      <c r="K17" s="120"/>
      <c r="L17" s="120"/>
    </row>
    <row r="18" spans="1:12" x14ac:dyDescent="0.35">
      <c r="A18" s="154" t="s">
        <v>722</v>
      </c>
      <c r="B18" s="154">
        <v>10</v>
      </c>
      <c r="C18" s="156">
        <v>3000000</v>
      </c>
      <c r="D18" s="164">
        <f>'Common Assumptions'!$B$5/100</f>
        <v>0.06</v>
      </c>
      <c r="E18" s="157">
        <f>C18*(1+D18)^B18</f>
        <v>5372543.0896285642</v>
      </c>
      <c r="F18" s="120"/>
      <c r="G18" s="120"/>
      <c r="H18" s="120"/>
      <c r="I18" s="120"/>
      <c r="J18" s="120"/>
      <c r="K18" s="120"/>
      <c r="L18" s="120"/>
    </row>
    <row r="19" spans="1:12" x14ac:dyDescent="0.35">
      <c r="A19" s="154" t="s">
        <v>723</v>
      </c>
      <c r="B19" s="154">
        <v>15</v>
      </c>
      <c r="C19" s="156">
        <v>2500000</v>
      </c>
      <c r="D19" s="164">
        <f>'Common Assumptions'!$B$5/100</f>
        <v>0.06</v>
      </c>
      <c r="E19" s="157">
        <f>C19*(1+D19)^B19</f>
        <v>5991395.4827492312</v>
      </c>
      <c r="F19" s="120"/>
      <c r="G19" s="120"/>
      <c r="H19" s="120"/>
      <c r="I19" s="120"/>
      <c r="J19" s="120"/>
      <c r="K19" s="120"/>
      <c r="L19" s="120"/>
    </row>
    <row r="20" spans="1:12" x14ac:dyDescent="0.35">
      <c r="A20" s="154" t="s">
        <v>724</v>
      </c>
      <c r="B20" s="154">
        <v>10</v>
      </c>
      <c r="C20" s="156">
        <v>1000000</v>
      </c>
      <c r="D20" s="164">
        <f>'Common Assumptions'!$B$5/100</f>
        <v>0.06</v>
      </c>
      <c r="E20" s="157">
        <f>C20*(1+D20)^B20</f>
        <v>1790847.6965428547</v>
      </c>
      <c r="F20" s="120"/>
      <c r="G20" s="120"/>
      <c r="H20" s="120"/>
      <c r="I20" s="120"/>
      <c r="J20" s="120"/>
      <c r="K20" s="120"/>
      <c r="L20" s="120"/>
    </row>
    <row r="21" spans="1:12" x14ac:dyDescent="0.35">
      <c r="A21" s="154" t="s">
        <v>725</v>
      </c>
      <c r="B21" s="154">
        <v>18</v>
      </c>
      <c r="C21" s="156">
        <v>1500000</v>
      </c>
      <c r="D21" s="164">
        <f>'Common Assumptions'!$B$5/100</f>
        <v>0.06</v>
      </c>
      <c r="E21" s="157">
        <f>C21*(1+D21)^B21</f>
        <v>4281508.7293692343</v>
      </c>
      <c r="F21" s="120"/>
      <c r="G21" s="120"/>
      <c r="H21" s="120"/>
      <c r="I21" s="120"/>
      <c r="J21" s="120"/>
      <c r="K21" s="120"/>
      <c r="L21" s="120"/>
    </row>
    <row r="22" spans="1:12" x14ac:dyDescent="0.35">
      <c r="A22" s="154" t="s">
        <v>726</v>
      </c>
      <c r="B22" s="154">
        <v>5</v>
      </c>
      <c r="C22" s="156">
        <v>500000</v>
      </c>
      <c r="D22" s="164">
        <f>'Common Assumptions'!$B$5/100</f>
        <v>0.06</v>
      </c>
      <c r="E22" s="157">
        <f>C22*(1+D22)^B22</f>
        <v>669112.78880000021</v>
      </c>
      <c r="F22" s="120"/>
      <c r="G22" s="120"/>
      <c r="H22" s="120"/>
      <c r="I22" s="120"/>
      <c r="J22" s="120"/>
      <c r="K22" s="120"/>
      <c r="L22" s="120"/>
    </row>
    <row r="23" spans="1:12" x14ac:dyDescent="0.35">
      <c r="A23" s="120" t="s">
        <v>727</v>
      </c>
      <c r="B23" s="120"/>
      <c r="C23" s="120"/>
      <c r="D23" s="120"/>
      <c r="E23" s="159">
        <f>SUM(E18:E22)</f>
        <v>18105407.787089884</v>
      </c>
      <c r="F23" s="120"/>
      <c r="G23" s="120"/>
      <c r="H23" s="120"/>
      <c r="I23" s="120"/>
      <c r="J23" s="120"/>
      <c r="K23" s="120"/>
      <c r="L23" s="120"/>
    </row>
    <row r="24" spans="1:12" ht="19" customHeight="1" x14ac:dyDescent="0.35">
      <c r="A24" s="120"/>
      <c r="B24" s="120"/>
      <c r="C24" s="120"/>
      <c r="D24" s="120"/>
      <c r="E24" s="120"/>
      <c r="F24" s="120"/>
      <c r="G24" s="120"/>
      <c r="H24" s="120"/>
      <c r="I24" s="120"/>
      <c r="J24" s="120"/>
      <c r="K24" s="120"/>
      <c r="L24" s="120"/>
    </row>
    <row r="25" spans="1:12" ht="19" customHeight="1" x14ac:dyDescent="0.35">
      <c r="A25" s="120"/>
      <c r="B25" s="120"/>
      <c r="C25" s="120"/>
      <c r="D25" s="120"/>
      <c r="E25" s="120"/>
      <c r="F25" s="120"/>
      <c r="G25" s="120"/>
      <c r="H25" s="120"/>
      <c r="I25" s="120"/>
      <c r="J25" s="120"/>
      <c r="K25" s="120"/>
      <c r="L25" s="120"/>
    </row>
    <row r="26" spans="1:12" ht="19" customHeight="1" x14ac:dyDescent="0.35">
      <c r="A26" s="120"/>
      <c r="B26" s="120"/>
      <c r="C26" s="120"/>
      <c r="D26" s="120"/>
      <c r="E26" s="120"/>
      <c r="F26" s="120"/>
      <c r="G26" s="120"/>
      <c r="H26" s="120"/>
      <c r="I26" s="120"/>
      <c r="J26" s="120"/>
      <c r="K26" s="120"/>
      <c r="L26" s="120"/>
    </row>
    <row r="27" spans="1:12" ht="19" customHeight="1" x14ac:dyDescent="0.35">
      <c r="A27" s="120"/>
      <c r="B27" s="120"/>
      <c r="C27" s="120"/>
      <c r="D27" s="120"/>
      <c r="E27" s="120"/>
      <c r="F27" s="120"/>
      <c r="G27" s="120"/>
      <c r="H27" s="120"/>
      <c r="I27" s="120"/>
      <c r="J27" s="120"/>
      <c r="K27" s="120"/>
      <c r="L27" s="120"/>
    </row>
    <row r="28" spans="1:12" ht="19" customHeight="1" x14ac:dyDescent="0.35">
      <c r="A28" s="120"/>
      <c r="B28" s="120"/>
      <c r="C28" s="120"/>
      <c r="D28" s="120"/>
      <c r="E28" s="120"/>
      <c r="F28" s="120"/>
      <c r="G28" s="120"/>
      <c r="H28" s="120"/>
      <c r="I28" s="120"/>
      <c r="J28" s="120"/>
      <c r="K28" s="120"/>
      <c r="L28" s="120"/>
    </row>
    <row r="29" spans="1:12" ht="19" customHeight="1" x14ac:dyDescent="0.35">
      <c r="A29" s="120"/>
      <c r="B29" s="120"/>
      <c r="C29" s="120"/>
      <c r="D29" s="120"/>
      <c r="E29" s="120"/>
      <c r="F29" s="120"/>
      <c r="G29" s="120"/>
      <c r="H29" s="120"/>
      <c r="I29" s="120"/>
      <c r="J29" s="120"/>
      <c r="K29" s="120"/>
      <c r="L29" s="120"/>
    </row>
    <row r="30" spans="1:12" ht="19" customHeight="1" x14ac:dyDescent="0.35">
      <c r="A30" s="120"/>
      <c r="B30" s="120"/>
      <c r="C30" s="120"/>
      <c r="D30" s="120"/>
      <c r="E30" s="120"/>
      <c r="F30" s="120"/>
      <c r="G30" s="120"/>
      <c r="H30" s="120"/>
      <c r="I30" s="120"/>
      <c r="J30" s="120"/>
      <c r="K30" s="120"/>
      <c r="L30" s="120"/>
    </row>
    <row r="31" spans="1:12" ht="19" customHeight="1" x14ac:dyDescent="0.35">
      <c r="A31" s="120"/>
      <c r="B31" s="120"/>
      <c r="C31" s="120"/>
      <c r="D31" s="120"/>
      <c r="E31" s="120"/>
      <c r="F31" s="120"/>
      <c r="G31" s="120"/>
      <c r="H31" s="120"/>
      <c r="I31" s="120"/>
      <c r="J31" s="120"/>
      <c r="K31" s="120"/>
      <c r="L31" s="120"/>
    </row>
    <row r="32" spans="1:12" ht="19" customHeight="1" x14ac:dyDescent="0.35">
      <c r="A32" s="120"/>
      <c r="B32" s="120"/>
      <c r="C32" s="120"/>
      <c r="D32" s="120"/>
      <c r="E32" s="120"/>
      <c r="F32" s="120"/>
      <c r="G32" s="120"/>
      <c r="H32" s="120"/>
      <c r="I32" s="120"/>
      <c r="J32" s="120"/>
      <c r="K32" s="120"/>
      <c r="L32" s="120"/>
    </row>
    <row r="33" spans="1:12" ht="19" customHeight="1" x14ac:dyDescent="0.35">
      <c r="A33" s="120"/>
      <c r="B33" s="120"/>
      <c r="C33" s="120"/>
      <c r="D33" s="120"/>
      <c r="E33" s="120"/>
      <c r="F33" s="120"/>
      <c r="G33" s="120"/>
      <c r="H33" s="120"/>
      <c r="I33" s="120"/>
      <c r="J33" s="120"/>
      <c r="K33" s="120"/>
      <c r="L33" s="120"/>
    </row>
    <row r="34" spans="1:12" ht="19" customHeight="1" x14ac:dyDescent="0.35">
      <c r="A34" s="120"/>
      <c r="B34" s="120"/>
      <c r="C34" s="120"/>
      <c r="D34" s="120"/>
      <c r="E34" s="120"/>
      <c r="F34" s="120"/>
      <c r="G34" s="120"/>
      <c r="H34" s="120"/>
      <c r="I34" s="120"/>
      <c r="J34" s="120"/>
      <c r="K34" s="120"/>
      <c r="L34" s="120"/>
    </row>
    <row r="35" spans="1:12" ht="19" customHeight="1" x14ac:dyDescent="0.35">
      <c r="A35" s="120"/>
      <c r="B35" s="120"/>
      <c r="C35" s="120"/>
      <c r="D35" s="120"/>
      <c r="E35" s="120"/>
      <c r="F35" s="120"/>
      <c r="G35" s="120"/>
      <c r="H35" s="120"/>
      <c r="I35" s="120"/>
      <c r="J35" s="120"/>
      <c r="K35" s="120"/>
      <c r="L35" s="120"/>
    </row>
    <row r="36" spans="1:12" ht="19" customHeight="1" x14ac:dyDescent="0.35">
      <c r="A36" s="120"/>
      <c r="B36" s="120"/>
      <c r="C36" s="120"/>
      <c r="D36" s="120"/>
      <c r="E36" s="120"/>
      <c r="F36" s="120"/>
      <c r="G36" s="120"/>
      <c r="H36" s="120"/>
      <c r="I36" s="120"/>
      <c r="J36" s="120"/>
      <c r="K36" s="120"/>
      <c r="L36" s="120"/>
    </row>
    <row r="37" spans="1:12" ht="19" customHeight="1" x14ac:dyDescent="0.35">
      <c r="A37" s="120"/>
      <c r="B37" s="120"/>
      <c r="C37" s="120"/>
      <c r="D37" s="120"/>
      <c r="E37" s="120"/>
      <c r="F37" s="120"/>
      <c r="G37" s="120"/>
      <c r="H37" s="120"/>
      <c r="I37" s="120"/>
      <c r="J37" s="120"/>
      <c r="K37" s="120"/>
      <c r="L37" s="120"/>
    </row>
    <row r="38" spans="1:12" ht="19" customHeight="1" x14ac:dyDescent="0.35">
      <c r="A38" s="120"/>
      <c r="B38" s="120"/>
      <c r="C38" s="120"/>
      <c r="D38" s="120"/>
      <c r="E38" s="120"/>
      <c r="F38" s="120"/>
      <c r="G38" s="120"/>
      <c r="H38" s="120"/>
      <c r="I38" s="120"/>
      <c r="J38" s="120"/>
      <c r="K38" s="120"/>
      <c r="L38" s="120"/>
    </row>
    <row r="39" spans="1:12" ht="19" customHeight="1" x14ac:dyDescent="0.35">
      <c r="A39" s="120"/>
      <c r="B39" s="120"/>
      <c r="C39" s="120"/>
      <c r="D39" s="120"/>
      <c r="E39" s="120"/>
      <c r="F39" s="120"/>
      <c r="G39" s="120"/>
      <c r="H39" s="120"/>
      <c r="I39" s="120"/>
      <c r="J39" s="120"/>
      <c r="K39" s="120"/>
      <c r="L39" s="120"/>
    </row>
    <row r="40" spans="1:12" ht="19" customHeight="1" x14ac:dyDescent="0.35">
      <c r="A40" s="120"/>
      <c r="B40" s="120"/>
      <c r="C40" s="120"/>
      <c r="D40" s="120"/>
      <c r="E40" s="120"/>
      <c r="F40" s="120"/>
      <c r="G40" s="120"/>
      <c r="H40" s="120"/>
      <c r="I40" s="120"/>
      <c r="J40" s="120"/>
      <c r="K40" s="120"/>
      <c r="L40" s="120"/>
    </row>
    <row r="41" spans="1:12" ht="19" customHeight="1" x14ac:dyDescent="0.35">
      <c r="A41" s="120"/>
      <c r="B41" s="120"/>
      <c r="C41" s="120"/>
      <c r="D41" s="120"/>
      <c r="E41" s="120"/>
      <c r="F41" s="120"/>
      <c r="G41" s="120"/>
      <c r="H41" s="120"/>
      <c r="I41" s="120"/>
      <c r="J41" s="120"/>
      <c r="K41" s="120"/>
      <c r="L41" s="120"/>
    </row>
    <row r="42" spans="1:12" ht="19" customHeight="1" x14ac:dyDescent="0.35">
      <c r="A42" s="120"/>
      <c r="B42" s="120"/>
      <c r="C42" s="120"/>
      <c r="D42" s="120"/>
      <c r="E42" s="120"/>
      <c r="F42" s="120"/>
      <c r="G42" s="120"/>
      <c r="H42" s="120"/>
      <c r="I42" s="120"/>
      <c r="J42" s="120"/>
      <c r="K42" s="120"/>
      <c r="L42" s="120"/>
    </row>
    <row r="43" spans="1:12" ht="19" customHeight="1" x14ac:dyDescent="0.35">
      <c r="A43" s="120"/>
      <c r="B43" s="120"/>
      <c r="C43" s="120"/>
      <c r="D43" s="120"/>
      <c r="E43" s="120"/>
      <c r="F43" s="120"/>
      <c r="G43" s="120"/>
      <c r="H43" s="120"/>
      <c r="I43" s="120"/>
      <c r="J43" s="120"/>
      <c r="K43" s="120"/>
      <c r="L43" s="120"/>
    </row>
    <row r="44" spans="1:12" ht="19" customHeight="1" x14ac:dyDescent="0.35">
      <c r="A44" s="120"/>
      <c r="B44" s="120"/>
      <c r="C44" s="120"/>
      <c r="D44" s="120"/>
      <c r="E44" s="120"/>
      <c r="F44" s="120"/>
      <c r="G44" s="120"/>
      <c r="H44" s="120"/>
      <c r="I44" s="120"/>
      <c r="J44" s="120"/>
      <c r="K44" s="120"/>
      <c r="L44" s="120"/>
    </row>
    <row r="45" spans="1:12" ht="19" customHeight="1" x14ac:dyDescent="0.35">
      <c r="A45" s="120"/>
      <c r="B45" s="120"/>
      <c r="C45" s="120"/>
      <c r="D45" s="120"/>
      <c r="E45" s="120"/>
      <c r="F45" s="120"/>
      <c r="G45" s="120"/>
      <c r="H45" s="120"/>
      <c r="I45" s="120"/>
      <c r="J45" s="120"/>
      <c r="K45" s="120"/>
      <c r="L45" s="120"/>
    </row>
    <row r="46" spans="1:12" ht="19" customHeight="1" x14ac:dyDescent="0.35">
      <c r="A46" s="120"/>
      <c r="B46" s="120"/>
      <c r="C46" s="120"/>
      <c r="D46" s="120"/>
      <c r="E46" s="120"/>
      <c r="F46" s="120"/>
      <c r="G46" s="120"/>
      <c r="H46" s="120"/>
      <c r="I46" s="120"/>
      <c r="J46" s="120"/>
      <c r="K46" s="120"/>
      <c r="L46" s="120"/>
    </row>
    <row r="47" spans="1:12" ht="19" customHeight="1" x14ac:dyDescent="0.35">
      <c r="A47" s="120"/>
      <c r="B47" s="120"/>
      <c r="C47" s="120"/>
      <c r="D47" s="120"/>
      <c r="E47" s="120"/>
      <c r="F47" s="120"/>
      <c r="G47" s="120"/>
      <c r="H47" s="120"/>
      <c r="I47" s="120"/>
      <c r="J47" s="120"/>
      <c r="K47" s="120"/>
      <c r="L47" s="120"/>
    </row>
    <row r="48" spans="1:12" ht="19" customHeight="1" x14ac:dyDescent="0.35">
      <c r="A48" s="120"/>
      <c r="B48" s="120"/>
      <c r="C48" s="120"/>
      <c r="D48" s="120"/>
      <c r="E48" s="120"/>
      <c r="F48" s="120"/>
      <c r="G48" s="120"/>
      <c r="H48" s="120"/>
      <c r="I48" s="120"/>
      <c r="J48" s="120"/>
      <c r="K48" s="120"/>
      <c r="L48" s="120"/>
    </row>
    <row r="49" spans="1:12" ht="19" customHeight="1" x14ac:dyDescent="0.35">
      <c r="A49" s="120"/>
      <c r="B49" s="120"/>
      <c r="C49" s="120"/>
      <c r="D49" s="120"/>
      <c r="E49" s="120"/>
      <c r="F49" s="120"/>
      <c r="G49" s="120"/>
      <c r="H49" s="120"/>
      <c r="I49" s="120"/>
      <c r="J49" s="120"/>
      <c r="K49" s="120"/>
      <c r="L49" s="120"/>
    </row>
    <row r="50" spans="1:12" ht="19" customHeight="1" x14ac:dyDescent="0.35">
      <c r="A50" s="120"/>
      <c r="B50" s="120"/>
      <c r="C50" s="120"/>
      <c r="D50" s="120"/>
      <c r="E50" s="120"/>
      <c r="F50" s="120"/>
      <c r="G50" s="120"/>
      <c r="H50" s="120"/>
      <c r="I50" s="120"/>
      <c r="J50" s="120"/>
      <c r="K50" s="120"/>
      <c r="L50" s="120"/>
    </row>
    <row r="51" spans="1:12" ht="19" customHeight="1" x14ac:dyDescent="0.35">
      <c r="A51" s="120"/>
      <c r="B51" s="120"/>
      <c r="C51" s="120"/>
      <c r="D51" s="120"/>
      <c r="E51" s="120"/>
      <c r="F51" s="120"/>
      <c r="G51" s="120"/>
      <c r="H51" s="120"/>
      <c r="I51" s="120"/>
      <c r="J51" s="120"/>
      <c r="K51" s="120"/>
      <c r="L51" s="120"/>
    </row>
    <row r="52" spans="1:12" ht="19" customHeight="1" x14ac:dyDescent="0.35">
      <c r="A52" s="120"/>
      <c r="B52" s="120"/>
      <c r="C52" s="120"/>
      <c r="D52" s="120"/>
      <c r="E52" s="120"/>
      <c r="F52" s="120"/>
      <c r="G52" s="120"/>
      <c r="H52" s="120"/>
      <c r="I52" s="120"/>
      <c r="J52" s="120"/>
      <c r="K52" s="120"/>
      <c r="L52" s="120"/>
    </row>
    <row r="53" spans="1:12" ht="19" customHeight="1" x14ac:dyDescent="0.35">
      <c r="A53" s="120"/>
      <c r="B53" s="120"/>
      <c r="C53" s="120"/>
      <c r="D53" s="120"/>
      <c r="E53" s="120"/>
      <c r="F53" s="120"/>
      <c r="G53" s="120"/>
      <c r="H53" s="120"/>
      <c r="I53" s="120"/>
      <c r="J53" s="120"/>
      <c r="K53" s="120"/>
      <c r="L53" s="120"/>
    </row>
    <row r="54" spans="1:12" ht="19" customHeight="1" x14ac:dyDescent="0.35">
      <c r="A54" s="120"/>
      <c r="B54" s="120"/>
      <c r="C54" s="120"/>
      <c r="D54" s="120"/>
      <c r="E54" s="120"/>
      <c r="F54" s="120"/>
      <c r="G54" s="120"/>
      <c r="H54" s="120"/>
      <c r="I54" s="120"/>
      <c r="J54" s="120"/>
      <c r="K54" s="120"/>
      <c r="L54" s="120"/>
    </row>
    <row r="55" spans="1:12" ht="19" customHeight="1" x14ac:dyDescent="0.35">
      <c r="A55" s="120"/>
      <c r="B55" s="120"/>
      <c r="C55" s="120"/>
      <c r="D55" s="120"/>
      <c r="E55" s="120"/>
      <c r="F55" s="120"/>
      <c r="G55" s="120"/>
      <c r="H55" s="120"/>
      <c r="I55" s="120"/>
      <c r="J55" s="120"/>
      <c r="K55" s="120"/>
      <c r="L55" s="120"/>
    </row>
    <row r="56" spans="1:12" ht="19" customHeight="1" x14ac:dyDescent="0.35">
      <c r="A56" s="120"/>
      <c r="B56" s="120"/>
      <c r="C56" s="120"/>
      <c r="D56" s="120"/>
      <c r="E56" s="120"/>
      <c r="F56" s="120"/>
      <c r="G56" s="120"/>
      <c r="H56" s="120"/>
      <c r="I56" s="120"/>
      <c r="J56" s="120"/>
      <c r="K56" s="120"/>
      <c r="L56" s="120"/>
    </row>
    <row r="57" spans="1:12" ht="19" customHeight="1" x14ac:dyDescent="0.35">
      <c r="A57" s="120"/>
      <c r="B57" s="120"/>
      <c r="C57" s="120"/>
      <c r="D57" s="120"/>
      <c r="E57" s="120"/>
      <c r="F57" s="120"/>
      <c r="G57" s="120"/>
      <c r="H57" s="120"/>
      <c r="I57" s="120"/>
      <c r="J57" s="120"/>
      <c r="K57" s="120"/>
      <c r="L57" s="120"/>
    </row>
    <row r="58" spans="1:12" ht="19" customHeight="1" x14ac:dyDescent="0.35">
      <c r="A58" s="120"/>
      <c r="B58" s="120"/>
      <c r="C58" s="120"/>
      <c r="D58" s="120"/>
      <c r="E58" s="120"/>
      <c r="F58" s="120"/>
      <c r="G58" s="120"/>
      <c r="H58" s="120"/>
      <c r="I58" s="120"/>
      <c r="J58" s="120"/>
      <c r="K58" s="120"/>
      <c r="L58" s="120"/>
    </row>
    <row r="59" spans="1:12" ht="19" customHeight="1" x14ac:dyDescent="0.35">
      <c r="A59" s="120"/>
      <c r="B59" s="120"/>
      <c r="C59" s="120"/>
      <c r="D59" s="120"/>
      <c r="E59" s="120"/>
      <c r="F59" s="120"/>
      <c r="G59" s="120"/>
      <c r="H59" s="120"/>
      <c r="I59" s="120"/>
      <c r="J59" s="120"/>
      <c r="K59" s="120"/>
      <c r="L59" s="120"/>
    </row>
    <row r="60" spans="1:12" ht="19" customHeight="1" x14ac:dyDescent="0.35">
      <c r="A60" s="120"/>
      <c r="B60" s="120"/>
      <c r="C60" s="120"/>
      <c r="D60" s="120"/>
      <c r="E60" s="120"/>
      <c r="F60" s="120"/>
      <c r="G60" s="120"/>
      <c r="H60" s="120"/>
      <c r="I60" s="120"/>
      <c r="J60" s="120"/>
      <c r="K60" s="120"/>
      <c r="L60" s="120"/>
    </row>
  </sheetData>
  <mergeCells count="3">
    <mergeCell ref="A1:L1"/>
    <mergeCell ref="A2:L2"/>
    <mergeCell ref="H5:J9"/>
  </mergeCells>
  <conditionalFormatting sqref="E18:E22">
    <cfRule type="dataBar" priority="1">
      <dataBar>
        <cfvo type="min"/>
        <cfvo type="max"/>
        <color rgb="FF638EC6"/>
      </dataBar>
      <extLst>
        <ext xmlns:x14="http://schemas.microsoft.com/office/spreadsheetml/2009/9/main" uri="{B025F937-C7B1-47D3-B67F-A62EFF666E3E}">
          <x14:id>{8418E8B0-566F-4DFE-8AA4-22EA2EF582EE}</x14:id>
        </ext>
      </extLst>
    </cfRule>
  </conditionalFormatting>
  <dataValidations count="4">
    <dataValidation type="whole" allowBlank="1" showInputMessage="1" showErrorMessage="1" errorTitle="Invalid input" error="Age must be 18 to 100." promptTitle="Age" prompt="Enter a whole-number age from 18 to 100." sqref="B5:B6" xr:uid="{56AE5488-E8DA-4A4F-8055-6DEA4507E784}">
      <formula1>18</formula1>
      <formula2>100</formula2>
    </dataValidation>
    <dataValidation type="decimal" allowBlank="1" showInputMessage="1" showErrorMessage="1" errorTitle="Invalid input" error="Use a value from 0 to 100." promptTitle="Income years" prompt="Enter zero to 100 years of income." sqref="B8" xr:uid="{BC5264CF-135E-476D-945E-E58784CEE3F2}">
      <formula1>0</formula1>
      <formula2>100</formula2>
    </dataValidation>
    <dataValidation type="decimal" operator="greaterThanOrEqual" allowBlank="1" showInputMessage="1" showErrorMessage="1" errorTitle="Invalid input" error="Value cannot be negative." promptTitle="Non-negative input" prompt="Enter zero or a positive value." sqref="B7 B18:C22 B13:B14 B9:B11" xr:uid="{F563FC6F-F379-4DD7-8F52-F70CEF08E896}">
      <formula1>0</formula1>
    </dataValidation>
    <dataValidation type="decimal" allowBlank="1" showInputMessage="1" showErrorMessage="1" errorTitle="Invalid input" error="Use a value from 0 to 1." promptTitle="Reserved assets" prompt="Enter a decimal from 0 to 1." sqref="B12" xr:uid="{EEB83A59-C915-4407-8D7C-B640F89EB318}">
      <formula1>0</formula1>
      <formula2>1</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418E8B0-566F-4DFE-8AA4-22EA2EF582EE}">
            <x14:dataBar minLength="0" maxLength="100" negativeBarColorSameAsPositive="1" axisPosition="none">
              <x14:cfvo type="min"/>
              <x14:cfvo type="max"/>
            </x14:dataBar>
          </x14:cfRule>
          <xm:sqref>E18:E22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1696A-FFDB-4449-A7AD-3B4A6AB56629}">
  <dimension ref="A1:L60"/>
  <sheetViews>
    <sheetView workbookViewId="0">
      <selection activeCell="A5" sqref="A5:A9"/>
    </sheetView>
  </sheetViews>
  <sheetFormatPr defaultRowHeight="14.5" x14ac:dyDescent="0.35"/>
  <cols>
    <col min="1" max="1" width="30" customWidth="1"/>
    <col min="2" max="2" width="17.26953125" customWidth="1"/>
    <col min="3" max="3" width="3.26953125" customWidth="1"/>
    <col min="4" max="4" width="19.08984375" customWidth="1"/>
    <col min="5" max="5" width="18.1796875" customWidth="1"/>
    <col min="6" max="7" width="14.54296875" customWidth="1"/>
    <col min="8" max="9" width="19.08984375" customWidth="1"/>
    <col min="10" max="10" width="15.453125" customWidth="1"/>
    <col min="11" max="12" width="3.26953125" customWidth="1"/>
  </cols>
  <sheetData>
    <row r="1" spans="1:12" ht="28.5" x14ac:dyDescent="0.65">
      <c r="A1" s="318" t="s">
        <v>728</v>
      </c>
      <c r="B1" s="319"/>
      <c r="C1" s="319"/>
      <c r="D1" s="319"/>
      <c r="E1" s="319"/>
      <c r="F1" s="319"/>
      <c r="G1" s="319"/>
      <c r="H1" s="319"/>
      <c r="I1" s="319"/>
      <c r="J1" s="319"/>
      <c r="K1" s="319"/>
      <c r="L1" s="319"/>
    </row>
    <row r="2" spans="1:12" x14ac:dyDescent="0.35">
      <c r="A2" s="320" t="s">
        <v>729</v>
      </c>
      <c r="B2" s="321"/>
      <c r="C2" s="321"/>
      <c r="D2" s="321"/>
      <c r="E2" s="321"/>
      <c r="F2" s="321"/>
      <c r="G2" s="321"/>
      <c r="H2" s="321"/>
      <c r="I2" s="321"/>
      <c r="J2" s="321"/>
      <c r="K2" s="321"/>
      <c r="L2" s="321"/>
    </row>
    <row r="3" spans="1:12" x14ac:dyDescent="0.35">
      <c r="A3" s="120"/>
      <c r="B3" s="120"/>
      <c r="C3" s="120"/>
      <c r="D3" s="120"/>
      <c r="E3" s="120"/>
      <c r="F3" s="120"/>
      <c r="G3" s="120"/>
      <c r="H3" s="120"/>
      <c r="I3" s="120"/>
      <c r="J3" s="120"/>
      <c r="K3" s="120"/>
      <c r="L3" s="120"/>
    </row>
    <row r="4" spans="1:12" x14ac:dyDescent="0.35">
      <c r="A4" s="153" t="s">
        <v>730</v>
      </c>
      <c r="B4" s="153" t="s">
        <v>696</v>
      </c>
      <c r="C4" s="120"/>
      <c r="D4" s="153" t="s">
        <v>736</v>
      </c>
      <c r="E4" s="153" t="s">
        <v>737</v>
      </c>
      <c r="F4" s="153" t="s">
        <v>738</v>
      </c>
      <c r="G4" s="153" t="s">
        <v>739</v>
      </c>
      <c r="H4" s="153" t="s">
        <v>740</v>
      </c>
      <c r="I4" s="153" t="s">
        <v>741</v>
      </c>
      <c r="J4" s="153" t="s">
        <v>742</v>
      </c>
      <c r="K4" s="120"/>
      <c r="L4" s="120"/>
    </row>
    <row r="5" spans="1:12" x14ac:dyDescent="0.35">
      <c r="A5" s="120" t="s">
        <v>731</v>
      </c>
      <c r="B5" s="154">
        <v>15</v>
      </c>
      <c r="C5" s="120"/>
      <c r="D5" s="120" t="s">
        <v>743</v>
      </c>
      <c r="E5" s="156">
        <v>1900000</v>
      </c>
      <c r="F5" s="165">
        <f>IF($B$9=0,"No portfolio value",E5/$B$9)</f>
        <v>0.52777777777777779</v>
      </c>
      <c r="G5" s="165">
        <f>$B$10</f>
        <v>0.70000000000000007</v>
      </c>
      <c r="H5" s="159">
        <f>$B$9*G5</f>
        <v>2520000.0000000005</v>
      </c>
      <c r="I5" s="159">
        <f>H5-E5</f>
        <v>620000.00000000047</v>
      </c>
      <c r="J5" s="155" t="str">
        <f>IF($B$9=0,"Enter portfolio values",IF(ABS(IFERROR(F5,0)-G5)&lt;$B$8,"Hold",IF(I5&gt;0,"Buy","Reduce")))</f>
        <v>Buy</v>
      </c>
      <c r="K5" s="120"/>
      <c r="L5" s="120"/>
    </row>
    <row r="6" spans="1:12" x14ac:dyDescent="0.35">
      <c r="A6" s="120" t="s">
        <v>732</v>
      </c>
      <c r="B6" s="154">
        <v>3</v>
      </c>
      <c r="C6" s="120"/>
      <c r="D6" s="120" t="s">
        <v>744</v>
      </c>
      <c r="E6" s="156">
        <v>1100000</v>
      </c>
      <c r="F6" s="165">
        <f>IF($B$9=0,"No portfolio value",E6/$B$9)</f>
        <v>0.30555555555555558</v>
      </c>
      <c r="G6" s="165">
        <f>MAX(0.1,1-$B$10-0.1)</f>
        <v>0.19999999999999993</v>
      </c>
      <c r="H6" s="159">
        <f>$B$9*G6</f>
        <v>719999.99999999977</v>
      </c>
      <c r="I6" s="159">
        <f>H6-E6</f>
        <v>-380000.00000000023</v>
      </c>
      <c r="J6" s="155" t="str">
        <f>IF($B$9=0,"Enter portfolio values",IF(ABS(IFERROR(F6,0)-G6)&lt;$B$8,"Hold",IF(I6&gt;0,"Buy","Reduce")))</f>
        <v>Reduce</v>
      </c>
      <c r="K6" s="120"/>
      <c r="L6" s="120"/>
    </row>
    <row r="7" spans="1:12" x14ac:dyDescent="0.35">
      <c r="A7" s="120" t="s">
        <v>733</v>
      </c>
      <c r="B7" s="154" t="s">
        <v>467</v>
      </c>
      <c r="C7" s="120"/>
      <c r="D7" s="120" t="s">
        <v>665</v>
      </c>
      <c r="E7" s="156">
        <v>300000</v>
      </c>
      <c r="F7" s="165">
        <f>IF($B$9=0,"No portfolio value",E7/$B$9)</f>
        <v>8.3333333333333329E-2</v>
      </c>
      <c r="G7" s="165">
        <v>0.05</v>
      </c>
      <c r="H7" s="159">
        <f>$B$9*G7</f>
        <v>180000</v>
      </c>
      <c r="I7" s="159">
        <f>H7-E7</f>
        <v>-120000</v>
      </c>
      <c r="J7" s="155" t="str">
        <f>IF($B$9=0,"Enter portfolio values",IF(ABS(IFERROR(F7,0)-G7)&lt;$B$8,"Hold",IF(I7&gt;0,"Buy","Reduce")))</f>
        <v>Hold</v>
      </c>
      <c r="K7" s="120"/>
      <c r="L7" s="120"/>
    </row>
    <row r="8" spans="1:12" x14ac:dyDescent="0.35">
      <c r="A8" s="120" t="s">
        <v>734</v>
      </c>
      <c r="B8" s="162">
        <v>0.05</v>
      </c>
      <c r="C8" s="120"/>
      <c r="D8" s="120" t="s">
        <v>745</v>
      </c>
      <c r="E8" s="156">
        <v>300000</v>
      </c>
      <c r="F8" s="165">
        <f>IF($B$9=0,"No portfolio value",E8/$B$9)</f>
        <v>8.3333333333333329E-2</v>
      </c>
      <c r="G8" s="165">
        <v>0.05</v>
      </c>
      <c r="H8" s="159">
        <f>$B$9*G8</f>
        <v>180000</v>
      </c>
      <c r="I8" s="159">
        <f>H8-E8</f>
        <v>-120000</v>
      </c>
      <c r="J8" s="155" t="str">
        <f>IF($B$9=0,"Enter portfolio values",IF(ABS(IFERROR(F8,0)-G8)&lt;$B$8,"Hold",IF(I8&gt;0,"Buy","Reduce")))</f>
        <v>Hold</v>
      </c>
      <c r="K8" s="120"/>
      <c r="L8" s="120"/>
    </row>
    <row r="9" spans="1:12" x14ac:dyDescent="0.35">
      <c r="A9" s="120" t="s">
        <v>735</v>
      </c>
      <c r="B9" s="159">
        <f>SUM(E5:E8)</f>
        <v>3600000</v>
      </c>
      <c r="C9" s="120"/>
      <c r="D9" s="120" t="s">
        <v>727</v>
      </c>
      <c r="E9" s="157">
        <f>SUM(E5:E8)</f>
        <v>3600000</v>
      </c>
      <c r="F9" s="165">
        <f>SUM(F5:F8)</f>
        <v>1</v>
      </c>
      <c r="G9" s="165">
        <f>SUM(G5:G8)</f>
        <v>1</v>
      </c>
      <c r="H9" s="159">
        <f>SUM(H5:H8)</f>
        <v>3600000</v>
      </c>
      <c r="I9" s="159">
        <f>SUM(I5:I8)</f>
        <v>2.3283064365386963E-10</v>
      </c>
      <c r="J9" s="155"/>
      <c r="K9" s="120"/>
      <c r="L9" s="120"/>
    </row>
    <row r="10" spans="1:12" x14ac:dyDescent="0.35">
      <c r="A10" s="120" t="s">
        <v>885</v>
      </c>
      <c r="B10" s="165">
        <f>MAX(0.2,MIN(0.8,0.25+0.1*B6+IF(B5&gt;=10,0.15,IF(B5&gt;=5,0.05,-0.1))-IF(B7="Yes",0,0.1)))</f>
        <v>0.70000000000000007</v>
      </c>
      <c r="C10" s="120"/>
      <c r="D10" s="120"/>
      <c r="E10" s="120"/>
      <c r="F10" s="120"/>
      <c r="G10" s="120"/>
      <c r="H10" s="120"/>
      <c r="I10" s="120"/>
      <c r="J10" s="120"/>
      <c r="K10" s="120"/>
      <c r="L10" s="120"/>
    </row>
    <row r="11" spans="1:12" x14ac:dyDescent="0.35">
      <c r="A11" s="120"/>
      <c r="B11" s="120"/>
      <c r="C11" s="120"/>
      <c r="D11" s="120"/>
      <c r="E11" s="120"/>
      <c r="F11" s="120"/>
      <c r="G11" s="120"/>
      <c r="H11" s="120"/>
      <c r="I11" s="120"/>
      <c r="J11" s="120"/>
      <c r="K11" s="120"/>
      <c r="L11" s="120"/>
    </row>
    <row r="12" spans="1:12" x14ac:dyDescent="0.35">
      <c r="A12" s="120" t="s">
        <v>886</v>
      </c>
      <c r="B12" s="120"/>
      <c r="C12" s="120"/>
      <c r="D12" s="153" t="s">
        <v>483</v>
      </c>
      <c r="E12" s="153"/>
      <c r="F12" s="153"/>
      <c r="G12" s="153"/>
      <c r="H12" s="153"/>
      <c r="I12" s="153"/>
      <c r="J12" s="153"/>
      <c r="K12" s="120"/>
      <c r="L12" s="120"/>
    </row>
    <row r="13" spans="1:12" x14ac:dyDescent="0.35">
      <c r="A13" s="120" t="s">
        <v>887</v>
      </c>
      <c r="B13" s="120"/>
      <c r="C13" s="120"/>
      <c r="D13" s="322" t="str">
        <f>IF($B$9=0,"No portfolio value. Enter current holdings to calculate the mix.","1. Your current equity weight is "&amp;TEXT(F5,"0%")&amp;" versus a "&amp;TEXT(G5,"0%")&amp;" illustrative reference for this horizon and risk score.")</f>
        <v>1. Your current equity weight is 53% versus a 70% illustrative reference for this horizon and risk score.</v>
      </c>
      <c r="E13" s="322"/>
      <c r="F13" s="322"/>
      <c r="G13" s="322"/>
      <c r="H13" s="322"/>
      <c r="I13" s="322"/>
      <c r="J13" s="322"/>
      <c r="K13" s="120"/>
      <c r="L13" s="120"/>
    </row>
    <row r="14" spans="1:12" x14ac:dyDescent="0.35">
      <c r="A14" s="120"/>
      <c r="B14" s="120"/>
      <c r="C14" s="120"/>
      <c r="D14" s="322"/>
      <c r="E14" s="322"/>
      <c r="F14" s="322"/>
      <c r="G14" s="322"/>
      <c r="H14" s="322"/>
      <c r="I14" s="322"/>
      <c r="J14" s="322"/>
      <c r="K14" s="120"/>
      <c r="L14" s="120"/>
    </row>
    <row r="15" spans="1:12" x14ac:dyDescent="0.35">
      <c r="A15" s="120"/>
      <c r="B15" s="120"/>
      <c r="C15" s="120"/>
      <c r="D15" s="322"/>
      <c r="E15" s="322"/>
      <c r="F15" s="322"/>
      <c r="G15" s="322"/>
      <c r="H15" s="322"/>
      <c r="I15" s="322"/>
      <c r="J15" s="322"/>
      <c r="K15" s="120"/>
      <c r="L15" s="120"/>
    </row>
    <row r="16" spans="1:12" x14ac:dyDescent="0.35">
      <c r="A16" s="120"/>
      <c r="B16" s="120"/>
      <c r="C16" s="120"/>
      <c r="D16" s="322"/>
      <c r="E16" s="322"/>
      <c r="F16" s="322"/>
      <c r="G16" s="322"/>
      <c r="H16" s="322"/>
      <c r="I16" s="322"/>
      <c r="J16" s="322"/>
      <c r="K16" s="120"/>
      <c r="L16" s="120"/>
    </row>
    <row r="17" spans="1:12" ht="19" customHeight="1" x14ac:dyDescent="0.35">
      <c r="A17" s="120"/>
      <c r="B17" s="120"/>
      <c r="C17" s="120"/>
      <c r="D17" s="120"/>
      <c r="E17" s="120"/>
      <c r="F17" s="120"/>
      <c r="G17" s="120"/>
      <c r="H17" s="120"/>
      <c r="I17" s="120"/>
      <c r="J17" s="120"/>
      <c r="K17" s="120"/>
      <c r="L17" s="120"/>
    </row>
    <row r="18" spans="1:12" ht="19" customHeight="1" x14ac:dyDescent="0.35">
      <c r="A18" s="120"/>
      <c r="B18" s="120"/>
      <c r="C18" s="120"/>
      <c r="D18" s="120"/>
      <c r="E18" s="120"/>
      <c r="F18" s="120"/>
      <c r="G18" s="120"/>
      <c r="H18" s="120"/>
      <c r="I18" s="120"/>
      <c r="J18" s="120"/>
      <c r="K18" s="120"/>
      <c r="L18" s="120"/>
    </row>
    <row r="19" spans="1:12" ht="19" customHeight="1" x14ac:dyDescent="0.35">
      <c r="A19" s="120"/>
      <c r="B19" s="120"/>
      <c r="C19" s="120"/>
      <c r="D19" s="120"/>
      <c r="E19" s="120"/>
      <c r="F19" s="120"/>
      <c r="G19" s="120"/>
      <c r="H19" s="120"/>
      <c r="I19" s="120"/>
      <c r="J19" s="120"/>
      <c r="K19" s="120"/>
      <c r="L19" s="120"/>
    </row>
    <row r="20" spans="1:12" ht="19" customHeight="1" x14ac:dyDescent="0.35">
      <c r="A20" s="120"/>
      <c r="B20" s="120"/>
      <c r="C20" s="120"/>
      <c r="D20" s="120"/>
      <c r="E20" s="120"/>
      <c r="F20" s="120"/>
      <c r="G20" s="120"/>
      <c r="H20" s="120"/>
      <c r="I20" s="120"/>
      <c r="J20" s="120"/>
      <c r="K20" s="120"/>
      <c r="L20" s="120"/>
    </row>
    <row r="21" spans="1:12" ht="19" customHeight="1" x14ac:dyDescent="0.35">
      <c r="A21" s="120"/>
      <c r="B21" s="120"/>
      <c r="C21" s="120"/>
      <c r="D21" s="120"/>
      <c r="E21" s="120"/>
      <c r="F21" s="120"/>
      <c r="G21" s="120"/>
      <c r="H21" s="120"/>
      <c r="I21" s="120"/>
      <c r="J21" s="120"/>
      <c r="K21" s="120"/>
      <c r="L21" s="120"/>
    </row>
    <row r="22" spans="1:12" ht="19" customHeight="1" x14ac:dyDescent="0.35">
      <c r="A22" s="120"/>
      <c r="B22" s="120"/>
      <c r="C22" s="120"/>
      <c r="D22" s="120"/>
      <c r="E22" s="120"/>
      <c r="F22" s="120"/>
      <c r="G22" s="120"/>
      <c r="H22" s="120"/>
      <c r="I22" s="120"/>
      <c r="J22" s="120"/>
      <c r="K22" s="120"/>
      <c r="L22" s="120"/>
    </row>
    <row r="23" spans="1:12" ht="19" customHeight="1" x14ac:dyDescent="0.35">
      <c r="A23" s="120"/>
      <c r="B23" s="120"/>
      <c r="C23" s="120"/>
      <c r="D23" s="120"/>
      <c r="E23" s="120"/>
      <c r="F23" s="120"/>
      <c r="G23" s="120"/>
      <c r="H23" s="120"/>
      <c r="I23" s="120"/>
      <c r="J23" s="120"/>
      <c r="K23" s="120"/>
      <c r="L23" s="120"/>
    </row>
    <row r="24" spans="1:12" ht="19" customHeight="1" x14ac:dyDescent="0.35">
      <c r="A24" s="120"/>
      <c r="B24" s="120"/>
      <c r="C24" s="120"/>
      <c r="D24" s="120"/>
      <c r="E24" s="120"/>
      <c r="F24" s="120"/>
      <c r="G24" s="120"/>
      <c r="H24" s="120"/>
      <c r="I24" s="120"/>
      <c r="J24" s="120"/>
      <c r="K24" s="120"/>
      <c r="L24" s="120"/>
    </row>
    <row r="25" spans="1:12" ht="19" customHeight="1" x14ac:dyDescent="0.35">
      <c r="A25" s="120"/>
      <c r="B25" s="120"/>
      <c r="C25" s="120"/>
      <c r="D25" s="120"/>
      <c r="E25" s="120"/>
      <c r="F25" s="120"/>
      <c r="G25" s="120"/>
      <c r="H25" s="120"/>
      <c r="I25" s="120"/>
      <c r="J25" s="120"/>
      <c r="K25" s="120"/>
      <c r="L25" s="120"/>
    </row>
    <row r="26" spans="1:12" ht="19" customHeight="1" x14ac:dyDescent="0.35">
      <c r="A26" s="120"/>
      <c r="B26" s="120"/>
      <c r="C26" s="120"/>
      <c r="D26" s="120"/>
      <c r="E26" s="120"/>
      <c r="F26" s="120"/>
      <c r="G26" s="120"/>
      <c r="H26" s="120"/>
      <c r="I26" s="120"/>
      <c r="J26" s="120"/>
      <c r="K26" s="120"/>
      <c r="L26" s="120"/>
    </row>
    <row r="27" spans="1:12" ht="19" customHeight="1" x14ac:dyDescent="0.35">
      <c r="A27" s="120"/>
      <c r="B27" s="120"/>
      <c r="C27" s="120"/>
      <c r="D27" s="120"/>
      <c r="E27" s="120"/>
      <c r="F27" s="120"/>
      <c r="G27" s="120"/>
      <c r="H27" s="120"/>
      <c r="I27" s="120"/>
      <c r="J27" s="120"/>
      <c r="K27" s="120"/>
      <c r="L27" s="120"/>
    </row>
    <row r="28" spans="1:12" ht="19" customHeight="1" x14ac:dyDescent="0.35">
      <c r="A28" s="120"/>
      <c r="B28" s="120"/>
      <c r="C28" s="120"/>
      <c r="D28" s="120"/>
      <c r="E28" s="120"/>
      <c r="F28" s="120"/>
      <c r="G28" s="120"/>
      <c r="H28" s="120"/>
      <c r="I28" s="120"/>
      <c r="J28" s="120"/>
      <c r="K28" s="120"/>
      <c r="L28" s="120"/>
    </row>
    <row r="29" spans="1:12" ht="19" customHeight="1" x14ac:dyDescent="0.35">
      <c r="A29" s="120"/>
      <c r="B29" s="120"/>
      <c r="C29" s="120"/>
      <c r="D29" s="120"/>
      <c r="E29" s="120"/>
      <c r="F29" s="120"/>
      <c r="G29" s="120"/>
      <c r="H29" s="120"/>
      <c r="I29" s="120"/>
      <c r="J29" s="120"/>
      <c r="K29" s="120"/>
      <c r="L29" s="120"/>
    </row>
    <row r="30" spans="1:12" ht="19" customHeight="1" x14ac:dyDescent="0.35">
      <c r="A30" s="120"/>
      <c r="B30" s="120"/>
      <c r="C30" s="120"/>
      <c r="D30" s="120"/>
      <c r="E30" s="120"/>
      <c r="F30" s="120"/>
      <c r="G30" s="120"/>
      <c r="H30" s="120"/>
      <c r="I30" s="120"/>
      <c r="J30" s="120"/>
      <c r="K30" s="120"/>
      <c r="L30" s="120"/>
    </row>
    <row r="31" spans="1:12" ht="19" customHeight="1" x14ac:dyDescent="0.35">
      <c r="A31" s="120"/>
      <c r="B31" s="120"/>
      <c r="C31" s="120"/>
      <c r="D31" s="120"/>
      <c r="E31" s="120"/>
      <c r="F31" s="120"/>
      <c r="G31" s="120"/>
      <c r="H31" s="120"/>
      <c r="I31" s="120"/>
      <c r="J31" s="120"/>
      <c r="K31" s="120"/>
      <c r="L31" s="120"/>
    </row>
    <row r="32" spans="1:12" ht="19" customHeight="1" x14ac:dyDescent="0.35">
      <c r="A32" s="120"/>
      <c r="B32" s="120"/>
      <c r="C32" s="120"/>
      <c r="D32" s="120"/>
      <c r="E32" s="120"/>
      <c r="F32" s="120"/>
      <c r="G32" s="120"/>
      <c r="H32" s="120"/>
      <c r="I32" s="120"/>
      <c r="J32" s="120"/>
      <c r="K32" s="120"/>
      <c r="L32" s="120"/>
    </row>
    <row r="33" spans="1:12" ht="19" customHeight="1" x14ac:dyDescent="0.35">
      <c r="A33" s="120"/>
      <c r="B33" s="120"/>
      <c r="C33" s="120"/>
      <c r="D33" s="120"/>
      <c r="E33" s="120"/>
      <c r="F33" s="120"/>
      <c r="G33" s="120"/>
      <c r="H33" s="120"/>
      <c r="I33" s="120"/>
      <c r="J33" s="120"/>
      <c r="K33" s="120"/>
      <c r="L33" s="120"/>
    </row>
    <row r="34" spans="1:12" ht="19" customHeight="1" x14ac:dyDescent="0.35">
      <c r="A34" s="120"/>
      <c r="B34" s="120"/>
      <c r="C34" s="120"/>
      <c r="D34" s="120"/>
      <c r="E34" s="120"/>
      <c r="F34" s="120"/>
      <c r="G34" s="120"/>
      <c r="H34" s="120"/>
      <c r="I34" s="120"/>
      <c r="J34" s="120"/>
      <c r="K34" s="120"/>
      <c r="L34" s="120"/>
    </row>
    <row r="35" spans="1:12" ht="19" customHeight="1" x14ac:dyDescent="0.35">
      <c r="A35" s="120"/>
      <c r="B35" s="120"/>
      <c r="C35" s="120"/>
      <c r="D35" s="120"/>
      <c r="E35" s="120"/>
      <c r="F35" s="120"/>
      <c r="G35" s="120"/>
      <c r="H35" s="120"/>
      <c r="I35" s="120"/>
      <c r="J35" s="120"/>
      <c r="K35" s="120"/>
      <c r="L35" s="120"/>
    </row>
    <row r="36" spans="1:12" ht="19" customHeight="1" x14ac:dyDescent="0.35">
      <c r="A36" s="120"/>
      <c r="B36" s="120"/>
      <c r="C36" s="120"/>
      <c r="D36" s="120"/>
      <c r="E36" s="120"/>
      <c r="F36" s="120"/>
      <c r="G36" s="120"/>
      <c r="H36" s="120"/>
      <c r="I36" s="120"/>
      <c r="J36" s="120"/>
      <c r="K36" s="120"/>
      <c r="L36" s="120"/>
    </row>
    <row r="37" spans="1:12" ht="19" customHeight="1" x14ac:dyDescent="0.35">
      <c r="A37" s="120"/>
      <c r="B37" s="120"/>
      <c r="C37" s="120"/>
      <c r="D37" s="120"/>
      <c r="E37" s="120"/>
      <c r="F37" s="120"/>
      <c r="G37" s="120"/>
      <c r="H37" s="120"/>
      <c r="I37" s="120"/>
      <c r="J37" s="120"/>
      <c r="K37" s="120"/>
      <c r="L37" s="120"/>
    </row>
    <row r="38" spans="1:12" ht="19" customHeight="1" x14ac:dyDescent="0.35">
      <c r="A38" s="120"/>
      <c r="B38" s="120"/>
      <c r="C38" s="120"/>
      <c r="D38" s="120"/>
      <c r="E38" s="120"/>
      <c r="F38" s="120"/>
      <c r="G38" s="120"/>
      <c r="H38" s="120"/>
      <c r="I38" s="120"/>
      <c r="J38" s="120"/>
      <c r="K38" s="120"/>
      <c r="L38" s="120"/>
    </row>
    <row r="39" spans="1:12" ht="19" customHeight="1" x14ac:dyDescent="0.35">
      <c r="A39" s="120"/>
      <c r="B39" s="120"/>
      <c r="C39" s="120"/>
      <c r="D39" s="120"/>
      <c r="E39" s="120"/>
      <c r="F39" s="120"/>
      <c r="G39" s="120"/>
      <c r="H39" s="120"/>
      <c r="I39" s="120"/>
      <c r="J39" s="120"/>
      <c r="K39" s="120"/>
      <c r="L39" s="120"/>
    </row>
    <row r="40" spans="1:12" ht="19" customHeight="1" x14ac:dyDescent="0.35">
      <c r="A40" s="120"/>
      <c r="B40" s="120"/>
      <c r="C40" s="120"/>
      <c r="D40" s="120"/>
      <c r="E40" s="120"/>
      <c r="F40" s="120"/>
      <c r="G40" s="120"/>
      <c r="H40" s="120"/>
      <c r="I40" s="120"/>
      <c r="J40" s="120"/>
      <c r="K40" s="120"/>
      <c r="L40" s="120"/>
    </row>
    <row r="41" spans="1:12" ht="19" customHeight="1" x14ac:dyDescent="0.35">
      <c r="A41" s="120"/>
      <c r="B41" s="120"/>
      <c r="C41" s="120"/>
      <c r="D41" s="120"/>
      <c r="E41" s="120"/>
      <c r="F41" s="120"/>
      <c r="G41" s="120"/>
      <c r="H41" s="120"/>
      <c r="I41" s="120"/>
      <c r="J41" s="120"/>
      <c r="K41" s="120"/>
      <c r="L41" s="120"/>
    </row>
    <row r="42" spans="1:12" ht="19" customHeight="1" x14ac:dyDescent="0.35">
      <c r="A42" s="120"/>
      <c r="B42" s="120"/>
      <c r="C42" s="120"/>
      <c r="D42" s="120"/>
      <c r="E42" s="120"/>
      <c r="F42" s="120"/>
      <c r="G42" s="120"/>
      <c r="H42" s="120"/>
      <c r="I42" s="120"/>
      <c r="J42" s="120"/>
      <c r="K42" s="120"/>
      <c r="L42" s="120"/>
    </row>
    <row r="43" spans="1:12" ht="19" customHeight="1" x14ac:dyDescent="0.35">
      <c r="A43" s="120"/>
      <c r="B43" s="120"/>
      <c r="C43" s="120"/>
      <c r="D43" s="120"/>
      <c r="E43" s="120"/>
      <c r="F43" s="120"/>
      <c r="G43" s="120"/>
      <c r="H43" s="120"/>
      <c r="I43" s="120"/>
      <c r="J43" s="120"/>
      <c r="K43" s="120"/>
      <c r="L43" s="120"/>
    </row>
    <row r="44" spans="1:12" ht="19" customHeight="1" x14ac:dyDescent="0.35">
      <c r="A44" s="120"/>
      <c r="B44" s="120"/>
      <c r="C44" s="120"/>
      <c r="D44" s="120"/>
      <c r="E44" s="120"/>
      <c r="F44" s="120"/>
      <c r="G44" s="120"/>
      <c r="H44" s="120"/>
      <c r="I44" s="120"/>
      <c r="J44" s="120"/>
      <c r="K44" s="120"/>
      <c r="L44" s="120"/>
    </row>
    <row r="45" spans="1:12" ht="19" customHeight="1" x14ac:dyDescent="0.35">
      <c r="A45" s="120"/>
      <c r="B45" s="120"/>
      <c r="C45" s="120"/>
      <c r="D45" s="120"/>
      <c r="E45" s="120"/>
      <c r="F45" s="120"/>
      <c r="G45" s="120"/>
      <c r="H45" s="120"/>
      <c r="I45" s="120"/>
      <c r="J45" s="120"/>
      <c r="K45" s="120"/>
      <c r="L45" s="120"/>
    </row>
    <row r="46" spans="1:12" ht="19" customHeight="1" x14ac:dyDescent="0.35">
      <c r="A46" s="120"/>
      <c r="B46" s="120"/>
      <c r="C46" s="120"/>
      <c r="D46" s="120"/>
      <c r="E46" s="120"/>
      <c r="F46" s="120"/>
      <c r="G46" s="120"/>
      <c r="H46" s="120"/>
      <c r="I46" s="120"/>
      <c r="J46" s="120"/>
      <c r="K46" s="120"/>
      <c r="L46" s="120"/>
    </row>
    <row r="47" spans="1:12" ht="19" customHeight="1" x14ac:dyDescent="0.35">
      <c r="A47" s="120"/>
      <c r="B47" s="120"/>
      <c r="C47" s="120"/>
      <c r="D47" s="120"/>
      <c r="E47" s="120"/>
      <c r="F47" s="120"/>
      <c r="G47" s="120"/>
      <c r="H47" s="120"/>
      <c r="I47" s="120"/>
      <c r="J47" s="120"/>
      <c r="K47" s="120"/>
      <c r="L47" s="120"/>
    </row>
    <row r="48" spans="1:12" ht="19" customHeight="1" x14ac:dyDescent="0.35">
      <c r="A48" s="120"/>
      <c r="B48" s="120"/>
      <c r="C48" s="120"/>
      <c r="D48" s="120"/>
      <c r="E48" s="120"/>
      <c r="F48" s="120"/>
      <c r="G48" s="120"/>
      <c r="H48" s="120"/>
      <c r="I48" s="120"/>
      <c r="J48" s="120"/>
      <c r="K48" s="120"/>
      <c r="L48" s="120"/>
    </row>
    <row r="49" spans="1:12" ht="19" customHeight="1" x14ac:dyDescent="0.35">
      <c r="A49" s="120"/>
      <c r="B49" s="120"/>
      <c r="C49" s="120"/>
      <c r="D49" s="120"/>
      <c r="E49" s="120"/>
      <c r="F49" s="120"/>
      <c r="G49" s="120"/>
      <c r="H49" s="120"/>
      <c r="I49" s="120"/>
      <c r="J49" s="120"/>
      <c r="K49" s="120"/>
      <c r="L49" s="120"/>
    </row>
    <row r="50" spans="1:12" ht="19" customHeight="1" x14ac:dyDescent="0.35">
      <c r="A50" s="120"/>
      <c r="B50" s="120"/>
      <c r="C50" s="120"/>
      <c r="D50" s="120"/>
      <c r="E50" s="120"/>
      <c r="F50" s="120"/>
      <c r="G50" s="120"/>
      <c r="H50" s="120"/>
      <c r="I50" s="120"/>
      <c r="J50" s="120"/>
      <c r="K50" s="120"/>
      <c r="L50" s="120"/>
    </row>
    <row r="51" spans="1:12" ht="19" customHeight="1" x14ac:dyDescent="0.35">
      <c r="A51" s="120"/>
      <c r="B51" s="120"/>
      <c r="C51" s="120"/>
      <c r="D51" s="120"/>
      <c r="E51" s="120"/>
      <c r="F51" s="120"/>
      <c r="G51" s="120"/>
      <c r="H51" s="120"/>
      <c r="I51" s="120"/>
      <c r="J51" s="120"/>
      <c r="K51" s="120"/>
      <c r="L51" s="120"/>
    </row>
    <row r="52" spans="1:12" ht="19" customHeight="1" x14ac:dyDescent="0.35">
      <c r="A52" s="120"/>
      <c r="B52" s="120"/>
      <c r="C52" s="120"/>
      <c r="D52" s="120"/>
      <c r="E52" s="120"/>
      <c r="F52" s="120"/>
      <c r="G52" s="120"/>
      <c r="H52" s="120"/>
      <c r="I52" s="120"/>
      <c r="J52" s="120"/>
      <c r="K52" s="120"/>
      <c r="L52" s="120"/>
    </row>
    <row r="53" spans="1:12" ht="19" customHeight="1" x14ac:dyDescent="0.35">
      <c r="A53" s="120"/>
      <c r="B53" s="120"/>
      <c r="C53" s="120"/>
      <c r="D53" s="120"/>
      <c r="E53" s="120"/>
      <c r="F53" s="120"/>
      <c r="G53" s="120"/>
      <c r="H53" s="120"/>
      <c r="I53" s="120"/>
      <c r="J53" s="120"/>
      <c r="K53" s="120"/>
      <c r="L53" s="120"/>
    </row>
    <row r="54" spans="1:12" ht="19" customHeight="1" x14ac:dyDescent="0.35">
      <c r="A54" s="120"/>
      <c r="B54" s="120"/>
      <c r="C54" s="120"/>
      <c r="D54" s="120"/>
      <c r="E54" s="120"/>
      <c r="F54" s="120"/>
      <c r="G54" s="120"/>
      <c r="H54" s="120"/>
      <c r="I54" s="120"/>
      <c r="J54" s="120"/>
      <c r="K54" s="120"/>
      <c r="L54" s="120"/>
    </row>
    <row r="55" spans="1:12" ht="19" customHeight="1" x14ac:dyDescent="0.35">
      <c r="A55" s="120"/>
      <c r="B55" s="120"/>
      <c r="C55" s="120"/>
      <c r="D55" s="120"/>
      <c r="E55" s="120"/>
      <c r="F55" s="120"/>
      <c r="G55" s="120"/>
      <c r="H55" s="120"/>
      <c r="I55" s="120"/>
      <c r="J55" s="120"/>
      <c r="K55" s="120"/>
      <c r="L55" s="120"/>
    </row>
    <row r="56" spans="1:12" ht="19" customHeight="1" x14ac:dyDescent="0.35">
      <c r="A56" s="120"/>
      <c r="B56" s="120"/>
      <c r="C56" s="120"/>
      <c r="D56" s="120"/>
      <c r="E56" s="120"/>
      <c r="F56" s="120"/>
      <c r="G56" s="120"/>
      <c r="H56" s="120"/>
      <c r="I56" s="120"/>
      <c r="J56" s="120"/>
      <c r="K56" s="120"/>
      <c r="L56" s="120"/>
    </row>
    <row r="57" spans="1:12" ht="19" customHeight="1" x14ac:dyDescent="0.35">
      <c r="A57" s="120"/>
      <c r="B57" s="120"/>
      <c r="C57" s="120"/>
      <c r="D57" s="120"/>
      <c r="E57" s="120"/>
      <c r="F57" s="120"/>
      <c r="G57" s="120"/>
      <c r="H57" s="120"/>
      <c r="I57" s="120"/>
      <c r="J57" s="120"/>
      <c r="K57" s="120"/>
      <c r="L57" s="120"/>
    </row>
    <row r="58" spans="1:12" ht="19" customHeight="1" x14ac:dyDescent="0.35">
      <c r="A58" s="120"/>
      <c r="B58" s="120"/>
      <c r="C58" s="120"/>
      <c r="D58" s="120"/>
      <c r="E58" s="120"/>
      <c r="F58" s="120"/>
      <c r="G58" s="120"/>
      <c r="H58" s="120"/>
      <c r="I58" s="120"/>
      <c r="J58" s="120"/>
      <c r="K58" s="120"/>
      <c r="L58" s="120"/>
    </row>
    <row r="59" spans="1:12" ht="19" customHeight="1" x14ac:dyDescent="0.35">
      <c r="A59" s="120"/>
      <c r="B59" s="120"/>
      <c r="C59" s="120"/>
      <c r="D59" s="120"/>
      <c r="E59" s="120"/>
      <c r="F59" s="120"/>
      <c r="G59" s="120"/>
      <c r="H59" s="120"/>
      <c r="I59" s="120"/>
      <c r="J59" s="120"/>
      <c r="K59" s="120"/>
      <c r="L59" s="120"/>
    </row>
    <row r="60" spans="1:12" ht="19" customHeight="1" x14ac:dyDescent="0.35">
      <c r="A60" s="120"/>
      <c r="B60" s="120"/>
      <c r="C60" s="120"/>
      <c r="D60" s="120"/>
      <c r="E60" s="120"/>
      <c r="F60" s="120"/>
      <c r="G60" s="120"/>
      <c r="H60" s="120"/>
      <c r="I60" s="120"/>
      <c r="J60" s="120"/>
      <c r="K60" s="120"/>
      <c r="L60" s="120"/>
    </row>
  </sheetData>
  <mergeCells count="3">
    <mergeCell ref="A1:L1"/>
    <mergeCell ref="A2:L2"/>
    <mergeCell ref="D13:J16"/>
  </mergeCells>
  <conditionalFormatting sqref="I5:I8">
    <cfRule type="colorScale" priority="1">
      <colorScale>
        <cfvo type="min"/>
        <cfvo type="num" val="0"/>
        <cfvo type="max"/>
        <color rgb="FFF8696B"/>
        <color rgb="FFFFEB84"/>
        <color rgb="FF63BE7B"/>
      </colorScale>
    </cfRule>
  </conditionalFormatting>
  <dataValidations count="5">
    <dataValidation type="whole" allowBlank="1" showInputMessage="1" showErrorMessage="1" errorTitle="Invalid input" error="Risk score must be 1 to 5." promptTitle="Risk comfort" prompt="Enter a whole number from 1 to 5." sqref="B6" xr:uid="{3CA4F576-10F3-406E-8CB7-D0D295A74C18}">
      <formula1>1</formula1>
      <formula2>5</formula2>
    </dataValidation>
    <dataValidation type="list" allowBlank="1" showInputMessage="1" showErrorMessage="1" sqref="B7" xr:uid="{0D3F4B91-B700-4900-AD92-6027AC3A323B}">
      <formula1>"Yes,No"</formula1>
    </dataValidation>
    <dataValidation type="whole" allowBlank="1" showInputMessage="1" showErrorMessage="1" errorTitle="Invalid input" error="Horizon must be 0 to 100." promptTitle="Goal horizon" prompt="Enter a whole number from 0 to 100 years." sqref="B5" xr:uid="{C1E94771-5B6B-47BD-BB0E-6D84B5B60C40}">
      <formula1>0</formula1>
      <formula2>100</formula2>
    </dataValidation>
    <dataValidation type="decimal" allowBlank="1" showInputMessage="1" showErrorMessage="1" errorTitle="Invalid input" error="Threshold must be 0 to 1." promptTitle="Rebalance threshold" prompt="Enter a decimal from 0 to 1." sqref="B8" xr:uid="{26E425D0-B083-49B3-9947-343F8DD203EE}">
      <formula1>0</formula1>
      <formula2>1</formula2>
    </dataValidation>
    <dataValidation type="decimal" operator="greaterThanOrEqual" allowBlank="1" showInputMessage="1" showErrorMessage="1" errorTitle="Invalid input" error="Value cannot be negative." promptTitle="Portfolio value" prompt="Enter zero or a positive amount." sqref="E5:E8" xr:uid="{BB81E71F-FB6E-4C73-86E8-77267DDD6DE7}">
      <formula1>0</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F42D-EFEE-4B29-8A8F-938C2F63918C}">
  <dimension ref="A1:P60"/>
  <sheetViews>
    <sheetView workbookViewId="0">
      <selection activeCell="A5" sqref="A5:A9"/>
    </sheetView>
  </sheetViews>
  <sheetFormatPr defaultRowHeight="14.5" x14ac:dyDescent="0.35"/>
  <cols>
    <col min="1" max="1" width="10.90625" customWidth="1"/>
    <col min="2" max="2" width="26.36328125" customWidth="1"/>
    <col min="3" max="4" width="18.1796875" customWidth="1"/>
    <col min="5" max="5" width="10" customWidth="1"/>
    <col min="6" max="7" width="11.81640625" customWidth="1"/>
    <col min="8" max="13" width="18.1796875" customWidth="1"/>
    <col min="14" max="14" width="12.7265625" customWidth="1"/>
  </cols>
  <sheetData>
    <row r="1" spans="1:16" ht="28.5" x14ac:dyDescent="0.65">
      <c r="A1" s="318" t="s">
        <v>746</v>
      </c>
      <c r="B1" s="319"/>
      <c r="C1" s="319"/>
      <c r="D1" s="319"/>
      <c r="E1" s="319"/>
      <c r="F1" s="319"/>
      <c r="G1" s="319"/>
      <c r="H1" s="319"/>
      <c r="I1" s="319"/>
      <c r="J1" s="319"/>
      <c r="K1" s="319"/>
      <c r="L1" s="319"/>
      <c r="M1" s="319"/>
      <c r="N1" s="319"/>
    </row>
    <row r="2" spans="1:16" x14ac:dyDescent="0.35">
      <c r="A2" s="320" t="s">
        <v>747</v>
      </c>
      <c r="B2" s="321"/>
      <c r="C2" s="321"/>
      <c r="D2" s="321"/>
      <c r="E2" s="321"/>
      <c r="F2" s="321"/>
      <c r="G2" s="321"/>
      <c r="H2" s="321"/>
      <c r="I2" s="321"/>
      <c r="J2" s="321"/>
      <c r="K2" s="321"/>
      <c r="L2" s="321"/>
      <c r="M2" s="321"/>
      <c r="N2" s="321"/>
    </row>
    <row r="3" spans="1:16" x14ac:dyDescent="0.35">
      <c r="A3" s="120"/>
      <c r="B3" s="120"/>
      <c r="C3" s="120"/>
      <c r="D3" s="120"/>
      <c r="E3" s="120"/>
      <c r="F3" s="120"/>
      <c r="G3" s="120"/>
      <c r="H3" s="120"/>
      <c r="I3" s="120"/>
      <c r="J3" s="120"/>
      <c r="K3" s="120"/>
      <c r="L3" s="120"/>
      <c r="M3" s="120"/>
      <c r="N3" s="120"/>
    </row>
    <row r="4" spans="1:16" x14ac:dyDescent="0.35">
      <c r="A4" s="153" t="s">
        <v>748</v>
      </c>
      <c r="B4" s="153" t="s">
        <v>696</v>
      </c>
      <c r="C4" s="120"/>
      <c r="D4" s="120"/>
      <c r="E4" s="120"/>
      <c r="F4" s="120"/>
      <c r="G4" s="120"/>
      <c r="H4" s="153" t="s">
        <v>754</v>
      </c>
      <c r="I4" s="153" t="s">
        <v>696</v>
      </c>
      <c r="J4" s="120"/>
      <c r="K4" s="120"/>
      <c r="L4" s="120"/>
      <c r="M4" s="120"/>
      <c r="N4" s="120"/>
    </row>
    <row r="5" spans="1:16" x14ac:dyDescent="0.35">
      <c r="A5" s="120" t="s">
        <v>749</v>
      </c>
      <c r="B5" s="156">
        <v>100000</v>
      </c>
      <c r="C5" s="120"/>
      <c r="D5" s="120"/>
      <c r="E5" s="120"/>
      <c r="F5" s="120"/>
      <c r="G5" s="120"/>
      <c r="H5" s="120" t="s">
        <v>888</v>
      </c>
      <c r="I5" s="159">
        <f>SUM(H11:H16)</f>
        <v>171419091.85547096</v>
      </c>
      <c r="J5" s="120"/>
      <c r="K5" s="120" t="s">
        <v>890</v>
      </c>
      <c r="L5" s="228">
        <f>'Common Assumptions'!$B$12</f>
        <v>12.5</v>
      </c>
      <c r="M5" s="120"/>
      <c r="N5" s="120"/>
    </row>
    <row r="6" spans="1:16" x14ac:dyDescent="0.35">
      <c r="A6" s="120" t="s">
        <v>750</v>
      </c>
      <c r="B6" s="159">
        <f>SUM(K11:K16)</f>
        <v>289842.66687896691</v>
      </c>
      <c r="C6" s="120"/>
      <c r="D6" s="120"/>
      <c r="E6" s="120"/>
      <c r="F6" s="120"/>
      <c r="G6" s="120"/>
      <c r="H6" s="120" t="s">
        <v>755</v>
      </c>
      <c r="I6" s="159">
        <f>SUM(D11:D16)</f>
        <v>3300000</v>
      </c>
      <c r="J6" s="120"/>
      <c r="K6" s="120" t="s">
        <v>891</v>
      </c>
      <c r="L6" s="229">
        <f>'Common Assumptions'!$B$13</f>
        <v>125000</v>
      </c>
      <c r="M6" s="120"/>
      <c r="N6" s="120"/>
    </row>
    <row r="7" spans="1:16" x14ac:dyDescent="0.35">
      <c r="A7" s="120" t="s">
        <v>751</v>
      </c>
      <c r="B7" s="159">
        <f>SUM(L11:L16)</f>
        <v>100000</v>
      </c>
      <c r="C7" s="120"/>
      <c r="D7" s="120"/>
      <c r="E7" s="120"/>
      <c r="F7" s="120"/>
      <c r="G7" s="120"/>
      <c r="H7" s="120" t="s">
        <v>756</v>
      </c>
      <c r="I7" s="159">
        <f>SUM(I11:I16)</f>
        <v>24304847.25555687</v>
      </c>
      <c r="J7" s="120"/>
      <c r="K7" s="120"/>
      <c r="L7" s="120"/>
      <c r="M7" s="120"/>
      <c r="N7" s="120"/>
    </row>
    <row r="8" spans="1:16" x14ac:dyDescent="0.35">
      <c r="A8" s="120" t="s">
        <v>752</v>
      </c>
      <c r="B8" s="159">
        <f>MAX(0,B5-B7)</f>
        <v>0</v>
      </c>
      <c r="C8" s="120"/>
      <c r="D8" s="120"/>
      <c r="E8" s="120"/>
      <c r="F8" s="120"/>
      <c r="G8" s="120"/>
      <c r="H8" s="120" t="s">
        <v>757</v>
      </c>
      <c r="I8" s="155">
        <f>COUNTIF(N11:N16,"&gt;=1")</f>
        <v>3</v>
      </c>
      <c r="J8" s="120"/>
      <c r="K8" s="120"/>
      <c r="L8" s="120"/>
      <c r="M8" s="120"/>
      <c r="N8" s="120"/>
    </row>
    <row r="9" spans="1:16" x14ac:dyDescent="0.35">
      <c r="A9" s="120" t="s">
        <v>753</v>
      </c>
      <c r="B9" s="159">
        <f>MAX(0,B6-B5)</f>
        <v>189842.66687896691</v>
      </c>
      <c r="C9" s="120"/>
      <c r="D9" s="120"/>
      <c r="E9" s="120"/>
      <c r="F9" s="120"/>
      <c r="G9" s="120"/>
      <c r="H9" s="120" t="s">
        <v>758</v>
      </c>
      <c r="I9" s="165">
        <f>IFERROR(B7/B6,0)</f>
        <v>0.34501476637929984</v>
      </c>
      <c r="J9" s="120"/>
      <c r="K9" s="120"/>
      <c r="L9" s="120"/>
      <c r="M9" s="120"/>
      <c r="N9" s="120"/>
    </row>
    <row r="10" spans="1:16" x14ac:dyDescent="0.35">
      <c r="A10" s="153" t="s">
        <v>759</v>
      </c>
      <c r="B10" s="153" t="s">
        <v>760</v>
      </c>
      <c r="C10" s="153" t="s">
        <v>761</v>
      </c>
      <c r="D10" s="153" t="s">
        <v>762</v>
      </c>
      <c r="E10" s="153" t="s">
        <v>763</v>
      </c>
      <c r="F10" s="153" t="s">
        <v>720</v>
      </c>
      <c r="G10" s="153" t="s">
        <v>764</v>
      </c>
      <c r="H10" s="153" t="s">
        <v>765</v>
      </c>
      <c r="I10" s="153" t="s">
        <v>766</v>
      </c>
      <c r="J10" s="153" t="s">
        <v>767</v>
      </c>
      <c r="K10" s="153" t="s">
        <v>768</v>
      </c>
      <c r="L10" s="153" t="s">
        <v>769</v>
      </c>
      <c r="M10" s="153" t="s">
        <v>770</v>
      </c>
      <c r="N10" s="153" t="s">
        <v>892</v>
      </c>
      <c r="O10" t="s">
        <v>893</v>
      </c>
      <c r="P10" t="s">
        <v>894</v>
      </c>
    </row>
    <row r="11" spans="1:16" x14ac:dyDescent="0.35">
      <c r="A11" s="154">
        <v>1</v>
      </c>
      <c r="B11" s="154" t="s">
        <v>771</v>
      </c>
      <c r="C11" s="156">
        <f>'Emergency Fund'!$E$8</f>
        <v>665000</v>
      </c>
      <c r="D11" s="156">
        <v>200000</v>
      </c>
      <c r="E11" s="154">
        <v>1</v>
      </c>
      <c r="F11" s="164">
        <v>0</v>
      </c>
      <c r="G11" s="164">
        <f>'Common Assumptions'!$B$17/100</f>
        <v>0.04</v>
      </c>
      <c r="H11" s="159">
        <f t="shared" ref="H11:H16" si="0">C11*(1+F11)^E11</f>
        <v>665000</v>
      </c>
      <c r="I11" s="159">
        <f t="shared" ref="I11:I16" si="1">D11*(1+G11/12)^(E11*12)</f>
        <v>208148.30858395816</v>
      </c>
      <c r="J11" s="159">
        <f t="shared" ref="J11:J16" si="2">MAX(0,H11-I11)</f>
        <v>456851.69141604181</v>
      </c>
      <c r="K11" s="159">
        <f t="shared" ref="K11:K16" si="3">IF($E11=0,$J11,IF($B11="Emergency fund",MAX(0,($H11-$I11)/(IF($G11=0,$E11*12,((1+$G11/12)^($E11*12)-1)/($G11/12)))),IF($I11+(IF($G11=0,$E11*12,((1+$G11/12)^($E11*12)-1)/($G11/12)))*(MAX(0,($H11-$I11)/(IF($G11=0,$E11*12,((1+$G11/12)^($E11*12)-1)/($G11/12)))))-$D11-(MAX(0,($H11-$I11)/(IF($G11=0,$E11*12,((1+$G11/12)^($E11*12)-1)/($G11/12)))))*$E11*12&lt;=$L$6,MAX(0,($H11-$I11)/(IF($G11=0,$E11*12,((1+$G11/12)^($E11*12)-1)/($G11/12)))),MAX(0,($H11-$I11+($L$5/100)*($I11-$D11-$L$6))/((IF($G11=0,$E11*12,((1+$G11/12)^($E11*12)-1)/($G11/12)))-($L$5/100)*((IF($G11=0,$E11*12,((1+$G11/12)^($E11*12)-1)/($G11/12)))-$E11*12))))))</f>
        <v>37378.038784266668</v>
      </c>
      <c r="L11" s="159" cm="1">
        <f t="array" ref="L11">MIN(K11,MAX(0,$B$5-SUMPRODUCT(($P$11:$P$16&lt;P11)*$K$11:$K$16)))</f>
        <v>37378.038784266668</v>
      </c>
      <c r="M11" s="159">
        <f t="shared" ref="M11:M16" si="4">K11-L11</f>
        <v>0</v>
      </c>
      <c r="N11" s="165">
        <f t="shared" ref="N11:N16" si="5">IFERROR((($I11+(IF($E11=0,1,IF($G11=0,$E11*12,((1+$G11/12)^($E11*12)-1)/($G11/12))))*$L11)-(IF($B11="Emergency fund",0,MAX(0,($I11+(IF($E11=0,1,IF($G11=0,$E11*12,((1+$G11/12)^($E11*12)-1)/($G11/12))))*$L11)-($D11+$L11*IF($E11=0,1,$E11*12))-$L$6)*$L$5/100)))/$H11,0)</f>
        <v>1</v>
      </c>
      <c r="O11" s="224">
        <f t="shared" ref="O11:O16" si="6">IFERROR(($I11-IF($B11="Emergency fund",0,MAX(0,$I11-$D11-$L$6)*$L$5/100))/$H11,0)</f>
        <v>0.31300497531422278</v>
      </c>
      <c r="P11">
        <f>_xlfn.RANK.EQ(A11,$A$11:$A$16,1)+COUNTIF($A$11:A11,A11)-1</f>
        <v>1</v>
      </c>
    </row>
    <row r="12" spans="1:16" x14ac:dyDescent="0.35">
      <c r="A12" s="154">
        <v>2</v>
      </c>
      <c r="B12" s="154" t="s">
        <v>772</v>
      </c>
      <c r="C12" s="156">
        <v>2000000</v>
      </c>
      <c r="D12" s="156">
        <v>500000</v>
      </c>
      <c r="E12" s="154">
        <v>5</v>
      </c>
      <c r="F12" s="164">
        <f>'Common Assumptions'!$B$5/100</f>
        <v>0.06</v>
      </c>
      <c r="G12" s="164">
        <f>'Common Assumptions'!$B$6/100</f>
        <v>0.12</v>
      </c>
      <c r="H12" s="159">
        <f t="shared" si="0"/>
        <v>2676451.1552000009</v>
      </c>
      <c r="I12" s="159">
        <f t="shared" si="1"/>
        <v>908348.34928204562</v>
      </c>
      <c r="J12" s="159">
        <f t="shared" si="2"/>
        <v>1768102.8059179552</v>
      </c>
      <c r="K12" s="159">
        <f t="shared" si="3"/>
        <v>22840.671186078787</v>
      </c>
      <c r="L12" s="159" cm="1">
        <f t="array" ref="L12">MIN(K12,MAX(0,$B$5-SUMPRODUCT(($P$11:$P$16&lt;P12)*$K$11:$K$16)))</f>
        <v>22840.671186078787</v>
      </c>
      <c r="M12" s="159">
        <f t="shared" si="4"/>
        <v>0</v>
      </c>
      <c r="N12" s="165">
        <f t="shared" si="5"/>
        <v>1</v>
      </c>
      <c r="O12" s="224">
        <f t="shared" si="6"/>
        <v>0.32615196579463046</v>
      </c>
      <c r="P12">
        <f>_xlfn.RANK.EQ(A12,$A$11:$A$16,1)+COUNTIF($A$11:A12,A12)-1</f>
        <v>2</v>
      </c>
    </row>
    <row r="13" spans="1:16" x14ac:dyDescent="0.35">
      <c r="A13" s="154">
        <v>3</v>
      </c>
      <c r="B13" s="154" t="s">
        <v>722</v>
      </c>
      <c r="C13" s="156">
        <v>3000000</v>
      </c>
      <c r="D13" s="156">
        <v>300000</v>
      </c>
      <c r="E13" s="154">
        <v>10</v>
      </c>
      <c r="F13" s="164">
        <f>'Common Assumptions'!$B$5/100</f>
        <v>0.06</v>
      </c>
      <c r="G13" s="164">
        <f>'Common Assumptions'!$B$6/100</f>
        <v>0.12</v>
      </c>
      <c r="H13" s="159">
        <f t="shared" si="0"/>
        <v>5372543.0896285642</v>
      </c>
      <c r="I13" s="159">
        <f t="shared" si="1"/>
        <v>990116.06837210094</v>
      </c>
      <c r="J13" s="159">
        <f t="shared" si="2"/>
        <v>4382427.0212564636</v>
      </c>
      <c r="K13" s="159">
        <f t="shared" si="3"/>
        <v>20588.992023075181</v>
      </c>
      <c r="L13" s="159" cm="1">
        <f t="array" ref="L13">MIN(K13,MAX(0,$B$5-SUMPRODUCT(($P$11:$P$16&lt;P13)*$K$11:$K$16)))</f>
        <v>20588.992023075181</v>
      </c>
      <c r="M13" s="159">
        <f t="shared" si="4"/>
        <v>0</v>
      </c>
      <c r="N13" s="165">
        <f t="shared" si="5"/>
        <v>0.99999999999999978</v>
      </c>
      <c r="O13" s="224">
        <f t="shared" si="6"/>
        <v>0.17114363616749648</v>
      </c>
      <c r="P13">
        <f>_xlfn.RANK.EQ(A13,$A$11:$A$16,1)+COUNTIF($A$11:A13,A13)-1</f>
        <v>3</v>
      </c>
    </row>
    <row r="14" spans="1:16" x14ac:dyDescent="0.35">
      <c r="A14" s="154">
        <v>4</v>
      </c>
      <c r="B14" s="154" t="s">
        <v>286</v>
      </c>
      <c r="C14" s="156">
        <v>50000000</v>
      </c>
      <c r="D14" s="156">
        <v>2000000</v>
      </c>
      <c r="E14" s="154">
        <v>20</v>
      </c>
      <c r="F14" s="164">
        <f>'Common Assumptions'!$B$5/100</f>
        <v>0.06</v>
      </c>
      <c r="G14" s="164">
        <f>'Common Assumptions'!$B$6/100</f>
        <v>0.12</v>
      </c>
      <c r="H14" s="159">
        <f t="shared" si="0"/>
        <v>160356773.6106424</v>
      </c>
      <c r="I14" s="159">
        <f t="shared" si="1"/>
        <v>21785107.30774726</v>
      </c>
      <c r="J14" s="159">
        <f t="shared" si="2"/>
        <v>138571666.30289513</v>
      </c>
      <c r="K14" s="159">
        <f t="shared" si="3"/>
        <v>157469.21016751963</v>
      </c>
      <c r="L14" s="159" cm="1">
        <f t="array" ref="L14">MIN(K14,MAX(0,$B$5-SUMPRODUCT(($P$11:$P$16&lt;P14)*$K$11:$K$16)))</f>
        <v>19192.298006579367</v>
      </c>
      <c r="M14" s="159">
        <f t="shared" si="4"/>
        <v>138276.91216094026</v>
      </c>
      <c r="N14" s="165">
        <f t="shared" si="5"/>
        <v>0.2277183889227013</v>
      </c>
      <c r="O14" s="224">
        <f t="shared" si="6"/>
        <v>0.12052870271141536</v>
      </c>
      <c r="P14">
        <f>_xlfn.RANK.EQ(A14,$A$11:$A$16,1)+COUNTIF($A$11:A14,A14)-1</f>
        <v>4</v>
      </c>
    </row>
    <row r="15" spans="1:16" x14ac:dyDescent="0.35">
      <c r="A15" s="154">
        <v>5</v>
      </c>
      <c r="B15" s="154" t="s">
        <v>773</v>
      </c>
      <c r="C15" s="156">
        <v>1500000</v>
      </c>
      <c r="D15" s="156">
        <v>200000</v>
      </c>
      <c r="E15" s="154">
        <v>3</v>
      </c>
      <c r="F15" s="164">
        <f>'Common Assumptions'!$B$5/100</f>
        <v>0.06</v>
      </c>
      <c r="G15" s="164">
        <f>'Common Assumptions'!$B$6/100</f>
        <v>0.12</v>
      </c>
      <c r="H15" s="159">
        <f t="shared" si="0"/>
        <v>1786524.0000000005</v>
      </c>
      <c r="I15" s="159">
        <f t="shared" si="1"/>
        <v>286153.75671831617</v>
      </c>
      <c r="J15" s="159">
        <f t="shared" si="2"/>
        <v>1500370.2432816844</v>
      </c>
      <c r="K15" s="159">
        <f t="shared" si="3"/>
        <v>35445.225245322981</v>
      </c>
      <c r="L15" s="159" cm="1">
        <f t="array" ref="L15">MIN(K15,MAX(0,$B$5-SUMPRODUCT(($P$11:$P$16&lt;P15)*$K$11:$K$16)))</f>
        <v>0</v>
      </c>
      <c r="M15" s="159">
        <f t="shared" si="4"/>
        <v>35445.225245322981</v>
      </c>
      <c r="N15" s="165">
        <f t="shared" si="5"/>
        <v>0.1601734747018882</v>
      </c>
      <c r="O15" s="224">
        <f t="shared" si="6"/>
        <v>0.1601734747018882</v>
      </c>
      <c r="P15">
        <f>_xlfn.RANK.EQ(A15,$A$11:$A$16,1)+COUNTIF($A$11:A15,A15)-1</f>
        <v>5</v>
      </c>
    </row>
    <row r="16" spans="1:16" x14ac:dyDescent="0.35">
      <c r="A16" s="154">
        <v>6</v>
      </c>
      <c r="B16" s="154" t="s">
        <v>774</v>
      </c>
      <c r="C16" s="156">
        <v>500000</v>
      </c>
      <c r="D16" s="156">
        <v>100000</v>
      </c>
      <c r="E16" s="154">
        <v>2</v>
      </c>
      <c r="F16" s="164">
        <f>'Common Assumptions'!$B$5/100</f>
        <v>0.06</v>
      </c>
      <c r="G16" s="164">
        <f>'Common Assumptions'!$B$6/100</f>
        <v>0.12</v>
      </c>
      <c r="H16" s="159">
        <f t="shared" si="0"/>
        <v>561800.00000000012</v>
      </c>
      <c r="I16" s="159">
        <f t="shared" si="1"/>
        <v>126973.4648531915</v>
      </c>
      <c r="J16" s="159">
        <f t="shared" si="2"/>
        <v>434826.5351468086</v>
      </c>
      <c r="K16" s="159">
        <f t="shared" si="3"/>
        <v>16120.529472703614</v>
      </c>
      <c r="L16" s="159" cm="1">
        <f t="array" ref="L16">MIN(K16,MAX(0,$B$5-SUMPRODUCT(($P$11:$P$16&lt;P16)*$K$11:$K$16)))</f>
        <v>0</v>
      </c>
      <c r="M16" s="159">
        <f t="shared" si="4"/>
        <v>16120.529472703614</v>
      </c>
      <c r="N16" s="165">
        <f t="shared" si="5"/>
        <v>0.22601186339122725</v>
      </c>
      <c r="O16" s="224">
        <f t="shared" si="6"/>
        <v>0.22601186339122725</v>
      </c>
      <c r="P16">
        <f>_xlfn.RANK.EQ(A16,$A$11:$A$16,1)+COUNTIF($A$11:A16,A16)-1</f>
        <v>6</v>
      </c>
    </row>
    <row r="17" spans="1:14" x14ac:dyDescent="0.35">
      <c r="A17" s="120"/>
      <c r="B17" s="120"/>
      <c r="C17" s="120"/>
      <c r="D17" s="120"/>
      <c r="E17" s="120"/>
      <c r="F17" s="120"/>
      <c r="G17" s="120"/>
      <c r="H17" s="120" t="s">
        <v>889</v>
      </c>
      <c r="I17" s="120">
        <f>SUM(C11:C16)</f>
        <v>57665000</v>
      </c>
      <c r="J17" s="120"/>
      <c r="K17" s="120"/>
      <c r="L17" s="120"/>
      <c r="M17" s="120"/>
      <c r="N17" s="120"/>
    </row>
    <row r="18" spans="1:14" x14ac:dyDescent="0.35">
      <c r="A18" s="120"/>
      <c r="B18" s="120"/>
      <c r="C18" s="120"/>
      <c r="D18" s="120"/>
      <c r="E18" s="120"/>
      <c r="F18" s="120"/>
      <c r="G18" s="120"/>
      <c r="H18" s="120"/>
      <c r="I18" s="120"/>
      <c r="J18" s="120"/>
      <c r="K18" s="120"/>
      <c r="L18" s="120"/>
      <c r="M18" s="120"/>
      <c r="N18" s="120"/>
    </row>
    <row r="19" spans="1:14" x14ac:dyDescent="0.35">
      <c r="A19" s="153" t="s">
        <v>483</v>
      </c>
      <c r="B19" s="153"/>
      <c r="C19" s="153"/>
      <c r="D19" s="153"/>
      <c r="E19" s="153"/>
      <c r="F19" s="153"/>
      <c r="G19" s="153"/>
      <c r="H19" s="153"/>
      <c r="I19" s="153"/>
      <c r="J19" s="153"/>
      <c r="K19" s="153"/>
      <c r="L19" s="153"/>
      <c r="M19" s="153"/>
      <c r="N19" s="153"/>
    </row>
    <row r="20" spans="1:14" x14ac:dyDescent="0.35">
      <c r="A20" s="322" t="str">
        <f>IF($B$9=0,"1. Your monthly budget funds every modeled goal.","1. Required SIPs exceed the budget by "&amp;TEXT($B$9,"₹#,##0")&amp;" per month; priority order controls the allocation.")</f>
        <v>1. Required SIPs exceed the budget by ₹1,89,843 per month; priority order controls the allocation.</v>
      </c>
      <c r="B20" s="322"/>
      <c r="C20" s="322"/>
      <c r="D20" s="322"/>
      <c r="E20" s="322"/>
      <c r="F20" s="322"/>
      <c r="G20" s="322"/>
      <c r="H20" s="322"/>
      <c r="I20" s="322"/>
      <c r="J20" s="322"/>
      <c r="K20" s="322"/>
      <c r="L20" s="322"/>
      <c r="M20" s="322"/>
      <c r="N20" s="322"/>
    </row>
    <row r="21" spans="1:14" x14ac:dyDescent="0.35">
      <c r="A21" s="322"/>
      <c r="B21" s="322"/>
      <c r="C21" s="322"/>
      <c r="D21" s="322"/>
      <c r="E21" s="322"/>
      <c r="F21" s="322"/>
      <c r="G21" s="322"/>
      <c r="H21" s="322"/>
      <c r="I21" s="322"/>
      <c r="J21" s="322"/>
      <c r="K21" s="322"/>
      <c r="L21" s="322"/>
      <c r="M21" s="322"/>
      <c r="N21" s="322"/>
    </row>
    <row r="22" spans="1:14" x14ac:dyDescent="0.35">
      <c r="A22" s="322"/>
      <c r="B22" s="322"/>
      <c r="C22" s="322"/>
      <c r="D22" s="322"/>
      <c r="E22" s="322"/>
      <c r="F22" s="322"/>
      <c r="G22" s="322"/>
      <c r="H22" s="322"/>
      <c r="I22" s="322"/>
      <c r="J22" s="322"/>
      <c r="K22" s="322"/>
      <c r="L22" s="322"/>
      <c r="M22" s="322"/>
      <c r="N22" s="322"/>
    </row>
    <row r="23" spans="1:14" x14ac:dyDescent="0.35">
      <c r="A23" s="322"/>
      <c r="B23" s="322"/>
      <c r="C23" s="322"/>
      <c r="D23" s="322"/>
      <c r="E23" s="322"/>
      <c r="F23" s="322"/>
      <c r="G23" s="322"/>
      <c r="H23" s="322"/>
      <c r="I23" s="322"/>
      <c r="J23" s="322"/>
      <c r="K23" s="322"/>
      <c r="L23" s="322"/>
      <c r="M23" s="322"/>
      <c r="N23" s="322"/>
    </row>
    <row r="24" spans="1:14" x14ac:dyDescent="0.35">
      <c r="A24" s="322"/>
      <c r="B24" s="322"/>
      <c r="C24" s="322"/>
      <c r="D24" s="322"/>
      <c r="E24" s="322"/>
      <c r="F24" s="322"/>
      <c r="G24" s="322"/>
      <c r="H24" s="322"/>
      <c r="I24" s="322"/>
      <c r="J24" s="322"/>
      <c r="K24" s="322"/>
      <c r="L24" s="322"/>
      <c r="M24" s="322"/>
      <c r="N24" s="322"/>
    </row>
    <row r="25" spans="1:14" ht="19" customHeight="1" x14ac:dyDescent="0.35">
      <c r="A25" s="120"/>
      <c r="B25" s="120"/>
      <c r="C25" s="120"/>
      <c r="D25" s="120"/>
      <c r="E25" s="120"/>
      <c r="F25" s="120"/>
      <c r="G25" s="120"/>
      <c r="H25" s="120"/>
      <c r="I25" s="120"/>
      <c r="J25" s="120"/>
      <c r="K25" s="120"/>
      <c r="L25" s="120"/>
      <c r="M25" s="120"/>
      <c r="N25" s="120"/>
    </row>
    <row r="26" spans="1:14" ht="19" customHeight="1" x14ac:dyDescent="0.35">
      <c r="A26" s="120"/>
      <c r="B26" s="120"/>
      <c r="C26" s="120"/>
      <c r="D26" s="120"/>
      <c r="E26" s="120"/>
      <c r="F26" s="120"/>
      <c r="G26" s="120"/>
      <c r="H26" s="120"/>
      <c r="I26" s="120"/>
      <c r="J26" s="120"/>
      <c r="K26" s="120"/>
      <c r="L26" s="120"/>
      <c r="M26" s="120"/>
      <c r="N26" s="120"/>
    </row>
    <row r="27" spans="1:14" ht="19" customHeight="1" x14ac:dyDescent="0.35">
      <c r="A27" s="120"/>
      <c r="B27" s="120"/>
      <c r="C27" s="120"/>
      <c r="D27" s="120"/>
      <c r="E27" s="120"/>
      <c r="F27" s="120"/>
      <c r="G27" s="120"/>
      <c r="H27" s="120"/>
      <c r="I27" s="120"/>
      <c r="J27" s="120"/>
      <c r="K27" s="120"/>
      <c r="L27" s="120"/>
      <c r="M27" s="120"/>
      <c r="N27" s="120"/>
    </row>
    <row r="28" spans="1:14" ht="19" customHeight="1" x14ac:dyDescent="0.35">
      <c r="A28" s="120"/>
      <c r="B28" s="120"/>
      <c r="C28" s="120"/>
      <c r="D28" s="120"/>
      <c r="E28" s="120"/>
      <c r="F28" s="120"/>
      <c r="G28" s="120"/>
      <c r="H28" s="120"/>
      <c r="I28" s="120"/>
      <c r="J28" s="120"/>
      <c r="K28" s="120"/>
      <c r="L28" s="120"/>
      <c r="M28" s="120"/>
      <c r="N28" s="120"/>
    </row>
    <row r="29" spans="1:14" ht="19" customHeight="1" x14ac:dyDescent="0.35">
      <c r="A29" s="120"/>
      <c r="B29" s="120"/>
      <c r="C29" s="120"/>
      <c r="D29" s="120"/>
      <c r="E29" s="120"/>
      <c r="F29" s="120"/>
      <c r="G29" s="120"/>
      <c r="H29" s="120"/>
      <c r="I29" s="120"/>
      <c r="J29" s="120"/>
      <c r="K29" s="120"/>
      <c r="L29" s="120"/>
      <c r="M29" s="120"/>
      <c r="N29" s="120"/>
    </row>
    <row r="30" spans="1:14" ht="19" customHeight="1" x14ac:dyDescent="0.35">
      <c r="A30" s="120"/>
      <c r="B30" s="120"/>
      <c r="C30" s="120"/>
      <c r="D30" s="120"/>
      <c r="E30" s="120"/>
      <c r="F30" s="120"/>
      <c r="G30" s="120"/>
      <c r="H30" s="120"/>
      <c r="I30" s="120"/>
      <c r="J30" s="120"/>
      <c r="K30" s="120"/>
      <c r="L30" s="120"/>
      <c r="M30" s="120"/>
      <c r="N30" s="120"/>
    </row>
    <row r="31" spans="1:14" ht="19" customHeight="1" x14ac:dyDescent="0.35">
      <c r="A31" s="120"/>
      <c r="B31" s="120"/>
      <c r="C31" s="120"/>
      <c r="D31" s="120"/>
      <c r="E31" s="120"/>
      <c r="F31" s="120"/>
      <c r="G31" s="120"/>
      <c r="H31" s="120"/>
      <c r="I31" s="120"/>
      <c r="J31" s="120"/>
      <c r="K31" s="120"/>
      <c r="L31" s="120"/>
      <c r="M31" s="120"/>
      <c r="N31" s="120"/>
    </row>
    <row r="32" spans="1:14" ht="19" customHeight="1" x14ac:dyDescent="0.35">
      <c r="A32" s="120"/>
      <c r="B32" s="120"/>
      <c r="C32" s="120"/>
      <c r="D32" s="120"/>
      <c r="E32" s="120"/>
      <c r="F32" s="120"/>
      <c r="G32" s="120"/>
      <c r="H32" s="120"/>
      <c r="I32" s="120"/>
      <c r="J32" s="120"/>
      <c r="K32" s="120"/>
      <c r="L32" s="120"/>
      <c r="M32" s="120"/>
      <c r="N32" s="120"/>
    </row>
    <row r="33" spans="1:14" ht="19" customHeight="1" x14ac:dyDescent="0.35">
      <c r="A33" s="120"/>
      <c r="B33" s="120"/>
      <c r="C33" s="120"/>
      <c r="D33" s="120"/>
      <c r="E33" s="120"/>
      <c r="F33" s="120"/>
      <c r="G33" s="120"/>
      <c r="H33" s="120"/>
      <c r="I33" s="120"/>
      <c r="J33" s="120"/>
      <c r="K33" s="120"/>
      <c r="L33" s="120"/>
      <c r="M33" s="120"/>
      <c r="N33" s="120"/>
    </row>
    <row r="34" spans="1:14" ht="19" customHeight="1" x14ac:dyDescent="0.35">
      <c r="A34" s="120"/>
      <c r="B34" s="120"/>
      <c r="C34" s="120"/>
      <c r="D34" s="120"/>
      <c r="E34" s="120"/>
      <c r="F34" s="120"/>
      <c r="G34" s="120"/>
      <c r="H34" s="120"/>
      <c r="I34" s="120"/>
      <c r="J34" s="120"/>
      <c r="K34" s="120"/>
      <c r="L34" s="120"/>
      <c r="M34" s="120"/>
      <c r="N34" s="120"/>
    </row>
    <row r="35" spans="1:14" ht="19" customHeight="1" x14ac:dyDescent="0.35">
      <c r="A35" s="120"/>
      <c r="B35" s="120"/>
      <c r="C35" s="120"/>
      <c r="D35" s="120"/>
      <c r="E35" s="120"/>
      <c r="F35" s="120"/>
      <c r="G35" s="120"/>
      <c r="H35" s="120"/>
      <c r="I35" s="120"/>
      <c r="J35" s="120"/>
      <c r="K35" s="120"/>
      <c r="L35" s="120"/>
      <c r="M35" s="120"/>
      <c r="N35" s="120"/>
    </row>
    <row r="36" spans="1:14" ht="19" customHeight="1" x14ac:dyDescent="0.35">
      <c r="A36" s="120"/>
      <c r="B36" s="120"/>
      <c r="C36" s="120"/>
      <c r="D36" s="120"/>
      <c r="E36" s="120"/>
      <c r="F36" s="120"/>
      <c r="G36" s="120"/>
      <c r="H36" s="120"/>
      <c r="I36" s="120"/>
      <c r="J36" s="120"/>
      <c r="K36" s="120"/>
      <c r="L36" s="120"/>
      <c r="M36" s="120"/>
      <c r="N36" s="120"/>
    </row>
    <row r="37" spans="1:14" ht="19" customHeight="1" x14ac:dyDescent="0.35">
      <c r="A37" s="120"/>
      <c r="B37" s="120"/>
      <c r="C37" s="120"/>
      <c r="D37" s="120"/>
      <c r="E37" s="120"/>
      <c r="F37" s="120"/>
      <c r="G37" s="120"/>
      <c r="H37" s="120"/>
      <c r="I37" s="120"/>
      <c r="J37" s="120"/>
      <c r="K37" s="120"/>
      <c r="L37" s="120"/>
      <c r="M37" s="120"/>
      <c r="N37" s="120"/>
    </row>
    <row r="38" spans="1:14" ht="19" customHeight="1" x14ac:dyDescent="0.35">
      <c r="A38" s="120"/>
      <c r="B38" s="120"/>
      <c r="C38" s="120"/>
      <c r="D38" s="120"/>
      <c r="E38" s="120"/>
      <c r="F38" s="120"/>
      <c r="G38" s="120"/>
      <c r="H38" s="120"/>
      <c r="I38" s="120"/>
      <c r="J38" s="120"/>
      <c r="K38" s="120"/>
      <c r="L38" s="120"/>
      <c r="M38" s="120"/>
      <c r="N38" s="120"/>
    </row>
    <row r="39" spans="1:14" ht="19" customHeight="1" x14ac:dyDescent="0.35">
      <c r="A39" s="120"/>
      <c r="B39" s="120"/>
      <c r="C39" s="120"/>
      <c r="D39" s="120"/>
      <c r="E39" s="120"/>
      <c r="F39" s="120"/>
      <c r="G39" s="120"/>
      <c r="H39" s="120"/>
      <c r="I39" s="120"/>
      <c r="J39" s="120"/>
      <c r="K39" s="120"/>
      <c r="L39" s="120"/>
      <c r="M39" s="120"/>
      <c r="N39" s="120"/>
    </row>
    <row r="40" spans="1:14" ht="19" customHeight="1" x14ac:dyDescent="0.35">
      <c r="A40" s="120"/>
      <c r="B40" s="120"/>
      <c r="C40" s="120"/>
      <c r="D40" s="120"/>
      <c r="E40" s="120"/>
      <c r="F40" s="120"/>
      <c r="G40" s="120"/>
      <c r="H40" s="120"/>
      <c r="I40" s="120"/>
      <c r="J40" s="120"/>
      <c r="K40" s="120"/>
      <c r="L40" s="120"/>
      <c r="M40" s="120"/>
      <c r="N40" s="120"/>
    </row>
    <row r="41" spans="1:14" ht="19" customHeight="1" x14ac:dyDescent="0.35">
      <c r="A41" s="120"/>
      <c r="B41" s="120"/>
      <c r="C41" s="120"/>
      <c r="D41" s="120"/>
      <c r="E41" s="120"/>
      <c r="F41" s="120"/>
      <c r="G41" s="120"/>
      <c r="H41" s="120"/>
      <c r="I41" s="120"/>
      <c r="J41" s="120"/>
      <c r="K41" s="120"/>
      <c r="L41" s="120"/>
      <c r="M41" s="120"/>
      <c r="N41" s="120"/>
    </row>
    <row r="42" spans="1:14" ht="19" customHeight="1" x14ac:dyDescent="0.35">
      <c r="A42" s="120"/>
      <c r="B42" s="120"/>
      <c r="C42" s="120"/>
      <c r="D42" s="120"/>
      <c r="E42" s="120"/>
      <c r="F42" s="120"/>
      <c r="G42" s="120"/>
      <c r="H42" s="120"/>
      <c r="I42" s="120"/>
      <c r="J42" s="120"/>
      <c r="K42" s="120"/>
      <c r="L42" s="120"/>
      <c r="M42" s="120"/>
      <c r="N42" s="120"/>
    </row>
    <row r="43" spans="1:14" ht="19" customHeight="1" x14ac:dyDescent="0.35">
      <c r="A43" s="120"/>
      <c r="B43" s="120"/>
      <c r="C43" s="120"/>
      <c r="D43" s="120"/>
      <c r="E43" s="120"/>
      <c r="F43" s="120"/>
      <c r="G43" s="120"/>
      <c r="H43" s="120"/>
      <c r="I43" s="120"/>
      <c r="J43" s="120"/>
      <c r="K43" s="120"/>
      <c r="L43" s="120"/>
      <c r="M43" s="120"/>
      <c r="N43" s="120"/>
    </row>
    <row r="44" spans="1:14" ht="19" customHeight="1" x14ac:dyDescent="0.35">
      <c r="A44" s="120"/>
      <c r="B44" s="120"/>
      <c r="C44" s="120"/>
      <c r="D44" s="120"/>
      <c r="E44" s="120"/>
      <c r="F44" s="120"/>
      <c r="G44" s="120"/>
      <c r="H44" s="120"/>
      <c r="I44" s="120"/>
      <c r="J44" s="120"/>
      <c r="K44" s="120"/>
      <c r="L44" s="120"/>
      <c r="M44" s="120"/>
      <c r="N44" s="120"/>
    </row>
    <row r="45" spans="1:14" ht="19" customHeight="1" x14ac:dyDescent="0.35">
      <c r="A45" s="120"/>
      <c r="B45" s="120"/>
      <c r="C45" s="120"/>
      <c r="D45" s="120"/>
      <c r="E45" s="120"/>
      <c r="F45" s="120"/>
      <c r="G45" s="120"/>
      <c r="H45" s="120"/>
      <c r="I45" s="120"/>
      <c r="J45" s="120"/>
      <c r="K45" s="120"/>
      <c r="L45" s="120"/>
      <c r="M45" s="120"/>
      <c r="N45" s="120"/>
    </row>
    <row r="46" spans="1:14" ht="19" customHeight="1" x14ac:dyDescent="0.35">
      <c r="A46" s="120"/>
      <c r="B46" s="120"/>
      <c r="C46" s="120"/>
      <c r="D46" s="120"/>
      <c r="E46" s="120"/>
      <c r="F46" s="120"/>
      <c r="G46" s="120"/>
      <c r="H46" s="120"/>
      <c r="I46" s="120"/>
      <c r="J46" s="120"/>
      <c r="K46" s="120"/>
      <c r="L46" s="120"/>
      <c r="M46" s="120"/>
      <c r="N46" s="120"/>
    </row>
    <row r="47" spans="1:14" ht="19" customHeight="1" x14ac:dyDescent="0.35">
      <c r="A47" s="120"/>
      <c r="B47" s="120"/>
      <c r="C47" s="120"/>
      <c r="D47" s="120"/>
      <c r="E47" s="120"/>
      <c r="F47" s="120"/>
      <c r="G47" s="120"/>
      <c r="H47" s="120"/>
      <c r="I47" s="120"/>
      <c r="J47" s="120"/>
      <c r="K47" s="120"/>
      <c r="L47" s="120"/>
      <c r="M47" s="120"/>
      <c r="N47" s="120"/>
    </row>
    <row r="48" spans="1:14" ht="19" customHeight="1" x14ac:dyDescent="0.35">
      <c r="A48" s="120"/>
      <c r="B48" s="120"/>
      <c r="C48" s="120"/>
      <c r="D48" s="120"/>
      <c r="E48" s="120"/>
      <c r="F48" s="120"/>
      <c r="G48" s="120"/>
      <c r="H48" s="120"/>
      <c r="I48" s="120"/>
      <c r="J48" s="120"/>
      <c r="K48" s="120"/>
      <c r="L48" s="120"/>
      <c r="M48" s="120"/>
      <c r="N48" s="120"/>
    </row>
    <row r="49" spans="1:14" ht="19" customHeight="1" x14ac:dyDescent="0.35">
      <c r="A49" s="120"/>
      <c r="B49" s="120"/>
      <c r="C49" s="120"/>
      <c r="D49" s="120"/>
      <c r="E49" s="120"/>
      <c r="F49" s="120"/>
      <c r="G49" s="120"/>
      <c r="H49" s="120"/>
      <c r="I49" s="120"/>
      <c r="J49" s="120"/>
      <c r="K49" s="120"/>
      <c r="L49" s="120"/>
      <c r="M49" s="120"/>
      <c r="N49" s="120"/>
    </row>
    <row r="50" spans="1:14" ht="19" customHeight="1" x14ac:dyDescent="0.35">
      <c r="A50" s="120"/>
      <c r="B50" s="120"/>
      <c r="C50" s="120"/>
      <c r="D50" s="120"/>
      <c r="E50" s="120"/>
      <c r="F50" s="120"/>
      <c r="G50" s="120"/>
      <c r="H50" s="120"/>
      <c r="I50" s="120"/>
      <c r="J50" s="120"/>
      <c r="K50" s="120"/>
      <c r="L50" s="120"/>
      <c r="M50" s="120"/>
      <c r="N50" s="120"/>
    </row>
    <row r="51" spans="1:14" ht="19" customHeight="1" x14ac:dyDescent="0.35">
      <c r="A51" s="120"/>
      <c r="B51" s="120"/>
      <c r="C51" s="120"/>
      <c r="D51" s="120"/>
      <c r="E51" s="120"/>
      <c r="F51" s="120"/>
      <c r="G51" s="120"/>
      <c r="H51" s="120"/>
      <c r="I51" s="120"/>
      <c r="J51" s="120"/>
      <c r="K51" s="120"/>
      <c r="L51" s="120"/>
      <c r="M51" s="120"/>
      <c r="N51" s="120"/>
    </row>
    <row r="52" spans="1:14" ht="19" customHeight="1" x14ac:dyDescent="0.35">
      <c r="A52" s="120"/>
      <c r="B52" s="120"/>
      <c r="C52" s="120"/>
      <c r="D52" s="120"/>
      <c r="E52" s="120"/>
      <c r="F52" s="120"/>
      <c r="G52" s="120"/>
      <c r="H52" s="120"/>
      <c r="I52" s="120"/>
      <c r="J52" s="120"/>
      <c r="K52" s="120"/>
      <c r="L52" s="120"/>
      <c r="M52" s="120"/>
      <c r="N52" s="120"/>
    </row>
    <row r="53" spans="1:14" ht="19" customHeight="1" x14ac:dyDescent="0.35">
      <c r="A53" s="120"/>
      <c r="B53" s="120"/>
      <c r="C53" s="120"/>
      <c r="D53" s="120"/>
      <c r="E53" s="120"/>
      <c r="F53" s="120"/>
      <c r="G53" s="120"/>
      <c r="H53" s="120"/>
      <c r="I53" s="120"/>
      <c r="J53" s="120"/>
      <c r="K53" s="120"/>
      <c r="L53" s="120"/>
      <c r="M53" s="120"/>
      <c r="N53" s="120"/>
    </row>
    <row r="54" spans="1:14" ht="19" customHeight="1" x14ac:dyDescent="0.35">
      <c r="A54" s="120"/>
      <c r="B54" s="120"/>
      <c r="C54" s="120"/>
      <c r="D54" s="120"/>
      <c r="E54" s="120"/>
      <c r="F54" s="120"/>
      <c r="G54" s="120"/>
      <c r="H54" s="120"/>
      <c r="I54" s="120"/>
      <c r="J54" s="120"/>
      <c r="K54" s="120"/>
      <c r="L54" s="120"/>
      <c r="M54" s="120"/>
      <c r="N54" s="120"/>
    </row>
    <row r="55" spans="1:14" ht="19" customHeight="1" x14ac:dyDescent="0.35">
      <c r="A55" s="120"/>
      <c r="B55" s="120"/>
      <c r="C55" s="120"/>
      <c r="D55" s="120"/>
      <c r="E55" s="120"/>
      <c r="F55" s="120"/>
      <c r="G55" s="120"/>
      <c r="H55" s="120"/>
      <c r="I55" s="120"/>
      <c r="J55" s="120"/>
      <c r="K55" s="120"/>
      <c r="L55" s="120"/>
      <c r="M55" s="120"/>
      <c r="N55" s="120"/>
    </row>
    <row r="56" spans="1:14" ht="19" customHeight="1" x14ac:dyDescent="0.35">
      <c r="A56" s="120"/>
      <c r="B56" s="120"/>
      <c r="C56" s="120"/>
      <c r="D56" s="120"/>
      <c r="E56" s="120"/>
      <c r="F56" s="120"/>
      <c r="G56" s="120"/>
      <c r="H56" s="120"/>
      <c r="I56" s="120"/>
      <c r="J56" s="120"/>
      <c r="K56" s="120"/>
      <c r="L56" s="120"/>
      <c r="M56" s="120"/>
      <c r="N56" s="120"/>
    </row>
    <row r="57" spans="1:14" ht="19" customHeight="1" x14ac:dyDescent="0.35">
      <c r="A57" s="120"/>
      <c r="B57" s="120"/>
      <c r="C57" s="120"/>
      <c r="D57" s="120"/>
      <c r="E57" s="120"/>
      <c r="F57" s="120"/>
      <c r="G57" s="120"/>
      <c r="H57" s="120"/>
      <c r="I57" s="120"/>
      <c r="J57" s="120"/>
      <c r="K57" s="120"/>
      <c r="L57" s="120"/>
      <c r="M57" s="120"/>
      <c r="N57" s="120"/>
    </row>
    <row r="58" spans="1:14" ht="19" customHeight="1" x14ac:dyDescent="0.35">
      <c r="A58" s="120"/>
      <c r="B58" s="120"/>
      <c r="C58" s="120"/>
      <c r="D58" s="120"/>
      <c r="E58" s="120"/>
      <c r="F58" s="120"/>
      <c r="G58" s="120"/>
      <c r="H58" s="120"/>
      <c r="I58" s="120"/>
      <c r="J58" s="120"/>
      <c r="K58" s="120"/>
      <c r="L58" s="120"/>
      <c r="M58" s="120"/>
      <c r="N58" s="120"/>
    </row>
    <row r="59" spans="1:14" ht="19" customHeight="1" x14ac:dyDescent="0.35">
      <c r="A59" s="120"/>
      <c r="B59" s="120"/>
      <c r="C59" s="120"/>
      <c r="D59" s="120"/>
      <c r="E59" s="120"/>
      <c r="F59" s="120"/>
      <c r="G59" s="120"/>
      <c r="H59" s="120"/>
      <c r="I59" s="120"/>
      <c r="J59" s="120"/>
      <c r="K59" s="120"/>
      <c r="L59" s="120"/>
      <c r="M59" s="120"/>
      <c r="N59" s="120"/>
    </row>
    <row r="60" spans="1:14" ht="19" customHeight="1" x14ac:dyDescent="0.35">
      <c r="A60" s="120"/>
      <c r="B60" s="120"/>
      <c r="C60" s="120"/>
      <c r="D60" s="120"/>
      <c r="E60" s="120"/>
      <c r="F60" s="120"/>
      <c r="G60" s="120"/>
      <c r="H60" s="120"/>
      <c r="I60" s="120"/>
      <c r="J60" s="120"/>
      <c r="K60" s="120"/>
      <c r="L60" s="120"/>
      <c r="M60" s="120"/>
      <c r="N60" s="120"/>
    </row>
  </sheetData>
  <mergeCells count="3">
    <mergeCell ref="A1:N1"/>
    <mergeCell ref="A2:N2"/>
    <mergeCell ref="A20:N24"/>
  </mergeCells>
  <conditionalFormatting sqref="M11:M16">
    <cfRule type="dataBar" priority="1">
      <dataBar>
        <cfvo type="min"/>
        <cfvo type="max"/>
        <color rgb="FF638EC6"/>
      </dataBar>
      <extLst>
        <ext xmlns:x14="http://schemas.microsoft.com/office/spreadsheetml/2009/9/main" uri="{B025F937-C7B1-47D3-B67F-A62EFF666E3E}">
          <x14:id>{EF60E1E9-81E4-470A-BAF7-2BB45FCDF121}</x14:id>
        </ext>
      </extLst>
    </cfRule>
  </conditionalFormatting>
  <conditionalFormatting sqref="N11:N16">
    <cfRule type="colorScale" priority="2">
      <colorScale>
        <cfvo type="min"/>
        <cfvo type="num" val="0.5"/>
        <cfvo type="max"/>
        <color rgb="FFF8696B"/>
        <color rgb="FFFFEB84"/>
        <color rgb="FF63BE7B"/>
      </colorScale>
    </cfRule>
  </conditionalFormatting>
  <dataValidations count="5">
    <dataValidation type="decimal" operator="greaterThanOrEqual" allowBlank="1" showInputMessage="1" showErrorMessage="1" errorTitle="Invalid input" error="Budget cannot be negative." promptTitle="Monthly budget" prompt="Enter zero or a positive amount." sqref="B5" xr:uid="{02663534-3E09-4579-BB35-B6BDFEDCF119}">
      <formula1>0</formula1>
    </dataValidation>
    <dataValidation type="whole" allowBlank="1" showInputMessage="1" showErrorMessage="1" errorTitle="Invalid input" error="Priority must be 1 to 99." promptTitle="Priority" prompt="Enter a whole number; 1 is allocated first." sqref="A11:A16" xr:uid="{174711ED-69A6-43A4-AD3C-9296BC645612}">
      <formula1>1</formula1>
      <formula2>99</formula2>
    </dataValidation>
    <dataValidation type="decimal" operator="greaterThanOrEqual" allowBlank="1" showInputMessage="1" showErrorMessage="1" errorTitle="Invalid input" error="Amount cannot be negative." promptTitle="Goal amount" prompt="Enter zero or a positive amount." sqref="C11:D16" xr:uid="{C4CBEE32-8297-45C9-A991-2AA648055FB5}">
      <formula1>0</formula1>
    </dataValidation>
    <dataValidation type="decimal" allowBlank="1" showInputMessage="1" showErrorMessage="1" errorTitle="Invalid input" error="Years must be 0 to 100." promptTitle="Years away" prompt="Enter 0 to 100; 0 means due now." sqref="E11:E16" xr:uid="{716A7374-44AA-4555-BB16-1D4A05FDFCF3}">
      <formula1>0</formula1>
      <formula2>100</formula2>
    </dataValidation>
    <dataValidation type="decimal" allowBlank="1" showInputMessage="1" showErrorMessage="1" errorTitle="Invalid input" error="Rate must be 0 to 1." promptTitle="Rate" prompt="Enter a decimal rate from 0 to 1." sqref="F11:G16" xr:uid="{430B1644-C111-495A-B9E7-430719C09B8B}">
      <formula1>0</formula1>
      <formula2>1</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F60E1E9-81E4-470A-BAF7-2BB45FCDF121}">
            <x14:dataBar minLength="0" maxLength="100" negativeBarColorSameAsPositive="1" axisPosition="none">
              <x14:cfvo type="min"/>
              <x14:cfvo type="max"/>
            </x14:dataBar>
          </x14:cfRule>
          <xm:sqref>M11:M16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481C8-365F-4314-8EAB-AACE34FC3209}">
  <dimension ref="A1:L101"/>
  <sheetViews>
    <sheetView workbookViewId="0"/>
  </sheetViews>
  <sheetFormatPr defaultRowHeight="14.5" x14ac:dyDescent="0.35"/>
  <sheetData>
    <row r="1" spans="1:12" x14ac:dyDescent="0.35">
      <c r="A1" t="s">
        <v>817</v>
      </c>
      <c r="B1" t="s">
        <v>73</v>
      </c>
      <c r="C1" t="s">
        <v>200</v>
      </c>
      <c r="D1" t="s">
        <v>201</v>
      </c>
      <c r="E1" t="s">
        <v>821</v>
      </c>
      <c r="F1" t="s">
        <v>203</v>
      </c>
      <c r="G1" t="s">
        <v>204</v>
      </c>
      <c r="H1" t="s">
        <v>822</v>
      </c>
      <c r="I1" t="s">
        <v>206</v>
      </c>
      <c r="J1" t="s">
        <v>207</v>
      </c>
      <c r="K1" t="s">
        <v>823</v>
      </c>
      <c r="L1" t="s">
        <v>191</v>
      </c>
    </row>
    <row r="2" spans="1:12" x14ac:dyDescent="0.35">
      <c r="A2">
        <f>'Rent vs Buy'!$M6</f>
        <v>8</v>
      </c>
      <c r="B2">
        <f>1</f>
        <v>1</v>
      </c>
      <c r="C2">
        <f>'Rent vs Buy'!$B$13*12*(1+'Rent vs Buy'!$B$14/100)^(B2-1)</f>
        <v>300000</v>
      </c>
      <c r="D2">
        <f>'Rent vs Buy'!$E$5+'Rent vs Buy'!$E$6/12-'Rent vs Buy'!$B$13*(1+'Rent vs Buy'!$B$14/100)^(B2-1)</f>
        <v>43752.822849718868</v>
      </c>
      <c r="E2">
        <f>'Rent vs Buy'!$B$5-'Rent vs Buy'!$B$6+D2*12</f>
        <v>3025033.8741966262</v>
      </c>
      <c r="F2">
        <f>'Rent vs Buy'!$B$5*(1+'Rent vs Buy'!$B$10/100)^B2</f>
        <v>11000000</v>
      </c>
      <c r="G2">
        <f>IF(B2&gt;='Rent vs Buy'!$B$8,0,MAX(0,-FV('Rent vs Buy'!$B$7/1200,B2*12,-'Rent vs Buy'!$E$5,'Rent vs Buy'!$B$6)))</f>
        <v>7331760.9725863561</v>
      </c>
      <c r="H2">
        <f>(F2-F2*'Common Assumptions'!$B$29/100-MAX(0,F2-'Rent vs Buy'!$B$5-F2*'Common Assumptions'!$B$29/100)*'Common Assumptions'!$B$28/100-G2)/(1+'Rent vs Buy'!$B$11/100)^B2</f>
        <v>3342678.3277487205</v>
      </c>
      <c r="I2">
        <f>('Rent vs Buy'!$B$5-'Rent vs Buy'!$B$6)*(1+A2/1200)^12+FV(A2/1200,12,-D2,0,0)</f>
        <v>3252218.1747132279</v>
      </c>
      <c r="J2">
        <f>MAX(0,I2-E2-'Rent vs Buy'!$B$16)*'Rent vs Buy'!$B$15/100</f>
        <v>12773.037564575206</v>
      </c>
      <c r="K2">
        <f>(I2-J2)/(1+'Rent vs Buy'!$B$11/100)^B2</f>
        <v>3056080.3180647665</v>
      </c>
      <c r="L2">
        <f t="shared" ref="L2:L33" si="0">H2-K2</f>
        <v>286598.00968395406</v>
      </c>
    </row>
    <row r="3" spans="1:12" x14ac:dyDescent="0.35">
      <c r="A3">
        <f>'Rent vs Buy'!$M6</f>
        <v>8</v>
      </c>
      <c r="B3">
        <f>2</f>
        <v>2</v>
      </c>
      <c r="C3">
        <f>'Rent vs Buy'!$B$13*12*(1+'Rent vs Buy'!$B$14/100)^(B3-1)</f>
        <v>330000</v>
      </c>
      <c r="D3">
        <f>'Rent vs Buy'!$E$5+'Rent vs Buy'!$E$6/12-'Rent vs Buy'!$B$13*(1+'Rent vs Buy'!$B$14/100)^(B3-1)</f>
        <v>41252.822849718868</v>
      </c>
      <c r="E3">
        <f t="shared" ref="E3:E21" si="1">E2+D3*12</f>
        <v>3520067.7483932525</v>
      </c>
      <c r="F3">
        <f>'Rent vs Buy'!$B$5*(1+'Rent vs Buy'!$B$10/100)^B3</f>
        <v>12100000.000000002</v>
      </c>
      <c r="G3">
        <f>IF(B3&gt;='Rent vs Buy'!$B$8,0,MAX(0,-FV('Rent vs Buy'!$B$7/1200,B3*12,-'Rent vs Buy'!$E$5,'Rent vs Buy'!$B$6)))</f>
        <v>7150461.1122455802</v>
      </c>
      <c r="H3">
        <f>(F3-F3*'Common Assumptions'!$B$29/100-MAX(0,F3-'Rent vs Buy'!$B$5-F3*'Common Assumptions'!$B$29/100)*'Common Assumptions'!$B$28/100-G3)/(1+'Rent vs Buy'!$B$11/100)^B3</f>
        <v>4171447.9243097375</v>
      </c>
      <c r="I3">
        <f t="shared" ref="I3:I21" si="2">I2*(1+A3/1200)^12+FV(A3/1200,12,-D3,0,0)</f>
        <v>4035745.2718864828</v>
      </c>
      <c r="J3">
        <f>MAX(0,I3-E3-'Rent vs Buy'!$B$16)*'Rent vs Buy'!$B$15/100</f>
        <v>48834.690436653793</v>
      </c>
      <c r="K3">
        <f>(I3-J3)/(1+'Rent vs Buy'!$B$11/100)^B3</f>
        <v>3548336.2241454506</v>
      </c>
      <c r="L3">
        <f t="shared" si="0"/>
        <v>623111.70016428689</v>
      </c>
    </row>
    <row r="4" spans="1:12" x14ac:dyDescent="0.35">
      <c r="A4">
        <f>'Rent vs Buy'!$M6</f>
        <v>8</v>
      </c>
      <c r="B4">
        <f>3</f>
        <v>3</v>
      </c>
      <c r="C4">
        <f>'Rent vs Buy'!$B$13*12*(1+'Rent vs Buy'!$B$14/100)^(B4-1)</f>
        <v>363000.00000000006</v>
      </c>
      <c r="D4">
        <f>'Rent vs Buy'!$E$5+'Rent vs Buy'!$E$6/12-'Rent vs Buy'!$B$13*(1+'Rent vs Buy'!$B$14/100)^(B4-1)</f>
        <v>38502.822849718868</v>
      </c>
      <c r="E4">
        <f t="shared" si="1"/>
        <v>3982101.6225898787</v>
      </c>
      <c r="F4">
        <f>'Rent vs Buy'!$B$5*(1+'Rent vs Buy'!$B$10/100)^B4</f>
        <v>13310000.000000004</v>
      </c>
      <c r="G4">
        <f>IF(B4&gt;='Rent vs Buy'!$B$8,0,MAX(0,-FV('Rent vs Buy'!$B$7/1200,B4*12,-'Rent vs Buy'!$E$5,'Rent vs Buy'!$B$6)))</f>
        <v>6955086.4725743141</v>
      </c>
      <c r="H4">
        <f>(F4-F4*'Common Assumptions'!$B$29/100-MAX(0,F4-'Rent vs Buy'!$B$5-F4*'Common Assumptions'!$B$29/100)*'Common Assumptions'!$B$28/100-G4)/(1+'Rent vs Buy'!$B$11/100)^B4</f>
        <v>4988315.4612748176</v>
      </c>
      <c r="I4">
        <f t="shared" si="2"/>
        <v>4850067.4351373399</v>
      </c>
      <c r="J4">
        <f>MAX(0,I4-E4-'Rent vs Buy'!$B$16)*'Rent vs Buy'!$B$15/100</f>
        <v>92870.726568432641</v>
      </c>
      <c r="K4">
        <f>(I4-J4)/(1+'Rent vs Buy'!$B$11/100)^B4</f>
        <v>3994234.0896922513</v>
      </c>
      <c r="L4">
        <f t="shared" si="0"/>
        <v>994081.37158256629</v>
      </c>
    </row>
    <row r="5" spans="1:12" x14ac:dyDescent="0.35">
      <c r="A5">
        <f>'Rent vs Buy'!$M6</f>
        <v>8</v>
      </c>
      <c r="B5">
        <f>4</f>
        <v>4</v>
      </c>
      <c r="C5">
        <f>'Rent vs Buy'!$B$13*12*(1+'Rent vs Buy'!$B$14/100)^(B5-1)</f>
        <v>399300.00000000012</v>
      </c>
      <c r="D5">
        <f>'Rent vs Buy'!$E$5+'Rent vs Buy'!$E$6/12-'Rent vs Buy'!$B$13*(1+'Rent vs Buy'!$B$14/100)^(B5-1)</f>
        <v>35477.822849718861</v>
      </c>
      <c r="E5">
        <f t="shared" si="1"/>
        <v>4407835.496786505</v>
      </c>
      <c r="F5">
        <f>'Rent vs Buy'!$B$5*(1+'Rent vs Buy'!$B$10/100)^B5</f>
        <v>14641000.000000004</v>
      </c>
      <c r="G5">
        <f>IF(B5&gt;='Rent vs Buy'!$B$8,0,MAX(0,-FV('Rent vs Buy'!$B$7/1200,B5*12,-'Rent vs Buy'!$E$5,'Rent vs Buy'!$B$6)))</f>
        <v>6744544.3918748088</v>
      </c>
      <c r="H5">
        <f>(F5-F5*'Common Assumptions'!$B$29/100-MAX(0,F5-'Rent vs Buy'!$B$5-F5*'Common Assumptions'!$B$29/100)*'Common Assumptions'!$B$28/100-G5)/(1+'Rent vs Buy'!$B$11/100)^B5</f>
        <v>5795219.1128503392</v>
      </c>
      <c r="I5">
        <f t="shared" si="2"/>
        <v>5694316.9101065351</v>
      </c>
      <c r="J5">
        <f>MAX(0,I5-E5-'Rent vs Buy'!$B$16)*'Rent vs Buy'!$B$15/100</f>
        <v>145185.17666500376</v>
      </c>
      <c r="K5">
        <f>(I5-J5)/(1+'Rent vs Buy'!$B$11/100)^B5</f>
        <v>4395432.0825320492</v>
      </c>
      <c r="L5">
        <f t="shared" si="0"/>
        <v>1399787.03031829</v>
      </c>
    </row>
    <row r="6" spans="1:12" x14ac:dyDescent="0.35">
      <c r="A6">
        <f>'Rent vs Buy'!$M6</f>
        <v>8</v>
      </c>
      <c r="B6">
        <f>5</f>
        <v>5</v>
      </c>
      <c r="C6">
        <f>'Rent vs Buy'!$B$13*12*(1+'Rent vs Buy'!$B$14/100)^(B6-1)</f>
        <v>439230.00000000012</v>
      </c>
      <c r="D6">
        <f>'Rent vs Buy'!$E$5+'Rent vs Buy'!$E$6/12-'Rent vs Buy'!$B$13*(1+'Rent vs Buy'!$B$14/100)^(B6-1)</f>
        <v>32150.322849718861</v>
      </c>
      <c r="E6">
        <f t="shared" si="1"/>
        <v>4793639.3709831312</v>
      </c>
      <c r="F6">
        <f>'Rent vs Buy'!$B$5*(1+'Rent vs Buy'!$B$10/100)^B6</f>
        <v>16105100.000000006</v>
      </c>
      <c r="G6">
        <f>IF(B6&gt;='Rent vs Buy'!$B$8,0,MAX(0,-FV('Rent vs Buy'!$B$7/1200,B6*12,-'Rent vs Buy'!$E$5,'Rent vs Buy'!$B$6)))</f>
        <v>6517657.3822820429</v>
      </c>
      <c r="H6">
        <f>(F6-F6*'Common Assumptions'!$B$29/100-MAX(0,F6-'Rent vs Buy'!$B$5-F6*'Common Assumptions'!$B$29/100)*'Common Assumptions'!$B$28/100-G6)/(1+'Rent vs Buy'!$B$11/100)^B6</f>
        <v>6594034.1190785198</v>
      </c>
      <c r="I6">
        <f t="shared" si="2"/>
        <v>6567211.546285375</v>
      </c>
      <c r="J6">
        <f>MAX(0,I6-E6-'Rent vs Buy'!$B$16)*'Rent vs Buy'!$B$15/100</f>
        <v>206071.52191278047</v>
      </c>
      <c r="K6">
        <f>(I6-J6)/(1+'Rent vs Buy'!$B$11/100)^B6</f>
        <v>4753413.8719578097</v>
      </c>
      <c r="L6">
        <f t="shared" si="0"/>
        <v>1840620.2471207101</v>
      </c>
    </row>
    <row r="7" spans="1:12" x14ac:dyDescent="0.35">
      <c r="A7">
        <f>'Rent vs Buy'!$M6</f>
        <v>8</v>
      </c>
      <c r="B7">
        <f>6</f>
        <v>6</v>
      </c>
      <c r="C7">
        <f>'Rent vs Buy'!$B$13*12*(1+'Rent vs Buy'!$B$14/100)^(B7-1)</f>
        <v>483153.00000000017</v>
      </c>
      <c r="D7">
        <f>'Rent vs Buy'!$E$5+'Rent vs Buy'!$E$6/12-'Rent vs Buy'!$B$13*(1+'Rent vs Buy'!$B$14/100)^(B7-1)</f>
        <v>28490.072849718854</v>
      </c>
      <c r="E7">
        <f t="shared" si="1"/>
        <v>5135520.2451797575</v>
      </c>
      <c r="F7">
        <f>'Rent vs Buy'!$B$5*(1+'Rent vs Buy'!$B$10/100)^B7</f>
        <v>17715610.000000007</v>
      </c>
      <c r="G7">
        <f>IF(B7&gt;='Rent vs Buy'!$B$8,0,MAX(0,-FV('Rent vs Buy'!$B$7/1200,B7*12,-'Rent vs Buy'!$E$5,'Rent vs Buy'!$B$6)))</f>
        <v>6273156.5444879187</v>
      </c>
      <c r="H7">
        <f>(F7-F7*'Common Assumptions'!$B$29/100-MAX(0,F7-'Rent vs Buy'!$B$5-F7*'Common Assumptions'!$B$29/100)*'Common Assumptions'!$B$28/100-G7)/(1+'Rent vs Buy'!$B$11/100)^B7</f>
        <v>7386578.0975259217</v>
      </c>
      <c r="I7">
        <f t="shared" si="2"/>
        <v>7466986.165043151</v>
      </c>
      <c r="J7">
        <f>MAX(0,I7-E7-'Rent vs Buy'!$B$16)*'Rent vs Buy'!$B$15/100</f>
        <v>275808.23998292419</v>
      </c>
      <c r="K7">
        <f>(I7-J7)/(1+'Rent vs Buy'!$B$11/100)^B7</f>
        <v>5069496.6764483275</v>
      </c>
      <c r="L7">
        <f t="shared" si="0"/>
        <v>2317081.4210775942</v>
      </c>
    </row>
    <row r="8" spans="1:12" x14ac:dyDescent="0.35">
      <c r="A8">
        <f>'Rent vs Buy'!$M6</f>
        <v>8</v>
      </c>
      <c r="B8">
        <f>7</f>
        <v>7</v>
      </c>
      <c r="C8">
        <f>'Rent vs Buy'!$B$13*12*(1+'Rent vs Buy'!$B$14/100)^(B8-1)</f>
        <v>531468.30000000028</v>
      </c>
      <c r="D8">
        <f>'Rent vs Buy'!$E$5+'Rent vs Buy'!$E$6/12-'Rent vs Buy'!$B$13*(1+'Rent vs Buy'!$B$14/100)^(B8-1)</f>
        <v>24463.797849718845</v>
      </c>
      <c r="E8">
        <f t="shared" si="1"/>
        <v>5429085.8193763839</v>
      </c>
      <c r="F8">
        <f>'Rent vs Buy'!$B$5*(1+'Rent vs Buy'!$B$10/100)^B8</f>
        <v>19487171.000000011</v>
      </c>
      <c r="G8">
        <f>IF(B8&gt;='Rent vs Buy'!$B$8,0,MAX(0,-FV('Rent vs Buy'!$B$7/1200,B8*12,-'Rent vs Buy'!$E$5,'Rent vs Buy'!$B$6)))</f>
        <v>6009674.4712333586</v>
      </c>
      <c r="H8">
        <f>(F8-F8*'Common Assumptions'!$B$29/100-MAX(0,F8-'Rent vs Buy'!$B$5-F8*'Common Assumptions'!$B$29/100)*'Common Assumptions'!$B$28/100-G8)/(1+'Rent vs Buy'!$B$11/100)^B8</f>
        <v>8174616.1200639112</v>
      </c>
      <c r="I8">
        <f t="shared" si="2"/>
        <v>8391314.8075050265</v>
      </c>
      <c r="J8">
        <f>MAX(0,I8-E8-'Rent vs Buy'!$B$16)*'Rent vs Buy'!$B$15/100</f>
        <v>354653.62351608032</v>
      </c>
      <c r="K8">
        <f>(I8-J8)/(1+'Rent vs Buy'!$B$11/100)^B8</f>
        <v>5344838.6901843548</v>
      </c>
      <c r="L8">
        <f t="shared" si="0"/>
        <v>2829777.4298795564</v>
      </c>
    </row>
    <row r="9" spans="1:12" x14ac:dyDescent="0.35">
      <c r="A9">
        <f>'Rent vs Buy'!$M6</f>
        <v>8</v>
      </c>
      <c r="B9">
        <f>8</f>
        <v>8</v>
      </c>
      <c r="C9">
        <f>'Rent vs Buy'!$B$13*12*(1+'Rent vs Buy'!$B$14/100)^(B9-1)</f>
        <v>584615.13000000035</v>
      </c>
      <c r="D9">
        <f>'Rent vs Buy'!$E$5+'Rent vs Buy'!$E$6/12-'Rent vs Buy'!$B$13*(1+'Rent vs Buy'!$B$14/100)^(B9-1)</f>
        <v>20034.895349718841</v>
      </c>
      <c r="E9">
        <f t="shared" si="1"/>
        <v>5669504.5635730103</v>
      </c>
      <c r="F9">
        <f>'Rent vs Buy'!$B$5*(1+'Rent vs Buy'!$B$10/100)^B9</f>
        <v>21435888.100000013</v>
      </c>
      <c r="G9">
        <f>IF(B9&gt;='Rent vs Buy'!$B$8,0,MAX(0,-FV('Rent vs Buy'!$B$7/1200,B9*12,-'Rent vs Buy'!$E$5,'Rent vs Buy'!$B$6)))</f>
        <v>5725737.5998800723</v>
      </c>
      <c r="H9">
        <f>(F9-F9*'Common Assumptions'!$B$29/100-MAX(0,F9-'Rent vs Buy'!$B$5-F9*'Common Assumptions'!$B$29/100)*'Common Assumptions'!$B$28/100-G9)/(1+'Rent vs Buy'!$B$11/100)^B9</f>
        <v>8959865.5705146343</v>
      </c>
      <c r="I9">
        <f t="shared" si="2"/>
        <v>9337222.7629395109</v>
      </c>
      <c r="J9">
        <f>MAX(0,I9-E9-'Rent vs Buy'!$B$16)*'Rent vs Buy'!$B$15/100</f>
        <v>442839.77492081258</v>
      </c>
      <c r="K9">
        <f>(I9-J9)/(1+'Rent vs Buy'!$B$11/100)^B9</f>
        <v>5580445.9221352125</v>
      </c>
      <c r="L9">
        <f t="shared" si="0"/>
        <v>3379419.6483794218</v>
      </c>
    </row>
    <row r="10" spans="1:12" x14ac:dyDescent="0.35">
      <c r="A10">
        <f>'Rent vs Buy'!$M6</f>
        <v>8</v>
      </c>
      <c r="B10">
        <f>9</f>
        <v>9</v>
      </c>
      <c r="C10">
        <f>'Rent vs Buy'!$B$13*12*(1+'Rent vs Buy'!$B$14/100)^(B10-1)</f>
        <v>643076.64300000039</v>
      </c>
      <c r="D10">
        <f>'Rent vs Buy'!$E$5+'Rent vs Buy'!$E$6/12-'Rent vs Buy'!$B$13*(1+'Rent vs Buy'!$B$14/100)^(B10-1)</f>
        <v>15163.102599718841</v>
      </c>
      <c r="E10">
        <f t="shared" si="1"/>
        <v>5851461.7947696364</v>
      </c>
      <c r="F10">
        <f>'Rent vs Buy'!$B$5*(1+'Rent vs Buy'!$B$10/100)^B10</f>
        <v>23579476.910000015</v>
      </c>
      <c r="G10">
        <f>IF(B10&gt;='Rent vs Buy'!$B$8,0,MAX(0,-FV('Rent vs Buy'!$B$7/1200,B10*12,-'Rent vs Buy'!$E$5,'Rent vs Buy'!$B$6)))</f>
        <v>5419757.9712925795</v>
      </c>
      <c r="H10">
        <f>(F10-F10*'Common Assumptions'!$B$29/100-MAX(0,F10-'Rent vs Buy'!$B$5-F10*'Common Assumptions'!$B$29/100)*'Common Assumptions'!$B$28/100-G10)/(1+'Rent vs Buy'!$B$11/100)^B10</f>
        <v>9744000.7981367186</v>
      </c>
      <c r="I10">
        <f t="shared" si="2"/>
        <v>10300987.152832596</v>
      </c>
      <c r="J10">
        <f>MAX(0,I10-E10-'Rent vs Buy'!$B$16)*'Rent vs Buy'!$B$15/100</f>
        <v>540565.66975786991</v>
      </c>
      <c r="K10">
        <f>(I10-J10)/(1+'Rent vs Buy'!$B$11/100)^B10</f>
        <v>5777178.4792373786</v>
      </c>
      <c r="L10">
        <f t="shared" si="0"/>
        <v>3966822.31889934</v>
      </c>
    </row>
    <row r="11" spans="1:12" x14ac:dyDescent="0.35">
      <c r="A11">
        <f>'Rent vs Buy'!$M6</f>
        <v>8</v>
      </c>
      <c r="B11">
        <f>10</f>
        <v>10</v>
      </c>
      <c r="C11">
        <f>'Rent vs Buy'!$B$13*12*(1+'Rent vs Buy'!$B$14/100)^(B11-1)</f>
        <v>707384.30730000045</v>
      </c>
      <c r="D11">
        <f>'Rent vs Buy'!$E$5+'Rent vs Buy'!$E$6/12-'Rent vs Buy'!$B$13*(1+'Rent vs Buy'!$B$14/100)^(B11-1)</f>
        <v>9804.1305747188308</v>
      </c>
      <c r="E11">
        <f t="shared" si="1"/>
        <v>5969111.3616662621</v>
      </c>
      <c r="F11">
        <f>'Rent vs Buy'!$B$5*(1+'Rent vs Buy'!$B$10/100)^B11</f>
        <v>25937424.601000018</v>
      </c>
      <c r="G11">
        <f>IF(B11&gt;='Rent vs Buy'!$B$8,0,MAX(0,-FV('Rent vs Buy'!$B$7/1200,B11*12,-'Rent vs Buy'!$E$5,'Rent vs Buy'!$B$6)))</f>
        <v>5090024.3489408363</v>
      </c>
      <c r="H11">
        <f>(F11-F11*'Common Assumptions'!$B$29/100-MAX(0,F11-'Rent vs Buy'!$B$5-F11*'Common Assumptions'!$B$29/100)*'Common Assumptions'!$B$28/100-G11)/(1+'Rent vs Buy'!$B$11/100)^B11</f>
        <v>10528657.581174146</v>
      </c>
      <c r="I11">
        <f t="shared" si="2"/>
        <v>11278024.706504913</v>
      </c>
      <c r="J11">
        <f>MAX(0,I11-E11-'Rent vs Buy'!$B$16)*'Rent vs Buy'!$B$15/100</f>
        <v>647989.16810483136</v>
      </c>
      <c r="K11">
        <f>(I11-J11)/(1+'Rent vs Buy'!$B$11/100)^B11</f>
        <v>5935756.3230646886</v>
      </c>
      <c r="L11">
        <f t="shared" si="0"/>
        <v>4592901.2581094578</v>
      </c>
    </row>
    <row r="12" spans="1:12" x14ac:dyDescent="0.35">
      <c r="A12">
        <f>'Rent vs Buy'!$M6</f>
        <v>8</v>
      </c>
      <c r="B12">
        <f>11</f>
        <v>11</v>
      </c>
      <c r="C12">
        <f>'Rent vs Buy'!$B$13*12*(1+'Rent vs Buy'!$B$14/100)^(B12-1)</f>
        <v>778122.73803000059</v>
      </c>
      <c r="D12">
        <f>'Rent vs Buy'!$E$5+'Rent vs Buy'!$E$6/12-'Rent vs Buy'!$B$13*(1+'Rent vs Buy'!$B$14/100)^(B12-1)</f>
        <v>3909.2613472188241</v>
      </c>
      <c r="E12">
        <f t="shared" si="1"/>
        <v>6016022.4978328878</v>
      </c>
      <c r="F12">
        <f>'Rent vs Buy'!$B$5*(1+'Rent vs Buy'!$B$10/100)^B12</f>
        <v>28531167.061100025</v>
      </c>
      <c r="G12">
        <f>IF(B12&gt;='Rent vs Buy'!$B$8,0,MAX(0,-FV('Rent vs Buy'!$B$7/1200,B12*12,-'Rent vs Buy'!$E$5,'Rent vs Buy'!$B$6)))</f>
        <v>4734692.6485557146</v>
      </c>
      <c r="H12">
        <f>(F12-F12*'Common Assumptions'!$B$29/100-MAX(0,F12-'Rent vs Buy'!$B$5-F12*'Common Assumptions'!$B$29/100)*'Common Assumptions'!$B$28/100-G12)/(1+'Rent vs Buy'!$B$11/100)^B12</f>
        <v>11315437.413987285</v>
      </c>
      <c r="I12">
        <f t="shared" si="2"/>
        <v>12262765.209477859</v>
      </c>
      <c r="J12">
        <f>MAX(0,I12-E12-'Rent vs Buy'!$B$16)*'Rent vs Buy'!$B$15/100</f>
        <v>765217.83895562147</v>
      </c>
      <c r="K12">
        <f>(I12-J12)/(1+'Rent vs Buy'!$B$11/100)^B12</f>
        <v>6056764.5273903431</v>
      </c>
      <c r="L12">
        <f t="shared" si="0"/>
        <v>5258672.8865969414</v>
      </c>
    </row>
    <row r="13" spans="1:12" x14ac:dyDescent="0.35">
      <c r="A13">
        <f>'Rent vs Buy'!$M6</f>
        <v>8</v>
      </c>
      <c r="B13">
        <f>12</f>
        <v>12</v>
      </c>
      <c r="C13">
        <f>'Rent vs Buy'!$B$13*12*(1+'Rent vs Buy'!$B$14/100)^(B13-1)</f>
        <v>855935.0118330007</v>
      </c>
      <c r="D13">
        <f>'Rent vs Buy'!$E$5+'Rent vs Buy'!$E$6/12-'Rent vs Buy'!$B$13*(1+'Rent vs Buy'!$B$14/100)^(B13-1)</f>
        <v>-2575.0948030311993</v>
      </c>
      <c r="E13">
        <f t="shared" si="1"/>
        <v>5985121.3601965131</v>
      </c>
      <c r="F13">
        <f>'Rent vs Buy'!$B$5*(1+'Rent vs Buy'!$B$10/100)^B13</f>
        <v>31384283.767210025</v>
      </c>
      <c r="G13">
        <f>IF(B13&gt;='Rent vs Buy'!$B$8,0,MAX(0,-FV('Rent vs Buy'!$B$7/1200,B13*12,-'Rent vs Buy'!$E$5,'Rent vs Buy'!$B$6)))</f>
        <v>4351775.6248137653</v>
      </c>
      <c r="H13">
        <f>(F13-F13*'Common Assumptions'!$B$29/100-MAX(0,F13-'Rent vs Buy'!$B$5-F13*'Common Assumptions'!$B$29/100)*'Common Assumptions'!$B$28/100-G13)/(1+'Rent vs Buy'!$B$11/100)^B13</f>
        <v>12105911.630624209</v>
      </c>
      <c r="I13">
        <f t="shared" si="2"/>
        <v>13248508.934165686</v>
      </c>
      <c r="J13">
        <f>MAX(0,I13-E13-'Rent vs Buy'!$B$16)*'Rent vs Buy'!$B$15/100</f>
        <v>892298.44674614666</v>
      </c>
      <c r="K13">
        <f>(I13-J13)/(1+'Rent vs Buy'!$B$11/100)^B13</f>
        <v>6140658.0621563476</v>
      </c>
      <c r="L13">
        <f t="shared" si="0"/>
        <v>5965253.568467861</v>
      </c>
    </row>
    <row r="14" spans="1:12" x14ac:dyDescent="0.35">
      <c r="A14">
        <f>'Rent vs Buy'!$M6</f>
        <v>8</v>
      </c>
      <c r="B14">
        <f>13</f>
        <v>13</v>
      </c>
      <c r="C14">
        <f>'Rent vs Buy'!$B$13*12*(1+'Rent vs Buy'!$B$14/100)^(B14-1)</f>
        <v>941528.51301630074</v>
      </c>
      <c r="D14">
        <f>'Rent vs Buy'!$E$5+'Rent vs Buy'!$E$6/12-'Rent vs Buy'!$B$13*(1+'Rent vs Buy'!$B$14/100)^(B14-1)</f>
        <v>-9707.8865683062031</v>
      </c>
      <c r="E14">
        <f t="shared" si="1"/>
        <v>5868626.7213768391</v>
      </c>
      <c r="F14">
        <f>'Rent vs Buy'!$B$5*(1+'Rent vs Buy'!$B$10/100)^B14</f>
        <v>34522712.143931031</v>
      </c>
      <c r="G14">
        <f>IF(B14&gt;='Rent vs Buy'!$B$8,0,MAX(0,-FV('Rent vs Buy'!$B$7/1200,B14*12,-'Rent vs Buy'!$E$5,'Rent vs Buy'!$B$6)))</f>
        <v>3939131.7573725078</v>
      </c>
      <c r="H14">
        <f>(F14-F14*'Common Assumptions'!$B$29/100-MAX(0,F14-'Rent vs Buy'!$B$5-F14*'Common Assumptions'!$B$29/100)*'Common Assumptions'!$B$28/100-G14)/(1+'Rent vs Buy'!$B$11/100)^B14</f>
        <v>12901625.37707085</v>
      </c>
      <c r="I14">
        <f t="shared" si="2"/>
        <v>14227266.172039429</v>
      </c>
      <c r="J14">
        <f>MAX(0,I14-E14-'Rent vs Buy'!$B$16)*'Rent vs Buy'!$B$15/100</f>
        <v>1029204.9313328236</v>
      </c>
      <c r="K14">
        <f>(I14-J14)/(1+'Rent vs Buy'!$B$11/100)^B14</f>
        <v>6187766.1275889045</v>
      </c>
      <c r="L14">
        <f t="shared" si="0"/>
        <v>6713859.2494819453</v>
      </c>
    </row>
    <row r="15" spans="1:12" x14ac:dyDescent="0.35">
      <c r="A15">
        <f>'Rent vs Buy'!$M6</f>
        <v>8</v>
      </c>
      <c r="B15">
        <f>14</f>
        <v>14</v>
      </c>
      <c r="C15">
        <f>'Rent vs Buy'!$B$13*12*(1+'Rent vs Buy'!$B$14/100)^(B15-1)</f>
        <v>1035681.3643179309</v>
      </c>
      <c r="D15">
        <f>'Rent vs Buy'!$E$5+'Rent vs Buy'!$E$6/12-'Rent vs Buy'!$B$13*(1+'Rent vs Buy'!$B$14/100)^(B15-1)</f>
        <v>-17553.95751010871</v>
      </c>
      <c r="E15">
        <f t="shared" si="1"/>
        <v>5657979.231255535</v>
      </c>
      <c r="F15">
        <f>'Rent vs Buy'!$B$5*(1+'Rent vs Buy'!$B$10/100)^B15</f>
        <v>37974983.35832414</v>
      </c>
      <c r="G15">
        <f>IF(B15&gt;='Rent vs Buy'!$B$8,0,MAX(0,-FV('Rent vs Buy'!$B$7/1200,B15*12,-'Rent vs Buy'!$E$5,'Rent vs Buy'!$B$6)))</f>
        <v>3494453.2740997896</v>
      </c>
      <c r="H15">
        <f>(F15-F15*'Common Assumptions'!$B$29/100-MAX(0,F15-'Rent vs Buy'!$B$5-F15*'Common Assumptions'!$B$29/100)*'Common Assumptions'!$B$28/100-G15)/(1+'Rent vs Buy'!$B$11/100)^B15</f>
        <v>13704101.443838244</v>
      </c>
      <c r="I15">
        <f t="shared" si="2"/>
        <v>15189576.77515902</v>
      </c>
      <c r="J15">
        <f>MAX(0,I15-E15-'Rent vs Buy'!$B$16)*'Rent vs Buy'!$B$15/100</f>
        <v>1175824.6929879356</v>
      </c>
      <c r="K15">
        <f>(I15-J15)/(1+'Rent vs Buy'!$B$11/100)^B15</f>
        <v>6198296.0605219193</v>
      </c>
      <c r="L15">
        <f t="shared" si="0"/>
        <v>7505805.383316325</v>
      </c>
    </row>
    <row r="16" spans="1:12" x14ac:dyDescent="0.35">
      <c r="A16">
        <f>'Rent vs Buy'!$M6</f>
        <v>8</v>
      </c>
      <c r="B16">
        <f>15</f>
        <v>15</v>
      </c>
      <c r="C16">
        <f>'Rent vs Buy'!$B$13*12*(1+'Rent vs Buy'!$B$14/100)^(B16-1)</f>
        <v>1139249.5007497242</v>
      </c>
      <c r="D16">
        <f>'Rent vs Buy'!$E$5+'Rent vs Buy'!$E$6/12-'Rent vs Buy'!$B$13*(1+'Rent vs Buy'!$B$14/100)^(B16-1)</f>
        <v>-26184.635546091478</v>
      </c>
      <c r="E16">
        <f t="shared" si="1"/>
        <v>5343763.6047024373</v>
      </c>
      <c r="F16">
        <f>'Rent vs Buy'!$B$5*(1+'Rent vs Buy'!$B$10/100)^B16</f>
        <v>41772481.69415655</v>
      </c>
      <c r="G16">
        <f>IF(B16&gt;='Rent vs Buy'!$B$8,0,MAX(0,-FV('Rent vs Buy'!$B$7/1200,B16*12,-'Rent vs Buy'!$E$5,'Rent vs Buy'!$B$6)))</f>
        <v>3015253.2445152439</v>
      </c>
      <c r="H16">
        <f>(F16-F16*'Common Assumptions'!$B$29/100-MAX(0,F16-'Rent vs Buy'!$B$5-F16*'Common Assumptions'!$B$29/100)*'Common Assumptions'!$B$28/100-G16)/(1+'Rent vs Buy'!$B$11/100)^B16</f>
        <v>14514843.970001906</v>
      </c>
      <c r="I16">
        <f t="shared" si="2"/>
        <v>16124307.380673029</v>
      </c>
      <c r="J16">
        <f>MAX(0,I16-E16-'Rent vs Buy'!$B$16)*'Rent vs Buy'!$B$15/100</f>
        <v>1331942.9719963239</v>
      </c>
      <c r="K16">
        <f>(I16-J16)/(1+'Rent vs Buy'!$B$11/100)^B16</f>
        <v>6172336.8334087301</v>
      </c>
      <c r="L16">
        <f t="shared" si="0"/>
        <v>8342507.1365931761</v>
      </c>
    </row>
    <row r="17" spans="1:12" x14ac:dyDescent="0.35">
      <c r="A17">
        <f>'Rent vs Buy'!$M6</f>
        <v>8</v>
      </c>
      <c r="B17">
        <f>16</f>
        <v>16</v>
      </c>
      <c r="C17">
        <f>'Rent vs Buy'!$B$13*12*(1+'Rent vs Buy'!$B$14/100)^(B17-1)</f>
        <v>1253174.4508246966</v>
      </c>
      <c r="D17">
        <f>'Rent vs Buy'!$E$5+'Rent vs Buy'!$E$6/12-'Rent vs Buy'!$B$13*(1+'Rent vs Buy'!$B$14/100)^(B17-1)</f>
        <v>-35678.381385672517</v>
      </c>
      <c r="E17">
        <f t="shared" si="1"/>
        <v>4915623.028074367</v>
      </c>
      <c r="F17">
        <f>'Rent vs Buy'!$B$5*(1+'Rent vs Buy'!$B$10/100)^B17</f>
        <v>45949729.86357221</v>
      </c>
      <c r="G17">
        <f>IF(B17&gt;='Rent vs Buy'!$B$8,0,MAX(0,-FV('Rent vs Buy'!$B$7/1200,B17*12,-'Rent vs Buy'!$E$5,'Rent vs Buy'!$B$6)))</f>
        <v>2498851.6712621674</v>
      </c>
      <c r="H17">
        <f>(F17-F17*'Common Assumptions'!$B$29/100-MAX(0,F17-'Rent vs Buy'!$B$5-F17*'Common Assumptions'!$B$29/100)*'Common Assumptions'!$B$28/100-G17)/(1+'Rent vs Buy'!$B$11/100)^B17</f>
        <v>15335342.029300097</v>
      </c>
      <c r="I17">
        <f t="shared" si="2"/>
        <v>17018423.732076425</v>
      </c>
      <c r="J17">
        <f>MAX(0,I17-E17-'Rent vs Buy'!$B$16)*'Rent vs Buy'!$B$15/100</f>
        <v>1497225.0880002573</v>
      </c>
      <c r="K17">
        <f>(I17-J17)/(1+'Rent vs Buy'!$B$11/100)^B17</f>
        <v>6109862.1650083307</v>
      </c>
      <c r="L17">
        <f t="shared" si="0"/>
        <v>9225479.8642917667</v>
      </c>
    </row>
    <row r="18" spans="1:12" x14ac:dyDescent="0.35">
      <c r="A18">
        <f>'Rent vs Buy'!$M6</f>
        <v>8</v>
      </c>
      <c r="B18">
        <f>17</f>
        <v>17</v>
      </c>
      <c r="C18">
        <f>'Rent vs Buy'!$B$13*12*(1+'Rent vs Buy'!$B$14/100)^(B18-1)</f>
        <v>1378491.8959071664</v>
      </c>
      <c r="D18">
        <f>'Rent vs Buy'!$E$5+'Rent vs Buy'!$E$6/12-'Rent vs Buy'!$B$13*(1+'Rent vs Buy'!$B$14/100)^(B18-1)</f>
        <v>-46121.501809211652</v>
      </c>
      <c r="E18">
        <f t="shared" si="1"/>
        <v>4362165.0063638268</v>
      </c>
      <c r="F18">
        <f>'Rent vs Buy'!$B$5*(1+'Rent vs Buy'!$B$10/100)^B18</f>
        <v>50544702.84992943</v>
      </c>
      <c r="G18">
        <f>IF(B18&gt;='Rent vs Buy'!$B$8,0,MAX(0,-FV('Rent vs Buy'!$B$7/1200,B18*12,-'Rent vs Buy'!$E$5,'Rent vs Buy'!$B$6)))</f>
        <v>1942360.5018241107</v>
      </c>
      <c r="H18">
        <f>(F18-F18*'Common Assumptions'!$B$29/100-MAX(0,F18-'Rent vs Buy'!$B$5-F18*'Common Assumptions'!$B$29/100)*'Common Assumptions'!$B$28/100-G18)/(1+'Rent vs Buy'!$B$11/100)^B18</f>
        <v>16167073.108423071</v>
      </c>
      <c r="I18">
        <f t="shared" si="2"/>
        <v>17856735.222972058</v>
      </c>
      <c r="J18">
        <f>MAX(0,I18-E18-'Rent vs Buy'!$B$16)*'Rent vs Buy'!$B$15/100</f>
        <v>1671196.277076029</v>
      </c>
      <c r="K18">
        <f>(I18-J18)/(1+'Rent vs Buy'!$B$11/100)^B18</f>
        <v>6010733.260321076</v>
      </c>
      <c r="L18">
        <f t="shared" si="0"/>
        <v>10156339.848101996</v>
      </c>
    </row>
    <row r="19" spans="1:12" x14ac:dyDescent="0.35">
      <c r="A19">
        <f>'Rent vs Buy'!$M6</f>
        <v>8</v>
      </c>
      <c r="B19">
        <f>18</f>
        <v>18</v>
      </c>
      <c r="C19">
        <f>'Rent vs Buy'!$B$13*12*(1+'Rent vs Buy'!$B$14/100)^(B19-1)</f>
        <v>1516341.0854978829</v>
      </c>
      <c r="D19">
        <f>'Rent vs Buy'!$E$5+'Rent vs Buy'!$E$6/12-'Rent vs Buy'!$B$13*(1+'Rent vs Buy'!$B$14/100)^(B19-1)</f>
        <v>-57608.934275104708</v>
      </c>
      <c r="E19">
        <f t="shared" si="1"/>
        <v>3670857.7950625704</v>
      </c>
      <c r="F19">
        <f>'Rent vs Buy'!$B$5*(1+'Rent vs Buy'!$B$10/100)^B19</f>
        <v>55599173.134922378</v>
      </c>
      <c r="G19">
        <f>IF(B19&gt;='Rent vs Buy'!$B$8,0,MAX(0,-FV('Rent vs Buy'!$B$7/1200,B19*12,-'Rent vs Buy'!$E$5,'Rent vs Buy'!$B$6)))</f>
        <v>1342667.4766621441</v>
      </c>
      <c r="H19">
        <f>(F19-F19*'Common Assumptions'!$B$29/100-MAX(0,F19-'Rent vs Buy'!$B$5-F19*'Common Assumptions'!$B$29/100)*'Common Assumptions'!$B$28/100-G19)/(1+'Rent vs Buy'!$B$11/100)^B19</f>
        <v>17011506.487182308</v>
      </c>
      <c r="I19">
        <f t="shared" si="2"/>
        <v>18621608.469790041</v>
      </c>
      <c r="J19">
        <f>MAX(0,I19-E19-'Rent vs Buy'!$B$16)*'Rent vs Buy'!$B$15/100</f>
        <v>1853218.8343409339</v>
      </c>
      <c r="K19">
        <f>(I19-J19)/(1+'Rent vs Buy'!$B$11/100)^B19</f>
        <v>5874701.196014897</v>
      </c>
      <c r="L19">
        <f t="shared" si="0"/>
        <v>11136805.291167412</v>
      </c>
    </row>
    <row r="20" spans="1:12" x14ac:dyDescent="0.35">
      <c r="A20">
        <f>'Rent vs Buy'!$M6</f>
        <v>8</v>
      </c>
      <c r="B20">
        <f>19</f>
        <v>19</v>
      </c>
      <c r="C20">
        <f>'Rent vs Buy'!$B$13*12*(1+'Rent vs Buy'!$B$14/100)^(B20-1)</f>
        <v>1667975.1940476713</v>
      </c>
      <c r="D20">
        <f>'Rent vs Buy'!$E$5+'Rent vs Buy'!$E$6/12-'Rent vs Buy'!$B$13*(1+'Rent vs Buy'!$B$14/100)^(B20-1)</f>
        <v>-70245.109987587071</v>
      </c>
      <c r="E20">
        <f t="shared" si="1"/>
        <v>2827916.4752115253</v>
      </c>
      <c r="F20">
        <f>'Rent vs Buy'!$B$5*(1+'Rent vs Buy'!$B$10/100)^B20</f>
        <v>61159090.448414631</v>
      </c>
      <c r="G20">
        <f>IF(B20&gt;='Rent vs Buy'!$B$8,0,MAX(0,-FV('Rent vs Buy'!$B$7/1200,B20*12,-'Rent vs Buy'!$E$5,'Rent vs Buy'!$B$6)))</f>
        <v>696418.72344102338</v>
      </c>
      <c r="H20">
        <f>(F20-F20*'Common Assumptions'!$B$29/100-MAX(0,F20-'Rent vs Buy'!$B$5-F20*'Common Assumptions'!$B$29/100)*'Common Assumptions'!$B$28/100-G20)/(1+'Rent vs Buy'!$B$11/100)^B20</f>
        <v>17870106.529835254</v>
      </c>
      <c r="I20">
        <f t="shared" si="2"/>
        <v>19292646.366053812</v>
      </c>
      <c r="J20">
        <f>MAX(0,I20-E20-'Rent vs Buy'!$B$16)*'Rent vs Buy'!$B$15/100</f>
        <v>2042466.2363552859</v>
      </c>
      <c r="K20">
        <f>(I20-J20)/(1+'Rent vs Buy'!$B$11/100)^B20</f>
        <v>5701408.9663209906</v>
      </c>
      <c r="L20">
        <f t="shared" si="0"/>
        <v>12168697.563514262</v>
      </c>
    </row>
    <row r="21" spans="1:12" x14ac:dyDescent="0.35">
      <c r="A21">
        <f>'Rent vs Buy'!$M6</f>
        <v>8</v>
      </c>
      <c r="B21">
        <f>20</f>
        <v>20</v>
      </c>
      <c r="C21">
        <f>'Rent vs Buy'!$B$13*12*(1+'Rent vs Buy'!$B$14/100)^(B21-1)</f>
        <v>1834772.7134524391</v>
      </c>
      <c r="D21">
        <f>'Rent vs Buy'!$E$5+'Rent vs Buy'!$E$6/12-'Rent vs Buy'!$B$13*(1+'Rent vs Buy'!$B$14/100)^(B21-1)</f>
        <v>-84144.9032713177</v>
      </c>
      <c r="E21">
        <f t="shared" si="1"/>
        <v>1818177.635955713</v>
      </c>
      <c r="F21">
        <f>'Rent vs Buy'!$B$5*(1+'Rent vs Buy'!$B$10/100)^B21</f>
        <v>67274999.493256092</v>
      </c>
      <c r="G21">
        <f>IF(B21&gt;='Rent vs Buy'!$B$8,0,MAX(0,-FV('Rent vs Buy'!$B$7/1200,B21*12,-'Rent vs Buy'!$E$5,'Rent vs Buy'!$B$6)))</f>
        <v>0</v>
      </c>
      <c r="H21">
        <f>(F21-F21*'Common Assumptions'!$B$29/100-MAX(0,F21-'Rent vs Buy'!$B$5-F21*'Common Assumptions'!$B$29/100)*'Common Assumptions'!$B$28/100-G21)/(1+'Rent vs Buy'!$B$11/100)^B21</f>
        <v>18744335.896456756</v>
      </c>
      <c r="I21">
        <f t="shared" si="2"/>
        <v>19846328.678665228</v>
      </c>
      <c r="J21">
        <f>MAX(0,I21-E21-'Rent vs Buy'!$B$16)*'Rent vs Buy'!$B$15/100</f>
        <v>2237893.8803386893</v>
      </c>
      <c r="K21">
        <f>(I21-J21)/(1+'Rent vs Buy'!$B$11/100)^B21</f>
        <v>5490393.2031836286</v>
      </c>
      <c r="L21">
        <f t="shared" si="0"/>
        <v>13253942.693273127</v>
      </c>
    </row>
    <row r="22" spans="1:12" x14ac:dyDescent="0.35">
      <c r="A22">
        <f>'Rent vs Buy'!$M7</f>
        <v>10</v>
      </c>
      <c r="B22">
        <f>1</f>
        <v>1</v>
      </c>
      <c r="C22">
        <f>'Rent vs Buy'!$B$13*12*(1+'Rent vs Buy'!$B$14/100)^(B22-1)</f>
        <v>300000</v>
      </c>
      <c r="D22">
        <f>'Rent vs Buy'!$E$5+'Rent vs Buy'!$E$6/12-'Rent vs Buy'!$B$13*(1+'Rent vs Buy'!$B$14/100)^(B22-1)</f>
        <v>43752.822849718868</v>
      </c>
      <c r="E22">
        <f>'Rent vs Buy'!$B$5-'Rent vs Buy'!$B$6+D22*12</f>
        <v>3025033.8741966262</v>
      </c>
      <c r="F22">
        <f>'Rent vs Buy'!$B$5*(1+'Rent vs Buy'!$B$10/100)^B22</f>
        <v>11000000</v>
      </c>
      <c r="G22">
        <f>IF(B22&gt;='Rent vs Buy'!$B$8,0,MAX(0,-FV('Rent vs Buy'!$B$7/1200,B22*12,-'Rent vs Buy'!$E$5,'Rent vs Buy'!$B$6)))</f>
        <v>7331760.9725863561</v>
      </c>
      <c r="H22">
        <f>(F22-F22*'Common Assumptions'!$B$29/100-MAX(0,F22-'Rent vs Buy'!$B$5-F22*'Common Assumptions'!$B$29/100)*'Common Assumptions'!$B$28/100-G22)/(1+'Rent vs Buy'!$B$11/100)^B22</f>
        <v>3342678.3277487205</v>
      </c>
      <c r="I22">
        <f>('Rent vs Buy'!$B$5-'Rent vs Buy'!$B$6)*(1+A22/1200)^12+FV(A22/1200,12,-D22,0,0)</f>
        <v>3311561.7433804087</v>
      </c>
      <c r="J22">
        <f>MAX(0,I22-E22-'Rent vs Buy'!$B$16)*'Rent vs Buy'!$B$15/100</f>
        <v>20190.983647972811</v>
      </c>
      <c r="K22">
        <f>(I22-J22)/(1+'Rent vs Buy'!$B$11/100)^B22</f>
        <v>3105066.7544645621</v>
      </c>
      <c r="L22">
        <f t="shared" si="0"/>
        <v>237611.57328415848</v>
      </c>
    </row>
    <row r="23" spans="1:12" x14ac:dyDescent="0.35">
      <c r="A23">
        <f>'Rent vs Buy'!$M7</f>
        <v>10</v>
      </c>
      <c r="B23">
        <f>2</f>
        <v>2</v>
      </c>
      <c r="C23">
        <f>'Rent vs Buy'!$B$13*12*(1+'Rent vs Buy'!$B$14/100)^(B23-1)</f>
        <v>330000</v>
      </c>
      <c r="D23">
        <f>'Rent vs Buy'!$E$5+'Rent vs Buy'!$E$6/12-'Rent vs Buy'!$B$13*(1+'Rent vs Buy'!$B$14/100)^(B23-1)</f>
        <v>41252.822849718868</v>
      </c>
      <c r="E23">
        <f t="shared" ref="E23:E41" si="3">E22+D23*12</f>
        <v>3520067.7483932525</v>
      </c>
      <c r="F23">
        <f>'Rent vs Buy'!$B$5*(1+'Rent vs Buy'!$B$10/100)^B23</f>
        <v>12100000.000000002</v>
      </c>
      <c r="G23">
        <f>IF(B23&gt;='Rent vs Buy'!$B$8,0,MAX(0,-FV('Rent vs Buy'!$B$7/1200,B23*12,-'Rent vs Buy'!$E$5,'Rent vs Buy'!$B$6)))</f>
        <v>7150461.1122455802</v>
      </c>
      <c r="H23">
        <f>(F23-F23*'Common Assumptions'!$B$29/100-MAX(0,F23-'Rent vs Buy'!$B$5-F23*'Common Assumptions'!$B$29/100)*'Common Assumptions'!$B$28/100-G23)/(1+'Rent vs Buy'!$B$11/100)^B23</f>
        <v>4171447.9243097375</v>
      </c>
      <c r="I23">
        <f t="shared" ref="I23:I41" si="4">I22*(1+A23/1200)^12+FV(A23/1200,12,-D23,0,0)</f>
        <v>4176690.6860957975</v>
      </c>
      <c r="J23">
        <f>MAX(0,I23-E23-'Rent vs Buy'!$B$16)*'Rent vs Buy'!$B$15/100</f>
        <v>66452.867212818121</v>
      </c>
      <c r="K23">
        <f>(I23-J23)/(1+'Rent vs Buy'!$B$11/100)^B23</f>
        <v>3658097.0264177457</v>
      </c>
      <c r="L23">
        <f t="shared" si="0"/>
        <v>513350.89789199177</v>
      </c>
    </row>
    <row r="24" spans="1:12" x14ac:dyDescent="0.35">
      <c r="A24">
        <f>'Rent vs Buy'!$M7</f>
        <v>10</v>
      </c>
      <c r="B24">
        <f>3</f>
        <v>3</v>
      </c>
      <c r="C24">
        <f>'Rent vs Buy'!$B$13*12*(1+'Rent vs Buy'!$B$14/100)^(B24-1)</f>
        <v>363000.00000000006</v>
      </c>
      <c r="D24">
        <f>'Rent vs Buy'!$E$5+'Rent vs Buy'!$E$6/12-'Rent vs Buy'!$B$13*(1+'Rent vs Buy'!$B$14/100)^(B24-1)</f>
        <v>38502.822849718868</v>
      </c>
      <c r="E24">
        <f t="shared" si="3"/>
        <v>3982101.6225898787</v>
      </c>
      <c r="F24">
        <f>'Rent vs Buy'!$B$5*(1+'Rent vs Buy'!$B$10/100)^B24</f>
        <v>13310000.000000004</v>
      </c>
      <c r="G24">
        <f>IF(B24&gt;='Rent vs Buy'!$B$8,0,MAX(0,-FV('Rent vs Buy'!$B$7/1200,B24*12,-'Rent vs Buy'!$E$5,'Rent vs Buy'!$B$6)))</f>
        <v>6955086.4725743141</v>
      </c>
      <c r="H24">
        <f>(F24-F24*'Common Assumptions'!$B$29/100-MAX(0,F24-'Rent vs Buy'!$B$5-F24*'Common Assumptions'!$B$29/100)*'Common Assumptions'!$B$28/100-G24)/(1+'Rent vs Buy'!$B$11/100)^B24</f>
        <v>4988315.4612748176</v>
      </c>
      <c r="I24">
        <f t="shared" si="4"/>
        <v>5097854.6218795329</v>
      </c>
      <c r="J24">
        <f>MAX(0,I24-E24-'Rent vs Buy'!$B$16)*'Rent vs Buy'!$B$15/100</f>
        <v>123844.12491120677</v>
      </c>
      <c r="K24">
        <f>(I24-J24)/(1+'Rent vs Buy'!$B$11/100)^B24</f>
        <v>4176275.1272596885</v>
      </c>
      <c r="L24">
        <f t="shared" si="0"/>
        <v>812040.33401512913</v>
      </c>
    </row>
    <row r="25" spans="1:12" x14ac:dyDescent="0.35">
      <c r="A25">
        <f>'Rent vs Buy'!$M7</f>
        <v>10</v>
      </c>
      <c r="B25">
        <f>4</f>
        <v>4</v>
      </c>
      <c r="C25">
        <f>'Rent vs Buy'!$B$13*12*(1+'Rent vs Buy'!$B$14/100)^(B25-1)</f>
        <v>399300.00000000012</v>
      </c>
      <c r="D25">
        <f>'Rent vs Buy'!$E$5+'Rent vs Buy'!$E$6/12-'Rent vs Buy'!$B$13*(1+'Rent vs Buy'!$B$14/100)^(B25-1)</f>
        <v>35477.822849718861</v>
      </c>
      <c r="E25">
        <f t="shared" si="3"/>
        <v>4407835.496786505</v>
      </c>
      <c r="F25">
        <f>'Rent vs Buy'!$B$5*(1+'Rent vs Buy'!$B$10/100)^B25</f>
        <v>14641000.000000004</v>
      </c>
      <c r="G25">
        <f>IF(B25&gt;='Rent vs Buy'!$B$8,0,MAX(0,-FV('Rent vs Buy'!$B$7/1200,B25*12,-'Rent vs Buy'!$E$5,'Rent vs Buy'!$B$6)))</f>
        <v>6744544.3918748088</v>
      </c>
      <c r="H25">
        <f>(F25-F25*'Common Assumptions'!$B$29/100-MAX(0,F25-'Rent vs Buy'!$B$5-F25*'Common Assumptions'!$B$29/100)*'Common Assumptions'!$B$28/100-G25)/(1+'Rent vs Buy'!$B$11/100)^B25</f>
        <v>5795219.1128503392</v>
      </c>
      <c r="I25">
        <f t="shared" si="4"/>
        <v>6077465.6155142905</v>
      </c>
      <c r="J25">
        <f>MAX(0,I25-E25-'Rent vs Buy'!$B$16)*'Rent vs Buy'!$B$15/100</f>
        <v>193078.76484097319</v>
      </c>
      <c r="K25">
        <f>(I25-J25)/(1+'Rent vs Buy'!$B$11/100)^B25</f>
        <v>4660985.5364594655</v>
      </c>
      <c r="L25">
        <f t="shared" si="0"/>
        <v>1134233.5763908736</v>
      </c>
    </row>
    <row r="26" spans="1:12" x14ac:dyDescent="0.35">
      <c r="A26">
        <f>'Rent vs Buy'!$M7</f>
        <v>10</v>
      </c>
      <c r="B26">
        <f>5</f>
        <v>5</v>
      </c>
      <c r="C26">
        <f>'Rent vs Buy'!$B$13*12*(1+'Rent vs Buy'!$B$14/100)^(B26-1)</f>
        <v>439230.00000000012</v>
      </c>
      <c r="D26">
        <f>'Rent vs Buy'!$E$5+'Rent vs Buy'!$E$6/12-'Rent vs Buy'!$B$13*(1+'Rent vs Buy'!$B$14/100)^(B26-1)</f>
        <v>32150.322849718861</v>
      </c>
      <c r="E26">
        <f t="shared" si="3"/>
        <v>4793639.3709831312</v>
      </c>
      <c r="F26">
        <f>'Rent vs Buy'!$B$5*(1+'Rent vs Buy'!$B$10/100)^B26</f>
        <v>16105100.000000006</v>
      </c>
      <c r="G26">
        <f>IF(B26&gt;='Rent vs Buy'!$B$8,0,MAX(0,-FV('Rent vs Buy'!$B$7/1200,B26*12,-'Rent vs Buy'!$E$5,'Rent vs Buy'!$B$6)))</f>
        <v>6517657.3822820429</v>
      </c>
      <c r="H26">
        <f>(F26-F26*'Common Assumptions'!$B$29/100-MAX(0,F26-'Rent vs Buy'!$B$5-F26*'Common Assumptions'!$B$29/100)*'Common Assumptions'!$B$28/100-G26)/(1+'Rent vs Buy'!$B$11/100)^B26</f>
        <v>6594034.1190785198</v>
      </c>
      <c r="I26">
        <f t="shared" si="4"/>
        <v>7117842.7533624498</v>
      </c>
      <c r="J26">
        <f>MAX(0,I26-E26-'Rent vs Buy'!$B$16)*'Rent vs Buy'!$B$15/100</f>
        <v>274900.42279741482</v>
      </c>
      <c r="K26">
        <f>(I26-J26)/(1+'Rent vs Buy'!$B$11/100)^B26</f>
        <v>5113444.5829658257</v>
      </c>
      <c r="L26">
        <f t="shared" si="0"/>
        <v>1480589.5361126941</v>
      </c>
    </row>
    <row r="27" spans="1:12" x14ac:dyDescent="0.35">
      <c r="A27">
        <f>'Rent vs Buy'!$M7</f>
        <v>10</v>
      </c>
      <c r="B27">
        <f>6</f>
        <v>6</v>
      </c>
      <c r="C27">
        <f>'Rent vs Buy'!$B$13*12*(1+'Rent vs Buy'!$B$14/100)^(B27-1)</f>
        <v>483153.00000000017</v>
      </c>
      <c r="D27">
        <f>'Rent vs Buy'!$E$5+'Rent vs Buy'!$E$6/12-'Rent vs Buy'!$B$13*(1+'Rent vs Buy'!$B$14/100)^(B27-1)</f>
        <v>28490.072849718854</v>
      </c>
      <c r="E27">
        <f t="shared" si="3"/>
        <v>5135520.2451797575</v>
      </c>
      <c r="F27">
        <f>'Rent vs Buy'!$B$5*(1+'Rent vs Buy'!$B$10/100)^B27</f>
        <v>17715610.000000007</v>
      </c>
      <c r="G27">
        <f>IF(B27&gt;='Rent vs Buy'!$B$8,0,MAX(0,-FV('Rent vs Buy'!$B$7/1200,B27*12,-'Rent vs Buy'!$E$5,'Rent vs Buy'!$B$6)))</f>
        <v>6273156.5444879187</v>
      </c>
      <c r="H27">
        <f>(F27-F27*'Common Assumptions'!$B$29/100-MAX(0,F27-'Rent vs Buy'!$B$5-F27*'Common Assumptions'!$B$29/100)*'Common Assumptions'!$B$28/100-G27)/(1+'Rent vs Buy'!$B$11/100)^B27</f>
        <v>7386578.0975259217</v>
      </c>
      <c r="I27">
        <f t="shared" si="4"/>
        <v>8221167.8519982463</v>
      </c>
      <c r="J27">
        <f>MAX(0,I27-E27-'Rent vs Buy'!$B$16)*'Rent vs Buy'!$B$15/100</f>
        <v>370080.9508523111</v>
      </c>
      <c r="K27">
        <f>(I27-J27)/(1+'Rent vs Buy'!$B$11/100)^B27</f>
        <v>5534706.4648707015</v>
      </c>
      <c r="L27">
        <f t="shared" si="0"/>
        <v>1851871.6326552201</v>
      </c>
    </row>
    <row r="28" spans="1:12" x14ac:dyDescent="0.35">
      <c r="A28">
        <f>'Rent vs Buy'!$M7</f>
        <v>10</v>
      </c>
      <c r="B28">
        <f>7</f>
        <v>7</v>
      </c>
      <c r="C28">
        <f>'Rent vs Buy'!$B$13*12*(1+'Rent vs Buy'!$B$14/100)^(B28-1)</f>
        <v>531468.30000000028</v>
      </c>
      <c r="D28">
        <f>'Rent vs Buy'!$E$5+'Rent vs Buy'!$E$6/12-'Rent vs Buy'!$B$13*(1+'Rent vs Buy'!$B$14/100)^(B28-1)</f>
        <v>24463.797849718845</v>
      </c>
      <c r="E28">
        <f t="shared" si="3"/>
        <v>5429085.8193763839</v>
      </c>
      <c r="F28">
        <f>'Rent vs Buy'!$B$5*(1+'Rent vs Buy'!$B$10/100)^B28</f>
        <v>19487171.000000011</v>
      </c>
      <c r="G28">
        <f>IF(B28&gt;='Rent vs Buy'!$B$8,0,MAX(0,-FV('Rent vs Buy'!$B$7/1200,B28*12,-'Rent vs Buy'!$E$5,'Rent vs Buy'!$B$6)))</f>
        <v>6009674.4712333586</v>
      </c>
      <c r="H28">
        <f>(F28-F28*'Common Assumptions'!$B$29/100-MAX(0,F28-'Rent vs Buy'!$B$5-F28*'Common Assumptions'!$B$29/100)*'Common Assumptions'!$B$28/100-G28)/(1+'Rent vs Buy'!$B$11/100)^B28</f>
        <v>8174616.1200639112</v>
      </c>
      <c r="I28">
        <f t="shared" si="4"/>
        <v>9389433.0734237041</v>
      </c>
      <c r="J28">
        <f>MAX(0,I28-E28-'Rent vs Buy'!$B$16)*'Rent vs Buy'!$B$15/100</f>
        <v>479418.40675591509</v>
      </c>
      <c r="K28">
        <f>(I28-J28)/(1+'Rent vs Buy'!$B$11/100)^B28</f>
        <v>5925668.6365467608</v>
      </c>
      <c r="L28">
        <f t="shared" si="0"/>
        <v>2248947.4835171504</v>
      </c>
    </row>
    <row r="29" spans="1:12" x14ac:dyDescent="0.35">
      <c r="A29">
        <f>'Rent vs Buy'!$M7</f>
        <v>10</v>
      </c>
      <c r="B29">
        <f>8</f>
        <v>8</v>
      </c>
      <c r="C29">
        <f>'Rent vs Buy'!$B$13*12*(1+'Rent vs Buy'!$B$14/100)^(B29-1)</f>
        <v>584615.13000000035</v>
      </c>
      <c r="D29">
        <f>'Rent vs Buy'!$E$5+'Rent vs Buy'!$E$6/12-'Rent vs Buy'!$B$13*(1+'Rent vs Buy'!$B$14/100)^(B29-1)</f>
        <v>20034.895349718841</v>
      </c>
      <c r="E29">
        <f t="shared" si="3"/>
        <v>5669504.5635730103</v>
      </c>
      <c r="F29">
        <f>'Rent vs Buy'!$B$5*(1+'Rent vs Buy'!$B$10/100)^B29</f>
        <v>21435888.100000013</v>
      </c>
      <c r="G29">
        <f>IF(B29&gt;='Rent vs Buy'!$B$8,0,MAX(0,-FV('Rent vs Buy'!$B$7/1200,B29*12,-'Rent vs Buy'!$E$5,'Rent vs Buy'!$B$6)))</f>
        <v>5725737.5998800723</v>
      </c>
      <c r="H29">
        <f>(F29-F29*'Common Assumptions'!$B$29/100-MAX(0,F29-'Rent vs Buy'!$B$5-F29*'Common Assumptions'!$B$29/100)*'Common Assumptions'!$B$28/100-G29)/(1+'Rent vs Buy'!$B$11/100)^B29</f>
        <v>8959865.5705146343</v>
      </c>
      <c r="I29">
        <f t="shared" si="4"/>
        <v>10624379.253828796</v>
      </c>
      <c r="J29">
        <f>MAX(0,I29-E29-'Rent vs Buy'!$B$16)*'Rent vs Buy'!$B$15/100</f>
        <v>603734.33628197317</v>
      </c>
      <c r="K29">
        <f>(I29-J29)/(1+'Rent vs Buy'!$B$11/100)^B29</f>
        <v>6287076.5900924727</v>
      </c>
      <c r="L29">
        <f t="shared" si="0"/>
        <v>2672788.9804221615</v>
      </c>
    </row>
    <row r="30" spans="1:12" x14ac:dyDescent="0.35">
      <c r="A30">
        <f>'Rent vs Buy'!$M7</f>
        <v>10</v>
      </c>
      <c r="B30">
        <f>9</f>
        <v>9</v>
      </c>
      <c r="C30">
        <f>'Rent vs Buy'!$B$13*12*(1+'Rent vs Buy'!$B$14/100)^(B30-1)</f>
        <v>643076.64300000039</v>
      </c>
      <c r="D30">
        <f>'Rent vs Buy'!$E$5+'Rent vs Buy'!$E$6/12-'Rent vs Buy'!$B$13*(1+'Rent vs Buy'!$B$14/100)^(B30-1)</f>
        <v>15163.102599718841</v>
      </c>
      <c r="E30">
        <f t="shared" si="3"/>
        <v>5851461.7947696364</v>
      </c>
      <c r="F30">
        <f>'Rent vs Buy'!$B$5*(1+'Rent vs Buy'!$B$10/100)^B30</f>
        <v>23579476.910000015</v>
      </c>
      <c r="G30">
        <f>IF(B30&gt;='Rent vs Buy'!$B$8,0,MAX(0,-FV('Rent vs Buy'!$B$7/1200,B30*12,-'Rent vs Buy'!$E$5,'Rent vs Buy'!$B$6)))</f>
        <v>5419757.9712925795</v>
      </c>
      <c r="H30">
        <f>(F30-F30*'Common Assumptions'!$B$29/100-MAX(0,F30-'Rent vs Buy'!$B$5-F30*'Common Assumptions'!$B$29/100)*'Common Assumptions'!$B$28/100-G30)/(1+'Rent vs Buy'!$B$11/100)^B30</f>
        <v>9744000.7981367186</v>
      </c>
      <c r="I30">
        <f t="shared" si="4"/>
        <v>11927423.593374126</v>
      </c>
      <c r="J30">
        <f>MAX(0,I30-E30-'Rent vs Buy'!$B$16)*'Rent vs Buy'!$B$15/100</f>
        <v>743870.22482556116</v>
      </c>
      <c r="K30">
        <f>(I30-J30)/(1+'Rent vs Buy'!$B$11/100)^B30</f>
        <v>6619528.0556499306</v>
      </c>
      <c r="L30">
        <f t="shared" si="0"/>
        <v>3124472.742486788</v>
      </c>
    </row>
    <row r="31" spans="1:12" x14ac:dyDescent="0.35">
      <c r="A31">
        <f>'Rent vs Buy'!$M7</f>
        <v>10</v>
      </c>
      <c r="B31">
        <f>10</f>
        <v>10</v>
      </c>
      <c r="C31">
        <f>'Rent vs Buy'!$B$13*12*(1+'Rent vs Buy'!$B$14/100)^(B31-1)</f>
        <v>707384.30730000045</v>
      </c>
      <c r="D31">
        <f>'Rent vs Buy'!$E$5+'Rent vs Buy'!$E$6/12-'Rent vs Buy'!$B$13*(1+'Rent vs Buy'!$B$14/100)^(B31-1)</f>
        <v>9804.1305747188308</v>
      </c>
      <c r="E31">
        <f t="shared" si="3"/>
        <v>5969111.3616662621</v>
      </c>
      <c r="F31">
        <f>'Rent vs Buy'!$B$5*(1+'Rent vs Buy'!$B$10/100)^B31</f>
        <v>25937424.601000018</v>
      </c>
      <c r="G31">
        <f>IF(B31&gt;='Rent vs Buy'!$B$8,0,MAX(0,-FV('Rent vs Buy'!$B$7/1200,B31*12,-'Rent vs Buy'!$E$5,'Rent vs Buy'!$B$6)))</f>
        <v>5090024.3489408363</v>
      </c>
      <c r="H31">
        <f>(F31-F31*'Common Assumptions'!$B$29/100-MAX(0,F31-'Rent vs Buy'!$B$5-F31*'Common Assumptions'!$B$29/100)*'Common Assumptions'!$B$28/100-G31)/(1+'Rent vs Buy'!$B$11/100)^B31</f>
        <v>10528657.581174146</v>
      </c>
      <c r="I31">
        <f t="shared" si="4"/>
        <v>13299575.174836883</v>
      </c>
      <c r="J31">
        <f>MAX(0,I31-E31-'Rent vs Buy'!$B$16)*'Rent vs Buy'!$B$15/100</f>
        <v>900682.97664632765</v>
      </c>
      <c r="K31">
        <f>(I31-J31)/(1+'Rent vs Buy'!$B$11/100)^B31</f>
        <v>6923476.6430032104</v>
      </c>
      <c r="L31">
        <f t="shared" si="0"/>
        <v>3605180.938170936</v>
      </c>
    </row>
    <row r="32" spans="1:12" x14ac:dyDescent="0.35">
      <c r="A32">
        <f>'Rent vs Buy'!$M7</f>
        <v>10</v>
      </c>
      <c r="B32">
        <f>11</f>
        <v>11</v>
      </c>
      <c r="C32">
        <f>'Rent vs Buy'!$B$13*12*(1+'Rent vs Buy'!$B$14/100)^(B32-1)</f>
        <v>778122.73803000059</v>
      </c>
      <c r="D32">
        <f>'Rent vs Buy'!$E$5+'Rent vs Buy'!$E$6/12-'Rent vs Buy'!$B$13*(1+'Rent vs Buy'!$B$14/100)^(B32-1)</f>
        <v>3909.2613472188241</v>
      </c>
      <c r="E32">
        <f t="shared" si="3"/>
        <v>6016022.4978328878</v>
      </c>
      <c r="F32">
        <f>'Rent vs Buy'!$B$5*(1+'Rent vs Buy'!$B$10/100)^B32</f>
        <v>28531167.061100025</v>
      </c>
      <c r="G32">
        <f>IF(B32&gt;='Rent vs Buy'!$B$8,0,MAX(0,-FV('Rent vs Buy'!$B$7/1200,B32*12,-'Rent vs Buy'!$E$5,'Rent vs Buy'!$B$6)))</f>
        <v>4734692.6485557146</v>
      </c>
      <c r="H32">
        <f>(F32-F32*'Common Assumptions'!$B$29/100-MAX(0,F32-'Rent vs Buy'!$B$5-F32*'Common Assumptions'!$B$29/100)*'Common Assumptions'!$B$28/100-G32)/(1+'Rent vs Buy'!$B$11/100)^B32</f>
        <v>11315437.413987285</v>
      </c>
      <c r="I32">
        <f t="shared" si="4"/>
        <v>14741336.576711811</v>
      </c>
      <c r="J32">
        <f>MAX(0,I32-E32-'Rent vs Buy'!$B$16)*'Rent vs Buy'!$B$15/100</f>
        <v>1075039.2598598655</v>
      </c>
      <c r="K32">
        <f>(I32-J32)/(1+'Rent vs Buy'!$B$11/100)^B32</f>
        <v>7199234.9448105805</v>
      </c>
      <c r="L32">
        <f t="shared" si="0"/>
        <v>4116202.4691767041</v>
      </c>
    </row>
    <row r="33" spans="1:12" x14ac:dyDescent="0.35">
      <c r="A33">
        <f>'Rent vs Buy'!$M7</f>
        <v>10</v>
      </c>
      <c r="B33">
        <f>12</f>
        <v>12</v>
      </c>
      <c r="C33">
        <f>'Rent vs Buy'!$B$13*12*(1+'Rent vs Buy'!$B$14/100)^(B33-1)</f>
        <v>855935.0118330007</v>
      </c>
      <c r="D33">
        <f>'Rent vs Buy'!$E$5+'Rent vs Buy'!$E$6/12-'Rent vs Buy'!$B$13*(1+'Rent vs Buy'!$B$14/100)^(B33-1)</f>
        <v>-2575.0948030311993</v>
      </c>
      <c r="E33">
        <f t="shared" si="3"/>
        <v>5985121.3601965131</v>
      </c>
      <c r="F33">
        <f>'Rent vs Buy'!$B$5*(1+'Rent vs Buy'!$B$10/100)^B33</f>
        <v>31384283.767210025</v>
      </c>
      <c r="G33">
        <f>IF(B33&gt;='Rent vs Buy'!$B$8,0,MAX(0,-FV('Rent vs Buy'!$B$7/1200,B33*12,-'Rent vs Buy'!$E$5,'Rent vs Buy'!$B$6)))</f>
        <v>4351775.6248137653</v>
      </c>
      <c r="H33">
        <f>(F33-F33*'Common Assumptions'!$B$29/100-MAX(0,F33-'Rent vs Buy'!$B$5-F33*'Common Assumptions'!$B$29/100)*'Common Assumptions'!$B$28/100-G33)/(1+'Rent vs Buy'!$B$11/100)^B33</f>
        <v>12105911.630624209</v>
      </c>
      <c r="I33">
        <f t="shared" si="4"/>
        <v>16252589.618750585</v>
      </c>
      <c r="J33">
        <f>MAX(0,I33-E33-'Rent vs Buy'!$B$16)*'Rent vs Buy'!$B$15/100</f>
        <v>1267808.5323192589</v>
      </c>
      <c r="K33">
        <f>(I33-J33)/(1+'Rent vs Buy'!$B$11/100)^B33</f>
        <v>7446977.1198644508</v>
      </c>
      <c r="L33">
        <f t="shared" si="0"/>
        <v>4658934.5107597578</v>
      </c>
    </row>
    <row r="34" spans="1:12" x14ac:dyDescent="0.35">
      <c r="A34">
        <f>'Rent vs Buy'!$M7</f>
        <v>10</v>
      </c>
      <c r="B34">
        <f>13</f>
        <v>13</v>
      </c>
      <c r="C34">
        <f>'Rent vs Buy'!$B$13*12*(1+'Rent vs Buy'!$B$14/100)^(B34-1)</f>
        <v>941528.51301630074</v>
      </c>
      <c r="D34">
        <f>'Rent vs Buy'!$E$5+'Rent vs Buy'!$E$6/12-'Rent vs Buy'!$B$13*(1+'Rent vs Buy'!$B$14/100)^(B34-1)</f>
        <v>-9707.8865683062031</v>
      </c>
      <c r="E34">
        <f t="shared" si="3"/>
        <v>5868626.7213768391</v>
      </c>
      <c r="F34">
        <f>'Rent vs Buy'!$B$5*(1+'Rent vs Buy'!$B$10/100)^B34</f>
        <v>34522712.143931031</v>
      </c>
      <c r="G34">
        <f>IF(B34&gt;='Rent vs Buy'!$B$8,0,MAX(0,-FV('Rent vs Buy'!$B$7/1200,B34*12,-'Rent vs Buy'!$E$5,'Rent vs Buy'!$B$6)))</f>
        <v>3939131.7573725078</v>
      </c>
      <c r="H34">
        <f>(F34-F34*'Common Assumptions'!$B$29/100-MAX(0,F34-'Rent vs Buy'!$B$5-F34*'Common Assumptions'!$B$29/100)*'Common Assumptions'!$B$28/100-G34)/(1+'Rent vs Buy'!$B$11/100)^B34</f>
        <v>12901625.37707085</v>
      </c>
      <c r="I34">
        <f t="shared" si="4"/>
        <v>17832463.021881793</v>
      </c>
      <c r="J34">
        <f>MAX(0,I34-E34-'Rent vs Buy'!$B$16)*'Rent vs Buy'!$B$15/100</f>
        <v>1479854.5375631189</v>
      </c>
      <c r="K34">
        <f>(I34-J34)/(1+'Rent vs Buy'!$B$11/100)^B34</f>
        <v>7666740.9729016125</v>
      </c>
      <c r="L34">
        <f t="shared" ref="L34:L65" si="5">H34-K34</f>
        <v>5234884.4041692372</v>
      </c>
    </row>
    <row r="35" spans="1:12" x14ac:dyDescent="0.35">
      <c r="A35">
        <f>'Rent vs Buy'!$M7</f>
        <v>10</v>
      </c>
      <c r="B35">
        <f>14</f>
        <v>14</v>
      </c>
      <c r="C35">
        <f>'Rent vs Buy'!$B$13*12*(1+'Rent vs Buy'!$B$14/100)^(B35-1)</f>
        <v>1035681.3643179309</v>
      </c>
      <c r="D35">
        <f>'Rent vs Buy'!$E$5+'Rent vs Buy'!$E$6/12-'Rent vs Buy'!$B$13*(1+'Rent vs Buy'!$B$14/100)^(B35-1)</f>
        <v>-17553.95751010871</v>
      </c>
      <c r="E35">
        <f t="shared" si="3"/>
        <v>5657979.231255535</v>
      </c>
      <c r="F35">
        <f>'Rent vs Buy'!$B$5*(1+'Rent vs Buy'!$B$10/100)^B35</f>
        <v>37974983.35832414</v>
      </c>
      <c r="G35">
        <f>IF(B35&gt;='Rent vs Buy'!$B$8,0,MAX(0,-FV('Rent vs Buy'!$B$7/1200,B35*12,-'Rent vs Buy'!$E$5,'Rent vs Buy'!$B$6)))</f>
        <v>3494453.2740997896</v>
      </c>
      <c r="H35">
        <f>(F35-F35*'Common Assumptions'!$B$29/100-MAX(0,F35-'Rent vs Buy'!$B$5-F35*'Common Assumptions'!$B$29/100)*'Common Assumptions'!$B$28/100-G35)/(1+'Rent vs Buy'!$B$11/100)^B35</f>
        <v>13704101.443838244</v>
      </c>
      <c r="I35">
        <f t="shared" si="4"/>
        <v>19479179.476542413</v>
      </c>
      <c r="J35">
        <f>MAX(0,I35-E35-'Rent vs Buy'!$B$16)*'Rent vs Buy'!$B$15/100</f>
        <v>1712025.0306608595</v>
      </c>
      <c r="K35">
        <f>(I35-J35)/(1+'Rent vs Buy'!$B$11/100)^B35</f>
        <v>7858429.5456960034</v>
      </c>
      <c r="L35">
        <f t="shared" si="5"/>
        <v>5845671.8981422409</v>
      </c>
    </row>
    <row r="36" spans="1:12" x14ac:dyDescent="0.35">
      <c r="A36">
        <f>'Rent vs Buy'!$M7</f>
        <v>10</v>
      </c>
      <c r="B36">
        <f>15</f>
        <v>15</v>
      </c>
      <c r="C36">
        <f>'Rent vs Buy'!$B$13*12*(1+'Rent vs Buy'!$B$14/100)^(B36-1)</f>
        <v>1139249.5007497242</v>
      </c>
      <c r="D36">
        <f>'Rent vs Buy'!$E$5+'Rent vs Buy'!$E$6/12-'Rent vs Buy'!$B$13*(1+'Rent vs Buy'!$B$14/100)^(B36-1)</f>
        <v>-26184.635546091478</v>
      </c>
      <c r="E36">
        <f t="shared" si="3"/>
        <v>5343763.6047024373</v>
      </c>
      <c r="F36">
        <f>'Rent vs Buy'!$B$5*(1+'Rent vs Buy'!$B$10/100)^B36</f>
        <v>41772481.69415655</v>
      </c>
      <c r="G36">
        <f>IF(B36&gt;='Rent vs Buy'!$B$8,0,MAX(0,-FV('Rent vs Buy'!$B$7/1200,B36*12,-'Rent vs Buy'!$E$5,'Rent vs Buy'!$B$6)))</f>
        <v>3015253.2445152439</v>
      </c>
      <c r="H36">
        <f>(F36-F36*'Common Assumptions'!$B$29/100-MAX(0,F36-'Rent vs Buy'!$B$5-F36*'Common Assumptions'!$B$29/100)*'Common Assumptions'!$B$28/100-G36)/(1+'Rent vs Buy'!$B$11/100)^B36</f>
        <v>14514843.970001906</v>
      </c>
      <c r="I36">
        <f t="shared" si="4"/>
        <v>21189879.289827086</v>
      </c>
      <c r="J36">
        <f>MAX(0,I36-E36-'Rent vs Buy'!$B$16)*'Rent vs Buy'!$B$15/100</f>
        <v>1965139.4606405809</v>
      </c>
      <c r="K36">
        <f>(I36-J36)/(1+'Rent vs Buy'!$B$11/100)^B36</f>
        <v>8021812.2324504694</v>
      </c>
      <c r="L36">
        <f t="shared" si="5"/>
        <v>6493031.7375514368</v>
      </c>
    </row>
    <row r="37" spans="1:12" x14ac:dyDescent="0.35">
      <c r="A37">
        <f>'Rent vs Buy'!$M7</f>
        <v>10</v>
      </c>
      <c r="B37">
        <f>16</f>
        <v>16</v>
      </c>
      <c r="C37">
        <f>'Rent vs Buy'!$B$13*12*(1+'Rent vs Buy'!$B$14/100)^(B37-1)</f>
        <v>1253174.4508246966</v>
      </c>
      <c r="D37">
        <f>'Rent vs Buy'!$E$5+'Rent vs Buy'!$E$6/12-'Rent vs Buy'!$B$13*(1+'Rent vs Buy'!$B$14/100)^(B37-1)</f>
        <v>-35678.381385672517</v>
      </c>
      <c r="E37">
        <f t="shared" si="3"/>
        <v>4915623.028074367</v>
      </c>
      <c r="F37">
        <f>'Rent vs Buy'!$B$5*(1+'Rent vs Buy'!$B$10/100)^B37</f>
        <v>45949729.86357221</v>
      </c>
      <c r="G37">
        <f>IF(B37&gt;='Rent vs Buy'!$B$8,0,MAX(0,-FV('Rent vs Buy'!$B$7/1200,B37*12,-'Rent vs Buy'!$E$5,'Rent vs Buy'!$B$6)))</f>
        <v>2498851.6712621674</v>
      </c>
      <c r="H37">
        <f>(F37-F37*'Common Assumptions'!$B$29/100-MAX(0,F37-'Rent vs Buy'!$B$5-F37*'Common Assumptions'!$B$29/100)*'Common Assumptions'!$B$28/100-G37)/(1+'Rent vs Buy'!$B$11/100)^B37</f>
        <v>15335342.029300097</v>
      </c>
      <c r="I37">
        <f t="shared" si="4"/>
        <v>22960417.418227579</v>
      </c>
      <c r="J37">
        <f>MAX(0,I37-E37-'Rent vs Buy'!$B$16)*'Rent vs Buy'!$B$15/100</f>
        <v>2239974.2987691518</v>
      </c>
      <c r="K37">
        <f>(I37-J37)/(1+'Rent vs Buy'!$B$11/100)^B37</f>
        <v>8156525.4308567289</v>
      </c>
      <c r="L37">
        <f t="shared" si="5"/>
        <v>7178816.5984433684</v>
      </c>
    </row>
    <row r="38" spans="1:12" x14ac:dyDescent="0.35">
      <c r="A38">
        <f>'Rent vs Buy'!$M7</f>
        <v>10</v>
      </c>
      <c r="B38">
        <f>17</f>
        <v>17</v>
      </c>
      <c r="C38">
        <f>'Rent vs Buy'!$B$13*12*(1+'Rent vs Buy'!$B$14/100)^(B38-1)</f>
        <v>1378491.8959071664</v>
      </c>
      <c r="D38">
        <f>'Rent vs Buy'!$E$5+'Rent vs Buy'!$E$6/12-'Rent vs Buy'!$B$13*(1+'Rent vs Buy'!$B$14/100)^(B38-1)</f>
        <v>-46121.501809211652</v>
      </c>
      <c r="E38">
        <f t="shared" si="3"/>
        <v>4362165.0063638268</v>
      </c>
      <c r="F38">
        <f>'Rent vs Buy'!$B$5*(1+'Rent vs Buy'!$B$10/100)^B38</f>
        <v>50544702.84992943</v>
      </c>
      <c r="G38">
        <f>IF(B38&gt;='Rent vs Buy'!$B$8,0,MAX(0,-FV('Rent vs Buy'!$B$7/1200,B38*12,-'Rent vs Buy'!$E$5,'Rent vs Buy'!$B$6)))</f>
        <v>1942360.5018241107</v>
      </c>
      <c r="H38">
        <f>(F38-F38*'Common Assumptions'!$B$29/100-MAX(0,F38-'Rent vs Buy'!$B$5-F38*'Common Assumptions'!$B$29/100)*'Common Assumptions'!$B$28/100-G38)/(1+'Rent vs Buy'!$B$11/100)^B38</f>
        <v>16167073.108423071</v>
      </c>
      <c r="I38">
        <f t="shared" si="4"/>
        <v>24785130.284289744</v>
      </c>
      <c r="J38">
        <f>MAX(0,I38-E38-'Rent vs Buy'!$B$16)*'Rent vs Buy'!$B$15/100</f>
        <v>2537245.6597407395</v>
      </c>
      <c r="K38">
        <f>(I38-J38)/(1+'Rent vs Buy'!$B$11/100)^B38</f>
        <v>8262072.7386078108</v>
      </c>
      <c r="L38">
        <f t="shared" si="5"/>
        <v>7905000.3698152602</v>
      </c>
    </row>
    <row r="39" spans="1:12" x14ac:dyDescent="0.35">
      <c r="A39">
        <f>'Rent vs Buy'!$M7</f>
        <v>10</v>
      </c>
      <c r="B39">
        <f>18</f>
        <v>18</v>
      </c>
      <c r="C39">
        <f>'Rent vs Buy'!$B$13*12*(1+'Rent vs Buy'!$B$14/100)^(B39-1)</f>
        <v>1516341.0854978829</v>
      </c>
      <c r="D39">
        <f>'Rent vs Buy'!$E$5+'Rent vs Buy'!$E$6/12-'Rent vs Buy'!$B$13*(1+'Rent vs Buy'!$B$14/100)^(B39-1)</f>
        <v>-57608.934275104708</v>
      </c>
      <c r="E39">
        <f t="shared" si="3"/>
        <v>3670857.7950625704</v>
      </c>
      <c r="F39">
        <f>'Rent vs Buy'!$B$5*(1+'Rent vs Buy'!$B$10/100)^B39</f>
        <v>55599173.134922378</v>
      </c>
      <c r="G39">
        <f>IF(B39&gt;='Rent vs Buy'!$B$8,0,MAX(0,-FV('Rent vs Buy'!$B$7/1200,B39*12,-'Rent vs Buy'!$E$5,'Rent vs Buy'!$B$6)))</f>
        <v>1342667.4766621441</v>
      </c>
      <c r="H39">
        <f>(F39-F39*'Common Assumptions'!$B$29/100-MAX(0,F39-'Rent vs Buy'!$B$5-F39*'Common Assumptions'!$B$29/100)*'Common Assumptions'!$B$28/100-G39)/(1+'Rent vs Buy'!$B$11/100)^B39</f>
        <v>17011506.487182308</v>
      </c>
      <c r="I39">
        <f t="shared" si="4"/>
        <v>26656568.316893473</v>
      </c>
      <c r="J39">
        <f>MAX(0,I39-E39-'Rent vs Buy'!$B$16)*'Rent vs Buy'!$B$15/100</f>
        <v>2857588.8152288627</v>
      </c>
      <c r="K39">
        <f>(I39-J39)/(1+'Rent vs Buy'!$B$11/100)^B39</f>
        <v>8337824.703619401</v>
      </c>
      <c r="L39">
        <f t="shared" si="5"/>
        <v>8673681.7835629061</v>
      </c>
    </row>
    <row r="40" spans="1:12" x14ac:dyDescent="0.35">
      <c r="A40">
        <f>'Rent vs Buy'!$M7</f>
        <v>10</v>
      </c>
      <c r="B40">
        <f>19</f>
        <v>19</v>
      </c>
      <c r="C40">
        <f>'Rent vs Buy'!$B$13*12*(1+'Rent vs Buy'!$B$14/100)^(B40-1)</f>
        <v>1667975.1940476713</v>
      </c>
      <c r="D40">
        <f>'Rent vs Buy'!$E$5+'Rent vs Buy'!$E$6/12-'Rent vs Buy'!$B$13*(1+'Rent vs Buy'!$B$14/100)^(B40-1)</f>
        <v>-70245.109987587071</v>
      </c>
      <c r="E40">
        <f t="shared" si="3"/>
        <v>2827916.4752115253</v>
      </c>
      <c r="F40">
        <f>'Rent vs Buy'!$B$5*(1+'Rent vs Buy'!$B$10/100)^B40</f>
        <v>61159090.448414631</v>
      </c>
      <c r="G40">
        <f>IF(B40&gt;='Rent vs Buy'!$B$8,0,MAX(0,-FV('Rent vs Buy'!$B$7/1200,B40*12,-'Rent vs Buy'!$E$5,'Rent vs Buy'!$B$6)))</f>
        <v>696418.72344102338</v>
      </c>
      <c r="H40">
        <f>(F40-F40*'Common Assumptions'!$B$29/100-MAX(0,F40-'Rent vs Buy'!$B$5-F40*'Common Assumptions'!$B$29/100)*'Common Assumptions'!$B$28/100-G40)/(1+'Rent vs Buy'!$B$11/100)^B40</f>
        <v>17870106.529835254</v>
      </c>
      <c r="I40">
        <f t="shared" si="4"/>
        <v>28565189.640067697</v>
      </c>
      <c r="J40">
        <f>MAX(0,I40-E40-'Rent vs Buy'!$B$16)*'Rent vs Buy'!$B$15/100</f>
        <v>3201534.1456070216</v>
      </c>
      <c r="K40">
        <f>(I40-J40)/(1+'Rent vs Buy'!$B$11/100)^B40</f>
        <v>8383018.1347400239</v>
      </c>
      <c r="L40">
        <f t="shared" si="5"/>
        <v>9487088.3950952291</v>
      </c>
    </row>
    <row r="41" spans="1:12" x14ac:dyDescent="0.35">
      <c r="A41">
        <f>'Rent vs Buy'!$M7</f>
        <v>10</v>
      </c>
      <c r="B41">
        <f>20</f>
        <v>20</v>
      </c>
      <c r="C41">
        <f>'Rent vs Buy'!$B$13*12*(1+'Rent vs Buy'!$B$14/100)^(B41-1)</f>
        <v>1834772.7134524391</v>
      </c>
      <c r="D41">
        <f>'Rent vs Buy'!$E$5+'Rent vs Buy'!$E$6/12-'Rent vs Buy'!$B$13*(1+'Rent vs Buy'!$B$14/100)^(B41-1)</f>
        <v>-84144.9032713177</v>
      </c>
      <c r="E41">
        <f t="shared" si="3"/>
        <v>1818177.635955713</v>
      </c>
      <c r="F41">
        <f>'Rent vs Buy'!$B$5*(1+'Rent vs Buy'!$B$10/100)^B41</f>
        <v>67274999.493256092</v>
      </c>
      <c r="G41">
        <f>IF(B41&gt;='Rent vs Buy'!$B$8,0,MAX(0,-FV('Rent vs Buy'!$B$7/1200,B41*12,-'Rent vs Buy'!$E$5,'Rent vs Buy'!$B$6)))</f>
        <v>0</v>
      </c>
      <c r="H41">
        <f>(F41-F41*'Common Assumptions'!$B$29/100-MAX(0,F41-'Rent vs Buy'!$B$5-F41*'Common Assumptions'!$B$29/100)*'Common Assumptions'!$B$28/100-G41)/(1+'Rent vs Buy'!$B$11/100)^B41</f>
        <v>18744335.896456756</v>
      </c>
      <c r="I41">
        <f t="shared" si="4"/>
        <v>30499009.757590633</v>
      </c>
      <c r="J41">
        <f>MAX(0,I41-E41-'Rent vs Buy'!$B$16)*'Rent vs Buy'!$B$15/100</f>
        <v>3569479.0152043644</v>
      </c>
      <c r="K41">
        <f>(I41-J41)/(1+'Rent vs Buy'!$B$11/100)^B41</f>
        <v>8396754.9783001598</v>
      </c>
      <c r="L41">
        <f t="shared" si="5"/>
        <v>10347580.918156596</v>
      </c>
    </row>
    <row r="42" spans="1:12" x14ac:dyDescent="0.35">
      <c r="A42">
        <f>'Rent vs Buy'!$M8</f>
        <v>12</v>
      </c>
      <c r="B42">
        <f>1</f>
        <v>1</v>
      </c>
      <c r="C42">
        <f>'Rent vs Buy'!$B$13*12*(1+'Rent vs Buy'!$B$14/100)^(B42-1)</f>
        <v>300000</v>
      </c>
      <c r="D42">
        <f>'Rent vs Buy'!$E$5+'Rent vs Buy'!$E$6/12-'Rent vs Buy'!$B$13*(1+'Rent vs Buy'!$B$14/100)^(B42-1)</f>
        <v>43752.822849718868</v>
      </c>
      <c r="E42">
        <f>'Rent vs Buy'!$B$5-'Rent vs Buy'!$B$6+D42*12</f>
        <v>3025033.8741966262</v>
      </c>
      <c r="F42">
        <f>'Rent vs Buy'!$B$5*(1+'Rent vs Buy'!$B$10/100)^B42</f>
        <v>11000000</v>
      </c>
      <c r="G42">
        <f>IF(B42&gt;='Rent vs Buy'!$B$8,0,MAX(0,-FV('Rent vs Buy'!$B$7/1200,B42*12,-'Rent vs Buy'!$E$5,'Rent vs Buy'!$B$6)))</f>
        <v>7331760.9725863561</v>
      </c>
      <c r="H42">
        <f>(F42-F42*'Common Assumptions'!$B$29/100-MAX(0,F42-'Rent vs Buy'!$B$5-F42*'Common Assumptions'!$B$29/100)*'Common Assumptions'!$B$28/100-G42)/(1+'Rent vs Buy'!$B$11/100)^B42</f>
        <v>3342678.3277487205</v>
      </c>
      <c r="I42">
        <f>('Rent vs Buy'!$B$5-'Rent vs Buy'!$B$6)*(1+A42/1200)^12+FV(A42/1200,12,-D42,0,0)</f>
        <v>3371957.8829573574</v>
      </c>
      <c r="J42">
        <f>MAX(0,I42-E42-'Rent vs Buy'!$B$16)*'Rent vs Buy'!$B$15/100</f>
        <v>27740.501095091404</v>
      </c>
      <c r="K42">
        <f>(I42-J42)/(1+'Rent vs Buy'!$B$11/100)^B42</f>
        <v>3154922.0583606283</v>
      </c>
      <c r="L42">
        <f t="shared" si="5"/>
        <v>187756.26938809222</v>
      </c>
    </row>
    <row r="43" spans="1:12" x14ac:dyDescent="0.35">
      <c r="A43">
        <f>'Rent vs Buy'!$M8</f>
        <v>12</v>
      </c>
      <c r="B43">
        <f>2</f>
        <v>2</v>
      </c>
      <c r="C43">
        <f>'Rent vs Buy'!$B$13*12*(1+'Rent vs Buy'!$B$14/100)^(B43-1)</f>
        <v>330000</v>
      </c>
      <c r="D43">
        <f>'Rent vs Buy'!$E$5+'Rent vs Buy'!$E$6/12-'Rent vs Buy'!$B$13*(1+'Rent vs Buy'!$B$14/100)^(B43-1)</f>
        <v>41252.822849718868</v>
      </c>
      <c r="E43">
        <f t="shared" ref="E43:E61" si="6">E42+D43*12</f>
        <v>3520067.7483932525</v>
      </c>
      <c r="F43">
        <f>'Rent vs Buy'!$B$5*(1+'Rent vs Buy'!$B$10/100)^B43</f>
        <v>12100000.000000002</v>
      </c>
      <c r="G43">
        <f>IF(B43&gt;='Rent vs Buy'!$B$8,0,MAX(0,-FV('Rent vs Buy'!$B$7/1200,B43*12,-'Rent vs Buy'!$E$5,'Rent vs Buy'!$B$6)))</f>
        <v>7150461.1122455802</v>
      </c>
      <c r="H43">
        <f>(F43-F43*'Common Assumptions'!$B$29/100-MAX(0,F43-'Rent vs Buy'!$B$5-F43*'Common Assumptions'!$B$29/100)*'Common Assumptions'!$B$28/100-G43)/(1+'Rent vs Buy'!$B$11/100)^B43</f>
        <v>4171447.9243097375</v>
      </c>
      <c r="I43">
        <f t="shared" ref="I43:I61" si="7">I42*(1+A43/1200)^12+FV(A43/1200,12,-D43,0,0)</f>
        <v>4322795.5931615978</v>
      </c>
      <c r="J43">
        <f>MAX(0,I43-E43-'Rent vs Buy'!$B$16)*'Rent vs Buy'!$B$15/100</f>
        <v>84715.980596043169</v>
      </c>
      <c r="K43">
        <f>(I43-J43)/(1+'Rent vs Buy'!$B$11/100)^B43</f>
        <v>3771875.7676802725</v>
      </c>
      <c r="L43">
        <f t="shared" si="5"/>
        <v>399572.15662946505</v>
      </c>
    </row>
    <row r="44" spans="1:12" x14ac:dyDescent="0.35">
      <c r="A44">
        <f>'Rent vs Buy'!$M8</f>
        <v>12</v>
      </c>
      <c r="B44">
        <f>3</f>
        <v>3</v>
      </c>
      <c r="C44">
        <f>'Rent vs Buy'!$B$13*12*(1+'Rent vs Buy'!$B$14/100)^(B44-1)</f>
        <v>363000.00000000006</v>
      </c>
      <c r="D44">
        <f>'Rent vs Buy'!$E$5+'Rent vs Buy'!$E$6/12-'Rent vs Buy'!$B$13*(1+'Rent vs Buy'!$B$14/100)^(B44-1)</f>
        <v>38502.822849718868</v>
      </c>
      <c r="E44">
        <f t="shared" si="6"/>
        <v>3982101.6225898787</v>
      </c>
      <c r="F44">
        <f>'Rent vs Buy'!$B$5*(1+'Rent vs Buy'!$B$10/100)^B44</f>
        <v>13310000.000000004</v>
      </c>
      <c r="G44">
        <f>IF(B44&gt;='Rent vs Buy'!$B$8,0,MAX(0,-FV('Rent vs Buy'!$B$7/1200,B44*12,-'Rent vs Buy'!$E$5,'Rent vs Buy'!$B$6)))</f>
        <v>6955086.4725743141</v>
      </c>
      <c r="H44">
        <f>(F44-F44*'Common Assumptions'!$B$29/100-MAX(0,F44-'Rent vs Buy'!$B$5-F44*'Common Assumptions'!$B$29/100)*'Common Assumptions'!$B$28/100-G44)/(1+'Rent vs Buy'!$B$11/100)^B44</f>
        <v>4988315.4612748176</v>
      </c>
      <c r="I44">
        <f t="shared" si="7"/>
        <v>5359346.4413268128</v>
      </c>
      <c r="J44">
        <f>MAX(0,I44-E44-'Rent vs Buy'!$B$16)*'Rent vs Buy'!$B$15/100</f>
        <v>156530.60234211676</v>
      </c>
      <c r="K44">
        <f>(I44-J44)/(1+'Rent vs Buy'!$B$11/100)^B44</f>
        <v>4368384.5044774339</v>
      </c>
      <c r="L44">
        <f t="shared" si="5"/>
        <v>619930.95679738373</v>
      </c>
    </row>
    <row r="45" spans="1:12" x14ac:dyDescent="0.35">
      <c r="A45">
        <f>'Rent vs Buy'!$M8</f>
        <v>12</v>
      </c>
      <c r="B45">
        <f>4</f>
        <v>4</v>
      </c>
      <c r="C45">
        <f>'Rent vs Buy'!$B$13*12*(1+'Rent vs Buy'!$B$14/100)^(B45-1)</f>
        <v>399300.00000000012</v>
      </c>
      <c r="D45">
        <f>'Rent vs Buy'!$E$5+'Rent vs Buy'!$E$6/12-'Rent vs Buy'!$B$13*(1+'Rent vs Buy'!$B$14/100)^(B45-1)</f>
        <v>35477.822849718861</v>
      </c>
      <c r="E45">
        <f t="shared" si="6"/>
        <v>4407835.496786505</v>
      </c>
      <c r="F45">
        <f>'Rent vs Buy'!$B$5*(1+'Rent vs Buy'!$B$10/100)^B45</f>
        <v>14641000.000000004</v>
      </c>
      <c r="G45">
        <f>IF(B45&gt;='Rent vs Buy'!$B$8,0,MAX(0,-FV('Rent vs Buy'!$B$7/1200,B45*12,-'Rent vs Buy'!$E$5,'Rent vs Buy'!$B$6)))</f>
        <v>6744544.3918748088</v>
      </c>
      <c r="H45">
        <f>(F45-F45*'Common Assumptions'!$B$29/100-MAX(0,F45-'Rent vs Buy'!$B$5-F45*'Common Assumptions'!$B$29/100)*'Common Assumptions'!$B$28/100-G45)/(1+'Rent vs Buy'!$B$11/100)^B45</f>
        <v>5795219.1128503392</v>
      </c>
      <c r="I45">
        <f t="shared" si="7"/>
        <v>6488993.3104289789</v>
      </c>
      <c r="J45">
        <f>MAX(0,I45-E45-'Rent vs Buy'!$B$16)*'Rent vs Buy'!$B$15/100</f>
        <v>244519.72670530924</v>
      </c>
      <c r="K45">
        <f>(I45-J45)/(1+'Rent vs Buy'!$B$11/100)^B45</f>
        <v>4946207.9559247307</v>
      </c>
      <c r="L45">
        <f t="shared" si="5"/>
        <v>849011.1569256084</v>
      </c>
    </row>
    <row r="46" spans="1:12" x14ac:dyDescent="0.35">
      <c r="A46">
        <f>'Rent vs Buy'!$M8</f>
        <v>12</v>
      </c>
      <c r="B46">
        <f>5</f>
        <v>5</v>
      </c>
      <c r="C46">
        <f>'Rent vs Buy'!$B$13*12*(1+'Rent vs Buy'!$B$14/100)^(B46-1)</f>
        <v>439230.00000000012</v>
      </c>
      <c r="D46">
        <f>'Rent vs Buy'!$E$5+'Rent vs Buy'!$E$6/12-'Rent vs Buy'!$B$13*(1+'Rent vs Buy'!$B$14/100)^(B46-1)</f>
        <v>32150.322849718861</v>
      </c>
      <c r="E46">
        <f t="shared" si="6"/>
        <v>4793639.3709831312</v>
      </c>
      <c r="F46">
        <f>'Rent vs Buy'!$B$5*(1+'Rent vs Buy'!$B$10/100)^B46</f>
        <v>16105100.000000006</v>
      </c>
      <c r="G46">
        <f>IF(B46&gt;='Rent vs Buy'!$B$8,0,MAX(0,-FV('Rent vs Buy'!$B$7/1200,B46*12,-'Rent vs Buy'!$E$5,'Rent vs Buy'!$B$6)))</f>
        <v>6517657.3822820429</v>
      </c>
      <c r="H46">
        <f>(F46-F46*'Common Assumptions'!$B$29/100-MAX(0,F46-'Rent vs Buy'!$B$5-F46*'Common Assumptions'!$B$29/100)*'Common Assumptions'!$B$28/100-G46)/(1+'Rent vs Buy'!$B$11/100)^B46</f>
        <v>6594034.1190785198</v>
      </c>
      <c r="I46">
        <f t="shared" si="7"/>
        <v>7719706.6489670994</v>
      </c>
      <c r="J46">
        <f>MAX(0,I46-E46-'Rent vs Buy'!$B$16)*'Rent vs Buy'!$B$15/100</f>
        <v>350133.40974799602</v>
      </c>
      <c r="K46">
        <f>(I46-J46)/(1+'Rent vs Buy'!$B$11/100)^B46</f>
        <v>5506973.8335414557</v>
      </c>
      <c r="L46">
        <f t="shared" si="5"/>
        <v>1087060.2855370641</v>
      </c>
    </row>
    <row r="47" spans="1:12" x14ac:dyDescent="0.35">
      <c r="A47">
        <f>'Rent vs Buy'!$M8</f>
        <v>12</v>
      </c>
      <c r="B47">
        <f>6</f>
        <v>6</v>
      </c>
      <c r="C47">
        <f>'Rent vs Buy'!$B$13*12*(1+'Rent vs Buy'!$B$14/100)^(B47-1)</f>
        <v>483153.00000000017</v>
      </c>
      <c r="D47">
        <f>'Rent vs Buy'!$E$5+'Rent vs Buy'!$E$6/12-'Rent vs Buy'!$B$13*(1+'Rent vs Buy'!$B$14/100)^(B47-1)</f>
        <v>28490.072849718854</v>
      </c>
      <c r="E47">
        <f t="shared" si="6"/>
        <v>5135520.2451797575</v>
      </c>
      <c r="F47">
        <f>'Rent vs Buy'!$B$5*(1+'Rent vs Buy'!$B$10/100)^B47</f>
        <v>17715610.000000007</v>
      </c>
      <c r="G47">
        <f>IF(B47&gt;='Rent vs Buy'!$B$8,0,MAX(0,-FV('Rent vs Buy'!$B$7/1200,B47*12,-'Rent vs Buy'!$E$5,'Rent vs Buy'!$B$6)))</f>
        <v>6273156.5444879187</v>
      </c>
      <c r="H47">
        <f>(F47-F47*'Common Assumptions'!$B$29/100-MAX(0,F47-'Rent vs Buy'!$B$5-F47*'Common Assumptions'!$B$29/100)*'Common Assumptions'!$B$28/100-G47)/(1+'Rent vs Buy'!$B$11/100)^B47</f>
        <v>7386578.0975259217</v>
      </c>
      <c r="I47">
        <f t="shared" si="7"/>
        <v>9060084.1120950803</v>
      </c>
      <c r="J47">
        <f>MAX(0,I47-E47-'Rent vs Buy'!$B$16)*'Rent vs Buy'!$B$15/100</f>
        <v>474945.4833644153</v>
      </c>
      <c r="K47">
        <f>(I47-J47)/(1+'Rent vs Buy'!$B$11/100)^B47</f>
        <v>6052183.9674595119</v>
      </c>
      <c r="L47">
        <f t="shared" si="5"/>
        <v>1334394.1300664097</v>
      </c>
    </row>
    <row r="48" spans="1:12" x14ac:dyDescent="0.35">
      <c r="A48">
        <f>'Rent vs Buy'!$M8</f>
        <v>12</v>
      </c>
      <c r="B48">
        <f>7</f>
        <v>7</v>
      </c>
      <c r="C48">
        <f>'Rent vs Buy'!$B$13*12*(1+'Rent vs Buy'!$B$14/100)^(B48-1)</f>
        <v>531468.30000000028</v>
      </c>
      <c r="D48">
        <f>'Rent vs Buy'!$E$5+'Rent vs Buy'!$E$6/12-'Rent vs Buy'!$B$13*(1+'Rent vs Buy'!$B$14/100)^(B48-1)</f>
        <v>24463.797849718845</v>
      </c>
      <c r="E48">
        <f t="shared" si="6"/>
        <v>5429085.8193763839</v>
      </c>
      <c r="F48">
        <f>'Rent vs Buy'!$B$5*(1+'Rent vs Buy'!$B$10/100)^B48</f>
        <v>19487171.000000011</v>
      </c>
      <c r="G48">
        <f>IF(B48&gt;='Rent vs Buy'!$B$8,0,MAX(0,-FV('Rent vs Buy'!$B$7/1200,B48*12,-'Rent vs Buy'!$E$5,'Rent vs Buy'!$B$6)))</f>
        <v>6009674.4712333586</v>
      </c>
      <c r="H48">
        <f>(F48-F48*'Common Assumptions'!$B$29/100-MAX(0,F48-'Rent vs Buy'!$B$5-F48*'Common Assumptions'!$B$29/100)*'Common Assumptions'!$B$28/100-G48)/(1+'Rent vs Buy'!$B$11/100)^B48</f>
        <v>8174616.1200639112</v>
      </c>
      <c r="I48">
        <f t="shared" si="7"/>
        <v>10519391.74255302</v>
      </c>
      <c r="J48">
        <f>MAX(0,I48-E48-'Rent vs Buy'!$B$16)*'Rent vs Buy'!$B$15/100</f>
        <v>620663.2403970795</v>
      </c>
      <c r="K48">
        <f>(I48-J48)/(1+'Rent vs Buy'!$B$11/100)^B48</f>
        <v>6583219.8061749795</v>
      </c>
      <c r="L48">
        <f t="shared" si="5"/>
        <v>1591396.3138889316</v>
      </c>
    </row>
    <row r="49" spans="1:12" x14ac:dyDescent="0.35">
      <c r="A49">
        <f>'Rent vs Buy'!$M8</f>
        <v>12</v>
      </c>
      <c r="B49">
        <f>8</f>
        <v>8</v>
      </c>
      <c r="C49">
        <f>'Rent vs Buy'!$B$13*12*(1+'Rent vs Buy'!$B$14/100)^(B49-1)</f>
        <v>584615.13000000035</v>
      </c>
      <c r="D49">
        <f>'Rent vs Buy'!$E$5+'Rent vs Buy'!$E$6/12-'Rent vs Buy'!$B$13*(1+'Rent vs Buy'!$B$14/100)^(B49-1)</f>
        <v>20034.895349718841</v>
      </c>
      <c r="E49">
        <f t="shared" si="6"/>
        <v>5669504.5635730103</v>
      </c>
      <c r="F49">
        <f>'Rent vs Buy'!$B$5*(1+'Rent vs Buy'!$B$10/100)^B49</f>
        <v>21435888.100000013</v>
      </c>
      <c r="G49">
        <f>IF(B49&gt;='Rent vs Buy'!$B$8,0,MAX(0,-FV('Rent vs Buy'!$B$7/1200,B49*12,-'Rent vs Buy'!$E$5,'Rent vs Buy'!$B$6)))</f>
        <v>5725737.5998800723</v>
      </c>
      <c r="H49">
        <f>(F49-F49*'Common Assumptions'!$B$29/100-MAX(0,F49-'Rent vs Buy'!$B$5-F49*'Common Assumptions'!$B$29/100)*'Common Assumptions'!$B$28/100-G49)/(1+'Rent vs Buy'!$B$11/100)^B49</f>
        <v>8959865.5705146343</v>
      </c>
      <c r="I49">
        <f t="shared" si="7"/>
        <v>12107606.537914196</v>
      </c>
      <c r="J49">
        <f>MAX(0,I49-E49-'Rent vs Buy'!$B$16)*'Rent vs Buy'!$B$15/100</f>
        <v>789137.74679264834</v>
      </c>
      <c r="K49">
        <f>(I49-J49)/(1+'Rent vs Buy'!$B$11/100)^B49</f>
        <v>7101347.3441960271</v>
      </c>
      <c r="L49">
        <f t="shared" si="5"/>
        <v>1858518.2263186071</v>
      </c>
    </row>
    <row r="50" spans="1:12" x14ac:dyDescent="0.35">
      <c r="A50">
        <f>'Rent vs Buy'!$M8</f>
        <v>12</v>
      </c>
      <c r="B50">
        <f>9</f>
        <v>9</v>
      </c>
      <c r="C50">
        <f>'Rent vs Buy'!$B$13*12*(1+'Rent vs Buy'!$B$14/100)^(B50-1)</f>
        <v>643076.64300000039</v>
      </c>
      <c r="D50">
        <f>'Rent vs Buy'!$E$5+'Rent vs Buy'!$E$6/12-'Rent vs Buy'!$B$13*(1+'Rent vs Buy'!$B$14/100)^(B50-1)</f>
        <v>15163.102599718841</v>
      </c>
      <c r="E50">
        <f t="shared" si="6"/>
        <v>5851461.7947696364</v>
      </c>
      <c r="F50">
        <f>'Rent vs Buy'!$B$5*(1+'Rent vs Buy'!$B$10/100)^B50</f>
        <v>23579476.910000015</v>
      </c>
      <c r="G50">
        <f>IF(B50&gt;='Rent vs Buy'!$B$8,0,MAX(0,-FV('Rent vs Buy'!$B$7/1200,B50*12,-'Rent vs Buy'!$E$5,'Rent vs Buy'!$B$6)))</f>
        <v>5419757.9712925795</v>
      </c>
      <c r="H50">
        <f>(F50-F50*'Common Assumptions'!$B$29/100-MAX(0,F50-'Rent vs Buy'!$B$5-F50*'Common Assumptions'!$B$29/100)*'Common Assumptions'!$B$28/100-G50)/(1+'Rent vs Buy'!$B$11/100)^B50</f>
        <v>9744000.7981367186</v>
      </c>
      <c r="I50">
        <f t="shared" si="7"/>
        <v>13835460.196321547</v>
      </c>
      <c r="J50">
        <f>MAX(0,I50-E50-'Rent vs Buy'!$B$16)*'Rent vs Buy'!$B$15/100</f>
        <v>982374.80019398883</v>
      </c>
      <c r="K50">
        <f>(I50-J50)/(1+'Rent vs Buy'!$B$11/100)^B50</f>
        <v>7607721.4975881036</v>
      </c>
      <c r="L50">
        <f t="shared" si="5"/>
        <v>2136279.3005486149</v>
      </c>
    </row>
    <row r="51" spans="1:12" x14ac:dyDescent="0.35">
      <c r="A51">
        <f>'Rent vs Buy'!$M8</f>
        <v>12</v>
      </c>
      <c r="B51">
        <f>10</f>
        <v>10</v>
      </c>
      <c r="C51">
        <f>'Rent vs Buy'!$B$13*12*(1+'Rent vs Buy'!$B$14/100)^(B51-1)</f>
        <v>707384.30730000045</v>
      </c>
      <c r="D51">
        <f>'Rent vs Buy'!$E$5+'Rent vs Buy'!$E$6/12-'Rent vs Buy'!$B$13*(1+'Rent vs Buy'!$B$14/100)^(B51-1)</f>
        <v>9804.1305747188308</v>
      </c>
      <c r="E51">
        <f t="shared" si="6"/>
        <v>5969111.3616662621</v>
      </c>
      <c r="F51">
        <f>'Rent vs Buy'!$B$5*(1+'Rent vs Buy'!$B$10/100)^B51</f>
        <v>25937424.601000018</v>
      </c>
      <c r="G51">
        <f>IF(B51&gt;='Rent vs Buy'!$B$8,0,MAX(0,-FV('Rent vs Buy'!$B$7/1200,B51*12,-'Rent vs Buy'!$E$5,'Rent vs Buy'!$B$6)))</f>
        <v>5090024.3489408363</v>
      </c>
      <c r="H51">
        <f>(F51-F51*'Common Assumptions'!$B$29/100-MAX(0,F51-'Rent vs Buy'!$B$5-F51*'Common Assumptions'!$B$29/100)*'Common Assumptions'!$B$28/100-G51)/(1+'Rent vs Buy'!$B$11/100)^B51</f>
        <v>10528657.581174146</v>
      </c>
      <c r="I51">
        <f t="shared" si="7"/>
        <v>15714483.768165344</v>
      </c>
      <c r="J51">
        <f>MAX(0,I51-E51-'Rent vs Buy'!$B$16)*'Rent vs Buy'!$B$15/100</f>
        <v>1202546.5508123853</v>
      </c>
      <c r="K51">
        <f>(I51-J51)/(1+'Rent vs Buy'!$B$11/100)^B51</f>
        <v>8103389.9450900014</v>
      </c>
      <c r="L51">
        <f t="shared" si="5"/>
        <v>2425267.6360841449</v>
      </c>
    </row>
    <row r="52" spans="1:12" x14ac:dyDescent="0.35">
      <c r="A52">
        <f>'Rent vs Buy'!$M8</f>
        <v>12</v>
      </c>
      <c r="B52">
        <f>11</f>
        <v>11</v>
      </c>
      <c r="C52">
        <f>'Rent vs Buy'!$B$13*12*(1+'Rent vs Buy'!$B$14/100)^(B52-1)</f>
        <v>778122.73803000059</v>
      </c>
      <c r="D52">
        <f>'Rent vs Buy'!$E$5+'Rent vs Buy'!$E$6/12-'Rent vs Buy'!$B$13*(1+'Rent vs Buy'!$B$14/100)^(B52-1)</f>
        <v>3909.2613472188241</v>
      </c>
      <c r="E52">
        <f t="shared" si="6"/>
        <v>6016022.4978328878</v>
      </c>
      <c r="F52">
        <f>'Rent vs Buy'!$B$5*(1+'Rent vs Buy'!$B$10/100)^B52</f>
        <v>28531167.061100025</v>
      </c>
      <c r="G52">
        <f>IF(B52&gt;='Rent vs Buy'!$B$8,0,MAX(0,-FV('Rent vs Buy'!$B$7/1200,B52*12,-'Rent vs Buy'!$E$5,'Rent vs Buy'!$B$6)))</f>
        <v>4734692.6485557146</v>
      </c>
      <c r="H52">
        <f>(F52-F52*'Common Assumptions'!$B$29/100-MAX(0,F52-'Rent vs Buy'!$B$5-F52*'Common Assumptions'!$B$29/100)*'Common Assumptions'!$B$28/100-G52)/(1+'Rent vs Buy'!$B$11/100)^B52</f>
        <v>11315437.413987285</v>
      </c>
      <c r="I52">
        <f t="shared" si="7"/>
        <v>17757052.864386741</v>
      </c>
      <c r="J52">
        <f>MAX(0,I52-E52-'Rent vs Buy'!$B$16)*'Rent vs Buy'!$B$15/100</f>
        <v>1452003.7958192318</v>
      </c>
      <c r="K52">
        <f>(I52-J52)/(1+'Rent vs Buy'!$B$11/100)^B52</f>
        <v>8589296.4502196256</v>
      </c>
      <c r="L52">
        <f t="shared" si="5"/>
        <v>2726140.9637676589</v>
      </c>
    </row>
    <row r="53" spans="1:12" x14ac:dyDescent="0.35">
      <c r="A53">
        <f>'Rent vs Buy'!$M8</f>
        <v>12</v>
      </c>
      <c r="B53">
        <f>12</f>
        <v>12</v>
      </c>
      <c r="C53">
        <f>'Rent vs Buy'!$B$13*12*(1+'Rent vs Buy'!$B$14/100)^(B53-1)</f>
        <v>855935.0118330007</v>
      </c>
      <c r="D53">
        <f>'Rent vs Buy'!$E$5+'Rent vs Buy'!$E$6/12-'Rent vs Buy'!$B$13*(1+'Rent vs Buy'!$B$14/100)^(B53-1)</f>
        <v>-2575.0948030311993</v>
      </c>
      <c r="E53">
        <f t="shared" si="6"/>
        <v>5985121.3601965131</v>
      </c>
      <c r="F53">
        <f>'Rent vs Buy'!$B$5*(1+'Rent vs Buy'!$B$10/100)^B53</f>
        <v>31384283.767210025</v>
      </c>
      <c r="G53">
        <f>IF(B53&gt;='Rent vs Buy'!$B$8,0,MAX(0,-FV('Rent vs Buy'!$B$7/1200,B53*12,-'Rent vs Buy'!$E$5,'Rent vs Buy'!$B$6)))</f>
        <v>4351775.6248137653</v>
      </c>
      <c r="H53">
        <f>(F53-F53*'Common Assumptions'!$B$29/100-MAX(0,F53-'Rent vs Buy'!$B$5-F53*'Common Assumptions'!$B$29/100)*'Common Assumptions'!$B$28/100-G53)/(1+'Rent vs Buy'!$B$11/100)^B53</f>
        <v>12105911.630624209</v>
      </c>
      <c r="I53">
        <f t="shared" si="7"/>
        <v>19976432.981368858</v>
      </c>
      <c r="J53">
        <f>MAX(0,I53-E53-'Rent vs Buy'!$B$16)*'Rent vs Buy'!$B$15/100</f>
        <v>1733288.9526465433</v>
      </c>
      <c r="K53">
        <f>(I53-J53)/(1+'Rent vs Buy'!$B$11/100)^B53</f>
        <v>9066283.6775976866</v>
      </c>
      <c r="L53">
        <f t="shared" si="5"/>
        <v>3039627.953026522</v>
      </c>
    </row>
    <row r="54" spans="1:12" x14ac:dyDescent="0.35">
      <c r="A54">
        <f>'Rent vs Buy'!$M8</f>
        <v>12</v>
      </c>
      <c r="B54">
        <f>13</f>
        <v>13</v>
      </c>
      <c r="C54">
        <f>'Rent vs Buy'!$B$13*12*(1+'Rent vs Buy'!$B$14/100)^(B54-1)</f>
        <v>941528.51301630074</v>
      </c>
      <c r="D54">
        <f>'Rent vs Buy'!$E$5+'Rent vs Buy'!$E$6/12-'Rent vs Buy'!$B$13*(1+'Rent vs Buy'!$B$14/100)^(B54-1)</f>
        <v>-9707.8865683062031</v>
      </c>
      <c r="E54">
        <f t="shared" si="6"/>
        <v>5868626.7213768391</v>
      </c>
      <c r="F54">
        <f>'Rent vs Buy'!$B$5*(1+'Rent vs Buy'!$B$10/100)^B54</f>
        <v>34522712.143931031</v>
      </c>
      <c r="G54">
        <f>IF(B54&gt;='Rent vs Buy'!$B$8,0,MAX(0,-FV('Rent vs Buy'!$B$7/1200,B54*12,-'Rent vs Buy'!$E$5,'Rent vs Buy'!$B$6)))</f>
        <v>3939131.7573725078</v>
      </c>
      <c r="H54">
        <f>(F54-F54*'Common Assumptions'!$B$29/100-MAX(0,F54-'Rent vs Buy'!$B$5-F54*'Common Assumptions'!$B$29/100)*'Common Assumptions'!$B$28/100-G54)/(1+'Rent vs Buy'!$B$11/100)^B54</f>
        <v>12901625.37707085</v>
      </c>
      <c r="I54">
        <f t="shared" si="7"/>
        <v>22386824.39550592</v>
      </c>
      <c r="J54">
        <f>MAX(0,I54-E54-'Rent vs Buy'!$B$16)*'Rent vs Buy'!$B$15/100</f>
        <v>2049149.709266135</v>
      </c>
      <c r="K54">
        <f>(I54-J54)/(1+'Rent vs Buy'!$B$11/100)^B54</f>
        <v>9535095.5145817529</v>
      </c>
      <c r="L54">
        <f t="shared" si="5"/>
        <v>3366529.8624890968</v>
      </c>
    </row>
    <row r="55" spans="1:12" x14ac:dyDescent="0.35">
      <c r="A55">
        <f>'Rent vs Buy'!$M8</f>
        <v>12</v>
      </c>
      <c r="B55">
        <f>14</f>
        <v>14</v>
      </c>
      <c r="C55">
        <f>'Rent vs Buy'!$B$13*12*(1+'Rent vs Buy'!$B$14/100)^(B55-1)</f>
        <v>1035681.3643179309</v>
      </c>
      <c r="D55">
        <f>'Rent vs Buy'!$E$5+'Rent vs Buy'!$E$6/12-'Rent vs Buy'!$B$13*(1+'Rent vs Buy'!$B$14/100)^(B55-1)</f>
        <v>-17553.95751010871</v>
      </c>
      <c r="E55">
        <f t="shared" si="6"/>
        <v>5657979.231255535</v>
      </c>
      <c r="F55">
        <f>'Rent vs Buy'!$B$5*(1+'Rent vs Buy'!$B$10/100)^B55</f>
        <v>37974983.35832414</v>
      </c>
      <c r="G55">
        <f>IF(B55&gt;='Rent vs Buy'!$B$8,0,MAX(0,-FV('Rent vs Buy'!$B$7/1200,B55*12,-'Rent vs Buy'!$E$5,'Rent vs Buy'!$B$6)))</f>
        <v>3494453.2740997896</v>
      </c>
      <c r="H55">
        <f>(F55-F55*'Common Assumptions'!$B$29/100-MAX(0,F55-'Rent vs Buy'!$B$5-F55*'Common Assumptions'!$B$29/100)*'Common Assumptions'!$B$28/100-G55)/(1+'Rent vs Buy'!$B$11/100)^B55</f>
        <v>13704101.443838244</v>
      </c>
      <c r="I55">
        <f t="shared" si="7"/>
        <v>25003405.955009591</v>
      </c>
      <c r="J55">
        <f>MAX(0,I55-E55-'Rent vs Buy'!$B$16)*'Rent vs Buy'!$B$15/100</f>
        <v>2402553.340469257</v>
      </c>
      <c r="K55">
        <f>(I55-J55)/(1+'Rent vs Buy'!$B$11/100)^B55</f>
        <v>9996378.9072140418</v>
      </c>
      <c r="L55">
        <f t="shared" si="5"/>
        <v>3707722.5366242025</v>
      </c>
    </row>
    <row r="56" spans="1:12" x14ac:dyDescent="0.35">
      <c r="A56">
        <f>'Rent vs Buy'!$M8</f>
        <v>12</v>
      </c>
      <c r="B56">
        <f>15</f>
        <v>15</v>
      </c>
      <c r="C56">
        <f>'Rent vs Buy'!$B$13*12*(1+'Rent vs Buy'!$B$14/100)^(B56-1)</f>
        <v>1139249.5007497242</v>
      </c>
      <c r="D56">
        <f>'Rent vs Buy'!$E$5+'Rent vs Buy'!$E$6/12-'Rent vs Buy'!$B$13*(1+'Rent vs Buy'!$B$14/100)^(B56-1)</f>
        <v>-26184.635546091478</v>
      </c>
      <c r="E56">
        <f t="shared" si="6"/>
        <v>5343763.6047024373</v>
      </c>
      <c r="F56">
        <f>'Rent vs Buy'!$B$5*(1+'Rent vs Buy'!$B$10/100)^B56</f>
        <v>41772481.69415655</v>
      </c>
      <c r="G56">
        <f>IF(B56&gt;='Rent vs Buy'!$B$8,0,MAX(0,-FV('Rent vs Buy'!$B$7/1200,B56*12,-'Rent vs Buy'!$E$5,'Rent vs Buy'!$B$6)))</f>
        <v>3015253.2445152439</v>
      </c>
      <c r="H56">
        <f>(F56-F56*'Common Assumptions'!$B$29/100-MAX(0,F56-'Rent vs Buy'!$B$5-F56*'Common Assumptions'!$B$29/100)*'Common Assumptions'!$B$28/100-G56)/(1+'Rent vs Buy'!$B$11/100)^B56</f>
        <v>14514843.970001906</v>
      </c>
      <c r="I56">
        <f t="shared" si="7"/>
        <v>27842376.949442785</v>
      </c>
      <c r="J56">
        <f>MAX(0,I56-E56-'Rent vs Buy'!$B$16)*'Rent vs Buy'!$B$15/100</f>
        <v>2796701.6680925433</v>
      </c>
      <c r="K56">
        <f>(I56-J56)/(1+'Rent vs Buy'!$B$11/100)^B56</f>
        <v>10450685.21743523</v>
      </c>
      <c r="L56">
        <f t="shared" si="5"/>
        <v>4064158.7525666766</v>
      </c>
    </row>
    <row r="57" spans="1:12" x14ac:dyDescent="0.35">
      <c r="A57">
        <f>'Rent vs Buy'!$M8</f>
        <v>12</v>
      </c>
      <c r="B57">
        <f>16</f>
        <v>16</v>
      </c>
      <c r="C57">
        <f>'Rent vs Buy'!$B$13*12*(1+'Rent vs Buy'!$B$14/100)^(B57-1)</f>
        <v>1253174.4508246966</v>
      </c>
      <c r="D57">
        <f>'Rent vs Buy'!$E$5+'Rent vs Buy'!$E$6/12-'Rent vs Buy'!$B$13*(1+'Rent vs Buy'!$B$14/100)^(B57-1)</f>
        <v>-35678.381385672517</v>
      </c>
      <c r="E57">
        <f t="shared" si="6"/>
        <v>4915623.028074367</v>
      </c>
      <c r="F57">
        <f>'Rent vs Buy'!$B$5*(1+'Rent vs Buy'!$B$10/100)^B57</f>
        <v>45949729.86357221</v>
      </c>
      <c r="G57">
        <f>IF(B57&gt;='Rent vs Buy'!$B$8,0,MAX(0,-FV('Rent vs Buy'!$B$7/1200,B57*12,-'Rent vs Buy'!$E$5,'Rent vs Buy'!$B$6)))</f>
        <v>2498851.6712621674</v>
      </c>
      <c r="H57">
        <f>(F57-F57*'Common Assumptions'!$B$29/100-MAX(0,F57-'Rent vs Buy'!$B$5-F57*'Common Assumptions'!$B$29/100)*'Common Assumptions'!$B$28/100-G57)/(1+'Rent vs Buy'!$B$11/100)^B57</f>
        <v>15335342.029300097</v>
      </c>
      <c r="I57">
        <f t="shared" si="7"/>
        <v>30920996.065571744</v>
      </c>
      <c r="J57">
        <f>MAX(0,I57-E57-'Rent vs Buy'!$B$16)*'Rent vs Buy'!$B$15/100</f>
        <v>3235046.6296871724</v>
      </c>
      <c r="K57">
        <f>(I57-J57)/(1+'Rent vs Buy'!$B$11/100)^B57</f>
        <v>10898471.106495734</v>
      </c>
      <c r="L57">
        <f t="shared" si="5"/>
        <v>4436870.9228043631</v>
      </c>
    </row>
    <row r="58" spans="1:12" x14ac:dyDescent="0.35">
      <c r="A58">
        <f>'Rent vs Buy'!$M8</f>
        <v>12</v>
      </c>
      <c r="B58">
        <f>17</f>
        <v>17</v>
      </c>
      <c r="C58">
        <f>'Rent vs Buy'!$B$13*12*(1+'Rent vs Buy'!$B$14/100)^(B58-1)</f>
        <v>1378491.8959071664</v>
      </c>
      <c r="D58">
        <f>'Rent vs Buy'!$E$5+'Rent vs Buy'!$E$6/12-'Rent vs Buy'!$B$13*(1+'Rent vs Buy'!$B$14/100)^(B58-1)</f>
        <v>-46121.501809211652</v>
      </c>
      <c r="E58">
        <f t="shared" si="6"/>
        <v>4362165.0063638268</v>
      </c>
      <c r="F58">
        <f>'Rent vs Buy'!$B$5*(1+'Rent vs Buy'!$B$10/100)^B58</f>
        <v>50544702.84992943</v>
      </c>
      <c r="G58">
        <f>IF(B58&gt;='Rent vs Buy'!$B$8,0,MAX(0,-FV('Rent vs Buy'!$B$7/1200,B58*12,-'Rent vs Buy'!$E$5,'Rent vs Buy'!$B$6)))</f>
        <v>1942360.5018241107</v>
      </c>
      <c r="H58">
        <f>(F58-F58*'Common Assumptions'!$B$29/100-MAX(0,F58-'Rent vs Buy'!$B$5-F58*'Common Assumptions'!$B$29/100)*'Common Assumptions'!$B$28/100-G58)/(1+'Rent vs Buy'!$B$11/100)^B58</f>
        <v>16167073.108423071</v>
      </c>
      <c r="I58">
        <f t="shared" si="7"/>
        <v>34257616.237629905</v>
      </c>
      <c r="J58">
        <f>MAX(0,I58-E58-'Rent vs Buy'!$B$16)*'Rent vs Buy'!$B$15/100</f>
        <v>3721306.4039082597</v>
      </c>
      <c r="K58">
        <f>(I58-J58)/(1+'Rent vs Buy'!$B$11/100)^B58</f>
        <v>11340098.947496567</v>
      </c>
      <c r="L58">
        <f t="shared" si="5"/>
        <v>4826974.1609265041</v>
      </c>
    </row>
    <row r="59" spans="1:12" x14ac:dyDescent="0.35">
      <c r="A59">
        <f>'Rent vs Buy'!$M8</f>
        <v>12</v>
      </c>
      <c r="B59">
        <f>18</f>
        <v>18</v>
      </c>
      <c r="C59">
        <f>'Rent vs Buy'!$B$13*12*(1+'Rent vs Buy'!$B$14/100)^(B59-1)</f>
        <v>1516341.0854978829</v>
      </c>
      <c r="D59">
        <f>'Rent vs Buy'!$E$5+'Rent vs Buy'!$E$6/12-'Rent vs Buy'!$B$13*(1+'Rent vs Buy'!$B$14/100)^(B59-1)</f>
        <v>-57608.934275104708</v>
      </c>
      <c r="E59">
        <f t="shared" si="6"/>
        <v>3670857.7950625704</v>
      </c>
      <c r="F59">
        <f>'Rent vs Buy'!$B$5*(1+'Rent vs Buy'!$B$10/100)^B59</f>
        <v>55599173.134922378</v>
      </c>
      <c r="G59">
        <f>IF(B59&gt;='Rent vs Buy'!$B$8,0,MAX(0,-FV('Rent vs Buy'!$B$7/1200,B59*12,-'Rent vs Buy'!$E$5,'Rent vs Buy'!$B$6)))</f>
        <v>1342667.4766621441</v>
      </c>
      <c r="H59">
        <f>(F59-F59*'Common Assumptions'!$B$29/100-MAX(0,F59-'Rent vs Buy'!$B$5-F59*'Common Assumptions'!$B$29/100)*'Common Assumptions'!$B$28/100-G59)/(1+'Rent vs Buy'!$B$11/100)^B59</f>
        <v>17011506.487182308</v>
      </c>
      <c r="I59">
        <f t="shared" si="7"/>
        <v>37871713.96668569</v>
      </c>
      <c r="J59">
        <f>MAX(0,I59-E59-'Rent vs Buy'!$B$16)*'Rent vs Buy'!$B$15/100</f>
        <v>4259482.0214528898</v>
      </c>
      <c r="K59">
        <f>(I59-J59)/(1+'Rent vs Buy'!$B$11/100)^B59</f>
        <v>11775836.76800701</v>
      </c>
      <c r="L59">
        <f t="shared" si="5"/>
        <v>5235669.7191752978</v>
      </c>
    </row>
    <row r="60" spans="1:12" x14ac:dyDescent="0.35">
      <c r="A60">
        <f>'Rent vs Buy'!$M8</f>
        <v>12</v>
      </c>
      <c r="B60">
        <f>19</f>
        <v>19</v>
      </c>
      <c r="C60">
        <f>'Rent vs Buy'!$B$13*12*(1+'Rent vs Buy'!$B$14/100)^(B60-1)</f>
        <v>1667975.1940476713</v>
      </c>
      <c r="D60">
        <f>'Rent vs Buy'!$E$5+'Rent vs Buy'!$E$6/12-'Rent vs Buy'!$B$13*(1+'Rent vs Buy'!$B$14/100)^(B60-1)</f>
        <v>-70245.109987587071</v>
      </c>
      <c r="E60">
        <f t="shared" si="6"/>
        <v>2827916.4752115253</v>
      </c>
      <c r="F60">
        <f>'Rent vs Buy'!$B$5*(1+'Rent vs Buy'!$B$10/100)^B60</f>
        <v>61159090.448414631</v>
      </c>
      <c r="G60">
        <f>IF(B60&gt;='Rent vs Buy'!$B$8,0,MAX(0,-FV('Rent vs Buy'!$B$7/1200,B60*12,-'Rent vs Buy'!$E$5,'Rent vs Buy'!$B$6)))</f>
        <v>696418.72344102338</v>
      </c>
      <c r="H60">
        <f>(F60-F60*'Common Assumptions'!$B$29/100-MAX(0,F60-'Rent vs Buy'!$B$5-F60*'Common Assumptions'!$B$29/100)*'Common Assumptions'!$B$28/100-G60)/(1+'Rent vs Buy'!$B$11/100)^B60</f>
        <v>17870106.529835254</v>
      </c>
      <c r="I60">
        <f t="shared" si="7"/>
        <v>41783911.412580013</v>
      </c>
      <c r="J60">
        <f>MAX(0,I60-E60-'Rent vs Buy'!$B$16)*'Rent vs Buy'!$B$15/100</f>
        <v>4853874.3671710612</v>
      </c>
      <c r="K60">
        <f>(I60-J60)/(1+'Rent vs Buy'!$B$11/100)^B60</f>
        <v>12205857.721726915</v>
      </c>
      <c r="L60">
        <f t="shared" si="5"/>
        <v>5664248.8081083391</v>
      </c>
    </row>
    <row r="61" spans="1:12" x14ac:dyDescent="0.35">
      <c r="A61">
        <f>'Rent vs Buy'!$M8</f>
        <v>12</v>
      </c>
      <c r="B61">
        <f>20</f>
        <v>20</v>
      </c>
      <c r="C61">
        <f>'Rent vs Buy'!$B$13*12*(1+'Rent vs Buy'!$B$14/100)^(B61-1)</f>
        <v>1834772.7134524391</v>
      </c>
      <c r="D61">
        <f>'Rent vs Buy'!$E$5+'Rent vs Buy'!$E$6/12-'Rent vs Buy'!$B$13*(1+'Rent vs Buy'!$B$14/100)^(B61-1)</f>
        <v>-84144.9032713177</v>
      </c>
      <c r="E61">
        <f t="shared" si="6"/>
        <v>1818177.635955713</v>
      </c>
      <c r="F61">
        <f>'Rent vs Buy'!$B$5*(1+'Rent vs Buy'!$B$10/100)^B61</f>
        <v>67274999.493256092</v>
      </c>
      <c r="G61">
        <f>IF(B61&gt;='Rent vs Buy'!$B$8,0,MAX(0,-FV('Rent vs Buy'!$B$7/1200,B61*12,-'Rent vs Buy'!$E$5,'Rent vs Buy'!$B$6)))</f>
        <v>0</v>
      </c>
      <c r="H61">
        <f>(F61-F61*'Common Assumptions'!$B$29/100-MAX(0,F61-'Rent vs Buy'!$B$5-F61*'Common Assumptions'!$B$29/100)*'Common Assumptions'!$B$28/100-G61)/(1+'Rent vs Buy'!$B$11/100)^B61</f>
        <v>18744335.896456756</v>
      </c>
      <c r="I61">
        <f t="shared" si="7"/>
        <v>46015989.247228369</v>
      </c>
      <c r="J61">
        <f>MAX(0,I61-E61-'Rent vs Buy'!$B$16)*'Rent vs Buy'!$B$15/100</f>
        <v>5509101.4514090829</v>
      </c>
      <c r="K61">
        <f>(I61-J61)/(1+'Rent vs Buy'!$B$11/100)^B61</f>
        <v>12630239.086180693</v>
      </c>
      <c r="L61">
        <f t="shared" si="5"/>
        <v>6114096.8102760632</v>
      </c>
    </row>
    <row r="62" spans="1:12" x14ac:dyDescent="0.35">
      <c r="A62">
        <f>'Rent vs Buy'!$M9</f>
        <v>14</v>
      </c>
      <c r="B62">
        <f>1</f>
        <v>1</v>
      </c>
      <c r="C62">
        <f>'Rent vs Buy'!$B$13*12*(1+'Rent vs Buy'!$B$14/100)^(B62-1)</f>
        <v>300000</v>
      </c>
      <c r="D62">
        <f>'Rent vs Buy'!$E$5+'Rent vs Buy'!$E$6/12-'Rent vs Buy'!$B$13*(1+'Rent vs Buy'!$B$14/100)^(B62-1)</f>
        <v>43752.822849718868</v>
      </c>
      <c r="E62">
        <f>'Rent vs Buy'!$B$5-'Rent vs Buy'!$B$6+D62*12</f>
        <v>3025033.8741966262</v>
      </c>
      <c r="F62">
        <f>'Rent vs Buy'!$B$5*(1+'Rent vs Buy'!$B$10/100)^B62</f>
        <v>11000000</v>
      </c>
      <c r="G62">
        <f>IF(B62&gt;='Rent vs Buy'!$B$8,0,MAX(0,-FV('Rent vs Buy'!$B$7/1200,B62*12,-'Rent vs Buy'!$E$5,'Rent vs Buy'!$B$6)))</f>
        <v>7331760.9725863561</v>
      </c>
      <c r="H62">
        <f>(F62-F62*'Common Assumptions'!$B$29/100-MAX(0,F62-'Rent vs Buy'!$B$5-F62*'Common Assumptions'!$B$29/100)*'Common Assumptions'!$B$28/100-G62)/(1+'Rent vs Buy'!$B$11/100)^B62</f>
        <v>3342678.3277487205</v>
      </c>
      <c r="I62">
        <f>('Rent vs Buy'!$B$5-'Rent vs Buy'!$B$6)*(1+A62/1200)^12+FV(A62/1200,12,-D62,0,0)</f>
        <v>3433423.8171251779</v>
      </c>
      <c r="J62">
        <f>MAX(0,I62-E62-'Rent vs Buy'!$B$16)*'Rent vs Buy'!$B$15/100</f>
        <v>35423.742866068962</v>
      </c>
      <c r="K62">
        <f>(I62-J62)/(1+'Rent vs Buy'!$B$11/100)^B62</f>
        <v>3205660.4474142534</v>
      </c>
      <c r="L62">
        <f t="shared" si="5"/>
        <v>137017.88033446716</v>
      </c>
    </row>
    <row r="63" spans="1:12" x14ac:dyDescent="0.35">
      <c r="A63">
        <f>'Rent vs Buy'!$M9</f>
        <v>14</v>
      </c>
      <c r="B63">
        <f>2</f>
        <v>2</v>
      </c>
      <c r="C63">
        <f>'Rent vs Buy'!$B$13*12*(1+'Rent vs Buy'!$B$14/100)^(B63-1)</f>
        <v>330000</v>
      </c>
      <c r="D63">
        <f>'Rent vs Buy'!$E$5+'Rent vs Buy'!$E$6/12-'Rent vs Buy'!$B$13*(1+'Rent vs Buy'!$B$14/100)^(B63-1)</f>
        <v>41252.822849718868</v>
      </c>
      <c r="E63">
        <f t="shared" ref="E63:E81" si="8">E62+D63*12</f>
        <v>3520067.7483932525</v>
      </c>
      <c r="F63">
        <f>'Rent vs Buy'!$B$5*(1+'Rent vs Buy'!$B$10/100)^B63</f>
        <v>12100000.000000002</v>
      </c>
      <c r="G63">
        <f>IF(B63&gt;='Rent vs Buy'!$B$8,0,MAX(0,-FV('Rent vs Buy'!$B$7/1200,B63*12,-'Rent vs Buy'!$E$5,'Rent vs Buy'!$B$6)))</f>
        <v>7150461.1122455802</v>
      </c>
      <c r="H63">
        <f>(F63-F63*'Common Assumptions'!$B$29/100-MAX(0,F63-'Rent vs Buy'!$B$5-F63*'Common Assumptions'!$B$29/100)*'Common Assumptions'!$B$28/100-G63)/(1+'Rent vs Buy'!$B$11/100)^B63</f>
        <v>4171447.9243097375</v>
      </c>
      <c r="I63">
        <f t="shared" ref="I63:I81" si="9">I62*(1+A63/1200)^12+FV(A63/1200,12,-D63,0,0)</f>
        <v>4474245.1778085865</v>
      </c>
      <c r="J63">
        <f>MAX(0,I63-E63-'Rent vs Buy'!$B$16)*'Rent vs Buy'!$B$15/100</f>
        <v>103647.17867691675</v>
      </c>
      <c r="K63">
        <f>(I63-J63)/(1+'Rent vs Buy'!$B$11/100)^B63</f>
        <v>3889816.6599605461</v>
      </c>
      <c r="L63">
        <f t="shared" si="5"/>
        <v>281631.26434919145</v>
      </c>
    </row>
    <row r="64" spans="1:12" x14ac:dyDescent="0.35">
      <c r="A64">
        <f>'Rent vs Buy'!$M9</f>
        <v>14</v>
      </c>
      <c r="B64">
        <f>3</f>
        <v>3</v>
      </c>
      <c r="C64">
        <f>'Rent vs Buy'!$B$13*12*(1+'Rent vs Buy'!$B$14/100)^(B64-1)</f>
        <v>363000.00000000006</v>
      </c>
      <c r="D64">
        <f>'Rent vs Buy'!$E$5+'Rent vs Buy'!$E$6/12-'Rent vs Buy'!$B$13*(1+'Rent vs Buy'!$B$14/100)^(B64-1)</f>
        <v>38502.822849718868</v>
      </c>
      <c r="E64">
        <f t="shared" si="8"/>
        <v>3982101.6225898787</v>
      </c>
      <c r="F64">
        <f>'Rent vs Buy'!$B$5*(1+'Rent vs Buy'!$B$10/100)^B64</f>
        <v>13310000.000000004</v>
      </c>
      <c r="G64">
        <f>IF(B64&gt;='Rent vs Buy'!$B$8,0,MAX(0,-FV('Rent vs Buy'!$B$7/1200,B64*12,-'Rent vs Buy'!$E$5,'Rent vs Buy'!$B$6)))</f>
        <v>6955086.4725743141</v>
      </c>
      <c r="H64">
        <f>(F64-F64*'Common Assumptions'!$B$29/100-MAX(0,F64-'Rent vs Buy'!$B$5-F64*'Common Assumptions'!$B$29/100)*'Common Assumptions'!$B$28/100-G64)/(1+'Rent vs Buy'!$B$11/100)^B64</f>
        <v>4988315.4612748176</v>
      </c>
      <c r="I64">
        <f t="shared" si="9"/>
        <v>5635302.8627969231</v>
      </c>
      <c r="J64">
        <f>MAX(0,I64-E64-'Rent vs Buy'!$B$16)*'Rent vs Buy'!$B$15/100</f>
        <v>191025.15502588055</v>
      </c>
      <c r="K64">
        <f>(I64-J64)/(1+'Rent vs Buy'!$B$11/100)^B64</f>
        <v>4571120.5456274655</v>
      </c>
      <c r="L64">
        <f t="shared" si="5"/>
        <v>417194.91564735211</v>
      </c>
    </row>
    <row r="65" spans="1:12" x14ac:dyDescent="0.35">
      <c r="A65">
        <f>'Rent vs Buy'!$M9</f>
        <v>14</v>
      </c>
      <c r="B65">
        <f>4</f>
        <v>4</v>
      </c>
      <c r="C65">
        <f>'Rent vs Buy'!$B$13*12*(1+'Rent vs Buy'!$B$14/100)^(B65-1)</f>
        <v>399300.00000000012</v>
      </c>
      <c r="D65">
        <f>'Rent vs Buy'!$E$5+'Rent vs Buy'!$E$6/12-'Rent vs Buy'!$B$13*(1+'Rent vs Buy'!$B$14/100)^(B65-1)</f>
        <v>35477.822849718861</v>
      </c>
      <c r="E65">
        <f t="shared" si="8"/>
        <v>4407835.496786505</v>
      </c>
      <c r="F65">
        <f>'Rent vs Buy'!$B$5*(1+'Rent vs Buy'!$B$10/100)^B65</f>
        <v>14641000.000000004</v>
      </c>
      <c r="G65">
        <f>IF(B65&gt;='Rent vs Buy'!$B$8,0,MAX(0,-FV('Rent vs Buy'!$B$7/1200,B65*12,-'Rent vs Buy'!$E$5,'Rent vs Buy'!$B$6)))</f>
        <v>6744544.3918748088</v>
      </c>
      <c r="H65">
        <f>(F65-F65*'Common Assumptions'!$B$29/100-MAX(0,F65-'Rent vs Buy'!$B$5-F65*'Common Assumptions'!$B$29/100)*'Common Assumptions'!$B$28/100-G65)/(1+'Rent vs Buy'!$B$11/100)^B65</f>
        <v>5795219.1128503392</v>
      </c>
      <c r="I65">
        <f t="shared" si="9"/>
        <v>6931033.0037721274</v>
      </c>
      <c r="J65">
        <f>MAX(0,I65-E65-'Rent vs Buy'!$B$16)*'Rent vs Buy'!$B$15/100</f>
        <v>299774.68837320281</v>
      </c>
      <c r="K65">
        <f>(I65-J65)/(1+'Rent vs Buy'!$B$11/100)^B65</f>
        <v>5252577.6909219185</v>
      </c>
      <c r="L65">
        <f t="shared" si="5"/>
        <v>542641.42192842066</v>
      </c>
    </row>
    <row r="66" spans="1:12" x14ac:dyDescent="0.35">
      <c r="A66">
        <f>'Rent vs Buy'!$M9</f>
        <v>14</v>
      </c>
      <c r="B66">
        <f>5</f>
        <v>5</v>
      </c>
      <c r="C66">
        <f>'Rent vs Buy'!$B$13*12*(1+'Rent vs Buy'!$B$14/100)^(B66-1)</f>
        <v>439230.00000000012</v>
      </c>
      <c r="D66">
        <f>'Rent vs Buy'!$E$5+'Rent vs Buy'!$E$6/12-'Rent vs Buy'!$B$13*(1+'Rent vs Buy'!$B$14/100)^(B66-1)</f>
        <v>32150.322849718861</v>
      </c>
      <c r="E66">
        <f t="shared" si="8"/>
        <v>4793639.3709831312</v>
      </c>
      <c r="F66">
        <f>'Rent vs Buy'!$B$5*(1+'Rent vs Buy'!$B$10/100)^B66</f>
        <v>16105100.000000006</v>
      </c>
      <c r="G66">
        <f>IF(B66&gt;='Rent vs Buy'!$B$8,0,MAX(0,-FV('Rent vs Buy'!$B$7/1200,B66*12,-'Rent vs Buy'!$E$5,'Rent vs Buy'!$B$6)))</f>
        <v>6517657.3822820429</v>
      </c>
      <c r="H66">
        <f>(F66-F66*'Common Assumptions'!$B$29/100-MAX(0,F66-'Rent vs Buy'!$B$5-F66*'Common Assumptions'!$B$29/100)*'Common Assumptions'!$B$28/100-G66)/(1+'Rent vs Buy'!$B$11/100)^B66</f>
        <v>6594034.1190785198</v>
      </c>
      <c r="I66">
        <f t="shared" si="9"/>
        <v>8377675.6331180036</v>
      </c>
      <c r="J66">
        <f>MAX(0,I66-E66-'Rent vs Buy'!$B$16)*'Rent vs Buy'!$B$15/100</f>
        <v>432379.53276685911</v>
      </c>
      <c r="K66">
        <f>(I66-J66)/(1+'Rent vs Buy'!$B$11/100)^B66</f>
        <v>5937187.4468282033</v>
      </c>
      <c r="L66">
        <f t="shared" ref="L66:L97" si="10">H66-K66</f>
        <v>656846.67225031648</v>
      </c>
    </row>
    <row r="67" spans="1:12" x14ac:dyDescent="0.35">
      <c r="A67">
        <f>'Rent vs Buy'!$M9</f>
        <v>14</v>
      </c>
      <c r="B67">
        <f>6</f>
        <v>6</v>
      </c>
      <c r="C67">
        <f>'Rent vs Buy'!$B$13*12*(1+'Rent vs Buy'!$B$14/100)^(B67-1)</f>
        <v>483153.00000000017</v>
      </c>
      <c r="D67">
        <f>'Rent vs Buy'!$E$5+'Rent vs Buy'!$E$6/12-'Rent vs Buy'!$B$13*(1+'Rent vs Buy'!$B$14/100)^(B67-1)</f>
        <v>28490.072849718854</v>
      </c>
      <c r="E67">
        <f t="shared" si="8"/>
        <v>5135520.2451797575</v>
      </c>
      <c r="F67">
        <f>'Rent vs Buy'!$B$5*(1+'Rent vs Buy'!$B$10/100)^B67</f>
        <v>17715610.000000007</v>
      </c>
      <c r="G67">
        <f>IF(B67&gt;='Rent vs Buy'!$B$8,0,MAX(0,-FV('Rent vs Buy'!$B$7/1200,B67*12,-'Rent vs Buy'!$E$5,'Rent vs Buy'!$B$6)))</f>
        <v>6273156.5444879187</v>
      </c>
      <c r="H67">
        <f>(F67-F67*'Common Assumptions'!$B$29/100-MAX(0,F67-'Rent vs Buy'!$B$5-F67*'Common Assumptions'!$B$29/100)*'Common Assumptions'!$B$28/100-G67)/(1+'Rent vs Buy'!$B$11/100)^B67</f>
        <v>7386578.0975259217</v>
      </c>
      <c r="I67">
        <f t="shared" si="9"/>
        <v>9993508.8800617848</v>
      </c>
      <c r="J67">
        <f>MAX(0,I67-E67-'Rent vs Buy'!$B$16)*'Rent vs Buy'!$B$15/100</f>
        <v>591623.57936025341</v>
      </c>
      <c r="K67">
        <f>(I67-J67)/(1+'Rent vs Buy'!$B$11/100)^B67</f>
        <v>6627958.1427343991</v>
      </c>
      <c r="L67">
        <f t="shared" si="10"/>
        <v>758619.95479152258</v>
      </c>
    </row>
    <row r="68" spans="1:12" x14ac:dyDescent="0.35">
      <c r="A68">
        <f>'Rent vs Buy'!$M9</f>
        <v>14</v>
      </c>
      <c r="B68">
        <f>7</f>
        <v>7</v>
      </c>
      <c r="C68">
        <f>'Rent vs Buy'!$B$13*12*(1+'Rent vs Buy'!$B$14/100)^(B68-1)</f>
        <v>531468.30000000028</v>
      </c>
      <c r="D68">
        <f>'Rent vs Buy'!$E$5+'Rent vs Buy'!$E$6/12-'Rent vs Buy'!$B$13*(1+'Rent vs Buy'!$B$14/100)^(B68-1)</f>
        <v>24463.797849718845</v>
      </c>
      <c r="E68">
        <f t="shared" si="8"/>
        <v>5429085.8193763839</v>
      </c>
      <c r="F68">
        <f>'Rent vs Buy'!$B$5*(1+'Rent vs Buy'!$B$10/100)^B68</f>
        <v>19487171.000000011</v>
      </c>
      <c r="G68">
        <f>IF(B68&gt;='Rent vs Buy'!$B$8,0,MAX(0,-FV('Rent vs Buy'!$B$7/1200,B68*12,-'Rent vs Buy'!$E$5,'Rent vs Buy'!$B$6)))</f>
        <v>6009674.4712333586</v>
      </c>
      <c r="H68">
        <f>(F68-F68*'Common Assumptions'!$B$29/100-MAX(0,F68-'Rent vs Buy'!$B$5-F68*'Common Assumptions'!$B$29/100)*'Common Assumptions'!$B$28/100-G68)/(1+'Rent vs Buy'!$B$11/100)^B68</f>
        <v>8174616.1200639112</v>
      </c>
      <c r="I68">
        <f t="shared" si="9"/>
        <v>11799114.621937737</v>
      </c>
      <c r="J68">
        <f>MAX(0,I68-E68-'Rent vs Buy'!$B$16)*'Rent vs Buy'!$B$15/100</f>
        <v>780628.60032016924</v>
      </c>
      <c r="K68">
        <f>(I68-J68)/(1+'Rent vs Buy'!$B$11/100)^B68</f>
        <v>7327922.5100250356</v>
      </c>
      <c r="L68">
        <f t="shared" si="10"/>
        <v>846693.6100388756</v>
      </c>
    </row>
    <row r="69" spans="1:12" x14ac:dyDescent="0.35">
      <c r="A69">
        <f>'Rent vs Buy'!$M9</f>
        <v>14</v>
      </c>
      <c r="B69">
        <f>8</f>
        <v>8</v>
      </c>
      <c r="C69">
        <f>'Rent vs Buy'!$B$13*12*(1+'Rent vs Buy'!$B$14/100)^(B69-1)</f>
        <v>584615.13000000035</v>
      </c>
      <c r="D69">
        <f>'Rent vs Buy'!$E$5+'Rent vs Buy'!$E$6/12-'Rent vs Buy'!$B$13*(1+'Rent vs Buy'!$B$14/100)^(B69-1)</f>
        <v>20034.895349718841</v>
      </c>
      <c r="E69">
        <f t="shared" si="8"/>
        <v>5669504.5635730103</v>
      </c>
      <c r="F69">
        <f>'Rent vs Buy'!$B$5*(1+'Rent vs Buy'!$B$10/100)^B69</f>
        <v>21435888.100000013</v>
      </c>
      <c r="G69">
        <f>IF(B69&gt;='Rent vs Buy'!$B$8,0,MAX(0,-FV('Rent vs Buy'!$B$7/1200,B69*12,-'Rent vs Buy'!$E$5,'Rent vs Buy'!$B$6)))</f>
        <v>5725737.5998800723</v>
      </c>
      <c r="H69">
        <f>(F69-F69*'Common Assumptions'!$B$29/100-MAX(0,F69-'Rent vs Buy'!$B$5-F69*'Common Assumptions'!$B$29/100)*'Common Assumptions'!$B$28/100-G69)/(1+'Rent vs Buy'!$B$11/100)^B69</f>
        <v>8959865.5705146343</v>
      </c>
      <c r="I69">
        <f t="shared" si="9"/>
        <v>13817679.936124055</v>
      </c>
      <c r="J69">
        <f>MAX(0,I69-E69-'Rent vs Buy'!$B$16)*'Rent vs Buy'!$B$15/100</f>
        <v>1002896.9215688806</v>
      </c>
      <c r="K69">
        <f>(I69-J69)/(1+'Rent vs Buy'!$B$11/100)^B69</f>
        <v>8040153.3993930221</v>
      </c>
      <c r="L69">
        <f t="shared" si="10"/>
        <v>919712.17112161219</v>
      </c>
    </row>
    <row r="70" spans="1:12" x14ac:dyDescent="0.35">
      <c r="A70">
        <f>'Rent vs Buy'!$M9</f>
        <v>14</v>
      </c>
      <c r="B70">
        <f>9</f>
        <v>9</v>
      </c>
      <c r="C70">
        <f>'Rent vs Buy'!$B$13*12*(1+'Rent vs Buy'!$B$14/100)^(B70-1)</f>
        <v>643076.64300000039</v>
      </c>
      <c r="D70">
        <f>'Rent vs Buy'!$E$5+'Rent vs Buy'!$E$6/12-'Rent vs Buy'!$B$13*(1+'Rent vs Buy'!$B$14/100)^(B70-1)</f>
        <v>15163.102599718841</v>
      </c>
      <c r="E70">
        <f t="shared" si="8"/>
        <v>5851461.7947696364</v>
      </c>
      <c r="F70">
        <f>'Rent vs Buy'!$B$5*(1+'Rent vs Buy'!$B$10/100)^B70</f>
        <v>23579476.910000015</v>
      </c>
      <c r="G70">
        <f>IF(B70&gt;='Rent vs Buy'!$B$8,0,MAX(0,-FV('Rent vs Buy'!$B$7/1200,B70*12,-'Rent vs Buy'!$E$5,'Rent vs Buy'!$B$6)))</f>
        <v>5419757.9712925795</v>
      </c>
      <c r="H70">
        <f>(F70-F70*'Common Assumptions'!$B$29/100-MAX(0,F70-'Rent vs Buy'!$B$5-F70*'Common Assumptions'!$B$29/100)*'Common Assumptions'!$B$28/100-G70)/(1+'Rent vs Buy'!$B$11/100)^B70</f>
        <v>9744000.7981367186</v>
      </c>
      <c r="I70">
        <f t="shared" si="9"/>
        <v>16075339.311975706</v>
      </c>
      <c r="J70">
        <f>MAX(0,I70-E70-'Rent vs Buy'!$B$16)*'Rent vs Buy'!$B$15/100</f>
        <v>1262359.6896507586</v>
      </c>
      <c r="K70">
        <f>(I70-J70)/(1+'Rent vs Buy'!$B$11/100)^B70</f>
        <v>8767779.8787557054</v>
      </c>
      <c r="L70">
        <f t="shared" si="10"/>
        <v>976220.91938101314</v>
      </c>
    </row>
    <row r="71" spans="1:12" x14ac:dyDescent="0.35">
      <c r="A71">
        <f>'Rent vs Buy'!$M9</f>
        <v>14</v>
      </c>
      <c r="B71">
        <f>10</f>
        <v>10</v>
      </c>
      <c r="C71">
        <f>'Rent vs Buy'!$B$13*12*(1+'Rent vs Buy'!$B$14/100)^(B71-1)</f>
        <v>707384.30730000045</v>
      </c>
      <c r="D71">
        <f>'Rent vs Buy'!$E$5+'Rent vs Buy'!$E$6/12-'Rent vs Buy'!$B$13*(1+'Rent vs Buy'!$B$14/100)^(B71-1)</f>
        <v>9804.1305747188308</v>
      </c>
      <c r="E71">
        <f t="shared" si="8"/>
        <v>5969111.3616662621</v>
      </c>
      <c r="F71">
        <f>'Rent vs Buy'!$B$5*(1+'Rent vs Buy'!$B$10/100)^B71</f>
        <v>25937424.601000018</v>
      </c>
      <c r="G71">
        <f>IF(B71&gt;='Rent vs Buy'!$B$8,0,MAX(0,-FV('Rent vs Buy'!$B$7/1200,B71*12,-'Rent vs Buy'!$E$5,'Rent vs Buy'!$B$6)))</f>
        <v>5090024.3489408363</v>
      </c>
      <c r="H71">
        <f>(F71-F71*'Common Assumptions'!$B$29/100-MAX(0,F71-'Rent vs Buy'!$B$5-F71*'Common Assumptions'!$B$29/100)*'Common Assumptions'!$B$28/100-G71)/(1+'Rent vs Buy'!$B$11/100)^B71</f>
        <v>10528657.581174146</v>
      </c>
      <c r="I71">
        <f t="shared" si="9"/>
        <v>18601563.283988934</v>
      </c>
      <c r="J71">
        <f>MAX(0,I71-E71-'Rent vs Buy'!$B$16)*'Rent vs Buy'!$B$15/100</f>
        <v>1563431.490290334</v>
      </c>
      <c r="K71">
        <f>(I71-J71)/(1+'Rent vs Buy'!$B$11/100)^B71</f>
        <v>9514003.801992707</v>
      </c>
      <c r="L71">
        <f t="shared" si="10"/>
        <v>1014653.7791814394</v>
      </c>
    </row>
    <row r="72" spans="1:12" x14ac:dyDescent="0.35">
      <c r="A72">
        <f>'Rent vs Buy'!$M9</f>
        <v>14</v>
      </c>
      <c r="B72">
        <f>11</f>
        <v>11</v>
      </c>
      <c r="C72">
        <f>'Rent vs Buy'!$B$13*12*(1+'Rent vs Buy'!$B$14/100)^(B72-1)</f>
        <v>778122.73803000059</v>
      </c>
      <c r="D72">
        <f>'Rent vs Buy'!$E$5+'Rent vs Buy'!$E$6/12-'Rent vs Buy'!$B$13*(1+'Rent vs Buy'!$B$14/100)^(B72-1)</f>
        <v>3909.2613472188241</v>
      </c>
      <c r="E72">
        <f t="shared" si="8"/>
        <v>6016022.4978328878</v>
      </c>
      <c r="F72">
        <f>'Rent vs Buy'!$B$5*(1+'Rent vs Buy'!$B$10/100)^B72</f>
        <v>28531167.061100025</v>
      </c>
      <c r="G72">
        <f>IF(B72&gt;='Rent vs Buy'!$B$8,0,MAX(0,-FV('Rent vs Buy'!$B$7/1200,B72*12,-'Rent vs Buy'!$E$5,'Rent vs Buy'!$B$6)))</f>
        <v>4734692.6485557146</v>
      </c>
      <c r="H72">
        <f>(F72-F72*'Common Assumptions'!$B$29/100-MAX(0,F72-'Rent vs Buy'!$B$5-F72*'Common Assumptions'!$B$29/100)*'Common Assumptions'!$B$28/100-G72)/(1+'Rent vs Buy'!$B$11/100)^B72</f>
        <v>11315437.413987285</v>
      </c>
      <c r="I72">
        <f t="shared" si="9"/>
        <v>21429599.950299039</v>
      </c>
      <c r="J72">
        <f>MAX(0,I72-E72-'Rent vs Buy'!$B$16)*'Rent vs Buy'!$B$15/100</f>
        <v>1911072.1815582691</v>
      </c>
      <c r="K72">
        <f>(I72-J72)/(1+'Rent vs Buy'!$B$11/100)^B72</f>
        <v>10282116.942582579</v>
      </c>
      <c r="L72">
        <f t="shared" si="10"/>
        <v>1033320.4714047052</v>
      </c>
    </row>
    <row r="73" spans="1:12" x14ac:dyDescent="0.35">
      <c r="A73">
        <f>'Rent vs Buy'!$M9</f>
        <v>14</v>
      </c>
      <c r="B73">
        <f>12</f>
        <v>12</v>
      </c>
      <c r="C73">
        <f>'Rent vs Buy'!$B$13*12*(1+'Rent vs Buy'!$B$14/100)^(B73-1)</f>
        <v>855935.0118330007</v>
      </c>
      <c r="D73">
        <f>'Rent vs Buy'!$E$5+'Rent vs Buy'!$E$6/12-'Rent vs Buy'!$B$13*(1+'Rent vs Buy'!$B$14/100)^(B73-1)</f>
        <v>-2575.0948030311993</v>
      </c>
      <c r="E73">
        <f t="shared" si="8"/>
        <v>5985121.3601965131</v>
      </c>
      <c r="F73">
        <f>'Rent vs Buy'!$B$5*(1+'Rent vs Buy'!$B$10/100)^B73</f>
        <v>31384283.767210025</v>
      </c>
      <c r="G73">
        <f>IF(B73&gt;='Rent vs Buy'!$B$8,0,MAX(0,-FV('Rent vs Buy'!$B$7/1200,B73*12,-'Rent vs Buy'!$E$5,'Rent vs Buy'!$B$6)))</f>
        <v>4351775.6248137653</v>
      </c>
      <c r="H73">
        <f>(F73-F73*'Common Assumptions'!$B$29/100-MAX(0,F73-'Rent vs Buy'!$B$5-F73*'Common Assumptions'!$B$29/100)*'Common Assumptions'!$B$28/100-G73)/(1+'Rent vs Buy'!$B$11/100)^B73</f>
        <v>12105911.630624209</v>
      </c>
      <c r="I73">
        <f t="shared" si="9"/>
        <v>24596976.759121262</v>
      </c>
      <c r="J73">
        <f>MAX(0,I73-E73-'Rent vs Buy'!$B$16)*'Rent vs Buy'!$B$15/100</f>
        <v>2310856.9248655937</v>
      </c>
      <c r="K73">
        <f>(I73-J73)/(1+'Rent vs Buy'!$B$11/100)^B73</f>
        <v>11075518.790630808</v>
      </c>
      <c r="L73">
        <f t="shared" si="10"/>
        <v>1030392.8399934005</v>
      </c>
    </row>
    <row r="74" spans="1:12" x14ac:dyDescent="0.35">
      <c r="A74">
        <f>'Rent vs Buy'!$M9</f>
        <v>14</v>
      </c>
      <c r="B74">
        <f>13</f>
        <v>13</v>
      </c>
      <c r="C74">
        <f>'Rent vs Buy'!$B$13*12*(1+'Rent vs Buy'!$B$14/100)^(B74-1)</f>
        <v>941528.51301630074</v>
      </c>
      <c r="D74">
        <f>'Rent vs Buy'!$E$5+'Rent vs Buy'!$E$6/12-'Rent vs Buy'!$B$13*(1+'Rent vs Buy'!$B$14/100)^(B74-1)</f>
        <v>-9707.8865683062031</v>
      </c>
      <c r="E74">
        <f t="shared" si="8"/>
        <v>5868626.7213768391</v>
      </c>
      <c r="F74">
        <f>'Rent vs Buy'!$B$5*(1+'Rent vs Buy'!$B$10/100)^B74</f>
        <v>34522712.143931031</v>
      </c>
      <c r="G74">
        <f>IF(B74&gt;='Rent vs Buy'!$B$8,0,MAX(0,-FV('Rent vs Buy'!$B$7/1200,B74*12,-'Rent vs Buy'!$E$5,'Rent vs Buy'!$B$6)))</f>
        <v>3939131.7573725078</v>
      </c>
      <c r="H74">
        <f>(F74-F74*'Common Assumptions'!$B$29/100-MAX(0,F74-'Rent vs Buy'!$B$5-F74*'Common Assumptions'!$B$29/100)*'Common Assumptions'!$B$28/100-G74)/(1+'Rent vs Buy'!$B$11/100)^B74</f>
        <v>12901625.37707085</v>
      </c>
      <c r="I74">
        <f t="shared" si="9"/>
        <v>28146070.996739119</v>
      </c>
      <c r="J74">
        <f>MAX(0,I74-E74-'Rent vs Buy'!$B$16)*'Rent vs Buy'!$B$15/100</f>
        <v>2769055.5344202844</v>
      </c>
      <c r="K74">
        <f>(I74-J74)/(1+'Rent vs Buy'!$B$11/100)^B74</f>
        <v>11897735.11678518</v>
      </c>
      <c r="L74">
        <f t="shared" si="10"/>
        <v>1003890.2602856699</v>
      </c>
    </row>
    <row r="75" spans="1:12" x14ac:dyDescent="0.35">
      <c r="A75">
        <f>'Rent vs Buy'!$M9</f>
        <v>14</v>
      </c>
      <c r="B75">
        <f>14</f>
        <v>14</v>
      </c>
      <c r="C75">
        <f>'Rent vs Buy'!$B$13*12*(1+'Rent vs Buy'!$B$14/100)^(B75-1)</f>
        <v>1035681.3643179309</v>
      </c>
      <c r="D75">
        <f>'Rent vs Buy'!$E$5+'Rent vs Buy'!$E$6/12-'Rent vs Buy'!$B$13*(1+'Rent vs Buy'!$B$14/100)^(B75-1)</f>
        <v>-17553.95751010871</v>
      </c>
      <c r="E75">
        <f t="shared" si="8"/>
        <v>5657979.231255535</v>
      </c>
      <c r="F75">
        <f>'Rent vs Buy'!$B$5*(1+'Rent vs Buy'!$B$10/100)^B75</f>
        <v>37974983.35832414</v>
      </c>
      <c r="G75">
        <f>IF(B75&gt;='Rent vs Buy'!$B$8,0,MAX(0,-FV('Rent vs Buy'!$B$7/1200,B75*12,-'Rent vs Buy'!$E$5,'Rent vs Buy'!$B$6)))</f>
        <v>3494453.2740997896</v>
      </c>
      <c r="H75">
        <f>(F75-F75*'Common Assumptions'!$B$29/100-MAX(0,F75-'Rent vs Buy'!$B$5-F75*'Common Assumptions'!$B$29/100)*'Common Assumptions'!$B$28/100-G75)/(1+'Rent vs Buy'!$B$11/100)^B75</f>
        <v>13704101.443838244</v>
      </c>
      <c r="I75">
        <f t="shared" si="9"/>
        <v>32124758.613442935</v>
      </c>
      <c r="J75">
        <f>MAX(0,I75-E75-'Rent vs Buy'!$B$16)*'Rent vs Buy'!$B$15/100</f>
        <v>3292722.422773425</v>
      </c>
      <c r="K75">
        <f>(I75-J75)/(1+'Rent vs Buy'!$B$11/100)^B75</f>
        <v>12752437.412162755</v>
      </c>
      <c r="L75">
        <f t="shared" si="10"/>
        <v>951664.03167548962</v>
      </c>
    </row>
    <row r="76" spans="1:12" x14ac:dyDescent="0.35">
      <c r="A76">
        <f>'Rent vs Buy'!$M9</f>
        <v>14</v>
      </c>
      <c r="B76">
        <f>15</f>
        <v>15</v>
      </c>
      <c r="C76">
        <f>'Rent vs Buy'!$B$13*12*(1+'Rent vs Buy'!$B$14/100)^(B76-1)</f>
        <v>1139249.5007497242</v>
      </c>
      <c r="D76">
        <f>'Rent vs Buy'!$E$5+'Rent vs Buy'!$E$6/12-'Rent vs Buy'!$B$13*(1+'Rent vs Buy'!$B$14/100)^(B76-1)</f>
        <v>-26184.635546091478</v>
      </c>
      <c r="E76">
        <f t="shared" si="8"/>
        <v>5343763.6047024373</v>
      </c>
      <c r="F76">
        <f>'Rent vs Buy'!$B$5*(1+'Rent vs Buy'!$B$10/100)^B76</f>
        <v>41772481.69415655</v>
      </c>
      <c r="G76">
        <f>IF(B76&gt;='Rent vs Buy'!$B$8,0,MAX(0,-FV('Rent vs Buy'!$B$7/1200,B76*12,-'Rent vs Buy'!$E$5,'Rent vs Buy'!$B$6)))</f>
        <v>3015253.2445152439</v>
      </c>
      <c r="H76">
        <f>(F76-F76*'Common Assumptions'!$B$29/100-MAX(0,F76-'Rent vs Buy'!$B$5-F76*'Common Assumptions'!$B$29/100)*'Common Assumptions'!$B$28/100-G76)/(1+'Rent vs Buy'!$B$11/100)^B76</f>
        <v>14514843.970001906</v>
      </c>
      <c r="I76">
        <f t="shared" si="9"/>
        <v>36587152.400578633</v>
      </c>
      <c r="J76">
        <f>MAX(0,I76-E76-'Rent vs Buy'!$B$16)*'Rent vs Buy'!$B$15/100</f>
        <v>3889798.5994845247</v>
      </c>
      <c r="K76">
        <f>(I76-J76)/(1+'Rent vs Buy'!$B$11/100)^B76</f>
        <v>13643463.319704983</v>
      </c>
      <c r="L76">
        <f t="shared" si="10"/>
        <v>871380.65029692277</v>
      </c>
    </row>
    <row r="77" spans="1:12" x14ac:dyDescent="0.35">
      <c r="A77">
        <f>'Rent vs Buy'!$M9</f>
        <v>14</v>
      </c>
      <c r="B77">
        <f>16</f>
        <v>16</v>
      </c>
      <c r="C77">
        <f>'Rent vs Buy'!$B$13*12*(1+'Rent vs Buy'!$B$14/100)^(B77-1)</f>
        <v>1253174.4508246966</v>
      </c>
      <c r="D77">
        <f>'Rent vs Buy'!$E$5+'Rent vs Buy'!$E$6/12-'Rent vs Buy'!$B$13*(1+'Rent vs Buy'!$B$14/100)^(B77-1)</f>
        <v>-35678.381385672517</v>
      </c>
      <c r="E77">
        <f t="shared" si="8"/>
        <v>4915623.028074367</v>
      </c>
      <c r="F77">
        <f>'Rent vs Buy'!$B$5*(1+'Rent vs Buy'!$B$10/100)^B77</f>
        <v>45949729.86357221</v>
      </c>
      <c r="G77">
        <f>IF(B77&gt;='Rent vs Buy'!$B$8,0,MAX(0,-FV('Rent vs Buy'!$B$7/1200,B77*12,-'Rent vs Buy'!$E$5,'Rent vs Buy'!$B$6)))</f>
        <v>2498851.6712621674</v>
      </c>
      <c r="H77">
        <f>(F77-F77*'Common Assumptions'!$B$29/100-MAX(0,F77-'Rent vs Buy'!$B$5-F77*'Common Assumptions'!$B$29/100)*'Common Assumptions'!$B$28/100-G77)/(1+'Rent vs Buy'!$B$11/100)^B77</f>
        <v>15335342.029300097</v>
      </c>
      <c r="I77">
        <f t="shared" si="9"/>
        <v>41594442.107995726</v>
      </c>
      <c r="J77">
        <f>MAX(0,I77-E77-'Rent vs Buy'!$B$16)*'Rent vs Buy'!$B$15/100</f>
        <v>4569227.3849901697</v>
      </c>
      <c r="K77">
        <f>(I77-J77)/(1+'Rent vs Buy'!$B$11/100)^B77</f>
        <v>14574838.179378623</v>
      </c>
      <c r="L77">
        <f t="shared" si="10"/>
        <v>760503.84992147423</v>
      </c>
    </row>
    <row r="78" spans="1:12" x14ac:dyDescent="0.35">
      <c r="A78">
        <f>'Rent vs Buy'!$M9</f>
        <v>14</v>
      </c>
      <c r="B78">
        <f>17</f>
        <v>17</v>
      </c>
      <c r="C78">
        <f>'Rent vs Buy'!$B$13*12*(1+'Rent vs Buy'!$B$14/100)^(B78-1)</f>
        <v>1378491.8959071664</v>
      </c>
      <c r="D78">
        <f>'Rent vs Buy'!$E$5+'Rent vs Buy'!$E$6/12-'Rent vs Buy'!$B$13*(1+'Rent vs Buy'!$B$14/100)^(B78-1)</f>
        <v>-46121.501809211652</v>
      </c>
      <c r="E78">
        <f t="shared" si="8"/>
        <v>4362165.0063638268</v>
      </c>
      <c r="F78">
        <f>'Rent vs Buy'!$B$5*(1+'Rent vs Buy'!$B$10/100)^B78</f>
        <v>50544702.84992943</v>
      </c>
      <c r="G78">
        <f>IF(B78&gt;='Rent vs Buy'!$B$8,0,MAX(0,-FV('Rent vs Buy'!$B$7/1200,B78*12,-'Rent vs Buy'!$E$5,'Rent vs Buy'!$B$6)))</f>
        <v>1942360.5018241107</v>
      </c>
      <c r="H78">
        <f>(F78-F78*'Common Assumptions'!$B$29/100-MAX(0,F78-'Rent vs Buy'!$B$5-F78*'Common Assumptions'!$B$29/100)*'Common Assumptions'!$B$28/100-G78)/(1+'Rent vs Buy'!$B$11/100)^B78</f>
        <v>16167073.108423071</v>
      </c>
      <c r="I78">
        <f t="shared" si="9"/>
        <v>47215850.895834662</v>
      </c>
      <c r="J78">
        <f>MAX(0,I78-E78-'Rent vs Buy'!$B$16)*'Rent vs Buy'!$B$15/100</f>
        <v>5341085.7361838548</v>
      </c>
      <c r="K78">
        <f>(I78-J78)/(1+'Rent vs Buy'!$B$11/100)^B78</f>
        <v>15550797.817397816</v>
      </c>
      <c r="L78">
        <f t="shared" si="10"/>
        <v>616275.29102525488</v>
      </c>
    </row>
    <row r="79" spans="1:12" x14ac:dyDescent="0.35">
      <c r="A79">
        <f>'Rent vs Buy'!$M9</f>
        <v>14</v>
      </c>
      <c r="B79">
        <f>18</f>
        <v>18</v>
      </c>
      <c r="C79">
        <f>'Rent vs Buy'!$B$13*12*(1+'Rent vs Buy'!$B$14/100)^(B79-1)</f>
        <v>1516341.0854978829</v>
      </c>
      <c r="D79">
        <f>'Rent vs Buy'!$E$5+'Rent vs Buy'!$E$6/12-'Rent vs Buy'!$B$13*(1+'Rent vs Buy'!$B$14/100)^(B79-1)</f>
        <v>-57608.934275104708</v>
      </c>
      <c r="E79">
        <f t="shared" si="8"/>
        <v>3670857.7950625704</v>
      </c>
      <c r="F79">
        <f>'Rent vs Buy'!$B$5*(1+'Rent vs Buy'!$B$10/100)^B79</f>
        <v>55599173.134922378</v>
      </c>
      <c r="G79">
        <f>IF(B79&gt;='Rent vs Buy'!$B$8,0,MAX(0,-FV('Rent vs Buy'!$B$7/1200,B79*12,-'Rent vs Buy'!$E$5,'Rent vs Buy'!$B$6)))</f>
        <v>1342667.4766621441</v>
      </c>
      <c r="H79">
        <f>(F79-F79*'Common Assumptions'!$B$29/100-MAX(0,F79-'Rent vs Buy'!$B$5-F79*'Common Assumptions'!$B$29/100)*'Common Assumptions'!$B$28/100-G79)/(1+'Rent vs Buy'!$B$11/100)^B79</f>
        <v>17011506.487182308</v>
      </c>
      <c r="I79">
        <f t="shared" si="9"/>
        <v>53529724.581209272</v>
      </c>
      <c r="J79">
        <f>MAX(0,I79-E79-'Rent vs Buy'!$B$16)*'Rent vs Buy'!$B$15/100</f>
        <v>6216733.3482683375</v>
      </c>
      <c r="K79">
        <f>(I79-J79)/(1+'Rent vs Buy'!$B$11/100)^B79</f>
        <v>16575812.718211334</v>
      </c>
      <c r="L79">
        <f t="shared" si="10"/>
        <v>435693.76897097379</v>
      </c>
    </row>
    <row r="80" spans="1:12" x14ac:dyDescent="0.35">
      <c r="A80">
        <f>'Rent vs Buy'!$M9</f>
        <v>14</v>
      </c>
      <c r="B80">
        <f>19</f>
        <v>19</v>
      </c>
      <c r="C80">
        <f>'Rent vs Buy'!$B$13*12*(1+'Rent vs Buy'!$B$14/100)^(B80-1)</f>
        <v>1667975.1940476713</v>
      </c>
      <c r="D80">
        <f>'Rent vs Buy'!$E$5+'Rent vs Buy'!$E$6/12-'Rent vs Buy'!$B$13*(1+'Rent vs Buy'!$B$14/100)^(B80-1)</f>
        <v>-70245.109987587071</v>
      </c>
      <c r="E80">
        <f t="shared" si="8"/>
        <v>2827916.4752115253</v>
      </c>
      <c r="F80">
        <f>'Rent vs Buy'!$B$5*(1+'Rent vs Buy'!$B$10/100)^B80</f>
        <v>61159090.448414631</v>
      </c>
      <c r="G80">
        <f>IF(B80&gt;='Rent vs Buy'!$B$8,0,MAX(0,-FV('Rent vs Buy'!$B$7/1200,B80*12,-'Rent vs Buy'!$E$5,'Rent vs Buy'!$B$6)))</f>
        <v>696418.72344102338</v>
      </c>
      <c r="H80">
        <f>(F80-F80*'Common Assumptions'!$B$29/100-MAX(0,F80-'Rent vs Buy'!$B$5-F80*'Common Assumptions'!$B$29/100)*'Common Assumptions'!$B$28/100-G80)/(1+'Rent vs Buy'!$B$11/100)^B80</f>
        <v>17870106.529835254</v>
      </c>
      <c r="I80">
        <f t="shared" si="9"/>
        <v>60624772.507287942</v>
      </c>
      <c r="J80">
        <f>MAX(0,I80-E80-'Rent vs Buy'!$B$16)*'Rent vs Buy'!$B$15/100</f>
        <v>7208982.0040095523</v>
      </c>
      <c r="K80">
        <f>(I80-J80)/(1+'Rent vs Buy'!$B$11/100)^B80</f>
        <v>17654613.727435753</v>
      </c>
      <c r="L80">
        <f t="shared" si="10"/>
        <v>215492.8023995012</v>
      </c>
    </row>
    <row r="81" spans="1:12" x14ac:dyDescent="0.35">
      <c r="A81">
        <f>'Rent vs Buy'!$M9</f>
        <v>14</v>
      </c>
      <c r="B81">
        <f>20</f>
        <v>20</v>
      </c>
      <c r="C81">
        <f>'Rent vs Buy'!$B$13*12*(1+'Rent vs Buy'!$B$14/100)^(B81-1)</f>
        <v>1834772.7134524391</v>
      </c>
      <c r="D81">
        <f>'Rent vs Buy'!$E$5+'Rent vs Buy'!$E$6/12-'Rent vs Buy'!$B$13*(1+'Rent vs Buy'!$B$14/100)^(B81-1)</f>
        <v>-84144.9032713177</v>
      </c>
      <c r="E81">
        <f t="shared" si="8"/>
        <v>1818177.635955713</v>
      </c>
      <c r="F81">
        <f>'Rent vs Buy'!$B$5*(1+'Rent vs Buy'!$B$10/100)^B81</f>
        <v>67274999.493256092</v>
      </c>
      <c r="G81">
        <f>IF(B81&gt;='Rent vs Buy'!$B$8,0,MAX(0,-FV('Rent vs Buy'!$B$7/1200,B81*12,-'Rent vs Buy'!$E$5,'Rent vs Buy'!$B$6)))</f>
        <v>0</v>
      </c>
      <c r="H81">
        <f>(F81-F81*'Common Assumptions'!$B$29/100-MAX(0,F81-'Rent vs Buy'!$B$5-F81*'Common Assumptions'!$B$29/100)*'Common Assumptions'!$B$28/100-G81)/(1+'Rent vs Buy'!$B$11/100)^B81</f>
        <v>18744335.896456756</v>
      </c>
      <c r="I81">
        <f t="shared" si="9"/>
        <v>68601481.573579028</v>
      </c>
      <c r="J81">
        <f>MAX(0,I81-E81-'Rent vs Buy'!$B$16)*'Rent vs Buy'!$B$15/100</f>
        <v>8332287.9922029134</v>
      </c>
      <c r="K81">
        <f>(I81-J81)/(1+'Rent vs Buy'!$B$11/100)^B81</f>
        <v>18792219.444285523</v>
      </c>
      <c r="L81">
        <f t="shared" si="10"/>
        <v>-47883.547828767449</v>
      </c>
    </row>
    <row r="82" spans="1:12" x14ac:dyDescent="0.35">
      <c r="A82">
        <f>'Rent vs Buy'!$M10</f>
        <v>16</v>
      </c>
      <c r="B82">
        <f>1</f>
        <v>1</v>
      </c>
      <c r="C82">
        <f>'Rent vs Buy'!$B$13*12*(1+'Rent vs Buy'!$B$14/100)^(B82-1)</f>
        <v>300000</v>
      </c>
      <c r="D82">
        <f>'Rent vs Buy'!$E$5+'Rent vs Buy'!$E$6/12-'Rent vs Buy'!$B$13*(1+'Rent vs Buy'!$B$14/100)^(B82-1)</f>
        <v>43752.822849718868</v>
      </c>
      <c r="E82">
        <f>'Rent vs Buy'!$B$5-'Rent vs Buy'!$B$6+D82*12</f>
        <v>3025033.8741966262</v>
      </c>
      <c r="F82">
        <f>'Rent vs Buy'!$B$5*(1+'Rent vs Buy'!$B$10/100)^B82</f>
        <v>11000000</v>
      </c>
      <c r="G82">
        <f>IF(B82&gt;='Rent vs Buy'!$B$8,0,MAX(0,-FV('Rent vs Buy'!$B$7/1200,B82*12,-'Rent vs Buy'!$E$5,'Rent vs Buy'!$B$6)))</f>
        <v>7331760.9725863561</v>
      </c>
      <c r="H82">
        <f>(F82-F82*'Common Assumptions'!$B$29/100-MAX(0,F82-'Rent vs Buy'!$B$5-F82*'Common Assumptions'!$B$29/100)*'Common Assumptions'!$B$28/100-G82)/(1+'Rent vs Buy'!$B$11/100)^B82</f>
        <v>3342678.3277487205</v>
      </c>
      <c r="I82">
        <f>('Rent vs Buy'!$B$5-'Rent vs Buy'!$B$6)*(1+A82/1200)^12+FV(A82/1200,12,-D82,0,0)</f>
        <v>3495977.0245272163</v>
      </c>
      <c r="J82">
        <f>MAX(0,I82-E82-'Rent vs Buy'!$B$16)*'Rent vs Buy'!$B$15/100</f>
        <v>43242.893791323761</v>
      </c>
      <c r="K82">
        <f>(I82-J82)/(1+'Rent vs Buy'!$B$11/100)^B82</f>
        <v>3257296.349750842</v>
      </c>
      <c r="L82">
        <f t="shared" si="10"/>
        <v>85381.977997878566</v>
      </c>
    </row>
    <row r="83" spans="1:12" x14ac:dyDescent="0.35">
      <c r="A83">
        <f>'Rent vs Buy'!$M10</f>
        <v>16</v>
      </c>
      <c r="B83">
        <f>2</f>
        <v>2</v>
      </c>
      <c r="C83">
        <f>'Rent vs Buy'!$B$13*12*(1+'Rent vs Buy'!$B$14/100)^(B83-1)</f>
        <v>330000</v>
      </c>
      <c r="D83">
        <f>'Rent vs Buy'!$E$5+'Rent vs Buy'!$E$6/12-'Rent vs Buy'!$B$13*(1+'Rent vs Buy'!$B$14/100)^(B83-1)</f>
        <v>41252.822849718868</v>
      </c>
      <c r="E83">
        <f t="shared" ref="E83:E101" si="11">E82+D83*12</f>
        <v>3520067.7483932525</v>
      </c>
      <c r="F83">
        <f>'Rent vs Buy'!$B$5*(1+'Rent vs Buy'!$B$10/100)^B83</f>
        <v>12100000.000000002</v>
      </c>
      <c r="G83">
        <f>IF(B83&gt;='Rent vs Buy'!$B$8,0,MAX(0,-FV('Rent vs Buy'!$B$7/1200,B83*12,-'Rent vs Buy'!$E$5,'Rent vs Buy'!$B$6)))</f>
        <v>7150461.1122455802</v>
      </c>
      <c r="H83">
        <f>(F83-F83*'Common Assumptions'!$B$29/100-MAX(0,F83-'Rent vs Buy'!$B$5-F83*'Common Assumptions'!$B$29/100)*'Common Assumptions'!$B$28/100-G83)/(1+'Rent vs Buy'!$B$11/100)^B83</f>
        <v>4171447.9243097375</v>
      </c>
      <c r="I83">
        <f t="shared" ref="I83:I101" si="12">I82*(1+A83/1200)^12+FV(A83/1200,12,-D83,0,0)</f>
        <v>4631231.0314436983</v>
      </c>
      <c r="J83">
        <f>MAX(0,I83-E83-'Rent vs Buy'!$B$16)*'Rent vs Buy'!$B$15/100</f>
        <v>123270.41038130574</v>
      </c>
      <c r="K83">
        <f>(I83-J83)/(1+'Rent vs Buy'!$B$11/100)^B83</f>
        <v>4012068.904469911</v>
      </c>
      <c r="L83">
        <f t="shared" si="10"/>
        <v>159379.01983982651</v>
      </c>
    </row>
    <row r="84" spans="1:12" x14ac:dyDescent="0.35">
      <c r="A84">
        <f>'Rent vs Buy'!$M10</f>
        <v>16</v>
      </c>
      <c r="B84">
        <f>3</f>
        <v>3</v>
      </c>
      <c r="C84">
        <f>'Rent vs Buy'!$B$13*12*(1+'Rent vs Buy'!$B$14/100)^(B84-1)</f>
        <v>363000.00000000006</v>
      </c>
      <c r="D84">
        <f>'Rent vs Buy'!$E$5+'Rent vs Buy'!$E$6/12-'Rent vs Buy'!$B$13*(1+'Rent vs Buy'!$B$14/100)^(B84-1)</f>
        <v>38502.822849718868</v>
      </c>
      <c r="E84">
        <f t="shared" si="11"/>
        <v>3982101.6225898787</v>
      </c>
      <c r="F84">
        <f>'Rent vs Buy'!$B$5*(1+'Rent vs Buy'!$B$10/100)^B84</f>
        <v>13310000.000000004</v>
      </c>
      <c r="G84">
        <f>IF(B84&gt;='Rent vs Buy'!$B$8,0,MAX(0,-FV('Rent vs Buy'!$B$7/1200,B84*12,-'Rent vs Buy'!$E$5,'Rent vs Buy'!$B$6)))</f>
        <v>6955086.4725743141</v>
      </c>
      <c r="H84">
        <f>(F84-F84*'Common Assumptions'!$B$29/100-MAX(0,F84-'Rent vs Buy'!$B$5-F84*'Common Assumptions'!$B$29/100)*'Common Assumptions'!$B$28/100-G84)/(1+'Rent vs Buy'!$B$11/100)^B84</f>
        <v>4988315.4612748176</v>
      </c>
      <c r="I84">
        <f t="shared" si="12"/>
        <v>5926525.300217377</v>
      </c>
      <c r="J84">
        <f>MAX(0,I84-E84-'Rent vs Buy'!$B$16)*'Rent vs Buy'!$B$15/100</f>
        <v>227427.95970343729</v>
      </c>
      <c r="K84">
        <f>(I84-J84)/(1+'Rent vs Buy'!$B$11/100)^B84</f>
        <v>4785072.022973611</v>
      </c>
      <c r="L84">
        <f t="shared" si="10"/>
        <v>203243.43830120657</v>
      </c>
    </row>
    <row r="85" spans="1:12" x14ac:dyDescent="0.35">
      <c r="A85">
        <f>'Rent vs Buy'!$M10</f>
        <v>16</v>
      </c>
      <c r="B85">
        <f>4</f>
        <v>4</v>
      </c>
      <c r="C85">
        <f>'Rent vs Buy'!$B$13*12*(1+'Rent vs Buy'!$B$14/100)^(B85-1)</f>
        <v>399300.00000000012</v>
      </c>
      <c r="D85">
        <f>'Rent vs Buy'!$E$5+'Rent vs Buy'!$E$6/12-'Rent vs Buy'!$B$13*(1+'Rent vs Buy'!$B$14/100)^(B85-1)</f>
        <v>35477.822849718861</v>
      </c>
      <c r="E85">
        <f t="shared" si="11"/>
        <v>4407835.496786505</v>
      </c>
      <c r="F85">
        <f>'Rent vs Buy'!$B$5*(1+'Rent vs Buy'!$B$10/100)^B85</f>
        <v>14641000.000000004</v>
      </c>
      <c r="G85">
        <f>IF(B85&gt;='Rent vs Buy'!$B$8,0,MAX(0,-FV('Rent vs Buy'!$B$7/1200,B85*12,-'Rent vs Buy'!$E$5,'Rent vs Buy'!$B$6)))</f>
        <v>6744544.3918748088</v>
      </c>
      <c r="H85">
        <f>(F85-F85*'Common Assumptions'!$B$29/100-MAX(0,F85-'Rent vs Buy'!$B$5-F85*'Common Assumptions'!$B$29/100)*'Common Assumptions'!$B$28/100-G85)/(1+'Rent vs Buy'!$B$11/100)^B85</f>
        <v>5795219.1128503392</v>
      </c>
      <c r="I85">
        <f t="shared" si="12"/>
        <v>7405877.0092978636</v>
      </c>
      <c r="J85">
        <f>MAX(0,I85-E85-'Rent vs Buy'!$B$16)*'Rent vs Buy'!$B$15/100</f>
        <v>359130.18906391988</v>
      </c>
      <c r="K85">
        <f>(I85-J85)/(1+'Rent vs Buy'!$B$11/100)^B85</f>
        <v>5581683.5027499767</v>
      </c>
      <c r="L85">
        <f t="shared" si="10"/>
        <v>213535.61010036245</v>
      </c>
    </row>
    <row r="86" spans="1:12" x14ac:dyDescent="0.35">
      <c r="A86">
        <f>'Rent vs Buy'!$M10</f>
        <v>16</v>
      </c>
      <c r="B86">
        <f>5</f>
        <v>5</v>
      </c>
      <c r="C86">
        <f>'Rent vs Buy'!$B$13*12*(1+'Rent vs Buy'!$B$14/100)^(B86-1)</f>
        <v>439230.00000000012</v>
      </c>
      <c r="D86">
        <f>'Rent vs Buy'!$E$5+'Rent vs Buy'!$E$6/12-'Rent vs Buy'!$B$13*(1+'Rent vs Buy'!$B$14/100)^(B86-1)</f>
        <v>32150.322849718861</v>
      </c>
      <c r="E86">
        <f t="shared" si="11"/>
        <v>4793639.3709831312</v>
      </c>
      <c r="F86">
        <f>'Rent vs Buy'!$B$5*(1+'Rent vs Buy'!$B$10/100)^B86</f>
        <v>16105100.000000006</v>
      </c>
      <c r="G86">
        <f>IF(B86&gt;='Rent vs Buy'!$B$8,0,MAX(0,-FV('Rent vs Buy'!$B$7/1200,B86*12,-'Rent vs Buy'!$E$5,'Rent vs Buy'!$B$6)))</f>
        <v>6517657.3822820429</v>
      </c>
      <c r="H86">
        <f>(F86-F86*'Common Assumptions'!$B$29/100-MAX(0,F86-'Rent vs Buy'!$B$5-F86*'Common Assumptions'!$B$29/100)*'Common Assumptions'!$B$28/100-G86)/(1+'Rent vs Buy'!$B$11/100)^B86</f>
        <v>6594034.1190785198</v>
      </c>
      <c r="I86">
        <f t="shared" si="12"/>
        <v>9097085.4871167988</v>
      </c>
      <c r="J86">
        <f>MAX(0,I86-E86-'Rent vs Buy'!$B$16)*'Rent vs Buy'!$B$15/100</f>
        <v>522305.76451670838</v>
      </c>
      <c r="K86">
        <f>(I86-J86)/(1+'Rent vs Buy'!$B$11/100)^B86</f>
        <v>6407574.2282390585</v>
      </c>
      <c r="L86">
        <f t="shared" si="10"/>
        <v>186459.89083946124</v>
      </c>
    </row>
    <row r="87" spans="1:12" x14ac:dyDescent="0.35">
      <c r="A87">
        <f>'Rent vs Buy'!$M10</f>
        <v>16</v>
      </c>
      <c r="B87">
        <f>6</f>
        <v>6</v>
      </c>
      <c r="C87">
        <f>'Rent vs Buy'!$B$13*12*(1+'Rent vs Buy'!$B$14/100)^(B87-1)</f>
        <v>483153.00000000017</v>
      </c>
      <c r="D87">
        <f>'Rent vs Buy'!$E$5+'Rent vs Buy'!$E$6/12-'Rent vs Buy'!$B$13*(1+'Rent vs Buy'!$B$14/100)^(B87-1)</f>
        <v>28490.072849718854</v>
      </c>
      <c r="E87">
        <f t="shared" si="11"/>
        <v>5135520.2451797575</v>
      </c>
      <c r="F87">
        <f>'Rent vs Buy'!$B$5*(1+'Rent vs Buy'!$B$10/100)^B87</f>
        <v>17715610.000000007</v>
      </c>
      <c r="G87">
        <f>IF(B87&gt;='Rent vs Buy'!$B$8,0,MAX(0,-FV('Rent vs Buy'!$B$7/1200,B87*12,-'Rent vs Buy'!$E$5,'Rent vs Buy'!$B$6)))</f>
        <v>6273156.5444879187</v>
      </c>
      <c r="H87">
        <f>(F87-F87*'Common Assumptions'!$B$29/100-MAX(0,F87-'Rent vs Buy'!$B$5-F87*'Common Assumptions'!$B$29/100)*'Common Assumptions'!$B$28/100-G87)/(1+'Rent vs Buy'!$B$11/100)^B87</f>
        <v>7386578.0975259217</v>
      </c>
      <c r="I87">
        <f t="shared" si="12"/>
        <v>11032348.235232253</v>
      </c>
      <c r="J87">
        <f>MAX(0,I87-E87-'Rent vs Buy'!$B$16)*'Rent vs Buy'!$B$15/100</f>
        <v>721478.49875656189</v>
      </c>
      <c r="K87">
        <f>(I87-J87)/(1+'Rent vs Buy'!$B$11/100)^B87</f>
        <v>7268756.3018290056</v>
      </c>
      <c r="L87">
        <f t="shared" si="10"/>
        <v>117821.79569691606</v>
      </c>
    </row>
    <row r="88" spans="1:12" x14ac:dyDescent="0.35">
      <c r="A88">
        <f>'Rent vs Buy'!$M10</f>
        <v>16</v>
      </c>
      <c r="B88">
        <f>7</f>
        <v>7</v>
      </c>
      <c r="C88">
        <f>'Rent vs Buy'!$B$13*12*(1+'Rent vs Buy'!$B$14/100)^(B88-1)</f>
        <v>531468.30000000028</v>
      </c>
      <c r="D88">
        <f>'Rent vs Buy'!$E$5+'Rent vs Buy'!$E$6/12-'Rent vs Buy'!$B$13*(1+'Rent vs Buy'!$B$14/100)^(B88-1)</f>
        <v>24463.797849718845</v>
      </c>
      <c r="E88">
        <f t="shared" si="11"/>
        <v>5429085.8193763839</v>
      </c>
      <c r="F88">
        <f>'Rent vs Buy'!$B$5*(1+'Rent vs Buy'!$B$10/100)^B88</f>
        <v>19487171.000000011</v>
      </c>
      <c r="G88">
        <f>IF(B88&gt;='Rent vs Buy'!$B$8,0,MAX(0,-FV('Rent vs Buy'!$B$7/1200,B88*12,-'Rent vs Buy'!$E$5,'Rent vs Buy'!$B$6)))</f>
        <v>6009674.4712333586</v>
      </c>
      <c r="H88">
        <f>(F88-F88*'Common Assumptions'!$B$29/100-MAX(0,F88-'Rent vs Buy'!$B$5-F88*'Common Assumptions'!$B$29/100)*'Common Assumptions'!$B$28/100-G88)/(1+'Rent vs Buy'!$B$11/100)^B88</f>
        <v>8174616.1200639112</v>
      </c>
      <c r="I88">
        <f t="shared" si="12"/>
        <v>13248979.521186743</v>
      </c>
      <c r="J88">
        <f>MAX(0,I88-E88-'Rent vs Buy'!$B$16)*'Rent vs Buy'!$B$15/100</f>
        <v>961861.71272629488</v>
      </c>
      <c r="K88">
        <f>(I88-J88)/(1+'Rent vs Buy'!$B$11/100)^B88</f>
        <v>8171635.1044323081</v>
      </c>
      <c r="L88">
        <f t="shared" si="10"/>
        <v>2981.0156316030771</v>
      </c>
    </row>
    <row r="89" spans="1:12" x14ac:dyDescent="0.35">
      <c r="A89">
        <f>'Rent vs Buy'!$M10</f>
        <v>16</v>
      </c>
      <c r="B89">
        <f>8</f>
        <v>8</v>
      </c>
      <c r="C89">
        <f>'Rent vs Buy'!$B$13*12*(1+'Rent vs Buy'!$B$14/100)^(B89-1)</f>
        <v>584615.13000000035</v>
      </c>
      <c r="D89">
        <f>'Rent vs Buy'!$E$5+'Rent vs Buy'!$E$6/12-'Rent vs Buy'!$B$13*(1+'Rent vs Buy'!$B$14/100)^(B89-1)</f>
        <v>20034.895349718841</v>
      </c>
      <c r="E89">
        <f t="shared" si="11"/>
        <v>5669504.5635730103</v>
      </c>
      <c r="F89">
        <f>'Rent vs Buy'!$B$5*(1+'Rent vs Buy'!$B$10/100)^B89</f>
        <v>21435888.100000013</v>
      </c>
      <c r="G89">
        <f>IF(B89&gt;='Rent vs Buy'!$B$8,0,MAX(0,-FV('Rent vs Buy'!$B$7/1200,B89*12,-'Rent vs Buy'!$E$5,'Rent vs Buy'!$B$6)))</f>
        <v>5725737.5998800723</v>
      </c>
      <c r="H89">
        <f>(F89-F89*'Common Assumptions'!$B$29/100-MAX(0,F89-'Rent vs Buy'!$B$5-F89*'Common Assumptions'!$B$29/100)*'Common Assumptions'!$B$28/100-G89)/(1+'Rent vs Buy'!$B$11/100)^B89</f>
        <v>8959865.5705146343</v>
      </c>
      <c r="I89">
        <f t="shared" si="12"/>
        <v>15790248.855536783</v>
      </c>
      <c r="J89">
        <f>MAX(0,I89-E89-'Rent vs Buy'!$B$16)*'Rent vs Buy'!$B$15/100</f>
        <v>1249468.0364954716</v>
      </c>
      <c r="K89">
        <f>(I89-J89)/(1+'Rent vs Buy'!$B$11/100)^B89</f>
        <v>9123065.7748364564</v>
      </c>
      <c r="L89">
        <f t="shared" si="10"/>
        <v>-163200.20432182215</v>
      </c>
    </row>
    <row r="90" spans="1:12" x14ac:dyDescent="0.35">
      <c r="A90">
        <f>'Rent vs Buy'!$M10</f>
        <v>16</v>
      </c>
      <c r="B90">
        <f>9</f>
        <v>9</v>
      </c>
      <c r="C90">
        <f>'Rent vs Buy'!$B$13*12*(1+'Rent vs Buy'!$B$14/100)^(B90-1)</f>
        <v>643076.64300000039</v>
      </c>
      <c r="D90">
        <f>'Rent vs Buy'!$E$5+'Rent vs Buy'!$E$6/12-'Rent vs Buy'!$B$13*(1+'Rent vs Buy'!$B$14/100)^(B90-1)</f>
        <v>15163.102599718841</v>
      </c>
      <c r="E90">
        <f t="shared" si="11"/>
        <v>5851461.7947696364</v>
      </c>
      <c r="F90">
        <f>'Rent vs Buy'!$B$5*(1+'Rent vs Buy'!$B$10/100)^B90</f>
        <v>23579476.910000015</v>
      </c>
      <c r="G90">
        <f>IF(B90&gt;='Rent vs Buy'!$B$8,0,MAX(0,-FV('Rent vs Buy'!$B$7/1200,B90*12,-'Rent vs Buy'!$E$5,'Rent vs Buy'!$B$6)))</f>
        <v>5419757.9712925795</v>
      </c>
      <c r="H90">
        <f>(F90-F90*'Common Assumptions'!$B$29/100-MAX(0,F90-'Rent vs Buy'!$B$5-F90*'Common Assumptions'!$B$29/100)*'Common Assumptions'!$B$28/100-G90)/(1+'Rent vs Buy'!$B$11/100)^B90</f>
        <v>9744000.7981367186</v>
      </c>
      <c r="I90">
        <f t="shared" si="12"/>
        <v>18706359.614756539</v>
      </c>
      <c r="J90">
        <f>MAX(0,I90-E90-'Rent vs Buy'!$B$16)*'Rent vs Buy'!$B$15/100</f>
        <v>1591237.2274983628</v>
      </c>
      <c r="K90">
        <f>(I90-J90)/(1+'Rent vs Buy'!$B$11/100)^B90</f>
        <v>10130414.644146448</v>
      </c>
      <c r="L90">
        <f t="shared" si="10"/>
        <v>-386413.84600972943</v>
      </c>
    </row>
    <row r="91" spans="1:12" x14ac:dyDescent="0.35">
      <c r="A91">
        <f>'Rent vs Buy'!$M10</f>
        <v>16</v>
      </c>
      <c r="B91">
        <f>10</f>
        <v>10</v>
      </c>
      <c r="C91">
        <f>'Rent vs Buy'!$B$13*12*(1+'Rent vs Buy'!$B$14/100)^(B91-1)</f>
        <v>707384.30730000045</v>
      </c>
      <c r="D91">
        <f>'Rent vs Buy'!$E$5+'Rent vs Buy'!$E$6/12-'Rent vs Buy'!$B$13*(1+'Rent vs Buy'!$B$14/100)^(B91-1)</f>
        <v>9804.1305747188308</v>
      </c>
      <c r="E91">
        <f t="shared" si="11"/>
        <v>5969111.3616662621</v>
      </c>
      <c r="F91">
        <f>'Rent vs Buy'!$B$5*(1+'Rent vs Buy'!$B$10/100)^B91</f>
        <v>25937424.601000018</v>
      </c>
      <c r="G91">
        <f>IF(B91&gt;='Rent vs Buy'!$B$8,0,MAX(0,-FV('Rent vs Buy'!$B$7/1200,B91*12,-'Rent vs Buy'!$E$5,'Rent vs Buy'!$B$6)))</f>
        <v>5090024.3489408363</v>
      </c>
      <c r="H91">
        <f>(F91-F91*'Common Assumptions'!$B$29/100-MAX(0,F91-'Rent vs Buy'!$B$5-F91*'Common Assumptions'!$B$29/100)*'Common Assumptions'!$B$28/100-G91)/(1+'Rent vs Buy'!$B$11/100)^B91</f>
        <v>10528657.581174146</v>
      </c>
      <c r="I91">
        <f t="shared" si="12"/>
        <v>22055591.523133848</v>
      </c>
      <c r="J91">
        <f>MAX(0,I91-E91-'Rent vs Buy'!$B$16)*'Rent vs Buy'!$B$15/100</f>
        <v>1995185.0201834482</v>
      </c>
      <c r="K91">
        <f>(I91-J91)/(1+'Rent vs Buy'!$B$11/100)^B91</f>
        <v>11201626.214041568</v>
      </c>
      <c r="L91">
        <f t="shared" si="10"/>
        <v>-672968.63286742195</v>
      </c>
    </row>
    <row r="92" spans="1:12" x14ac:dyDescent="0.35">
      <c r="A92">
        <f>'Rent vs Buy'!$M10</f>
        <v>16</v>
      </c>
      <c r="B92">
        <f>11</f>
        <v>11</v>
      </c>
      <c r="C92">
        <f>'Rent vs Buy'!$B$13*12*(1+'Rent vs Buy'!$B$14/100)^(B92-1)</f>
        <v>778122.73803000059</v>
      </c>
      <c r="D92">
        <f>'Rent vs Buy'!$E$5+'Rent vs Buy'!$E$6/12-'Rent vs Buy'!$B$13*(1+'Rent vs Buy'!$B$14/100)^(B92-1)</f>
        <v>3909.2613472188241</v>
      </c>
      <c r="E92">
        <f t="shared" si="11"/>
        <v>6016022.4978328878</v>
      </c>
      <c r="F92">
        <f>'Rent vs Buy'!$B$5*(1+'Rent vs Buy'!$B$10/100)^B92</f>
        <v>28531167.061100025</v>
      </c>
      <c r="G92">
        <f>IF(B92&gt;='Rent vs Buy'!$B$8,0,MAX(0,-FV('Rent vs Buy'!$B$7/1200,B92*12,-'Rent vs Buy'!$E$5,'Rent vs Buy'!$B$6)))</f>
        <v>4734692.6485557146</v>
      </c>
      <c r="H92">
        <f>(F92-F92*'Common Assumptions'!$B$29/100-MAX(0,F92-'Rent vs Buy'!$B$5-F92*'Common Assumptions'!$B$29/100)*'Common Assumptions'!$B$28/100-G92)/(1+'Rent vs Buy'!$B$11/100)^B92</f>
        <v>11315437.413987285</v>
      </c>
      <c r="I92">
        <f t="shared" si="12"/>
        <v>25905634.748862434</v>
      </c>
      <c r="J92">
        <f>MAX(0,I92-E92-'Rent vs Buy'!$B$16)*'Rent vs Buy'!$B$15/100</f>
        <v>2470576.5313786934</v>
      </c>
      <c r="K92">
        <f>(I92-J92)/(1+'Rent vs Buy'!$B$11/100)^B92</f>
        <v>12345296.325796822</v>
      </c>
      <c r="L92">
        <f t="shared" si="10"/>
        <v>-1029858.9118095376</v>
      </c>
    </row>
    <row r="93" spans="1:12" x14ac:dyDescent="0.35">
      <c r="A93">
        <f>'Rent vs Buy'!$M10</f>
        <v>16</v>
      </c>
      <c r="B93">
        <f>12</f>
        <v>12</v>
      </c>
      <c r="C93">
        <f>'Rent vs Buy'!$B$13*12*(1+'Rent vs Buy'!$B$14/100)^(B93-1)</f>
        <v>855935.0118330007</v>
      </c>
      <c r="D93">
        <f>'Rent vs Buy'!$E$5+'Rent vs Buy'!$E$6/12-'Rent vs Buy'!$B$13*(1+'Rent vs Buy'!$B$14/100)^(B93-1)</f>
        <v>-2575.0948030311993</v>
      </c>
      <c r="E93">
        <f t="shared" si="11"/>
        <v>5985121.3601965131</v>
      </c>
      <c r="F93">
        <f>'Rent vs Buy'!$B$5*(1+'Rent vs Buy'!$B$10/100)^B93</f>
        <v>31384283.767210025</v>
      </c>
      <c r="G93">
        <f>IF(B93&gt;='Rent vs Buy'!$B$8,0,MAX(0,-FV('Rent vs Buy'!$B$7/1200,B93*12,-'Rent vs Buy'!$E$5,'Rent vs Buy'!$B$6)))</f>
        <v>4351775.6248137653</v>
      </c>
      <c r="H93">
        <f>(F93-F93*'Common Assumptions'!$B$29/100-MAX(0,F93-'Rent vs Buy'!$B$5-F93*'Common Assumptions'!$B$29/100)*'Common Assumptions'!$B$28/100-G93)/(1+'Rent vs Buy'!$B$11/100)^B93</f>
        <v>12105911.630624209</v>
      </c>
      <c r="I93">
        <f t="shared" si="12"/>
        <v>30335148.103653587</v>
      </c>
      <c r="J93">
        <f>MAX(0,I93-E93-'Rent vs Buy'!$B$16)*'Rent vs Buy'!$B$15/100</f>
        <v>3028128.3429321344</v>
      </c>
      <c r="K93">
        <f>(I93-J93)/(1+'Rent vs Buy'!$B$11/100)^B93</f>
        <v>13570752.231670316</v>
      </c>
      <c r="L93">
        <f t="shared" si="10"/>
        <v>-1464840.6010461077</v>
      </c>
    </row>
    <row r="94" spans="1:12" x14ac:dyDescent="0.35">
      <c r="A94">
        <f>'Rent vs Buy'!$M10</f>
        <v>16</v>
      </c>
      <c r="B94">
        <f>13</f>
        <v>13</v>
      </c>
      <c r="C94">
        <f>'Rent vs Buy'!$B$13*12*(1+'Rent vs Buy'!$B$14/100)^(B94-1)</f>
        <v>941528.51301630074</v>
      </c>
      <c r="D94">
        <f>'Rent vs Buy'!$E$5+'Rent vs Buy'!$E$6/12-'Rent vs Buy'!$B$13*(1+'Rent vs Buy'!$B$14/100)^(B94-1)</f>
        <v>-9707.8865683062031</v>
      </c>
      <c r="E94">
        <f t="shared" si="11"/>
        <v>5868626.7213768391</v>
      </c>
      <c r="F94">
        <f>'Rent vs Buy'!$B$5*(1+'Rent vs Buy'!$B$10/100)^B94</f>
        <v>34522712.143931031</v>
      </c>
      <c r="G94">
        <f>IF(B94&gt;='Rent vs Buy'!$B$8,0,MAX(0,-FV('Rent vs Buy'!$B$7/1200,B94*12,-'Rent vs Buy'!$E$5,'Rent vs Buy'!$B$6)))</f>
        <v>3939131.7573725078</v>
      </c>
      <c r="H94">
        <f>(F94-F94*'Common Assumptions'!$B$29/100-MAX(0,F94-'Rent vs Buy'!$B$5-F94*'Common Assumptions'!$B$29/100)*'Common Assumptions'!$B$28/100-G94)/(1+'Rent vs Buy'!$B$11/100)^B94</f>
        <v>12901625.37707085</v>
      </c>
      <c r="I94">
        <f t="shared" si="12"/>
        <v>35435579.380131595</v>
      </c>
      <c r="J94">
        <f>MAX(0,I94-E94-'Rent vs Buy'!$B$16)*'Rent vs Buy'!$B$15/100</f>
        <v>3680244.0823443444</v>
      </c>
      <c r="K94">
        <f>(I94-J94)/(1+'Rent vs Buy'!$B$11/100)^B94</f>
        <v>14888140.351995837</v>
      </c>
      <c r="L94">
        <f t="shared" si="10"/>
        <v>-1986514.9749249872</v>
      </c>
    </row>
    <row r="95" spans="1:12" x14ac:dyDescent="0.35">
      <c r="A95">
        <f>'Rent vs Buy'!$M10</f>
        <v>16</v>
      </c>
      <c r="B95">
        <f>14</f>
        <v>14</v>
      </c>
      <c r="C95">
        <f>'Rent vs Buy'!$B$13*12*(1+'Rent vs Buy'!$B$14/100)^(B95-1)</f>
        <v>1035681.3643179309</v>
      </c>
      <c r="D95">
        <f>'Rent vs Buy'!$E$5+'Rent vs Buy'!$E$6/12-'Rent vs Buy'!$B$13*(1+'Rent vs Buy'!$B$14/100)^(B95-1)</f>
        <v>-17553.95751010871</v>
      </c>
      <c r="E95">
        <f t="shared" si="11"/>
        <v>5657979.231255535</v>
      </c>
      <c r="F95">
        <f>'Rent vs Buy'!$B$5*(1+'Rent vs Buy'!$B$10/100)^B95</f>
        <v>37974983.35832414</v>
      </c>
      <c r="G95">
        <f>IF(B95&gt;='Rent vs Buy'!$B$8,0,MAX(0,-FV('Rent vs Buy'!$B$7/1200,B95*12,-'Rent vs Buy'!$E$5,'Rent vs Buy'!$B$6)))</f>
        <v>3494453.2740997896</v>
      </c>
      <c r="H95">
        <f>(F95-F95*'Common Assumptions'!$B$29/100-MAX(0,F95-'Rent vs Buy'!$B$5-F95*'Common Assumptions'!$B$29/100)*'Common Assumptions'!$B$28/100-G95)/(1+'Rent vs Buy'!$B$11/100)^B95</f>
        <v>13704101.443838244</v>
      </c>
      <c r="I95">
        <f t="shared" si="12"/>
        <v>41313292.356247507</v>
      </c>
      <c r="J95">
        <f>MAX(0,I95-E95-'Rent vs Buy'!$B$16)*'Rent vs Buy'!$B$15/100</f>
        <v>4441289.140623996</v>
      </c>
      <c r="K95">
        <f>(I95-J95)/(1+'Rent vs Buy'!$B$11/100)^B95</f>
        <v>16308522.580880679</v>
      </c>
      <c r="L95">
        <f t="shared" si="10"/>
        <v>-2604421.1370424349</v>
      </c>
    </row>
    <row r="96" spans="1:12" x14ac:dyDescent="0.35">
      <c r="A96">
        <f>'Rent vs Buy'!$M10</f>
        <v>16</v>
      </c>
      <c r="B96">
        <f>15</f>
        <v>15</v>
      </c>
      <c r="C96">
        <f>'Rent vs Buy'!$B$13*12*(1+'Rent vs Buy'!$B$14/100)^(B96-1)</f>
        <v>1139249.5007497242</v>
      </c>
      <c r="D96">
        <f>'Rent vs Buy'!$E$5+'Rent vs Buy'!$E$6/12-'Rent vs Buy'!$B$13*(1+'Rent vs Buy'!$B$14/100)^(B96-1)</f>
        <v>-26184.635546091478</v>
      </c>
      <c r="E96">
        <f t="shared" si="11"/>
        <v>5343763.6047024373</v>
      </c>
      <c r="F96">
        <f>'Rent vs Buy'!$B$5*(1+'Rent vs Buy'!$B$10/100)^B96</f>
        <v>41772481.69415655</v>
      </c>
      <c r="G96">
        <f>IF(B96&gt;='Rent vs Buy'!$B$8,0,MAX(0,-FV('Rent vs Buy'!$B$7/1200,B96*12,-'Rent vs Buy'!$E$5,'Rent vs Buy'!$B$6)))</f>
        <v>3015253.2445152439</v>
      </c>
      <c r="H96">
        <f>(F96-F96*'Common Assumptions'!$B$29/100-MAX(0,F96-'Rent vs Buy'!$B$5-F96*'Common Assumptions'!$B$29/100)*'Common Assumptions'!$B$28/100-G96)/(1+'Rent vs Buy'!$B$11/100)^B96</f>
        <v>14514843.970001906</v>
      </c>
      <c r="I96">
        <f t="shared" si="12"/>
        <v>48092052.604087412</v>
      </c>
      <c r="J96">
        <f>MAX(0,I96-E96-'Rent vs Buy'!$B$16)*'Rent vs Buy'!$B$15/100</f>
        <v>5327911.1249231221</v>
      </c>
      <c r="K96">
        <f>(I96-J96)/(1+'Rent vs Buy'!$B$11/100)^B96</f>
        <v>17843982.091606725</v>
      </c>
      <c r="L96">
        <f t="shared" si="10"/>
        <v>-3329138.1216048189</v>
      </c>
    </row>
    <row r="97" spans="1:12" x14ac:dyDescent="0.35">
      <c r="A97">
        <f>'Rent vs Buy'!$M10</f>
        <v>16</v>
      </c>
      <c r="B97">
        <f>16</f>
        <v>16</v>
      </c>
      <c r="C97">
        <f>'Rent vs Buy'!$B$13*12*(1+'Rent vs Buy'!$B$14/100)^(B97-1)</f>
        <v>1253174.4508246966</v>
      </c>
      <c r="D97">
        <f>'Rent vs Buy'!$E$5+'Rent vs Buy'!$E$6/12-'Rent vs Buy'!$B$13*(1+'Rent vs Buy'!$B$14/100)^(B97-1)</f>
        <v>-35678.381385672517</v>
      </c>
      <c r="E97">
        <f t="shared" si="11"/>
        <v>4915623.028074367</v>
      </c>
      <c r="F97">
        <f>'Rent vs Buy'!$B$5*(1+'Rent vs Buy'!$B$10/100)^B97</f>
        <v>45949729.86357221</v>
      </c>
      <c r="G97">
        <f>IF(B97&gt;='Rent vs Buy'!$B$8,0,MAX(0,-FV('Rent vs Buy'!$B$7/1200,B97*12,-'Rent vs Buy'!$E$5,'Rent vs Buy'!$B$6)))</f>
        <v>2498851.6712621674</v>
      </c>
      <c r="H97">
        <f>(F97-F97*'Common Assumptions'!$B$29/100-MAX(0,F97-'Rent vs Buy'!$B$5-F97*'Common Assumptions'!$B$29/100)*'Common Assumptions'!$B$28/100-G97)/(1+'Rent vs Buy'!$B$11/100)^B97</f>
        <v>15335342.029300097</v>
      </c>
      <c r="I97">
        <f t="shared" si="12"/>
        <v>55915933.152959377</v>
      </c>
      <c r="J97">
        <f>MAX(0,I97-E97-'Rent vs Buy'!$B$16)*'Rent vs Buy'!$B$15/100</f>
        <v>6359413.765610626</v>
      </c>
      <c r="K97">
        <f>(I97-J97)/(1+'Rent vs Buy'!$B$11/100)^B97</f>
        <v>19507739.69056987</v>
      </c>
      <c r="L97">
        <f t="shared" si="10"/>
        <v>-4172397.6612697728</v>
      </c>
    </row>
    <row r="98" spans="1:12" x14ac:dyDescent="0.35">
      <c r="A98">
        <f>'Rent vs Buy'!$M10</f>
        <v>16</v>
      </c>
      <c r="B98">
        <f>17</f>
        <v>17</v>
      </c>
      <c r="C98">
        <f>'Rent vs Buy'!$B$13*12*(1+'Rent vs Buy'!$B$14/100)^(B98-1)</f>
        <v>1378491.8959071664</v>
      </c>
      <c r="D98">
        <f>'Rent vs Buy'!$E$5+'Rent vs Buy'!$E$6/12-'Rent vs Buy'!$B$13*(1+'Rent vs Buy'!$B$14/100)^(B98-1)</f>
        <v>-46121.501809211652</v>
      </c>
      <c r="E98">
        <f t="shared" si="11"/>
        <v>4362165.0063638268</v>
      </c>
      <c r="F98">
        <f>'Rent vs Buy'!$B$5*(1+'Rent vs Buy'!$B$10/100)^B98</f>
        <v>50544702.84992943</v>
      </c>
      <c r="G98">
        <f>IF(B98&gt;='Rent vs Buy'!$B$8,0,MAX(0,-FV('Rent vs Buy'!$B$7/1200,B98*12,-'Rent vs Buy'!$E$5,'Rent vs Buy'!$B$6)))</f>
        <v>1942360.5018241107</v>
      </c>
      <c r="H98">
        <f>(F98-F98*'Common Assumptions'!$B$29/100-MAX(0,F98-'Rent vs Buy'!$B$5-F98*'Common Assumptions'!$B$29/100)*'Common Assumptions'!$B$28/100-G98)/(1+'Rent vs Buy'!$B$11/100)^B98</f>
        <v>16167073.108423071</v>
      </c>
      <c r="I98">
        <f t="shared" si="12"/>
        <v>64952711.497591868</v>
      </c>
      <c r="J98">
        <f>MAX(0,I98-E98-'Rent vs Buy'!$B$16)*'Rent vs Buy'!$B$15/100</f>
        <v>7558193.3114035055</v>
      </c>
      <c r="K98">
        <f>(I98-J98)/(1+'Rent vs Buy'!$B$11/100)^B98</f>
        <v>21314281.876866292</v>
      </c>
      <c r="L98">
        <f t="shared" ref="L98:L101" si="13">H98-K98</f>
        <v>-5147208.7684432212</v>
      </c>
    </row>
    <row r="99" spans="1:12" x14ac:dyDescent="0.35">
      <c r="A99">
        <f>'Rent vs Buy'!$M10</f>
        <v>16</v>
      </c>
      <c r="B99">
        <f>18</f>
        <v>18</v>
      </c>
      <c r="C99">
        <f>'Rent vs Buy'!$B$13*12*(1+'Rent vs Buy'!$B$14/100)^(B99-1)</f>
        <v>1516341.0854978829</v>
      </c>
      <c r="D99">
        <f>'Rent vs Buy'!$E$5+'Rent vs Buy'!$E$6/12-'Rent vs Buy'!$B$13*(1+'Rent vs Buy'!$B$14/100)^(B99-1)</f>
        <v>-57608.934275104708</v>
      </c>
      <c r="E99">
        <f t="shared" si="11"/>
        <v>3670857.7950625704</v>
      </c>
      <c r="F99">
        <f>'Rent vs Buy'!$B$5*(1+'Rent vs Buy'!$B$10/100)^B99</f>
        <v>55599173.134922378</v>
      </c>
      <c r="G99">
        <f>IF(B99&gt;='Rent vs Buy'!$B$8,0,MAX(0,-FV('Rent vs Buy'!$B$7/1200,B99*12,-'Rent vs Buy'!$E$5,'Rent vs Buy'!$B$6)))</f>
        <v>1342667.4766621441</v>
      </c>
      <c r="H99">
        <f>(F99-F99*'Common Assumptions'!$B$29/100-MAX(0,F99-'Rent vs Buy'!$B$5-F99*'Common Assumptions'!$B$29/100)*'Common Assumptions'!$B$28/100-G99)/(1+'Rent vs Buy'!$B$11/100)^B99</f>
        <v>17011506.487182308</v>
      </c>
      <c r="I99">
        <f t="shared" si="12"/>
        <v>75397841.674279407</v>
      </c>
      <c r="J99">
        <f>MAX(0,I99-E99-'Rent vs Buy'!$B$16)*'Rent vs Buy'!$B$15/100</f>
        <v>8950247.9849021044</v>
      </c>
      <c r="K99">
        <f>(I99-J99)/(1+'Rent vs Buy'!$B$11/100)^B99</f>
        <v>23279501.884549435</v>
      </c>
      <c r="L99">
        <f t="shared" si="13"/>
        <v>-6267995.3973671272</v>
      </c>
    </row>
    <row r="100" spans="1:12" x14ac:dyDescent="0.35">
      <c r="A100">
        <f>'Rent vs Buy'!$M10</f>
        <v>16</v>
      </c>
      <c r="B100">
        <f>19</f>
        <v>19</v>
      </c>
      <c r="C100">
        <f>'Rent vs Buy'!$B$13*12*(1+'Rent vs Buy'!$B$14/100)^(B100-1)</f>
        <v>1667975.1940476713</v>
      </c>
      <c r="D100">
        <f>'Rent vs Buy'!$E$5+'Rent vs Buy'!$E$6/12-'Rent vs Buy'!$B$13*(1+'Rent vs Buy'!$B$14/100)^(B100-1)</f>
        <v>-70245.109987587071</v>
      </c>
      <c r="E100">
        <f t="shared" si="11"/>
        <v>2827916.4752115253</v>
      </c>
      <c r="F100">
        <f>'Rent vs Buy'!$B$5*(1+'Rent vs Buy'!$B$10/100)^B100</f>
        <v>61159090.448414631</v>
      </c>
      <c r="G100">
        <f>IF(B100&gt;='Rent vs Buy'!$B$8,0,MAX(0,-FV('Rent vs Buy'!$B$7/1200,B100*12,-'Rent vs Buy'!$E$5,'Rent vs Buy'!$B$6)))</f>
        <v>696418.72344102338</v>
      </c>
      <c r="H100">
        <f>(F100-F100*'Common Assumptions'!$B$29/100-MAX(0,F100-'Rent vs Buy'!$B$5-F100*'Common Assumptions'!$B$29/100)*'Common Assumptions'!$B$28/100-G100)/(1+'Rent vs Buy'!$B$11/100)^B100</f>
        <v>17870106.529835254</v>
      </c>
      <c r="I100">
        <f t="shared" si="12"/>
        <v>87479099.458653137</v>
      </c>
      <c r="J100">
        <f>MAX(0,I100-E100-'Rent vs Buy'!$B$16)*'Rent vs Buy'!$B$15/100</f>
        <v>10565772.872930201</v>
      </c>
      <c r="K100">
        <f>(I100-J100)/(1+'Rent vs Buy'!$B$11/100)^B100</f>
        <v>25420855.117359236</v>
      </c>
      <c r="L100">
        <f t="shared" si="13"/>
        <v>-7550748.5875239819</v>
      </c>
    </row>
    <row r="101" spans="1:12" x14ac:dyDescent="0.35">
      <c r="A101">
        <f>'Rent vs Buy'!$M10</f>
        <v>16</v>
      </c>
      <c r="B101">
        <f>20</f>
        <v>20</v>
      </c>
      <c r="C101">
        <f>'Rent vs Buy'!$B$13*12*(1+'Rent vs Buy'!$B$14/100)^(B101-1)</f>
        <v>1834772.7134524391</v>
      </c>
      <c r="D101">
        <f>'Rent vs Buy'!$E$5+'Rent vs Buy'!$E$6/12-'Rent vs Buy'!$B$13*(1+'Rent vs Buy'!$B$14/100)^(B101-1)</f>
        <v>-84144.9032713177</v>
      </c>
      <c r="E101">
        <f t="shared" si="11"/>
        <v>1818177.635955713</v>
      </c>
      <c r="F101">
        <f>'Rent vs Buy'!$B$5*(1+'Rent vs Buy'!$B$10/100)^B101</f>
        <v>67274999.493256092</v>
      </c>
      <c r="G101">
        <f>IF(B101&gt;='Rent vs Buy'!$B$8,0,MAX(0,-FV('Rent vs Buy'!$B$7/1200,B101*12,-'Rent vs Buy'!$E$5,'Rent vs Buy'!$B$6)))</f>
        <v>0</v>
      </c>
      <c r="H101">
        <f>(F101-F101*'Common Assumptions'!$B$29/100-MAX(0,F101-'Rent vs Buy'!$B$5-F101*'Common Assumptions'!$B$29/100)*'Common Assumptions'!$B$28/100-G101)/(1+'Rent vs Buy'!$B$11/100)^B101</f>
        <v>18744335.896456756</v>
      </c>
      <c r="I101">
        <f t="shared" si="12"/>
        <v>101462015.52916557</v>
      </c>
      <c r="J101">
        <f>MAX(0,I101-E101-'Rent vs Buy'!$B$16)*'Rent vs Buy'!$B$15/100</f>
        <v>12439854.736651232</v>
      </c>
      <c r="K101">
        <f>(I101-J101)/(1+'Rent vs Buy'!$B$11/100)^B101</f>
        <v>27757530.532719012</v>
      </c>
      <c r="L101">
        <f t="shared" si="13"/>
        <v>-9013194.6362622567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Common Assumptions</vt:lpstr>
      <vt:lpstr>Rent vs Buy</vt:lpstr>
      <vt:lpstr>Home Loan Analysis</vt:lpstr>
      <vt:lpstr>EMI Calculator</vt:lpstr>
      <vt:lpstr>SIP Growth</vt:lpstr>
      <vt:lpstr>Expense Ratio Impact</vt:lpstr>
      <vt:lpstr>Loan Prepayment</vt:lpstr>
      <vt:lpstr>Prepayment Engine</vt:lpstr>
      <vt:lpstr>Step-Up SIP Goal</vt:lpstr>
      <vt:lpstr>Prepay vs Invest</vt:lpstr>
      <vt:lpstr>Retirement SWP</vt:lpstr>
      <vt:lpstr>Emergency Fund</vt:lpstr>
      <vt:lpstr>PVI Engine</vt:lpstr>
      <vt:lpstr>Net Worth &amp; Cash Flow</vt:lpstr>
      <vt:lpstr>Term Insurance</vt:lpstr>
      <vt:lpstr>Asset Allocation</vt:lpstr>
      <vt:lpstr>Goal Dashboard</vt:lpstr>
      <vt:lpstr>Rent Buy Sensitivity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Jindal</dc:creator>
  <cp:lastModifiedBy>Ashwani Jindal</cp:lastModifiedBy>
  <dcterms:created xsi:type="dcterms:W3CDTF">2026-09-03T03:09:22Z</dcterms:created>
  <dcterms:modified xsi:type="dcterms:W3CDTF">2026-10-22T15:48:11Z</dcterms:modified>
</cp:coreProperties>
</file>