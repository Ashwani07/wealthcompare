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e0dfeaae7a6381f0/Documents/Ashwani/wealthcompare/"/>
    </mc:Choice>
  </mc:AlternateContent>
  <xr:revisionPtr revIDLastSave="648" documentId="8_{43DD9D9E-2085-42BF-962A-634A7BDEB4BB}" xr6:coauthVersionLast="47" xr6:coauthVersionMax="47" xr10:uidLastSave="{066FC392-8596-4E45-8A59-7D9E438A5CFB}"/>
  <bookViews>
    <workbookView xWindow="28680" yWindow="-120" windowWidth="29040" windowHeight="15720" tabRatio="850" xr2:uid="{0022E151-A667-45A9-8598-3A4268045E5D}"/>
  </bookViews>
  <sheets>
    <sheet name="Cover" sheetId="5" r:id="rId1"/>
    <sheet name="Rent vs Buy" sheetId="4" r:id="rId2"/>
    <sheet name="Home Loan Analysis" sheetId="1" r:id="rId3"/>
    <sheet name="EMI Calculator" sheetId="2" r:id="rId4"/>
    <sheet name="Loan Prepayment" sheetId="7" r:id="rId5"/>
    <sheet name="Prepayment Engine" sheetId="9" r:id="rId6"/>
    <sheet name="SIP Growth" sheetId="3" r:id="rId7"/>
    <sheet name="Step-Up SIP Goal" sheetId="10" r:id="rId8"/>
    <sheet name="Expense Ratio Impact" sheetId="6"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36" i="3" l="1"/>
  <c r="C35" i="3"/>
  <c r="C34" i="3"/>
  <c r="C33" i="3"/>
  <c r="C32" i="3"/>
  <c r="C31" i="3"/>
  <c r="C30" i="3"/>
  <c r="C29" i="3"/>
  <c r="C28" i="3"/>
  <c r="C27" i="3"/>
  <c r="C26" i="3"/>
  <c r="C25" i="3"/>
  <c r="C24" i="3"/>
  <c r="C23" i="3"/>
  <c r="C22" i="3"/>
  <c r="C21" i="3"/>
  <c r="A21" i="3"/>
  <c r="A22" i="3" s="1"/>
  <c r="A23" i="3" s="1"/>
  <c r="A24" i="3" s="1"/>
  <c r="A25" i="3" s="1"/>
  <c r="A26" i="3" s="1"/>
  <c r="A27" i="3" s="1"/>
  <c r="A28" i="3" s="1"/>
  <c r="A29" i="3" s="1"/>
  <c r="A30" i="3" s="1"/>
  <c r="A31" i="3" s="1"/>
  <c r="A32" i="3" s="1"/>
  <c r="A33" i="3" s="1"/>
  <c r="A34" i="3" s="1"/>
  <c r="A35" i="3" s="1"/>
  <c r="A36" i="3" s="1"/>
  <c r="C20" i="3"/>
  <c r="B20" i="3"/>
  <c r="A20" i="3"/>
  <c r="E19" i="3"/>
  <c r="F19" i="3" s="1"/>
  <c r="G19" i="3" s="1"/>
  <c r="H19" i="3" s="1"/>
  <c r="I19" i="3" s="1"/>
  <c r="C19" i="3"/>
  <c r="B19" i="3"/>
  <c r="A19" i="3"/>
  <c r="A18" i="3"/>
  <c r="B18" i="3"/>
  <c r="C18" i="3"/>
  <c r="D18" i="3"/>
  <c r="D19" i="3" s="1"/>
  <c r="D20" i="3" s="1"/>
  <c r="D21" i="3" s="1"/>
  <c r="D22" i="3" s="1"/>
  <c r="D23" i="3" s="1"/>
  <c r="D24" i="3" s="1"/>
  <c r="D25" i="3" s="1"/>
  <c r="D26" i="3" s="1"/>
  <c r="D27" i="3" s="1"/>
  <c r="D28" i="3" s="1"/>
  <c r="D29" i="3" s="1"/>
  <c r="D30" i="3" s="1"/>
  <c r="D31" i="3" s="1"/>
  <c r="D32" i="3" s="1"/>
  <c r="D33" i="3" s="1"/>
  <c r="D34" i="3" s="1"/>
  <c r="D35" i="3" s="1"/>
  <c r="D36" i="3" s="1"/>
  <c r="E18" i="3"/>
  <c r="F18" i="3"/>
  <c r="G18" i="3" s="1"/>
  <c r="H18" i="3" s="1"/>
  <c r="I18" i="3" s="1"/>
  <c r="A17" i="3"/>
  <c r="B17" i="3"/>
  <c r="C17" i="3"/>
  <c r="D17" i="3" s="1"/>
  <c r="E17" i="3"/>
  <c r="F17" i="3" s="1"/>
  <c r="G17" i="3" s="1"/>
  <c r="C23" i="2"/>
  <c r="C22" i="2"/>
  <c r="A15" i="2"/>
  <c r="E15" i="2" s="1"/>
  <c r="E14" i="2"/>
  <c r="D14" i="2"/>
  <c r="C14" i="2"/>
  <c r="A14" i="2"/>
  <c r="A13" i="2"/>
  <c r="D13" i="2"/>
  <c r="E13" i="2"/>
  <c r="A12" i="2"/>
  <c r="B12" i="2"/>
  <c r="D12" i="2"/>
  <c r="E12" i="2"/>
  <c r="F12" i="2"/>
  <c r="B13" i="2" s="1"/>
  <c r="B34" i="1"/>
  <c r="B35" i="1" a="1"/>
  <c r="B35" i="1" s="1"/>
  <c r="A29" i="4"/>
  <c r="A30" i="4" s="1"/>
  <c r="A28" i="4"/>
  <c r="B28" i="4" s="1"/>
  <c r="A27" i="4"/>
  <c r="A26" i="4"/>
  <c r="A25" i="4"/>
  <c r="A24" i="4"/>
  <c r="A23" i="4"/>
  <c r="A22" i="4"/>
  <c r="B22" i="4" s="1"/>
  <c r="A21" i="4"/>
  <c r="B21" i="4"/>
  <c r="K18" i="10"/>
  <c r="B18" i="10"/>
  <c r="A19" i="10"/>
  <c r="E6" i="10"/>
  <c r="E5" i="10"/>
  <c r="A51" i="7"/>
  <c r="H21" i="7"/>
  <c r="H5" i="7"/>
  <c r="E8" i="7"/>
  <c r="E5" i="7"/>
  <c r="AI189" i="9"/>
  <c r="AI190" i="9"/>
  <c r="AI191" i="9"/>
  <c r="AI192" i="9"/>
  <c r="AI193" i="9"/>
  <c r="AI194" i="9"/>
  <c r="AI195" i="9"/>
  <c r="AI196" i="9"/>
  <c r="AI197" i="9"/>
  <c r="AI198" i="9"/>
  <c r="AI199" i="9"/>
  <c r="AI200" i="9"/>
  <c r="AI201" i="9"/>
  <c r="AI202" i="9"/>
  <c r="AI203" i="9"/>
  <c r="AI204" i="9"/>
  <c r="AI205" i="9"/>
  <c r="AI206" i="9"/>
  <c r="AI207" i="9"/>
  <c r="AI208" i="9"/>
  <c r="AI209" i="9"/>
  <c r="AI210" i="9"/>
  <c r="AI211" i="9"/>
  <c r="AI212" i="9"/>
  <c r="AI213" i="9"/>
  <c r="AI214" i="9"/>
  <c r="AI215" i="9"/>
  <c r="AI216" i="9"/>
  <c r="AI217" i="9"/>
  <c r="AI218" i="9"/>
  <c r="AI219" i="9"/>
  <c r="AI220" i="9"/>
  <c r="AI221" i="9"/>
  <c r="AI222" i="9"/>
  <c r="AI223" i="9"/>
  <c r="AI224" i="9"/>
  <c r="AI225" i="9"/>
  <c r="AI226" i="9"/>
  <c r="AI227" i="9"/>
  <c r="AI228" i="9"/>
  <c r="AI229" i="9"/>
  <c r="AI230" i="9"/>
  <c r="AI231" i="9"/>
  <c r="AI232" i="9"/>
  <c r="AI233" i="9"/>
  <c r="AI234" i="9"/>
  <c r="AI235" i="9"/>
  <c r="AI236" i="9"/>
  <c r="AI237" i="9"/>
  <c r="AI238" i="9"/>
  <c r="AI239" i="9"/>
  <c r="AI240" i="9"/>
  <c r="AI241" i="9"/>
  <c r="AI242" i="9"/>
  <c r="AI243" i="9"/>
  <c r="AI244" i="9"/>
  <c r="AI245" i="9"/>
  <c r="AI246" i="9"/>
  <c r="AI247" i="9"/>
  <c r="AI248" i="9"/>
  <c r="AI249" i="9"/>
  <c r="AI250" i="9"/>
  <c r="AI251" i="9"/>
  <c r="AI252" i="9"/>
  <c r="AI253" i="9"/>
  <c r="AI254" i="9"/>
  <c r="AI255" i="9"/>
  <c r="AI256" i="9"/>
  <c r="AI257" i="9"/>
  <c r="AI258" i="9"/>
  <c r="AI259" i="9"/>
  <c r="AI260" i="9"/>
  <c r="AI261" i="9"/>
  <c r="AI262" i="9"/>
  <c r="AI263" i="9"/>
  <c r="AI264" i="9"/>
  <c r="AI265" i="9"/>
  <c r="AI266" i="9"/>
  <c r="AI267" i="9"/>
  <c r="AI268" i="9"/>
  <c r="AI269" i="9"/>
  <c r="AI270" i="9"/>
  <c r="AI271" i="9"/>
  <c r="AI272" i="9"/>
  <c r="AI273" i="9"/>
  <c r="AI274" i="9"/>
  <c r="AI275" i="9"/>
  <c r="AI276" i="9"/>
  <c r="AI277" i="9"/>
  <c r="AI278" i="9"/>
  <c r="AI279" i="9"/>
  <c r="AI280" i="9"/>
  <c r="AI281" i="9"/>
  <c r="AI282" i="9"/>
  <c r="AI283" i="9"/>
  <c r="AI284" i="9"/>
  <c r="AI285" i="9"/>
  <c r="AI286" i="9"/>
  <c r="AI287" i="9"/>
  <c r="AI288" i="9"/>
  <c r="AI289" i="9"/>
  <c r="AI290" i="9"/>
  <c r="AI291" i="9"/>
  <c r="AI292" i="9"/>
  <c r="AI293" i="9"/>
  <c r="AI294" i="9"/>
  <c r="AI295" i="9"/>
  <c r="AI296" i="9"/>
  <c r="AI297" i="9"/>
  <c r="AI298" i="9"/>
  <c r="AI299" i="9"/>
  <c r="AI300" i="9"/>
  <c r="AI301" i="9"/>
  <c r="AI302" i="9"/>
  <c r="AI303" i="9"/>
  <c r="AI304" i="9"/>
  <c r="AI305" i="9"/>
  <c r="AI306" i="9"/>
  <c r="AI307" i="9"/>
  <c r="AI308" i="9"/>
  <c r="AI309" i="9"/>
  <c r="AI310" i="9"/>
  <c r="AI311" i="9"/>
  <c r="AI312" i="9"/>
  <c r="AI313" i="9"/>
  <c r="AI314" i="9"/>
  <c r="AI315" i="9"/>
  <c r="AI316" i="9"/>
  <c r="AI317" i="9"/>
  <c r="AI318" i="9"/>
  <c r="AI319" i="9"/>
  <c r="AI320" i="9"/>
  <c r="AI321" i="9"/>
  <c r="AI322" i="9"/>
  <c r="AI323" i="9"/>
  <c r="AI324" i="9"/>
  <c r="AI325" i="9"/>
  <c r="AI326" i="9"/>
  <c r="AI327" i="9"/>
  <c r="AI328" i="9"/>
  <c r="AI329" i="9"/>
  <c r="AI330" i="9"/>
  <c r="AI331" i="9"/>
  <c r="AI332" i="9"/>
  <c r="AI333" i="9"/>
  <c r="AI334" i="9"/>
  <c r="AI335" i="9"/>
  <c r="AI336" i="9"/>
  <c r="AI337" i="9"/>
  <c r="AI338" i="9"/>
  <c r="AI339" i="9"/>
  <c r="AI340" i="9"/>
  <c r="AI341" i="9"/>
  <c r="AI342" i="9"/>
  <c r="AI343" i="9"/>
  <c r="AI344" i="9"/>
  <c r="AI345" i="9"/>
  <c r="AI346" i="9"/>
  <c r="AI347" i="9"/>
  <c r="AI348" i="9"/>
  <c r="AI349" i="9"/>
  <c r="AI350" i="9"/>
  <c r="AI351" i="9"/>
  <c r="AI352" i="9"/>
  <c r="AI353" i="9"/>
  <c r="AI354" i="9"/>
  <c r="AI355" i="9"/>
  <c r="AI356" i="9"/>
  <c r="AI357" i="9"/>
  <c r="AI358" i="9"/>
  <c r="AI359" i="9"/>
  <c r="AI360" i="9"/>
  <c r="AI361" i="9"/>
  <c r="AH2" i="9"/>
  <c r="AI2" i="9"/>
  <c r="AI3" i="9"/>
  <c r="AI4" i="9"/>
  <c r="AI5" i="9"/>
  <c r="AI6" i="9"/>
  <c r="AI7" i="9"/>
  <c r="AI8" i="9"/>
  <c r="AI9" i="9"/>
  <c r="AI10" i="9"/>
  <c r="AI11" i="9"/>
  <c r="AI12" i="9"/>
  <c r="AI13" i="9"/>
  <c r="AI14" i="9"/>
  <c r="AI15" i="9"/>
  <c r="AI16" i="9"/>
  <c r="AI17" i="9"/>
  <c r="AI18" i="9"/>
  <c r="AI19" i="9"/>
  <c r="AI20" i="9"/>
  <c r="AI21" i="9"/>
  <c r="AI22" i="9"/>
  <c r="AI23" i="9"/>
  <c r="AI24" i="9"/>
  <c r="AI25" i="9"/>
  <c r="AI26" i="9"/>
  <c r="AI27" i="9"/>
  <c r="AI28" i="9"/>
  <c r="AI29" i="9"/>
  <c r="AI30" i="9"/>
  <c r="AI31" i="9"/>
  <c r="AI32" i="9"/>
  <c r="AI33" i="9"/>
  <c r="AI34" i="9"/>
  <c r="AI35" i="9"/>
  <c r="AI36" i="9"/>
  <c r="AI37" i="9"/>
  <c r="AI38" i="9"/>
  <c r="AI39" i="9"/>
  <c r="AI40" i="9"/>
  <c r="AI41" i="9"/>
  <c r="AI42" i="9"/>
  <c r="AI43" i="9"/>
  <c r="AI44" i="9"/>
  <c r="AI45" i="9"/>
  <c r="AI46" i="9"/>
  <c r="AI47" i="9"/>
  <c r="AI48" i="9"/>
  <c r="AI49" i="9"/>
  <c r="AI50" i="9"/>
  <c r="AI51" i="9"/>
  <c r="AI52" i="9"/>
  <c r="AI53" i="9"/>
  <c r="AI54" i="9"/>
  <c r="AI55" i="9"/>
  <c r="AI56" i="9"/>
  <c r="AI57" i="9"/>
  <c r="AI58" i="9"/>
  <c r="AI59" i="9"/>
  <c r="AI60" i="9"/>
  <c r="AI61" i="9"/>
  <c r="AI62" i="9"/>
  <c r="AI63" i="9"/>
  <c r="AI64" i="9"/>
  <c r="AI65" i="9"/>
  <c r="AI66" i="9"/>
  <c r="AI67" i="9"/>
  <c r="AI68" i="9"/>
  <c r="AI69" i="9"/>
  <c r="AI70" i="9"/>
  <c r="AI71" i="9"/>
  <c r="AI72" i="9"/>
  <c r="AI73" i="9"/>
  <c r="AI74" i="9"/>
  <c r="AI75" i="9"/>
  <c r="AI76" i="9"/>
  <c r="AI77" i="9"/>
  <c r="AI78" i="9"/>
  <c r="AI79" i="9"/>
  <c r="AI80" i="9"/>
  <c r="AI81" i="9"/>
  <c r="AI82" i="9"/>
  <c r="AI83" i="9"/>
  <c r="AI84" i="9"/>
  <c r="AI85" i="9"/>
  <c r="AI86" i="9"/>
  <c r="AI87" i="9"/>
  <c r="AI88" i="9"/>
  <c r="AI89" i="9"/>
  <c r="AI90" i="9"/>
  <c r="AI91" i="9"/>
  <c r="AI92" i="9"/>
  <c r="AI93" i="9"/>
  <c r="AI94" i="9"/>
  <c r="AI95" i="9"/>
  <c r="AI96" i="9"/>
  <c r="AI97" i="9"/>
  <c r="AI98" i="9"/>
  <c r="AI99" i="9"/>
  <c r="AI100" i="9"/>
  <c r="AI101" i="9"/>
  <c r="AI102" i="9"/>
  <c r="AI103" i="9"/>
  <c r="AI104" i="9"/>
  <c r="AI105" i="9"/>
  <c r="AI106" i="9"/>
  <c r="AI107" i="9"/>
  <c r="AI108" i="9"/>
  <c r="AI109" i="9"/>
  <c r="AI110" i="9"/>
  <c r="AI111" i="9"/>
  <c r="AI112" i="9"/>
  <c r="AI113" i="9"/>
  <c r="AI114" i="9"/>
  <c r="AI115" i="9"/>
  <c r="AI116" i="9"/>
  <c r="AI117" i="9"/>
  <c r="AI118" i="9"/>
  <c r="AI119" i="9"/>
  <c r="AI120" i="9"/>
  <c r="AI121" i="9"/>
  <c r="AI122" i="9"/>
  <c r="AI123" i="9"/>
  <c r="AI124" i="9"/>
  <c r="AI125" i="9"/>
  <c r="AI126" i="9"/>
  <c r="AI127" i="9"/>
  <c r="AI128" i="9"/>
  <c r="AI129" i="9"/>
  <c r="AI130" i="9"/>
  <c r="AI131" i="9"/>
  <c r="AI132" i="9"/>
  <c r="AI133" i="9"/>
  <c r="AI134" i="9"/>
  <c r="AI135" i="9"/>
  <c r="AI136" i="9"/>
  <c r="AI137" i="9"/>
  <c r="AI138" i="9"/>
  <c r="AI139" i="9"/>
  <c r="AI140" i="9"/>
  <c r="AI141" i="9"/>
  <c r="AI142" i="9"/>
  <c r="AI143" i="9"/>
  <c r="AI144" i="9"/>
  <c r="AI145" i="9"/>
  <c r="AI146" i="9"/>
  <c r="AI147" i="9"/>
  <c r="AI148" i="9"/>
  <c r="AI149" i="9"/>
  <c r="AI150" i="9"/>
  <c r="AI151" i="9"/>
  <c r="AI152" i="9"/>
  <c r="AI153" i="9"/>
  <c r="AI154" i="9"/>
  <c r="AI155" i="9"/>
  <c r="AI156" i="9"/>
  <c r="AI157" i="9"/>
  <c r="AI158" i="9"/>
  <c r="AI159" i="9"/>
  <c r="AI160" i="9"/>
  <c r="AI161" i="9"/>
  <c r="AI162" i="9"/>
  <c r="AI163" i="9"/>
  <c r="AI164" i="9"/>
  <c r="AI165" i="9"/>
  <c r="AI166" i="9"/>
  <c r="AI167" i="9"/>
  <c r="AI168" i="9"/>
  <c r="AI169" i="9"/>
  <c r="AI170" i="9"/>
  <c r="AI171" i="9"/>
  <c r="AI172" i="9"/>
  <c r="AI173" i="9"/>
  <c r="AI174" i="9"/>
  <c r="AI175" i="9"/>
  <c r="AI176" i="9"/>
  <c r="AI177" i="9"/>
  <c r="AI178" i="9"/>
  <c r="AI179" i="9"/>
  <c r="AI180" i="9"/>
  <c r="AI181" i="9"/>
  <c r="AI182" i="9"/>
  <c r="AI183" i="9"/>
  <c r="AI184" i="9"/>
  <c r="AI185" i="9"/>
  <c r="AI186" i="9"/>
  <c r="AI187" i="9"/>
  <c r="AI188" i="9"/>
  <c r="AA189" i="9"/>
  <c r="AA190" i="9"/>
  <c r="AA191" i="9"/>
  <c r="AA192" i="9"/>
  <c r="AA193" i="9"/>
  <c r="AA194" i="9"/>
  <c r="AA195" i="9"/>
  <c r="AA196" i="9"/>
  <c r="AA197" i="9"/>
  <c r="AA198" i="9"/>
  <c r="AA199" i="9"/>
  <c r="AA200" i="9"/>
  <c r="AA201" i="9"/>
  <c r="AA202" i="9"/>
  <c r="AA203" i="9"/>
  <c r="AA204" i="9"/>
  <c r="AA205" i="9"/>
  <c r="AA206" i="9"/>
  <c r="AA207" i="9"/>
  <c r="AA208" i="9"/>
  <c r="AA209" i="9"/>
  <c r="AA210" i="9"/>
  <c r="AA211" i="9"/>
  <c r="AA212" i="9"/>
  <c r="AA213" i="9"/>
  <c r="AA214" i="9"/>
  <c r="AA215" i="9"/>
  <c r="AA216" i="9"/>
  <c r="AA217" i="9"/>
  <c r="AA218" i="9"/>
  <c r="AA219" i="9"/>
  <c r="AA220" i="9"/>
  <c r="AA221" i="9"/>
  <c r="AA222" i="9"/>
  <c r="AA223" i="9"/>
  <c r="AA224" i="9"/>
  <c r="AA225" i="9"/>
  <c r="AA226" i="9"/>
  <c r="AA227" i="9"/>
  <c r="AA228" i="9"/>
  <c r="AA229" i="9"/>
  <c r="AA230" i="9"/>
  <c r="AA231" i="9"/>
  <c r="AA232" i="9"/>
  <c r="AA233" i="9"/>
  <c r="AA234" i="9"/>
  <c r="AA235" i="9"/>
  <c r="AA236" i="9"/>
  <c r="AA237" i="9"/>
  <c r="AA238" i="9"/>
  <c r="AA239" i="9"/>
  <c r="AA240" i="9"/>
  <c r="AA241" i="9"/>
  <c r="AA242" i="9"/>
  <c r="AA243" i="9"/>
  <c r="AA244" i="9"/>
  <c r="AA245" i="9"/>
  <c r="AA246" i="9"/>
  <c r="AA247" i="9"/>
  <c r="AA248" i="9"/>
  <c r="AA249" i="9"/>
  <c r="AA250" i="9"/>
  <c r="AA251" i="9"/>
  <c r="AA252" i="9"/>
  <c r="AA253" i="9"/>
  <c r="AA254" i="9"/>
  <c r="AA255" i="9"/>
  <c r="AA256" i="9"/>
  <c r="AA257" i="9"/>
  <c r="AA258" i="9"/>
  <c r="AA259" i="9"/>
  <c r="AA260" i="9"/>
  <c r="AA261" i="9"/>
  <c r="AA262" i="9"/>
  <c r="AA263" i="9"/>
  <c r="AA264" i="9"/>
  <c r="AA265" i="9"/>
  <c r="AA266" i="9"/>
  <c r="AA267" i="9"/>
  <c r="AA268" i="9"/>
  <c r="AA269" i="9"/>
  <c r="AA270" i="9"/>
  <c r="AA271" i="9"/>
  <c r="AA272" i="9"/>
  <c r="AA273" i="9"/>
  <c r="AA274" i="9"/>
  <c r="AA275" i="9"/>
  <c r="AA276" i="9"/>
  <c r="AA277" i="9"/>
  <c r="AA278" i="9"/>
  <c r="AA279" i="9"/>
  <c r="AA280" i="9"/>
  <c r="AA281" i="9"/>
  <c r="AA282" i="9"/>
  <c r="AA283" i="9"/>
  <c r="AA284" i="9"/>
  <c r="AA285" i="9"/>
  <c r="AA286" i="9"/>
  <c r="AA287" i="9"/>
  <c r="AA288" i="9"/>
  <c r="AA289" i="9"/>
  <c r="AA290" i="9"/>
  <c r="AA291" i="9"/>
  <c r="AA292" i="9"/>
  <c r="AA293" i="9"/>
  <c r="AA294" i="9"/>
  <c r="AA295" i="9"/>
  <c r="AA296" i="9"/>
  <c r="AA297" i="9"/>
  <c r="AA298" i="9"/>
  <c r="AA299" i="9"/>
  <c r="AA300" i="9"/>
  <c r="AA301" i="9"/>
  <c r="AA302" i="9"/>
  <c r="AA303" i="9"/>
  <c r="AA304" i="9"/>
  <c r="AA305" i="9"/>
  <c r="AA306" i="9"/>
  <c r="AA307" i="9"/>
  <c r="AA308" i="9"/>
  <c r="AA309" i="9"/>
  <c r="AA310" i="9"/>
  <c r="AA311" i="9"/>
  <c r="AA312" i="9"/>
  <c r="AA313" i="9"/>
  <c r="AA314" i="9"/>
  <c r="AA315" i="9"/>
  <c r="AA316" i="9"/>
  <c r="AA317" i="9"/>
  <c r="AA318" i="9"/>
  <c r="AA319" i="9"/>
  <c r="AA320" i="9"/>
  <c r="AA321" i="9"/>
  <c r="AA322" i="9"/>
  <c r="AA323" i="9"/>
  <c r="AA324" i="9"/>
  <c r="AA325" i="9"/>
  <c r="AA326" i="9"/>
  <c r="AA327" i="9"/>
  <c r="AA328" i="9"/>
  <c r="AA329" i="9"/>
  <c r="AA330" i="9"/>
  <c r="AA331" i="9"/>
  <c r="AA332" i="9"/>
  <c r="AA333" i="9"/>
  <c r="AA334" i="9"/>
  <c r="AA335" i="9"/>
  <c r="AA336" i="9"/>
  <c r="AA337" i="9"/>
  <c r="AA338" i="9"/>
  <c r="AA339" i="9"/>
  <c r="AA340" i="9"/>
  <c r="AA341" i="9"/>
  <c r="AA342" i="9"/>
  <c r="AA343" i="9"/>
  <c r="AA344" i="9"/>
  <c r="AA345" i="9"/>
  <c r="AA346" i="9"/>
  <c r="AA347" i="9"/>
  <c r="AA348" i="9"/>
  <c r="AA349" i="9"/>
  <c r="AA350" i="9"/>
  <c r="AA351" i="9"/>
  <c r="AA352" i="9"/>
  <c r="AA353" i="9"/>
  <c r="AA354" i="9"/>
  <c r="AA355" i="9"/>
  <c r="AA356" i="9"/>
  <c r="AA357" i="9"/>
  <c r="AA358" i="9"/>
  <c r="AA359" i="9"/>
  <c r="AA360" i="9"/>
  <c r="AA361" i="9"/>
  <c r="Z2" i="9"/>
  <c r="AA2" i="9"/>
  <c r="AA3" i="9"/>
  <c r="AA4" i="9"/>
  <c r="AA5" i="9"/>
  <c r="AA6" i="9"/>
  <c r="AA7" i="9"/>
  <c r="AA8" i="9"/>
  <c r="AA9" i="9"/>
  <c r="AA10" i="9"/>
  <c r="AA11" i="9"/>
  <c r="AA12" i="9"/>
  <c r="AA13" i="9"/>
  <c r="AA14" i="9"/>
  <c r="AA15" i="9"/>
  <c r="AA16" i="9"/>
  <c r="AA17" i="9"/>
  <c r="AA18" i="9"/>
  <c r="AA19" i="9"/>
  <c r="AA20" i="9"/>
  <c r="AA21" i="9"/>
  <c r="AA22" i="9"/>
  <c r="AA23" i="9"/>
  <c r="AA24" i="9"/>
  <c r="AA25" i="9"/>
  <c r="AA26" i="9"/>
  <c r="AA27" i="9"/>
  <c r="AA28" i="9"/>
  <c r="AA29" i="9"/>
  <c r="AA30" i="9"/>
  <c r="AA31" i="9"/>
  <c r="AA32" i="9"/>
  <c r="AA33" i="9"/>
  <c r="AA34" i="9"/>
  <c r="AA35" i="9"/>
  <c r="AA36" i="9"/>
  <c r="AA37" i="9"/>
  <c r="AA38" i="9"/>
  <c r="AA39" i="9"/>
  <c r="AA40" i="9"/>
  <c r="AA41" i="9"/>
  <c r="AA42" i="9"/>
  <c r="AA43" i="9"/>
  <c r="AA44" i="9"/>
  <c r="AA45" i="9"/>
  <c r="AA46" i="9"/>
  <c r="AA47" i="9"/>
  <c r="AA48" i="9"/>
  <c r="AA49" i="9"/>
  <c r="AA50" i="9"/>
  <c r="AA51" i="9"/>
  <c r="AA52" i="9"/>
  <c r="AA53" i="9"/>
  <c r="AA54" i="9"/>
  <c r="AA55" i="9"/>
  <c r="AA56" i="9"/>
  <c r="AA57" i="9"/>
  <c r="AA58" i="9"/>
  <c r="AA59" i="9"/>
  <c r="AA60" i="9"/>
  <c r="AA61" i="9"/>
  <c r="AA62" i="9"/>
  <c r="AA63" i="9"/>
  <c r="AA64" i="9"/>
  <c r="AA65" i="9"/>
  <c r="AA66" i="9"/>
  <c r="AA67" i="9"/>
  <c r="AA68" i="9"/>
  <c r="AA69" i="9"/>
  <c r="AA70" i="9"/>
  <c r="AA71" i="9"/>
  <c r="AA72" i="9"/>
  <c r="AA73" i="9"/>
  <c r="AA74" i="9"/>
  <c r="AA75" i="9"/>
  <c r="AA76" i="9"/>
  <c r="AA77" i="9"/>
  <c r="AA78" i="9"/>
  <c r="AA79" i="9"/>
  <c r="AA80" i="9"/>
  <c r="AA81" i="9"/>
  <c r="AA82" i="9"/>
  <c r="AA83" i="9"/>
  <c r="AA84" i="9"/>
  <c r="AA85" i="9"/>
  <c r="AA86" i="9"/>
  <c r="AA87" i="9"/>
  <c r="AA88" i="9"/>
  <c r="AA89" i="9"/>
  <c r="AA90" i="9"/>
  <c r="AA91" i="9"/>
  <c r="AA92" i="9"/>
  <c r="AA93" i="9"/>
  <c r="AA94" i="9"/>
  <c r="AA95" i="9"/>
  <c r="AA96" i="9"/>
  <c r="AA97" i="9"/>
  <c r="AA98" i="9"/>
  <c r="AA99" i="9"/>
  <c r="AA100" i="9"/>
  <c r="AA101" i="9"/>
  <c r="AA102" i="9"/>
  <c r="AA103" i="9"/>
  <c r="AA104" i="9"/>
  <c r="AA105" i="9"/>
  <c r="AA106" i="9"/>
  <c r="AA107" i="9"/>
  <c r="AA108" i="9"/>
  <c r="AA109" i="9"/>
  <c r="AA110" i="9"/>
  <c r="AA111" i="9"/>
  <c r="AA112" i="9"/>
  <c r="AA113" i="9"/>
  <c r="AA114" i="9"/>
  <c r="AA115" i="9"/>
  <c r="AA116" i="9"/>
  <c r="AA117" i="9"/>
  <c r="AA118" i="9"/>
  <c r="AA119" i="9"/>
  <c r="AA120" i="9"/>
  <c r="AA121" i="9"/>
  <c r="AA122" i="9"/>
  <c r="AA123" i="9"/>
  <c r="AA124" i="9"/>
  <c r="AA125" i="9"/>
  <c r="AA126" i="9"/>
  <c r="AA127" i="9"/>
  <c r="AA128" i="9"/>
  <c r="AA129" i="9"/>
  <c r="AA130" i="9"/>
  <c r="AA131" i="9"/>
  <c r="AA132" i="9"/>
  <c r="AA133" i="9"/>
  <c r="AA134" i="9"/>
  <c r="AA135" i="9"/>
  <c r="AA136" i="9"/>
  <c r="AA137" i="9"/>
  <c r="AA138" i="9"/>
  <c r="AA139" i="9"/>
  <c r="AA140" i="9"/>
  <c r="AA141" i="9"/>
  <c r="AA142" i="9"/>
  <c r="AA143" i="9"/>
  <c r="AA144" i="9"/>
  <c r="AA145" i="9"/>
  <c r="AA146" i="9"/>
  <c r="AA147" i="9"/>
  <c r="AA148" i="9"/>
  <c r="AA149" i="9"/>
  <c r="AA150" i="9"/>
  <c r="AA151" i="9"/>
  <c r="AA152" i="9"/>
  <c r="AA153" i="9"/>
  <c r="AA154" i="9"/>
  <c r="AA155" i="9"/>
  <c r="AA156" i="9"/>
  <c r="AA157" i="9"/>
  <c r="AA158" i="9"/>
  <c r="AA159" i="9"/>
  <c r="AA160" i="9"/>
  <c r="AA161" i="9"/>
  <c r="AA162" i="9"/>
  <c r="AA163" i="9"/>
  <c r="AA164" i="9"/>
  <c r="AA165" i="9"/>
  <c r="AA166" i="9"/>
  <c r="AA167" i="9"/>
  <c r="AA168" i="9"/>
  <c r="AA169" i="9"/>
  <c r="AA170" i="9"/>
  <c r="AA171" i="9"/>
  <c r="AA172" i="9"/>
  <c r="AA173" i="9"/>
  <c r="AA174" i="9"/>
  <c r="AA175" i="9"/>
  <c r="AA176" i="9"/>
  <c r="AA177" i="9"/>
  <c r="AA178" i="9"/>
  <c r="AA179" i="9"/>
  <c r="AA180" i="9"/>
  <c r="AA181" i="9"/>
  <c r="AA182" i="9"/>
  <c r="AA183" i="9"/>
  <c r="AA184" i="9"/>
  <c r="AA185" i="9"/>
  <c r="AA186" i="9"/>
  <c r="AA187" i="9"/>
  <c r="AA188" i="9"/>
  <c r="S189" i="9"/>
  <c r="S190" i="9"/>
  <c r="S191" i="9"/>
  <c r="S192" i="9"/>
  <c r="S193" i="9"/>
  <c r="S194" i="9"/>
  <c r="S195" i="9"/>
  <c r="S196" i="9"/>
  <c r="S197" i="9"/>
  <c r="S198" i="9"/>
  <c r="S199" i="9"/>
  <c r="S200" i="9"/>
  <c r="S201" i="9"/>
  <c r="S202" i="9"/>
  <c r="S203" i="9"/>
  <c r="S204" i="9"/>
  <c r="S205" i="9"/>
  <c r="S206" i="9"/>
  <c r="S207" i="9"/>
  <c r="S208" i="9"/>
  <c r="S209" i="9"/>
  <c r="S210" i="9"/>
  <c r="S211" i="9"/>
  <c r="S212" i="9"/>
  <c r="S213" i="9"/>
  <c r="S214" i="9"/>
  <c r="S215" i="9"/>
  <c r="S216" i="9"/>
  <c r="S217" i="9"/>
  <c r="S218" i="9"/>
  <c r="S219" i="9"/>
  <c r="S220" i="9"/>
  <c r="S221" i="9"/>
  <c r="S222" i="9"/>
  <c r="S223" i="9"/>
  <c r="S224" i="9"/>
  <c r="S225" i="9"/>
  <c r="S226" i="9"/>
  <c r="S227" i="9"/>
  <c r="S228" i="9"/>
  <c r="S229" i="9"/>
  <c r="S230" i="9"/>
  <c r="S231" i="9"/>
  <c r="S232" i="9"/>
  <c r="S233" i="9"/>
  <c r="S234" i="9"/>
  <c r="S235" i="9"/>
  <c r="S236" i="9"/>
  <c r="S237" i="9"/>
  <c r="S238" i="9"/>
  <c r="S239" i="9"/>
  <c r="S240" i="9"/>
  <c r="S241" i="9"/>
  <c r="S242" i="9"/>
  <c r="S243" i="9"/>
  <c r="S244" i="9"/>
  <c r="S245" i="9"/>
  <c r="S246" i="9"/>
  <c r="S247" i="9"/>
  <c r="S248" i="9"/>
  <c r="S249" i="9"/>
  <c r="S250" i="9"/>
  <c r="S251" i="9"/>
  <c r="S252" i="9"/>
  <c r="S253" i="9"/>
  <c r="S254" i="9"/>
  <c r="S255" i="9"/>
  <c r="S256" i="9"/>
  <c r="S257" i="9"/>
  <c r="S258" i="9"/>
  <c r="S259" i="9"/>
  <c r="S260" i="9"/>
  <c r="S261" i="9"/>
  <c r="S262" i="9"/>
  <c r="S263" i="9"/>
  <c r="S264" i="9"/>
  <c r="S265" i="9"/>
  <c r="S266" i="9"/>
  <c r="S267" i="9"/>
  <c r="S268" i="9"/>
  <c r="S269" i="9"/>
  <c r="S270" i="9"/>
  <c r="S271" i="9"/>
  <c r="S272" i="9"/>
  <c r="S273" i="9"/>
  <c r="S274" i="9"/>
  <c r="S275" i="9"/>
  <c r="S276" i="9"/>
  <c r="S277" i="9"/>
  <c r="S278" i="9"/>
  <c r="S279" i="9"/>
  <c r="S280" i="9"/>
  <c r="S281" i="9"/>
  <c r="S282" i="9"/>
  <c r="S283" i="9"/>
  <c r="S284" i="9"/>
  <c r="S285" i="9"/>
  <c r="S286" i="9"/>
  <c r="S287" i="9"/>
  <c r="S288" i="9"/>
  <c r="S289" i="9"/>
  <c r="S290" i="9"/>
  <c r="S291" i="9"/>
  <c r="S292" i="9"/>
  <c r="S293" i="9"/>
  <c r="S294" i="9"/>
  <c r="S295" i="9"/>
  <c r="S296" i="9"/>
  <c r="S297" i="9"/>
  <c r="S298" i="9"/>
  <c r="S299" i="9"/>
  <c r="S300" i="9"/>
  <c r="S301" i="9"/>
  <c r="S302" i="9"/>
  <c r="S303" i="9"/>
  <c r="S304" i="9"/>
  <c r="S305" i="9"/>
  <c r="S306" i="9"/>
  <c r="S307" i="9"/>
  <c r="S308" i="9"/>
  <c r="S309" i="9"/>
  <c r="S310" i="9"/>
  <c r="S311" i="9"/>
  <c r="S312" i="9"/>
  <c r="S313" i="9"/>
  <c r="S314" i="9"/>
  <c r="S315" i="9"/>
  <c r="S316" i="9"/>
  <c r="S317" i="9"/>
  <c r="S318" i="9"/>
  <c r="S319" i="9"/>
  <c r="S320" i="9"/>
  <c r="S321" i="9"/>
  <c r="S322" i="9"/>
  <c r="S323" i="9"/>
  <c r="S324" i="9"/>
  <c r="S325" i="9"/>
  <c r="S326" i="9"/>
  <c r="S327" i="9"/>
  <c r="S328" i="9"/>
  <c r="S329" i="9"/>
  <c r="S330" i="9"/>
  <c r="S331" i="9"/>
  <c r="S332" i="9"/>
  <c r="S333" i="9"/>
  <c r="S334" i="9"/>
  <c r="S335" i="9"/>
  <c r="S336" i="9"/>
  <c r="S337" i="9"/>
  <c r="S338" i="9"/>
  <c r="S339" i="9"/>
  <c r="S340" i="9"/>
  <c r="S341" i="9"/>
  <c r="S342" i="9"/>
  <c r="S343" i="9"/>
  <c r="S344" i="9"/>
  <c r="S345" i="9"/>
  <c r="S346" i="9"/>
  <c r="S347" i="9"/>
  <c r="S348" i="9"/>
  <c r="S349" i="9"/>
  <c r="S350" i="9"/>
  <c r="S351" i="9"/>
  <c r="S352" i="9"/>
  <c r="S353" i="9"/>
  <c r="S354" i="9"/>
  <c r="S355" i="9"/>
  <c r="S356" i="9"/>
  <c r="S357" i="9"/>
  <c r="S358" i="9"/>
  <c r="S359" i="9"/>
  <c r="S360" i="9"/>
  <c r="S361" i="9"/>
  <c r="R2" i="9"/>
  <c r="S2" i="9"/>
  <c r="U2" i="9" s="1"/>
  <c r="T2" i="9" s="1"/>
  <c r="V2" i="9" s="1"/>
  <c r="W2" i="9" s="1"/>
  <c r="S3" i="9"/>
  <c r="S4" i="9"/>
  <c r="S5" i="9"/>
  <c r="S6" i="9"/>
  <c r="S7" i="9"/>
  <c r="S8" i="9"/>
  <c r="S9" i="9"/>
  <c r="S10" i="9"/>
  <c r="S11" i="9"/>
  <c r="S12" i="9"/>
  <c r="S13" i="9"/>
  <c r="S14" i="9"/>
  <c r="S15" i="9"/>
  <c r="S16" i="9"/>
  <c r="S17" i="9"/>
  <c r="S18" i="9"/>
  <c r="S19" i="9"/>
  <c r="S20" i="9"/>
  <c r="S21" i="9"/>
  <c r="S22" i="9"/>
  <c r="S23" i="9"/>
  <c r="S24" i="9"/>
  <c r="S25" i="9"/>
  <c r="S26" i="9"/>
  <c r="S27" i="9"/>
  <c r="S28" i="9"/>
  <c r="S29" i="9"/>
  <c r="S30" i="9"/>
  <c r="S31" i="9"/>
  <c r="S32" i="9"/>
  <c r="S33" i="9"/>
  <c r="S34" i="9"/>
  <c r="S35" i="9"/>
  <c r="S36" i="9"/>
  <c r="S37" i="9"/>
  <c r="S38" i="9"/>
  <c r="S39" i="9"/>
  <c r="S40" i="9"/>
  <c r="S41" i="9"/>
  <c r="S42" i="9"/>
  <c r="S43" i="9"/>
  <c r="S44" i="9"/>
  <c r="S45" i="9"/>
  <c r="S46" i="9"/>
  <c r="S47" i="9"/>
  <c r="S48" i="9"/>
  <c r="S49" i="9"/>
  <c r="S50" i="9"/>
  <c r="S51" i="9"/>
  <c r="S52" i="9"/>
  <c r="S53" i="9"/>
  <c r="S54" i="9"/>
  <c r="S55" i="9"/>
  <c r="S56" i="9"/>
  <c r="S57" i="9"/>
  <c r="S58" i="9"/>
  <c r="S59" i="9"/>
  <c r="S60" i="9"/>
  <c r="S61" i="9"/>
  <c r="S62" i="9"/>
  <c r="S63" i="9"/>
  <c r="S64" i="9"/>
  <c r="S65" i="9"/>
  <c r="S66" i="9"/>
  <c r="S67" i="9"/>
  <c r="S68" i="9"/>
  <c r="S69" i="9"/>
  <c r="S70" i="9"/>
  <c r="S71" i="9"/>
  <c r="S72" i="9"/>
  <c r="S73" i="9"/>
  <c r="S74" i="9"/>
  <c r="S75" i="9"/>
  <c r="S76" i="9"/>
  <c r="S77" i="9"/>
  <c r="S78" i="9"/>
  <c r="S79" i="9"/>
  <c r="S80" i="9"/>
  <c r="S81" i="9"/>
  <c r="S82" i="9"/>
  <c r="S83" i="9"/>
  <c r="S84" i="9"/>
  <c r="S85" i="9"/>
  <c r="S86" i="9"/>
  <c r="S87" i="9"/>
  <c r="S88" i="9"/>
  <c r="S89" i="9"/>
  <c r="S90" i="9"/>
  <c r="S91" i="9"/>
  <c r="S92" i="9"/>
  <c r="S93" i="9"/>
  <c r="S94" i="9"/>
  <c r="S95" i="9"/>
  <c r="S96" i="9"/>
  <c r="S97" i="9"/>
  <c r="S98" i="9"/>
  <c r="S99" i="9"/>
  <c r="S100" i="9"/>
  <c r="S101" i="9"/>
  <c r="S102" i="9"/>
  <c r="S103" i="9"/>
  <c r="S104" i="9"/>
  <c r="S105" i="9"/>
  <c r="S106" i="9"/>
  <c r="S107" i="9"/>
  <c r="S108" i="9"/>
  <c r="S109" i="9"/>
  <c r="S110" i="9"/>
  <c r="S111" i="9"/>
  <c r="S112" i="9"/>
  <c r="S113" i="9"/>
  <c r="S114" i="9"/>
  <c r="S115" i="9"/>
  <c r="S116" i="9"/>
  <c r="S117" i="9"/>
  <c r="S118" i="9"/>
  <c r="S119" i="9"/>
  <c r="S120" i="9"/>
  <c r="S121" i="9"/>
  <c r="S122" i="9"/>
  <c r="S123" i="9"/>
  <c r="S124" i="9"/>
  <c r="S125" i="9"/>
  <c r="S126" i="9"/>
  <c r="S127" i="9"/>
  <c r="S128" i="9"/>
  <c r="S129" i="9"/>
  <c r="S130" i="9"/>
  <c r="S131" i="9"/>
  <c r="S132" i="9"/>
  <c r="S133" i="9"/>
  <c r="S134" i="9"/>
  <c r="S135" i="9"/>
  <c r="S136" i="9"/>
  <c r="S137" i="9"/>
  <c r="S138" i="9"/>
  <c r="S139" i="9"/>
  <c r="S140" i="9"/>
  <c r="S141" i="9"/>
  <c r="S142" i="9"/>
  <c r="S143" i="9"/>
  <c r="S144" i="9"/>
  <c r="S145" i="9"/>
  <c r="S146" i="9"/>
  <c r="S147" i="9"/>
  <c r="S148" i="9"/>
  <c r="S149" i="9"/>
  <c r="S150" i="9"/>
  <c r="S151" i="9"/>
  <c r="S152" i="9"/>
  <c r="S153" i="9"/>
  <c r="S154" i="9"/>
  <c r="S155" i="9"/>
  <c r="S156" i="9"/>
  <c r="S157" i="9"/>
  <c r="S158" i="9"/>
  <c r="S159" i="9"/>
  <c r="S160" i="9"/>
  <c r="S161" i="9"/>
  <c r="S162" i="9"/>
  <c r="S163" i="9"/>
  <c r="S164" i="9"/>
  <c r="S165" i="9"/>
  <c r="S166" i="9"/>
  <c r="S167" i="9"/>
  <c r="S168" i="9"/>
  <c r="S169" i="9"/>
  <c r="S170" i="9"/>
  <c r="S171" i="9"/>
  <c r="S172" i="9"/>
  <c r="S173" i="9"/>
  <c r="S174" i="9"/>
  <c r="S175" i="9"/>
  <c r="S176" i="9"/>
  <c r="S177" i="9"/>
  <c r="S178" i="9"/>
  <c r="S179" i="9"/>
  <c r="S180" i="9"/>
  <c r="S181" i="9"/>
  <c r="S182" i="9"/>
  <c r="S183" i="9"/>
  <c r="S184" i="9"/>
  <c r="S185" i="9"/>
  <c r="S186" i="9"/>
  <c r="S187" i="9"/>
  <c r="S188" i="9"/>
  <c r="K189" i="9"/>
  <c r="K190" i="9"/>
  <c r="K191" i="9"/>
  <c r="K192" i="9"/>
  <c r="K193" i="9"/>
  <c r="K194" i="9"/>
  <c r="K195" i="9"/>
  <c r="K196" i="9"/>
  <c r="K197" i="9"/>
  <c r="K198" i="9"/>
  <c r="K199" i="9"/>
  <c r="K200" i="9"/>
  <c r="K201" i="9"/>
  <c r="K202" i="9"/>
  <c r="K203" i="9"/>
  <c r="K204" i="9"/>
  <c r="K205" i="9"/>
  <c r="K206" i="9"/>
  <c r="K207" i="9"/>
  <c r="K208" i="9"/>
  <c r="K209" i="9"/>
  <c r="K210" i="9"/>
  <c r="K211" i="9"/>
  <c r="K212" i="9"/>
  <c r="K213" i="9"/>
  <c r="K214" i="9"/>
  <c r="K215" i="9"/>
  <c r="K216" i="9"/>
  <c r="K217" i="9"/>
  <c r="K218" i="9"/>
  <c r="K219" i="9"/>
  <c r="K220" i="9"/>
  <c r="K221" i="9"/>
  <c r="K222" i="9"/>
  <c r="K223" i="9"/>
  <c r="K224" i="9"/>
  <c r="K225" i="9"/>
  <c r="K226" i="9"/>
  <c r="K227" i="9"/>
  <c r="K228" i="9"/>
  <c r="K229" i="9"/>
  <c r="K230" i="9"/>
  <c r="K231" i="9"/>
  <c r="K232" i="9"/>
  <c r="K233" i="9"/>
  <c r="K234" i="9"/>
  <c r="K235" i="9"/>
  <c r="K236" i="9"/>
  <c r="K237" i="9"/>
  <c r="K238" i="9"/>
  <c r="K239" i="9"/>
  <c r="K240" i="9"/>
  <c r="K241" i="9"/>
  <c r="K242" i="9"/>
  <c r="K243" i="9"/>
  <c r="K244" i="9"/>
  <c r="K245" i="9"/>
  <c r="K246" i="9"/>
  <c r="K247" i="9"/>
  <c r="K248" i="9"/>
  <c r="K249" i="9"/>
  <c r="K250" i="9"/>
  <c r="K251" i="9"/>
  <c r="K252" i="9"/>
  <c r="K253" i="9"/>
  <c r="K254" i="9"/>
  <c r="K255" i="9"/>
  <c r="K256" i="9"/>
  <c r="K257" i="9"/>
  <c r="K258" i="9"/>
  <c r="K259" i="9"/>
  <c r="K260" i="9"/>
  <c r="K261" i="9"/>
  <c r="K262" i="9"/>
  <c r="K263" i="9"/>
  <c r="K264" i="9"/>
  <c r="K265" i="9"/>
  <c r="K266" i="9"/>
  <c r="K267" i="9"/>
  <c r="K268" i="9"/>
  <c r="K269" i="9"/>
  <c r="K270" i="9"/>
  <c r="K271" i="9"/>
  <c r="K272" i="9"/>
  <c r="K273" i="9"/>
  <c r="K274" i="9"/>
  <c r="K275" i="9"/>
  <c r="K276" i="9"/>
  <c r="K277" i="9"/>
  <c r="K278" i="9"/>
  <c r="K279" i="9"/>
  <c r="K280" i="9"/>
  <c r="K281" i="9"/>
  <c r="K282" i="9"/>
  <c r="K283" i="9"/>
  <c r="K284" i="9"/>
  <c r="K285" i="9"/>
  <c r="K286" i="9"/>
  <c r="K287" i="9"/>
  <c r="K288" i="9"/>
  <c r="K289" i="9"/>
  <c r="K290" i="9"/>
  <c r="K291" i="9"/>
  <c r="K292" i="9"/>
  <c r="K293" i="9"/>
  <c r="K294" i="9"/>
  <c r="K295" i="9"/>
  <c r="K296" i="9"/>
  <c r="K297" i="9"/>
  <c r="K298" i="9"/>
  <c r="K299" i="9"/>
  <c r="K300" i="9"/>
  <c r="K301" i="9"/>
  <c r="K302" i="9"/>
  <c r="K303" i="9"/>
  <c r="K304" i="9"/>
  <c r="K305" i="9"/>
  <c r="K306" i="9"/>
  <c r="K307" i="9"/>
  <c r="K308" i="9"/>
  <c r="K309" i="9"/>
  <c r="K310" i="9"/>
  <c r="K311" i="9"/>
  <c r="K312" i="9"/>
  <c r="K313" i="9"/>
  <c r="K314" i="9"/>
  <c r="K315" i="9"/>
  <c r="K316" i="9"/>
  <c r="K317" i="9"/>
  <c r="K318" i="9"/>
  <c r="K319" i="9"/>
  <c r="K320" i="9"/>
  <c r="K321" i="9"/>
  <c r="K322" i="9"/>
  <c r="K323" i="9"/>
  <c r="K324" i="9"/>
  <c r="K325" i="9"/>
  <c r="K326" i="9"/>
  <c r="K327" i="9"/>
  <c r="K328" i="9"/>
  <c r="K329" i="9"/>
  <c r="K330" i="9"/>
  <c r="K331" i="9"/>
  <c r="K332" i="9"/>
  <c r="K333" i="9"/>
  <c r="K334" i="9"/>
  <c r="K335" i="9"/>
  <c r="K336" i="9"/>
  <c r="K337" i="9"/>
  <c r="K338" i="9"/>
  <c r="K339" i="9"/>
  <c r="K340" i="9"/>
  <c r="K341" i="9"/>
  <c r="K342" i="9"/>
  <c r="K343" i="9"/>
  <c r="K344" i="9"/>
  <c r="K345" i="9"/>
  <c r="K346" i="9"/>
  <c r="K347" i="9"/>
  <c r="K348" i="9"/>
  <c r="K349" i="9"/>
  <c r="K350" i="9"/>
  <c r="K351" i="9"/>
  <c r="K352" i="9"/>
  <c r="K353" i="9"/>
  <c r="K354" i="9"/>
  <c r="K355" i="9"/>
  <c r="K356" i="9"/>
  <c r="K357" i="9"/>
  <c r="K358" i="9"/>
  <c r="K359" i="9"/>
  <c r="K360" i="9"/>
  <c r="K361" i="9"/>
  <c r="J2" i="9"/>
  <c r="K2" i="9"/>
  <c r="K3" i="9"/>
  <c r="K4" i="9"/>
  <c r="K5" i="9"/>
  <c r="K6" i="9"/>
  <c r="K7" i="9"/>
  <c r="K8" i="9"/>
  <c r="K9" i="9"/>
  <c r="K10" i="9"/>
  <c r="K11" i="9"/>
  <c r="K12" i="9"/>
  <c r="K13" i="9"/>
  <c r="K14" i="9"/>
  <c r="K15" i="9"/>
  <c r="K16" i="9"/>
  <c r="K17" i="9"/>
  <c r="K18" i="9"/>
  <c r="K19" i="9"/>
  <c r="K20" i="9"/>
  <c r="K21" i="9"/>
  <c r="K22" i="9"/>
  <c r="K23" i="9"/>
  <c r="K24" i="9"/>
  <c r="K25" i="9"/>
  <c r="K26" i="9"/>
  <c r="K27" i="9"/>
  <c r="K28" i="9"/>
  <c r="K29" i="9"/>
  <c r="K30" i="9"/>
  <c r="K31" i="9"/>
  <c r="K32" i="9"/>
  <c r="K33" i="9"/>
  <c r="K34" i="9"/>
  <c r="K35" i="9"/>
  <c r="K36" i="9"/>
  <c r="K37" i="9"/>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B2" i="9"/>
  <c r="C2" i="9"/>
  <c r="C3" i="9"/>
  <c r="C4" i="9"/>
  <c r="C5" i="9"/>
  <c r="C6" i="9"/>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A56" i="6"/>
  <c r="C56" i="6" s="1"/>
  <c r="A55" i="6"/>
  <c r="C55" i="6" s="1"/>
  <c r="A54" i="6"/>
  <c r="G54" i="6" s="1"/>
  <c r="A53" i="6"/>
  <c r="G53" i="6" s="1"/>
  <c r="A52" i="6"/>
  <c r="C52" i="6" s="1"/>
  <c r="A51" i="6"/>
  <c r="C51" i="6" s="1"/>
  <c r="A50" i="6"/>
  <c r="G50" i="6" s="1"/>
  <c r="A49" i="6"/>
  <c r="C49" i="6" s="1"/>
  <c r="A48" i="6"/>
  <c r="G48" i="6" s="1"/>
  <c r="A47" i="6"/>
  <c r="C47" i="6" s="1"/>
  <c r="A46" i="6"/>
  <c r="C46" i="6" s="1"/>
  <c r="A45" i="6"/>
  <c r="G45" i="6" s="1"/>
  <c r="A44" i="6"/>
  <c r="C44" i="6" s="1"/>
  <c r="A43" i="6"/>
  <c r="C43" i="6" s="1"/>
  <c r="A42" i="6"/>
  <c r="G42" i="6" s="1"/>
  <c r="A41" i="6"/>
  <c r="C41" i="6" s="1"/>
  <c r="A40" i="6"/>
  <c r="C40" i="6" s="1"/>
  <c r="A39" i="6"/>
  <c r="G39" i="6" s="1"/>
  <c r="A38" i="6"/>
  <c r="C38" i="6" s="1"/>
  <c r="A37" i="6"/>
  <c r="C37" i="6" s="1"/>
  <c r="A36" i="6"/>
  <c r="G36" i="6" s="1"/>
  <c r="A35" i="6"/>
  <c r="C35" i="6" s="1"/>
  <c r="A34" i="6"/>
  <c r="C34" i="6" s="1"/>
  <c r="A33" i="6"/>
  <c r="G33" i="6" s="1"/>
  <c r="A32" i="6"/>
  <c r="C32" i="6" s="1"/>
  <c r="A31" i="6"/>
  <c r="C31" i="6" s="1"/>
  <c r="A30" i="6"/>
  <c r="G30" i="6" s="1"/>
  <c r="A29" i="6"/>
  <c r="C29" i="6" s="1"/>
  <c r="A28" i="6"/>
  <c r="C28" i="6" s="1"/>
  <c r="A27" i="6"/>
  <c r="G27" i="6" s="1"/>
  <c r="H7" i="6"/>
  <c r="E7" i="6"/>
  <c r="E6" i="6"/>
  <c r="E5" i="6"/>
  <c r="A95" i="3"/>
  <c r="G52" i="3"/>
  <c r="G51" i="3"/>
  <c r="G50" i="3"/>
  <c r="G49" i="3"/>
  <c r="G48" i="3"/>
  <c r="G47" i="3"/>
  <c r="G46" i="3"/>
  <c r="E6" i="3"/>
  <c r="E5" i="3"/>
  <c r="F43" i="2"/>
  <c r="F42" i="2"/>
  <c r="F41" i="2"/>
  <c r="E8" i="2"/>
  <c r="E5" i="2"/>
  <c r="A34" i="2" s="1"/>
  <c r="B18" i="1"/>
  <c r="B41" i="1" s="1"/>
  <c r="B16" i="1"/>
  <c r="B17" i="1" s="1"/>
  <c r="B15" i="1"/>
  <c r="B12" i="1"/>
  <c r="B25" i="1" s="1"/>
  <c r="B11" i="1"/>
  <c r="B24" i="1" s="1"/>
  <c r="G8" i="4"/>
  <c r="E8" i="4"/>
  <c r="E20" i="3" l="1"/>
  <c r="H17" i="3"/>
  <c r="I17" i="3" s="1"/>
  <c r="C20" i="2"/>
  <c r="C21" i="2"/>
  <c r="C24" i="2"/>
  <c r="C25" i="2"/>
  <c r="C12" i="2"/>
  <c r="C26" i="2"/>
  <c r="C15" i="2"/>
  <c r="C27" i="2"/>
  <c r="C16" i="2"/>
  <c r="C28" i="2"/>
  <c r="C17" i="2"/>
  <c r="C29" i="2"/>
  <c r="F13" i="2"/>
  <c r="B14" i="2" s="1"/>
  <c r="F14" i="2" s="1"/>
  <c r="B15" i="2" s="1"/>
  <c r="C18" i="2"/>
  <c r="C30" i="2"/>
  <c r="C13" i="2"/>
  <c r="C19" i="2"/>
  <c r="C31" i="2"/>
  <c r="A16" i="2"/>
  <c r="D15" i="2"/>
  <c r="A31" i="4"/>
  <c r="F30" i="4"/>
  <c r="E30" i="4"/>
  <c r="B30" i="4"/>
  <c r="B29" i="4"/>
  <c r="B27" i="4"/>
  <c r="B24" i="4"/>
  <c r="E27" i="4"/>
  <c r="B26" i="4"/>
  <c r="E29" i="4"/>
  <c r="B25" i="4"/>
  <c r="E28" i="4"/>
  <c r="B23" i="4"/>
  <c r="E26" i="4"/>
  <c r="E25" i="4"/>
  <c r="E24" i="4"/>
  <c r="E23" i="4"/>
  <c r="E22" i="4"/>
  <c r="E21" i="4"/>
  <c r="K19" i="10"/>
  <c r="AK2" i="9"/>
  <c r="AJ2" i="9" s="1"/>
  <c r="E7" i="10" a="1"/>
  <c r="E7" i="10" s="1"/>
  <c r="C18" i="10" s="1"/>
  <c r="D18" i="10" s="1"/>
  <c r="G18" i="10" s="1"/>
  <c r="A20" i="10"/>
  <c r="E7" i="3"/>
  <c r="E8" i="3" s="1"/>
  <c r="E9" i="3" s="1"/>
  <c r="E6" i="2"/>
  <c r="E7" i="2" s="1"/>
  <c r="A36" i="2" s="1"/>
  <c r="AC2" i="9"/>
  <c r="AB2" i="9" s="1"/>
  <c r="E6" i="4"/>
  <c r="A52" i="7"/>
  <c r="M2" i="9"/>
  <c r="E2" i="9"/>
  <c r="B23" i="7"/>
  <c r="X2" i="9"/>
  <c r="B13" i="1"/>
  <c r="B14" i="1" s="1"/>
  <c r="B20" i="1" s="1"/>
  <c r="E5" i="4"/>
  <c r="F27" i="4" s="1"/>
  <c r="C23" i="6" a="1"/>
  <c r="C23" i="6" s="1"/>
  <c r="B27" i="1"/>
  <c r="B26" i="1"/>
  <c r="D19" i="6" a="1"/>
  <c r="D19" i="6" s="1"/>
  <c r="C18" i="6" a="1"/>
  <c r="C18" i="6" s="1"/>
  <c r="C21" i="6" a="1"/>
  <c r="C21" i="6" s="1"/>
  <c r="E8" i="6" a="1"/>
  <c r="E8" i="6" s="1"/>
  <c r="C22" i="6" a="1"/>
  <c r="C22" i="6" s="1"/>
  <c r="C20" i="6" a="1"/>
  <c r="C20" i="6" s="1"/>
  <c r="B27" i="6"/>
  <c r="H27" i="6" s="1"/>
  <c r="I27" i="6" s="1"/>
  <c r="J27" i="6" s="1"/>
  <c r="B28" i="6"/>
  <c r="D28" i="6" s="1"/>
  <c r="E28" i="6" s="1"/>
  <c r="F28" i="6" s="1"/>
  <c r="B29" i="6"/>
  <c r="D29" i="6" s="1"/>
  <c r="E29" i="6" s="1"/>
  <c r="F29" i="6" s="1"/>
  <c r="B30" i="6"/>
  <c r="H30" i="6" s="1"/>
  <c r="I30" i="6" s="1"/>
  <c r="J30" i="6" s="1"/>
  <c r="B31" i="6"/>
  <c r="B18" i="6" s="1" a="1"/>
  <c r="B18" i="6" s="1"/>
  <c r="B32" i="6"/>
  <c r="D32" i="6" s="1"/>
  <c r="E32" i="6" s="1"/>
  <c r="F32" i="6" s="1"/>
  <c r="B33" i="6"/>
  <c r="H33" i="6" s="1"/>
  <c r="I33" i="6" s="1"/>
  <c r="J33" i="6" s="1"/>
  <c r="B34" i="6"/>
  <c r="D34" i="6" s="1"/>
  <c r="E34" i="6" s="1"/>
  <c r="F34" i="6" s="1"/>
  <c r="B35" i="6"/>
  <c r="D35" i="6" s="1"/>
  <c r="E35" i="6" s="1"/>
  <c r="F35" i="6" s="1"/>
  <c r="B36" i="6"/>
  <c r="B19" i="6" s="1" a="1"/>
  <c r="B19" i="6" s="1"/>
  <c r="B37" i="6"/>
  <c r="D37" i="6" s="1"/>
  <c r="E37" i="6" s="1"/>
  <c r="F37" i="6" s="1"/>
  <c r="B38" i="6"/>
  <c r="D38" i="6" s="1"/>
  <c r="E38" i="6" s="1"/>
  <c r="F38" i="6" s="1"/>
  <c r="B39" i="6"/>
  <c r="H39" i="6" s="1"/>
  <c r="I39" i="6" s="1"/>
  <c r="J39" i="6" s="1"/>
  <c r="B40" i="6"/>
  <c r="D40" i="6" s="1"/>
  <c r="E40" i="6" s="1"/>
  <c r="F40" i="6" s="1"/>
  <c r="B41" i="6"/>
  <c r="B20" i="6" s="1" a="1"/>
  <c r="B20" i="6" s="1"/>
  <c r="B42" i="6"/>
  <c r="H42" i="6" s="1"/>
  <c r="I42" i="6" s="1"/>
  <c r="J42" i="6" s="1"/>
  <c r="B43" i="6"/>
  <c r="D43" i="6" s="1"/>
  <c r="E43" i="6" s="1"/>
  <c r="F43" i="6" s="1"/>
  <c r="B44" i="6"/>
  <c r="D44" i="6" s="1"/>
  <c r="E44" i="6" s="1"/>
  <c r="F44" i="6" s="1"/>
  <c r="B45" i="6"/>
  <c r="H45" i="6" s="1"/>
  <c r="I45" i="6" s="1"/>
  <c r="J45" i="6" s="1"/>
  <c r="B46" i="6"/>
  <c r="B21" i="6" s="1" a="1"/>
  <c r="B21" i="6" s="1"/>
  <c r="B47" i="6"/>
  <c r="D47" i="6" s="1"/>
  <c r="E47" i="6" s="1"/>
  <c r="F47" i="6" s="1"/>
  <c r="B48" i="6"/>
  <c r="H48" i="6" s="1"/>
  <c r="I48" i="6" s="1"/>
  <c r="J48" i="6" s="1"/>
  <c r="B49" i="6"/>
  <c r="D49" i="6" s="1"/>
  <c r="E49" i="6" s="1"/>
  <c r="F49" i="6" s="1"/>
  <c r="B50" i="6"/>
  <c r="H50" i="6" s="1"/>
  <c r="I50" i="6" s="1"/>
  <c r="J50" i="6" s="1"/>
  <c r="B51" i="6"/>
  <c r="B22" i="6" s="1" a="1"/>
  <c r="B22" i="6" s="1"/>
  <c r="B52" i="6"/>
  <c r="D52" i="6" s="1"/>
  <c r="E52" i="6" s="1"/>
  <c r="F52" i="6" s="1"/>
  <c r="B53" i="6"/>
  <c r="H53" i="6" s="1"/>
  <c r="I53" i="6" s="1"/>
  <c r="J53" i="6" s="1"/>
  <c r="B54" i="6"/>
  <c r="H54" i="6" s="1"/>
  <c r="I54" i="6" s="1"/>
  <c r="J54" i="6" s="1"/>
  <c r="B55" i="6"/>
  <c r="D55" i="6" s="1"/>
  <c r="E55" i="6" s="1"/>
  <c r="F55" i="6" s="1"/>
  <c r="B56" i="6"/>
  <c r="B23" i="6" s="1" a="1"/>
  <c r="B23" i="6" s="1"/>
  <c r="B19" i="1"/>
  <c r="G7" i="4"/>
  <c r="A37" i="2"/>
  <c r="C27" i="6"/>
  <c r="C30" i="6"/>
  <c r="C33" i="6"/>
  <c r="C36" i="6"/>
  <c r="C39" i="6"/>
  <c r="C42" i="6"/>
  <c r="C45" i="6"/>
  <c r="C48" i="6"/>
  <c r="C50" i="6"/>
  <c r="C53" i="6"/>
  <c r="C54" i="6"/>
  <c r="A39" i="3"/>
  <c r="G28" i="6"/>
  <c r="G29" i="6"/>
  <c r="K29" i="6" s="1"/>
  <c r="G31" i="6"/>
  <c r="K31" i="6" s="1"/>
  <c r="G32" i="6"/>
  <c r="K32" i="6" s="1"/>
  <c r="G34" i="6"/>
  <c r="K34" i="6" s="1"/>
  <c r="G35" i="6"/>
  <c r="G37" i="6"/>
  <c r="K37" i="6" s="1"/>
  <c r="G38" i="6"/>
  <c r="K38" i="6" s="1"/>
  <c r="G40" i="6"/>
  <c r="G41" i="6"/>
  <c r="G43" i="6"/>
  <c r="G44" i="6"/>
  <c r="K44" i="6" s="1"/>
  <c r="G46" i="6"/>
  <c r="K46" i="6" s="1"/>
  <c r="G47" i="6"/>
  <c r="K47" i="6" s="1"/>
  <c r="G49" i="6"/>
  <c r="G51" i="6"/>
  <c r="K51" i="6" s="1"/>
  <c r="G52" i="6"/>
  <c r="G55" i="6"/>
  <c r="G56" i="6"/>
  <c r="K56" i="6" s="1"/>
  <c r="F20" i="3" l="1"/>
  <c r="G20" i="3" s="1"/>
  <c r="H20" i="3" s="1"/>
  <c r="I20" i="3" s="1"/>
  <c r="E21" i="3"/>
  <c r="B21" i="3"/>
  <c r="F15" i="2"/>
  <c r="B16" i="2" s="1"/>
  <c r="A17" i="2"/>
  <c r="E16" i="2"/>
  <c r="D16" i="2"/>
  <c r="G27" i="4"/>
  <c r="H27" i="4" s="1"/>
  <c r="F28" i="4"/>
  <c r="C30" i="4"/>
  <c r="C25" i="4"/>
  <c r="C26" i="4"/>
  <c r="F21" i="4"/>
  <c r="C23" i="4"/>
  <c r="F22" i="4"/>
  <c r="G22" i="4" s="1"/>
  <c r="H22" i="4" s="1"/>
  <c r="C24" i="4"/>
  <c r="C27" i="4"/>
  <c r="F25" i="4"/>
  <c r="G25" i="4" s="1"/>
  <c r="H25" i="4" s="1"/>
  <c r="C28" i="4"/>
  <c r="F24" i="4"/>
  <c r="C22" i="4"/>
  <c r="G24" i="4"/>
  <c r="H24" i="4" s="1"/>
  <c r="F29" i="4"/>
  <c r="G29" i="4" s="1"/>
  <c r="H29" i="4" s="1"/>
  <c r="F26" i="4"/>
  <c r="G26" i="4" s="1"/>
  <c r="H26" i="4" s="1"/>
  <c r="G23" i="4"/>
  <c r="H23" i="4" s="1"/>
  <c r="C21" i="4"/>
  <c r="G21" i="4"/>
  <c r="H21" i="4" s="1"/>
  <c r="C29" i="4"/>
  <c r="F23" i="4"/>
  <c r="G28" i="4"/>
  <c r="H28" i="4" s="1"/>
  <c r="B31" i="4"/>
  <c r="A32" i="4"/>
  <c r="C31" i="4"/>
  <c r="F31" i="4"/>
  <c r="E31" i="4"/>
  <c r="G30" i="4"/>
  <c r="H30" i="4" s="1"/>
  <c r="E9" i="10"/>
  <c r="C19" i="10"/>
  <c r="D19" i="10" s="1"/>
  <c r="G19" i="10" s="1"/>
  <c r="E8" i="10"/>
  <c r="F18" i="10"/>
  <c r="E10" i="10" a="1"/>
  <c r="E10" i="10" s="1"/>
  <c r="B40" i="1"/>
  <c r="E10" i="3"/>
  <c r="A91" i="3" s="1"/>
  <c r="K20" i="10"/>
  <c r="A40" i="3"/>
  <c r="E7" i="4"/>
  <c r="A21" i="10"/>
  <c r="C20" i="10"/>
  <c r="D20" i="10" s="1"/>
  <c r="G20" i="10" s="1"/>
  <c r="A35" i="2"/>
  <c r="D51" i="6"/>
  <c r="E51" i="6" s="1"/>
  <c r="F51" i="6" s="1"/>
  <c r="F22" i="6" s="1" a="1"/>
  <c r="F22" i="6" s="1"/>
  <c r="D56" i="6"/>
  <c r="E56" i="6" s="1"/>
  <c r="F56" i="6" s="1"/>
  <c r="F23" i="6" s="1" a="1"/>
  <c r="F23" i="6" s="1"/>
  <c r="A53" i="7"/>
  <c r="AD2" i="9"/>
  <c r="AE2" i="9" s="1"/>
  <c r="B24" i="7"/>
  <c r="AL2" i="9"/>
  <c r="AM2" i="9" s="1"/>
  <c r="B25" i="7"/>
  <c r="L2" i="9"/>
  <c r="R3" i="9"/>
  <c r="U3" i="9" s="1"/>
  <c r="D2" i="9"/>
  <c r="H28" i="6"/>
  <c r="I28" i="6" s="1"/>
  <c r="J28" i="6" s="1"/>
  <c r="L28" i="6" s="1"/>
  <c r="H41" i="6"/>
  <c r="I41" i="6" s="1"/>
  <c r="J41" i="6" s="1"/>
  <c r="G20" i="6" s="1" a="1"/>
  <c r="G20" i="6" s="1"/>
  <c r="D20" i="6" a="1"/>
  <c r="D20" i="6" s="1"/>
  <c r="E20" i="6" s="1"/>
  <c r="H40" i="6"/>
  <c r="I40" i="6" s="1"/>
  <c r="J40" i="6" s="1"/>
  <c r="L40" i="6" s="1"/>
  <c r="D41" i="6"/>
  <c r="E41" i="6" s="1"/>
  <c r="F41" i="6" s="1"/>
  <c r="H38" i="6"/>
  <c r="I38" i="6" s="1"/>
  <c r="J38" i="6" s="1"/>
  <c r="L38" i="6" s="1"/>
  <c r="K50" i="6"/>
  <c r="D50" i="6"/>
  <c r="E50" i="6" s="1"/>
  <c r="F50" i="6" s="1"/>
  <c r="L50" i="6" s="1"/>
  <c r="B42" i="1"/>
  <c r="B21" i="1" a="1"/>
  <c r="B21" i="1" s="1"/>
  <c r="B43" i="1" s="1"/>
  <c r="K41" i="6"/>
  <c r="D31" i="6"/>
  <c r="E31" i="6" s="1"/>
  <c r="F31" i="6" s="1"/>
  <c r="K27" i="6"/>
  <c r="D27" i="6"/>
  <c r="E27" i="6" s="1"/>
  <c r="F27" i="6" s="1"/>
  <c r="L27" i="6" s="1"/>
  <c r="C40" i="1"/>
  <c r="A49" i="1" s="1"/>
  <c r="H36" i="6"/>
  <c r="I36" i="6" s="1"/>
  <c r="J36" i="6" s="1"/>
  <c r="G19" i="6" s="1" a="1"/>
  <c r="G19" i="6" s="1"/>
  <c r="H37" i="6"/>
  <c r="I37" i="6" s="1"/>
  <c r="J37" i="6" s="1"/>
  <c r="L37" i="6" s="1"/>
  <c r="C41" i="1"/>
  <c r="A48" i="1" s="1"/>
  <c r="B29" i="1"/>
  <c r="B28" i="1"/>
  <c r="C42" i="1" s="1"/>
  <c r="K30" i="6"/>
  <c r="D30" i="6"/>
  <c r="E30" i="6" s="1"/>
  <c r="F30" i="6" s="1"/>
  <c r="L30" i="6" s="1"/>
  <c r="H44" i="6"/>
  <c r="I44" i="6" s="1"/>
  <c r="J44" i="6" s="1"/>
  <c r="L44" i="6" s="1"/>
  <c r="H56" i="6"/>
  <c r="I56" i="6" s="1"/>
  <c r="J56" i="6" s="1"/>
  <c r="D23" i="6" a="1"/>
  <c r="D23" i="6" s="1"/>
  <c r="E23" i="6" s="1"/>
  <c r="H35" i="6"/>
  <c r="I35" i="6" s="1"/>
  <c r="J35" i="6" s="1"/>
  <c r="L35" i="6" s="1"/>
  <c r="K45" i="6"/>
  <c r="D45" i="6"/>
  <c r="E45" i="6" s="1"/>
  <c r="F45" i="6" s="1"/>
  <c r="L45" i="6" s="1"/>
  <c r="H52" i="6"/>
  <c r="I52" i="6" s="1"/>
  <c r="J52" i="6" s="1"/>
  <c r="L52" i="6" s="1"/>
  <c r="H34" i="6"/>
  <c r="I34" i="6" s="1"/>
  <c r="J34" i="6" s="1"/>
  <c r="L34" i="6" s="1"/>
  <c r="K42" i="6"/>
  <c r="D42" i="6"/>
  <c r="E42" i="6" s="1"/>
  <c r="F42" i="6" s="1"/>
  <c r="L42" i="6" s="1"/>
  <c r="K52" i="6"/>
  <c r="H46" i="6"/>
  <c r="I46" i="6" s="1"/>
  <c r="J46" i="6" s="1"/>
  <c r="E9" i="6" a="1"/>
  <c r="E9" i="6" s="1"/>
  <c r="E10" i="6" s="1"/>
  <c r="H5" i="6" s="1"/>
  <c r="D21" i="6" a="1"/>
  <c r="D21" i="6" s="1"/>
  <c r="E21" i="6" s="1"/>
  <c r="K35" i="6"/>
  <c r="H43" i="6"/>
  <c r="I43" i="6" s="1"/>
  <c r="J43" i="6" s="1"/>
  <c r="L43" i="6" s="1"/>
  <c r="K54" i="6"/>
  <c r="D54" i="6"/>
  <c r="E54" i="6" s="1"/>
  <c r="F54" i="6" s="1"/>
  <c r="L54" i="6" s="1"/>
  <c r="K53" i="6"/>
  <c r="D53" i="6"/>
  <c r="E53" i="6" s="1"/>
  <c r="F53" i="6" s="1"/>
  <c r="L53" i="6" s="1"/>
  <c r="H55" i="6"/>
  <c r="I55" i="6" s="1"/>
  <c r="J55" i="6" s="1"/>
  <c r="L55" i="6" s="1"/>
  <c r="H51" i="6"/>
  <c r="I51" i="6" s="1"/>
  <c r="J51" i="6" s="1"/>
  <c r="D22" i="6" a="1"/>
  <c r="D22" i="6" s="1"/>
  <c r="E22" i="6" s="1"/>
  <c r="H32" i="6"/>
  <c r="I32" i="6" s="1"/>
  <c r="J32" i="6" s="1"/>
  <c r="L32" i="6" s="1"/>
  <c r="K39" i="6"/>
  <c r="D39" i="6"/>
  <c r="E39" i="6" s="1"/>
  <c r="F39" i="6" s="1"/>
  <c r="L39" i="6" s="1"/>
  <c r="H49" i="6"/>
  <c r="I49" i="6" s="1"/>
  <c r="J49" i="6" s="1"/>
  <c r="L49" i="6" s="1"/>
  <c r="H31" i="6"/>
  <c r="I31" i="6" s="1"/>
  <c r="J31" i="6" s="1"/>
  <c r="G18" i="6" s="1" a="1"/>
  <c r="G18" i="6" s="1"/>
  <c r="D18" i="6" a="1"/>
  <c r="D18" i="6" s="1"/>
  <c r="E18" i="6" s="1"/>
  <c r="K36" i="6"/>
  <c r="C19" i="6" a="1"/>
  <c r="C19" i="6" s="1"/>
  <c r="E19" i="6" s="1"/>
  <c r="D36" i="6"/>
  <c r="E36" i="6" s="1"/>
  <c r="F36" i="6" s="1"/>
  <c r="K43" i="6"/>
  <c r="K28" i="6"/>
  <c r="K48" i="6"/>
  <c r="D48" i="6"/>
  <c r="E48" i="6" s="1"/>
  <c r="F48" i="6" s="1"/>
  <c r="L48" i="6" s="1"/>
  <c r="H47" i="6"/>
  <c r="I47" i="6" s="1"/>
  <c r="J47" i="6" s="1"/>
  <c r="L47" i="6" s="1"/>
  <c r="H29" i="6"/>
  <c r="I29" i="6" s="1"/>
  <c r="J29" i="6" s="1"/>
  <c r="L29" i="6" s="1"/>
  <c r="K33" i="6"/>
  <c r="D33" i="6"/>
  <c r="E33" i="6" s="1"/>
  <c r="F33" i="6" s="1"/>
  <c r="L33" i="6" s="1"/>
  <c r="K40" i="6"/>
  <c r="D46" i="6"/>
  <c r="E46" i="6" s="1"/>
  <c r="F46" i="6" s="1"/>
  <c r="K49" i="6"/>
  <c r="K55" i="6"/>
  <c r="B22" i="3" l="1"/>
  <c r="F21" i="3"/>
  <c r="G21" i="3" s="1"/>
  <c r="H21" i="3" s="1"/>
  <c r="I21" i="3" s="1"/>
  <c r="E22" i="3"/>
  <c r="F16" i="2"/>
  <c r="B17" i="2" s="1"/>
  <c r="E17" i="2"/>
  <c r="D17" i="2"/>
  <c r="F17" i="2" s="1"/>
  <c r="B18" i="2" s="1"/>
  <c r="A18" i="2"/>
  <c r="D21" i="4"/>
  <c r="D22" i="4" s="1"/>
  <c r="D23" i="4" s="1"/>
  <c r="D24" i="4" s="1"/>
  <c r="D25" i="4" s="1"/>
  <c r="D26" i="4" s="1"/>
  <c r="D27" i="4" s="1"/>
  <c r="D28" i="4" s="1"/>
  <c r="D29" i="4" s="1"/>
  <c r="D30" i="4" s="1"/>
  <c r="D31" i="4" s="1"/>
  <c r="I21" i="4"/>
  <c r="G31" i="4"/>
  <c r="H31" i="4" s="1"/>
  <c r="C32" i="4"/>
  <c r="D32" i="4" s="1"/>
  <c r="B32" i="4"/>
  <c r="A33" i="4"/>
  <c r="F32" i="4"/>
  <c r="E32" i="4"/>
  <c r="A90" i="3"/>
  <c r="E11" i="3"/>
  <c r="A42" i="3" s="1"/>
  <c r="A41" i="3"/>
  <c r="E18" i="10"/>
  <c r="B19" i="10"/>
  <c r="F19" i="10" s="1"/>
  <c r="H18" i="10"/>
  <c r="I18" i="10" s="1"/>
  <c r="K21" i="10"/>
  <c r="A22" i="10"/>
  <c r="C21" i="10"/>
  <c r="D21" i="10"/>
  <c r="G21" i="10"/>
  <c r="T3" i="9"/>
  <c r="V3" i="9" s="1"/>
  <c r="W3" i="9" s="1"/>
  <c r="AN2" i="9"/>
  <c r="AF2" i="9"/>
  <c r="B21" i="7"/>
  <c r="F2" i="9"/>
  <c r="H2" i="9" s="1"/>
  <c r="N2" i="9"/>
  <c r="B22" i="7"/>
  <c r="A54" i="7"/>
  <c r="G23" i="6" a="1"/>
  <c r="G23" i="6" s="1"/>
  <c r="H23" i="6" s="1"/>
  <c r="L56" i="6"/>
  <c r="G21" i="6" a="1"/>
  <c r="G21" i="6" s="1"/>
  <c r="E12" i="6" a="1"/>
  <c r="E12" i="6" s="1"/>
  <c r="G22" i="6" a="1"/>
  <c r="G22" i="6" s="1"/>
  <c r="H22" i="6" s="1"/>
  <c r="L51" i="6"/>
  <c r="F18" i="6" a="1"/>
  <c r="F18" i="6" s="1"/>
  <c r="H18" i="6" s="1"/>
  <c r="L31" i="6"/>
  <c r="B30" i="1"/>
  <c r="B31" i="1" s="1"/>
  <c r="B32" i="1" s="1"/>
  <c r="B33" i="1" s="1"/>
  <c r="C43" i="1" s="1"/>
  <c r="B44" i="1" s="1"/>
  <c r="F20" i="6" a="1"/>
  <c r="F20" i="6" s="1"/>
  <c r="H20" i="6" s="1"/>
  <c r="L41" i="6"/>
  <c r="F21" i="6" a="1"/>
  <c r="F21" i="6" s="1"/>
  <c r="E11" i="6" a="1"/>
  <c r="E11" i="6" s="1"/>
  <c r="L46" i="6"/>
  <c r="F19" i="6" a="1"/>
  <c r="F19" i="6" s="1"/>
  <c r="H19" i="6" s="1"/>
  <c r="L36" i="6"/>
  <c r="E23" i="3" l="1"/>
  <c r="B23" i="3"/>
  <c r="F22" i="3"/>
  <c r="G22" i="3" s="1"/>
  <c r="H22" i="3" s="1"/>
  <c r="I22" i="3" s="1"/>
  <c r="D18" i="2"/>
  <c r="F18" i="2" s="1"/>
  <c r="B19" i="2" s="1"/>
  <c r="A19" i="2"/>
  <c r="E18" i="2"/>
  <c r="G32" i="4"/>
  <c r="H32" i="4" s="1"/>
  <c r="J21" i="4"/>
  <c r="K21" i="4" s="1"/>
  <c r="I22" i="4"/>
  <c r="C33" i="4"/>
  <c r="D33" i="4" s="1"/>
  <c r="F33" i="4"/>
  <c r="B33" i="4"/>
  <c r="A34" i="4"/>
  <c r="E33" i="4"/>
  <c r="L18" i="10"/>
  <c r="J18" i="10"/>
  <c r="B20" i="10"/>
  <c r="F20" i="10" s="1"/>
  <c r="E20" i="10" s="1"/>
  <c r="E19" i="10"/>
  <c r="H19" i="10"/>
  <c r="I19" i="10"/>
  <c r="K22" i="10"/>
  <c r="A23" i="10"/>
  <c r="C22" i="10"/>
  <c r="D22" i="10" s="1"/>
  <c r="G22" i="10" s="1"/>
  <c r="B21" i="10"/>
  <c r="F21" i="10" s="1"/>
  <c r="H20" i="10"/>
  <c r="I20" i="10" s="1"/>
  <c r="L20" i="10" s="1"/>
  <c r="E13" i="6"/>
  <c r="H6" i="6" s="1"/>
  <c r="X3" i="9"/>
  <c r="A55" i="7"/>
  <c r="O2" i="9"/>
  <c r="H21" i="6"/>
  <c r="AH3" i="9"/>
  <c r="B3" i="9"/>
  <c r="Z3" i="9"/>
  <c r="A45" i="1"/>
  <c r="C44" i="1"/>
  <c r="A47" i="1"/>
  <c r="F23" i="3" l="1"/>
  <c r="G23" i="3" s="1"/>
  <c r="H23" i="3" s="1"/>
  <c r="I23" i="3" s="1"/>
  <c r="E24" i="3"/>
  <c r="B24" i="3"/>
  <c r="E19" i="2"/>
  <c r="D19" i="2"/>
  <c r="F19" i="2" s="1"/>
  <c r="B20" i="2" s="1"/>
  <c r="A20" i="2"/>
  <c r="I23" i="4"/>
  <c r="J22" i="4"/>
  <c r="K22" i="4" s="1"/>
  <c r="G33" i="4"/>
  <c r="H33" i="4" s="1"/>
  <c r="E34" i="4"/>
  <c r="C34" i="4"/>
  <c r="D34" i="4" s="1"/>
  <c r="B34" i="4"/>
  <c r="A35" i="4"/>
  <c r="F34" i="4"/>
  <c r="L19" i="10"/>
  <c r="J19" i="10"/>
  <c r="J20" i="10"/>
  <c r="K23" i="10"/>
  <c r="B22" i="10"/>
  <c r="F22" i="10" s="1"/>
  <c r="H21" i="10"/>
  <c r="I21" i="10" s="1"/>
  <c r="L21" i="10" s="1"/>
  <c r="E21" i="10"/>
  <c r="A24" i="10"/>
  <c r="C23" i="10"/>
  <c r="D23" i="10" s="1"/>
  <c r="G23" i="10" s="1"/>
  <c r="AC3" i="9"/>
  <c r="A56" i="7"/>
  <c r="P2" i="9"/>
  <c r="E3" i="9"/>
  <c r="AK3" i="9"/>
  <c r="R4" i="9"/>
  <c r="F24" i="3" l="1"/>
  <c r="G24" i="3" s="1"/>
  <c r="H24" i="3" s="1"/>
  <c r="I24" i="3" s="1"/>
  <c r="E25" i="3"/>
  <c r="B25" i="3"/>
  <c r="E20" i="2"/>
  <c r="A21" i="2"/>
  <c r="D20" i="2"/>
  <c r="F20" i="2" s="1"/>
  <c r="B21" i="2" s="1"/>
  <c r="I24" i="4"/>
  <c r="J23" i="4"/>
  <c r="K23" i="4" s="1"/>
  <c r="F35" i="4"/>
  <c r="A36" i="4"/>
  <c r="E35" i="4"/>
  <c r="C35" i="4"/>
  <c r="D35" i="4" s="1"/>
  <c r="B35" i="4"/>
  <c r="G34" i="4"/>
  <c r="H34" i="4" s="1"/>
  <c r="J21" i="10"/>
  <c r="K24" i="10"/>
  <c r="A25" i="10"/>
  <c r="C24" i="10"/>
  <c r="D24" i="10" s="1"/>
  <c r="G24" i="10" s="1"/>
  <c r="B23" i="10"/>
  <c r="F23" i="10" s="1"/>
  <c r="H22" i="10"/>
  <c r="I22" i="10" s="1"/>
  <c r="L22" i="10" s="1"/>
  <c r="E22" i="10"/>
  <c r="AB3" i="9"/>
  <c r="AD3" i="9" s="1"/>
  <c r="J3" i="9"/>
  <c r="U4" i="9"/>
  <c r="T4" i="9" s="1"/>
  <c r="V4" i="9" s="1"/>
  <c r="W4" i="9" s="1"/>
  <c r="A57" i="7"/>
  <c r="AJ3" i="9"/>
  <c r="AL3" i="9" s="1"/>
  <c r="AM3" i="9" s="1"/>
  <c r="D3" i="9"/>
  <c r="F3" i="9" s="1"/>
  <c r="H3" i="9" s="1"/>
  <c r="B26" i="3" l="1"/>
  <c r="F25" i="3"/>
  <c r="G25" i="3" s="1"/>
  <c r="H25" i="3" s="1"/>
  <c r="I25" i="3" s="1"/>
  <c r="E26" i="3"/>
  <c r="E21" i="2"/>
  <c r="D21" i="2"/>
  <c r="F21" i="2" s="1"/>
  <c r="B22" i="2" s="1"/>
  <c r="A22" i="2"/>
  <c r="J24" i="4"/>
  <c r="K24" i="4" s="1"/>
  <c r="I25" i="4"/>
  <c r="G35" i="4"/>
  <c r="H35" i="4" s="1"/>
  <c r="F36" i="4"/>
  <c r="E36" i="4"/>
  <c r="C36" i="4"/>
  <c r="D36" i="4" s="1"/>
  <c r="B36" i="4"/>
  <c r="A37" i="4"/>
  <c r="J22" i="10"/>
  <c r="K25" i="10"/>
  <c r="B24" i="10"/>
  <c r="F24" i="10" s="1"/>
  <c r="H23" i="10"/>
  <c r="I23" i="10" s="1"/>
  <c r="L23" i="10" s="1"/>
  <c r="E23" i="10"/>
  <c r="A26" i="10"/>
  <c r="C25" i="10"/>
  <c r="D25" i="10" s="1"/>
  <c r="G25" i="10" s="1"/>
  <c r="A58" i="7"/>
  <c r="B4" i="9"/>
  <c r="E4" i="9" s="1"/>
  <c r="AN3" i="9"/>
  <c r="X4" i="9"/>
  <c r="M3" i="9"/>
  <c r="AE3" i="9"/>
  <c r="E27" i="3" l="1"/>
  <c r="B27" i="3"/>
  <c r="F26" i="3"/>
  <c r="G26" i="3" s="1"/>
  <c r="H26" i="3" s="1"/>
  <c r="I26" i="3" s="1"/>
  <c r="E22" i="2"/>
  <c r="D22" i="2"/>
  <c r="F22" i="2" s="1"/>
  <c r="B23" i="2" s="1"/>
  <c r="A23" i="2"/>
  <c r="G36" i="4"/>
  <c r="H36" i="4" s="1"/>
  <c r="I26" i="4"/>
  <c r="J25" i="4"/>
  <c r="K25" i="4" s="1"/>
  <c r="F37" i="4"/>
  <c r="B37" i="4"/>
  <c r="E37" i="4"/>
  <c r="G37" i="4" s="1"/>
  <c r="H37" i="4" s="1"/>
  <c r="C37" i="4"/>
  <c r="D37" i="4" s="1"/>
  <c r="A38" i="4"/>
  <c r="J23" i="10"/>
  <c r="K26" i="10"/>
  <c r="A27" i="10"/>
  <c r="C26" i="10"/>
  <c r="D26" i="10" s="1"/>
  <c r="G26" i="10" s="1"/>
  <c r="B25" i="10"/>
  <c r="F25" i="10" s="1"/>
  <c r="H24" i="10"/>
  <c r="I24" i="10" s="1"/>
  <c r="L24" i="10" s="1"/>
  <c r="E24" i="10"/>
  <c r="D4" i="9"/>
  <c r="F4" i="9" s="1"/>
  <c r="H4" i="9" s="1"/>
  <c r="AF3" i="9"/>
  <c r="L3" i="9"/>
  <c r="N3" i="9" s="1"/>
  <c r="R5" i="9"/>
  <c r="AH4" i="9"/>
  <c r="A59" i="7"/>
  <c r="F27" i="3" l="1"/>
  <c r="G27" i="3" s="1"/>
  <c r="E28" i="3"/>
  <c r="B28" i="3"/>
  <c r="H27" i="3"/>
  <c r="I27" i="3" s="1"/>
  <c r="E23" i="2"/>
  <c r="D23" i="2"/>
  <c r="F23" i="2" s="1"/>
  <c r="B24" i="2" s="1"/>
  <c r="A24" i="2"/>
  <c r="I27" i="4"/>
  <c r="J26" i="4"/>
  <c r="K26" i="4" s="1"/>
  <c r="C38" i="4"/>
  <c r="D38" i="4" s="1"/>
  <c r="F38" i="4"/>
  <c r="B38" i="4"/>
  <c r="E38" i="4"/>
  <c r="G38" i="4" s="1"/>
  <c r="H38" i="4" s="1"/>
  <c r="A39" i="4"/>
  <c r="J24" i="10"/>
  <c r="K27" i="10"/>
  <c r="B26" i="10"/>
  <c r="F26" i="10" s="1"/>
  <c r="H25" i="10"/>
  <c r="I25" i="10" s="1"/>
  <c r="L25" i="10" s="1"/>
  <c r="E25" i="10"/>
  <c r="A28" i="10"/>
  <c r="C27" i="10"/>
  <c r="D27" i="10" s="1"/>
  <c r="G27" i="10" s="1"/>
  <c r="A60" i="7"/>
  <c r="AK4" i="9"/>
  <c r="AJ4" i="9"/>
  <c r="AL4" i="9" s="1"/>
  <c r="AM4" i="9" s="1"/>
  <c r="U5" i="9"/>
  <c r="O3" i="9"/>
  <c r="P3" i="9" s="1"/>
  <c r="Z4" i="9"/>
  <c r="B5" i="9"/>
  <c r="F28" i="3" l="1"/>
  <c r="G28" i="3" s="1"/>
  <c r="H28" i="3" s="1"/>
  <c r="I28" i="3" s="1"/>
  <c r="E29" i="3"/>
  <c r="B29" i="3"/>
  <c r="D24" i="2"/>
  <c r="F24" i="2" s="1"/>
  <c r="B25" i="2" s="1"/>
  <c r="E24" i="2"/>
  <c r="A25" i="2"/>
  <c r="J27" i="4"/>
  <c r="K27" i="4" s="1"/>
  <c r="I28" i="4"/>
  <c r="F39" i="4"/>
  <c r="C39" i="4"/>
  <c r="D39" i="4" s="1"/>
  <c r="B39" i="4"/>
  <c r="E39" i="4"/>
  <c r="G39" i="4" s="1"/>
  <c r="H39" i="4" s="1"/>
  <c r="A40" i="4"/>
  <c r="K28" i="10"/>
  <c r="J25" i="10"/>
  <c r="A29" i="10"/>
  <c r="C28" i="10"/>
  <c r="D28" i="10" s="1"/>
  <c r="G28" i="10" s="1"/>
  <c r="B27" i="10"/>
  <c r="F27" i="10" s="1"/>
  <c r="H26" i="10"/>
  <c r="I26" i="10" s="1"/>
  <c r="L26" i="10" s="1"/>
  <c r="E26" i="10"/>
  <c r="E5" i="9"/>
  <c r="J4" i="9"/>
  <c r="AN4" i="9"/>
  <c r="AC4" i="9"/>
  <c r="AB4" i="9" s="1"/>
  <c r="AD4" i="9" s="1"/>
  <c r="T5" i="9"/>
  <c r="V5" i="9" s="1"/>
  <c r="W5" i="9" s="1"/>
  <c r="A61" i="7"/>
  <c r="B30" i="3" l="1"/>
  <c r="F29" i="3"/>
  <c r="G29" i="3" s="1"/>
  <c r="H29" i="3"/>
  <c r="I29" i="3" s="1"/>
  <c r="E30" i="3"/>
  <c r="E25" i="2"/>
  <c r="D25" i="2"/>
  <c r="F25" i="2" s="1"/>
  <c r="B26" i="2" s="1"/>
  <c r="A26" i="2"/>
  <c r="J28" i="4"/>
  <c r="K28" i="4" s="1"/>
  <c r="I29" i="4"/>
  <c r="F40" i="4"/>
  <c r="E40" i="4"/>
  <c r="G40" i="4" s="1"/>
  <c r="H40" i="4" s="1"/>
  <c r="E9" i="4" s="1" a="1"/>
  <c r="E9" i="4" s="1"/>
  <c r="C40" i="4"/>
  <c r="D40" i="4" s="1"/>
  <c r="B40" i="4"/>
  <c r="K29" i="10"/>
  <c r="J26" i="10"/>
  <c r="B28" i="10"/>
  <c r="F28" i="10" s="1"/>
  <c r="E27" i="10"/>
  <c r="H27" i="10"/>
  <c r="I27" i="10" s="1"/>
  <c r="L27" i="10" s="1"/>
  <c r="A30" i="10"/>
  <c r="C29" i="10"/>
  <c r="D29" i="10" s="1"/>
  <c r="G29" i="10" s="1"/>
  <c r="AH5" i="9"/>
  <c r="M4" i="9"/>
  <c r="L4" i="9" s="1"/>
  <c r="N4" i="9" s="1"/>
  <c r="D5" i="9"/>
  <c r="F5" i="9" s="1"/>
  <c r="H5" i="9" s="1"/>
  <c r="AE4" i="9"/>
  <c r="A62" i="7"/>
  <c r="X5" i="9"/>
  <c r="E31" i="3" l="1"/>
  <c r="F30" i="3"/>
  <c r="G30" i="3" s="1"/>
  <c r="B31" i="3"/>
  <c r="H30" i="3"/>
  <c r="I30" i="3" s="1"/>
  <c r="A27" i="2"/>
  <c r="E26" i="2"/>
  <c r="D26" i="2"/>
  <c r="F26" i="2" s="1"/>
  <c r="B27" i="2" s="1"/>
  <c r="I30" i="4"/>
  <c r="J29" i="4"/>
  <c r="K29" i="4" s="1"/>
  <c r="J27" i="10"/>
  <c r="K30" i="10"/>
  <c r="A31" i="10"/>
  <c r="C30" i="10"/>
  <c r="D30" i="10" s="1"/>
  <c r="G30" i="10" s="1"/>
  <c r="B29" i="10"/>
  <c r="F29" i="10" s="1"/>
  <c r="H28" i="10"/>
  <c r="I28" i="10" s="1"/>
  <c r="L28" i="10" s="1"/>
  <c r="E28" i="10"/>
  <c r="O4" i="9"/>
  <c r="P4" i="9" s="1"/>
  <c r="J5" i="9" s="1"/>
  <c r="A63" i="7"/>
  <c r="B6" i="9"/>
  <c r="R6" i="9"/>
  <c r="AF4" i="9"/>
  <c r="AK5" i="9"/>
  <c r="AJ5" i="9" s="1"/>
  <c r="AL5" i="9" s="1"/>
  <c r="AM5" i="9" s="1"/>
  <c r="F31" i="3" l="1"/>
  <c r="G31" i="3" s="1"/>
  <c r="E32" i="3"/>
  <c r="B32" i="3"/>
  <c r="H31" i="3"/>
  <c r="I31" i="3" s="1"/>
  <c r="E27" i="2"/>
  <c r="D27" i="2"/>
  <c r="F27" i="2" s="1"/>
  <c r="B28" i="2" s="1"/>
  <c r="A28" i="2"/>
  <c r="J30" i="4"/>
  <c r="K30" i="4" s="1"/>
  <c r="I31" i="4"/>
  <c r="K31" i="10"/>
  <c r="J28" i="10"/>
  <c r="B30" i="10"/>
  <c r="F30" i="10" s="1"/>
  <c r="H29" i="10"/>
  <c r="I29" i="10" s="1"/>
  <c r="L29" i="10" s="1"/>
  <c r="E29" i="10"/>
  <c r="A32" i="10"/>
  <c r="C31" i="10"/>
  <c r="D31" i="10" s="1"/>
  <c r="G31" i="10" s="1"/>
  <c r="AN5" i="9"/>
  <c r="M5" i="9"/>
  <c r="L5" i="9" s="1"/>
  <c r="N5" i="9" s="1"/>
  <c r="E6" i="9"/>
  <c r="D6" i="9" s="1"/>
  <c r="F6" i="9" s="1"/>
  <c r="H6" i="9" s="1"/>
  <c r="Z5" i="9"/>
  <c r="U6" i="9"/>
  <c r="T6" i="9" s="1"/>
  <c r="V6" i="9" s="1"/>
  <c r="A64" i="7"/>
  <c r="F32" i="3" l="1"/>
  <c r="G32" i="3" s="1"/>
  <c r="H32" i="3" s="1"/>
  <c r="I32" i="3" s="1"/>
  <c r="E33" i="3"/>
  <c r="B33" i="3"/>
  <c r="A29" i="2"/>
  <c r="D28" i="2"/>
  <c r="F28" i="2" s="1"/>
  <c r="B29" i="2" s="1"/>
  <c r="E28" i="2"/>
  <c r="J31" i="4"/>
  <c r="K31" i="4" s="1"/>
  <c r="I32" i="4"/>
  <c r="K32" i="10"/>
  <c r="J29" i="10"/>
  <c r="A33" i="10"/>
  <c r="C32" i="10"/>
  <c r="D32" i="10" s="1"/>
  <c r="G32" i="10" s="1"/>
  <c r="B31" i="10"/>
  <c r="F31" i="10" s="1"/>
  <c r="H30" i="10"/>
  <c r="E30" i="10"/>
  <c r="I30" i="10"/>
  <c r="L30" i="10" s="1"/>
  <c r="W6" i="9"/>
  <c r="X6" i="9" s="1"/>
  <c r="O5" i="9"/>
  <c r="P5" i="9" s="1"/>
  <c r="AC5" i="9"/>
  <c r="AB5" i="9" s="1"/>
  <c r="AD5" i="9" s="1"/>
  <c r="AE5" i="9" s="1"/>
  <c r="AF5" i="9" s="1"/>
  <c r="B7" i="9"/>
  <c r="A65" i="7"/>
  <c r="AH6" i="9"/>
  <c r="B34" i="3" l="1"/>
  <c r="F33" i="3"/>
  <c r="G33" i="3" s="1"/>
  <c r="H33" i="3"/>
  <c r="I33" i="3" s="1"/>
  <c r="E34" i="3"/>
  <c r="E29" i="2"/>
  <c r="D29" i="2"/>
  <c r="F29" i="2" s="1"/>
  <c r="B30" i="2" s="1"/>
  <c r="A30" i="2"/>
  <c r="I33" i="4"/>
  <c r="J32" i="4"/>
  <c r="K32" i="4" s="1"/>
  <c r="J30" i="10"/>
  <c r="K33" i="10"/>
  <c r="B32" i="10"/>
  <c r="F32" i="10" s="1"/>
  <c r="H31" i="10"/>
  <c r="I31" i="10" s="1"/>
  <c r="L31" i="10" s="1"/>
  <c r="E31" i="10"/>
  <c r="A34" i="10"/>
  <c r="C33" i="10"/>
  <c r="D33" i="10" s="1"/>
  <c r="G33" i="10" s="1"/>
  <c r="Z6" i="9"/>
  <c r="J6" i="9"/>
  <c r="R7" i="9"/>
  <c r="E7" i="9"/>
  <c r="D7" i="9" s="1"/>
  <c r="F7" i="9" s="1"/>
  <c r="H7" i="9" s="1"/>
  <c r="B8" i="9" s="1"/>
  <c r="E8" i="9" s="1"/>
  <c r="D8" i="9" s="1"/>
  <c r="F8" i="9" s="1"/>
  <c r="H8" i="9" s="1"/>
  <c r="B9" i="9" s="1"/>
  <c r="AK6" i="9"/>
  <c r="AJ6" i="9" s="1"/>
  <c r="AL6" i="9" s="1"/>
  <c r="A66" i="7"/>
  <c r="F34" i="3" l="1"/>
  <c r="G34" i="3" s="1"/>
  <c r="E35" i="3"/>
  <c r="B35" i="3"/>
  <c r="H34" i="3"/>
  <c r="I34" i="3" s="1"/>
  <c r="A31" i="2"/>
  <c r="E30" i="2"/>
  <c r="D30" i="2"/>
  <c r="F30" i="2" s="1"/>
  <c r="B31" i="2" s="1"/>
  <c r="I34" i="4"/>
  <c r="J33" i="4"/>
  <c r="K33" i="4" s="1"/>
  <c r="J31" i="10"/>
  <c r="K34" i="10"/>
  <c r="A35" i="10"/>
  <c r="C34" i="10"/>
  <c r="D34" i="10" s="1"/>
  <c r="G34" i="10" s="1"/>
  <c r="B33" i="10"/>
  <c r="F33" i="10" s="1"/>
  <c r="H32" i="10"/>
  <c r="I32" i="10"/>
  <c r="L32" i="10" s="1"/>
  <c r="E32" i="10"/>
  <c r="AM6" i="9"/>
  <c r="AN6" i="9" s="1"/>
  <c r="A67" i="7"/>
  <c r="U7" i="9"/>
  <c r="T7" i="9" s="1"/>
  <c r="V7" i="9" s="1"/>
  <c r="W7" i="9" s="1"/>
  <c r="X7" i="9" s="1"/>
  <c r="R8" i="9" s="1"/>
  <c r="M6" i="9"/>
  <c r="L6" i="9" s="1"/>
  <c r="N6" i="9" s="1"/>
  <c r="O6" i="9" s="1"/>
  <c r="P6" i="9" s="1"/>
  <c r="E9" i="9"/>
  <c r="D9" i="9" s="1"/>
  <c r="F9" i="9" s="1"/>
  <c r="H9" i="9" s="1"/>
  <c r="B10" i="9" s="1"/>
  <c r="AC6" i="9"/>
  <c r="AB6" i="9" s="1"/>
  <c r="AD6" i="9" s="1"/>
  <c r="AE6" i="9" s="1"/>
  <c r="F35" i="3" l="1"/>
  <c r="G35" i="3" s="1"/>
  <c r="E36" i="3"/>
  <c r="B36" i="3"/>
  <c r="H35" i="3"/>
  <c r="I35" i="3" s="1"/>
  <c r="E31" i="2"/>
  <c r="D31" i="2"/>
  <c r="F31" i="2" s="1"/>
  <c r="J34" i="4"/>
  <c r="K34" i="4" s="1"/>
  <c r="I35" i="4"/>
  <c r="J32" i="10"/>
  <c r="K35" i="10"/>
  <c r="B34" i="10"/>
  <c r="F34" i="10" s="1"/>
  <c r="H33" i="10"/>
  <c r="I33" i="10" s="1"/>
  <c r="L33" i="10" s="1"/>
  <c r="E33" i="10"/>
  <c r="A36" i="10"/>
  <c r="C35" i="10"/>
  <c r="D35" i="10" s="1"/>
  <c r="G35" i="10" s="1"/>
  <c r="U8" i="9"/>
  <c r="T8" i="9" s="1"/>
  <c r="V8" i="9" s="1"/>
  <c r="W8" i="9" s="1"/>
  <c r="J7" i="9"/>
  <c r="E10" i="9"/>
  <c r="D10" i="9" s="1"/>
  <c r="F10" i="9" s="1"/>
  <c r="H10" i="9" s="1"/>
  <c r="B11" i="9" s="1"/>
  <c r="E11" i="9" s="1"/>
  <c r="D11" i="9" s="1"/>
  <c r="F11" i="9" s="1"/>
  <c r="H11" i="9" s="1"/>
  <c r="B12" i="9" s="1"/>
  <c r="AH7" i="9"/>
  <c r="AF6" i="9"/>
  <c r="A68" i="7"/>
  <c r="F36" i="3" l="1"/>
  <c r="G36" i="3" s="1"/>
  <c r="H36" i="3" s="1"/>
  <c r="I36" i="3" s="1"/>
  <c r="J35" i="4"/>
  <c r="K35" i="4" s="1"/>
  <c r="I36" i="4"/>
  <c r="K36" i="10"/>
  <c r="J33" i="10"/>
  <c r="A37" i="10"/>
  <c r="C36" i="10"/>
  <c r="D36" i="10" s="1"/>
  <c r="G36" i="10" s="1"/>
  <c r="B35" i="10"/>
  <c r="F35" i="10" s="1"/>
  <c r="H34" i="10"/>
  <c r="E34" i="10"/>
  <c r="I34" i="10"/>
  <c r="L34" i="10" s="1"/>
  <c r="A69" i="7"/>
  <c r="Z7" i="9"/>
  <c r="AK7" i="9"/>
  <c r="AJ7" i="9" s="1"/>
  <c r="AL7" i="9" s="1"/>
  <c r="AM7" i="9" s="1"/>
  <c r="AN7" i="9" s="1"/>
  <c r="AH8" i="9" s="1"/>
  <c r="M7" i="9"/>
  <c r="L7" i="9" s="1"/>
  <c r="N7" i="9" s="1"/>
  <c r="X8" i="9"/>
  <c r="R9" i="9" s="1"/>
  <c r="E12" i="9"/>
  <c r="D12" i="9"/>
  <c r="F12" i="9" s="1"/>
  <c r="H12" i="9" s="1"/>
  <c r="B13" i="9" s="1"/>
  <c r="E13" i="9" s="1"/>
  <c r="D13" i="9" s="1"/>
  <c r="F13" i="9" s="1"/>
  <c r="H13" i="9" s="1"/>
  <c r="B14" i="9" s="1"/>
  <c r="E14" i="9" s="1"/>
  <c r="D14" i="9" s="1"/>
  <c r="F14" i="9" s="1"/>
  <c r="H14" i="9" s="1"/>
  <c r="B15" i="9" s="1"/>
  <c r="J36" i="4" l="1"/>
  <c r="K36" i="4" s="1"/>
  <c r="I37" i="4"/>
  <c r="K37" i="10"/>
  <c r="J34" i="10"/>
  <c r="B36" i="10"/>
  <c r="F36" i="10" s="1"/>
  <c r="E35" i="10"/>
  <c r="H35" i="10"/>
  <c r="I35" i="10"/>
  <c r="L35" i="10" s="1"/>
  <c r="A38" i="10"/>
  <c r="L38" i="10" s="1"/>
  <c r="C37" i="10"/>
  <c r="D37" i="10" s="1"/>
  <c r="G37" i="10" s="1"/>
  <c r="AK8" i="9"/>
  <c r="AJ8" i="9" s="1"/>
  <c r="AL8" i="9" s="1"/>
  <c r="AM8" i="9" s="1"/>
  <c r="AN8" i="9" s="1"/>
  <c r="AH9" i="9" s="1"/>
  <c r="E15" i="9"/>
  <c r="D15" i="9" s="1"/>
  <c r="F15" i="9" s="1"/>
  <c r="H15" i="9" s="1"/>
  <c r="B16" i="9" s="1"/>
  <c r="O7" i="9"/>
  <c r="P7" i="9" s="1"/>
  <c r="J8" i="9" s="1"/>
  <c r="AC7" i="9"/>
  <c r="AB7" i="9" s="1"/>
  <c r="AD7" i="9" s="1"/>
  <c r="AE7" i="9" s="1"/>
  <c r="AF7" i="9" s="1"/>
  <c r="Z8" i="9" s="1"/>
  <c r="U9" i="9"/>
  <c r="T9" i="9" s="1"/>
  <c r="V9" i="9" s="1"/>
  <c r="W9" i="9" s="1"/>
  <c r="A70" i="7"/>
  <c r="I38" i="4" l="1"/>
  <c r="J37" i="4"/>
  <c r="K37" i="4" s="1"/>
  <c r="K38" i="10"/>
  <c r="J35" i="10"/>
  <c r="A39" i="10"/>
  <c r="L39" i="10" s="1"/>
  <c r="F38" i="10"/>
  <c r="B38" i="10"/>
  <c r="I38" i="10"/>
  <c r="G38" i="10"/>
  <c r="D38" i="10"/>
  <c r="J38" i="10"/>
  <c r="H38" i="10"/>
  <c r="E38" i="10"/>
  <c r="C38" i="10"/>
  <c r="B37" i="10"/>
  <c r="F37" i="10" s="1"/>
  <c r="E36" i="10"/>
  <c r="H36" i="10"/>
  <c r="I36" i="10" s="1"/>
  <c r="L36" i="10" s="1"/>
  <c r="AK9" i="9"/>
  <c r="AJ9" i="9" s="1"/>
  <c r="AL9" i="9" s="1"/>
  <c r="AM9" i="9" s="1"/>
  <c r="M8" i="9"/>
  <c r="L8" i="9" s="1"/>
  <c r="N8" i="9" s="1"/>
  <c r="O8" i="9" s="1"/>
  <c r="P8" i="9" s="1"/>
  <c r="J9" i="9" s="1"/>
  <c r="E16" i="9"/>
  <c r="D16" i="9" s="1"/>
  <c r="F16" i="9" s="1"/>
  <c r="H16" i="9" s="1"/>
  <c r="B17" i="9" s="1"/>
  <c r="X9" i="9"/>
  <c r="R10" i="9" s="1"/>
  <c r="AC8" i="9"/>
  <c r="AB8" i="9" s="1"/>
  <c r="AD8" i="9" s="1"/>
  <c r="AE8" i="9" s="1"/>
  <c r="AF8" i="9" s="1"/>
  <c r="Z9" i="9" s="1"/>
  <c r="A71" i="7"/>
  <c r="I39" i="4" l="1"/>
  <c r="J38" i="4"/>
  <c r="K38" i="4" s="1"/>
  <c r="J36" i="10"/>
  <c r="K39" i="10"/>
  <c r="E11" i="10" a="1"/>
  <c r="E11" i="10" s="1"/>
  <c r="E12" i="10" s="1"/>
  <c r="E13" i="10" s="1"/>
  <c r="E14" i="10" s="1"/>
  <c r="H37" i="10"/>
  <c r="I37" i="10" s="1"/>
  <c r="L37" i="10" s="1"/>
  <c r="E37" i="10"/>
  <c r="A40" i="10"/>
  <c r="L40" i="10" s="1"/>
  <c r="I39" i="10"/>
  <c r="G39" i="10"/>
  <c r="F39" i="10"/>
  <c r="D39" i="10"/>
  <c r="B39" i="10"/>
  <c r="J39" i="10"/>
  <c r="H39" i="10"/>
  <c r="E39" i="10"/>
  <c r="C39" i="10"/>
  <c r="M9" i="9"/>
  <c r="L9" i="9" s="1"/>
  <c r="N9" i="9" s="1"/>
  <c r="O9" i="9" s="1"/>
  <c r="P9" i="9" s="1"/>
  <c r="J10" i="9" s="1"/>
  <c r="A72" i="7"/>
  <c r="AC9" i="9"/>
  <c r="AB9" i="9" s="1"/>
  <c r="AD9" i="9" s="1"/>
  <c r="AE9" i="9" s="1"/>
  <c r="AF9" i="9" s="1"/>
  <c r="Z10" i="9" s="1"/>
  <c r="U10" i="9"/>
  <c r="T10" i="9" s="1"/>
  <c r="V10" i="9" s="1"/>
  <c r="E17" i="9"/>
  <c r="D17" i="9" s="1"/>
  <c r="F17" i="9" s="1"/>
  <c r="H17" i="9" s="1"/>
  <c r="B18" i="9" s="1"/>
  <c r="AN9" i="9"/>
  <c r="AH10" i="9" s="1"/>
  <c r="J39" i="4" l="1"/>
  <c r="K39" i="4" s="1"/>
  <c r="I40" i="4"/>
  <c r="J40" i="4" s="1"/>
  <c r="K40" i="4" s="1"/>
  <c r="E10" i="4" s="1" a="1"/>
  <c r="E10" i="4" s="1"/>
  <c r="J37" i="10"/>
  <c r="K40" i="10"/>
  <c r="A41" i="10"/>
  <c r="L41" i="10" s="1"/>
  <c r="J40" i="10"/>
  <c r="I40" i="10"/>
  <c r="G40" i="10"/>
  <c r="F40" i="10"/>
  <c r="D40" i="10"/>
  <c r="B40" i="10"/>
  <c r="E40" i="10"/>
  <c r="C40" i="10"/>
  <c r="H40" i="10"/>
  <c r="M10" i="9"/>
  <c r="L10" i="9" s="1"/>
  <c r="N10" i="9" s="1"/>
  <c r="O10" i="9" s="1"/>
  <c r="P10" i="9" s="1"/>
  <c r="J11" i="9" s="1"/>
  <c r="W10" i="9"/>
  <c r="X10" i="9" s="1"/>
  <c r="R11" i="9" s="1"/>
  <c r="AC10" i="9"/>
  <c r="AB10" i="9"/>
  <c r="AD10" i="9" s="1"/>
  <c r="AE10" i="9" s="1"/>
  <c r="AK10" i="9"/>
  <c r="AJ10" i="9" s="1"/>
  <c r="AL10" i="9" s="1"/>
  <c r="AM10" i="9" s="1"/>
  <c r="AN10" i="9" s="1"/>
  <c r="AH11" i="9" s="1"/>
  <c r="E18" i="9"/>
  <c r="D18" i="9" s="1"/>
  <c r="F18" i="9" s="1"/>
  <c r="H18" i="9" s="1"/>
  <c r="B19" i="9" s="1"/>
  <c r="E19" i="9" s="1"/>
  <c r="D19" i="9" s="1"/>
  <c r="F19" i="9" s="1"/>
  <c r="H19" i="9" s="1"/>
  <c r="B20" i="9" s="1"/>
  <c r="E20" i="9" s="1"/>
  <c r="D20" i="9" s="1"/>
  <c r="F20" i="9" s="1"/>
  <c r="H20" i="9" s="1"/>
  <c r="B21" i="9" s="1"/>
  <c r="A73" i="7"/>
  <c r="E11" i="4" l="1"/>
  <c r="G5" i="4"/>
  <c r="K41" i="10"/>
  <c r="A42" i="10"/>
  <c r="L42" i="10" s="1"/>
  <c r="I41" i="10"/>
  <c r="G41" i="10"/>
  <c r="F41" i="10"/>
  <c r="D41" i="10"/>
  <c r="B41" i="10"/>
  <c r="H41" i="10"/>
  <c r="E41" i="10"/>
  <c r="J41" i="10"/>
  <c r="C41" i="10"/>
  <c r="M11" i="9"/>
  <c r="L11" i="9" s="1"/>
  <c r="N11" i="9" s="1"/>
  <c r="O11" i="9" s="1"/>
  <c r="E21" i="9"/>
  <c r="D21" i="9" s="1"/>
  <c r="F21" i="9" s="1"/>
  <c r="H21" i="9" s="1"/>
  <c r="B22" i="9" s="1"/>
  <c r="E22" i="9" s="1"/>
  <c r="D22" i="9" s="1"/>
  <c r="F22" i="9" s="1"/>
  <c r="H22" i="9" s="1"/>
  <c r="B23" i="9" s="1"/>
  <c r="E23" i="9" s="1"/>
  <c r="D23" i="9" s="1"/>
  <c r="F23" i="9" s="1"/>
  <c r="H23" i="9" s="1"/>
  <c r="B24" i="9" s="1"/>
  <c r="E24" i="9" s="1"/>
  <c r="D24" i="9" s="1"/>
  <c r="F24" i="9" s="1"/>
  <c r="H24" i="9" s="1"/>
  <c r="B25" i="9" s="1"/>
  <c r="E25" i="9" s="1"/>
  <c r="D25" i="9" s="1"/>
  <c r="F25" i="9" s="1"/>
  <c r="H25" i="9" s="1"/>
  <c r="B26" i="9" s="1"/>
  <c r="E26" i="9" s="1"/>
  <c r="D26" i="9" s="1"/>
  <c r="F26" i="9" s="1"/>
  <c r="H26" i="9" s="1"/>
  <c r="B27" i="9" s="1"/>
  <c r="U11" i="9"/>
  <c r="T11" i="9" s="1"/>
  <c r="V11" i="9" s="1"/>
  <c r="W11" i="9" s="1"/>
  <c r="A74" i="7"/>
  <c r="AK11" i="9"/>
  <c r="AJ11" i="9" s="1"/>
  <c r="AL11" i="9" s="1"/>
  <c r="AM11" i="9" s="1"/>
  <c r="AN11" i="9" s="1"/>
  <c r="AH12" i="9" s="1"/>
  <c r="AF10" i="9"/>
  <c r="Z11" i="9" s="1"/>
  <c r="G6" i="4" l="1"/>
  <c r="E12" i="4"/>
  <c r="K42" i="10"/>
  <c r="A43" i="10"/>
  <c r="L43" i="10" s="1"/>
  <c r="J42" i="10"/>
  <c r="H42" i="10"/>
  <c r="E42" i="10"/>
  <c r="C42" i="10"/>
  <c r="I42" i="10"/>
  <c r="G42" i="10"/>
  <c r="F42" i="10"/>
  <c r="D42" i="10"/>
  <c r="B42" i="10"/>
  <c r="A75" i="7"/>
  <c r="AC11" i="9"/>
  <c r="AB11" i="9" s="1"/>
  <c r="AD11" i="9" s="1"/>
  <c r="AE11" i="9" s="1"/>
  <c r="AF11" i="9" s="1"/>
  <c r="Z12" i="9" s="1"/>
  <c r="X11" i="9"/>
  <c r="R12" i="9" s="1"/>
  <c r="AK12" i="9"/>
  <c r="AJ12" i="9" s="1"/>
  <c r="AL12" i="9" s="1"/>
  <c r="AM12" i="9" s="1"/>
  <c r="P11" i="9"/>
  <c r="J12" i="9" s="1"/>
  <c r="E27" i="9"/>
  <c r="D27" i="9"/>
  <c r="F27" i="9" s="1"/>
  <c r="H27" i="9" s="1"/>
  <c r="B28" i="9" s="1"/>
  <c r="K43" i="10" l="1"/>
  <c r="A44" i="10"/>
  <c r="L44" i="10" s="1"/>
  <c r="J43" i="10"/>
  <c r="H43" i="10"/>
  <c r="E43" i="10"/>
  <c r="C43" i="10"/>
  <c r="I43" i="10"/>
  <c r="G43" i="10"/>
  <c r="F43" i="10"/>
  <c r="D43" i="10"/>
  <c r="B43" i="10"/>
  <c r="AN12" i="9"/>
  <c r="AH13" i="9" s="1"/>
  <c r="AK13" i="9" s="1"/>
  <c r="AJ13" i="9" s="1"/>
  <c r="AL13" i="9" s="1"/>
  <c r="A76" i="7"/>
  <c r="U12" i="9"/>
  <c r="T12" i="9" s="1"/>
  <c r="V12" i="9" s="1"/>
  <c r="W12" i="9" s="1"/>
  <c r="AC12" i="9"/>
  <c r="AB12" i="9" s="1"/>
  <c r="AD12" i="9" s="1"/>
  <c r="AE12" i="9" s="1"/>
  <c r="AF12" i="9" s="1"/>
  <c r="Z13" i="9" s="1"/>
  <c r="M12" i="9"/>
  <c r="L12" i="9" s="1"/>
  <c r="N12" i="9" s="1"/>
  <c r="O12" i="9" s="1"/>
  <c r="P12" i="9" s="1"/>
  <c r="J13" i="9" s="1"/>
  <c r="E28" i="9"/>
  <c r="D28" i="9"/>
  <c r="F28" i="9" s="1"/>
  <c r="H28" i="9" s="1"/>
  <c r="B29" i="9" s="1"/>
  <c r="K44" i="10" l="1"/>
  <c r="A45" i="10"/>
  <c r="L45" i="10" s="1"/>
  <c r="J44" i="10"/>
  <c r="H44" i="10"/>
  <c r="E44" i="10"/>
  <c r="C44" i="10"/>
  <c r="F44" i="10"/>
  <c r="D44" i="10"/>
  <c r="B44" i="10"/>
  <c r="I44" i="10"/>
  <c r="G44" i="10"/>
  <c r="AM13" i="9"/>
  <c r="AN13" i="9" s="1"/>
  <c r="AH14" i="9" s="1"/>
  <c r="M13" i="9"/>
  <c r="L13" i="9" s="1"/>
  <c r="N13" i="9" s="1"/>
  <c r="O13" i="9" s="1"/>
  <c r="AC13" i="9"/>
  <c r="AB13" i="9" s="1"/>
  <c r="AD13" i="9" s="1"/>
  <c r="AE13" i="9" s="1"/>
  <c r="AF13" i="9" s="1"/>
  <c r="Z14" i="9" s="1"/>
  <c r="A77" i="7"/>
  <c r="X12" i="9"/>
  <c r="R13" i="9" s="1"/>
  <c r="E29" i="9"/>
  <c r="D29" i="9" s="1"/>
  <c r="F29" i="9" s="1"/>
  <c r="H29" i="9" s="1"/>
  <c r="B30" i="9" s="1"/>
  <c r="K45" i="10" l="1"/>
  <c r="A46" i="10"/>
  <c r="L46" i="10" s="1"/>
  <c r="J45" i="10"/>
  <c r="H45" i="10"/>
  <c r="E45" i="10"/>
  <c r="C45" i="10"/>
  <c r="D45" i="10"/>
  <c r="B45" i="10"/>
  <c r="I45" i="10"/>
  <c r="G45" i="10"/>
  <c r="F45" i="10"/>
  <c r="AK14" i="9"/>
  <c r="AJ14" i="9" s="1"/>
  <c r="AL14" i="9" s="1"/>
  <c r="AM14" i="9" s="1"/>
  <c r="A78" i="7"/>
  <c r="AC14" i="9"/>
  <c r="AB14" i="9" s="1"/>
  <c r="AD14" i="9" s="1"/>
  <c r="AE14" i="9" s="1"/>
  <c r="U13" i="9"/>
  <c r="T13" i="9" s="1"/>
  <c r="V13" i="9" s="1"/>
  <c r="W13" i="9" s="1"/>
  <c r="X13" i="9" s="1"/>
  <c r="R14" i="9" s="1"/>
  <c r="P13" i="9"/>
  <c r="J14" i="9" s="1"/>
  <c r="M14" i="9" s="1"/>
  <c r="L14" i="9" s="1"/>
  <c r="N14" i="9" s="1"/>
  <c r="O14" i="9" s="1"/>
  <c r="E30" i="9"/>
  <c r="D30" i="9" s="1"/>
  <c r="F30" i="9" s="1"/>
  <c r="H30" i="9" s="1"/>
  <c r="B31" i="9" s="1"/>
  <c r="K46" i="10" l="1"/>
  <c r="A47" i="10"/>
  <c r="L47" i="10" s="1"/>
  <c r="J46" i="10"/>
  <c r="H46" i="10"/>
  <c r="E46" i="10"/>
  <c r="C46" i="10"/>
  <c r="I46" i="10"/>
  <c r="G46" i="10"/>
  <c r="D46" i="10"/>
  <c r="B46" i="10"/>
  <c r="F46" i="10"/>
  <c r="U14" i="9"/>
  <c r="T14" i="9" s="1"/>
  <c r="V14" i="9" s="1"/>
  <c r="W14" i="9" s="1"/>
  <c r="X14" i="9" s="1"/>
  <c r="R15" i="9" s="1"/>
  <c r="A79" i="7"/>
  <c r="AN14" i="9"/>
  <c r="AH15" i="9" s="1"/>
  <c r="AF14" i="9"/>
  <c r="Z15" i="9" s="1"/>
  <c r="P14" i="9"/>
  <c r="J15" i="9" s="1"/>
  <c r="E31" i="9"/>
  <c r="D31" i="9" s="1"/>
  <c r="F31" i="9" s="1"/>
  <c r="H31" i="9" s="1"/>
  <c r="B32" i="9" s="1"/>
  <c r="K47" i="10" l="1"/>
  <c r="J47" i="10"/>
  <c r="H47" i="10"/>
  <c r="E47" i="10"/>
  <c r="C47" i="10"/>
  <c r="G47" i="10"/>
  <c r="F47" i="10"/>
  <c r="D47" i="10"/>
  <c r="B47" i="10"/>
  <c r="I47" i="10"/>
  <c r="U15" i="9"/>
  <c r="T15" i="9" s="1"/>
  <c r="V15" i="9" s="1"/>
  <c r="W15" i="9" s="1"/>
  <c r="X15" i="9" s="1"/>
  <c r="R16" i="9" s="1"/>
  <c r="AK15" i="9"/>
  <c r="AJ15" i="9" s="1"/>
  <c r="AL15" i="9" s="1"/>
  <c r="AM15" i="9" s="1"/>
  <c r="AC15" i="9"/>
  <c r="AB15" i="9" s="1"/>
  <c r="AD15" i="9" s="1"/>
  <c r="M15" i="9"/>
  <c r="L15" i="9" s="1"/>
  <c r="N15" i="9" s="1"/>
  <c r="E32" i="9"/>
  <c r="D32" i="9" s="1"/>
  <c r="F32" i="9" s="1"/>
  <c r="H32" i="9" s="1"/>
  <c r="B33" i="9" s="1"/>
  <c r="AN15" i="9" l="1"/>
  <c r="AH16" i="9" s="1"/>
  <c r="AK16" i="9" s="1"/>
  <c r="U16" i="9"/>
  <c r="T16" i="9" s="1"/>
  <c r="V16" i="9" s="1"/>
  <c r="W16" i="9" s="1"/>
  <c r="X16" i="9" s="1"/>
  <c r="R17" i="9" s="1"/>
  <c r="AE15" i="9"/>
  <c r="AF15" i="9" s="1"/>
  <c r="Z16" i="9" s="1"/>
  <c r="O15" i="9"/>
  <c r="P15" i="9" s="1"/>
  <c r="J16" i="9" s="1"/>
  <c r="E33" i="9"/>
  <c r="D33" i="9" s="1"/>
  <c r="F33" i="9" s="1"/>
  <c r="H33" i="9" s="1"/>
  <c r="B34" i="9" s="1"/>
  <c r="AJ16" i="9" l="1"/>
  <c r="AL16" i="9" s="1"/>
  <c r="AM16" i="9" s="1"/>
  <c r="AN16" i="9" s="1"/>
  <c r="AH17" i="9" s="1"/>
  <c r="AC16" i="9"/>
  <c r="AB16" i="9" s="1"/>
  <c r="AD16" i="9" s="1"/>
  <c r="U17" i="9"/>
  <c r="T17" i="9" s="1"/>
  <c r="V17" i="9" s="1"/>
  <c r="W17" i="9" s="1"/>
  <c r="X17" i="9" s="1"/>
  <c r="R18" i="9" s="1"/>
  <c r="M16" i="9"/>
  <c r="L16" i="9" s="1"/>
  <c r="N16" i="9" s="1"/>
  <c r="O16" i="9" s="1"/>
  <c r="P16" i="9" s="1"/>
  <c r="J17" i="9" s="1"/>
  <c r="E34" i="9"/>
  <c r="D34" i="9" s="1"/>
  <c r="F34" i="9" s="1"/>
  <c r="H34" i="9" s="1"/>
  <c r="B35" i="9" s="1"/>
  <c r="U18" i="9" l="1"/>
  <c r="T18" i="9" s="1"/>
  <c r="V18" i="9" s="1"/>
  <c r="W18" i="9" s="1"/>
  <c r="X18" i="9" s="1"/>
  <c r="R19" i="9" s="1"/>
  <c r="AE16" i="9"/>
  <c r="AF16" i="9" s="1"/>
  <c r="Z17" i="9" s="1"/>
  <c r="AK17" i="9"/>
  <c r="AJ17" i="9" s="1"/>
  <c r="AL17" i="9" s="1"/>
  <c r="AM17" i="9" s="1"/>
  <c r="AN17" i="9" s="1"/>
  <c r="AH18" i="9" s="1"/>
  <c r="M17" i="9"/>
  <c r="L17" i="9" s="1"/>
  <c r="N17" i="9" s="1"/>
  <c r="O17" i="9" s="1"/>
  <c r="E35" i="9"/>
  <c r="D35" i="9" s="1"/>
  <c r="F35" i="9" s="1"/>
  <c r="H35" i="9" s="1"/>
  <c r="B36" i="9" s="1"/>
  <c r="AK18" i="9" l="1"/>
  <c r="AJ18" i="9" s="1"/>
  <c r="AL18" i="9" s="1"/>
  <c r="AM18" i="9" s="1"/>
  <c r="AN18" i="9" s="1"/>
  <c r="AH19" i="9" s="1"/>
  <c r="AC17" i="9"/>
  <c r="AB17" i="9"/>
  <c r="AD17" i="9" s="1"/>
  <c r="AE17" i="9" s="1"/>
  <c r="AF17" i="9" s="1"/>
  <c r="Z18" i="9" s="1"/>
  <c r="U19" i="9"/>
  <c r="T19" i="9" s="1"/>
  <c r="V19" i="9" s="1"/>
  <c r="W19" i="9" s="1"/>
  <c r="P17" i="9"/>
  <c r="J18" i="9" s="1"/>
  <c r="E36" i="9"/>
  <c r="D36" i="9" s="1"/>
  <c r="F36" i="9" s="1"/>
  <c r="H36" i="9" s="1"/>
  <c r="B37" i="9" s="1"/>
  <c r="AK19" i="9" l="1"/>
  <c r="AJ19" i="9" s="1"/>
  <c r="AL19" i="9" s="1"/>
  <c r="AM19" i="9" s="1"/>
  <c r="AN19" i="9" s="1"/>
  <c r="AH20" i="9" s="1"/>
  <c r="AK20" i="9" s="1"/>
  <c r="AJ20" i="9" s="1"/>
  <c r="AL20" i="9" s="1"/>
  <c r="AM20" i="9" s="1"/>
  <c r="AC18" i="9"/>
  <c r="AB18" i="9" s="1"/>
  <c r="AD18" i="9" s="1"/>
  <c r="X19" i="9"/>
  <c r="R20" i="9" s="1"/>
  <c r="U20" i="9" s="1"/>
  <c r="M18" i="9"/>
  <c r="L18" i="9"/>
  <c r="N18" i="9" s="1"/>
  <c r="O18" i="9" s="1"/>
  <c r="P18" i="9" s="1"/>
  <c r="J19" i="9" s="1"/>
  <c r="E37" i="9"/>
  <c r="D37" i="9"/>
  <c r="F37" i="9" s="1"/>
  <c r="H37" i="9" s="1"/>
  <c r="B38" i="9" s="1"/>
  <c r="T20" i="9" l="1"/>
  <c r="V20" i="9" s="1"/>
  <c r="W20" i="9" s="1"/>
  <c r="X20" i="9" s="1"/>
  <c r="R21" i="9" s="1"/>
  <c r="U21" i="9" s="1"/>
  <c r="T21" i="9" s="1"/>
  <c r="V21" i="9" s="1"/>
  <c r="W21" i="9" s="1"/>
  <c r="AE18" i="9"/>
  <c r="AF18" i="9" s="1"/>
  <c r="Z19" i="9" s="1"/>
  <c r="AN20" i="9"/>
  <c r="AH21" i="9" s="1"/>
  <c r="M19" i="9"/>
  <c r="L19" i="9"/>
  <c r="N19" i="9" s="1"/>
  <c r="E38" i="9"/>
  <c r="D38" i="9" s="1"/>
  <c r="F38" i="9" s="1"/>
  <c r="H38" i="9" s="1"/>
  <c r="B39" i="9" s="1"/>
  <c r="AC19" i="9" l="1"/>
  <c r="AB19" i="9" s="1"/>
  <c r="AD19" i="9" s="1"/>
  <c r="AE19" i="9" s="1"/>
  <c r="AF19" i="9" s="1"/>
  <c r="Z20" i="9" s="1"/>
  <c r="AK21" i="9"/>
  <c r="AJ21" i="9" s="1"/>
  <c r="AL21" i="9" s="1"/>
  <c r="X21" i="9"/>
  <c r="R22" i="9" s="1"/>
  <c r="O19" i="9"/>
  <c r="P19" i="9" s="1"/>
  <c r="J20" i="9" s="1"/>
  <c r="E39" i="9"/>
  <c r="D39" i="9" s="1"/>
  <c r="F39" i="9" s="1"/>
  <c r="H39" i="9" s="1"/>
  <c r="B40" i="9" s="1"/>
  <c r="AC20" i="9" l="1"/>
  <c r="AB20" i="9" s="1"/>
  <c r="AD20" i="9" s="1"/>
  <c r="AE20" i="9" s="1"/>
  <c r="AM21" i="9"/>
  <c r="AN21" i="9" s="1"/>
  <c r="AH22" i="9" s="1"/>
  <c r="U22" i="9"/>
  <c r="T22" i="9"/>
  <c r="V22" i="9" s="1"/>
  <c r="M20" i="9"/>
  <c r="L20" i="9" s="1"/>
  <c r="N20" i="9" s="1"/>
  <c r="E40" i="9"/>
  <c r="D40" i="9" s="1"/>
  <c r="F40" i="9" s="1"/>
  <c r="H40" i="9" s="1"/>
  <c r="B41" i="9" s="1"/>
  <c r="AF20" i="9" l="1"/>
  <c r="Z21" i="9" s="1"/>
  <c r="W22" i="9"/>
  <c r="X22" i="9" s="1"/>
  <c r="R23" i="9" s="1"/>
  <c r="AK22" i="9"/>
  <c r="AJ22" i="9" s="1"/>
  <c r="AL22" i="9" s="1"/>
  <c r="O20" i="9"/>
  <c r="P20" i="9" s="1"/>
  <c r="J21" i="9" s="1"/>
  <c r="E41" i="9"/>
  <c r="D41" i="9" s="1"/>
  <c r="F41" i="9" s="1"/>
  <c r="H41" i="9" s="1"/>
  <c r="B42" i="9" s="1"/>
  <c r="U23" i="9" l="1"/>
  <c r="T23" i="9" s="1"/>
  <c r="V23" i="9" s="1"/>
  <c r="W23" i="9" s="1"/>
  <c r="X23" i="9" s="1"/>
  <c r="R24" i="9" s="1"/>
  <c r="AC21" i="9"/>
  <c r="AB21" i="9" s="1"/>
  <c r="AD21" i="9" s="1"/>
  <c r="AM22" i="9"/>
  <c r="AN22" i="9" s="1"/>
  <c r="AH23" i="9" s="1"/>
  <c r="M21" i="9"/>
  <c r="L21" i="9"/>
  <c r="N21" i="9" s="1"/>
  <c r="E42" i="9"/>
  <c r="D42" i="9" s="1"/>
  <c r="F42" i="9" s="1"/>
  <c r="H42" i="9" s="1"/>
  <c r="B43" i="9" s="1"/>
  <c r="AE21" i="9" l="1"/>
  <c r="AF21" i="9" s="1"/>
  <c r="Z22" i="9" s="1"/>
  <c r="AK23" i="9"/>
  <c r="AJ23" i="9" s="1"/>
  <c r="AL23" i="9" s="1"/>
  <c r="U24" i="9"/>
  <c r="T24" i="9" s="1"/>
  <c r="V24" i="9" s="1"/>
  <c r="W24" i="9" s="1"/>
  <c r="O21" i="9"/>
  <c r="P21" i="9" s="1"/>
  <c r="J22" i="9" s="1"/>
  <c r="E43" i="9"/>
  <c r="D43" i="9" s="1"/>
  <c r="F43" i="9" s="1"/>
  <c r="H43" i="9" s="1"/>
  <c r="B44" i="9" s="1"/>
  <c r="AC22" i="9" l="1"/>
  <c r="AB22" i="9" s="1"/>
  <c r="AD22" i="9" s="1"/>
  <c r="AE22" i="9" s="1"/>
  <c r="AF22" i="9" s="1"/>
  <c r="Z23" i="9" s="1"/>
  <c r="AM23" i="9"/>
  <c r="AN23" i="9" s="1"/>
  <c r="AH24" i="9" s="1"/>
  <c r="X24" i="9"/>
  <c r="R25" i="9" s="1"/>
  <c r="M22" i="9"/>
  <c r="L22" i="9" s="1"/>
  <c r="N22" i="9" s="1"/>
  <c r="E44" i="9"/>
  <c r="D44" i="9" s="1"/>
  <c r="F44" i="9" s="1"/>
  <c r="H44" i="9" s="1"/>
  <c r="B45" i="9" s="1"/>
  <c r="AC23" i="9" l="1"/>
  <c r="AB23" i="9" s="1"/>
  <c r="AD23" i="9" s="1"/>
  <c r="AE23" i="9" s="1"/>
  <c r="AF23" i="9" s="1"/>
  <c r="Z24" i="9" s="1"/>
  <c r="AK24" i="9"/>
  <c r="AJ24" i="9" s="1"/>
  <c r="AL24" i="9" s="1"/>
  <c r="U25" i="9"/>
  <c r="T25" i="9" s="1"/>
  <c r="V25" i="9" s="1"/>
  <c r="O22" i="9"/>
  <c r="P22" i="9" s="1"/>
  <c r="J23" i="9" s="1"/>
  <c r="E45" i="9"/>
  <c r="D45" i="9" s="1"/>
  <c r="F45" i="9" s="1"/>
  <c r="H45" i="9" s="1"/>
  <c r="B46" i="9" s="1"/>
  <c r="AC24" i="9" l="1"/>
  <c r="AB24" i="9" s="1"/>
  <c r="AD24" i="9" s="1"/>
  <c r="AE24" i="9" s="1"/>
  <c r="AF24" i="9" s="1"/>
  <c r="Z25" i="9" s="1"/>
  <c r="AM24" i="9"/>
  <c r="AN24" i="9" s="1"/>
  <c r="AH25" i="9" s="1"/>
  <c r="W25" i="9"/>
  <c r="X25" i="9" s="1"/>
  <c r="R26" i="9" s="1"/>
  <c r="M23" i="9"/>
  <c r="L23" i="9" s="1"/>
  <c r="N23" i="9" s="1"/>
  <c r="E46" i="9"/>
  <c r="D46" i="9" s="1"/>
  <c r="F46" i="9" s="1"/>
  <c r="H46" i="9" s="1"/>
  <c r="B47" i="9" s="1"/>
  <c r="AC25" i="9" l="1"/>
  <c r="AB25" i="9" s="1"/>
  <c r="AD25" i="9" s="1"/>
  <c r="AE25" i="9" s="1"/>
  <c r="AF25" i="9" s="1"/>
  <c r="Z26" i="9" s="1"/>
  <c r="AC26" i="9" s="1"/>
  <c r="AK25" i="9"/>
  <c r="AJ25" i="9" s="1"/>
  <c r="AL25" i="9" s="1"/>
  <c r="AM25" i="9" s="1"/>
  <c r="U26" i="9"/>
  <c r="T26" i="9" s="1"/>
  <c r="V26" i="9" s="1"/>
  <c r="O23" i="9"/>
  <c r="P23" i="9" s="1"/>
  <c r="J24" i="9" s="1"/>
  <c r="E47" i="9"/>
  <c r="D47" i="9" s="1"/>
  <c r="F47" i="9" s="1"/>
  <c r="H47" i="9" s="1"/>
  <c r="B48" i="9" s="1"/>
  <c r="AB26" i="9" l="1"/>
  <c r="AD26" i="9" s="1"/>
  <c r="AE26" i="9" s="1"/>
  <c r="AN25" i="9"/>
  <c r="AH26" i="9" s="1"/>
  <c r="W26" i="9"/>
  <c r="X26" i="9" s="1"/>
  <c r="R27" i="9" s="1"/>
  <c r="M24" i="9"/>
  <c r="L24" i="9" s="1"/>
  <c r="N24" i="9" s="1"/>
  <c r="E48" i="9"/>
  <c r="D48" i="9"/>
  <c r="F48" i="9" s="1"/>
  <c r="H48" i="9" s="1"/>
  <c r="B49" i="9" s="1"/>
  <c r="AF26" i="9" l="1"/>
  <c r="Z27" i="9" s="1"/>
  <c r="AC27" i="9" s="1"/>
  <c r="AB27" i="9" s="1"/>
  <c r="AD27" i="9" s="1"/>
  <c r="AK26" i="9"/>
  <c r="AJ26" i="9" s="1"/>
  <c r="AL26" i="9" s="1"/>
  <c r="U27" i="9"/>
  <c r="T27" i="9"/>
  <c r="V27" i="9" s="1"/>
  <c r="O24" i="9"/>
  <c r="P24" i="9" s="1"/>
  <c r="J25" i="9" s="1"/>
  <c r="E49" i="9"/>
  <c r="D49" i="9"/>
  <c r="F49" i="9" s="1"/>
  <c r="H49" i="9" s="1"/>
  <c r="B50" i="9" s="1"/>
  <c r="AM26" i="9" l="1"/>
  <c r="AN26" i="9" s="1"/>
  <c r="AH27" i="9" s="1"/>
  <c r="AE27" i="9"/>
  <c r="AF27" i="9" s="1"/>
  <c r="Z28" i="9" s="1"/>
  <c r="W27" i="9"/>
  <c r="X27" i="9" s="1"/>
  <c r="R28" i="9" s="1"/>
  <c r="M25" i="9"/>
  <c r="E50" i="9"/>
  <c r="D50" i="9" s="1"/>
  <c r="F50" i="9" s="1"/>
  <c r="H50" i="9" s="1"/>
  <c r="B51" i="9" s="1"/>
  <c r="AK27" i="9" l="1"/>
  <c r="AJ27" i="9" s="1"/>
  <c r="AL27" i="9" s="1"/>
  <c r="AC28" i="9"/>
  <c r="AB28" i="9" s="1"/>
  <c r="AD28" i="9" s="1"/>
  <c r="AE28" i="9" s="1"/>
  <c r="AF28" i="9" s="1"/>
  <c r="Z29" i="9" s="1"/>
  <c r="U28" i="9"/>
  <c r="T28" i="9" s="1"/>
  <c r="V28" i="9" s="1"/>
  <c r="L25" i="9"/>
  <c r="N25" i="9" s="1"/>
  <c r="E51" i="9"/>
  <c r="D51" i="9" s="1"/>
  <c r="F51" i="9" s="1"/>
  <c r="H51" i="9" s="1"/>
  <c r="B52" i="9" s="1"/>
  <c r="AM27" i="9" l="1"/>
  <c r="AN27" i="9" s="1"/>
  <c r="AH28" i="9" s="1"/>
  <c r="AC29" i="9"/>
  <c r="AB29" i="9" s="1"/>
  <c r="AD29" i="9" s="1"/>
  <c r="AE29" i="9" s="1"/>
  <c r="W28" i="9"/>
  <c r="X28" i="9" s="1"/>
  <c r="R29" i="9" s="1"/>
  <c r="O25" i="9"/>
  <c r="P25" i="9" s="1"/>
  <c r="J26" i="9" s="1"/>
  <c r="E52" i="9"/>
  <c r="D52" i="9" s="1"/>
  <c r="F52" i="9" s="1"/>
  <c r="H52" i="9" s="1"/>
  <c r="B53" i="9" s="1"/>
  <c r="AK28" i="9" l="1"/>
  <c r="AJ28" i="9" s="1"/>
  <c r="AL28" i="9" s="1"/>
  <c r="AM28" i="9" s="1"/>
  <c r="AF29" i="9"/>
  <c r="Z30" i="9" s="1"/>
  <c r="U29" i="9"/>
  <c r="T29" i="9" s="1"/>
  <c r="V29" i="9" s="1"/>
  <c r="M26" i="9"/>
  <c r="L26" i="9" s="1"/>
  <c r="N26" i="9" s="1"/>
  <c r="E53" i="9"/>
  <c r="D53" i="9" s="1"/>
  <c r="F53" i="9" s="1"/>
  <c r="H53" i="9" s="1"/>
  <c r="B54" i="9" s="1"/>
  <c r="AN28" i="9" l="1"/>
  <c r="AH29" i="9" s="1"/>
  <c r="AK29" i="9" s="1"/>
  <c r="AJ29" i="9" s="1"/>
  <c r="AL29" i="9" s="1"/>
  <c r="AC30" i="9"/>
  <c r="AB30" i="9" s="1"/>
  <c r="AD30" i="9" s="1"/>
  <c r="W29" i="9"/>
  <c r="X29" i="9" s="1"/>
  <c r="R30" i="9" s="1"/>
  <c r="O26" i="9"/>
  <c r="P26" i="9" s="1"/>
  <c r="J27" i="9" s="1"/>
  <c r="E54" i="9"/>
  <c r="D54" i="9" s="1"/>
  <c r="F54" i="9" s="1"/>
  <c r="H54" i="9" s="1"/>
  <c r="B55" i="9" s="1"/>
  <c r="AM29" i="9" l="1"/>
  <c r="AN29" i="9" s="1"/>
  <c r="AH30" i="9" s="1"/>
  <c r="AE30" i="9"/>
  <c r="AF30" i="9" s="1"/>
  <c r="Z31" i="9" s="1"/>
  <c r="U30" i="9"/>
  <c r="T30" i="9" s="1"/>
  <c r="V30" i="9" s="1"/>
  <c r="M27" i="9"/>
  <c r="L27" i="9" s="1"/>
  <c r="N27" i="9" s="1"/>
  <c r="E55" i="9"/>
  <c r="D55" i="9" s="1"/>
  <c r="F55" i="9" s="1"/>
  <c r="H55" i="9" s="1"/>
  <c r="B56" i="9" s="1"/>
  <c r="AK30" i="9" l="1"/>
  <c r="AJ30" i="9" s="1"/>
  <c r="AL30" i="9" s="1"/>
  <c r="AC31" i="9"/>
  <c r="AB31" i="9" s="1"/>
  <c r="AD31" i="9" s="1"/>
  <c r="W30" i="9"/>
  <c r="X30" i="9" s="1"/>
  <c r="R31" i="9" s="1"/>
  <c r="O27" i="9"/>
  <c r="P27" i="9" s="1"/>
  <c r="J28" i="9" s="1"/>
  <c r="E56" i="9"/>
  <c r="D56" i="9" s="1"/>
  <c r="F56" i="9" s="1"/>
  <c r="H56" i="9" s="1"/>
  <c r="B57" i="9" s="1"/>
  <c r="AM30" i="9" l="1"/>
  <c r="AN30" i="9" s="1"/>
  <c r="AH31" i="9" s="1"/>
  <c r="AE31" i="9"/>
  <c r="AF31" i="9" s="1"/>
  <c r="Z32" i="9" s="1"/>
  <c r="U31" i="9"/>
  <c r="T31" i="9" s="1"/>
  <c r="V31" i="9" s="1"/>
  <c r="M28" i="9"/>
  <c r="L28" i="9" s="1"/>
  <c r="N28" i="9" s="1"/>
  <c r="O28" i="9" s="1"/>
  <c r="P28" i="9" s="1"/>
  <c r="J29" i="9" s="1"/>
  <c r="E57" i="9"/>
  <c r="D57" i="9" s="1"/>
  <c r="F57" i="9" s="1"/>
  <c r="H57" i="9" s="1"/>
  <c r="B58" i="9" s="1"/>
  <c r="AK31" i="9" l="1"/>
  <c r="AJ31" i="9"/>
  <c r="AL31" i="9" s="1"/>
  <c r="AC32" i="9"/>
  <c r="AB32" i="9" s="1"/>
  <c r="AD32" i="9" s="1"/>
  <c r="W31" i="9"/>
  <c r="X31" i="9" s="1"/>
  <c r="R32" i="9" s="1"/>
  <c r="M29" i="9"/>
  <c r="L29" i="9" s="1"/>
  <c r="N29" i="9" s="1"/>
  <c r="E58" i="9"/>
  <c r="D58" i="9" s="1"/>
  <c r="F58" i="9" s="1"/>
  <c r="H58" i="9" s="1"/>
  <c r="B59" i="9" s="1"/>
  <c r="AM31" i="9" l="1"/>
  <c r="AN31" i="9" s="1"/>
  <c r="AH32" i="9" s="1"/>
  <c r="AE32" i="9"/>
  <c r="AF32" i="9" s="1"/>
  <c r="Z33" i="9" s="1"/>
  <c r="U32" i="9"/>
  <c r="T32" i="9"/>
  <c r="V32" i="9" s="1"/>
  <c r="O29" i="9"/>
  <c r="P29" i="9" s="1"/>
  <c r="J30" i="9" s="1"/>
  <c r="E59" i="9"/>
  <c r="D59" i="9" s="1"/>
  <c r="F59" i="9" s="1"/>
  <c r="H59" i="9" s="1"/>
  <c r="B60" i="9" s="1"/>
  <c r="W32" i="9" l="1"/>
  <c r="X32" i="9" s="1"/>
  <c r="R33" i="9" s="1"/>
  <c r="AK32" i="9"/>
  <c r="AJ32" i="9" s="1"/>
  <c r="AL32" i="9" s="1"/>
  <c r="AC33" i="9"/>
  <c r="AB33" i="9" s="1"/>
  <c r="AD33" i="9" s="1"/>
  <c r="M30" i="9"/>
  <c r="L30" i="9" s="1"/>
  <c r="N30" i="9" s="1"/>
  <c r="O30" i="9" s="1"/>
  <c r="E60" i="9"/>
  <c r="D60" i="9"/>
  <c r="F60" i="9" s="1"/>
  <c r="H60" i="9" s="1"/>
  <c r="B61" i="9" s="1"/>
  <c r="U33" i="9" l="1"/>
  <c r="T33" i="9"/>
  <c r="V33" i="9" s="1"/>
  <c r="W33" i="9" s="1"/>
  <c r="X33" i="9" s="1"/>
  <c r="R34" i="9" s="1"/>
  <c r="U34" i="9" s="1"/>
  <c r="AM32" i="9"/>
  <c r="AN32" i="9" s="1"/>
  <c r="AH33" i="9" s="1"/>
  <c r="AE33" i="9"/>
  <c r="AF33" i="9" s="1"/>
  <c r="Z34" i="9" s="1"/>
  <c r="P30" i="9"/>
  <c r="J31" i="9" s="1"/>
  <c r="E61" i="9"/>
  <c r="D61" i="9" s="1"/>
  <c r="F61" i="9" s="1"/>
  <c r="H61" i="9" s="1"/>
  <c r="B62" i="9" s="1"/>
  <c r="T34" i="9" l="1"/>
  <c r="V34" i="9" s="1"/>
  <c r="W34" i="9" s="1"/>
  <c r="X34" i="9" s="1"/>
  <c r="R35" i="9" s="1"/>
  <c r="AK33" i="9"/>
  <c r="AJ33" i="9" s="1"/>
  <c r="AL33" i="9" s="1"/>
  <c r="AC34" i="9"/>
  <c r="AB34" i="9" s="1"/>
  <c r="AD34" i="9" s="1"/>
  <c r="AE34" i="9" s="1"/>
  <c r="AF34" i="9" s="1"/>
  <c r="Z35" i="9" s="1"/>
  <c r="M31" i="9"/>
  <c r="L31" i="9" s="1"/>
  <c r="N31" i="9" s="1"/>
  <c r="O31" i="9" s="1"/>
  <c r="E62" i="9"/>
  <c r="D62" i="9" s="1"/>
  <c r="F62" i="9" s="1"/>
  <c r="H62" i="9" s="1"/>
  <c r="B63" i="9" s="1"/>
  <c r="P31" i="9" l="1"/>
  <c r="J32" i="9" s="1"/>
  <c r="M32" i="9" s="1"/>
  <c r="L32" i="9" s="1"/>
  <c r="N32" i="9" s="1"/>
  <c r="AM33" i="9"/>
  <c r="AN33" i="9" s="1"/>
  <c r="AH34" i="9" s="1"/>
  <c r="AC35" i="9"/>
  <c r="AB35" i="9" s="1"/>
  <c r="AD35" i="9" s="1"/>
  <c r="U35" i="9"/>
  <c r="T35" i="9" s="1"/>
  <c r="V35" i="9" s="1"/>
  <c r="W35" i="9" s="1"/>
  <c r="X35" i="9" s="1"/>
  <c r="R36" i="9" s="1"/>
  <c r="E63" i="9"/>
  <c r="D63" i="9" s="1"/>
  <c r="AK34" i="9" l="1"/>
  <c r="AJ34" i="9" s="1"/>
  <c r="AL34" i="9" s="1"/>
  <c r="AE35" i="9"/>
  <c r="AF35" i="9" s="1"/>
  <c r="Z36" i="9" s="1"/>
  <c r="U36" i="9"/>
  <c r="T36" i="9" s="1"/>
  <c r="V36" i="9" s="1"/>
  <c r="O32" i="9"/>
  <c r="P32" i="9" s="1"/>
  <c r="J33" i="9" s="1"/>
  <c r="F63" i="9"/>
  <c r="H63" i="9" s="1"/>
  <c r="B64" i="9" s="1"/>
  <c r="AM34" i="9" l="1"/>
  <c r="AN34" i="9" s="1"/>
  <c r="AH35" i="9" s="1"/>
  <c r="AC36" i="9"/>
  <c r="AB36" i="9" s="1"/>
  <c r="AD36" i="9" s="1"/>
  <c r="W36" i="9"/>
  <c r="X36" i="9" s="1"/>
  <c r="R37" i="9" s="1"/>
  <c r="M33" i="9"/>
  <c r="L33" i="9" s="1"/>
  <c r="N33" i="9" s="1"/>
  <c r="E64" i="9"/>
  <c r="D64" i="9" s="1"/>
  <c r="AK35" i="9" l="1"/>
  <c r="AJ35" i="9" s="1"/>
  <c r="AL35" i="9" s="1"/>
  <c r="AE36" i="9"/>
  <c r="AF36" i="9" s="1"/>
  <c r="Z37" i="9" s="1"/>
  <c r="U37" i="9"/>
  <c r="T37" i="9" s="1"/>
  <c r="V37" i="9" s="1"/>
  <c r="O33" i="9"/>
  <c r="P33" i="9" s="1"/>
  <c r="J34" i="9" s="1"/>
  <c r="F64" i="9"/>
  <c r="H64" i="9" s="1"/>
  <c r="B65" i="9" s="1"/>
  <c r="AM35" i="9" l="1"/>
  <c r="AN35" i="9" s="1"/>
  <c r="AH36" i="9" s="1"/>
  <c r="AC37" i="9"/>
  <c r="AB37" i="9" s="1"/>
  <c r="AD37" i="9" s="1"/>
  <c r="W37" i="9"/>
  <c r="X37" i="9" s="1"/>
  <c r="R38" i="9" s="1"/>
  <c r="M34" i="9"/>
  <c r="L34" i="9" s="1"/>
  <c r="N34" i="9" s="1"/>
  <c r="E65" i="9"/>
  <c r="D65" i="9" s="1"/>
  <c r="AK36" i="9" l="1"/>
  <c r="AJ36" i="9" s="1"/>
  <c r="AL36" i="9" s="1"/>
  <c r="AE37" i="9"/>
  <c r="AF37" i="9" s="1"/>
  <c r="Z38" i="9" s="1"/>
  <c r="U38" i="9"/>
  <c r="T38" i="9"/>
  <c r="V38" i="9" s="1"/>
  <c r="W38" i="9" s="1"/>
  <c r="O34" i="9"/>
  <c r="P34" i="9" s="1"/>
  <c r="J35" i="9" s="1"/>
  <c r="F65" i="9"/>
  <c r="H65" i="9" s="1"/>
  <c r="B66" i="9" s="1"/>
  <c r="X38" i="9" l="1"/>
  <c r="R39" i="9" s="1"/>
  <c r="U39" i="9" s="1"/>
  <c r="T39" i="9" s="1"/>
  <c r="V39" i="9" s="1"/>
  <c r="AM36" i="9"/>
  <c r="AN36" i="9" s="1"/>
  <c r="AH37" i="9" s="1"/>
  <c r="AC38" i="9"/>
  <c r="AB38" i="9" s="1"/>
  <c r="AD38" i="9" s="1"/>
  <c r="M35" i="9"/>
  <c r="L35" i="9" s="1"/>
  <c r="N35" i="9" s="1"/>
  <c r="E66" i="9"/>
  <c r="D66" i="9" s="1"/>
  <c r="AK37" i="9" l="1"/>
  <c r="AJ37" i="9" s="1"/>
  <c r="AL37" i="9" s="1"/>
  <c r="AE38" i="9"/>
  <c r="AF38" i="9" s="1"/>
  <c r="Z39" i="9" s="1"/>
  <c r="W39" i="9"/>
  <c r="X39" i="9" s="1"/>
  <c r="R40" i="9" s="1"/>
  <c r="O35" i="9"/>
  <c r="P35" i="9" s="1"/>
  <c r="J36" i="9" s="1"/>
  <c r="F66" i="9"/>
  <c r="H66" i="9" s="1"/>
  <c r="B67" i="9" s="1"/>
  <c r="AM37" i="9" l="1"/>
  <c r="AN37" i="9" s="1"/>
  <c r="AH38" i="9" s="1"/>
  <c r="AC39" i="9"/>
  <c r="AB39" i="9" s="1"/>
  <c r="AD39" i="9" s="1"/>
  <c r="U40" i="9"/>
  <c r="T40" i="9" s="1"/>
  <c r="V40" i="9" s="1"/>
  <c r="M36" i="9"/>
  <c r="L36" i="9"/>
  <c r="N36" i="9" s="1"/>
  <c r="E67" i="9"/>
  <c r="D67" i="9" s="1"/>
  <c r="AK38" i="9" l="1"/>
  <c r="AJ38" i="9" s="1"/>
  <c r="AL38" i="9" s="1"/>
  <c r="AM38" i="9" s="1"/>
  <c r="AE39" i="9"/>
  <c r="AF39" i="9" s="1"/>
  <c r="Z40" i="9" s="1"/>
  <c r="W40" i="9"/>
  <c r="X40" i="9" s="1"/>
  <c r="R41" i="9" s="1"/>
  <c r="O36" i="9"/>
  <c r="P36" i="9" s="1"/>
  <c r="F67" i="9"/>
  <c r="H67" i="9" s="1"/>
  <c r="B68" i="9" s="1"/>
  <c r="AN38" i="9" l="1"/>
  <c r="AH39" i="9" s="1"/>
  <c r="AC40" i="9"/>
  <c r="AB40" i="9" s="1"/>
  <c r="AD40" i="9" s="1"/>
  <c r="AE40" i="9" s="1"/>
  <c r="AF40" i="9" s="1"/>
  <c r="Z41" i="9" s="1"/>
  <c r="U41" i="9"/>
  <c r="T41" i="9" s="1"/>
  <c r="V41" i="9" s="1"/>
  <c r="J37" i="9"/>
  <c r="E68" i="9"/>
  <c r="D68" i="9" s="1"/>
  <c r="AK39" i="9" l="1"/>
  <c r="AJ39" i="9" s="1"/>
  <c r="AL39" i="9" s="1"/>
  <c r="AC41" i="9"/>
  <c r="AB41" i="9" s="1"/>
  <c r="AD41" i="9" s="1"/>
  <c r="W41" i="9"/>
  <c r="X41" i="9" s="1"/>
  <c r="R42" i="9" s="1"/>
  <c r="M37" i="9"/>
  <c r="F68" i="9"/>
  <c r="H68" i="9" s="1"/>
  <c r="B69" i="9" s="1"/>
  <c r="AM39" i="9" l="1"/>
  <c r="AN39" i="9" s="1"/>
  <c r="AH40" i="9" s="1"/>
  <c r="AE41" i="9"/>
  <c r="AF41" i="9" s="1"/>
  <c r="Z42" i="9" s="1"/>
  <c r="U42" i="9"/>
  <c r="T42" i="9" s="1"/>
  <c r="V42" i="9" s="1"/>
  <c r="L37" i="9"/>
  <c r="N37" i="9" s="1"/>
  <c r="E69" i="9"/>
  <c r="D69" i="9" s="1"/>
  <c r="AK40" i="9" l="1"/>
  <c r="AJ40" i="9" s="1"/>
  <c r="AL40" i="9" s="1"/>
  <c r="AM40" i="9" s="1"/>
  <c r="AC42" i="9"/>
  <c r="AB42" i="9" s="1"/>
  <c r="AD42" i="9" s="1"/>
  <c r="W42" i="9"/>
  <c r="X42" i="9" s="1"/>
  <c r="R43" i="9" s="1"/>
  <c r="O37" i="9"/>
  <c r="P37" i="9" s="1"/>
  <c r="F69" i="9"/>
  <c r="H69" i="9" s="1"/>
  <c r="B70" i="9" s="1"/>
  <c r="AN40" i="9" l="1"/>
  <c r="AH41" i="9" s="1"/>
  <c r="AK41" i="9" s="1"/>
  <c r="AJ41" i="9" s="1"/>
  <c r="AL41" i="9" s="1"/>
  <c r="AE42" i="9"/>
  <c r="AF42" i="9" s="1"/>
  <c r="Z43" i="9" s="1"/>
  <c r="U43" i="9"/>
  <c r="T43" i="9"/>
  <c r="V43" i="9" s="1"/>
  <c r="J38" i="9"/>
  <c r="E70" i="9"/>
  <c r="D70" i="9" s="1"/>
  <c r="F70" i="9" s="1"/>
  <c r="H70" i="9" s="1"/>
  <c r="B71" i="9" s="1"/>
  <c r="AM41" i="9" l="1"/>
  <c r="AN41" i="9" s="1"/>
  <c r="AH42" i="9" s="1"/>
  <c r="AC43" i="9"/>
  <c r="AB43" i="9" s="1"/>
  <c r="AD43" i="9" s="1"/>
  <c r="AE43" i="9" s="1"/>
  <c r="W43" i="9"/>
  <c r="X43" i="9" s="1"/>
  <c r="R44" i="9" s="1"/>
  <c r="M38" i="9"/>
  <c r="E71" i="9"/>
  <c r="D71" i="9" s="1"/>
  <c r="F71" i="9" s="1"/>
  <c r="H71" i="9" s="1"/>
  <c r="B72" i="9" s="1"/>
  <c r="AF43" i="9" l="1"/>
  <c r="Z44" i="9" s="1"/>
  <c r="AC44" i="9" s="1"/>
  <c r="AB44" i="9" s="1"/>
  <c r="AD44" i="9" s="1"/>
  <c r="AK42" i="9"/>
  <c r="AJ42" i="9" s="1"/>
  <c r="AL42" i="9" s="1"/>
  <c r="U44" i="9"/>
  <c r="T44" i="9" s="1"/>
  <c r="V44" i="9" s="1"/>
  <c r="L38" i="9"/>
  <c r="E72" i="9"/>
  <c r="D72" i="9" s="1"/>
  <c r="F72" i="9" s="1"/>
  <c r="H72" i="9" s="1"/>
  <c r="B73" i="9" s="1"/>
  <c r="AM42" i="9" l="1"/>
  <c r="AN42" i="9" s="1"/>
  <c r="AH43" i="9" s="1"/>
  <c r="AE44" i="9"/>
  <c r="AF44" i="9" s="1"/>
  <c r="Z45" i="9" s="1"/>
  <c r="W44" i="9"/>
  <c r="X44" i="9" s="1"/>
  <c r="R45" i="9" s="1"/>
  <c r="N38" i="9"/>
  <c r="E73" i="9"/>
  <c r="D73" i="9" s="1"/>
  <c r="F73" i="9" s="1"/>
  <c r="H73" i="9" s="1"/>
  <c r="B74" i="9" s="1"/>
  <c r="AK43" i="9" l="1"/>
  <c r="AJ43" i="9" s="1"/>
  <c r="AL43" i="9" s="1"/>
  <c r="AC45" i="9"/>
  <c r="AB45" i="9" s="1"/>
  <c r="AD45" i="9" s="1"/>
  <c r="AE45" i="9" s="1"/>
  <c r="AF45" i="9" s="1"/>
  <c r="Z46" i="9" s="1"/>
  <c r="U45" i="9"/>
  <c r="T45" i="9"/>
  <c r="V45" i="9" s="1"/>
  <c r="W45" i="9" s="1"/>
  <c r="X45" i="9" s="1"/>
  <c r="R46" i="9" s="1"/>
  <c r="O38" i="9"/>
  <c r="P38" i="9" s="1"/>
  <c r="E74" i="9"/>
  <c r="D74" i="9" s="1"/>
  <c r="AM43" i="9" l="1"/>
  <c r="AN43" i="9" s="1"/>
  <c r="AH44" i="9" s="1"/>
  <c r="AC46" i="9"/>
  <c r="AB46" i="9" s="1"/>
  <c r="AD46" i="9" s="1"/>
  <c r="U46" i="9"/>
  <c r="T46" i="9" s="1"/>
  <c r="V46" i="9" s="1"/>
  <c r="W46" i="9" s="1"/>
  <c r="X46" i="9" s="1"/>
  <c r="R47" i="9" s="1"/>
  <c r="J39" i="9"/>
  <c r="F74" i="9"/>
  <c r="H74" i="9" s="1"/>
  <c r="B75" i="9" s="1"/>
  <c r="AK44" i="9" l="1"/>
  <c r="AJ44" i="9" s="1"/>
  <c r="AL44" i="9" s="1"/>
  <c r="AM44" i="9" s="1"/>
  <c r="AE46" i="9"/>
  <c r="AF46" i="9" s="1"/>
  <c r="Z47" i="9" s="1"/>
  <c r="U47" i="9"/>
  <c r="T47" i="9"/>
  <c r="V47" i="9" s="1"/>
  <c r="W47" i="9" s="1"/>
  <c r="X47" i="9" s="1"/>
  <c r="R48" i="9" s="1"/>
  <c r="M39" i="9"/>
  <c r="L39" i="9" s="1"/>
  <c r="E75" i="9"/>
  <c r="D75" i="9" s="1"/>
  <c r="AN44" i="9" l="1"/>
  <c r="AH45" i="9" s="1"/>
  <c r="AC47" i="9"/>
  <c r="AB47" i="9" s="1"/>
  <c r="AD47" i="9" s="1"/>
  <c r="U48" i="9"/>
  <c r="T48" i="9" s="1"/>
  <c r="V48" i="9" s="1"/>
  <c r="N39" i="9"/>
  <c r="F75" i="9"/>
  <c r="H75" i="9" s="1"/>
  <c r="B76" i="9" s="1"/>
  <c r="AK45" i="9" l="1"/>
  <c r="AJ45" i="9" s="1"/>
  <c r="AL45" i="9" s="1"/>
  <c r="AM45" i="9" s="1"/>
  <c r="AE47" i="9"/>
  <c r="AF47" i="9" s="1"/>
  <c r="Z48" i="9" s="1"/>
  <c r="W48" i="9"/>
  <c r="X48" i="9" s="1"/>
  <c r="R49" i="9" s="1"/>
  <c r="O39" i="9"/>
  <c r="P39" i="9" s="1"/>
  <c r="E76" i="9"/>
  <c r="D76" i="9" s="1"/>
  <c r="AN45" i="9" l="1"/>
  <c r="AH46" i="9" s="1"/>
  <c r="AC48" i="9"/>
  <c r="AB48" i="9" s="1"/>
  <c r="AD48" i="9" s="1"/>
  <c r="U49" i="9"/>
  <c r="T49" i="9" s="1"/>
  <c r="V49" i="9" s="1"/>
  <c r="J40" i="9"/>
  <c r="F76" i="9"/>
  <c r="H76" i="9" s="1"/>
  <c r="B77" i="9" s="1"/>
  <c r="AK46" i="9" l="1"/>
  <c r="AJ46" i="9" s="1"/>
  <c r="AL46" i="9" s="1"/>
  <c r="AE48" i="9"/>
  <c r="AF48" i="9" s="1"/>
  <c r="Z49" i="9" s="1"/>
  <c r="W49" i="9"/>
  <c r="X49" i="9" s="1"/>
  <c r="R50" i="9" s="1"/>
  <c r="M40" i="9"/>
  <c r="L40" i="9"/>
  <c r="E77" i="9"/>
  <c r="D77" i="9" s="1"/>
  <c r="AM46" i="9" l="1"/>
  <c r="AN46" i="9" s="1"/>
  <c r="AH47" i="9" s="1"/>
  <c r="AC49" i="9"/>
  <c r="AB49" i="9" s="1"/>
  <c r="AD49" i="9" s="1"/>
  <c r="U50" i="9"/>
  <c r="T50" i="9"/>
  <c r="V50" i="9" s="1"/>
  <c r="N40" i="9"/>
  <c r="F77" i="9"/>
  <c r="H77" i="9" s="1"/>
  <c r="B78" i="9" s="1"/>
  <c r="W50" i="9" l="1"/>
  <c r="X50" i="9" s="1"/>
  <c r="R51" i="9" s="1"/>
  <c r="AK47" i="9"/>
  <c r="AJ47" i="9" s="1"/>
  <c r="AL47" i="9" s="1"/>
  <c r="AM47" i="9" s="1"/>
  <c r="AE49" i="9"/>
  <c r="AF49" i="9" s="1"/>
  <c r="Z50" i="9" s="1"/>
  <c r="O40" i="9"/>
  <c r="P40" i="9" s="1"/>
  <c r="E78" i="9"/>
  <c r="D78" i="9" s="1"/>
  <c r="U51" i="9" l="1"/>
  <c r="T51" i="9" s="1"/>
  <c r="V51" i="9" s="1"/>
  <c r="AN47" i="9"/>
  <c r="AH48" i="9" s="1"/>
  <c r="AC50" i="9"/>
  <c r="AB50" i="9" s="1"/>
  <c r="AD50" i="9" s="1"/>
  <c r="J41" i="9"/>
  <c r="F78" i="9"/>
  <c r="H78" i="9" s="1"/>
  <c r="B79" i="9" s="1"/>
  <c r="W51" i="9" l="1"/>
  <c r="X51" i="9" s="1"/>
  <c r="R52" i="9" s="1"/>
  <c r="AK48" i="9"/>
  <c r="AJ48" i="9"/>
  <c r="AL48" i="9" s="1"/>
  <c r="AM48" i="9" s="1"/>
  <c r="AE50" i="9"/>
  <c r="AF50" i="9" s="1"/>
  <c r="Z51" i="9" s="1"/>
  <c r="M41" i="9"/>
  <c r="L41" i="9" s="1"/>
  <c r="E79" i="9"/>
  <c r="D79" i="9" s="1"/>
  <c r="F79" i="9" s="1"/>
  <c r="H79" i="9" s="1"/>
  <c r="B80" i="9" s="1"/>
  <c r="U52" i="9" l="1"/>
  <c r="T52" i="9" s="1"/>
  <c r="V52" i="9" s="1"/>
  <c r="W52" i="9" s="1"/>
  <c r="X52" i="9" s="1"/>
  <c r="R53" i="9" s="1"/>
  <c r="U53" i="9" s="1"/>
  <c r="T53" i="9" s="1"/>
  <c r="V53" i="9" s="1"/>
  <c r="AN48" i="9"/>
  <c r="AH49" i="9" s="1"/>
  <c r="AK49" i="9" s="1"/>
  <c r="AJ49" i="9" s="1"/>
  <c r="AL49" i="9" s="1"/>
  <c r="AC51" i="9"/>
  <c r="AB51" i="9" s="1"/>
  <c r="AD51" i="9" s="1"/>
  <c r="N41" i="9"/>
  <c r="E80" i="9"/>
  <c r="D80" i="9" s="1"/>
  <c r="F80" i="9" s="1"/>
  <c r="H80" i="9" s="1"/>
  <c r="B81" i="9" s="1"/>
  <c r="AM49" i="9" l="1"/>
  <c r="AN49" i="9" s="1"/>
  <c r="AH50" i="9" s="1"/>
  <c r="AE51" i="9"/>
  <c r="AF51" i="9" s="1"/>
  <c r="Z52" i="9" s="1"/>
  <c r="W53" i="9"/>
  <c r="X53" i="9" s="1"/>
  <c r="R54" i="9" s="1"/>
  <c r="O41" i="9"/>
  <c r="P41" i="9" s="1"/>
  <c r="E81" i="9"/>
  <c r="D81" i="9" s="1"/>
  <c r="F81" i="9" s="1"/>
  <c r="H81" i="9" s="1"/>
  <c r="B82" i="9" s="1"/>
  <c r="AK50" i="9" l="1"/>
  <c r="AJ50" i="9" s="1"/>
  <c r="AL50" i="9" s="1"/>
  <c r="AM50" i="9" s="1"/>
  <c r="AC52" i="9"/>
  <c r="AB52" i="9"/>
  <c r="AD52" i="9" s="1"/>
  <c r="AE52" i="9" s="1"/>
  <c r="U54" i="9"/>
  <c r="T54" i="9" s="1"/>
  <c r="V54" i="9" s="1"/>
  <c r="J42" i="9"/>
  <c r="E82" i="9"/>
  <c r="D82" i="9" s="1"/>
  <c r="F82" i="9" s="1"/>
  <c r="H82" i="9" s="1"/>
  <c r="B83" i="9" s="1"/>
  <c r="AN50" i="9" l="1"/>
  <c r="AH51" i="9" s="1"/>
  <c r="AF52" i="9"/>
  <c r="Z53" i="9" s="1"/>
  <c r="W54" i="9"/>
  <c r="X54" i="9" s="1"/>
  <c r="R55" i="9" s="1"/>
  <c r="M42" i="9"/>
  <c r="L42" i="9" s="1"/>
  <c r="E83" i="9"/>
  <c r="D83" i="9" s="1"/>
  <c r="F83" i="9" s="1"/>
  <c r="H83" i="9" s="1"/>
  <c r="B84" i="9" s="1"/>
  <c r="AK51" i="9" l="1"/>
  <c r="AJ51" i="9" s="1"/>
  <c r="AL51" i="9" s="1"/>
  <c r="AC53" i="9"/>
  <c r="AB53" i="9" s="1"/>
  <c r="AD53" i="9" s="1"/>
  <c r="U55" i="9"/>
  <c r="T55" i="9" s="1"/>
  <c r="V55" i="9" s="1"/>
  <c r="W55" i="9" s="1"/>
  <c r="N42" i="9"/>
  <c r="E84" i="9"/>
  <c r="D84" i="9" s="1"/>
  <c r="F84" i="9" s="1"/>
  <c r="H84" i="9" s="1"/>
  <c r="B85" i="9" s="1"/>
  <c r="AM51" i="9" l="1"/>
  <c r="AN51" i="9" s="1"/>
  <c r="AH52" i="9" s="1"/>
  <c r="AE53" i="9"/>
  <c r="AF53" i="9" s="1"/>
  <c r="Z54" i="9" s="1"/>
  <c r="X55" i="9"/>
  <c r="R56" i="9" s="1"/>
  <c r="O42" i="9"/>
  <c r="P42" i="9" s="1"/>
  <c r="E85" i="9"/>
  <c r="D85" i="9" s="1"/>
  <c r="F85" i="9" s="1"/>
  <c r="H85" i="9" s="1"/>
  <c r="B86" i="9" s="1"/>
  <c r="AK52" i="9" l="1"/>
  <c r="AJ52" i="9" s="1"/>
  <c r="AL52" i="9" s="1"/>
  <c r="AC54" i="9"/>
  <c r="AB54" i="9" s="1"/>
  <c r="AD54" i="9" s="1"/>
  <c r="AE54" i="9" s="1"/>
  <c r="AF54" i="9" s="1"/>
  <c r="Z55" i="9" s="1"/>
  <c r="U56" i="9"/>
  <c r="T56" i="9"/>
  <c r="V56" i="9" s="1"/>
  <c r="W56" i="9" s="1"/>
  <c r="J43" i="9"/>
  <c r="E86" i="9"/>
  <c r="D86" i="9" s="1"/>
  <c r="AM52" i="9" l="1"/>
  <c r="AN52" i="9" s="1"/>
  <c r="AH53" i="9" s="1"/>
  <c r="AC55" i="9"/>
  <c r="AB55" i="9"/>
  <c r="AD55" i="9" s="1"/>
  <c r="X56" i="9"/>
  <c r="R57" i="9" s="1"/>
  <c r="M43" i="9"/>
  <c r="L43" i="9" s="1"/>
  <c r="N43" i="9" s="1"/>
  <c r="F86" i="9"/>
  <c r="H86" i="9" s="1"/>
  <c r="B87" i="9" s="1"/>
  <c r="AK53" i="9" l="1"/>
  <c r="AJ53" i="9" s="1"/>
  <c r="AL53" i="9" s="1"/>
  <c r="AE55" i="9"/>
  <c r="AF55" i="9" s="1"/>
  <c r="Z56" i="9" s="1"/>
  <c r="U57" i="9"/>
  <c r="T57" i="9" s="1"/>
  <c r="V57" i="9" s="1"/>
  <c r="W57" i="9" s="1"/>
  <c r="O43" i="9"/>
  <c r="P43" i="9" s="1"/>
  <c r="J44" i="9" s="1"/>
  <c r="E87" i="9"/>
  <c r="D87" i="9" s="1"/>
  <c r="AM53" i="9" l="1"/>
  <c r="AN53" i="9" s="1"/>
  <c r="AH54" i="9" s="1"/>
  <c r="AC56" i="9"/>
  <c r="AB56" i="9" s="1"/>
  <c r="AD56" i="9" s="1"/>
  <c r="X57" i="9"/>
  <c r="R58" i="9" s="1"/>
  <c r="M44" i="9"/>
  <c r="L44" i="9" s="1"/>
  <c r="N44" i="9" s="1"/>
  <c r="F87" i="9"/>
  <c r="H87" i="9" s="1"/>
  <c r="B88" i="9" s="1"/>
  <c r="AE56" i="9" l="1"/>
  <c r="AF56" i="9" s="1"/>
  <c r="Z57" i="9" s="1"/>
  <c r="AC57" i="9" s="1"/>
  <c r="AB57" i="9" s="1"/>
  <c r="AD57" i="9" s="1"/>
  <c r="AK54" i="9"/>
  <c r="AJ54" i="9" s="1"/>
  <c r="AL54" i="9" s="1"/>
  <c r="U58" i="9"/>
  <c r="T58" i="9" s="1"/>
  <c r="V58" i="9" s="1"/>
  <c r="O44" i="9"/>
  <c r="P44" i="9" s="1"/>
  <c r="J45" i="9" s="1"/>
  <c r="E88" i="9"/>
  <c r="D88" i="9" s="1"/>
  <c r="AM54" i="9" l="1"/>
  <c r="AN54" i="9" s="1"/>
  <c r="AH55" i="9" s="1"/>
  <c r="AE57" i="9"/>
  <c r="AF57" i="9" s="1"/>
  <c r="Z58" i="9" s="1"/>
  <c r="W58" i="9"/>
  <c r="X58" i="9" s="1"/>
  <c r="R59" i="9" s="1"/>
  <c r="M45" i="9"/>
  <c r="L45" i="9" s="1"/>
  <c r="N45" i="9" s="1"/>
  <c r="F88" i="9"/>
  <c r="H88" i="9" s="1"/>
  <c r="B89" i="9" s="1"/>
  <c r="AK55" i="9" l="1"/>
  <c r="AJ55" i="9" s="1"/>
  <c r="AL55" i="9" s="1"/>
  <c r="AC58" i="9"/>
  <c r="AB58" i="9" s="1"/>
  <c r="AD58" i="9" s="1"/>
  <c r="U59" i="9"/>
  <c r="T59" i="9" s="1"/>
  <c r="V59" i="9" s="1"/>
  <c r="O45" i="9"/>
  <c r="P45" i="9" s="1"/>
  <c r="J46" i="9" s="1"/>
  <c r="E89" i="9"/>
  <c r="D89" i="9" s="1"/>
  <c r="W59" i="9" l="1"/>
  <c r="X59" i="9" s="1"/>
  <c r="R60" i="9" s="1"/>
  <c r="U60" i="9" s="1"/>
  <c r="T60" i="9" s="1"/>
  <c r="V60" i="9" s="1"/>
  <c r="AE58" i="9"/>
  <c r="AF58" i="9" s="1"/>
  <c r="Z59" i="9" s="1"/>
  <c r="AC59" i="9" s="1"/>
  <c r="AB59" i="9" s="1"/>
  <c r="AD59" i="9" s="1"/>
  <c r="AM55" i="9"/>
  <c r="AN55" i="9" s="1"/>
  <c r="AH56" i="9" s="1"/>
  <c r="M46" i="9"/>
  <c r="L46" i="9" s="1"/>
  <c r="N46" i="9" s="1"/>
  <c r="F89" i="9"/>
  <c r="H89" i="9" s="1"/>
  <c r="B90" i="9" s="1"/>
  <c r="AK56" i="9" l="1"/>
  <c r="AJ56" i="9" s="1"/>
  <c r="AL56" i="9" s="1"/>
  <c r="AE59" i="9"/>
  <c r="AF59" i="9" s="1"/>
  <c r="Z60" i="9" s="1"/>
  <c r="W60" i="9"/>
  <c r="X60" i="9" s="1"/>
  <c r="R61" i="9" s="1"/>
  <c r="O46" i="9"/>
  <c r="P46" i="9" s="1"/>
  <c r="J47" i="9" s="1"/>
  <c r="E90" i="9"/>
  <c r="D90" i="9" s="1"/>
  <c r="AM56" i="9" l="1"/>
  <c r="AN56" i="9" s="1"/>
  <c r="AH57" i="9" s="1"/>
  <c r="AC60" i="9"/>
  <c r="AB60" i="9" s="1"/>
  <c r="AD60" i="9" s="1"/>
  <c r="U61" i="9"/>
  <c r="T61" i="9" s="1"/>
  <c r="V61" i="9" s="1"/>
  <c r="M47" i="9"/>
  <c r="L47" i="9" s="1"/>
  <c r="N47" i="9" s="1"/>
  <c r="F90" i="9"/>
  <c r="H90" i="9" s="1"/>
  <c r="B91" i="9" s="1"/>
  <c r="AK57" i="9" l="1"/>
  <c r="AJ57" i="9" s="1"/>
  <c r="AL57" i="9" s="1"/>
  <c r="AE60" i="9"/>
  <c r="AF60" i="9" s="1"/>
  <c r="Z61" i="9" s="1"/>
  <c r="W61" i="9"/>
  <c r="X61" i="9" s="1"/>
  <c r="R62" i="9" s="1"/>
  <c r="O47" i="9"/>
  <c r="P47" i="9" s="1"/>
  <c r="J48" i="9" s="1"/>
  <c r="E91" i="9"/>
  <c r="D91" i="9" s="1"/>
  <c r="F91" i="9" s="1"/>
  <c r="H91" i="9" s="1"/>
  <c r="B92" i="9" s="1"/>
  <c r="AM57" i="9" l="1"/>
  <c r="AN57" i="9" s="1"/>
  <c r="AH58" i="9" s="1"/>
  <c r="AC61" i="9"/>
  <c r="AB61" i="9"/>
  <c r="AD61" i="9" s="1"/>
  <c r="U62" i="9"/>
  <c r="T62" i="9" s="1"/>
  <c r="V62" i="9" s="1"/>
  <c r="M48" i="9"/>
  <c r="L48" i="9" s="1"/>
  <c r="N48" i="9" s="1"/>
  <c r="E92" i="9"/>
  <c r="D92" i="9" s="1"/>
  <c r="F92" i="9" s="1"/>
  <c r="H92" i="9" s="1"/>
  <c r="B93" i="9" s="1"/>
  <c r="AK58" i="9" l="1"/>
  <c r="AJ58" i="9" s="1"/>
  <c r="AL58" i="9" s="1"/>
  <c r="AE61" i="9"/>
  <c r="AF61" i="9" s="1"/>
  <c r="Z62" i="9" s="1"/>
  <c r="W62" i="9"/>
  <c r="X62" i="9" s="1"/>
  <c r="R63" i="9" s="1"/>
  <c r="O48" i="9"/>
  <c r="P48" i="9" s="1"/>
  <c r="J49" i="9" s="1"/>
  <c r="E93" i="9"/>
  <c r="D93" i="9" s="1"/>
  <c r="F93" i="9" s="1"/>
  <c r="H93" i="9" s="1"/>
  <c r="B94" i="9" s="1"/>
  <c r="AM58" i="9" l="1"/>
  <c r="AN58" i="9" s="1"/>
  <c r="AH59" i="9" s="1"/>
  <c r="AC62" i="9"/>
  <c r="AB62" i="9" s="1"/>
  <c r="U63" i="9"/>
  <c r="T63" i="9" s="1"/>
  <c r="V63" i="9" s="1"/>
  <c r="M49" i="9"/>
  <c r="E94" i="9"/>
  <c r="D94" i="9" s="1"/>
  <c r="F94" i="9" s="1"/>
  <c r="H94" i="9" s="1"/>
  <c r="B95" i="9" s="1"/>
  <c r="AD62" i="9" l="1"/>
  <c r="AE62" i="9" s="1"/>
  <c r="C24" i="7" a="1"/>
  <c r="C24" i="7" s="1"/>
  <c r="AK59" i="9"/>
  <c r="AJ59" i="9" s="1"/>
  <c r="AL59" i="9" s="1"/>
  <c r="W63" i="9"/>
  <c r="X63" i="9" s="1"/>
  <c r="R64" i="9" s="1"/>
  <c r="L49" i="9"/>
  <c r="N49" i="9" s="1"/>
  <c r="E95" i="9"/>
  <c r="D95" i="9" s="1"/>
  <c r="F95" i="9" s="1"/>
  <c r="H95" i="9" s="1"/>
  <c r="B96" i="9" s="1"/>
  <c r="AF62" i="9" l="1"/>
  <c r="Z63" i="9" s="1"/>
  <c r="AC63" i="9" s="1"/>
  <c r="AM59" i="9"/>
  <c r="AN59" i="9" s="1"/>
  <c r="AH60" i="9" s="1"/>
  <c r="U64" i="9"/>
  <c r="T64" i="9" s="1"/>
  <c r="V64" i="9" s="1"/>
  <c r="O49" i="9"/>
  <c r="P49" i="9" s="1"/>
  <c r="J50" i="9" s="1"/>
  <c r="E96" i="9"/>
  <c r="D96" i="9" s="1"/>
  <c r="F96" i="9" s="1"/>
  <c r="H96" i="9" s="1"/>
  <c r="B97" i="9" s="1"/>
  <c r="AB63" i="9" l="1"/>
  <c r="AD63" i="9" s="1"/>
  <c r="AE63" i="9" s="1"/>
  <c r="AF63" i="9" s="1"/>
  <c r="Z64" i="9" s="1"/>
  <c r="AC64" i="9" s="1"/>
  <c r="AK60" i="9"/>
  <c r="AJ60" i="9" s="1"/>
  <c r="AL60" i="9" s="1"/>
  <c r="W64" i="9"/>
  <c r="X64" i="9" s="1"/>
  <c r="R65" i="9" s="1"/>
  <c r="M50" i="9"/>
  <c r="L50" i="9" s="1"/>
  <c r="N50" i="9" s="1"/>
  <c r="E97" i="9"/>
  <c r="D97" i="9" s="1"/>
  <c r="F97" i="9" s="1"/>
  <c r="H97" i="9" s="1"/>
  <c r="B98" i="9" s="1"/>
  <c r="AB64" i="9" l="1"/>
  <c r="AD64" i="9" s="1"/>
  <c r="AE64" i="9" s="1"/>
  <c r="AF64" i="9" s="1"/>
  <c r="Z65" i="9" s="1"/>
  <c r="AM60" i="9"/>
  <c r="AN60" i="9" s="1"/>
  <c r="AH61" i="9" s="1"/>
  <c r="U65" i="9"/>
  <c r="T65" i="9" s="1"/>
  <c r="V65" i="9" s="1"/>
  <c r="W65" i="9" s="1"/>
  <c r="X65" i="9" s="1"/>
  <c r="R66" i="9" s="1"/>
  <c r="O50" i="9"/>
  <c r="P50" i="9" s="1"/>
  <c r="E98" i="9"/>
  <c r="D98" i="9" s="1"/>
  <c r="AC65" i="9" l="1"/>
  <c r="AB65" i="9"/>
  <c r="AD65" i="9" s="1"/>
  <c r="AE65" i="9" s="1"/>
  <c r="AF65" i="9" s="1"/>
  <c r="Z66" i="9" s="1"/>
  <c r="AK61" i="9"/>
  <c r="AJ61" i="9"/>
  <c r="AL61" i="9" s="1"/>
  <c r="AM61" i="9" s="1"/>
  <c r="U66" i="9"/>
  <c r="T66" i="9" s="1"/>
  <c r="V66" i="9" s="1"/>
  <c r="J51" i="9"/>
  <c r="F98" i="9"/>
  <c r="H98" i="9" s="1"/>
  <c r="B99" i="9" s="1"/>
  <c r="AN61" i="9" l="1"/>
  <c r="AH62" i="9" s="1"/>
  <c r="AC66" i="9"/>
  <c r="AB66" i="9" s="1"/>
  <c r="AD66" i="9" s="1"/>
  <c r="AE66" i="9" s="1"/>
  <c r="W66" i="9"/>
  <c r="X66" i="9" s="1"/>
  <c r="R67" i="9" s="1"/>
  <c r="M51" i="9"/>
  <c r="L51" i="9" s="1"/>
  <c r="N51" i="9" s="1"/>
  <c r="O51" i="9" s="1"/>
  <c r="E99" i="9"/>
  <c r="D99" i="9" s="1"/>
  <c r="AK62" i="9" l="1"/>
  <c r="AJ62" i="9" s="1"/>
  <c r="AF66" i="9"/>
  <c r="Z67" i="9" s="1"/>
  <c r="U67" i="9"/>
  <c r="T67" i="9" s="1"/>
  <c r="V67" i="9" s="1"/>
  <c r="P51" i="9"/>
  <c r="F99" i="9"/>
  <c r="H99" i="9" s="1"/>
  <c r="B100" i="9" s="1"/>
  <c r="AL62" i="9" l="1"/>
  <c r="AM62" i="9" s="1"/>
  <c r="AN62" i="9" s="1"/>
  <c r="AH63" i="9" s="1"/>
  <c r="C25" i="7" a="1"/>
  <c r="C25" i="7" s="1"/>
  <c r="H11" i="7" s="1"/>
  <c r="AC67" i="9"/>
  <c r="AB67" i="9" s="1"/>
  <c r="AD67" i="9" s="1"/>
  <c r="W67" i="9"/>
  <c r="X67" i="9" s="1"/>
  <c r="R68" i="9" s="1"/>
  <c r="J52" i="9"/>
  <c r="E100" i="9"/>
  <c r="D100" i="9" s="1"/>
  <c r="AK63" i="9" l="1"/>
  <c r="AJ63" i="9" s="1"/>
  <c r="AL63" i="9" s="1"/>
  <c r="AE67" i="9"/>
  <c r="AF67" i="9" s="1"/>
  <c r="Z68" i="9" s="1"/>
  <c r="U68" i="9"/>
  <c r="T68" i="9" s="1"/>
  <c r="V68" i="9" s="1"/>
  <c r="M52" i="9"/>
  <c r="L52" i="9" s="1"/>
  <c r="N52" i="9" s="1"/>
  <c r="O52" i="9" s="1"/>
  <c r="P52" i="9" s="1"/>
  <c r="F100" i="9"/>
  <c r="H100" i="9" s="1"/>
  <c r="B101" i="9" s="1"/>
  <c r="AM63" i="9" l="1"/>
  <c r="AN63" i="9" s="1"/>
  <c r="AH64" i="9" s="1"/>
  <c r="AC68" i="9"/>
  <c r="AB68" i="9"/>
  <c r="AD68" i="9" s="1"/>
  <c r="AE68" i="9" s="1"/>
  <c r="AF68" i="9" s="1"/>
  <c r="Z69" i="9" s="1"/>
  <c r="W68" i="9"/>
  <c r="X68" i="9" s="1"/>
  <c r="R69" i="9" s="1"/>
  <c r="J53" i="9"/>
  <c r="E101" i="9"/>
  <c r="D101" i="9" s="1"/>
  <c r="AK64" i="9" l="1"/>
  <c r="AJ64" i="9" s="1"/>
  <c r="AL64" i="9" s="1"/>
  <c r="AM64" i="9" s="1"/>
  <c r="AC69" i="9"/>
  <c r="AB69" i="9" s="1"/>
  <c r="AD69" i="9" s="1"/>
  <c r="AE69" i="9" s="1"/>
  <c r="AF69" i="9" s="1"/>
  <c r="Z70" i="9" s="1"/>
  <c r="U69" i="9"/>
  <c r="T69" i="9" s="1"/>
  <c r="V69" i="9" s="1"/>
  <c r="W69" i="9" s="1"/>
  <c r="X69" i="9" s="1"/>
  <c r="R70" i="9" s="1"/>
  <c r="M53" i="9"/>
  <c r="L53" i="9" s="1"/>
  <c r="N53" i="9" s="1"/>
  <c r="F101" i="9"/>
  <c r="H101" i="9" s="1"/>
  <c r="B102" i="9" s="1"/>
  <c r="AN64" i="9" l="1"/>
  <c r="AH65" i="9" s="1"/>
  <c r="AK65" i="9" s="1"/>
  <c r="AJ65" i="9" s="1"/>
  <c r="AL65" i="9" s="1"/>
  <c r="AC70" i="9"/>
  <c r="AB70" i="9"/>
  <c r="AD70" i="9" s="1"/>
  <c r="AE70" i="9" s="1"/>
  <c r="U70" i="9"/>
  <c r="T70" i="9"/>
  <c r="V70" i="9" s="1"/>
  <c r="W70" i="9" s="1"/>
  <c r="O53" i="9"/>
  <c r="P53" i="9" s="1"/>
  <c r="E102" i="9"/>
  <c r="D102" i="9" s="1"/>
  <c r="AF70" i="9" l="1"/>
  <c r="Z71" i="9" s="1"/>
  <c r="X70" i="9"/>
  <c r="R71" i="9" s="1"/>
  <c r="U71" i="9" s="1"/>
  <c r="T71" i="9" s="1"/>
  <c r="V71" i="9" s="1"/>
  <c r="W71" i="9" s="1"/>
  <c r="X71" i="9" s="1"/>
  <c r="R72" i="9" s="1"/>
  <c r="AM65" i="9"/>
  <c r="AN65" i="9" s="1"/>
  <c r="AH66" i="9" s="1"/>
  <c r="AC71" i="9"/>
  <c r="AB71" i="9" s="1"/>
  <c r="AD71" i="9" s="1"/>
  <c r="J54" i="9"/>
  <c r="F102" i="9"/>
  <c r="H102" i="9" s="1"/>
  <c r="B103" i="9" s="1"/>
  <c r="AK66" i="9" l="1"/>
  <c r="AJ66" i="9" s="1"/>
  <c r="AL66" i="9" s="1"/>
  <c r="AE71" i="9"/>
  <c r="AF71" i="9" s="1"/>
  <c r="Z72" i="9" s="1"/>
  <c r="U72" i="9"/>
  <c r="T72" i="9" s="1"/>
  <c r="V72" i="9" s="1"/>
  <c r="M54" i="9"/>
  <c r="L54" i="9" s="1"/>
  <c r="N54" i="9" s="1"/>
  <c r="E103" i="9"/>
  <c r="D103" i="9" s="1"/>
  <c r="F103" i="9" s="1"/>
  <c r="H103" i="9" s="1"/>
  <c r="B104" i="9" s="1"/>
  <c r="AM66" i="9" l="1"/>
  <c r="AN66" i="9" s="1"/>
  <c r="AH67" i="9" s="1"/>
  <c r="AC72" i="9"/>
  <c r="AB72" i="9" s="1"/>
  <c r="AD72" i="9" s="1"/>
  <c r="AE72" i="9" s="1"/>
  <c r="W72" i="9"/>
  <c r="X72" i="9" s="1"/>
  <c r="R73" i="9" s="1"/>
  <c r="O54" i="9"/>
  <c r="P54" i="9" s="1"/>
  <c r="E104" i="9"/>
  <c r="D104" i="9" s="1"/>
  <c r="F104" i="9" s="1"/>
  <c r="H104" i="9" s="1"/>
  <c r="B105" i="9" s="1"/>
  <c r="AF72" i="9" l="1"/>
  <c r="Z73" i="9" s="1"/>
  <c r="AK67" i="9"/>
  <c r="AJ67" i="9" s="1"/>
  <c r="AL67" i="9" s="1"/>
  <c r="AC73" i="9"/>
  <c r="AB73" i="9" s="1"/>
  <c r="AD73" i="9" s="1"/>
  <c r="U73" i="9"/>
  <c r="T73" i="9" s="1"/>
  <c r="V73" i="9" s="1"/>
  <c r="J55" i="9"/>
  <c r="E105" i="9"/>
  <c r="D105" i="9" s="1"/>
  <c r="F105" i="9" s="1"/>
  <c r="H105" i="9" s="1"/>
  <c r="B106" i="9" s="1"/>
  <c r="AM67" i="9" l="1"/>
  <c r="AN67" i="9" s="1"/>
  <c r="AH68" i="9" s="1"/>
  <c r="AE73" i="9"/>
  <c r="AF73" i="9" s="1"/>
  <c r="Z74" i="9" s="1"/>
  <c r="W73" i="9"/>
  <c r="X73" i="9" s="1"/>
  <c r="R74" i="9" s="1"/>
  <c r="M55" i="9"/>
  <c r="L55" i="9" s="1"/>
  <c r="N55" i="9" s="1"/>
  <c r="E106" i="9"/>
  <c r="D106" i="9" s="1"/>
  <c r="F106" i="9" s="1"/>
  <c r="H106" i="9" s="1"/>
  <c r="B107" i="9" s="1"/>
  <c r="O55" i="9" l="1"/>
  <c r="P55" i="9" s="1"/>
  <c r="J56" i="9" s="1"/>
  <c r="AK68" i="9"/>
  <c r="AJ68" i="9"/>
  <c r="AL68" i="9" s="1"/>
  <c r="AM68" i="9" s="1"/>
  <c r="AN68" i="9" s="1"/>
  <c r="AH69" i="9" s="1"/>
  <c r="AC74" i="9"/>
  <c r="AB74" i="9"/>
  <c r="AD74" i="9" s="1"/>
  <c r="AE74" i="9" s="1"/>
  <c r="U74" i="9"/>
  <c r="T74" i="9"/>
  <c r="V74" i="9" s="1"/>
  <c r="E107" i="9"/>
  <c r="D107" i="9" s="1"/>
  <c r="F107" i="9" s="1"/>
  <c r="H107" i="9" s="1"/>
  <c r="B108" i="9" s="1"/>
  <c r="M56" i="9" l="1"/>
  <c r="L56" i="9" s="1"/>
  <c r="N56" i="9" s="1"/>
  <c r="AK69" i="9"/>
  <c r="AJ69" i="9" s="1"/>
  <c r="AL69" i="9" s="1"/>
  <c r="AF74" i="9"/>
  <c r="Z75" i="9" s="1"/>
  <c r="W74" i="9"/>
  <c r="X74" i="9" s="1"/>
  <c r="R75" i="9" s="1"/>
  <c r="E108" i="9"/>
  <c r="D108" i="9" s="1"/>
  <c r="F108" i="9" s="1"/>
  <c r="H108" i="9" s="1"/>
  <c r="B109" i="9" s="1"/>
  <c r="O56" i="9" l="1"/>
  <c r="P56" i="9" s="1"/>
  <c r="J57" i="9" s="1"/>
  <c r="M57" i="9" s="1"/>
  <c r="L57" i="9" s="1"/>
  <c r="N57" i="9" s="1"/>
  <c r="AM69" i="9"/>
  <c r="AN69" i="9" s="1"/>
  <c r="AH70" i="9" s="1"/>
  <c r="AC75" i="9"/>
  <c r="AB75" i="9"/>
  <c r="AD75" i="9" s="1"/>
  <c r="AE75" i="9" s="1"/>
  <c r="U75" i="9"/>
  <c r="T75" i="9"/>
  <c r="V75" i="9" s="1"/>
  <c r="E109" i="9"/>
  <c r="D109" i="9"/>
  <c r="F109" i="9" s="1"/>
  <c r="H109" i="9" s="1"/>
  <c r="B110" i="9" s="1"/>
  <c r="AK70" i="9" l="1"/>
  <c r="AJ70" i="9" s="1"/>
  <c r="AL70" i="9" s="1"/>
  <c r="AF75" i="9"/>
  <c r="Z76" i="9" s="1"/>
  <c r="W75" i="9"/>
  <c r="X75" i="9" s="1"/>
  <c r="R76" i="9" s="1"/>
  <c r="O57" i="9"/>
  <c r="P57" i="9" s="1"/>
  <c r="J58" i="9" s="1"/>
  <c r="E110" i="9"/>
  <c r="D110" i="9" s="1"/>
  <c r="AM70" i="9" l="1"/>
  <c r="AN70" i="9" s="1"/>
  <c r="AH71" i="9" s="1"/>
  <c r="AC76" i="9"/>
  <c r="AB76" i="9" s="1"/>
  <c r="AD76" i="9" s="1"/>
  <c r="U76" i="9"/>
  <c r="T76" i="9"/>
  <c r="V76" i="9" s="1"/>
  <c r="M58" i="9"/>
  <c r="L58" i="9" s="1"/>
  <c r="N58" i="9" s="1"/>
  <c r="F110" i="9"/>
  <c r="H110" i="9" s="1"/>
  <c r="B111" i="9" s="1"/>
  <c r="AE76" i="9" l="1"/>
  <c r="AF76" i="9" s="1"/>
  <c r="Z77" i="9" s="1"/>
  <c r="AK71" i="9"/>
  <c r="AJ71" i="9" s="1"/>
  <c r="AL71" i="9" s="1"/>
  <c r="W76" i="9"/>
  <c r="X76" i="9" s="1"/>
  <c r="R77" i="9" s="1"/>
  <c r="O58" i="9"/>
  <c r="P58" i="9" s="1"/>
  <c r="J59" i="9" s="1"/>
  <c r="E111" i="9"/>
  <c r="D111" i="9" s="1"/>
  <c r="AC77" i="9" l="1"/>
  <c r="AB77" i="9" s="1"/>
  <c r="AD77" i="9" s="1"/>
  <c r="AE77" i="9" s="1"/>
  <c r="AF77" i="9" s="1"/>
  <c r="Z78" i="9" s="1"/>
  <c r="AC78" i="9" s="1"/>
  <c r="AB78" i="9" s="1"/>
  <c r="AD78" i="9" s="1"/>
  <c r="AM71" i="9"/>
  <c r="AN71" i="9" s="1"/>
  <c r="AH72" i="9" s="1"/>
  <c r="U77" i="9"/>
  <c r="T77" i="9" s="1"/>
  <c r="V77" i="9" s="1"/>
  <c r="M59" i="9"/>
  <c r="L59" i="9" s="1"/>
  <c r="N59" i="9" s="1"/>
  <c r="F111" i="9"/>
  <c r="H111" i="9" s="1"/>
  <c r="B112" i="9" s="1"/>
  <c r="AK72" i="9" l="1"/>
  <c r="AJ72" i="9" s="1"/>
  <c r="AL72" i="9" s="1"/>
  <c r="AM72" i="9" s="1"/>
  <c r="AN72" i="9" s="1"/>
  <c r="AH73" i="9" s="1"/>
  <c r="AE78" i="9"/>
  <c r="AF78" i="9" s="1"/>
  <c r="Z79" i="9" s="1"/>
  <c r="W77" i="9"/>
  <c r="X77" i="9" s="1"/>
  <c r="R78" i="9" s="1"/>
  <c r="O59" i="9"/>
  <c r="P59" i="9" s="1"/>
  <c r="J60" i="9" s="1"/>
  <c r="E112" i="9"/>
  <c r="D112" i="9" s="1"/>
  <c r="AK73" i="9" l="1"/>
  <c r="AJ73" i="9" s="1"/>
  <c r="AL73" i="9" s="1"/>
  <c r="AC79" i="9"/>
  <c r="AB79" i="9" s="1"/>
  <c r="AD79" i="9" s="1"/>
  <c r="U78" i="9"/>
  <c r="T78" i="9" s="1"/>
  <c r="V78" i="9" s="1"/>
  <c r="M60" i="9"/>
  <c r="L60" i="9" s="1"/>
  <c r="N60" i="9" s="1"/>
  <c r="F112" i="9"/>
  <c r="H112" i="9" s="1"/>
  <c r="B113" i="9" s="1"/>
  <c r="AM73" i="9" l="1"/>
  <c r="AN73" i="9" s="1"/>
  <c r="AH74" i="9" s="1"/>
  <c r="AE79" i="9"/>
  <c r="AF79" i="9" s="1"/>
  <c r="Z80" i="9" s="1"/>
  <c r="W78" i="9"/>
  <c r="X78" i="9" s="1"/>
  <c r="R79" i="9" s="1"/>
  <c r="O60" i="9"/>
  <c r="P60" i="9" s="1"/>
  <c r="J61" i="9" s="1"/>
  <c r="E113" i="9"/>
  <c r="D113" i="9" s="1"/>
  <c r="AK74" i="9" l="1"/>
  <c r="AJ74" i="9" s="1"/>
  <c r="AL74" i="9" s="1"/>
  <c r="AC80" i="9"/>
  <c r="AB80" i="9" s="1"/>
  <c r="AD80" i="9" s="1"/>
  <c r="U79" i="9"/>
  <c r="T79" i="9" s="1"/>
  <c r="V79" i="9" s="1"/>
  <c r="M61" i="9"/>
  <c r="F113" i="9"/>
  <c r="H113" i="9" s="1"/>
  <c r="B114" i="9" s="1"/>
  <c r="AM74" i="9" l="1"/>
  <c r="AN74" i="9" s="1"/>
  <c r="AH75" i="9" s="1"/>
  <c r="AE80" i="9"/>
  <c r="AF80" i="9" s="1"/>
  <c r="Z81" i="9" s="1"/>
  <c r="W79" i="9"/>
  <c r="X79" i="9" s="1"/>
  <c r="R80" i="9" s="1"/>
  <c r="L61" i="9"/>
  <c r="N61" i="9" s="1"/>
  <c r="E114" i="9"/>
  <c r="D114" i="9" s="1"/>
  <c r="AK75" i="9" l="1"/>
  <c r="AJ75" i="9" s="1"/>
  <c r="AL75" i="9" s="1"/>
  <c r="AC81" i="9"/>
  <c r="AB81" i="9" s="1"/>
  <c r="AD81" i="9" s="1"/>
  <c r="U80" i="9"/>
  <c r="T80" i="9" s="1"/>
  <c r="V80" i="9" s="1"/>
  <c r="O61" i="9"/>
  <c r="P61" i="9" s="1"/>
  <c r="J62" i="9" s="1"/>
  <c r="F114" i="9"/>
  <c r="H114" i="9" s="1"/>
  <c r="B115" i="9" s="1"/>
  <c r="AM75" i="9" l="1"/>
  <c r="AN75" i="9" s="1"/>
  <c r="AH76" i="9" s="1"/>
  <c r="AE81" i="9"/>
  <c r="AF81" i="9" s="1"/>
  <c r="Z82" i="9" s="1"/>
  <c r="W80" i="9"/>
  <c r="X80" i="9" s="1"/>
  <c r="R81" i="9" s="1"/>
  <c r="M62" i="9"/>
  <c r="L62" i="9" s="1"/>
  <c r="N62" i="9" s="1"/>
  <c r="E115" i="9"/>
  <c r="D115" i="9" s="1"/>
  <c r="F115" i="9" s="1"/>
  <c r="H115" i="9" s="1"/>
  <c r="B116" i="9" s="1"/>
  <c r="AK76" i="9" l="1"/>
  <c r="AJ76" i="9"/>
  <c r="AL76" i="9" s="1"/>
  <c r="AM76" i="9" s="1"/>
  <c r="AC82" i="9"/>
  <c r="AB82" i="9" s="1"/>
  <c r="AD82" i="9" s="1"/>
  <c r="U81" i="9"/>
  <c r="T81" i="9" s="1"/>
  <c r="V81" i="9" s="1"/>
  <c r="W81" i="9" s="1"/>
  <c r="X81" i="9" s="1"/>
  <c r="R82" i="9" s="1"/>
  <c r="O62" i="9"/>
  <c r="P62" i="9" s="1"/>
  <c r="E116" i="9"/>
  <c r="D116" i="9" s="1"/>
  <c r="F116" i="9" s="1"/>
  <c r="H116" i="9" s="1"/>
  <c r="B117" i="9" s="1"/>
  <c r="AE82" i="9" l="1"/>
  <c r="AF82" i="9" s="1"/>
  <c r="Z83" i="9" s="1"/>
  <c r="AC83" i="9" s="1"/>
  <c r="AB83" i="9" s="1"/>
  <c r="AD83" i="9" s="1"/>
  <c r="AN76" i="9"/>
  <c r="AH77" i="9" s="1"/>
  <c r="U82" i="9"/>
  <c r="T82" i="9" s="1"/>
  <c r="V82" i="9" s="1"/>
  <c r="J63" i="9"/>
  <c r="E117" i="9"/>
  <c r="D117" i="9"/>
  <c r="F117" i="9" s="1"/>
  <c r="H117" i="9" s="1"/>
  <c r="B118" i="9" s="1"/>
  <c r="AK77" i="9" l="1"/>
  <c r="AJ77" i="9" s="1"/>
  <c r="AL77" i="9" s="1"/>
  <c r="AE83" i="9"/>
  <c r="AF83" i="9" s="1"/>
  <c r="Z84" i="9" s="1"/>
  <c r="W82" i="9"/>
  <c r="X82" i="9" s="1"/>
  <c r="R83" i="9" s="1"/>
  <c r="M63" i="9"/>
  <c r="L63" i="9" s="1"/>
  <c r="N63" i="9" s="1"/>
  <c r="E118" i="9"/>
  <c r="D118" i="9" s="1"/>
  <c r="F118" i="9" s="1"/>
  <c r="H118" i="9" s="1"/>
  <c r="B119" i="9" s="1"/>
  <c r="AM77" i="9" l="1"/>
  <c r="AN77" i="9" s="1"/>
  <c r="AH78" i="9" s="1"/>
  <c r="AC84" i="9"/>
  <c r="AB84" i="9" s="1"/>
  <c r="AD84" i="9" s="1"/>
  <c r="U83" i="9"/>
  <c r="T83" i="9" s="1"/>
  <c r="V83" i="9" s="1"/>
  <c r="W83" i="9" s="1"/>
  <c r="O63" i="9"/>
  <c r="P63" i="9" s="1"/>
  <c r="E119" i="9"/>
  <c r="D119" i="9" s="1"/>
  <c r="F119" i="9" s="1"/>
  <c r="H119" i="9" s="1"/>
  <c r="B120" i="9" s="1"/>
  <c r="X83" i="9" l="1"/>
  <c r="R84" i="9" s="1"/>
  <c r="U84" i="9" s="1"/>
  <c r="T84" i="9" s="1"/>
  <c r="V84" i="9" s="1"/>
  <c r="AK78" i="9"/>
  <c r="AJ78" i="9" s="1"/>
  <c r="AL78" i="9" s="1"/>
  <c r="AE84" i="9"/>
  <c r="AF84" i="9" s="1"/>
  <c r="Z85" i="9" s="1"/>
  <c r="J64" i="9"/>
  <c r="E120" i="9"/>
  <c r="D120" i="9"/>
  <c r="F120" i="9" s="1"/>
  <c r="H120" i="9" s="1"/>
  <c r="B121" i="9" s="1"/>
  <c r="AM78" i="9" l="1"/>
  <c r="AN78" i="9" s="1"/>
  <c r="AH79" i="9" s="1"/>
  <c r="AC85" i="9"/>
  <c r="AB85" i="9" s="1"/>
  <c r="AD85" i="9" s="1"/>
  <c r="AE85" i="9" s="1"/>
  <c r="AF85" i="9" s="1"/>
  <c r="Z86" i="9" s="1"/>
  <c r="W84" i="9"/>
  <c r="X84" i="9" s="1"/>
  <c r="R85" i="9" s="1"/>
  <c r="M64" i="9"/>
  <c r="L64" i="9" s="1"/>
  <c r="N64" i="9" s="1"/>
  <c r="O64" i="9" s="1"/>
  <c r="P64" i="9" s="1"/>
  <c r="E121" i="9"/>
  <c r="D121" i="9"/>
  <c r="F121" i="9" s="1"/>
  <c r="H121" i="9" s="1"/>
  <c r="B122" i="9" s="1"/>
  <c r="AK79" i="9" l="1"/>
  <c r="AJ79" i="9" s="1"/>
  <c r="AL79" i="9" s="1"/>
  <c r="AC86" i="9"/>
  <c r="AB86" i="9" s="1"/>
  <c r="AD86" i="9" s="1"/>
  <c r="U85" i="9"/>
  <c r="T85" i="9" s="1"/>
  <c r="V85" i="9" s="1"/>
  <c r="J65" i="9"/>
  <c r="E122" i="9"/>
  <c r="D122" i="9" s="1"/>
  <c r="AM79" i="9" l="1"/>
  <c r="AN79" i="9" s="1"/>
  <c r="AH80" i="9" s="1"/>
  <c r="AE86" i="9"/>
  <c r="AF86" i="9" s="1"/>
  <c r="Z87" i="9" s="1"/>
  <c r="W85" i="9"/>
  <c r="X85" i="9" s="1"/>
  <c r="R86" i="9" s="1"/>
  <c r="M65" i="9"/>
  <c r="L65" i="9" s="1"/>
  <c r="N65" i="9" s="1"/>
  <c r="O65" i="9" s="1"/>
  <c r="F122" i="9"/>
  <c r="H122" i="9" s="1"/>
  <c r="B123" i="9" s="1"/>
  <c r="AK80" i="9" l="1"/>
  <c r="AJ80" i="9" s="1"/>
  <c r="AL80" i="9" s="1"/>
  <c r="AC87" i="9"/>
  <c r="AB87" i="9" s="1"/>
  <c r="AD87" i="9" s="1"/>
  <c r="U86" i="9"/>
  <c r="T86" i="9" s="1"/>
  <c r="V86" i="9" s="1"/>
  <c r="W86" i="9" s="1"/>
  <c r="P65" i="9"/>
  <c r="E123" i="9"/>
  <c r="D123" i="9" s="1"/>
  <c r="X86" i="9" l="1"/>
  <c r="R87" i="9" s="1"/>
  <c r="U87" i="9" s="1"/>
  <c r="T87" i="9" s="1"/>
  <c r="V87" i="9" s="1"/>
  <c r="AM80" i="9"/>
  <c r="AN80" i="9" s="1"/>
  <c r="AH81" i="9" s="1"/>
  <c r="AE87" i="9"/>
  <c r="AF87" i="9" s="1"/>
  <c r="Z88" i="9" s="1"/>
  <c r="J66" i="9"/>
  <c r="F123" i="9"/>
  <c r="H123" i="9" s="1"/>
  <c r="B124" i="9" s="1"/>
  <c r="AK81" i="9" l="1"/>
  <c r="AJ81" i="9" s="1"/>
  <c r="AL81" i="9" s="1"/>
  <c r="AC88" i="9"/>
  <c r="AB88" i="9" s="1"/>
  <c r="AD88" i="9" s="1"/>
  <c r="AE88" i="9" s="1"/>
  <c r="AF88" i="9" s="1"/>
  <c r="Z89" i="9" s="1"/>
  <c r="W87" i="9"/>
  <c r="X87" i="9" s="1"/>
  <c r="R88" i="9" s="1"/>
  <c r="M66" i="9"/>
  <c r="L66" i="9"/>
  <c r="N66" i="9" s="1"/>
  <c r="O66" i="9" s="1"/>
  <c r="E124" i="9"/>
  <c r="D124" i="9" s="1"/>
  <c r="P66" i="9" l="1"/>
  <c r="J67" i="9" s="1"/>
  <c r="AM81" i="9"/>
  <c r="AN81" i="9" s="1"/>
  <c r="AH82" i="9" s="1"/>
  <c r="AC89" i="9"/>
  <c r="AB89" i="9" s="1"/>
  <c r="AD89" i="9" s="1"/>
  <c r="U88" i="9"/>
  <c r="T88" i="9" s="1"/>
  <c r="V88" i="9" s="1"/>
  <c r="F124" i="9"/>
  <c r="H124" i="9" s="1"/>
  <c r="B125" i="9" s="1"/>
  <c r="AK82" i="9" l="1"/>
  <c r="AJ82" i="9" s="1"/>
  <c r="AL82" i="9" s="1"/>
  <c r="AE89" i="9"/>
  <c r="AF89" i="9" s="1"/>
  <c r="Z90" i="9" s="1"/>
  <c r="W88" i="9"/>
  <c r="X88" i="9" s="1"/>
  <c r="R89" i="9" s="1"/>
  <c r="M67" i="9"/>
  <c r="L67" i="9" s="1"/>
  <c r="N67" i="9" s="1"/>
  <c r="E125" i="9"/>
  <c r="D125" i="9" s="1"/>
  <c r="AM82" i="9" l="1"/>
  <c r="AN82" i="9" s="1"/>
  <c r="AH83" i="9" s="1"/>
  <c r="AC90" i="9"/>
  <c r="AB90" i="9" s="1"/>
  <c r="AD90" i="9" s="1"/>
  <c r="U89" i="9"/>
  <c r="T89" i="9" s="1"/>
  <c r="V89" i="9" s="1"/>
  <c r="O67" i="9"/>
  <c r="P67" i="9" s="1"/>
  <c r="J68" i="9" s="1"/>
  <c r="F125" i="9"/>
  <c r="H125" i="9" s="1"/>
  <c r="B126" i="9" s="1"/>
  <c r="AK83" i="9" l="1"/>
  <c r="AJ83" i="9" s="1"/>
  <c r="AL83" i="9" s="1"/>
  <c r="AE90" i="9"/>
  <c r="AF90" i="9" s="1"/>
  <c r="Z91" i="9" s="1"/>
  <c r="W89" i="9"/>
  <c r="X89" i="9" s="1"/>
  <c r="R90" i="9" s="1"/>
  <c r="M68" i="9"/>
  <c r="L68" i="9" s="1"/>
  <c r="N68" i="9" s="1"/>
  <c r="E126" i="9"/>
  <c r="D126" i="9" s="1"/>
  <c r="AM83" i="9" l="1"/>
  <c r="AN83" i="9" s="1"/>
  <c r="AH84" i="9" s="1"/>
  <c r="AC91" i="9"/>
  <c r="AB91" i="9" s="1"/>
  <c r="AD91" i="9" s="1"/>
  <c r="U90" i="9"/>
  <c r="T90" i="9" s="1"/>
  <c r="V90" i="9" s="1"/>
  <c r="O68" i="9"/>
  <c r="P68" i="9" s="1"/>
  <c r="J69" i="9" s="1"/>
  <c r="F126" i="9"/>
  <c r="H126" i="9" s="1"/>
  <c r="B127" i="9" s="1"/>
  <c r="AE91" i="9" l="1"/>
  <c r="AF91" i="9" s="1"/>
  <c r="Z92" i="9" s="1"/>
  <c r="AC92" i="9" s="1"/>
  <c r="AB92" i="9" s="1"/>
  <c r="AD92" i="9" s="1"/>
  <c r="AK84" i="9"/>
  <c r="AJ84" i="9" s="1"/>
  <c r="AL84" i="9" s="1"/>
  <c r="W90" i="9"/>
  <c r="X90" i="9" s="1"/>
  <c r="R91" i="9" s="1"/>
  <c r="M69" i="9"/>
  <c r="L69" i="9" s="1"/>
  <c r="N69" i="9" s="1"/>
  <c r="E127" i="9"/>
  <c r="D127" i="9" s="1"/>
  <c r="F127" i="9" s="1"/>
  <c r="H127" i="9" s="1"/>
  <c r="B128" i="9" s="1"/>
  <c r="AM84" i="9" l="1"/>
  <c r="AN84" i="9" s="1"/>
  <c r="AH85" i="9" s="1"/>
  <c r="AE92" i="9"/>
  <c r="AF92" i="9" s="1"/>
  <c r="Z93" i="9" s="1"/>
  <c r="U91" i="9"/>
  <c r="T91" i="9" s="1"/>
  <c r="V91" i="9" s="1"/>
  <c r="O69" i="9"/>
  <c r="P69" i="9" s="1"/>
  <c r="J70" i="9" s="1"/>
  <c r="E128" i="9"/>
  <c r="D128" i="9" s="1"/>
  <c r="F128" i="9" s="1"/>
  <c r="H128" i="9" s="1"/>
  <c r="B129" i="9" s="1"/>
  <c r="AK85" i="9" l="1"/>
  <c r="AJ85" i="9" s="1"/>
  <c r="AL85" i="9" s="1"/>
  <c r="AM85" i="9" s="1"/>
  <c r="AN85" i="9" s="1"/>
  <c r="AH86" i="9" s="1"/>
  <c r="AC93" i="9"/>
  <c r="AB93" i="9" s="1"/>
  <c r="AD93" i="9" s="1"/>
  <c r="AE93" i="9" s="1"/>
  <c r="AF93" i="9" s="1"/>
  <c r="Z94" i="9" s="1"/>
  <c r="W91" i="9"/>
  <c r="X91" i="9" s="1"/>
  <c r="R92" i="9" s="1"/>
  <c r="M70" i="9"/>
  <c r="L70" i="9" s="1"/>
  <c r="N70" i="9" s="1"/>
  <c r="E129" i="9"/>
  <c r="D129" i="9" s="1"/>
  <c r="F129" i="9" s="1"/>
  <c r="H129" i="9" s="1"/>
  <c r="B130" i="9" s="1"/>
  <c r="AK86" i="9" l="1"/>
  <c r="AJ86" i="9" s="1"/>
  <c r="AL86" i="9" s="1"/>
  <c r="AM86" i="9" s="1"/>
  <c r="AC94" i="9"/>
  <c r="AB94" i="9" s="1"/>
  <c r="AD94" i="9" s="1"/>
  <c r="U92" i="9"/>
  <c r="T92" i="9" s="1"/>
  <c r="V92" i="9" s="1"/>
  <c r="O70" i="9"/>
  <c r="P70" i="9" s="1"/>
  <c r="J71" i="9" s="1"/>
  <c r="E130" i="9"/>
  <c r="D130" i="9" s="1"/>
  <c r="F130" i="9" s="1"/>
  <c r="H130" i="9" s="1"/>
  <c r="B131" i="9" s="1"/>
  <c r="AN86" i="9" l="1"/>
  <c r="AH87" i="9" s="1"/>
  <c r="AE94" i="9"/>
  <c r="AF94" i="9" s="1"/>
  <c r="Z95" i="9" s="1"/>
  <c r="W92" i="9"/>
  <c r="X92" i="9" s="1"/>
  <c r="R93" i="9" s="1"/>
  <c r="M71" i="9"/>
  <c r="L71" i="9" s="1"/>
  <c r="N71" i="9" s="1"/>
  <c r="E131" i="9"/>
  <c r="D131" i="9" s="1"/>
  <c r="F131" i="9" s="1"/>
  <c r="H131" i="9" s="1"/>
  <c r="B132" i="9" s="1"/>
  <c r="AK87" i="9" l="1"/>
  <c r="AJ87" i="9" s="1"/>
  <c r="AL87" i="9" s="1"/>
  <c r="AC95" i="9"/>
  <c r="AB95" i="9" s="1"/>
  <c r="AD95" i="9" s="1"/>
  <c r="U93" i="9"/>
  <c r="T93" i="9"/>
  <c r="V93" i="9" s="1"/>
  <c r="W93" i="9" s="1"/>
  <c r="O71" i="9"/>
  <c r="P71" i="9" s="1"/>
  <c r="J72" i="9" s="1"/>
  <c r="E132" i="9"/>
  <c r="D132" i="9"/>
  <c r="F132" i="9" s="1"/>
  <c r="H132" i="9" s="1"/>
  <c r="B133" i="9" s="1"/>
  <c r="AM87" i="9" l="1"/>
  <c r="AN87" i="9" s="1"/>
  <c r="AH88" i="9" s="1"/>
  <c r="AE95" i="9"/>
  <c r="AF95" i="9" s="1"/>
  <c r="Z96" i="9" s="1"/>
  <c r="X93" i="9"/>
  <c r="R94" i="9" s="1"/>
  <c r="M72" i="9"/>
  <c r="L72" i="9" s="1"/>
  <c r="N72" i="9" s="1"/>
  <c r="E133" i="9"/>
  <c r="D133" i="9"/>
  <c r="F133" i="9" s="1"/>
  <c r="H133" i="9" s="1"/>
  <c r="B134" i="9" s="1"/>
  <c r="AK88" i="9" l="1"/>
  <c r="AJ88" i="9" s="1"/>
  <c r="AL88" i="9" s="1"/>
  <c r="AM88" i="9" s="1"/>
  <c r="AC96" i="9"/>
  <c r="AB96" i="9" s="1"/>
  <c r="AD96" i="9" s="1"/>
  <c r="U94" i="9"/>
  <c r="T94" i="9" s="1"/>
  <c r="V94" i="9" s="1"/>
  <c r="O72" i="9"/>
  <c r="P72" i="9" s="1"/>
  <c r="J73" i="9" s="1"/>
  <c r="E134" i="9"/>
  <c r="D134" i="9" s="1"/>
  <c r="W94" i="9" l="1"/>
  <c r="X94" i="9" s="1"/>
  <c r="R95" i="9" s="1"/>
  <c r="AN88" i="9"/>
  <c r="AH89" i="9" s="1"/>
  <c r="AK89" i="9" s="1"/>
  <c r="AE96" i="9"/>
  <c r="AF96" i="9" s="1"/>
  <c r="Z97" i="9" s="1"/>
  <c r="M73" i="9"/>
  <c r="F134" i="9"/>
  <c r="H134" i="9" s="1"/>
  <c r="B135" i="9" s="1"/>
  <c r="AJ89" i="9" l="1"/>
  <c r="AL89" i="9" s="1"/>
  <c r="AM89" i="9" s="1"/>
  <c r="U95" i="9"/>
  <c r="T95" i="9"/>
  <c r="V95" i="9" s="1"/>
  <c r="W95" i="9" s="1"/>
  <c r="X95" i="9" s="1"/>
  <c r="R96" i="9" s="1"/>
  <c r="U96" i="9" s="1"/>
  <c r="T96" i="9" s="1"/>
  <c r="V96" i="9" s="1"/>
  <c r="AC97" i="9"/>
  <c r="AB97" i="9" s="1"/>
  <c r="AD97" i="9" s="1"/>
  <c r="L73" i="9"/>
  <c r="N73" i="9" s="1"/>
  <c r="E135" i="9"/>
  <c r="D135" i="9" s="1"/>
  <c r="AN89" i="9" l="1"/>
  <c r="AH90" i="9" s="1"/>
  <c r="AK90" i="9" s="1"/>
  <c r="AJ90" i="9" s="1"/>
  <c r="AL90" i="9" s="1"/>
  <c r="AE97" i="9"/>
  <c r="AF97" i="9" s="1"/>
  <c r="Z98" i="9" s="1"/>
  <c r="W96" i="9"/>
  <c r="X96" i="9" s="1"/>
  <c r="R97" i="9" s="1"/>
  <c r="O73" i="9"/>
  <c r="P73" i="9" s="1"/>
  <c r="J74" i="9" s="1"/>
  <c r="F135" i="9"/>
  <c r="H135" i="9" s="1"/>
  <c r="B136" i="9" s="1"/>
  <c r="AM90" i="9" l="1"/>
  <c r="AN90" i="9" s="1"/>
  <c r="AH91" i="9" s="1"/>
  <c r="AC98" i="9"/>
  <c r="AB98" i="9" s="1"/>
  <c r="AD98" i="9" s="1"/>
  <c r="U97" i="9"/>
  <c r="T97" i="9" s="1"/>
  <c r="V97" i="9" s="1"/>
  <c r="M74" i="9"/>
  <c r="L74" i="9" s="1"/>
  <c r="N74" i="9" s="1"/>
  <c r="E136" i="9"/>
  <c r="D136" i="9" s="1"/>
  <c r="AK91" i="9" l="1"/>
  <c r="AJ91" i="9" s="1"/>
  <c r="AL91" i="9" s="1"/>
  <c r="AE98" i="9"/>
  <c r="AF98" i="9" s="1"/>
  <c r="Z99" i="9" s="1"/>
  <c r="W97" i="9"/>
  <c r="X97" i="9" s="1"/>
  <c r="R98" i="9" s="1"/>
  <c r="O74" i="9"/>
  <c r="P74" i="9" s="1"/>
  <c r="F136" i="9"/>
  <c r="H136" i="9" s="1"/>
  <c r="B137" i="9" s="1"/>
  <c r="AM91" i="9" l="1"/>
  <c r="AN91" i="9" s="1"/>
  <c r="AH92" i="9" s="1"/>
  <c r="AC99" i="9"/>
  <c r="AB99" i="9" s="1"/>
  <c r="AD99" i="9" s="1"/>
  <c r="U98" i="9"/>
  <c r="T98" i="9" s="1"/>
  <c r="V98" i="9" s="1"/>
  <c r="J75" i="9"/>
  <c r="E137" i="9"/>
  <c r="D137" i="9" s="1"/>
  <c r="AK92" i="9" l="1"/>
  <c r="AJ92" i="9"/>
  <c r="AL92" i="9" s="1"/>
  <c r="AM92" i="9" s="1"/>
  <c r="AN92" i="9" s="1"/>
  <c r="AH93" i="9" s="1"/>
  <c r="AE99" i="9"/>
  <c r="AF99" i="9" s="1"/>
  <c r="Z100" i="9" s="1"/>
  <c r="W98" i="9"/>
  <c r="X98" i="9" s="1"/>
  <c r="R99" i="9" s="1"/>
  <c r="M75" i="9"/>
  <c r="L75" i="9" s="1"/>
  <c r="N75" i="9" s="1"/>
  <c r="F137" i="9"/>
  <c r="H137" i="9" s="1"/>
  <c r="B138" i="9" s="1"/>
  <c r="AK93" i="9" l="1"/>
  <c r="AJ93" i="9" s="1"/>
  <c r="AL93" i="9" s="1"/>
  <c r="AC100" i="9"/>
  <c r="AB100" i="9" s="1"/>
  <c r="AD100" i="9" s="1"/>
  <c r="U99" i="9"/>
  <c r="T99" i="9"/>
  <c r="V99" i="9" s="1"/>
  <c r="O75" i="9"/>
  <c r="P75" i="9" s="1"/>
  <c r="E138" i="9"/>
  <c r="D138" i="9" s="1"/>
  <c r="AE100" i="9" l="1"/>
  <c r="AF100" i="9" s="1"/>
  <c r="Z101" i="9" s="1"/>
  <c r="AC101" i="9" s="1"/>
  <c r="AB101" i="9" s="1"/>
  <c r="AD101" i="9" s="1"/>
  <c r="AM93" i="9"/>
  <c r="AN93" i="9" s="1"/>
  <c r="AH94" i="9" s="1"/>
  <c r="W99" i="9"/>
  <c r="X99" i="9" s="1"/>
  <c r="R100" i="9" s="1"/>
  <c r="J76" i="9"/>
  <c r="F138" i="9"/>
  <c r="H138" i="9" s="1"/>
  <c r="B139" i="9" s="1"/>
  <c r="AK94" i="9" l="1"/>
  <c r="AJ94" i="9" s="1"/>
  <c r="AL94" i="9" s="1"/>
  <c r="AE101" i="9"/>
  <c r="AF101" i="9" s="1"/>
  <c r="Z102" i="9" s="1"/>
  <c r="U100" i="9"/>
  <c r="T100" i="9"/>
  <c r="V100" i="9" s="1"/>
  <c r="M76" i="9"/>
  <c r="L76" i="9" s="1"/>
  <c r="N76" i="9" s="1"/>
  <c r="O76" i="9" s="1"/>
  <c r="P76" i="9" s="1"/>
  <c r="E139" i="9"/>
  <c r="D139" i="9" s="1"/>
  <c r="F139" i="9" s="1"/>
  <c r="H139" i="9" s="1"/>
  <c r="B140" i="9" s="1"/>
  <c r="AM94" i="9" l="1"/>
  <c r="AN94" i="9" s="1"/>
  <c r="AH95" i="9" s="1"/>
  <c r="AC102" i="9"/>
  <c r="AB102" i="9" s="1"/>
  <c r="AD102" i="9" s="1"/>
  <c r="AE102" i="9" s="1"/>
  <c r="W100" i="9"/>
  <c r="X100" i="9" s="1"/>
  <c r="R101" i="9" s="1"/>
  <c r="J77" i="9"/>
  <c r="E140" i="9"/>
  <c r="D140" i="9" s="1"/>
  <c r="F140" i="9" s="1"/>
  <c r="H140" i="9" s="1"/>
  <c r="B141" i="9" s="1"/>
  <c r="AK95" i="9" l="1"/>
  <c r="AJ95" i="9" s="1"/>
  <c r="AL95" i="9" s="1"/>
  <c r="AF102" i="9"/>
  <c r="Z103" i="9" s="1"/>
  <c r="U101" i="9"/>
  <c r="T101" i="9" s="1"/>
  <c r="V101" i="9" s="1"/>
  <c r="M77" i="9"/>
  <c r="L77" i="9" s="1"/>
  <c r="N77" i="9" s="1"/>
  <c r="E141" i="9"/>
  <c r="D141" i="9" s="1"/>
  <c r="F141" i="9" s="1"/>
  <c r="H141" i="9" s="1"/>
  <c r="B142" i="9" s="1"/>
  <c r="AM95" i="9" l="1"/>
  <c r="AN95" i="9" s="1"/>
  <c r="AH96" i="9" s="1"/>
  <c r="AC103" i="9"/>
  <c r="AB103" i="9" s="1"/>
  <c r="AD103" i="9" s="1"/>
  <c r="W101" i="9"/>
  <c r="X101" i="9" s="1"/>
  <c r="R102" i="9" s="1"/>
  <c r="O77" i="9"/>
  <c r="P77" i="9" s="1"/>
  <c r="E142" i="9"/>
  <c r="D142" i="9" s="1"/>
  <c r="F142" i="9" s="1"/>
  <c r="H142" i="9" s="1"/>
  <c r="B143" i="9" s="1"/>
  <c r="AE103" i="9" l="1"/>
  <c r="AF103" i="9" s="1"/>
  <c r="Z104" i="9" s="1"/>
  <c r="AC104" i="9" s="1"/>
  <c r="AB104" i="9" s="1"/>
  <c r="AD104" i="9" s="1"/>
  <c r="AK96" i="9"/>
  <c r="AJ96" i="9" s="1"/>
  <c r="AL96" i="9" s="1"/>
  <c r="U102" i="9"/>
  <c r="T102" i="9" s="1"/>
  <c r="V102" i="9" s="1"/>
  <c r="J78" i="9"/>
  <c r="E143" i="9"/>
  <c r="D143" i="9" s="1"/>
  <c r="F143" i="9" s="1"/>
  <c r="H143" i="9" s="1"/>
  <c r="B144" i="9" s="1"/>
  <c r="AM96" i="9" l="1"/>
  <c r="AN96" i="9" s="1"/>
  <c r="AH97" i="9" s="1"/>
  <c r="AE104" i="9"/>
  <c r="AF104" i="9" s="1"/>
  <c r="Z105" i="9" s="1"/>
  <c r="W102" i="9"/>
  <c r="X102" i="9" s="1"/>
  <c r="R103" i="9" s="1"/>
  <c r="M78" i="9"/>
  <c r="L78" i="9"/>
  <c r="N78" i="9" s="1"/>
  <c r="O78" i="9" s="1"/>
  <c r="E144" i="9"/>
  <c r="D144" i="9"/>
  <c r="F144" i="9" s="1"/>
  <c r="H144" i="9" s="1"/>
  <c r="B145" i="9" s="1"/>
  <c r="AK97" i="9" l="1"/>
  <c r="AJ97" i="9" s="1"/>
  <c r="AL97" i="9" s="1"/>
  <c r="AM97" i="9" s="1"/>
  <c r="AN97" i="9" s="1"/>
  <c r="AH98" i="9" s="1"/>
  <c r="AC105" i="9"/>
  <c r="AB105" i="9" s="1"/>
  <c r="AD105" i="9" s="1"/>
  <c r="AE105" i="9" s="1"/>
  <c r="U103" i="9"/>
  <c r="T103" i="9" s="1"/>
  <c r="V103" i="9" s="1"/>
  <c r="W103" i="9" s="1"/>
  <c r="X103" i="9" s="1"/>
  <c r="R104" i="9" s="1"/>
  <c r="P78" i="9"/>
  <c r="E145" i="9"/>
  <c r="D145" i="9"/>
  <c r="F145" i="9" s="1"/>
  <c r="H145" i="9" s="1"/>
  <c r="B146" i="9" s="1"/>
  <c r="AF105" i="9" l="1"/>
  <c r="Z106" i="9" s="1"/>
  <c r="AC106" i="9" s="1"/>
  <c r="AK98" i="9"/>
  <c r="AJ98" i="9" s="1"/>
  <c r="AL98" i="9" s="1"/>
  <c r="U104" i="9"/>
  <c r="T104" i="9" s="1"/>
  <c r="V104" i="9" s="1"/>
  <c r="W104" i="9" s="1"/>
  <c r="J79" i="9"/>
  <c r="E146" i="9"/>
  <c r="D146" i="9" s="1"/>
  <c r="AB106" i="9" l="1"/>
  <c r="AD106" i="9" s="1"/>
  <c r="AE106" i="9" s="1"/>
  <c r="AM98" i="9"/>
  <c r="AN98" i="9" s="1"/>
  <c r="AH99" i="9" s="1"/>
  <c r="X104" i="9"/>
  <c r="R105" i="9" s="1"/>
  <c r="M79" i="9"/>
  <c r="L79" i="9"/>
  <c r="N79" i="9" s="1"/>
  <c r="O79" i="9" s="1"/>
  <c r="F146" i="9"/>
  <c r="H146" i="9" s="1"/>
  <c r="B147" i="9" s="1"/>
  <c r="AF106" i="9" l="1"/>
  <c r="Z107" i="9" s="1"/>
  <c r="AC107" i="9" s="1"/>
  <c r="AB107" i="9" s="1"/>
  <c r="AD107" i="9" s="1"/>
  <c r="P79" i="9"/>
  <c r="J80" i="9" s="1"/>
  <c r="AK99" i="9"/>
  <c r="AJ99" i="9" s="1"/>
  <c r="AL99" i="9" s="1"/>
  <c r="U105" i="9"/>
  <c r="T105" i="9"/>
  <c r="V105" i="9" s="1"/>
  <c r="W105" i="9" s="1"/>
  <c r="X105" i="9" s="1"/>
  <c r="R106" i="9" s="1"/>
  <c r="M80" i="9"/>
  <c r="L80" i="9"/>
  <c r="N80" i="9" s="1"/>
  <c r="O80" i="9" s="1"/>
  <c r="E147" i="9"/>
  <c r="D147" i="9" s="1"/>
  <c r="AE107" i="9" l="1"/>
  <c r="AF107" i="9" s="1"/>
  <c r="Z108" i="9" s="1"/>
  <c r="AC108" i="9" s="1"/>
  <c r="AB108" i="9" s="1"/>
  <c r="AD108" i="9" s="1"/>
  <c r="AM99" i="9"/>
  <c r="AN99" i="9" s="1"/>
  <c r="AH100" i="9" s="1"/>
  <c r="U106" i="9"/>
  <c r="T106" i="9" s="1"/>
  <c r="V106" i="9" s="1"/>
  <c r="P80" i="9"/>
  <c r="J81" i="9" s="1"/>
  <c r="F147" i="9"/>
  <c r="H147" i="9" s="1"/>
  <c r="B148" i="9" s="1"/>
  <c r="W106" i="9" l="1"/>
  <c r="X106" i="9" s="1"/>
  <c r="R107" i="9" s="1"/>
  <c r="AK100" i="9"/>
  <c r="AJ100" i="9"/>
  <c r="AL100" i="9" s="1"/>
  <c r="AM100" i="9" s="1"/>
  <c r="AE108" i="9"/>
  <c r="AF108" i="9" s="1"/>
  <c r="Z109" i="9" s="1"/>
  <c r="M81" i="9"/>
  <c r="L81" i="9" s="1"/>
  <c r="N81" i="9" s="1"/>
  <c r="E148" i="9"/>
  <c r="D148" i="9" s="1"/>
  <c r="AN100" i="9" l="1"/>
  <c r="AH101" i="9" s="1"/>
  <c r="U107" i="9"/>
  <c r="T107" i="9" s="1"/>
  <c r="V107" i="9" s="1"/>
  <c r="AC109" i="9"/>
  <c r="AB109" i="9" s="1"/>
  <c r="AD109" i="9" s="1"/>
  <c r="O81" i="9"/>
  <c r="P81" i="9" s="1"/>
  <c r="J82" i="9" s="1"/>
  <c r="F148" i="9"/>
  <c r="H148" i="9" s="1"/>
  <c r="B149" i="9" s="1"/>
  <c r="AK101" i="9" l="1"/>
  <c r="AJ101" i="9" s="1"/>
  <c r="AL101" i="9" s="1"/>
  <c r="W107" i="9"/>
  <c r="X107" i="9" s="1"/>
  <c r="R108" i="9" s="1"/>
  <c r="U108" i="9" s="1"/>
  <c r="T108" i="9" s="1"/>
  <c r="V108" i="9" s="1"/>
  <c r="AE109" i="9"/>
  <c r="AF109" i="9" s="1"/>
  <c r="Z110" i="9" s="1"/>
  <c r="M82" i="9"/>
  <c r="L82" i="9" s="1"/>
  <c r="N82" i="9" s="1"/>
  <c r="E149" i="9"/>
  <c r="D149" i="9" s="1"/>
  <c r="AM101" i="9" l="1"/>
  <c r="AN101" i="9" s="1"/>
  <c r="AH102" i="9" s="1"/>
  <c r="AK102" i="9" s="1"/>
  <c r="AJ102" i="9" s="1"/>
  <c r="AL102" i="9" s="1"/>
  <c r="W108" i="9"/>
  <c r="X108" i="9" s="1"/>
  <c r="R109" i="9" s="1"/>
  <c r="U109" i="9" s="1"/>
  <c r="T109" i="9" s="1"/>
  <c r="V109" i="9" s="1"/>
  <c r="AC110" i="9"/>
  <c r="AB110" i="9" s="1"/>
  <c r="AD110" i="9" s="1"/>
  <c r="O82" i="9"/>
  <c r="P82" i="9" s="1"/>
  <c r="J83" i="9" s="1"/>
  <c r="F149" i="9"/>
  <c r="H149" i="9" s="1"/>
  <c r="B150" i="9" s="1"/>
  <c r="AM102" i="9" l="1"/>
  <c r="AN102" i="9" s="1"/>
  <c r="AH103" i="9" s="1"/>
  <c r="AE110" i="9"/>
  <c r="AF110" i="9" s="1"/>
  <c r="Z111" i="9" s="1"/>
  <c r="W109" i="9"/>
  <c r="X109" i="9" s="1"/>
  <c r="R110" i="9" s="1"/>
  <c r="M83" i="9"/>
  <c r="L83" i="9" s="1"/>
  <c r="N83" i="9" s="1"/>
  <c r="E150" i="9"/>
  <c r="D150" i="9" s="1"/>
  <c r="AK103" i="9" l="1"/>
  <c r="AJ103" i="9" s="1"/>
  <c r="AL103" i="9" s="1"/>
  <c r="AC111" i="9"/>
  <c r="AB111" i="9"/>
  <c r="AD111" i="9" s="1"/>
  <c r="AE111" i="9" s="1"/>
  <c r="AF111" i="9" s="1"/>
  <c r="Z112" i="9" s="1"/>
  <c r="U110" i="9"/>
  <c r="T110" i="9" s="1"/>
  <c r="V110" i="9" s="1"/>
  <c r="O83" i="9"/>
  <c r="P83" i="9" s="1"/>
  <c r="J84" i="9" s="1"/>
  <c r="F150" i="9"/>
  <c r="H150" i="9" s="1"/>
  <c r="B151" i="9" s="1"/>
  <c r="W110" i="9" l="1"/>
  <c r="X110" i="9" s="1"/>
  <c r="R111" i="9" s="1"/>
  <c r="AM103" i="9"/>
  <c r="AN103" i="9" s="1"/>
  <c r="AH104" i="9" s="1"/>
  <c r="AC112" i="9"/>
  <c r="AB112" i="9" s="1"/>
  <c r="AD112" i="9" s="1"/>
  <c r="M84" i="9"/>
  <c r="L84" i="9" s="1"/>
  <c r="N84" i="9" s="1"/>
  <c r="E151" i="9"/>
  <c r="D151" i="9" s="1"/>
  <c r="F151" i="9" s="1"/>
  <c r="H151" i="9" s="1"/>
  <c r="B152" i="9" s="1"/>
  <c r="AE112" i="9" l="1"/>
  <c r="AF112" i="9" s="1"/>
  <c r="Z113" i="9" s="1"/>
  <c r="U111" i="9"/>
  <c r="T111" i="9" s="1"/>
  <c r="V111" i="9" s="1"/>
  <c r="W111" i="9" s="1"/>
  <c r="AK104" i="9"/>
  <c r="AJ104" i="9"/>
  <c r="AL104" i="9" s="1"/>
  <c r="AM104" i="9" s="1"/>
  <c r="O84" i="9"/>
  <c r="P84" i="9" s="1"/>
  <c r="J85" i="9" s="1"/>
  <c r="E152" i="9"/>
  <c r="D152" i="9" s="1"/>
  <c r="F152" i="9" s="1"/>
  <c r="H152" i="9" s="1"/>
  <c r="B153" i="9" s="1"/>
  <c r="AC113" i="9" l="1"/>
  <c r="AB113" i="9" s="1"/>
  <c r="AD113" i="9" s="1"/>
  <c r="AE113" i="9" s="1"/>
  <c r="AF113" i="9" s="1"/>
  <c r="Z114" i="9" s="1"/>
  <c r="X111" i="9"/>
  <c r="R112" i="9" s="1"/>
  <c r="U112" i="9" s="1"/>
  <c r="T112" i="9" s="1"/>
  <c r="V112" i="9" s="1"/>
  <c r="AN104" i="9"/>
  <c r="AH105" i="9" s="1"/>
  <c r="M85" i="9"/>
  <c r="E153" i="9"/>
  <c r="D153" i="9" s="1"/>
  <c r="F153" i="9" s="1"/>
  <c r="H153" i="9" s="1"/>
  <c r="B154" i="9" s="1"/>
  <c r="W112" i="9" l="1"/>
  <c r="X112" i="9" s="1"/>
  <c r="R113" i="9" s="1"/>
  <c r="U113" i="9" s="1"/>
  <c r="T113" i="9" s="1"/>
  <c r="V113" i="9" s="1"/>
  <c r="AK105" i="9"/>
  <c r="AJ105" i="9" s="1"/>
  <c r="AL105" i="9" s="1"/>
  <c r="AC114" i="9"/>
  <c r="AB114" i="9" s="1"/>
  <c r="AD114" i="9" s="1"/>
  <c r="L85" i="9"/>
  <c r="N85" i="9" s="1"/>
  <c r="E154" i="9"/>
  <c r="D154" i="9" s="1"/>
  <c r="F154" i="9" s="1"/>
  <c r="H154" i="9" s="1"/>
  <c r="B155" i="9" s="1"/>
  <c r="AM105" i="9" l="1"/>
  <c r="AN105" i="9" s="1"/>
  <c r="AH106" i="9" s="1"/>
  <c r="AE114" i="9"/>
  <c r="AF114" i="9" s="1"/>
  <c r="Z115" i="9" s="1"/>
  <c r="W113" i="9"/>
  <c r="X113" i="9" s="1"/>
  <c r="R114" i="9" s="1"/>
  <c r="O85" i="9"/>
  <c r="P85" i="9" s="1"/>
  <c r="J86" i="9" s="1"/>
  <c r="E155" i="9"/>
  <c r="D155" i="9" s="1"/>
  <c r="F155" i="9" s="1"/>
  <c r="H155" i="9" s="1"/>
  <c r="B156" i="9" s="1"/>
  <c r="AK106" i="9" l="1"/>
  <c r="AJ106" i="9" s="1"/>
  <c r="AL106" i="9" s="1"/>
  <c r="AC115" i="9"/>
  <c r="AB115" i="9" s="1"/>
  <c r="AD115" i="9" s="1"/>
  <c r="U114" i="9"/>
  <c r="T114" i="9" s="1"/>
  <c r="V114" i="9" s="1"/>
  <c r="M86" i="9"/>
  <c r="L86" i="9" s="1"/>
  <c r="N86" i="9" s="1"/>
  <c r="E156" i="9"/>
  <c r="D156" i="9" s="1"/>
  <c r="F156" i="9" s="1"/>
  <c r="H156" i="9" s="1"/>
  <c r="B157" i="9" s="1"/>
  <c r="AM106" i="9" l="1"/>
  <c r="AN106" i="9" s="1"/>
  <c r="AH107" i="9" s="1"/>
  <c r="AE115" i="9"/>
  <c r="AF115" i="9" s="1"/>
  <c r="Z116" i="9" s="1"/>
  <c r="W114" i="9"/>
  <c r="X114" i="9" s="1"/>
  <c r="R115" i="9" s="1"/>
  <c r="O86" i="9"/>
  <c r="P86" i="9" s="1"/>
  <c r="E157" i="9"/>
  <c r="D157" i="9"/>
  <c r="F157" i="9" s="1"/>
  <c r="H157" i="9" s="1"/>
  <c r="B158" i="9" s="1"/>
  <c r="AK107" i="9" l="1"/>
  <c r="AJ107" i="9" s="1"/>
  <c r="AL107" i="9" s="1"/>
  <c r="AC116" i="9"/>
  <c r="AB116" i="9" s="1"/>
  <c r="AD116" i="9" s="1"/>
  <c r="U115" i="9"/>
  <c r="T115" i="9" s="1"/>
  <c r="V115" i="9" s="1"/>
  <c r="W115" i="9" s="1"/>
  <c r="X115" i="9" s="1"/>
  <c r="R116" i="9" s="1"/>
  <c r="J87" i="9"/>
  <c r="E158" i="9"/>
  <c r="D158" i="9" s="1"/>
  <c r="AM107" i="9" l="1"/>
  <c r="AN107" i="9" s="1"/>
  <c r="AH108" i="9" s="1"/>
  <c r="AE116" i="9"/>
  <c r="AF116" i="9" s="1"/>
  <c r="Z117" i="9" s="1"/>
  <c r="U116" i="9"/>
  <c r="T116" i="9"/>
  <c r="V116" i="9" s="1"/>
  <c r="W116" i="9" s="1"/>
  <c r="X116" i="9" s="1"/>
  <c r="R117" i="9" s="1"/>
  <c r="M87" i="9"/>
  <c r="L87" i="9" s="1"/>
  <c r="N87" i="9" s="1"/>
  <c r="F158" i="9"/>
  <c r="H158" i="9" s="1"/>
  <c r="B159" i="9" s="1"/>
  <c r="AK108" i="9" l="1"/>
  <c r="AJ108" i="9" s="1"/>
  <c r="AL108" i="9" s="1"/>
  <c r="AC117" i="9"/>
  <c r="AB117" i="9" s="1"/>
  <c r="AD117" i="9" s="1"/>
  <c r="AE117" i="9" s="1"/>
  <c r="AF117" i="9" s="1"/>
  <c r="Z118" i="9" s="1"/>
  <c r="U117" i="9"/>
  <c r="T117" i="9"/>
  <c r="V117" i="9" s="1"/>
  <c r="W117" i="9" s="1"/>
  <c r="X117" i="9" s="1"/>
  <c r="R118" i="9" s="1"/>
  <c r="O87" i="9"/>
  <c r="P87" i="9" s="1"/>
  <c r="E159" i="9"/>
  <c r="D159" i="9" s="1"/>
  <c r="AM108" i="9" l="1"/>
  <c r="AN108" i="9" s="1"/>
  <c r="AH109" i="9" s="1"/>
  <c r="AC118" i="9"/>
  <c r="AB118" i="9" s="1"/>
  <c r="AD118" i="9" s="1"/>
  <c r="AE118" i="9" s="1"/>
  <c r="U118" i="9"/>
  <c r="T118" i="9" s="1"/>
  <c r="V118" i="9" s="1"/>
  <c r="J88" i="9"/>
  <c r="F159" i="9"/>
  <c r="H159" i="9" s="1"/>
  <c r="B160" i="9" s="1"/>
  <c r="W118" i="9" l="1"/>
  <c r="X118" i="9" s="1"/>
  <c r="R119" i="9" s="1"/>
  <c r="AF118" i="9"/>
  <c r="Z119" i="9" s="1"/>
  <c r="AK109" i="9"/>
  <c r="AJ109" i="9"/>
  <c r="AL109" i="9" s="1"/>
  <c r="AM109" i="9" s="1"/>
  <c r="AC119" i="9"/>
  <c r="M88" i="9"/>
  <c r="L88" i="9" s="1"/>
  <c r="N88" i="9" s="1"/>
  <c r="O88" i="9" s="1"/>
  <c r="P88" i="9" s="1"/>
  <c r="E160" i="9"/>
  <c r="D160" i="9" s="1"/>
  <c r="AB119" i="9" l="1"/>
  <c r="AD119" i="9" s="1"/>
  <c r="AE119" i="9" s="1"/>
  <c r="U119" i="9"/>
  <c r="T119" i="9" s="1"/>
  <c r="V119" i="9" s="1"/>
  <c r="W119" i="9" s="1"/>
  <c r="X119" i="9" s="1"/>
  <c r="R120" i="9" s="1"/>
  <c r="U120" i="9" s="1"/>
  <c r="T120" i="9" s="1"/>
  <c r="V120" i="9" s="1"/>
  <c r="AN109" i="9"/>
  <c r="AH110" i="9" s="1"/>
  <c r="AK110" i="9" s="1"/>
  <c r="AJ110" i="9" s="1"/>
  <c r="AL110" i="9" s="1"/>
  <c r="AM110" i="9" s="1"/>
  <c r="J89" i="9"/>
  <c r="F160" i="9"/>
  <c r="H160" i="9" s="1"/>
  <c r="B161" i="9" s="1"/>
  <c r="AF119" i="9" l="1"/>
  <c r="Z120" i="9" s="1"/>
  <c r="AC120" i="9" s="1"/>
  <c r="AB120" i="9" s="1"/>
  <c r="AD120" i="9" s="1"/>
  <c r="AN110" i="9"/>
  <c r="AH111" i="9" s="1"/>
  <c r="W120" i="9"/>
  <c r="X120" i="9" s="1"/>
  <c r="R121" i="9" s="1"/>
  <c r="M89" i="9"/>
  <c r="L89" i="9" s="1"/>
  <c r="N89" i="9" s="1"/>
  <c r="E161" i="9"/>
  <c r="D161" i="9" s="1"/>
  <c r="AK111" i="9" l="1"/>
  <c r="AJ111" i="9" s="1"/>
  <c r="AL111" i="9" s="1"/>
  <c r="AE120" i="9"/>
  <c r="AF120" i="9" s="1"/>
  <c r="Z121" i="9" s="1"/>
  <c r="U121" i="9"/>
  <c r="T121" i="9" s="1"/>
  <c r="V121" i="9" s="1"/>
  <c r="O89" i="9"/>
  <c r="P89" i="9" s="1"/>
  <c r="F161" i="9"/>
  <c r="H161" i="9" s="1"/>
  <c r="B162" i="9" s="1"/>
  <c r="AM111" i="9" l="1"/>
  <c r="AN111" i="9" s="1"/>
  <c r="AH112" i="9" s="1"/>
  <c r="AC121" i="9"/>
  <c r="AB121" i="9" s="1"/>
  <c r="AD121" i="9" s="1"/>
  <c r="W121" i="9"/>
  <c r="X121" i="9" s="1"/>
  <c r="R122" i="9" s="1"/>
  <c r="J90" i="9"/>
  <c r="E162" i="9"/>
  <c r="D162" i="9" s="1"/>
  <c r="AK112" i="9" l="1"/>
  <c r="AJ112" i="9" s="1"/>
  <c r="AL112" i="9" s="1"/>
  <c r="AM112" i="9" s="1"/>
  <c r="AE121" i="9"/>
  <c r="AF121" i="9" s="1"/>
  <c r="Z122" i="9" s="1"/>
  <c r="U122" i="9"/>
  <c r="T122" i="9" s="1"/>
  <c r="V122" i="9" s="1"/>
  <c r="M90" i="9"/>
  <c r="L90" i="9" s="1"/>
  <c r="N90" i="9" s="1"/>
  <c r="O90" i="9" s="1"/>
  <c r="P90" i="9" s="1"/>
  <c r="F162" i="9"/>
  <c r="H162" i="9" s="1"/>
  <c r="B163" i="9" s="1"/>
  <c r="AN112" i="9" l="1"/>
  <c r="AH113" i="9" s="1"/>
  <c r="AK113" i="9" s="1"/>
  <c r="AJ113" i="9" s="1"/>
  <c r="AL113" i="9" s="1"/>
  <c r="AC122" i="9"/>
  <c r="AB122" i="9" s="1"/>
  <c r="AD122" i="9" s="1"/>
  <c r="AE122" i="9" s="1"/>
  <c r="W122" i="9"/>
  <c r="X122" i="9" s="1"/>
  <c r="R123" i="9" s="1"/>
  <c r="J91" i="9"/>
  <c r="E163" i="9"/>
  <c r="D163" i="9" s="1"/>
  <c r="F163" i="9" s="1"/>
  <c r="H163" i="9" s="1"/>
  <c r="B164" i="9" s="1"/>
  <c r="AM113" i="9" l="1"/>
  <c r="AN113" i="9" s="1"/>
  <c r="AH114" i="9" s="1"/>
  <c r="AF122" i="9"/>
  <c r="Z123" i="9" s="1"/>
  <c r="U123" i="9"/>
  <c r="T123" i="9"/>
  <c r="V123" i="9" s="1"/>
  <c r="M91" i="9"/>
  <c r="L91" i="9" s="1"/>
  <c r="N91" i="9" s="1"/>
  <c r="E164" i="9"/>
  <c r="D164" i="9" s="1"/>
  <c r="F164" i="9" s="1"/>
  <c r="H164" i="9" s="1"/>
  <c r="B165" i="9" s="1"/>
  <c r="AK114" i="9" l="1"/>
  <c r="AJ114" i="9" s="1"/>
  <c r="AL114" i="9" s="1"/>
  <c r="AC123" i="9"/>
  <c r="AB123" i="9" s="1"/>
  <c r="AD123" i="9" s="1"/>
  <c r="AE123" i="9" s="1"/>
  <c r="W123" i="9"/>
  <c r="X123" i="9" s="1"/>
  <c r="R124" i="9" s="1"/>
  <c r="O91" i="9"/>
  <c r="P91" i="9" s="1"/>
  <c r="J92" i="9" s="1"/>
  <c r="E165" i="9"/>
  <c r="D165" i="9" s="1"/>
  <c r="F165" i="9" s="1"/>
  <c r="H165" i="9" s="1"/>
  <c r="B166" i="9" s="1"/>
  <c r="AM114" i="9" l="1"/>
  <c r="AN114" i="9" s="1"/>
  <c r="AH115" i="9" s="1"/>
  <c r="AF123" i="9"/>
  <c r="Z124" i="9" s="1"/>
  <c r="U124" i="9"/>
  <c r="T124" i="9" s="1"/>
  <c r="V124" i="9" s="1"/>
  <c r="M92" i="9"/>
  <c r="L92" i="9" s="1"/>
  <c r="N92" i="9" s="1"/>
  <c r="E166" i="9"/>
  <c r="D166" i="9" s="1"/>
  <c r="F166" i="9" s="1"/>
  <c r="H166" i="9" s="1"/>
  <c r="B167" i="9" s="1"/>
  <c r="AK115" i="9" l="1"/>
  <c r="AJ115" i="9" s="1"/>
  <c r="AL115" i="9" s="1"/>
  <c r="AC124" i="9"/>
  <c r="AB124" i="9" s="1"/>
  <c r="AD124" i="9" s="1"/>
  <c r="W124" i="9"/>
  <c r="X124" i="9" s="1"/>
  <c r="R125" i="9" s="1"/>
  <c r="O92" i="9"/>
  <c r="P92" i="9" s="1"/>
  <c r="J93" i="9" s="1"/>
  <c r="E167" i="9"/>
  <c r="D167" i="9" s="1"/>
  <c r="F167" i="9" s="1"/>
  <c r="H167" i="9" s="1"/>
  <c r="B168" i="9" s="1"/>
  <c r="AM115" i="9" l="1"/>
  <c r="AN115" i="9" s="1"/>
  <c r="AH116" i="9" s="1"/>
  <c r="AE124" i="9"/>
  <c r="AF124" i="9" s="1"/>
  <c r="Z125" i="9" s="1"/>
  <c r="U125" i="9"/>
  <c r="T125" i="9" s="1"/>
  <c r="V125" i="9" s="1"/>
  <c r="M93" i="9"/>
  <c r="L93" i="9" s="1"/>
  <c r="N93" i="9" s="1"/>
  <c r="E168" i="9"/>
  <c r="D168" i="9"/>
  <c r="F168" i="9" s="1"/>
  <c r="H168" i="9" s="1"/>
  <c r="B169" i="9" s="1"/>
  <c r="AK116" i="9" l="1"/>
  <c r="AJ116" i="9" s="1"/>
  <c r="AL116" i="9" s="1"/>
  <c r="AM116" i="9" s="1"/>
  <c r="AN116" i="9" s="1"/>
  <c r="AH117" i="9" s="1"/>
  <c r="AC125" i="9"/>
  <c r="AB125" i="9" s="1"/>
  <c r="AD125" i="9" s="1"/>
  <c r="AE125" i="9" s="1"/>
  <c r="W125" i="9"/>
  <c r="X125" i="9" s="1"/>
  <c r="R126" i="9" s="1"/>
  <c r="O93" i="9"/>
  <c r="P93" i="9" s="1"/>
  <c r="J94" i="9" s="1"/>
  <c r="E169" i="9"/>
  <c r="D169" i="9" s="1"/>
  <c r="F169" i="9" s="1"/>
  <c r="H169" i="9" s="1"/>
  <c r="B170" i="9" s="1"/>
  <c r="AK117" i="9" l="1"/>
  <c r="AJ117" i="9" s="1"/>
  <c r="AL117" i="9" s="1"/>
  <c r="AF125" i="9"/>
  <c r="Z126" i="9" s="1"/>
  <c r="U126" i="9"/>
  <c r="T126" i="9" s="1"/>
  <c r="V126" i="9" s="1"/>
  <c r="M94" i="9"/>
  <c r="L94" i="9" s="1"/>
  <c r="N94" i="9" s="1"/>
  <c r="E170" i="9"/>
  <c r="D170" i="9" s="1"/>
  <c r="AM117" i="9" l="1"/>
  <c r="AN117" i="9" s="1"/>
  <c r="AH118" i="9" s="1"/>
  <c r="AC126" i="9"/>
  <c r="AB126" i="9" s="1"/>
  <c r="AD126" i="9" s="1"/>
  <c r="W126" i="9"/>
  <c r="X126" i="9" s="1"/>
  <c r="R127" i="9" s="1"/>
  <c r="O94" i="9"/>
  <c r="P94" i="9" s="1"/>
  <c r="J95" i="9" s="1"/>
  <c r="F170" i="9"/>
  <c r="H170" i="9" s="1"/>
  <c r="B171" i="9" s="1"/>
  <c r="AK118" i="9" l="1"/>
  <c r="AJ118" i="9" s="1"/>
  <c r="AL118" i="9" s="1"/>
  <c r="AE126" i="9"/>
  <c r="AF126" i="9" s="1"/>
  <c r="Z127" i="9" s="1"/>
  <c r="U127" i="9"/>
  <c r="T127" i="9" s="1"/>
  <c r="V127" i="9" s="1"/>
  <c r="M95" i="9"/>
  <c r="L95" i="9" s="1"/>
  <c r="N95" i="9" s="1"/>
  <c r="E171" i="9"/>
  <c r="D171" i="9" s="1"/>
  <c r="AM118" i="9" l="1"/>
  <c r="AN118" i="9" s="1"/>
  <c r="AH119" i="9" s="1"/>
  <c r="AC127" i="9"/>
  <c r="AB127" i="9" s="1"/>
  <c r="AD127" i="9" s="1"/>
  <c r="W127" i="9"/>
  <c r="X127" i="9" s="1"/>
  <c r="R128" i="9" s="1"/>
  <c r="O95" i="9"/>
  <c r="P95" i="9" s="1"/>
  <c r="J96" i="9" s="1"/>
  <c r="F171" i="9"/>
  <c r="H171" i="9" s="1"/>
  <c r="B172" i="9" s="1"/>
  <c r="AK119" i="9" l="1"/>
  <c r="AJ119" i="9" s="1"/>
  <c r="AL119" i="9" s="1"/>
  <c r="AE127" i="9"/>
  <c r="AF127" i="9" s="1"/>
  <c r="Z128" i="9" s="1"/>
  <c r="U128" i="9"/>
  <c r="T128" i="9" s="1"/>
  <c r="V128" i="9" s="1"/>
  <c r="M96" i="9"/>
  <c r="L96" i="9"/>
  <c r="N96" i="9" s="1"/>
  <c r="O96" i="9" s="1"/>
  <c r="E172" i="9"/>
  <c r="D172" i="9" s="1"/>
  <c r="W128" i="9" l="1"/>
  <c r="X128" i="9" s="1"/>
  <c r="R129" i="9" s="1"/>
  <c r="P96" i="9"/>
  <c r="J97" i="9" s="1"/>
  <c r="M97" i="9" s="1"/>
  <c r="AM119" i="9"/>
  <c r="AN119" i="9" s="1"/>
  <c r="AH120" i="9" s="1"/>
  <c r="AC128" i="9"/>
  <c r="AB128" i="9" s="1"/>
  <c r="AD128" i="9" s="1"/>
  <c r="F172" i="9"/>
  <c r="H172" i="9" s="1"/>
  <c r="B173" i="9" s="1"/>
  <c r="U129" i="9" l="1"/>
  <c r="T129" i="9" s="1"/>
  <c r="V129" i="9" s="1"/>
  <c r="AK120" i="9"/>
  <c r="AJ120" i="9" s="1"/>
  <c r="AL120" i="9" s="1"/>
  <c r="AM120" i="9" s="1"/>
  <c r="AN120" i="9" s="1"/>
  <c r="AH121" i="9" s="1"/>
  <c r="AE128" i="9"/>
  <c r="AF128" i="9" s="1"/>
  <c r="Z129" i="9" s="1"/>
  <c r="L97" i="9"/>
  <c r="N97" i="9" s="1"/>
  <c r="E173" i="9"/>
  <c r="D173" i="9" s="1"/>
  <c r="W129" i="9" l="1"/>
  <c r="X129" i="9" s="1"/>
  <c r="R130" i="9" s="1"/>
  <c r="AK121" i="9"/>
  <c r="AJ121" i="9" s="1"/>
  <c r="AL121" i="9" s="1"/>
  <c r="AM121" i="9" s="1"/>
  <c r="AC129" i="9"/>
  <c r="AB129" i="9" s="1"/>
  <c r="AD129" i="9" s="1"/>
  <c r="O97" i="9"/>
  <c r="P97" i="9" s="1"/>
  <c r="J98" i="9" s="1"/>
  <c r="F173" i="9"/>
  <c r="H173" i="9" s="1"/>
  <c r="B174" i="9" s="1"/>
  <c r="U130" i="9" l="1"/>
  <c r="T130" i="9" s="1"/>
  <c r="V130" i="9" s="1"/>
  <c r="W130" i="9" s="1"/>
  <c r="X130" i="9" s="1"/>
  <c r="R131" i="9" s="1"/>
  <c r="AN121" i="9"/>
  <c r="AH122" i="9" s="1"/>
  <c r="AE129" i="9"/>
  <c r="AF129" i="9" s="1"/>
  <c r="Z130" i="9" s="1"/>
  <c r="M98" i="9"/>
  <c r="L98" i="9" s="1"/>
  <c r="N98" i="9" s="1"/>
  <c r="E174" i="9"/>
  <c r="D174" i="9" s="1"/>
  <c r="AK122" i="9" l="1"/>
  <c r="AJ122" i="9" s="1"/>
  <c r="AL122" i="9" s="1"/>
  <c r="AC130" i="9"/>
  <c r="AB130" i="9" s="1"/>
  <c r="AD130" i="9" s="1"/>
  <c r="AE130" i="9" s="1"/>
  <c r="AF130" i="9" s="1"/>
  <c r="Z131" i="9" s="1"/>
  <c r="U131" i="9"/>
  <c r="T131" i="9"/>
  <c r="V131" i="9" s="1"/>
  <c r="W131" i="9" s="1"/>
  <c r="O98" i="9"/>
  <c r="P98" i="9" s="1"/>
  <c r="F174" i="9"/>
  <c r="H174" i="9" s="1"/>
  <c r="B175" i="9" s="1"/>
  <c r="X131" i="9" l="1"/>
  <c r="R132" i="9" s="1"/>
  <c r="U132" i="9" s="1"/>
  <c r="T132" i="9" s="1"/>
  <c r="V132" i="9" s="1"/>
  <c r="AM122" i="9"/>
  <c r="AN122" i="9" s="1"/>
  <c r="AH123" i="9" s="1"/>
  <c r="AC131" i="9"/>
  <c r="AB131" i="9" s="1"/>
  <c r="AD131" i="9" s="1"/>
  <c r="J99" i="9"/>
  <c r="E175" i="9"/>
  <c r="D175" i="9" s="1"/>
  <c r="F175" i="9" s="1"/>
  <c r="H175" i="9" s="1"/>
  <c r="B176" i="9" s="1"/>
  <c r="AK123" i="9" l="1"/>
  <c r="AJ123" i="9" s="1"/>
  <c r="AL123" i="9" s="1"/>
  <c r="AE131" i="9"/>
  <c r="AF131" i="9" s="1"/>
  <c r="Z132" i="9" s="1"/>
  <c r="W132" i="9"/>
  <c r="X132" i="9" s="1"/>
  <c r="R133" i="9" s="1"/>
  <c r="M99" i="9"/>
  <c r="L99" i="9" s="1"/>
  <c r="N99" i="9" s="1"/>
  <c r="E176" i="9"/>
  <c r="D176" i="9" s="1"/>
  <c r="F176" i="9" s="1"/>
  <c r="H176" i="9" s="1"/>
  <c r="B177" i="9" s="1"/>
  <c r="AM123" i="9" l="1"/>
  <c r="AN123" i="9" s="1"/>
  <c r="AH124" i="9" s="1"/>
  <c r="AC132" i="9"/>
  <c r="AB132" i="9" s="1"/>
  <c r="AD132" i="9" s="1"/>
  <c r="U133" i="9"/>
  <c r="T133" i="9" s="1"/>
  <c r="V133" i="9" s="1"/>
  <c r="O99" i="9"/>
  <c r="P99" i="9" s="1"/>
  <c r="E177" i="9"/>
  <c r="D177" i="9"/>
  <c r="F177" i="9" s="1"/>
  <c r="H177" i="9" s="1"/>
  <c r="B178" i="9" s="1"/>
  <c r="AK124" i="9" l="1"/>
  <c r="AJ124" i="9" s="1"/>
  <c r="AL124" i="9" s="1"/>
  <c r="AM124" i="9" s="1"/>
  <c r="AE132" i="9"/>
  <c r="AF132" i="9" s="1"/>
  <c r="Z133" i="9" s="1"/>
  <c r="W133" i="9"/>
  <c r="X133" i="9" s="1"/>
  <c r="R134" i="9" s="1"/>
  <c r="J100" i="9"/>
  <c r="E178" i="9"/>
  <c r="D178" i="9" s="1"/>
  <c r="F178" i="9" s="1"/>
  <c r="H178" i="9" s="1"/>
  <c r="B179" i="9" s="1"/>
  <c r="AN124" i="9" l="1"/>
  <c r="AH125" i="9" s="1"/>
  <c r="AK125" i="9" s="1"/>
  <c r="AJ125" i="9" s="1"/>
  <c r="AL125" i="9" s="1"/>
  <c r="AC133" i="9"/>
  <c r="AB133" i="9" s="1"/>
  <c r="AD133" i="9" s="1"/>
  <c r="U134" i="9"/>
  <c r="T134" i="9"/>
  <c r="V134" i="9" s="1"/>
  <c r="M100" i="9"/>
  <c r="L100" i="9"/>
  <c r="N100" i="9" s="1"/>
  <c r="O100" i="9" s="1"/>
  <c r="E179" i="9"/>
  <c r="D179" i="9" s="1"/>
  <c r="F179" i="9" s="1"/>
  <c r="H179" i="9" s="1"/>
  <c r="B180" i="9" s="1"/>
  <c r="AE133" i="9" l="1"/>
  <c r="AF133" i="9" s="1"/>
  <c r="Z134" i="9" s="1"/>
  <c r="AC134" i="9" s="1"/>
  <c r="AB134" i="9" s="1"/>
  <c r="AD134" i="9" s="1"/>
  <c r="W134" i="9"/>
  <c r="X134" i="9" s="1"/>
  <c r="R135" i="9" s="1"/>
  <c r="U135" i="9" s="1"/>
  <c r="T135" i="9" s="1"/>
  <c r="V135" i="9" s="1"/>
  <c r="AM125" i="9"/>
  <c r="AN125" i="9" s="1"/>
  <c r="AH126" i="9" s="1"/>
  <c r="P100" i="9"/>
  <c r="E180" i="9"/>
  <c r="D180" i="9" s="1"/>
  <c r="F180" i="9" s="1"/>
  <c r="H180" i="9" s="1"/>
  <c r="B181" i="9" s="1"/>
  <c r="AK126" i="9" l="1"/>
  <c r="AJ126" i="9" s="1"/>
  <c r="AL126" i="9" s="1"/>
  <c r="AE134" i="9"/>
  <c r="AF134" i="9" s="1"/>
  <c r="Z135" i="9" s="1"/>
  <c r="W135" i="9"/>
  <c r="X135" i="9" s="1"/>
  <c r="R136" i="9" s="1"/>
  <c r="J101" i="9"/>
  <c r="E181" i="9"/>
  <c r="D181" i="9" s="1"/>
  <c r="F181" i="9" s="1"/>
  <c r="H181" i="9" s="1"/>
  <c r="B182" i="9" s="1"/>
  <c r="AM126" i="9" l="1"/>
  <c r="AN126" i="9" s="1"/>
  <c r="AH127" i="9" s="1"/>
  <c r="AC135" i="9"/>
  <c r="AB135" i="9" s="1"/>
  <c r="AD135" i="9" s="1"/>
  <c r="U136" i="9"/>
  <c r="T136" i="9" s="1"/>
  <c r="V136" i="9" s="1"/>
  <c r="M101" i="9"/>
  <c r="L101" i="9" s="1"/>
  <c r="N101" i="9" s="1"/>
  <c r="O101" i="9" s="1"/>
  <c r="E182" i="9"/>
  <c r="D182" i="9" s="1"/>
  <c r="AK127" i="9" l="1"/>
  <c r="AJ127" i="9" s="1"/>
  <c r="AL127" i="9" s="1"/>
  <c r="AE135" i="9"/>
  <c r="AF135" i="9" s="1"/>
  <c r="Z136" i="9" s="1"/>
  <c r="W136" i="9"/>
  <c r="X136" i="9" s="1"/>
  <c r="R137" i="9" s="1"/>
  <c r="P101" i="9"/>
  <c r="F182" i="9"/>
  <c r="H182" i="9" s="1"/>
  <c r="B183" i="9" s="1"/>
  <c r="AM127" i="9" l="1"/>
  <c r="AN127" i="9" s="1"/>
  <c r="AH128" i="9" s="1"/>
  <c r="AC136" i="9"/>
  <c r="AB136" i="9" s="1"/>
  <c r="AD136" i="9" s="1"/>
  <c r="U137" i="9"/>
  <c r="T137" i="9" s="1"/>
  <c r="V137" i="9" s="1"/>
  <c r="J102" i="9"/>
  <c r="E183" i="9"/>
  <c r="D183" i="9" s="1"/>
  <c r="AE136" i="9" l="1"/>
  <c r="AF136" i="9" s="1"/>
  <c r="Z137" i="9" s="1"/>
  <c r="AC137" i="9" s="1"/>
  <c r="AB137" i="9" s="1"/>
  <c r="AD137" i="9" s="1"/>
  <c r="AK128" i="9"/>
  <c r="AJ128" i="9" s="1"/>
  <c r="AL128" i="9" s="1"/>
  <c r="W137" i="9"/>
  <c r="X137" i="9" s="1"/>
  <c r="R138" i="9" s="1"/>
  <c r="M102" i="9"/>
  <c r="L102" i="9"/>
  <c r="N102" i="9" s="1"/>
  <c r="F183" i="9"/>
  <c r="H183" i="9" s="1"/>
  <c r="B184" i="9" s="1"/>
  <c r="AM128" i="9" l="1"/>
  <c r="AN128" i="9" s="1"/>
  <c r="AH129" i="9" s="1"/>
  <c r="AE137" i="9"/>
  <c r="AF137" i="9" s="1"/>
  <c r="Z138" i="9" s="1"/>
  <c r="U138" i="9"/>
  <c r="T138" i="9" s="1"/>
  <c r="V138" i="9" s="1"/>
  <c r="O102" i="9"/>
  <c r="P102" i="9" s="1"/>
  <c r="E184" i="9"/>
  <c r="D184" i="9" s="1"/>
  <c r="AK129" i="9" l="1"/>
  <c r="AJ129" i="9" s="1"/>
  <c r="AL129" i="9" s="1"/>
  <c r="AC138" i="9"/>
  <c r="AB138" i="9" s="1"/>
  <c r="AD138" i="9" s="1"/>
  <c r="W138" i="9"/>
  <c r="X138" i="9" s="1"/>
  <c r="R139" i="9" s="1"/>
  <c r="J103" i="9"/>
  <c r="F184" i="9"/>
  <c r="H184" i="9" s="1"/>
  <c r="B185" i="9" s="1"/>
  <c r="AM129" i="9" l="1"/>
  <c r="AN129" i="9" s="1"/>
  <c r="AH130" i="9" s="1"/>
  <c r="AE138" i="9"/>
  <c r="AF138" i="9" s="1"/>
  <c r="Z139" i="9" s="1"/>
  <c r="U139" i="9"/>
  <c r="T139" i="9"/>
  <c r="V139" i="9" s="1"/>
  <c r="M103" i="9"/>
  <c r="L103" i="9"/>
  <c r="N103" i="9" s="1"/>
  <c r="E185" i="9"/>
  <c r="D185" i="9" s="1"/>
  <c r="AK130" i="9" l="1"/>
  <c r="AJ130" i="9" s="1"/>
  <c r="AL130" i="9" s="1"/>
  <c r="AM130" i="9" s="1"/>
  <c r="AC139" i="9"/>
  <c r="AB139" i="9" s="1"/>
  <c r="AD139" i="9" s="1"/>
  <c r="W139" i="9"/>
  <c r="X139" i="9" s="1"/>
  <c r="R140" i="9" s="1"/>
  <c r="O103" i="9"/>
  <c r="P103" i="9" s="1"/>
  <c r="J104" i="9" s="1"/>
  <c r="F185" i="9"/>
  <c r="H185" i="9" s="1"/>
  <c r="B186" i="9" s="1"/>
  <c r="AN130" i="9" l="1"/>
  <c r="AH131" i="9" s="1"/>
  <c r="AK131" i="9" s="1"/>
  <c r="AJ131" i="9" s="1"/>
  <c r="AL131" i="9" s="1"/>
  <c r="AE139" i="9"/>
  <c r="AF139" i="9" s="1"/>
  <c r="Z140" i="9" s="1"/>
  <c r="U140" i="9"/>
  <c r="T140" i="9" s="1"/>
  <c r="V140" i="9" s="1"/>
  <c r="M104" i="9"/>
  <c r="L104" i="9" s="1"/>
  <c r="N104" i="9" s="1"/>
  <c r="E186" i="9"/>
  <c r="D186" i="9" s="1"/>
  <c r="AM131" i="9" l="1"/>
  <c r="AN131" i="9" s="1"/>
  <c r="AH132" i="9" s="1"/>
  <c r="AC140" i="9"/>
  <c r="AB140" i="9" s="1"/>
  <c r="AD140" i="9" s="1"/>
  <c r="W140" i="9"/>
  <c r="X140" i="9" s="1"/>
  <c r="R141" i="9" s="1"/>
  <c r="O104" i="9"/>
  <c r="P104" i="9" s="1"/>
  <c r="J105" i="9" s="1"/>
  <c r="F186" i="9"/>
  <c r="H186" i="9" s="1"/>
  <c r="B187" i="9" s="1"/>
  <c r="AK132" i="9" l="1"/>
  <c r="AJ132" i="9"/>
  <c r="AL132" i="9" s="1"/>
  <c r="AM132" i="9" s="1"/>
  <c r="AN132" i="9" s="1"/>
  <c r="AH133" i="9" s="1"/>
  <c r="AE140" i="9"/>
  <c r="AF140" i="9" s="1"/>
  <c r="Z141" i="9" s="1"/>
  <c r="U141" i="9"/>
  <c r="T141" i="9" s="1"/>
  <c r="V141" i="9" s="1"/>
  <c r="W141" i="9" s="1"/>
  <c r="X141" i="9" s="1"/>
  <c r="R142" i="9" s="1"/>
  <c r="M105" i="9"/>
  <c r="L105" i="9" s="1"/>
  <c r="N105" i="9" s="1"/>
  <c r="E187" i="9"/>
  <c r="D187" i="9" s="1"/>
  <c r="F187" i="9" s="1"/>
  <c r="H187" i="9" s="1"/>
  <c r="B188" i="9" s="1"/>
  <c r="AK133" i="9" l="1"/>
  <c r="AJ133" i="9" s="1"/>
  <c r="AL133" i="9" s="1"/>
  <c r="AM133" i="9" s="1"/>
  <c r="AC141" i="9"/>
  <c r="AB141" i="9" s="1"/>
  <c r="AD141" i="9" s="1"/>
  <c r="AE141" i="9" s="1"/>
  <c r="U142" i="9"/>
  <c r="T142" i="9" s="1"/>
  <c r="V142" i="9" s="1"/>
  <c r="W142" i="9" s="1"/>
  <c r="X142" i="9" s="1"/>
  <c r="R143" i="9" s="1"/>
  <c r="O105" i="9"/>
  <c r="P105" i="9" s="1"/>
  <c r="J106" i="9" s="1"/>
  <c r="E188" i="9"/>
  <c r="D188" i="9" s="1"/>
  <c r="AF141" i="9" l="1"/>
  <c r="Z142" i="9" s="1"/>
  <c r="AC142" i="9" s="1"/>
  <c r="AB142" i="9" s="1"/>
  <c r="AD142" i="9" s="1"/>
  <c r="AN133" i="9"/>
  <c r="AH134" i="9" s="1"/>
  <c r="U143" i="9"/>
  <c r="T143" i="9"/>
  <c r="V143" i="9" s="1"/>
  <c r="W143" i="9" s="1"/>
  <c r="X143" i="9" s="1"/>
  <c r="R144" i="9" s="1"/>
  <c r="M106" i="9"/>
  <c r="L106" i="9" s="1"/>
  <c r="N106" i="9" s="1"/>
  <c r="F188" i="9"/>
  <c r="H188" i="9" s="1"/>
  <c r="B189" i="9" s="1"/>
  <c r="E189" i="9" s="1"/>
  <c r="D189" i="9" s="1"/>
  <c r="F189" i="9" s="1"/>
  <c r="H189" i="9" s="1"/>
  <c r="B190" i="9" s="1"/>
  <c r="E190" i="9" s="1"/>
  <c r="D190" i="9" s="1"/>
  <c r="F190" i="9" s="1"/>
  <c r="H190" i="9" s="1"/>
  <c r="B191" i="9" s="1"/>
  <c r="E191" i="9" l="1"/>
  <c r="D191" i="9" s="1"/>
  <c r="F191" i="9" s="1"/>
  <c r="H191" i="9" s="1"/>
  <c r="B192" i="9" s="1"/>
  <c r="E192" i="9" s="1"/>
  <c r="D192" i="9" s="1"/>
  <c r="F192" i="9" s="1"/>
  <c r="H192" i="9" s="1"/>
  <c r="B193" i="9" s="1"/>
  <c r="AK134" i="9"/>
  <c r="AJ134" i="9"/>
  <c r="AL134" i="9" s="1"/>
  <c r="AM134" i="9" s="1"/>
  <c r="AN134" i="9" s="1"/>
  <c r="AH135" i="9" s="1"/>
  <c r="AE142" i="9"/>
  <c r="AF142" i="9" s="1"/>
  <c r="Z143" i="9" s="1"/>
  <c r="U144" i="9"/>
  <c r="T144" i="9" s="1"/>
  <c r="V144" i="9" s="1"/>
  <c r="O106" i="9"/>
  <c r="P106" i="9" s="1"/>
  <c r="J107" i="9" s="1"/>
  <c r="E193" i="9" l="1"/>
  <c r="D193" i="9" s="1"/>
  <c r="F193" i="9" s="1"/>
  <c r="H193" i="9" s="1"/>
  <c r="B194" i="9" s="1"/>
  <c r="AK135" i="9"/>
  <c r="AJ135" i="9" s="1"/>
  <c r="AL135" i="9" s="1"/>
  <c r="AC143" i="9"/>
  <c r="AB143" i="9" s="1"/>
  <c r="AD143" i="9" s="1"/>
  <c r="W144" i="9"/>
  <c r="X144" i="9" s="1"/>
  <c r="R145" i="9" s="1"/>
  <c r="M107" i="9"/>
  <c r="L107" i="9" s="1"/>
  <c r="N107" i="9" s="1"/>
  <c r="E194" i="9" l="1"/>
  <c r="D194" i="9" s="1"/>
  <c r="F194" i="9" s="1"/>
  <c r="H194" i="9" s="1"/>
  <c r="B195" i="9" s="1"/>
  <c r="AM135" i="9"/>
  <c r="AN135" i="9" s="1"/>
  <c r="AH136" i="9" s="1"/>
  <c r="AE143" i="9"/>
  <c r="AF143" i="9" s="1"/>
  <c r="Z144" i="9" s="1"/>
  <c r="U145" i="9"/>
  <c r="T145" i="9" s="1"/>
  <c r="V145" i="9" s="1"/>
  <c r="O107" i="9"/>
  <c r="P107" i="9" s="1"/>
  <c r="J108" i="9" s="1"/>
  <c r="E195" i="9" l="1"/>
  <c r="D195" i="9" s="1"/>
  <c r="F195" i="9" s="1"/>
  <c r="H195" i="9" s="1"/>
  <c r="B196" i="9" s="1"/>
  <c r="E196" i="9" s="1"/>
  <c r="D196" i="9" s="1"/>
  <c r="F196" i="9" s="1"/>
  <c r="H196" i="9" s="1"/>
  <c r="B197" i="9" s="1"/>
  <c r="AK136" i="9"/>
  <c r="AJ136" i="9"/>
  <c r="AL136" i="9" s="1"/>
  <c r="AC144" i="9"/>
  <c r="AB144" i="9"/>
  <c r="AD144" i="9" s="1"/>
  <c r="W145" i="9"/>
  <c r="X145" i="9" s="1"/>
  <c r="R146" i="9" s="1"/>
  <c r="M108" i="9"/>
  <c r="L108" i="9"/>
  <c r="N108" i="9" s="1"/>
  <c r="O108" i="9" s="1"/>
  <c r="AM136" i="9" l="1"/>
  <c r="AN136" i="9" s="1"/>
  <c r="AH137" i="9" s="1"/>
  <c r="AK137" i="9" s="1"/>
  <c r="AJ137" i="9" s="1"/>
  <c r="AL137" i="9" s="1"/>
  <c r="E197" i="9"/>
  <c r="D197" i="9" s="1"/>
  <c r="F197" i="9" s="1"/>
  <c r="H197" i="9" s="1"/>
  <c r="B198" i="9" s="1"/>
  <c r="E198" i="9" s="1"/>
  <c r="D198" i="9" s="1"/>
  <c r="F198" i="9" s="1"/>
  <c r="H198" i="9" s="1"/>
  <c r="B199" i="9" s="1"/>
  <c r="AE144" i="9"/>
  <c r="AF144" i="9" s="1"/>
  <c r="Z145" i="9" s="1"/>
  <c r="U146" i="9"/>
  <c r="T146" i="9"/>
  <c r="V146" i="9" s="1"/>
  <c r="P108" i="9"/>
  <c r="J109" i="9" s="1"/>
  <c r="E199" i="9" l="1"/>
  <c r="D199" i="9" s="1"/>
  <c r="F199" i="9" s="1"/>
  <c r="H199" i="9" s="1"/>
  <c r="B200" i="9" s="1"/>
  <c r="E200" i="9" s="1"/>
  <c r="D200" i="9" s="1"/>
  <c r="F200" i="9" s="1"/>
  <c r="H200" i="9" s="1"/>
  <c r="B201" i="9" s="1"/>
  <c r="AM137" i="9"/>
  <c r="AN137" i="9" s="1"/>
  <c r="AH138" i="9" s="1"/>
  <c r="AC145" i="9"/>
  <c r="AB145" i="9" s="1"/>
  <c r="AD145" i="9" s="1"/>
  <c r="W146" i="9"/>
  <c r="X146" i="9" s="1"/>
  <c r="R147" i="9" s="1"/>
  <c r="M109" i="9"/>
  <c r="E201" i="9" l="1"/>
  <c r="D201" i="9" s="1"/>
  <c r="F201" i="9" s="1"/>
  <c r="H201" i="9" s="1"/>
  <c r="B202" i="9" s="1"/>
  <c r="E202" i="9" s="1"/>
  <c r="D202" i="9" s="1"/>
  <c r="F202" i="9" s="1"/>
  <c r="H202" i="9" s="1"/>
  <c r="B203" i="9" s="1"/>
  <c r="AK138" i="9"/>
  <c r="AJ138" i="9" s="1"/>
  <c r="AL138" i="9" s="1"/>
  <c r="AE145" i="9"/>
  <c r="AF145" i="9" s="1"/>
  <c r="Z146" i="9" s="1"/>
  <c r="U147" i="9"/>
  <c r="T147" i="9" s="1"/>
  <c r="V147" i="9" s="1"/>
  <c r="L109" i="9"/>
  <c r="N109" i="9" s="1"/>
  <c r="E203" i="9" l="1"/>
  <c r="D203" i="9"/>
  <c r="F203" i="9" s="1"/>
  <c r="H203" i="9" s="1"/>
  <c r="B204" i="9" s="1"/>
  <c r="E204" i="9" s="1"/>
  <c r="D204" i="9" s="1"/>
  <c r="F204" i="9" s="1"/>
  <c r="H204" i="9" s="1"/>
  <c r="B205" i="9" s="1"/>
  <c r="AM138" i="9"/>
  <c r="AN138" i="9" s="1"/>
  <c r="AH139" i="9" s="1"/>
  <c r="AC146" i="9"/>
  <c r="AB146" i="9" s="1"/>
  <c r="AD146" i="9" s="1"/>
  <c r="W147" i="9"/>
  <c r="X147" i="9" s="1"/>
  <c r="R148" i="9" s="1"/>
  <c r="O109" i="9"/>
  <c r="P109" i="9" s="1"/>
  <c r="J110" i="9" s="1"/>
  <c r="E205" i="9" l="1"/>
  <c r="D205" i="9" s="1"/>
  <c r="F205" i="9" s="1"/>
  <c r="H205" i="9" s="1"/>
  <c r="B206" i="9" s="1"/>
  <c r="E206" i="9" s="1"/>
  <c r="D206" i="9" s="1"/>
  <c r="F206" i="9" s="1"/>
  <c r="H206" i="9" s="1"/>
  <c r="B207" i="9" s="1"/>
  <c r="AK139" i="9"/>
  <c r="AJ139" i="9" s="1"/>
  <c r="AL139" i="9" s="1"/>
  <c r="AE146" i="9"/>
  <c r="AF146" i="9" s="1"/>
  <c r="Z147" i="9" s="1"/>
  <c r="U148" i="9"/>
  <c r="T148" i="9" s="1"/>
  <c r="V148" i="9" s="1"/>
  <c r="M110" i="9"/>
  <c r="L110" i="9" s="1"/>
  <c r="N110" i="9" s="1"/>
  <c r="E207" i="9" l="1"/>
  <c r="D207" i="9"/>
  <c r="F207" i="9" s="1"/>
  <c r="H207" i="9" s="1"/>
  <c r="B208" i="9" s="1"/>
  <c r="E208" i="9" s="1"/>
  <c r="D208" i="9" s="1"/>
  <c r="F208" i="9" s="1"/>
  <c r="H208" i="9" s="1"/>
  <c r="B209" i="9" s="1"/>
  <c r="AM139" i="9"/>
  <c r="AN139" i="9" s="1"/>
  <c r="AH140" i="9" s="1"/>
  <c r="AC147" i="9"/>
  <c r="AB147" i="9" s="1"/>
  <c r="AD147" i="9" s="1"/>
  <c r="W148" i="9"/>
  <c r="X148" i="9" s="1"/>
  <c r="R149" i="9" s="1"/>
  <c r="O110" i="9"/>
  <c r="P110" i="9" s="1"/>
  <c r="E209" i="9" l="1"/>
  <c r="D209" i="9"/>
  <c r="F209" i="9" s="1"/>
  <c r="H209" i="9" s="1"/>
  <c r="B210" i="9" s="1"/>
  <c r="E210" i="9" s="1"/>
  <c r="D210" i="9" s="1"/>
  <c r="F210" i="9" s="1"/>
  <c r="H210" i="9" s="1"/>
  <c r="B211" i="9" s="1"/>
  <c r="AK140" i="9"/>
  <c r="AJ140" i="9" s="1"/>
  <c r="AL140" i="9" s="1"/>
  <c r="AM140" i="9" s="1"/>
  <c r="AN140" i="9" s="1"/>
  <c r="AH141" i="9" s="1"/>
  <c r="AE147" i="9"/>
  <c r="AF147" i="9" s="1"/>
  <c r="Z148" i="9" s="1"/>
  <c r="U149" i="9"/>
  <c r="T149" i="9" s="1"/>
  <c r="V149" i="9" s="1"/>
  <c r="J111" i="9"/>
  <c r="E211" i="9" l="1"/>
  <c r="D211" i="9" s="1"/>
  <c r="F211" i="9" s="1"/>
  <c r="H211" i="9" s="1"/>
  <c r="B212" i="9" s="1"/>
  <c r="E212" i="9" s="1"/>
  <c r="D212" i="9" s="1"/>
  <c r="F212" i="9" s="1"/>
  <c r="H212" i="9" s="1"/>
  <c r="B213" i="9" s="1"/>
  <c r="AK141" i="9"/>
  <c r="AJ141" i="9" s="1"/>
  <c r="AL141" i="9" s="1"/>
  <c r="AC148" i="9"/>
  <c r="AB148" i="9" s="1"/>
  <c r="AD148" i="9" s="1"/>
  <c r="W149" i="9"/>
  <c r="X149" i="9" s="1"/>
  <c r="R150" i="9" s="1"/>
  <c r="M111" i="9"/>
  <c r="L111" i="9" s="1"/>
  <c r="N111" i="9" s="1"/>
  <c r="E213" i="9" l="1"/>
  <c r="D213" i="9" s="1"/>
  <c r="F213" i="9" s="1"/>
  <c r="H213" i="9" s="1"/>
  <c r="B214" i="9" s="1"/>
  <c r="E214" i="9" s="1"/>
  <c r="D214" i="9" s="1"/>
  <c r="F214" i="9" s="1"/>
  <c r="H214" i="9" s="1"/>
  <c r="B215" i="9" s="1"/>
  <c r="AE148" i="9"/>
  <c r="AF148" i="9" s="1"/>
  <c r="Z149" i="9" s="1"/>
  <c r="AC149" i="9" s="1"/>
  <c r="AB149" i="9" s="1"/>
  <c r="AD149" i="9" s="1"/>
  <c r="AM141" i="9"/>
  <c r="AN141" i="9" s="1"/>
  <c r="AH142" i="9" s="1"/>
  <c r="U150" i="9"/>
  <c r="T150" i="9" s="1"/>
  <c r="V150" i="9" s="1"/>
  <c r="O111" i="9"/>
  <c r="P111" i="9" s="1"/>
  <c r="E215" i="9" l="1"/>
  <c r="D215" i="9" s="1"/>
  <c r="F215" i="9" s="1"/>
  <c r="H215" i="9" s="1"/>
  <c r="B216" i="9" s="1"/>
  <c r="E216" i="9" s="1"/>
  <c r="D216" i="9" s="1"/>
  <c r="F216" i="9" s="1"/>
  <c r="H216" i="9" s="1"/>
  <c r="B217" i="9" s="1"/>
  <c r="AK142" i="9"/>
  <c r="AJ142" i="9" s="1"/>
  <c r="AL142" i="9" s="1"/>
  <c r="AE149" i="9"/>
  <c r="AF149" i="9" s="1"/>
  <c r="Z150" i="9" s="1"/>
  <c r="W150" i="9"/>
  <c r="X150" i="9" s="1"/>
  <c r="R151" i="9" s="1"/>
  <c r="J112" i="9"/>
  <c r="E217" i="9" l="1"/>
  <c r="D217" i="9"/>
  <c r="F217" i="9" s="1"/>
  <c r="H217" i="9" s="1"/>
  <c r="B218" i="9" s="1"/>
  <c r="E218" i="9" s="1"/>
  <c r="D218" i="9" s="1"/>
  <c r="F218" i="9" s="1"/>
  <c r="H218" i="9" s="1"/>
  <c r="B219" i="9" s="1"/>
  <c r="AM142" i="9"/>
  <c r="AN142" i="9" s="1"/>
  <c r="AH143" i="9" s="1"/>
  <c r="AC150" i="9"/>
  <c r="AB150" i="9" s="1"/>
  <c r="AD150" i="9" s="1"/>
  <c r="U151" i="9"/>
  <c r="T151" i="9" s="1"/>
  <c r="V151" i="9" s="1"/>
  <c r="W151" i="9" s="1"/>
  <c r="M112" i="9"/>
  <c r="L112" i="9"/>
  <c r="N112" i="9" s="1"/>
  <c r="O112" i="9" s="1"/>
  <c r="P112" i="9" s="1"/>
  <c r="E219" i="9" l="1"/>
  <c r="D219" i="9"/>
  <c r="F219" i="9" s="1"/>
  <c r="H219" i="9" s="1"/>
  <c r="B220" i="9" s="1"/>
  <c r="E220" i="9" s="1"/>
  <c r="D220" i="9" s="1"/>
  <c r="F220" i="9" s="1"/>
  <c r="H220" i="9" s="1"/>
  <c r="B221" i="9" s="1"/>
  <c r="AK143" i="9"/>
  <c r="AJ143" i="9" s="1"/>
  <c r="AL143" i="9" s="1"/>
  <c r="AE150" i="9"/>
  <c r="AF150" i="9" s="1"/>
  <c r="Z151" i="9" s="1"/>
  <c r="X151" i="9"/>
  <c r="R152" i="9" s="1"/>
  <c r="J113" i="9"/>
  <c r="E221" i="9" l="1"/>
  <c r="D221" i="9" s="1"/>
  <c r="F221" i="9" s="1"/>
  <c r="H221" i="9" s="1"/>
  <c r="B222" i="9" s="1"/>
  <c r="AM143" i="9"/>
  <c r="AN143" i="9" s="1"/>
  <c r="AH144" i="9" s="1"/>
  <c r="AC151" i="9"/>
  <c r="AB151" i="9" s="1"/>
  <c r="AD151" i="9" s="1"/>
  <c r="U152" i="9"/>
  <c r="T152" i="9" s="1"/>
  <c r="V152" i="9" s="1"/>
  <c r="W152" i="9" s="1"/>
  <c r="M113" i="9"/>
  <c r="L113" i="9" s="1"/>
  <c r="N113" i="9" s="1"/>
  <c r="E222" i="9" l="1"/>
  <c r="D222" i="9"/>
  <c r="F222" i="9" s="1"/>
  <c r="H222" i="9" s="1"/>
  <c r="B223" i="9" s="1"/>
  <c r="AK144" i="9"/>
  <c r="AJ144" i="9"/>
  <c r="AL144" i="9" s="1"/>
  <c r="AM144" i="9" s="1"/>
  <c r="AE151" i="9"/>
  <c r="AF151" i="9" s="1"/>
  <c r="Z152" i="9" s="1"/>
  <c r="X152" i="9"/>
  <c r="R153" i="9" s="1"/>
  <c r="O113" i="9"/>
  <c r="P113" i="9" s="1"/>
  <c r="AN144" i="9" l="1"/>
  <c r="AH145" i="9" s="1"/>
  <c r="AK145" i="9" s="1"/>
  <c r="AJ145" i="9" s="1"/>
  <c r="AL145" i="9" s="1"/>
  <c r="E223" i="9"/>
  <c r="D223" i="9" s="1"/>
  <c r="F223" i="9" s="1"/>
  <c r="H223" i="9" s="1"/>
  <c r="B224" i="9" s="1"/>
  <c r="E224" i="9" s="1"/>
  <c r="D224" i="9" s="1"/>
  <c r="F224" i="9" s="1"/>
  <c r="H224" i="9" s="1"/>
  <c r="B225" i="9" s="1"/>
  <c r="AC152" i="9"/>
  <c r="AB152" i="9" s="1"/>
  <c r="AD152" i="9" s="1"/>
  <c r="U153" i="9"/>
  <c r="T153" i="9" s="1"/>
  <c r="V153" i="9" s="1"/>
  <c r="W153" i="9" s="1"/>
  <c r="J114" i="9"/>
  <c r="E225" i="9" l="1"/>
  <c r="D225" i="9" s="1"/>
  <c r="F225" i="9" s="1"/>
  <c r="H225" i="9" s="1"/>
  <c r="B226" i="9" s="1"/>
  <c r="E226" i="9" s="1"/>
  <c r="D226" i="9" s="1"/>
  <c r="F226" i="9" s="1"/>
  <c r="H226" i="9" s="1"/>
  <c r="B227" i="9" s="1"/>
  <c r="AM145" i="9"/>
  <c r="AN145" i="9" s="1"/>
  <c r="AH146" i="9" s="1"/>
  <c r="AE152" i="9"/>
  <c r="AF152" i="9" s="1"/>
  <c r="Z153" i="9" s="1"/>
  <c r="X153" i="9"/>
  <c r="R154" i="9" s="1"/>
  <c r="M114" i="9"/>
  <c r="L114" i="9" s="1"/>
  <c r="N114" i="9" s="1"/>
  <c r="O114" i="9" s="1"/>
  <c r="P114" i="9" s="1"/>
  <c r="E227" i="9" l="1"/>
  <c r="D227" i="9" s="1"/>
  <c r="F227" i="9" s="1"/>
  <c r="H227" i="9" s="1"/>
  <c r="B228" i="9" s="1"/>
  <c r="E228" i="9" s="1"/>
  <c r="D228" i="9" s="1"/>
  <c r="F228" i="9" s="1"/>
  <c r="H228" i="9" s="1"/>
  <c r="B229" i="9" s="1"/>
  <c r="AK146" i="9"/>
  <c r="AJ146" i="9" s="1"/>
  <c r="AL146" i="9" s="1"/>
  <c r="AC153" i="9"/>
  <c r="AB153" i="9" s="1"/>
  <c r="AD153" i="9" s="1"/>
  <c r="U154" i="9"/>
  <c r="T154" i="9"/>
  <c r="V154" i="9" s="1"/>
  <c r="J115" i="9"/>
  <c r="E229" i="9" l="1"/>
  <c r="D229" i="9" s="1"/>
  <c r="F229" i="9" s="1"/>
  <c r="H229" i="9" s="1"/>
  <c r="B230" i="9" s="1"/>
  <c r="E230" i="9" s="1"/>
  <c r="D230" i="9" s="1"/>
  <c r="F230" i="9" s="1"/>
  <c r="H230" i="9" s="1"/>
  <c r="B231" i="9" s="1"/>
  <c r="AM146" i="9"/>
  <c r="AN146" i="9" s="1"/>
  <c r="AH147" i="9" s="1"/>
  <c r="AE153" i="9"/>
  <c r="AF153" i="9" s="1"/>
  <c r="Z154" i="9" s="1"/>
  <c r="W154" i="9"/>
  <c r="X154" i="9" s="1"/>
  <c r="R155" i="9" s="1"/>
  <c r="M115" i="9"/>
  <c r="L115" i="9" s="1"/>
  <c r="N115" i="9" s="1"/>
  <c r="O115" i="9" l="1"/>
  <c r="P115" i="9" s="1"/>
  <c r="J116" i="9" s="1"/>
  <c r="M116" i="9" s="1"/>
  <c r="L116" i="9" s="1"/>
  <c r="N116" i="9" s="1"/>
  <c r="E231" i="9"/>
  <c r="D231" i="9"/>
  <c r="F231" i="9" s="1"/>
  <c r="H231" i="9" s="1"/>
  <c r="B232" i="9" s="1"/>
  <c r="AK147" i="9"/>
  <c r="AJ147" i="9"/>
  <c r="AL147" i="9" s="1"/>
  <c r="AM147" i="9" s="1"/>
  <c r="AC154" i="9"/>
  <c r="AB154" i="9" s="1"/>
  <c r="AD154" i="9" s="1"/>
  <c r="AE154" i="9" s="1"/>
  <c r="U155" i="9"/>
  <c r="T155" i="9"/>
  <c r="V155" i="9" s="1"/>
  <c r="AN147" i="9" l="1"/>
  <c r="AH148" i="9" s="1"/>
  <c r="AK148" i="9" s="1"/>
  <c r="E232" i="9"/>
  <c r="D232" i="9"/>
  <c r="F232" i="9" s="1"/>
  <c r="H232" i="9" s="1"/>
  <c r="B233" i="9" s="1"/>
  <c r="AF154" i="9"/>
  <c r="Z155" i="9" s="1"/>
  <c r="AC155" i="9" s="1"/>
  <c r="AB155" i="9" s="1"/>
  <c r="AD155" i="9" s="1"/>
  <c r="W155" i="9"/>
  <c r="X155" i="9" s="1"/>
  <c r="R156" i="9" s="1"/>
  <c r="O116" i="9"/>
  <c r="P116" i="9" s="1"/>
  <c r="J117" i="9" s="1"/>
  <c r="AJ148" i="9" l="1"/>
  <c r="AL148" i="9" s="1"/>
  <c r="E233" i="9"/>
  <c r="D233" i="9" s="1"/>
  <c r="F233" i="9" s="1"/>
  <c r="H233" i="9" s="1"/>
  <c r="B234" i="9" s="1"/>
  <c r="E234" i="9" s="1"/>
  <c r="D234" i="9" s="1"/>
  <c r="F234" i="9" s="1"/>
  <c r="H234" i="9" s="1"/>
  <c r="B235" i="9" s="1"/>
  <c r="AE155" i="9"/>
  <c r="AF155" i="9" s="1"/>
  <c r="Z156" i="9" s="1"/>
  <c r="U156" i="9"/>
  <c r="T156" i="9" s="1"/>
  <c r="V156" i="9" s="1"/>
  <c r="W156" i="9" s="1"/>
  <c r="M117" i="9"/>
  <c r="L117" i="9" s="1"/>
  <c r="N117" i="9" s="1"/>
  <c r="AM148" i="9" l="1"/>
  <c r="AN148" i="9" s="1"/>
  <c r="AH149" i="9" s="1"/>
  <c r="E235" i="9"/>
  <c r="D235" i="9"/>
  <c r="F235" i="9" s="1"/>
  <c r="H235" i="9" s="1"/>
  <c r="B236" i="9" s="1"/>
  <c r="E236" i="9" s="1"/>
  <c r="D236" i="9" s="1"/>
  <c r="F236" i="9" s="1"/>
  <c r="H236" i="9" s="1"/>
  <c r="B237" i="9" s="1"/>
  <c r="AC156" i="9"/>
  <c r="AB156" i="9" s="1"/>
  <c r="AD156" i="9" s="1"/>
  <c r="X156" i="9"/>
  <c r="R157" i="9" s="1"/>
  <c r="O117" i="9"/>
  <c r="P117" i="9" s="1"/>
  <c r="J118" i="9" s="1"/>
  <c r="AK149" i="9" l="1"/>
  <c r="AJ149" i="9" s="1"/>
  <c r="AL149" i="9" s="1"/>
  <c r="AM149" i="9" s="1"/>
  <c r="E237" i="9"/>
  <c r="D237" i="9"/>
  <c r="F237" i="9" s="1"/>
  <c r="H237" i="9" s="1"/>
  <c r="B238" i="9" s="1"/>
  <c r="AE156" i="9"/>
  <c r="AF156" i="9" s="1"/>
  <c r="Z157" i="9" s="1"/>
  <c r="U157" i="9"/>
  <c r="T157" i="9" s="1"/>
  <c r="V157" i="9" s="1"/>
  <c r="M118" i="9"/>
  <c r="L118" i="9" s="1"/>
  <c r="N118" i="9" s="1"/>
  <c r="AN149" i="9" l="1"/>
  <c r="AH150" i="9" s="1"/>
  <c r="AK150" i="9" s="1"/>
  <c r="AJ150" i="9" s="1"/>
  <c r="AL150" i="9" s="1"/>
  <c r="AM150" i="9" s="1"/>
  <c r="AN150" i="9" s="1"/>
  <c r="AH151" i="9" s="1"/>
  <c r="E238" i="9"/>
  <c r="D238" i="9"/>
  <c r="F238" i="9" s="1"/>
  <c r="H238" i="9" s="1"/>
  <c r="B239" i="9" s="1"/>
  <c r="AC157" i="9"/>
  <c r="AB157" i="9" s="1"/>
  <c r="AD157" i="9" s="1"/>
  <c r="W157" i="9"/>
  <c r="X157" i="9" s="1"/>
  <c r="R158" i="9" s="1"/>
  <c r="O118" i="9"/>
  <c r="P118" i="9" s="1"/>
  <c r="J119" i="9" s="1"/>
  <c r="E239" i="9" l="1"/>
  <c r="D239" i="9"/>
  <c r="F239" i="9" s="1"/>
  <c r="H239" i="9" s="1"/>
  <c r="B240" i="9" s="1"/>
  <c r="E240" i="9" s="1"/>
  <c r="D240" i="9" s="1"/>
  <c r="F240" i="9" s="1"/>
  <c r="H240" i="9" s="1"/>
  <c r="B241" i="9" s="1"/>
  <c r="AK151" i="9"/>
  <c r="AJ151" i="9"/>
  <c r="AL151" i="9" s="1"/>
  <c r="AE157" i="9"/>
  <c r="AF157" i="9" s="1"/>
  <c r="Z158" i="9" s="1"/>
  <c r="U158" i="9"/>
  <c r="T158" i="9" s="1"/>
  <c r="V158" i="9" s="1"/>
  <c r="W158" i="9" s="1"/>
  <c r="M119" i="9"/>
  <c r="L119" i="9" s="1"/>
  <c r="N119" i="9" s="1"/>
  <c r="X158" i="9" l="1"/>
  <c r="R159" i="9" s="1"/>
  <c r="U159" i="9" s="1"/>
  <c r="E241" i="9"/>
  <c r="D241" i="9" s="1"/>
  <c r="F241" i="9" s="1"/>
  <c r="H241" i="9" s="1"/>
  <c r="B242" i="9" s="1"/>
  <c r="AM151" i="9"/>
  <c r="AN151" i="9" s="1"/>
  <c r="AH152" i="9" s="1"/>
  <c r="AC158" i="9"/>
  <c r="AB158" i="9" s="1"/>
  <c r="AD158" i="9" s="1"/>
  <c r="O119" i="9"/>
  <c r="P119" i="9" s="1"/>
  <c r="J120" i="9" s="1"/>
  <c r="T159" i="9" l="1"/>
  <c r="V159" i="9" s="1"/>
  <c r="D242" i="9"/>
  <c r="E242" i="9"/>
  <c r="AK152" i="9"/>
  <c r="AJ152" i="9" s="1"/>
  <c r="AL152" i="9" s="1"/>
  <c r="AE158" i="9"/>
  <c r="AF158" i="9" s="1"/>
  <c r="Z159" i="9" s="1"/>
  <c r="W159" i="9"/>
  <c r="X159" i="9" s="1"/>
  <c r="R160" i="9" s="1"/>
  <c r="M120" i="9"/>
  <c r="L120" i="9"/>
  <c r="N120" i="9" s="1"/>
  <c r="O120" i="9" s="1"/>
  <c r="P120" i="9" l="1"/>
  <c r="J121" i="9" s="1"/>
  <c r="F242" i="9"/>
  <c r="H242" i="9" s="1"/>
  <c r="B243" i="9" s="1"/>
  <c r="AM152" i="9"/>
  <c r="AN152" i="9" s="1"/>
  <c r="AH153" i="9" s="1"/>
  <c r="AC159" i="9"/>
  <c r="AB159" i="9" s="1"/>
  <c r="AD159" i="9" s="1"/>
  <c r="U160" i="9"/>
  <c r="T160" i="9" s="1"/>
  <c r="V160" i="9" s="1"/>
  <c r="M121" i="9"/>
  <c r="E243" i="9" l="1"/>
  <c r="D243" i="9"/>
  <c r="AK153" i="9"/>
  <c r="AJ153" i="9" s="1"/>
  <c r="AL153" i="9" s="1"/>
  <c r="AE159" i="9"/>
  <c r="AF159" i="9" s="1"/>
  <c r="Z160" i="9" s="1"/>
  <c r="W160" i="9"/>
  <c r="X160" i="9" s="1"/>
  <c r="R161" i="9" s="1"/>
  <c r="L121" i="9"/>
  <c r="N121" i="9" s="1"/>
  <c r="F243" i="9" l="1"/>
  <c r="H243" i="9" s="1"/>
  <c r="B244" i="9" s="1"/>
  <c r="D244" i="9" s="1"/>
  <c r="AM153" i="9"/>
  <c r="AN153" i="9" s="1"/>
  <c r="AH154" i="9" s="1"/>
  <c r="AC160" i="9"/>
  <c r="AB160" i="9" s="1"/>
  <c r="AD160" i="9" s="1"/>
  <c r="U161" i="9"/>
  <c r="T161" i="9" s="1"/>
  <c r="V161" i="9" s="1"/>
  <c r="O121" i="9"/>
  <c r="P121" i="9" s="1"/>
  <c r="J122" i="9" s="1"/>
  <c r="E244" i="9" l="1"/>
  <c r="F244" i="9" s="1"/>
  <c r="H244" i="9" s="1"/>
  <c r="B245" i="9" s="1"/>
  <c r="AK154" i="9"/>
  <c r="AJ154" i="9" s="1"/>
  <c r="AL154" i="9" s="1"/>
  <c r="AE160" i="9"/>
  <c r="AF160" i="9" s="1"/>
  <c r="Z161" i="9" s="1"/>
  <c r="W161" i="9"/>
  <c r="X161" i="9" s="1"/>
  <c r="R162" i="9" s="1"/>
  <c r="M122" i="9"/>
  <c r="L122" i="9" s="1"/>
  <c r="N122" i="9" s="1"/>
  <c r="E245" i="9" l="1"/>
  <c r="D245" i="9"/>
  <c r="AM154" i="9"/>
  <c r="AN154" i="9" s="1"/>
  <c r="AH155" i="9" s="1"/>
  <c r="AC161" i="9"/>
  <c r="AB161" i="9" s="1"/>
  <c r="AD161" i="9" s="1"/>
  <c r="U162" i="9"/>
  <c r="T162" i="9" s="1"/>
  <c r="V162" i="9" s="1"/>
  <c r="O122" i="9"/>
  <c r="P122" i="9" s="1"/>
  <c r="F245" i="9" l="1"/>
  <c r="H245" i="9" s="1"/>
  <c r="B246" i="9" s="1"/>
  <c r="E246" i="9" s="1"/>
  <c r="AK155" i="9"/>
  <c r="AJ155" i="9" s="1"/>
  <c r="AL155" i="9" s="1"/>
  <c r="AE161" i="9"/>
  <c r="AF161" i="9" s="1"/>
  <c r="Z162" i="9" s="1"/>
  <c r="W162" i="9"/>
  <c r="X162" i="9" s="1"/>
  <c r="R163" i="9" s="1"/>
  <c r="J123" i="9"/>
  <c r="D246" i="9" l="1"/>
  <c r="F246" i="9" s="1"/>
  <c r="H246" i="9" s="1"/>
  <c r="B247" i="9" s="1"/>
  <c r="D247" i="9" s="1"/>
  <c r="AM155" i="9"/>
  <c r="AN155" i="9" s="1"/>
  <c r="AH156" i="9" s="1"/>
  <c r="AC162" i="9"/>
  <c r="AB162" i="9" s="1"/>
  <c r="AD162" i="9" s="1"/>
  <c r="U163" i="9"/>
  <c r="T163" i="9" s="1"/>
  <c r="V163" i="9" s="1"/>
  <c r="M123" i="9"/>
  <c r="L123" i="9" s="1"/>
  <c r="N123" i="9" s="1"/>
  <c r="E247" i="9" l="1"/>
  <c r="F247" i="9" s="1"/>
  <c r="H247" i="9" s="1"/>
  <c r="B248" i="9" s="1"/>
  <c r="AK156" i="9"/>
  <c r="AJ156" i="9"/>
  <c r="AL156" i="9" s="1"/>
  <c r="AM156" i="9" s="1"/>
  <c r="AE162" i="9"/>
  <c r="AF162" i="9" s="1"/>
  <c r="Z163" i="9" s="1"/>
  <c r="W163" i="9"/>
  <c r="X163" i="9" s="1"/>
  <c r="R164" i="9" s="1"/>
  <c r="O123" i="9"/>
  <c r="P123" i="9" s="1"/>
  <c r="D248" i="9" l="1"/>
  <c r="E248" i="9"/>
  <c r="AN156" i="9"/>
  <c r="AH157" i="9" s="1"/>
  <c r="AC163" i="9"/>
  <c r="AB163" i="9" s="1"/>
  <c r="AD163" i="9" s="1"/>
  <c r="U164" i="9"/>
  <c r="T164" i="9" s="1"/>
  <c r="V164" i="9" s="1"/>
  <c r="J124" i="9"/>
  <c r="F248" i="9" l="1"/>
  <c r="H248" i="9" s="1"/>
  <c r="B249" i="9" s="1"/>
  <c r="AK157" i="9"/>
  <c r="AJ157" i="9"/>
  <c r="AL157" i="9" s="1"/>
  <c r="AM157" i="9" s="1"/>
  <c r="AN157" i="9" s="1"/>
  <c r="AH158" i="9" s="1"/>
  <c r="AE163" i="9"/>
  <c r="AF163" i="9" s="1"/>
  <c r="Z164" i="9" s="1"/>
  <c r="W164" i="9"/>
  <c r="X164" i="9" s="1"/>
  <c r="R165" i="9" s="1"/>
  <c r="M124" i="9"/>
  <c r="L124" i="9" s="1"/>
  <c r="N124" i="9" s="1"/>
  <c r="E249" i="9" l="1"/>
  <c r="D249" i="9"/>
  <c r="AK158" i="9"/>
  <c r="AJ158" i="9" s="1"/>
  <c r="AL158" i="9" s="1"/>
  <c r="AC164" i="9"/>
  <c r="AB164" i="9"/>
  <c r="AD164" i="9" s="1"/>
  <c r="AE164" i="9" s="1"/>
  <c r="U165" i="9"/>
  <c r="T165" i="9"/>
  <c r="V165" i="9" s="1"/>
  <c r="W165" i="9" s="1"/>
  <c r="X165" i="9" s="1"/>
  <c r="R166" i="9" s="1"/>
  <c r="O124" i="9"/>
  <c r="P124" i="9" s="1"/>
  <c r="F249" i="9" l="1"/>
  <c r="H249" i="9" s="1"/>
  <c r="B250" i="9" s="1"/>
  <c r="D250" i="9" s="1"/>
  <c r="E250" i="9"/>
  <c r="AM158" i="9"/>
  <c r="AN158" i="9" s="1"/>
  <c r="AH159" i="9" s="1"/>
  <c r="AF164" i="9"/>
  <c r="Z165" i="9" s="1"/>
  <c r="U166" i="9"/>
  <c r="T166" i="9"/>
  <c r="V166" i="9" s="1"/>
  <c r="W166" i="9" s="1"/>
  <c r="J125" i="9"/>
  <c r="F250" i="9" l="1"/>
  <c r="H250" i="9" s="1"/>
  <c r="B251" i="9" s="1"/>
  <c r="AK159" i="9"/>
  <c r="AJ159" i="9" s="1"/>
  <c r="AL159" i="9" s="1"/>
  <c r="AC165" i="9"/>
  <c r="AB165" i="9"/>
  <c r="AD165" i="9" s="1"/>
  <c r="X166" i="9"/>
  <c r="R167" i="9" s="1"/>
  <c r="M125" i="9"/>
  <c r="L125" i="9" s="1"/>
  <c r="N125" i="9" s="1"/>
  <c r="E251" i="9" l="1"/>
  <c r="D251" i="9"/>
  <c r="AM159" i="9"/>
  <c r="AN159" i="9" s="1"/>
  <c r="AH160" i="9" s="1"/>
  <c r="AE165" i="9"/>
  <c r="AF165" i="9" s="1"/>
  <c r="Z166" i="9" s="1"/>
  <c r="U167" i="9"/>
  <c r="T167" i="9"/>
  <c r="V167" i="9" s="1"/>
  <c r="W167" i="9" s="1"/>
  <c r="X167" i="9" s="1"/>
  <c r="R168" i="9" s="1"/>
  <c r="O125" i="9"/>
  <c r="P125" i="9" s="1"/>
  <c r="F251" i="9" l="1"/>
  <c r="H251" i="9" s="1"/>
  <c r="B252" i="9" s="1"/>
  <c r="E252" i="9" s="1"/>
  <c r="AK160" i="9"/>
  <c r="AJ160" i="9"/>
  <c r="AL160" i="9" s="1"/>
  <c r="AM160" i="9" s="1"/>
  <c r="AC166" i="9"/>
  <c r="AB166" i="9" s="1"/>
  <c r="AD166" i="9" s="1"/>
  <c r="U168" i="9"/>
  <c r="T168" i="9" s="1"/>
  <c r="V168" i="9" s="1"/>
  <c r="J126" i="9"/>
  <c r="D252" i="9" l="1"/>
  <c r="F252" i="9" s="1"/>
  <c r="H252" i="9" s="1"/>
  <c r="B253" i="9" s="1"/>
  <c r="E253" i="9" s="1"/>
  <c r="AN160" i="9"/>
  <c r="AH161" i="9" s="1"/>
  <c r="AK161" i="9" s="1"/>
  <c r="AJ161" i="9" s="1"/>
  <c r="AL161" i="9" s="1"/>
  <c r="AE166" i="9"/>
  <c r="AF166" i="9" s="1"/>
  <c r="Z167" i="9" s="1"/>
  <c r="W168" i="9"/>
  <c r="X168" i="9" s="1"/>
  <c r="R169" i="9" s="1"/>
  <c r="M126" i="9"/>
  <c r="L126" i="9" s="1"/>
  <c r="N126" i="9" s="1"/>
  <c r="D253" i="9" l="1"/>
  <c r="F253" i="9" s="1"/>
  <c r="H253" i="9" s="1"/>
  <c r="B254" i="9" s="1"/>
  <c r="O126" i="9"/>
  <c r="P126" i="9" s="1"/>
  <c r="J127" i="9" s="1"/>
  <c r="AM161" i="9"/>
  <c r="AN161" i="9" s="1"/>
  <c r="AH162" i="9" s="1"/>
  <c r="AC167" i="9"/>
  <c r="AB167" i="9" s="1"/>
  <c r="AD167" i="9" s="1"/>
  <c r="U169" i="9"/>
  <c r="T169" i="9" s="1"/>
  <c r="V169" i="9" s="1"/>
  <c r="E254" i="9" l="1"/>
  <c r="D254" i="9"/>
  <c r="AK162" i="9"/>
  <c r="AJ162" i="9" s="1"/>
  <c r="AL162" i="9" s="1"/>
  <c r="AE167" i="9"/>
  <c r="AF167" i="9" s="1"/>
  <c r="Z168" i="9" s="1"/>
  <c r="W169" i="9"/>
  <c r="X169" i="9" s="1"/>
  <c r="R170" i="9" s="1"/>
  <c r="M127" i="9"/>
  <c r="L127" i="9"/>
  <c r="N127" i="9" s="1"/>
  <c r="O127" i="9" s="1"/>
  <c r="P127" i="9" l="1"/>
  <c r="J128" i="9" s="1"/>
  <c r="F254" i="9"/>
  <c r="H254" i="9" s="1"/>
  <c r="B255" i="9" s="1"/>
  <c r="AM162" i="9"/>
  <c r="AN162" i="9" s="1"/>
  <c r="AH163" i="9" s="1"/>
  <c r="AC168" i="9"/>
  <c r="AB168" i="9" s="1"/>
  <c r="AD168" i="9" s="1"/>
  <c r="U170" i="9"/>
  <c r="T170" i="9"/>
  <c r="V170" i="9" s="1"/>
  <c r="M128" i="9"/>
  <c r="L128" i="9" s="1"/>
  <c r="N128" i="9" s="1"/>
  <c r="O128" i="9" s="1"/>
  <c r="E255" i="9" l="1"/>
  <c r="D255" i="9"/>
  <c r="P128" i="9"/>
  <c r="J129" i="9" s="1"/>
  <c r="AK163" i="9"/>
  <c r="AJ163" i="9" s="1"/>
  <c r="AL163" i="9" s="1"/>
  <c r="AE168" i="9"/>
  <c r="AF168" i="9" s="1"/>
  <c r="Z169" i="9" s="1"/>
  <c r="W170" i="9"/>
  <c r="X170" i="9" s="1"/>
  <c r="R171" i="9" s="1"/>
  <c r="M129" i="9"/>
  <c r="L129" i="9" s="1"/>
  <c r="N129" i="9" s="1"/>
  <c r="F255" i="9" l="1"/>
  <c r="H255" i="9" s="1"/>
  <c r="B256" i="9" s="1"/>
  <c r="D256" i="9" s="1"/>
  <c r="AM163" i="9"/>
  <c r="AN163" i="9" s="1"/>
  <c r="AH164" i="9" s="1"/>
  <c r="AC169" i="9"/>
  <c r="AB169" i="9" s="1"/>
  <c r="AD169" i="9" s="1"/>
  <c r="U171" i="9"/>
  <c r="T171" i="9"/>
  <c r="V171" i="9" s="1"/>
  <c r="W171" i="9" s="1"/>
  <c r="O129" i="9"/>
  <c r="P129" i="9" s="1"/>
  <c r="J130" i="9" s="1"/>
  <c r="E256" i="9" l="1"/>
  <c r="F256" i="9" s="1"/>
  <c r="H256" i="9" s="1"/>
  <c r="B257" i="9" s="1"/>
  <c r="AK164" i="9"/>
  <c r="AJ164" i="9"/>
  <c r="AL164" i="9" s="1"/>
  <c r="AM164" i="9" s="1"/>
  <c r="AN164" i="9" s="1"/>
  <c r="AH165" i="9" s="1"/>
  <c r="AE169" i="9"/>
  <c r="AF169" i="9" s="1"/>
  <c r="Z170" i="9" s="1"/>
  <c r="X171" i="9"/>
  <c r="R172" i="9" s="1"/>
  <c r="M130" i="9"/>
  <c r="L130" i="9" s="1"/>
  <c r="N130" i="9" s="1"/>
  <c r="D257" i="9" l="1"/>
  <c r="E257" i="9"/>
  <c r="AK165" i="9"/>
  <c r="AJ165" i="9" s="1"/>
  <c r="AL165" i="9" s="1"/>
  <c r="AC170" i="9"/>
  <c r="AB170" i="9" s="1"/>
  <c r="AD170" i="9" s="1"/>
  <c r="AE170" i="9" s="1"/>
  <c r="U172" i="9"/>
  <c r="T172" i="9" s="1"/>
  <c r="V172" i="9" s="1"/>
  <c r="O130" i="9"/>
  <c r="P130" i="9" s="1"/>
  <c r="J131" i="9" s="1"/>
  <c r="F257" i="9" l="1"/>
  <c r="H257" i="9" s="1"/>
  <c r="B258" i="9" s="1"/>
  <c r="AM165" i="9"/>
  <c r="AN165" i="9" s="1"/>
  <c r="AH166" i="9" s="1"/>
  <c r="AF170" i="9"/>
  <c r="Z171" i="9" s="1"/>
  <c r="W172" i="9"/>
  <c r="X172" i="9" s="1"/>
  <c r="R173" i="9" s="1"/>
  <c r="M131" i="9"/>
  <c r="L131" i="9" s="1"/>
  <c r="N131" i="9" s="1"/>
  <c r="D258" i="9" l="1"/>
  <c r="E258" i="9"/>
  <c r="AK166" i="9"/>
  <c r="AJ166" i="9" s="1"/>
  <c r="AL166" i="9" s="1"/>
  <c r="AC171" i="9"/>
  <c r="AB171" i="9" s="1"/>
  <c r="AD171" i="9" s="1"/>
  <c r="U173" i="9"/>
  <c r="T173" i="9" s="1"/>
  <c r="V173" i="9" s="1"/>
  <c r="O131" i="9"/>
  <c r="P131" i="9" s="1"/>
  <c r="J132" i="9" s="1"/>
  <c r="F258" i="9" l="1"/>
  <c r="H258" i="9" s="1"/>
  <c r="B259" i="9" s="1"/>
  <c r="AM166" i="9"/>
  <c r="AN166" i="9" s="1"/>
  <c r="AH167" i="9" s="1"/>
  <c r="AE171" i="9"/>
  <c r="AF171" i="9" s="1"/>
  <c r="Z172" i="9" s="1"/>
  <c r="W173" i="9"/>
  <c r="X173" i="9" s="1"/>
  <c r="R174" i="9" s="1"/>
  <c r="M132" i="9"/>
  <c r="L132" i="9" s="1"/>
  <c r="N132" i="9" s="1"/>
  <c r="D259" i="9" l="1"/>
  <c r="E259" i="9"/>
  <c r="AK167" i="9"/>
  <c r="AJ167" i="9" s="1"/>
  <c r="AL167" i="9" s="1"/>
  <c r="AC172" i="9"/>
  <c r="AB172" i="9" s="1"/>
  <c r="AD172" i="9" s="1"/>
  <c r="U174" i="9"/>
  <c r="T174" i="9" s="1"/>
  <c r="V174" i="9" s="1"/>
  <c r="W174" i="9" s="1"/>
  <c r="O132" i="9"/>
  <c r="P132" i="9" s="1"/>
  <c r="J133" i="9" s="1"/>
  <c r="F259" i="9" l="1"/>
  <c r="H259" i="9" s="1"/>
  <c r="B260" i="9" s="1"/>
  <c r="X174" i="9"/>
  <c r="R175" i="9" s="1"/>
  <c r="U175" i="9" s="1"/>
  <c r="T175" i="9" s="1"/>
  <c r="V175" i="9" s="1"/>
  <c r="AM167" i="9"/>
  <c r="AN167" i="9" s="1"/>
  <c r="AH168" i="9" s="1"/>
  <c r="AE172" i="9"/>
  <c r="AF172" i="9" s="1"/>
  <c r="Z173" i="9" s="1"/>
  <c r="M133" i="9"/>
  <c r="D260" i="9" l="1"/>
  <c r="E260" i="9"/>
  <c r="AK168" i="9"/>
  <c r="AJ168" i="9"/>
  <c r="AL168" i="9" s="1"/>
  <c r="AM168" i="9" s="1"/>
  <c r="AC173" i="9"/>
  <c r="AB173" i="9" s="1"/>
  <c r="AD173" i="9" s="1"/>
  <c r="W175" i="9"/>
  <c r="X175" i="9" s="1"/>
  <c r="R176" i="9" s="1"/>
  <c r="L133" i="9"/>
  <c r="N133" i="9" s="1"/>
  <c r="F260" i="9" l="1"/>
  <c r="H260" i="9" s="1"/>
  <c r="B261" i="9" s="1"/>
  <c r="AN168" i="9"/>
  <c r="AH169" i="9" s="1"/>
  <c r="AK169" i="9" s="1"/>
  <c r="AE173" i="9"/>
  <c r="AF173" i="9" s="1"/>
  <c r="Z174" i="9" s="1"/>
  <c r="U176" i="9"/>
  <c r="T176" i="9" s="1"/>
  <c r="V176" i="9" s="1"/>
  <c r="O133" i="9"/>
  <c r="P133" i="9" s="1"/>
  <c r="J134" i="9" s="1"/>
  <c r="E261" i="9" l="1"/>
  <c r="D261" i="9"/>
  <c r="F261" i="9" s="1"/>
  <c r="H261" i="9" s="1"/>
  <c r="B262" i="9" s="1"/>
  <c r="AJ169" i="9"/>
  <c r="AL169" i="9" s="1"/>
  <c r="AM169" i="9" s="1"/>
  <c r="AC174" i="9"/>
  <c r="AB174" i="9" s="1"/>
  <c r="AD174" i="9" s="1"/>
  <c r="W176" i="9"/>
  <c r="X176" i="9" s="1"/>
  <c r="R177" i="9" s="1"/>
  <c r="M134" i="9"/>
  <c r="L134" i="9" s="1"/>
  <c r="N134" i="9" s="1"/>
  <c r="E262" i="9" l="1"/>
  <c r="D262" i="9"/>
  <c r="AN169" i="9"/>
  <c r="AH170" i="9" s="1"/>
  <c r="AK170" i="9" s="1"/>
  <c r="AJ170" i="9" s="1"/>
  <c r="AL170" i="9" s="1"/>
  <c r="AE174" i="9"/>
  <c r="AF174" i="9" s="1"/>
  <c r="Z175" i="9" s="1"/>
  <c r="U177" i="9"/>
  <c r="T177" i="9" s="1"/>
  <c r="V177" i="9" s="1"/>
  <c r="O134" i="9"/>
  <c r="P134" i="9" s="1"/>
  <c r="F262" i="9" l="1"/>
  <c r="H262" i="9" s="1"/>
  <c r="B263" i="9" s="1"/>
  <c r="AM170" i="9"/>
  <c r="AN170" i="9" s="1"/>
  <c r="AH171" i="9" s="1"/>
  <c r="AC175" i="9"/>
  <c r="AB175" i="9" s="1"/>
  <c r="AD175" i="9" s="1"/>
  <c r="AE175" i="9" s="1"/>
  <c r="AF175" i="9" s="1"/>
  <c r="Z176" i="9" s="1"/>
  <c r="W177" i="9"/>
  <c r="X177" i="9" s="1"/>
  <c r="R178" i="9" s="1"/>
  <c r="J135" i="9"/>
  <c r="E263" i="9" l="1"/>
  <c r="D263" i="9"/>
  <c r="F263" i="9" s="1"/>
  <c r="H263" i="9" s="1"/>
  <c r="B264" i="9" s="1"/>
  <c r="AK171" i="9"/>
  <c r="AJ171" i="9" s="1"/>
  <c r="AL171" i="9" s="1"/>
  <c r="AC176" i="9"/>
  <c r="AB176" i="9" s="1"/>
  <c r="AD176" i="9" s="1"/>
  <c r="U178" i="9"/>
  <c r="T178" i="9" s="1"/>
  <c r="V178" i="9" s="1"/>
  <c r="M135" i="9"/>
  <c r="L135" i="9" s="1"/>
  <c r="N135" i="9" s="1"/>
  <c r="D264" i="9" l="1"/>
  <c r="E264" i="9"/>
  <c r="AM171" i="9"/>
  <c r="AN171" i="9" s="1"/>
  <c r="AH172" i="9" s="1"/>
  <c r="AE176" i="9"/>
  <c r="AF176" i="9" s="1"/>
  <c r="Z177" i="9" s="1"/>
  <c r="W178" i="9"/>
  <c r="X178" i="9" s="1"/>
  <c r="R179" i="9" s="1"/>
  <c r="O135" i="9"/>
  <c r="P135" i="9" s="1"/>
  <c r="F264" i="9" l="1"/>
  <c r="H264" i="9" s="1"/>
  <c r="B265" i="9" s="1"/>
  <c r="D265" i="9" s="1"/>
  <c r="AK172" i="9"/>
  <c r="AJ172" i="9" s="1"/>
  <c r="AL172" i="9" s="1"/>
  <c r="AC177" i="9"/>
  <c r="AB177" i="9" s="1"/>
  <c r="AD177" i="9" s="1"/>
  <c r="U179" i="9"/>
  <c r="T179" i="9" s="1"/>
  <c r="V179" i="9" s="1"/>
  <c r="J136" i="9"/>
  <c r="E265" i="9" l="1"/>
  <c r="F265" i="9"/>
  <c r="H265" i="9" s="1"/>
  <c r="B266" i="9" s="1"/>
  <c r="AM172" i="9"/>
  <c r="AN172" i="9" s="1"/>
  <c r="AH173" i="9" s="1"/>
  <c r="AE177" i="9"/>
  <c r="AF177" i="9" s="1"/>
  <c r="Z178" i="9" s="1"/>
  <c r="W179" i="9"/>
  <c r="X179" i="9" s="1"/>
  <c r="R180" i="9" s="1"/>
  <c r="M136" i="9"/>
  <c r="L136" i="9" s="1"/>
  <c r="N136" i="9" s="1"/>
  <c r="D266" i="9" l="1"/>
  <c r="E266" i="9"/>
  <c r="AK173" i="9"/>
  <c r="AJ173" i="9"/>
  <c r="AL173" i="9" s="1"/>
  <c r="AM173" i="9" s="1"/>
  <c r="AC178" i="9"/>
  <c r="AB178" i="9" s="1"/>
  <c r="AD178" i="9" s="1"/>
  <c r="U180" i="9"/>
  <c r="T180" i="9"/>
  <c r="V180" i="9" s="1"/>
  <c r="W180" i="9" s="1"/>
  <c r="O136" i="9"/>
  <c r="P136" i="9" s="1"/>
  <c r="F266" i="9" l="1"/>
  <c r="H266" i="9" s="1"/>
  <c r="B267" i="9" s="1"/>
  <c r="E267" i="9" s="1"/>
  <c r="X180" i="9"/>
  <c r="R181" i="9" s="1"/>
  <c r="U181" i="9" s="1"/>
  <c r="T181" i="9" s="1"/>
  <c r="V181" i="9" s="1"/>
  <c r="AN173" i="9"/>
  <c r="AH174" i="9" s="1"/>
  <c r="AK174" i="9" s="1"/>
  <c r="AJ174" i="9" s="1"/>
  <c r="AL174" i="9" s="1"/>
  <c r="AE178" i="9"/>
  <c r="AF178" i="9" s="1"/>
  <c r="Z179" i="9" s="1"/>
  <c r="J137" i="9"/>
  <c r="D267" i="9" l="1"/>
  <c r="F267" i="9"/>
  <c r="H267" i="9" s="1"/>
  <c r="B268" i="9" s="1"/>
  <c r="D268" i="9" s="1"/>
  <c r="AM174" i="9"/>
  <c r="AN174" i="9" s="1"/>
  <c r="AH175" i="9" s="1"/>
  <c r="AC179" i="9"/>
  <c r="AB179" i="9" s="1"/>
  <c r="AD179" i="9" s="1"/>
  <c r="W181" i="9"/>
  <c r="X181" i="9" s="1"/>
  <c r="R182" i="9" s="1"/>
  <c r="M137" i="9"/>
  <c r="L137" i="9"/>
  <c r="N137" i="9" s="1"/>
  <c r="O137" i="9" s="1"/>
  <c r="E268" i="9" l="1"/>
  <c r="F268" i="9"/>
  <c r="H268" i="9" s="1"/>
  <c r="B269" i="9" s="1"/>
  <c r="AK175" i="9"/>
  <c r="AJ175" i="9" s="1"/>
  <c r="AL175" i="9" s="1"/>
  <c r="AE179" i="9"/>
  <c r="AF179" i="9" s="1"/>
  <c r="Z180" i="9" s="1"/>
  <c r="U182" i="9"/>
  <c r="T182" i="9" s="1"/>
  <c r="V182" i="9" s="1"/>
  <c r="W182" i="9" s="1"/>
  <c r="P137" i="9"/>
  <c r="E269" i="9" l="1"/>
  <c r="D269" i="9"/>
  <c r="F269" i="9" s="1"/>
  <c r="H269" i="9" s="1"/>
  <c r="B270" i="9" s="1"/>
  <c r="X182" i="9"/>
  <c r="R183" i="9" s="1"/>
  <c r="U183" i="9" s="1"/>
  <c r="AM175" i="9"/>
  <c r="AN175" i="9" s="1"/>
  <c r="AH176" i="9" s="1"/>
  <c r="AC180" i="9"/>
  <c r="AB180" i="9"/>
  <c r="AD180" i="9" s="1"/>
  <c r="AE180" i="9" s="1"/>
  <c r="AF180" i="9" s="1"/>
  <c r="Z181" i="9" s="1"/>
  <c r="J138" i="9"/>
  <c r="D270" i="9" l="1"/>
  <c r="E270" i="9"/>
  <c r="T183" i="9"/>
  <c r="V183" i="9" s="1"/>
  <c r="AK176" i="9"/>
  <c r="AJ176" i="9" s="1"/>
  <c r="AL176" i="9" s="1"/>
  <c r="AC181" i="9"/>
  <c r="AB181" i="9" s="1"/>
  <c r="AD181" i="9" s="1"/>
  <c r="AE181" i="9" s="1"/>
  <c r="M138" i="9"/>
  <c r="L138" i="9" s="1"/>
  <c r="N138" i="9" s="1"/>
  <c r="O138" i="9" s="1"/>
  <c r="P138" i="9" s="1"/>
  <c r="F270" i="9" l="1"/>
  <c r="H270" i="9" s="1"/>
  <c r="B271" i="9" s="1"/>
  <c r="W183" i="9"/>
  <c r="X183" i="9" s="1"/>
  <c r="R184" i="9" s="1"/>
  <c r="AM176" i="9"/>
  <c r="AN176" i="9" s="1"/>
  <c r="AH177" i="9" s="1"/>
  <c r="AF181" i="9"/>
  <c r="Z182" i="9" s="1"/>
  <c r="J139" i="9"/>
  <c r="E271" i="9" l="1"/>
  <c r="D271" i="9"/>
  <c r="F271" i="9" s="1"/>
  <c r="H271" i="9" s="1"/>
  <c r="B272" i="9" s="1"/>
  <c r="U184" i="9"/>
  <c r="T184" i="9" s="1"/>
  <c r="V184" i="9" s="1"/>
  <c r="W184" i="9" s="1"/>
  <c r="X184" i="9" s="1"/>
  <c r="R185" i="9" s="1"/>
  <c r="AK177" i="9"/>
  <c r="AJ177" i="9" s="1"/>
  <c r="AL177" i="9" s="1"/>
  <c r="AC182" i="9"/>
  <c r="AB182" i="9" s="1"/>
  <c r="AD182" i="9" s="1"/>
  <c r="M139" i="9"/>
  <c r="L139" i="9" s="1"/>
  <c r="N139" i="9" s="1"/>
  <c r="O139" i="9" s="1"/>
  <c r="E272" i="9" l="1"/>
  <c r="D272" i="9"/>
  <c r="F272" i="9" s="1"/>
  <c r="H272" i="9" s="1"/>
  <c r="B273" i="9" s="1"/>
  <c r="U185" i="9"/>
  <c r="T185" i="9" s="1"/>
  <c r="V185" i="9" s="1"/>
  <c r="W185" i="9" s="1"/>
  <c r="X185" i="9" s="1"/>
  <c r="R186" i="9" s="1"/>
  <c r="AM177" i="9"/>
  <c r="AN177" i="9" s="1"/>
  <c r="AH178" i="9" s="1"/>
  <c r="AE182" i="9"/>
  <c r="AF182" i="9" s="1"/>
  <c r="Z183" i="9" s="1"/>
  <c r="P139" i="9"/>
  <c r="J140" i="9" s="1"/>
  <c r="E273" i="9" l="1"/>
  <c r="D273" i="9"/>
  <c r="F273" i="9" s="1"/>
  <c r="H273" i="9" s="1"/>
  <c r="B274" i="9" s="1"/>
  <c r="U186" i="9"/>
  <c r="T186" i="9" s="1"/>
  <c r="V186" i="9" s="1"/>
  <c r="AK178" i="9"/>
  <c r="AJ178" i="9"/>
  <c r="AL178" i="9" s="1"/>
  <c r="AM178" i="9" s="1"/>
  <c r="AN178" i="9" s="1"/>
  <c r="AH179" i="9" s="1"/>
  <c r="AC183" i="9"/>
  <c r="AB183" i="9" s="1"/>
  <c r="AD183" i="9" s="1"/>
  <c r="M140" i="9"/>
  <c r="L140" i="9" s="1"/>
  <c r="N140" i="9" s="1"/>
  <c r="E274" i="9" l="1"/>
  <c r="D274" i="9"/>
  <c r="W186" i="9"/>
  <c r="X186" i="9" s="1"/>
  <c r="R187" i="9" s="1"/>
  <c r="U187" i="9" s="1"/>
  <c r="T187" i="9" s="1"/>
  <c r="V187" i="9" s="1"/>
  <c r="AK179" i="9"/>
  <c r="AJ179" i="9" s="1"/>
  <c r="AL179" i="9" s="1"/>
  <c r="AE183" i="9"/>
  <c r="AF183" i="9" s="1"/>
  <c r="Z184" i="9" s="1"/>
  <c r="O140" i="9"/>
  <c r="P140" i="9" s="1"/>
  <c r="J141" i="9" s="1"/>
  <c r="F274" i="9" l="1"/>
  <c r="H274" i="9" s="1"/>
  <c r="B275" i="9" s="1"/>
  <c r="W187" i="9"/>
  <c r="X187" i="9" s="1"/>
  <c r="R188" i="9" s="1"/>
  <c r="U188" i="9" s="1"/>
  <c r="T188" i="9" s="1"/>
  <c r="V188" i="9" s="1"/>
  <c r="AM179" i="9"/>
  <c r="AN179" i="9" s="1"/>
  <c r="AH180" i="9" s="1"/>
  <c r="AC184" i="9"/>
  <c r="AB184" i="9" s="1"/>
  <c r="AD184" i="9" s="1"/>
  <c r="M141" i="9"/>
  <c r="L141" i="9" s="1"/>
  <c r="N141" i="9" s="1"/>
  <c r="D275" i="9" l="1"/>
  <c r="E275" i="9"/>
  <c r="AK180" i="9"/>
  <c r="AJ180" i="9"/>
  <c r="AL180" i="9" s="1"/>
  <c r="AM180" i="9" s="1"/>
  <c r="AE184" i="9"/>
  <c r="AF184" i="9" s="1"/>
  <c r="Z185" i="9" s="1"/>
  <c r="W188" i="9"/>
  <c r="X188" i="9" s="1"/>
  <c r="R189" i="9" s="1"/>
  <c r="O141" i="9"/>
  <c r="P141" i="9" s="1"/>
  <c r="J142" i="9" s="1"/>
  <c r="F275" i="9" l="1"/>
  <c r="H275" i="9" s="1"/>
  <c r="B276" i="9" s="1"/>
  <c r="U189" i="9"/>
  <c r="T189" i="9" s="1"/>
  <c r="V189" i="9" s="1"/>
  <c r="W189" i="9" s="1"/>
  <c r="AN180" i="9"/>
  <c r="AH181" i="9" s="1"/>
  <c r="AC185" i="9"/>
  <c r="AB185" i="9" s="1"/>
  <c r="AD185" i="9" s="1"/>
  <c r="M142" i="9"/>
  <c r="L142" i="9" s="1"/>
  <c r="N142" i="9" s="1"/>
  <c r="D276" i="9" l="1"/>
  <c r="E276" i="9"/>
  <c r="X189" i="9"/>
  <c r="R190" i="9" s="1"/>
  <c r="AK181" i="9"/>
  <c r="AJ181" i="9" s="1"/>
  <c r="AL181" i="9" s="1"/>
  <c r="AE185" i="9"/>
  <c r="AF185" i="9" s="1"/>
  <c r="Z186" i="9" s="1"/>
  <c r="O142" i="9"/>
  <c r="P142" i="9" s="1"/>
  <c r="J143" i="9" s="1"/>
  <c r="F276" i="9" l="1"/>
  <c r="H276" i="9" s="1"/>
  <c r="B277" i="9" s="1"/>
  <c r="U190" i="9"/>
  <c r="T190" i="9" s="1"/>
  <c r="V190" i="9" s="1"/>
  <c r="W190" i="9" s="1"/>
  <c r="X190" i="9" s="1"/>
  <c r="R191" i="9" s="1"/>
  <c r="AM181" i="9"/>
  <c r="AN181" i="9" s="1"/>
  <c r="AH182" i="9" s="1"/>
  <c r="AC186" i="9"/>
  <c r="AB186" i="9" s="1"/>
  <c r="AD186" i="9" s="1"/>
  <c r="AE186" i="9" s="1"/>
  <c r="M143" i="9"/>
  <c r="L143" i="9"/>
  <c r="N143" i="9" s="1"/>
  <c r="O143" i="9" s="1"/>
  <c r="P143" i="9" s="1"/>
  <c r="J144" i="9" s="1"/>
  <c r="D277" i="9" l="1"/>
  <c r="E277" i="9"/>
  <c r="U191" i="9"/>
  <c r="T191" i="9" s="1"/>
  <c r="V191" i="9" s="1"/>
  <c r="W191" i="9" s="1"/>
  <c r="AF186" i="9"/>
  <c r="Z187" i="9" s="1"/>
  <c r="AC187" i="9" s="1"/>
  <c r="AB187" i="9" s="1"/>
  <c r="AD187" i="9" s="1"/>
  <c r="AE187" i="9" s="1"/>
  <c r="AF187" i="9" s="1"/>
  <c r="Z188" i="9" s="1"/>
  <c r="AK182" i="9"/>
  <c r="AJ182" i="9" s="1"/>
  <c r="AL182" i="9" s="1"/>
  <c r="AM182" i="9" s="1"/>
  <c r="AN182" i="9" s="1"/>
  <c r="AH183" i="9" s="1"/>
  <c r="M144" i="9"/>
  <c r="L144" i="9" s="1"/>
  <c r="N144" i="9" s="1"/>
  <c r="F277" i="9" l="1"/>
  <c r="H277" i="9" s="1"/>
  <c r="B278" i="9" s="1"/>
  <c r="X191" i="9"/>
  <c r="R192" i="9" s="1"/>
  <c r="AK183" i="9"/>
  <c r="AJ183" i="9"/>
  <c r="AL183" i="9" s="1"/>
  <c r="AM183" i="9" s="1"/>
  <c r="AC188" i="9"/>
  <c r="AB188" i="9" s="1"/>
  <c r="AD188" i="9" s="1"/>
  <c r="O144" i="9"/>
  <c r="P144" i="9" s="1"/>
  <c r="J145" i="9" s="1"/>
  <c r="E278" i="9" l="1"/>
  <c r="D278" i="9"/>
  <c r="AN183" i="9"/>
  <c r="AH184" i="9" s="1"/>
  <c r="AK184" i="9" s="1"/>
  <c r="AJ184" i="9" s="1"/>
  <c r="AL184" i="9" s="1"/>
  <c r="U192" i="9"/>
  <c r="T192" i="9" s="1"/>
  <c r="V192" i="9" s="1"/>
  <c r="W192" i="9" s="1"/>
  <c r="X192" i="9" s="1"/>
  <c r="R193" i="9" s="1"/>
  <c r="AE188" i="9"/>
  <c r="AF188" i="9" s="1"/>
  <c r="Z189" i="9" s="1"/>
  <c r="M145" i="9"/>
  <c r="F278" i="9" l="1"/>
  <c r="H278" i="9" s="1"/>
  <c r="B279" i="9" s="1"/>
  <c r="U193" i="9"/>
  <c r="T193" i="9" s="1"/>
  <c r="V193" i="9" s="1"/>
  <c r="W193" i="9" s="1"/>
  <c r="X193" i="9" s="1"/>
  <c r="R194" i="9" s="1"/>
  <c r="AC189" i="9"/>
  <c r="AB189" i="9" s="1"/>
  <c r="AD189" i="9" s="1"/>
  <c r="AE189" i="9" s="1"/>
  <c r="AF189" i="9" s="1"/>
  <c r="Z190" i="9" s="1"/>
  <c r="AM184" i="9"/>
  <c r="AN184" i="9" s="1"/>
  <c r="AH185" i="9" s="1"/>
  <c r="L145" i="9"/>
  <c r="N145" i="9" s="1"/>
  <c r="E279" i="9" l="1"/>
  <c r="D279" i="9"/>
  <c r="AC190" i="9"/>
  <c r="AB190" i="9" s="1"/>
  <c r="AD190" i="9" s="1"/>
  <c r="AE190" i="9" s="1"/>
  <c r="AF190" i="9" s="1"/>
  <c r="Z191" i="9" s="1"/>
  <c r="U194" i="9"/>
  <c r="T194" i="9"/>
  <c r="V194" i="9" s="1"/>
  <c r="W194" i="9" s="1"/>
  <c r="X194" i="9" s="1"/>
  <c r="R195" i="9" s="1"/>
  <c r="AK185" i="9"/>
  <c r="AJ185" i="9"/>
  <c r="AL185" i="9" s="1"/>
  <c r="AM185" i="9" s="1"/>
  <c r="O145" i="9"/>
  <c r="P145" i="9" s="1"/>
  <c r="J146" i="9" s="1"/>
  <c r="F279" i="9" l="1"/>
  <c r="H279" i="9" s="1"/>
  <c r="B280" i="9" s="1"/>
  <c r="E280" i="9" s="1"/>
  <c r="D280" i="9"/>
  <c r="AC191" i="9"/>
  <c r="AB191" i="9" s="1"/>
  <c r="AD191" i="9" s="1"/>
  <c r="AN185" i="9"/>
  <c r="AH186" i="9" s="1"/>
  <c r="AK186" i="9" s="1"/>
  <c r="AJ186" i="9" s="1"/>
  <c r="AL186" i="9" s="1"/>
  <c r="U195" i="9"/>
  <c r="T195" i="9" s="1"/>
  <c r="V195" i="9" s="1"/>
  <c r="W195" i="9" s="1"/>
  <c r="X195" i="9" s="1"/>
  <c r="R196" i="9" s="1"/>
  <c r="M146" i="9"/>
  <c r="L146" i="9" s="1"/>
  <c r="N146" i="9" s="1"/>
  <c r="F280" i="9" l="1"/>
  <c r="H280" i="9" s="1"/>
  <c r="B281" i="9" s="1"/>
  <c r="AE191" i="9"/>
  <c r="AF191" i="9" s="1"/>
  <c r="Z192" i="9" s="1"/>
  <c r="AC192" i="9" s="1"/>
  <c r="AB192" i="9" s="1"/>
  <c r="AD192" i="9" s="1"/>
  <c r="AE192" i="9" s="1"/>
  <c r="AF192" i="9" s="1"/>
  <c r="Z193" i="9" s="1"/>
  <c r="U196" i="9"/>
  <c r="T196" i="9" s="1"/>
  <c r="V196" i="9" s="1"/>
  <c r="W196" i="9" s="1"/>
  <c r="X196" i="9" s="1"/>
  <c r="R197" i="9" s="1"/>
  <c r="AM186" i="9"/>
  <c r="AN186" i="9" s="1"/>
  <c r="AH187" i="9" s="1"/>
  <c r="O146" i="9"/>
  <c r="P146" i="9" s="1"/>
  <c r="E281" i="9" l="1"/>
  <c r="D281" i="9"/>
  <c r="F281" i="9" s="1"/>
  <c r="H281" i="9" s="1"/>
  <c r="B282" i="9" s="1"/>
  <c r="AC193" i="9"/>
  <c r="AB193" i="9" s="1"/>
  <c r="AD193" i="9" s="1"/>
  <c r="AE193" i="9" s="1"/>
  <c r="AF193" i="9" s="1"/>
  <c r="Z194" i="9" s="1"/>
  <c r="U197" i="9"/>
  <c r="T197" i="9" s="1"/>
  <c r="V197" i="9" s="1"/>
  <c r="W197" i="9" s="1"/>
  <c r="X197" i="9" s="1"/>
  <c r="R198" i="9" s="1"/>
  <c r="AK187" i="9"/>
  <c r="AJ187" i="9" s="1"/>
  <c r="AL187" i="9" s="1"/>
  <c r="J147" i="9"/>
  <c r="D282" i="9" l="1"/>
  <c r="E282" i="9"/>
  <c r="U198" i="9"/>
  <c r="T198" i="9" s="1"/>
  <c r="V198" i="9" s="1"/>
  <c r="W198" i="9" s="1"/>
  <c r="AC194" i="9"/>
  <c r="AB194" i="9" s="1"/>
  <c r="AD194" i="9" s="1"/>
  <c r="AM187" i="9"/>
  <c r="AN187" i="9" s="1"/>
  <c r="AH188" i="9" s="1"/>
  <c r="M147" i="9"/>
  <c r="L147" i="9" s="1"/>
  <c r="N147" i="9" s="1"/>
  <c r="F282" i="9" l="1"/>
  <c r="H282" i="9" s="1"/>
  <c r="B283" i="9" s="1"/>
  <c r="X198" i="9"/>
  <c r="R199" i="9" s="1"/>
  <c r="U199" i="9" s="1"/>
  <c r="AE194" i="9"/>
  <c r="AF194" i="9" s="1"/>
  <c r="Z195" i="9" s="1"/>
  <c r="AC195" i="9" s="1"/>
  <c r="AB195" i="9" s="1"/>
  <c r="AD195" i="9" s="1"/>
  <c r="AE195" i="9" s="1"/>
  <c r="AF195" i="9" s="1"/>
  <c r="Z196" i="9" s="1"/>
  <c r="AK188" i="9"/>
  <c r="AJ188" i="9"/>
  <c r="AL188" i="9" s="1"/>
  <c r="AM188" i="9" s="1"/>
  <c r="O147" i="9"/>
  <c r="P147" i="9" s="1"/>
  <c r="D283" i="9" l="1"/>
  <c r="E283" i="9"/>
  <c r="T199" i="9"/>
  <c r="V199" i="9" s="1"/>
  <c r="W199" i="9" s="1"/>
  <c r="AC196" i="9"/>
  <c r="AB196" i="9" s="1"/>
  <c r="AD196" i="9" s="1"/>
  <c r="AE196" i="9" s="1"/>
  <c r="AF196" i="9" s="1"/>
  <c r="Z197" i="9" s="1"/>
  <c r="AN188" i="9"/>
  <c r="AH189" i="9" s="1"/>
  <c r="J148" i="9"/>
  <c r="F283" i="9" l="1"/>
  <c r="H283" i="9" s="1"/>
  <c r="B284" i="9" s="1"/>
  <c r="D284" i="9" s="1"/>
  <c r="X199" i="9"/>
  <c r="R200" i="9" s="1"/>
  <c r="U200" i="9" s="1"/>
  <c r="T200" i="9" s="1"/>
  <c r="V200" i="9" s="1"/>
  <c r="AC197" i="9"/>
  <c r="AB197" i="9" s="1"/>
  <c r="AD197" i="9" s="1"/>
  <c r="AK189" i="9"/>
  <c r="AJ189" i="9" s="1"/>
  <c r="AL189" i="9" s="1"/>
  <c r="AM189" i="9" s="1"/>
  <c r="AN189" i="9" s="1"/>
  <c r="AH190" i="9" s="1"/>
  <c r="M148" i="9"/>
  <c r="L148" i="9" s="1"/>
  <c r="N148" i="9" s="1"/>
  <c r="E284" i="9" l="1"/>
  <c r="F284" i="9" s="1"/>
  <c r="H284" i="9" s="1"/>
  <c r="B285" i="9" s="1"/>
  <c r="D285" i="9" s="1"/>
  <c r="W200" i="9"/>
  <c r="X200" i="9" s="1"/>
  <c r="R201" i="9" s="1"/>
  <c r="U201" i="9" s="1"/>
  <c r="AK190" i="9"/>
  <c r="AJ190" i="9" s="1"/>
  <c r="AL190" i="9" s="1"/>
  <c r="AM190" i="9" s="1"/>
  <c r="AN190" i="9" s="1"/>
  <c r="AH191" i="9" s="1"/>
  <c r="AE197" i="9"/>
  <c r="AF197" i="9" s="1"/>
  <c r="Z198" i="9" s="1"/>
  <c r="O148" i="9"/>
  <c r="P148" i="9" s="1"/>
  <c r="E285" i="9" l="1"/>
  <c r="F285" i="9" s="1"/>
  <c r="H285" i="9" s="1"/>
  <c r="B286" i="9" s="1"/>
  <c r="T201" i="9"/>
  <c r="V201" i="9" s="1"/>
  <c r="W201" i="9" s="1"/>
  <c r="X201" i="9" s="1"/>
  <c r="R202" i="9" s="1"/>
  <c r="U202" i="9" s="1"/>
  <c r="T202" i="9" s="1"/>
  <c r="V202" i="9" s="1"/>
  <c r="W202" i="9" s="1"/>
  <c r="X202" i="9" s="1"/>
  <c r="R203" i="9" s="1"/>
  <c r="AK191" i="9"/>
  <c r="AJ191" i="9"/>
  <c r="AL191" i="9" s="1"/>
  <c r="AM191" i="9" s="1"/>
  <c r="AN191" i="9" s="1"/>
  <c r="AH192" i="9" s="1"/>
  <c r="AC198" i="9"/>
  <c r="AB198" i="9" s="1"/>
  <c r="AD198" i="9" s="1"/>
  <c r="AE198" i="9" s="1"/>
  <c r="AF198" i="9" s="1"/>
  <c r="Z199" i="9" s="1"/>
  <c r="J149" i="9"/>
  <c r="D286" i="9" l="1"/>
  <c r="E286" i="9"/>
  <c r="U203" i="9"/>
  <c r="T203" i="9" s="1"/>
  <c r="V203" i="9" s="1"/>
  <c r="AC199" i="9"/>
  <c r="AB199" i="9"/>
  <c r="AD199" i="9" s="1"/>
  <c r="AK192" i="9"/>
  <c r="AJ192" i="9" s="1"/>
  <c r="AL192" i="9" s="1"/>
  <c r="AM192" i="9" s="1"/>
  <c r="AN192" i="9" s="1"/>
  <c r="AH193" i="9" s="1"/>
  <c r="M149" i="9"/>
  <c r="L149" i="9" s="1"/>
  <c r="N149" i="9" s="1"/>
  <c r="F286" i="9" l="1"/>
  <c r="H286" i="9" s="1"/>
  <c r="B287" i="9" s="1"/>
  <c r="W203" i="9"/>
  <c r="X203" i="9" s="1"/>
  <c r="R204" i="9" s="1"/>
  <c r="AK193" i="9"/>
  <c r="AJ193" i="9"/>
  <c r="AL193" i="9" s="1"/>
  <c r="AM193" i="9" s="1"/>
  <c r="AE199" i="9"/>
  <c r="AF199" i="9" s="1"/>
  <c r="Z200" i="9" s="1"/>
  <c r="O149" i="9"/>
  <c r="P149" i="9" s="1"/>
  <c r="E287" i="9" l="1"/>
  <c r="D287" i="9"/>
  <c r="F287" i="9" s="1"/>
  <c r="H287" i="9" s="1"/>
  <c r="B288" i="9" s="1"/>
  <c r="U204" i="9"/>
  <c r="T204" i="9" s="1"/>
  <c r="V204" i="9" s="1"/>
  <c r="W204" i="9" s="1"/>
  <c r="X204" i="9" s="1"/>
  <c r="R205" i="9" s="1"/>
  <c r="AN193" i="9"/>
  <c r="AH194" i="9" s="1"/>
  <c r="AK194" i="9" s="1"/>
  <c r="AJ194" i="9" s="1"/>
  <c r="AL194" i="9" s="1"/>
  <c r="AM194" i="9" s="1"/>
  <c r="AN194" i="9" s="1"/>
  <c r="AH195" i="9" s="1"/>
  <c r="AC200" i="9"/>
  <c r="AB200" i="9" s="1"/>
  <c r="AD200" i="9" s="1"/>
  <c r="AE200" i="9" s="1"/>
  <c r="AF200" i="9" s="1"/>
  <c r="Z201" i="9" s="1"/>
  <c r="J150" i="9"/>
  <c r="D288" i="9" l="1"/>
  <c r="E288" i="9"/>
  <c r="U205" i="9"/>
  <c r="T205" i="9" s="1"/>
  <c r="V205" i="9" s="1"/>
  <c r="W205" i="9" s="1"/>
  <c r="AK195" i="9"/>
  <c r="AJ195" i="9" s="1"/>
  <c r="AL195" i="9" s="1"/>
  <c r="AM195" i="9" s="1"/>
  <c r="AC201" i="9"/>
  <c r="AB201" i="9" s="1"/>
  <c r="AD201" i="9" s="1"/>
  <c r="AE201" i="9" s="1"/>
  <c r="AF201" i="9" s="1"/>
  <c r="Z202" i="9" s="1"/>
  <c r="M150" i="9"/>
  <c r="L150" i="9" s="1"/>
  <c r="N150" i="9" s="1"/>
  <c r="F288" i="9" l="1"/>
  <c r="H288" i="9" s="1"/>
  <c r="B289" i="9" s="1"/>
  <c r="O150" i="9"/>
  <c r="P150" i="9" s="1"/>
  <c r="J151" i="9" s="1"/>
  <c r="X205" i="9"/>
  <c r="R206" i="9" s="1"/>
  <c r="AN195" i="9"/>
  <c r="AH196" i="9" s="1"/>
  <c r="AC202" i="9"/>
  <c r="AB202" i="9" s="1"/>
  <c r="AD202" i="9" s="1"/>
  <c r="AK196" i="9"/>
  <c r="AJ196" i="9" s="1"/>
  <c r="AL196" i="9" s="1"/>
  <c r="E289" i="9" l="1"/>
  <c r="D289" i="9"/>
  <c r="F289" i="9" s="1"/>
  <c r="H289" i="9" s="1"/>
  <c r="B290" i="9" s="1"/>
  <c r="U206" i="9"/>
  <c r="T206" i="9" s="1"/>
  <c r="V206" i="9" s="1"/>
  <c r="W206" i="9" s="1"/>
  <c r="X206" i="9" s="1"/>
  <c r="R207" i="9" s="1"/>
  <c r="AM196" i="9"/>
  <c r="AN196" i="9" s="1"/>
  <c r="AH197" i="9" s="1"/>
  <c r="AE202" i="9"/>
  <c r="AF202" i="9" s="1"/>
  <c r="Z203" i="9" s="1"/>
  <c r="M151" i="9"/>
  <c r="L151" i="9"/>
  <c r="N151" i="9" s="1"/>
  <c r="O151" i="9" s="1"/>
  <c r="D290" i="9" l="1"/>
  <c r="E290" i="9"/>
  <c r="U207" i="9"/>
  <c r="T207" i="9" s="1"/>
  <c r="V207" i="9" s="1"/>
  <c r="AC203" i="9"/>
  <c r="AB203" i="9" s="1"/>
  <c r="AD203" i="9" s="1"/>
  <c r="AE203" i="9" s="1"/>
  <c r="AF203" i="9" s="1"/>
  <c r="Z204" i="9" s="1"/>
  <c r="AK197" i="9"/>
  <c r="AJ197" i="9"/>
  <c r="AL197" i="9" s="1"/>
  <c r="AM197" i="9" s="1"/>
  <c r="AN197" i="9" s="1"/>
  <c r="AH198" i="9" s="1"/>
  <c r="P151" i="9"/>
  <c r="J152" i="9" s="1"/>
  <c r="F290" i="9" l="1"/>
  <c r="H290" i="9" s="1"/>
  <c r="B291" i="9" s="1"/>
  <c r="W207" i="9"/>
  <c r="X207" i="9" s="1"/>
  <c r="R208" i="9" s="1"/>
  <c r="AK198" i="9"/>
  <c r="AJ198" i="9" s="1"/>
  <c r="AL198" i="9" s="1"/>
  <c r="AM198" i="9" s="1"/>
  <c r="AC204" i="9"/>
  <c r="AB204" i="9" s="1"/>
  <c r="AD204" i="9" s="1"/>
  <c r="AE204" i="9" s="1"/>
  <c r="AF204" i="9" s="1"/>
  <c r="Z205" i="9" s="1"/>
  <c r="M152" i="9"/>
  <c r="L152" i="9" s="1"/>
  <c r="N152" i="9" s="1"/>
  <c r="E291" i="9" l="1"/>
  <c r="D291" i="9"/>
  <c r="F291" i="9" s="1"/>
  <c r="H291" i="9" s="1"/>
  <c r="B292" i="9" s="1"/>
  <c r="D292" i="9" s="1"/>
  <c r="U208" i="9"/>
  <c r="T208" i="9" s="1"/>
  <c r="V208" i="9" s="1"/>
  <c r="W208" i="9" s="1"/>
  <c r="AN198" i="9"/>
  <c r="AH199" i="9" s="1"/>
  <c r="AK199" i="9" s="1"/>
  <c r="AJ199" i="9" s="1"/>
  <c r="AL199" i="9" s="1"/>
  <c r="AM199" i="9" s="1"/>
  <c r="AC205" i="9"/>
  <c r="AB205" i="9" s="1"/>
  <c r="AD205" i="9" s="1"/>
  <c r="AE205" i="9" s="1"/>
  <c r="AF205" i="9" s="1"/>
  <c r="Z206" i="9" s="1"/>
  <c r="O152" i="9"/>
  <c r="P152" i="9" s="1"/>
  <c r="J153" i="9" s="1"/>
  <c r="M153" i="9" s="1"/>
  <c r="L153" i="9" s="1"/>
  <c r="N153" i="9" s="1"/>
  <c r="E292" i="9" l="1"/>
  <c r="F292" i="9" s="1"/>
  <c r="H292" i="9" s="1"/>
  <c r="B293" i="9" s="1"/>
  <c r="X208" i="9"/>
  <c r="R209" i="9" s="1"/>
  <c r="AN199" i="9"/>
  <c r="AH200" i="9" s="1"/>
  <c r="AK200" i="9" s="1"/>
  <c r="AJ200" i="9" s="1"/>
  <c r="AL200" i="9" s="1"/>
  <c r="AM200" i="9" s="1"/>
  <c r="AC206" i="9"/>
  <c r="AB206" i="9" s="1"/>
  <c r="AD206" i="9" s="1"/>
  <c r="AE206" i="9" s="1"/>
  <c r="AF206" i="9" s="1"/>
  <c r="Z207" i="9" s="1"/>
  <c r="E293" i="9"/>
  <c r="D293" i="9"/>
  <c r="O153" i="9"/>
  <c r="P153" i="9" s="1"/>
  <c r="J154" i="9" s="1"/>
  <c r="U209" i="9" l="1"/>
  <c r="T209" i="9" s="1"/>
  <c r="V209" i="9" s="1"/>
  <c r="W209" i="9" s="1"/>
  <c r="AN200" i="9"/>
  <c r="AH201" i="9" s="1"/>
  <c r="AK201" i="9" s="1"/>
  <c r="AJ201" i="9" s="1"/>
  <c r="AL201" i="9" s="1"/>
  <c r="AM201" i="9" s="1"/>
  <c r="AC207" i="9"/>
  <c r="AB207" i="9" s="1"/>
  <c r="AD207" i="9" s="1"/>
  <c r="AE207" i="9" s="1"/>
  <c r="F293" i="9"/>
  <c r="H293" i="9" s="1"/>
  <c r="B294" i="9" s="1"/>
  <c r="M154" i="9"/>
  <c r="L154" i="9" s="1"/>
  <c r="N154" i="9" s="1"/>
  <c r="X209" i="9" l="1"/>
  <c r="R210" i="9" s="1"/>
  <c r="AN201" i="9"/>
  <c r="AH202" i="9" s="1"/>
  <c r="AF207" i="9"/>
  <c r="Z208" i="9" s="1"/>
  <c r="AC208" i="9" s="1"/>
  <c r="AB208" i="9" s="1"/>
  <c r="AD208" i="9" s="1"/>
  <c r="AE208" i="9" s="1"/>
  <c r="AF208" i="9" s="1"/>
  <c r="Z209" i="9" s="1"/>
  <c r="AK202" i="9"/>
  <c r="D294" i="9"/>
  <c r="E294" i="9"/>
  <c r="O154" i="9"/>
  <c r="P154" i="9" s="1"/>
  <c r="J155" i="9" s="1"/>
  <c r="AJ202" i="9" l="1"/>
  <c r="AL202" i="9" s="1"/>
  <c r="AM202" i="9" s="1"/>
  <c r="U210" i="9"/>
  <c r="T210" i="9" s="1"/>
  <c r="V210" i="9" s="1"/>
  <c r="W210" i="9" s="1"/>
  <c r="X210" i="9" s="1"/>
  <c r="R211" i="9" s="1"/>
  <c r="AC209" i="9"/>
  <c r="AB209" i="9" s="1"/>
  <c r="AD209" i="9" s="1"/>
  <c r="AE209" i="9" s="1"/>
  <c r="F294" i="9"/>
  <c r="H294" i="9" s="1"/>
  <c r="B295" i="9" s="1"/>
  <c r="M155" i="9"/>
  <c r="L155" i="9" s="1"/>
  <c r="N155" i="9" s="1"/>
  <c r="AN202" i="9" l="1"/>
  <c r="AH203" i="9" s="1"/>
  <c r="AK203" i="9" s="1"/>
  <c r="U211" i="9"/>
  <c r="T211" i="9" s="1"/>
  <c r="V211" i="9" s="1"/>
  <c r="W211" i="9" s="1"/>
  <c r="E295" i="9"/>
  <c r="D295" i="9"/>
  <c r="F295" i="9" s="1"/>
  <c r="H295" i="9" s="1"/>
  <c r="B296" i="9" s="1"/>
  <c r="AF209" i="9"/>
  <c r="Z210" i="9" s="1"/>
  <c r="O155" i="9"/>
  <c r="P155" i="9" s="1"/>
  <c r="J156" i="9" s="1"/>
  <c r="AJ203" i="9" l="1"/>
  <c r="AL203" i="9" s="1"/>
  <c r="AM203" i="9" s="1"/>
  <c r="AN203" i="9" s="1"/>
  <c r="AH204" i="9" s="1"/>
  <c r="AK204" i="9" s="1"/>
  <c r="AJ204" i="9" s="1"/>
  <c r="AL204" i="9" s="1"/>
  <c r="AM204" i="9" s="1"/>
  <c r="AN204" i="9" s="1"/>
  <c r="AH205" i="9" s="1"/>
  <c r="AK205" i="9" s="1"/>
  <c r="AJ205" i="9" s="1"/>
  <c r="AL205" i="9" s="1"/>
  <c r="AM205" i="9" s="1"/>
  <c r="AN205" i="9" s="1"/>
  <c r="AH206" i="9" s="1"/>
  <c r="X211" i="9"/>
  <c r="R212" i="9" s="1"/>
  <c r="AC210" i="9"/>
  <c r="AB210" i="9" s="1"/>
  <c r="AD210" i="9" s="1"/>
  <c r="AE210" i="9" s="1"/>
  <c r="D296" i="9"/>
  <c r="E296" i="9"/>
  <c r="M156" i="9"/>
  <c r="L156" i="9" s="1"/>
  <c r="N156" i="9" s="1"/>
  <c r="AF210" i="9" l="1"/>
  <c r="Z211" i="9" s="1"/>
  <c r="U212" i="9"/>
  <c r="T212" i="9" s="1"/>
  <c r="V212" i="9" s="1"/>
  <c r="W212" i="9" s="1"/>
  <c r="X212" i="9" s="1"/>
  <c r="R213" i="9" s="1"/>
  <c r="AK206" i="9"/>
  <c r="AJ206" i="9" s="1"/>
  <c r="AL206" i="9" s="1"/>
  <c r="AM206" i="9" s="1"/>
  <c r="AN206" i="9" s="1"/>
  <c r="AH207" i="9" s="1"/>
  <c r="F296" i="9"/>
  <c r="H296" i="9" s="1"/>
  <c r="B297" i="9" s="1"/>
  <c r="AC211" i="9"/>
  <c r="AB211" i="9" s="1"/>
  <c r="AD211" i="9" s="1"/>
  <c r="AE211" i="9" s="1"/>
  <c r="AF211" i="9" s="1"/>
  <c r="Z212" i="9" s="1"/>
  <c r="O156" i="9"/>
  <c r="P156" i="9" s="1"/>
  <c r="J157" i="9" s="1"/>
  <c r="U213" i="9" l="1"/>
  <c r="T213" i="9" s="1"/>
  <c r="V213" i="9" s="1"/>
  <c r="W213" i="9" s="1"/>
  <c r="X213" i="9" s="1"/>
  <c r="R214" i="9" s="1"/>
  <c r="AC212" i="9"/>
  <c r="AB212" i="9" s="1"/>
  <c r="AD212" i="9" s="1"/>
  <c r="AE212" i="9" s="1"/>
  <c r="AF212" i="9" s="1"/>
  <c r="Z213" i="9" s="1"/>
  <c r="E297" i="9"/>
  <c r="D297" i="9"/>
  <c r="AK207" i="9"/>
  <c r="AJ207" i="9" s="1"/>
  <c r="AL207" i="9" s="1"/>
  <c r="AM207" i="9" s="1"/>
  <c r="AN207" i="9" s="1"/>
  <c r="AH208" i="9" s="1"/>
  <c r="M157" i="9"/>
  <c r="F297" i="9" l="1"/>
  <c r="H297" i="9" s="1"/>
  <c r="B298" i="9" s="1"/>
  <c r="E298" i="9" s="1"/>
  <c r="U214" i="9"/>
  <c r="T214" i="9" s="1"/>
  <c r="V214" i="9" s="1"/>
  <c r="W214" i="9" s="1"/>
  <c r="X214" i="9" s="1"/>
  <c r="R215" i="9" s="1"/>
  <c r="AC213" i="9"/>
  <c r="AB213" i="9" s="1"/>
  <c r="AD213" i="9" s="1"/>
  <c r="AE213" i="9" s="1"/>
  <c r="AK208" i="9"/>
  <c r="AJ208" i="9" s="1"/>
  <c r="AL208" i="9" s="1"/>
  <c r="AM208" i="9" s="1"/>
  <c r="L157" i="9"/>
  <c r="N157" i="9" s="1"/>
  <c r="D298" i="9" l="1"/>
  <c r="F298" i="9" s="1"/>
  <c r="H298" i="9" s="1"/>
  <c r="B299" i="9" s="1"/>
  <c r="E299" i="9" s="1"/>
  <c r="AF213" i="9"/>
  <c r="Z214" i="9" s="1"/>
  <c r="AC214" i="9" s="1"/>
  <c r="AB214" i="9" s="1"/>
  <c r="AD214" i="9" s="1"/>
  <c r="AE214" i="9" s="1"/>
  <c r="AF214" i="9" s="1"/>
  <c r="Z215" i="9" s="1"/>
  <c r="U215" i="9"/>
  <c r="T215" i="9" s="1"/>
  <c r="V215" i="9" s="1"/>
  <c r="W215" i="9" s="1"/>
  <c r="X215" i="9" s="1"/>
  <c r="R216" i="9" s="1"/>
  <c r="AN208" i="9"/>
  <c r="AH209" i="9" s="1"/>
  <c r="AK209" i="9" s="1"/>
  <c r="AJ209" i="9" s="1"/>
  <c r="AL209" i="9" s="1"/>
  <c r="AM209" i="9" s="1"/>
  <c r="AN209" i="9" s="1"/>
  <c r="AH210" i="9" s="1"/>
  <c r="O157" i="9"/>
  <c r="P157" i="9" s="1"/>
  <c r="J158" i="9" s="1"/>
  <c r="D299" i="9" l="1"/>
  <c r="F299" i="9" s="1"/>
  <c r="H299" i="9" s="1"/>
  <c r="B300" i="9" s="1"/>
  <c r="E300" i="9" s="1"/>
  <c r="U216" i="9"/>
  <c r="T216" i="9" s="1"/>
  <c r="V216" i="9" s="1"/>
  <c r="W216" i="9" s="1"/>
  <c r="X216" i="9" s="1"/>
  <c r="R217" i="9" s="1"/>
  <c r="AC215" i="9"/>
  <c r="AB215" i="9" s="1"/>
  <c r="AD215" i="9" s="1"/>
  <c r="AE215" i="9" s="1"/>
  <c r="AK210" i="9"/>
  <c r="AJ210" i="9" s="1"/>
  <c r="AL210" i="9" s="1"/>
  <c r="M158" i="9"/>
  <c r="L158" i="9" s="1"/>
  <c r="N158" i="9" s="1"/>
  <c r="D300" i="9" l="1"/>
  <c r="U217" i="9"/>
  <c r="T217" i="9" s="1"/>
  <c r="V217" i="9" s="1"/>
  <c r="AM210" i="9"/>
  <c r="AN210" i="9" s="1"/>
  <c r="AH211" i="9" s="1"/>
  <c r="AF215" i="9"/>
  <c r="Z216" i="9" s="1"/>
  <c r="AC216" i="9" s="1"/>
  <c r="AB216" i="9" s="1"/>
  <c r="AD216" i="9" s="1"/>
  <c r="AE216" i="9" s="1"/>
  <c r="AF216" i="9" s="1"/>
  <c r="Z217" i="9" s="1"/>
  <c r="F300" i="9"/>
  <c r="H300" i="9" s="1"/>
  <c r="B301" i="9" s="1"/>
  <c r="O158" i="9"/>
  <c r="P158" i="9" s="1"/>
  <c r="AK211" i="9" l="1"/>
  <c r="AJ211" i="9" s="1"/>
  <c r="AL211" i="9" s="1"/>
  <c r="AM211" i="9" s="1"/>
  <c r="AN211" i="9" s="1"/>
  <c r="AH212" i="9" s="1"/>
  <c r="AK212" i="9" s="1"/>
  <c r="AJ212" i="9" s="1"/>
  <c r="AL212" i="9" s="1"/>
  <c r="AM212" i="9" s="1"/>
  <c r="AN212" i="9" s="1"/>
  <c r="AH213" i="9" s="1"/>
  <c r="W217" i="9"/>
  <c r="X217" i="9" s="1"/>
  <c r="R218" i="9" s="1"/>
  <c r="AC217" i="9"/>
  <c r="AB217" i="9" s="1"/>
  <c r="AD217" i="9" s="1"/>
  <c r="D301" i="9"/>
  <c r="E301" i="9"/>
  <c r="J159" i="9"/>
  <c r="U218" i="9" l="1"/>
  <c r="T218" i="9" s="1"/>
  <c r="V218" i="9" s="1"/>
  <c r="W218" i="9" s="1"/>
  <c r="AE217" i="9"/>
  <c r="AF217" i="9" s="1"/>
  <c r="Z218" i="9" s="1"/>
  <c r="AK213" i="9"/>
  <c r="AJ213" i="9"/>
  <c r="AL213" i="9" s="1"/>
  <c r="AM213" i="9" s="1"/>
  <c r="F301" i="9"/>
  <c r="H301" i="9" s="1"/>
  <c r="B302" i="9" s="1"/>
  <c r="M159" i="9"/>
  <c r="L159" i="9" s="1"/>
  <c r="N159" i="9" s="1"/>
  <c r="AN213" i="9" l="1"/>
  <c r="AH214" i="9" s="1"/>
  <c r="AK214" i="9" s="1"/>
  <c r="AJ214" i="9" s="1"/>
  <c r="AL214" i="9" s="1"/>
  <c r="AM214" i="9" s="1"/>
  <c r="AN214" i="9" s="1"/>
  <c r="AH215" i="9" s="1"/>
  <c r="X218" i="9"/>
  <c r="R219" i="9" s="1"/>
  <c r="AC218" i="9"/>
  <c r="AB218" i="9" s="1"/>
  <c r="AD218" i="9" s="1"/>
  <c r="AE218" i="9" s="1"/>
  <c r="AF218" i="9" s="1"/>
  <c r="Z219" i="9" s="1"/>
  <c r="D302" i="9"/>
  <c r="E302" i="9"/>
  <c r="O159" i="9"/>
  <c r="P159" i="9" s="1"/>
  <c r="U219" i="9" l="1"/>
  <c r="T219" i="9" s="1"/>
  <c r="V219" i="9" s="1"/>
  <c r="W219" i="9" s="1"/>
  <c r="X219" i="9" s="1"/>
  <c r="R220" i="9" s="1"/>
  <c r="AC219" i="9"/>
  <c r="AB219" i="9" s="1"/>
  <c r="AD219" i="9" s="1"/>
  <c r="AE219" i="9" s="1"/>
  <c r="AF219" i="9" s="1"/>
  <c r="Z220" i="9" s="1"/>
  <c r="AC220" i="9" s="1"/>
  <c r="AB220" i="9" s="1"/>
  <c r="AD220" i="9" s="1"/>
  <c r="AE220" i="9" s="1"/>
  <c r="AK215" i="9"/>
  <c r="AJ215" i="9" s="1"/>
  <c r="AL215" i="9" s="1"/>
  <c r="AM215" i="9" s="1"/>
  <c r="F302" i="9"/>
  <c r="H302" i="9" s="1"/>
  <c r="B303" i="9" s="1"/>
  <c r="J160" i="9"/>
  <c r="U220" i="9" l="1"/>
  <c r="T220" i="9" s="1"/>
  <c r="V220" i="9" s="1"/>
  <c r="W220" i="9" s="1"/>
  <c r="AN215" i="9"/>
  <c r="AH216" i="9" s="1"/>
  <c r="AK216" i="9" s="1"/>
  <c r="AJ216" i="9" s="1"/>
  <c r="AL216" i="9" s="1"/>
  <c r="AM216" i="9" s="1"/>
  <c r="AF220" i="9"/>
  <c r="Z221" i="9" s="1"/>
  <c r="E303" i="9"/>
  <c r="D303" i="9"/>
  <c r="M160" i="9"/>
  <c r="L160" i="9" s="1"/>
  <c r="N160" i="9" s="1"/>
  <c r="F303" i="9" l="1"/>
  <c r="H303" i="9" s="1"/>
  <c r="B304" i="9" s="1"/>
  <c r="X220" i="9"/>
  <c r="R221" i="9" s="1"/>
  <c r="U221" i="9" s="1"/>
  <c r="T221" i="9" s="1"/>
  <c r="V221" i="9" s="1"/>
  <c r="W221" i="9" s="1"/>
  <c r="AN216" i="9"/>
  <c r="AH217" i="9" s="1"/>
  <c r="AK217" i="9" s="1"/>
  <c r="AJ217" i="9" s="1"/>
  <c r="AL217" i="9" s="1"/>
  <c r="D304" i="9"/>
  <c r="E304" i="9"/>
  <c r="AC221" i="9"/>
  <c r="AB221" i="9" s="1"/>
  <c r="AD221" i="9" s="1"/>
  <c r="AE221" i="9" s="1"/>
  <c r="AF221" i="9" s="1"/>
  <c r="Z222" i="9" s="1"/>
  <c r="O160" i="9"/>
  <c r="P160" i="9" s="1"/>
  <c r="AM217" i="9" l="1"/>
  <c r="AN217" i="9" s="1"/>
  <c r="AH218" i="9" s="1"/>
  <c r="AK218" i="9" s="1"/>
  <c r="AJ218" i="9" s="1"/>
  <c r="AL218" i="9" s="1"/>
  <c r="AM218" i="9" s="1"/>
  <c r="AN218" i="9" s="1"/>
  <c r="AH219" i="9" s="1"/>
  <c r="X221" i="9"/>
  <c r="R222" i="9" s="1"/>
  <c r="AC222" i="9"/>
  <c r="AB222" i="9" s="1"/>
  <c r="AD222" i="9" s="1"/>
  <c r="F304" i="9"/>
  <c r="H304" i="9" s="1"/>
  <c r="B305" i="9" s="1"/>
  <c r="J161" i="9"/>
  <c r="U222" i="9" l="1"/>
  <c r="T222" i="9" s="1"/>
  <c r="V222" i="9" s="1"/>
  <c r="AE222" i="9"/>
  <c r="AF222" i="9" s="1"/>
  <c r="Z223" i="9" s="1"/>
  <c r="AK219" i="9"/>
  <c r="AJ219" i="9" s="1"/>
  <c r="E305" i="9"/>
  <c r="D305" i="9"/>
  <c r="F305" i="9" s="1"/>
  <c r="H305" i="9" s="1"/>
  <c r="B306" i="9" s="1"/>
  <c r="M161" i="9"/>
  <c r="L161" i="9" s="1"/>
  <c r="N161" i="9" s="1"/>
  <c r="W222" i="9" l="1"/>
  <c r="X222" i="9" s="1"/>
  <c r="R223" i="9" s="1"/>
  <c r="AL219" i="9"/>
  <c r="D306" i="9"/>
  <c r="E306" i="9"/>
  <c r="AC223" i="9"/>
  <c r="AB223" i="9" s="1"/>
  <c r="AD223" i="9" s="1"/>
  <c r="AE223" i="9" s="1"/>
  <c r="O161" i="9"/>
  <c r="P161" i="9" s="1"/>
  <c r="U223" i="9" l="1"/>
  <c r="T223" i="9" s="1"/>
  <c r="V223" i="9" s="1"/>
  <c r="W223" i="9" s="1"/>
  <c r="X223" i="9" s="1"/>
  <c r="R224" i="9" s="1"/>
  <c r="AM219" i="9"/>
  <c r="AN219" i="9" s="1"/>
  <c r="AH220" i="9" s="1"/>
  <c r="AF223" i="9"/>
  <c r="Z224" i="9" s="1"/>
  <c r="F306" i="9"/>
  <c r="H306" i="9" s="1"/>
  <c r="B307" i="9" s="1"/>
  <c r="J162" i="9"/>
  <c r="U224" i="9" l="1"/>
  <c r="T224" i="9" s="1"/>
  <c r="V224" i="9" s="1"/>
  <c r="AK220" i="9"/>
  <c r="AJ220" i="9" s="1"/>
  <c r="AL220" i="9" s="1"/>
  <c r="AM220" i="9" s="1"/>
  <c r="AN220" i="9" s="1"/>
  <c r="AH221" i="9" s="1"/>
  <c r="E307" i="9"/>
  <c r="D307" i="9"/>
  <c r="AC224" i="9"/>
  <c r="AB224" i="9" s="1"/>
  <c r="AD224" i="9" s="1"/>
  <c r="AE224" i="9" s="1"/>
  <c r="AF224" i="9" s="1"/>
  <c r="Z225" i="9" s="1"/>
  <c r="M162" i="9"/>
  <c r="L162" i="9" s="1"/>
  <c r="N162" i="9" s="1"/>
  <c r="F307" i="9" l="1"/>
  <c r="H307" i="9" s="1"/>
  <c r="B308" i="9" s="1"/>
  <c r="E308" i="9" s="1"/>
  <c r="W224" i="9"/>
  <c r="X224" i="9" s="1"/>
  <c r="R225" i="9" s="1"/>
  <c r="AK221" i="9"/>
  <c r="AJ221" i="9" s="1"/>
  <c r="AL221" i="9" s="1"/>
  <c r="AM221" i="9" s="1"/>
  <c r="AC225" i="9"/>
  <c r="AB225" i="9" s="1"/>
  <c r="O162" i="9"/>
  <c r="P162" i="9" s="1"/>
  <c r="D308" i="9" l="1"/>
  <c r="AD225" i="9"/>
  <c r="AN221" i="9"/>
  <c r="AH222" i="9" s="1"/>
  <c r="AK222" i="9" s="1"/>
  <c r="AJ222" i="9" s="1"/>
  <c r="AL222" i="9" s="1"/>
  <c r="U225" i="9"/>
  <c r="T225" i="9" s="1"/>
  <c r="V225" i="9" s="1"/>
  <c r="F308" i="9"/>
  <c r="H308" i="9" s="1"/>
  <c r="B309" i="9" s="1"/>
  <c r="J163" i="9"/>
  <c r="AE225" i="9" l="1"/>
  <c r="AF225" i="9" s="1"/>
  <c r="Z226" i="9" s="1"/>
  <c r="W225" i="9"/>
  <c r="X225" i="9" s="1"/>
  <c r="R226" i="9" s="1"/>
  <c r="AM222" i="9"/>
  <c r="AN222" i="9" s="1"/>
  <c r="AH223" i="9" s="1"/>
  <c r="AK223" i="9" s="1"/>
  <c r="AJ223" i="9" s="1"/>
  <c r="AL223" i="9" s="1"/>
  <c r="AM223" i="9" s="1"/>
  <c r="AN223" i="9" s="1"/>
  <c r="AH224" i="9" s="1"/>
  <c r="E309" i="9"/>
  <c r="D309" i="9"/>
  <c r="M163" i="9"/>
  <c r="L163" i="9"/>
  <c r="N163" i="9" s="1"/>
  <c r="AC226" i="9" l="1"/>
  <c r="AB226" i="9" s="1"/>
  <c r="AD226" i="9" s="1"/>
  <c r="F309" i="9"/>
  <c r="H309" i="9" s="1"/>
  <c r="B310" i="9" s="1"/>
  <c r="U226" i="9"/>
  <c r="T226" i="9" s="1"/>
  <c r="V226" i="9" s="1"/>
  <c r="W226" i="9" s="1"/>
  <c r="X226" i="9" s="1"/>
  <c r="R227" i="9" s="1"/>
  <c r="AK224" i="9"/>
  <c r="AJ224" i="9" s="1"/>
  <c r="AL224" i="9" s="1"/>
  <c r="AM224" i="9" s="1"/>
  <c r="O163" i="9"/>
  <c r="P163" i="9" s="1"/>
  <c r="J164" i="9" s="1"/>
  <c r="E310" i="9"/>
  <c r="D310" i="9"/>
  <c r="AE226" i="9" l="1"/>
  <c r="AF226" i="9" s="1"/>
  <c r="Z227" i="9" s="1"/>
  <c r="AC227" i="9" s="1"/>
  <c r="AB227" i="9" s="1"/>
  <c r="AD227" i="9" s="1"/>
  <c r="AE227" i="9" s="1"/>
  <c r="F310" i="9"/>
  <c r="H310" i="9" s="1"/>
  <c r="B311" i="9" s="1"/>
  <c r="U227" i="9"/>
  <c r="T227" i="9"/>
  <c r="V227" i="9" s="1"/>
  <c r="W227" i="9" s="1"/>
  <c r="AN224" i="9"/>
  <c r="AH225" i="9" s="1"/>
  <c r="E311" i="9"/>
  <c r="D311" i="9"/>
  <c r="M164" i="9"/>
  <c r="L164" i="9" s="1"/>
  <c r="N164" i="9" s="1"/>
  <c r="O164" i="9" s="1"/>
  <c r="P164" i="9" s="1"/>
  <c r="J165" i="9" s="1"/>
  <c r="F311" i="9" l="1"/>
  <c r="H311" i="9" s="1"/>
  <c r="B312" i="9" s="1"/>
  <c r="AF227" i="9"/>
  <c r="Z228" i="9" s="1"/>
  <c r="AC228" i="9" s="1"/>
  <c r="AB228" i="9" s="1"/>
  <c r="AD228" i="9" s="1"/>
  <c r="AE228" i="9" s="1"/>
  <c r="AF228" i="9" s="1"/>
  <c r="Z229" i="9" s="1"/>
  <c r="X227" i="9"/>
  <c r="R228" i="9" s="1"/>
  <c r="AK225" i="9"/>
  <c r="AJ225" i="9" s="1"/>
  <c r="AL225" i="9" s="1"/>
  <c r="AM225" i="9" s="1"/>
  <c r="AN225" i="9" s="1"/>
  <c r="AH226" i="9" s="1"/>
  <c r="D312" i="9"/>
  <c r="E312" i="9"/>
  <c r="M165" i="9"/>
  <c r="L165" i="9" s="1"/>
  <c r="N165" i="9" s="1"/>
  <c r="AC229" i="9" l="1"/>
  <c r="AB229" i="9" s="1"/>
  <c r="AD229" i="9" s="1"/>
  <c r="AE229" i="9" s="1"/>
  <c r="U228" i="9"/>
  <c r="T228" i="9" s="1"/>
  <c r="V228" i="9" s="1"/>
  <c r="W228" i="9" s="1"/>
  <c r="X228" i="9" s="1"/>
  <c r="R229" i="9" s="1"/>
  <c r="AK226" i="9"/>
  <c r="AJ226" i="9"/>
  <c r="AL226" i="9" s="1"/>
  <c r="AM226" i="9" s="1"/>
  <c r="AN226" i="9" s="1"/>
  <c r="AH227" i="9" s="1"/>
  <c r="F312" i="9"/>
  <c r="H312" i="9" s="1"/>
  <c r="B313" i="9" s="1"/>
  <c r="O165" i="9"/>
  <c r="P165" i="9" s="1"/>
  <c r="J166" i="9" s="1"/>
  <c r="AF229" i="9" l="1"/>
  <c r="Z230" i="9" s="1"/>
  <c r="U229" i="9"/>
  <c r="T229" i="9" s="1"/>
  <c r="V229" i="9" s="1"/>
  <c r="AK227" i="9"/>
  <c r="AJ227" i="9" s="1"/>
  <c r="E313" i="9"/>
  <c r="D313" i="9"/>
  <c r="M166" i="9"/>
  <c r="L166" i="9" s="1"/>
  <c r="N166" i="9" s="1"/>
  <c r="AC230" i="9" l="1"/>
  <c r="AB230" i="9" s="1"/>
  <c r="AD230" i="9" s="1"/>
  <c r="AE230" i="9" s="1"/>
  <c r="AF230" i="9" s="1"/>
  <c r="Z231" i="9" s="1"/>
  <c r="F313" i="9"/>
  <c r="H313" i="9" s="1"/>
  <c r="B314" i="9" s="1"/>
  <c r="D314" i="9" s="1"/>
  <c r="W229" i="9"/>
  <c r="X229" i="9" s="1"/>
  <c r="R230" i="9" s="1"/>
  <c r="AL227" i="9"/>
  <c r="O166" i="9"/>
  <c r="P166" i="9" s="1"/>
  <c r="J167" i="9" s="1"/>
  <c r="E314" i="9" l="1"/>
  <c r="F314" i="9" s="1"/>
  <c r="H314" i="9" s="1"/>
  <c r="B315" i="9" s="1"/>
  <c r="AC231" i="9"/>
  <c r="AB231" i="9" s="1"/>
  <c r="AD231" i="9" s="1"/>
  <c r="U230" i="9"/>
  <c r="T230" i="9" s="1"/>
  <c r="V230" i="9" s="1"/>
  <c r="W230" i="9" s="1"/>
  <c r="AM227" i="9"/>
  <c r="AN227" i="9" s="1"/>
  <c r="AH228" i="9" s="1"/>
  <c r="M167" i="9"/>
  <c r="L167" i="9" s="1"/>
  <c r="N167" i="9" s="1"/>
  <c r="O167" i="9" s="1"/>
  <c r="AE231" i="9" l="1"/>
  <c r="AF231" i="9"/>
  <c r="Z232" i="9" s="1"/>
  <c r="AK228" i="9"/>
  <c r="AJ228" i="9" s="1"/>
  <c r="AL228" i="9" s="1"/>
  <c r="AM228" i="9" s="1"/>
  <c r="X230" i="9"/>
  <c r="R231" i="9" s="1"/>
  <c r="E315" i="9"/>
  <c r="D315" i="9"/>
  <c r="P167" i="9"/>
  <c r="J168" i="9" s="1"/>
  <c r="F315" i="9" l="1"/>
  <c r="H315" i="9" s="1"/>
  <c r="B316" i="9" s="1"/>
  <c r="E316" i="9" s="1"/>
  <c r="AC232" i="9"/>
  <c r="AB232" i="9" s="1"/>
  <c r="AD232" i="9" s="1"/>
  <c r="AE232" i="9" s="1"/>
  <c r="U231" i="9"/>
  <c r="T231" i="9" s="1"/>
  <c r="V231" i="9" s="1"/>
  <c r="W231" i="9" s="1"/>
  <c r="AN228" i="9"/>
  <c r="AH229" i="9" s="1"/>
  <c r="M168" i="9"/>
  <c r="L168" i="9" s="1"/>
  <c r="N168" i="9" s="1"/>
  <c r="D316" i="9" l="1"/>
  <c r="F316" i="9"/>
  <c r="H316" i="9" s="1"/>
  <c r="B317" i="9" s="1"/>
  <c r="AF232" i="9"/>
  <c r="Z233" i="9" s="1"/>
  <c r="AK229" i="9"/>
  <c r="AJ229" i="9" s="1"/>
  <c r="AL229" i="9" s="1"/>
  <c r="AM229" i="9" s="1"/>
  <c r="AN229" i="9" s="1"/>
  <c r="AH230" i="9" s="1"/>
  <c r="X231" i="9"/>
  <c r="R232" i="9" s="1"/>
  <c r="E317" i="9"/>
  <c r="D317" i="9"/>
  <c r="O168" i="9"/>
  <c r="P168" i="9" s="1"/>
  <c r="J169" i="9" s="1"/>
  <c r="F317" i="9" l="1"/>
  <c r="H317" i="9" s="1"/>
  <c r="B318" i="9" s="1"/>
  <c r="E318" i="9" s="1"/>
  <c r="AC233" i="9"/>
  <c r="AB233" i="9"/>
  <c r="AD233" i="9" s="1"/>
  <c r="AE233" i="9" s="1"/>
  <c r="AK230" i="9"/>
  <c r="AJ230" i="9" s="1"/>
  <c r="AL230" i="9" s="1"/>
  <c r="AM230" i="9" s="1"/>
  <c r="AN230" i="9" s="1"/>
  <c r="AH231" i="9" s="1"/>
  <c r="U232" i="9"/>
  <c r="T232" i="9" s="1"/>
  <c r="V232" i="9" s="1"/>
  <c r="W232" i="9" s="1"/>
  <c r="X232" i="9" s="1"/>
  <c r="R233" i="9" s="1"/>
  <c r="M169" i="9"/>
  <c r="D318" i="9" l="1"/>
  <c r="F318" i="9" s="1"/>
  <c r="H318" i="9" s="1"/>
  <c r="B319" i="9" s="1"/>
  <c r="AF233" i="9"/>
  <c r="Z234" i="9" s="1"/>
  <c r="AK231" i="9"/>
  <c r="AJ231" i="9" s="1"/>
  <c r="AL231" i="9" s="1"/>
  <c r="AM231" i="9" s="1"/>
  <c r="AN231" i="9" s="1"/>
  <c r="AH232" i="9" s="1"/>
  <c r="U233" i="9"/>
  <c r="T233" i="9" s="1"/>
  <c r="V233" i="9" s="1"/>
  <c r="W233" i="9" s="1"/>
  <c r="X233" i="9" s="1"/>
  <c r="R234" i="9" s="1"/>
  <c r="L169" i="9"/>
  <c r="N169" i="9" s="1"/>
  <c r="E319" i="9" l="1"/>
  <c r="D319" i="9"/>
  <c r="AC234" i="9"/>
  <c r="AB234" i="9" s="1"/>
  <c r="AD234" i="9" s="1"/>
  <c r="AE234" i="9" s="1"/>
  <c r="AF234" i="9" s="1"/>
  <c r="Z235" i="9" s="1"/>
  <c r="F319" i="9"/>
  <c r="H319" i="9" s="1"/>
  <c r="B320" i="9" s="1"/>
  <c r="E320" i="9" s="1"/>
  <c r="AK232" i="9"/>
  <c r="AJ232" i="9" s="1"/>
  <c r="AL232" i="9" s="1"/>
  <c r="AM232" i="9" s="1"/>
  <c r="U234" i="9"/>
  <c r="T234" i="9" s="1"/>
  <c r="V234" i="9" s="1"/>
  <c r="W234" i="9" s="1"/>
  <c r="X234" i="9" s="1"/>
  <c r="R235" i="9" s="1"/>
  <c r="O169" i="9"/>
  <c r="P169" i="9" s="1"/>
  <c r="J170" i="9" s="1"/>
  <c r="D320" i="9" l="1"/>
  <c r="F320" i="9" s="1"/>
  <c r="H320" i="9" s="1"/>
  <c r="B321" i="9" s="1"/>
  <c r="AC235" i="9"/>
  <c r="AB235" i="9" s="1"/>
  <c r="AD235" i="9" s="1"/>
  <c r="AE235" i="9" s="1"/>
  <c r="U235" i="9"/>
  <c r="T235" i="9" s="1"/>
  <c r="V235" i="9" s="1"/>
  <c r="W235" i="9" s="1"/>
  <c r="X235" i="9" s="1"/>
  <c r="R236" i="9" s="1"/>
  <c r="AN232" i="9"/>
  <c r="AH233" i="9" s="1"/>
  <c r="E321" i="9"/>
  <c r="D321" i="9"/>
  <c r="M170" i="9"/>
  <c r="L170" i="9" s="1"/>
  <c r="N170" i="9" s="1"/>
  <c r="AF235" i="9" l="1"/>
  <c r="Z236" i="9" s="1"/>
  <c r="F321" i="9"/>
  <c r="H321" i="9" s="1"/>
  <c r="B322" i="9" s="1"/>
  <c r="U236" i="9"/>
  <c r="T236" i="9" s="1"/>
  <c r="V236" i="9" s="1"/>
  <c r="W236" i="9" s="1"/>
  <c r="AK233" i="9"/>
  <c r="AJ233" i="9"/>
  <c r="D322" i="9"/>
  <c r="E322" i="9"/>
  <c r="O170" i="9"/>
  <c r="P170" i="9" s="1"/>
  <c r="AL233" i="9" l="1"/>
  <c r="AM233" i="9" s="1"/>
  <c r="AC236" i="9"/>
  <c r="AB236" i="9" s="1"/>
  <c r="AD236" i="9" s="1"/>
  <c r="AE236" i="9" s="1"/>
  <c r="AN233" i="9"/>
  <c r="AH234" i="9" s="1"/>
  <c r="AK234" i="9" s="1"/>
  <c r="AJ234" i="9" s="1"/>
  <c r="AL234" i="9" s="1"/>
  <c r="AM234" i="9" s="1"/>
  <c r="X236" i="9"/>
  <c r="R237" i="9" s="1"/>
  <c r="F322" i="9"/>
  <c r="H322" i="9" s="1"/>
  <c r="B323" i="9" s="1"/>
  <c r="J171" i="9"/>
  <c r="AF236" i="9" l="1"/>
  <c r="Z237" i="9" s="1"/>
  <c r="AC237" i="9" s="1"/>
  <c r="AB237" i="9" s="1"/>
  <c r="AD237" i="9" s="1"/>
  <c r="AE237" i="9" s="1"/>
  <c r="AF237" i="9" s="1"/>
  <c r="Z238" i="9" s="1"/>
  <c r="U237" i="9"/>
  <c r="T237" i="9" s="1"/>
  <c r="V237" i="9" s="1"/>
  <c r="W237" i="9" s="1"/>
  <c r="X237" i="9" s="1"/>
  <c r="R238" i="9" s="1"/>
  <c r="U238" i="9" s="1"/>
  <c r="T238" i="9" s="1"/>
  <c r="V238" i="9" s="1"/>
  <c r="W238" i="9" s="1"/>
  <c r="X238" i="9" s="1"/>
  <c r="R239" i="9" s="1"/>
  <c r="AN234" i="9"/>
  <c r="AH235" i="9" s="1"/>
  <c r="E323" i="9"/>
  <c r="D323" i="9"/>
  <c r="M171" i="9"/>
  <c r="L171" i="9" s="1"/>
  <c r="N171" i="9" s="1"/>
  <c r="AC238" i="9" l="1"/>
  <c r="AB238" i="9" s="1"/>
  <c r="AD238" i="9" s="1"/>
  <c r="F323" i="9"/>
  <c r="H323" i="9" s="1"/>
  <c r="B324" i="9" s="1"/>
  <c r="E324" i="9" s="1"/>
  <c r="U239" i="9"/>
  <c r="T239" i="9" s="1"/>
  <c r="V239" i="9" s="1"/>
  <c r="W239" i="9" s="1"/>
  <c r="X239" i="9" s="1"/>
  <c r="R240" i="9" s="1"/>
  <c r="AK235" i="9"/>
  <c r="AJ235" i="9" s="1"/>
  <c r="AL235" i="9" s="1"/>
  <c r="AM235" i="9" s="1"/>
  <c r="D324" i="9"/>
  <c r="O171" i="9"/>
  <c r="P171" i="9" s="1"/>
  <c r="AE238" i="9" l="1"/>
  <c r="AF238" i="9" s="1"/>
  <c r="Z239" i="9" s="1"/>
  <c r="AN235" i="9"/>
  <c r="AH236" i="9" s="1"/>
  <c r="U240" i="9"/>
  <c r="T240" i="9" s="1"/>
  <c r="V240" i="9" s="1"/>
  <c r="W240" i="9" s="1"/>
  <c r="X240" i="9" s="1"/>
  <c r="R241" i="9" s="1"/>
  <c r="F324" i="9"/>
  <c r="H324" i="9" s="1"/>
  <c r="B325" i="9" s="1"/>
  <c r="J172" i="9"/>
  <c r="AC239" i="9" l="1"/>
  <c r="AB239" i="9" s="1"/>
  <c r="AD239" i="9" s="1"/>
  <c r="AE239" i="9" s="1"/>
  <c r="U241" i="9"/>
  <c r="T241" i="9" s="1"/>
  <c r="V241" i="9" s="1"/>
  <c r="AK236" i="9"/>
  <c r="AJ236" i="9"/>
  <c r="E325" i="9"/>
  <c r="D325" i="9"/>
  <c r="M172" i="9"/>
  <c r="L172" i="9" s="1"/>
  <c r="N172" i="9" s="1"/>
  <c r="AL236" i="9" l="1"/>
  <c r="AM236" i="9" s="1"/>
  <c r="AF239" i="9"/>
  <c r="Z240" i="9" s="1"/>
  <c r="F325" i="9"/>
  <c r="H325" i="9" s="1"/>
  <c r="B326" i="9" s="1"/>
  <c r="D326" i="9" s="1"/>
  <c r="W241" i="9"/>
  <c r="X241" i="9" s="1"/>
  <c r="R242" i="9" s="1"/>
  <c r="AN236" i="9"/>
  <c r="AH237" i="9" s="1"/>
  <c r="O172" i="9"/>
  <c r="P172" i="9" s="1"/>
  <c r="AC240" i="9" l="1"/>
  <c r="AB240" i="9" s="1"/>
  <c r="AD240" i="9" s="1"/>
  <c r="AE240" i="9" s="1"/>
  <c r="AF240" i="9" s="1"/>
  <c r="Z241" i="9" s="1"/>
  <c r="E326" i="9"/>
  <c r="W242" i="9"/>
  <c r="T242" i="9"/>
  <c r="U242" i="9"/>
  <c r="AJ237" i="9"/>
  <c r="AK237" i="9"/>
  <c r="F326" i="9"/>
  <c r="H326" i="9" s="1"/>
  <c r="B327" i="9" s="1"/>
  <c r="J173" i="9"/>
  <c r="AL237" i="9" l="1"/>
  <c r="AM237" i="9" s="1"/>
  <c r="AC241" i="9"/>
  <c r="AB241" i="9"/>
  <c r="AD241" i="9" s="1"/>
  <c r="AE241" i="9" s="1"/>
  <c r="V242" i="9"/>
  <c r="X242" i="9" s="1"/>
  <c r="R243" i="9" s="1"/>
  <c r="E327" i="9"/>
  <c r="D327" i="9"/>
  <c r="F327" i="9" s="1"/>
  <c r="H327" i="9" s="1"/>
  <c r="B328" i="9" s="1"/>
  <c r="M173" i="9"/>
  <c r="L173" i="9" s="1"/>
  <c r="N173" i="9" s="1"/>
  <c r="AN237" i="9" l="1"/>
  <c r="AH238" i="9" s="1"/>
  <c r="AJ238" i="9" s="1"/>
  <c r="AF241" i="9"/>
  <c r="Z242" i="9" s="1"/>
  <c r="T243" i="9"/>
  <c r="U243" i="9"/>
  <c r="W243" i="9"/>
  <c r="E328" i="9"/>
  <c r="D328" i="9"/>
  <c r="F328" i="9" s="1"/>
  <c r="H328" i="9" s="1"/>
  <c r="B329" i="9" s="1"/>
  <c r="O173" i="9"/>
  <c r="P173" i="9" s="1"/>
  <c r="AK238" i="9" l="1"/>
  <c r="AL238" i="9" s="1"/>
  <c r="AM238" i="9" s="1"/>
  <c r="AC242" i="9"/>
  <c r="AB242" i="9" s="1"/>
  <c r="AD242" i="9" s="1"/>
  <c r="V243" i="9"/>
  <c r="X243" i="9" s="1"/>
  <c r="R244" i="9" s="1"/>
  <c r="E329" i="9"/>
  <c r="D329" i="9"/>
  <c r="F329" i="9" s="1"/>
  <c r="H329" i="9" s="1"/>
  <c r="B330" i="9" s="1"/>
  <c r="J174" i="9"/>
  <c r="AN238" i="9" l="1"/>
  <c r="AH239" i="9" s="1"/>
  <c r="AK239" i="9" s="1"/>
  <c r="AJ239" i="9" s="1"/>
  <c r="AL239" i="9" s="1"/>
  <c r="AE242" i="9"/>
  <c r="AF242" i="9" s="1"/>
  <c r="Z243" i="9" s="1"/>
  <c r="W244" i="9"/>
  <c r="U244" i="9"/>
  <c r="T244" i="9"/>
  <c r="V244" i="9" s="1"/>
  <c r="X244" i="9" s="1"/>
  <c r="R245" i="9" s="1"/>
  <c r="E330" i="9"/>
  <c r="D330" i="9"/>
  <c r="F330" i="9" s="1"/>
  <c r="H330" i="9" s="1"/>
  <c r="B331" i="9" s="1"/>
  <c r="M174" i="9"/>
  <c r="L174" i="9"/>
  <c r="N174" i="9" s="1"/>
  <c r="O174" i="9" s="1"/>
  <c r="P174" i="9" s="1"/>
  <c r="AC243" i="9" l="1"/>
  <c r="AB243" i="9" s="1"/>
  <c r="AD243" i="9" s="1"/>
  <c r="W245" i="9"/>
  <c r="U245" i="9"/>
  <c r="T245" i="9"/>
  <c r="AM239" i="9"/>
  <c r="AN239" i="9" s="1"/>
  <c r="AH240" i="9" s="1"/>
  <c r="E331" i="9"/>
  <c r="D331" i="9"/>
  <c r="F331" i="9" s="1"/>
  <c r="H331" i="9" s="1"/>
  <c r="B332" i="9" s="1"/>
  <c r="J175" i="9"/>
  <c r="V245" i="9" l="1"/>
  <c r="X245" i="9" s="1"/>
  <c r="R246" i="9" s="1"/>
  <c r="AE243" i="9"/>
  <c r="AF243" i="9" s="1"/>
  <c r="Z244" i="9" s="1"/>
  <c r="AK240" i="9"/>
  <c r="AJ240" i="9" s="1"/>
  <c r="AL240" i="9" s="1"/>
  <c r="D332" i="9"/>
  <c r="E332" i="9"/>
  <c r="M175" i="9"/>
  <c r="L175" i="9" s="1"/>
  <c r="N175" i="9" s="1"/>
  <c r="AC244" i="9" l="1"/>
  <c r="AB244" i="9" s="1"/>
  <c r="AD244" i="9" s="1"/>
  <c r="AE244" i="9" s="1"/>
  <c r="T246" i="9"/>
  <c r="U246" i="9"/>
  <c r="W246" i="9"/>
  <c r="AM240" i="9"/>
  <c r="AN240" i="9" s="1"/>
  <c r="AH241" i="9" s="1"/>
  <c r="F332" i="9"/>
  <c r="H332" i="9" s="1"/>
  <c r="B333" i="9" s="1"/>
  <c r="O175" i="9"/>
  <c r="P175" i="9" s="1"/>
  <c r="J176" i="9" s="1"/>
  <c r="AF244" i="9" l="1"/>
  <c r="Z245" i="9" s="1"/>
  <c r="AK241" i="9"/>
  <c r="AJ241" i="9"/>
  <c r="AL241" i="9" s="1"/>
  <c r="AM241" i="9" s="1"/>
  <c r="V246" i="9"/>
  <c r="X246" i="9" s="1"/>
  <c r="R247" i="9" s="1"/>
  <c r="E333" i="9"/>
  <c r="D333" i="9"/>
  <c r="M176" i="9"/>
  <c r="L176" i="9" s="1"/>
  <c r="N176" i="9" s="1"/>
  <c r="AC245" i="9" l="1"/>
  <c r="AB245" i="9" s="1"/>
  <c r="AD245" i="9" s="1"/>
  <c r="AE245" i="9" s="1"/>
  <c r="AF245" i="9" s="1"/>
  <c r="Z246" i="9" s="1"/>
  <c r="F333" i="9"/>
  <c r="H333" i="9" s="1"/>
  <c r="B334" i="9" s="1"/>
  <c r="T247" i="9"/>
  <c r="W247" i="9"/>
  <c r="U247" i="9"/>
  <c r="AN241" i="9"/>
  <c r="AH242" i="9" s="1"/>
  <c r="E334" i="9"/>
  <c r="D334" i="9"/>
  <c r="F334" i="9" s="1"/>
  <c r="H334" i="9" s="1"/>
  <c r="B335" i="9" s="1"/>
  <c r="O176" i="9"/>
  <c r="P176" i="9" s="1"/>
  <c r="J177" i="9" s="1"/>
  <c r="AC246" i="9" l="1"/>
  <c r="AB246" i="9"/>
  <c r="AD246" i="9" s="1"/>
  <c r="AE246" i="9" s="1"/>
  <c r="AK242" i="9"/>
  <c r="AJ242" i="9"/>
  <c r="AM242" i="9"/>
  <c r="V247" i="9"/>
  <c r="X247" i="9" s="1"/>
  <c r="R248" i="9" s="1"/>
  <c r="D335" i="9"/>
  <c r="E335" i="9"/>
  <c r="M177" i="9"/>
  <c r="L177" i="9" s="1"/>
  <c r="N177" i="9" s="1"/>
  <c r="AL242" i="9" l="1"/>
  <c r="AN242" i="9" s="1"/>
  <c r="AH243" i="9" s="1"/>
  <c r="AF246" i="9"/>
  <c r="Z247" i="9" s="1"/>
  <c r="T248" i="9"/>
  <c r="U248" i="9"/>
  <c r="W248" i="9"/>
  <c r="F335" i="9"/>
  <c r="H335" i="9" s="1"/>
  <c r="B336" i="9" s="1"/>
  <c r="O177" i="9"/>
  <c r="P177" i="9" s="1"/>
  <c r="J178" i="9" s="1"/>
  <c r="AC247" i="9" l="1"/>
  <c r="AB247" i="9" s="1"/>
  <c r="AD247" i="9" s="1"/>
  <c r="AE247" i="9"/>
  <c r="AF247" i="9" s="1"/>
  <c r="Z248" i="9" s="1"/>
  <c r="V248" i="9"/>
  <c r="X248" i="9" s="1"/>
  <c r="R249" i="9" s="1"/>
  <c r="U249" i="9" s="1"/>
  <c r="AM243" i="9"/>
  <c r="AK243" i="9"/>
  <c r="AJ243" i="9"/>
  <c r="AL243" i="9" s="1"/>
  <c r="AN243" i="9" s="1"/>
  <c r="AH244" i="9" s="1"/>
  <c r="D336" i="9"/>
  <c r="E336" i="9"/>
  <c r="M178" i="9"/>
  <c r="L178" i="9" s="1"/>
  <c r="N178" i="9" s="1"/>
  <c r="AC248" i="9" l="1"/>
  <c r="AB248" i="9" s="1"/>
  <c r="AD248" i="9" s="1"/>
  <c r="AE248" i="9"/>
  <c r="W249" i="9"/>
  <c r="T249" i="9"/>
  <c r="V249" i="9" s="1"/>
  <c r="AK244" i="9"/>
  <c r="AM244" i="9"/>
  <c r="AJ244" i="9"/>
  <c r="X249" i="9"/>
  <c r="R250" i="9" s="1"/>
  <c r="F336" i="9"/>
  <c r="H336" i="9" s="1"/>
  <c r="B337" i="9" s="1"/>
  <c r="O178" i="9"/>
  <c r="P178" i="9" s="1"/>
  <c r="J179" i="9" s="1"/>
  <c r="AF248" i="9" l="1"/>
  <c r="Z249" i="9" s="1"/>
  <c r="AC249" i="9" s="1"/>
  <c r="AB249" i="9" s="1"/>
  <c r="AD249" i="9" s="1"/>
  <c r="AE249" i="9" s="1"/>
  <c r="AF249" i="9" s="1"/>
  <c r="Z250" i="9" s="1"/>
  <c r="U250" i="9"/>
  <c r="W250" i="9"/>
  <c r="T250" i="9"/>
  <c r="AL244" i="9"/>
  <c r="AN244" i="9" s="1"/>
  <c r="AH245" i="9" s="1"/>
  <c r="E337" i="9"/>
  <c r="D337" i="9"/>
  <c r="F337" i="9" s="1"/>
  <c r="H337" i="9" s="1"/>
  <c r="B338" i="9" s="1"/>
  <c r="M179" i="9"/>
  <c r="L179" i="9" s="1"/>
  <c r="N179" i="9" s="1"/>
  <c r="AC250" i="9" l="1"/>
  <c r="AB250" i="9" s="1"/>
  <c r="AD250" i="9" s="1"/>
  <c r="AE250" i="9" s="1"/>
  <c r="AM245" i="9"/>
  <c r="AJ245" i="9"/>
  <c r="AK245" i="9"/>
  <c r="V250" i="9"/>
  <c r="X250" i="9" s="1"/>
  <c r="R251" i="9" s="1"/>
  <c r="D338" i="9"/>
  <c r="E338" i="9"/>
  <c r="O179" i="9"/>
  <c r="P179" i="9" s="1"/>
  <c r="J180" i="9" s="1"/>
  <c r="AF250" i="9" l="1"/>
  <c r="Z251" i="9" s="1"/>
  <c r="W251" i="9"/>
  <c r="T251" i="9"/>
  <c r="U251" i="9"/>
  <c r="AL245" i="9"/>
  <c r="AN245" i="9" s="1"/>
  <c r="AH246" i="9" s="1"/>
  <c r="F338" i="9"/>
  <c r="H338" i="9" s="1"/>
  <c r="B339" i="9" s="1"/>
  <c r="M180" i="9"/>
  <c r="L180" i="9" s="1"/>
  <c r="N180" i="9" s="1"/>
  <c r="AC251" i="9" l="1"/>
  <c r="AB251" i="9" s="1"/>
  <c r="AD251" i="9" s="1"/>
  <c r="AE251" i="9" s="1"/>
  <c r="AJ246" i="9"/>
  <c r="AM246" i="9"/>
  <c r="AK246" i="9"/>
  <c r="V251" i="9"/>
  <c r="X251" i="9" s="1"/>
  <c r="R252" i="9" s="1"/>
  <c r="E339" i="9"/>
  <c r="D339" i="9"/>
  <c r="O180" i="9"/>
  <c r="P180" i="9" s="1"/>
  <c r="J181" i="9" s="1"/>
  <c r="F339" i="9" l="1"/>
  <c r="H339" i="9" s="1"/>
  <c r="B340" i="9" s="1"/>
  <c r="AL246" i="9"/>
  <c r="AN246" i="9" s="1"/>
  <c r="AH247" i="9" s="1"/>
  <c r="AJ247" i="9" s="1"/>
  <c r="AF251" i="9"/>
  <c r="Z252" i="9" s="1"/>
  <c r="AK247" i="9"/>
  <c r="AM247" i="9"/>
  <c r="T252" i="9"/>
  <c r="W252" i="9"/>
  <c r="U252" i="9"/>
  <c r="D340" i="9"/>
  <c r="E340" i="9"/>
  <c r="M181" i="9"/>
  <c r="AC252" i="9" l="1"/>
  <c r="AB252" i="9" s="1"/>
  <c r="AD252" i="9" s="1"/>
  <c r="AE252" i="9" s="1"/>
  <c r="AF252" i="9" s="1"/>
  <c r="Z253" i="9" s="1"/>
  <c r="AL247" i="9"/>
  <c r="AN247" i="9" s="1"/>
  <c r="AH248" i="9" s="1"/>
  <c r="AM248" i="9" s="1"/>
  <c r="V252" i="9"/>
  <c r="X252" i="9" s="1"/>
  <c r="R253" i="9" s="1"/>
  <c r="F340" i="9"/>
  <c r="H340" i="9" s="1"/>
  <c r="B341" i="9" s="1"/>
  <c r="L181" i="9"/>
  <c r="N181" i="9" s="1"/>
  <c r="AC253" i="9" l="1"/>
  <c r="AB253" i="9" s="1"/>
  <c r="AD253" i="9" s="1"/>
  <c r="AE253" i="9" s="1"/>
  <c r="AK248" i="9"/>
  <c r="AJ248" i="9"/>
  <c r="W253" i="9"/>
  <c r="T253" i="9"/>
  <c r="U253" i="9"/>
  <c r="AL248" i="9"/>
  <c r="AN248" i="9" s="1"/>
  <c r="AH249" i="9" s="1"/>
  <c r="E341" i="9"/>
  <c r="D341" i="9"/>
  <c r="O181" i="9"/>
  <c r="F341" i="9" l="1"/>
  <c r="H341" i="9" s="1"/>
  <c r="B342" i="9" s="1"/>
  <c r="E342" i="9" s="1"/>
  <c r="AF253" i="9"/>
  <c r="Z254" i="9" s="1"/>
  <c r="AC254" i="9" s="1"/>
  <c r="AB254" i="9" s="1"/>
  <c r="AD254" i="9" s="1"/>
  <c r="AE254" i="9" s="1"/>
  <c r="AF254" i="9" s="1"/>
  <c r="Z255" i="9" s="1"/>
  <c r="AM249" i="9"/>
  <c r="AJ249" i="9"/>
  <c r="AK249" i="9"/>
  <c r="V253" i="9"/>
  <c r="X253" i="9" s="1"/>
  <c r="R254" i="9" s="1"/>
  <c r="P181" i="9"/>
  <c r="J182" i="9" s="1"/>
  <c r="D342" i="9" l="1"/>
  <c r="F342" i="9" s="1"/>
  <c r="H342" i="9" s="1"/>
  <c r="B343" i="9" s="1"/>
  <c r="AC255" i="9"/>
  <c r="AB255" i="9" s="1"/>
  <c r="AD255" i="9" s="1"/>
  <c r="AE255" i="9" s="1"/>
  <c r="W254" i="9"/>
  <c r="U254" i="9"/>
  <c r="T254" i="9"/>
  <c r="V254" i="9" s="1"/>
  <c r="AL249" i="9"/>
  <c r="AN249" i="9" s="1"/>
  <c r="AH250" i="9" s="1"/>
  <c r="E343" i="9"/>
  <c r="D343" i="9"/>
  <c r="F343" i="9" s="1"/>
  <c r="H343" i="9" s="1"/>
  <c r="B344" i="9" s="1"/>
  <c r="M182" i="9"/>
  <c r="L182" i="9" s="1"/>
  <c r="N182" i="9" s="1"/>
  <c r="X254" i="9" l="1"/>
  <c r="R255" i="9" s="1"/>
  <c r="AF255" i="9"/>
  <c r="Z256" i="9" s="1"/>
  <c r="AK250" i="9"/>
  <c r="AJ250" i="9"/>
  <c r="AM250" i="9"/>
  <c r="U255" i="9"/>
  <c r="W255" i="9"/>
  <c r="T255" i="9"/>
  <c r="D344" i="9"/>
  <c r="E344" i="9"/>
  <c r="O182" i="9"/>
  <c r="P182" i="9" s="1"/>
  <c r="AC256" i="9" l="1"/>
  <c r="AB256" i="9" s="1"/>
  <c r="AD256" i="9" s="1"/>
  <c r="V255" i="9"/>
  <c r="X255" i="9" s="1"/>
  <c r="R256" i="9" s="1"/>
  <c r="AL250" i="9"/>
  <c r="AN250" i="9" s="1"/>
  <c r="AH251" i="9" s="1"/>
  <c r="F344" i="9"/>
  <c r="H344" i="9" s="1"/>
  <c r="B345" i="9" s="1"/>
  <c r="J183" i="9"/>
  <c r="AE256" i="9" l="1"/>
  <c r="AF256" i="9" s="1"/>
  <c r="Z257" i="9" s="1"/>
  <c r="W256" i="9"/>
  <c r="U256" i="9"/>
  <c r="T256" i="9"/>
  <c r="V256" i="9" s="1"/>
  <c r="AK251" i="9"/>
  <c r="AM251" i="9"/>
  <c r="AJ251" i="9"/>
  <c r="D345" i="9"/>
  <c r="E345" i="9"/>
  <c r="M183" i="9"/>
  <c r="L183" i="9" s="1"/>
  <c r="N183" i="9" s="1"/>
  <c r="AL251" i="9" l="1"/>
  <c r="AN251" i="9" s="1"/>
  <c r="AH252" i="9" s="1"/>
  <c r="AC257" i="9"/>
  <c r="AB257" i="9" s="1"/>
  <c r="AD257" i="9" s="1"/>
  <c r="AM252" i="9"/>
  <c r="AJ252" i="9"/>
  <c r="AK252" i="9"/>
  <c r="X256" i="9"/>
  <c r="R257" i="9" s="1"/>
  <c r="F345" i="9"/>
  <c r="H345" i="9" s="1"/>
  <c r="B346" i="9" s="1"/>
  <c r="O183" i="9"/>
  <c r="AE257" i="9" l="1"/>
  <c r="AF257" i="9" s="1"/>
  <c r="Z258" i="9" s="1"/>
  <c r="W257" i="9"/>
  <c r="T257" i="9"/>
  <c r="U257" i="9"/>
  <c r="AL252" i="9"/>
  <c r="AN252" i="9" s="1"/>
  <c r="AH253" i="9" s="1"/>
  <c r="D346" i="9"/>
  <c r="E346" i="9"/>
  <c r="P183" i="9"/>
  <c r="AC258" i="9" l="1"/>
  <c r="AB258" i="9" s="1"/>
  <c r="AD258" i="9" s="1"/>
  <c r="AM253" i="9"/>
  <c r="AJ253" i="9"/>
  <c r="AK253" i="9"/>
  <c r="V257" i="9"/>
  <c r="X257" i="9" s="1"/>
  <c r="R258" i="9" s="1"/>
  <c r="F346" i="9"/>
  <c r="H346" i="9" s="1"/>
  <c r="B347" i="9" s="1"/>
  <c r="J184" i="9"/>
  <c r="AE258" i="9" l="1"/>
  <c r="AF258" i="9" s="1"/>
  <c r="Z259" i="9" s="1"/>
  <c r="T258" i="9"/>
  <c r="W258" i="9"/>
  <c r="U258" i="9"/>
  <c r="AL253" i="9"/>
  <c r="AN253" i="9" s="1"/>
  <c r="AH254" i="9" s="1"/>
  <c r="E347" i="9"/>
  <c r="D347" i="9"/>
  <c r="F347" i="9" s="1"/>
  <c r="H347" i="9" s="1"/>
  <c r="B348" i="9" s="1"/>
  <c r="M184" i="9"/>
  <c r="L184" i="9" s="1"/>
  <c r="N184" i="9" s="1"/>
  <c r="AC259" i="9" l="1"/>
  <c r="AB259" i="9" s="1"/>
  <c r="AD259" i="9" s="1"/>
  <c r="AJ254" i="9"/>
  <c r="AK254" i="9"/>
  <c r="AM254" i="9"/>
  <c r="V258" i="9"/>
  <c r="X258" i="9" s="1"/>
  <c r="R259" i="9" s="1"/>
  <c r="D348" i="9"/>
  <c r="E348" i="9"/>
  <c r="O184" i="9"/>
  <c r="P184" i="9" s="1"/>
  <c r="AL254" i="9" l="1"/>
  <c r="AN254" i="9" s="1"/>
  <c r="AH255" i="9" s="1"/>
  <c r="AM255" i="9" s="1"/>
  <c r="AE259" i="9"/>
  <c r="AF259" i="9" s="1"/>
  <c r="Z260" i="9" s="1"/>
  <c r="T259" i="9"/>
  <c r="W259" i="9"/>
  <c r="U259" i="9"/>
  <c r="F348" i="9"/>
  <c r="H348" i="9" s="1"/>
  <c r="B349" i="9" s="1"/>
  <c r="J185" i="9"/>
  <c r="AK255" i="9" l="1"/>
  <c r="AJ255" i="9"/>
  <c r="AC260" i="9"/>
  <c r="AB260" i="9" s="1"/>
  <c r="AD260" i="9" s="1"/>
  <c r="V259" i="9"/>
  <c r="X259" i="9" s="1"/>
  <c r="R260" i="9" s="1"/>
  <c r="W260" i="9" s="1"/>
  <c r="AL255" i="9"/>
  <c r="AN255" i="9" s="1"/>
  <c r="AH256" i="9" s="1"/>
  <c r="E349" i="9"/>
  <c r="D349" i="9"/>
  <c r="F349" i="9" s="1"/>
  <c r="H349" i="9" s="1"/>
  <c r="B350" i="9" s="1"/>
  <c r="M185" i="9"/>
  <c r="L185" i="9" s="1"/>
  <c r="N185" i="9" s="1"/>
  <c r="O185" i="9" s="1"/>
  <c r="T260" i="9" l="1"/>
  <c r="U260" i="9"/>
  <c r="AE260" i="9"/>
  <c r="AF260" i="9" s="1"/>
  <c r="Z261" i="9" s="1"/>
  <c r="AM256" i="9"/>
  <c r="AJ256" i="9"/>
  <c r="AK256" i="9"/>
  <c r="V260" i="9"/>
  <c r="X260" i="9" s="1"/>
  <c r="R261" i="9" s="1"/>
  <c r="D350" i="9"/>
  <c r="E350" i="9"/>
  <c r="P185" i="9"/>
  <c r="AC261" i="9" l="1"/>
  <c r="AE261" i="9"/>
  <c r="AB261" i="9"/>
  <c r="U261" i="9"/>
  <c r="W261" i="9"/>
  <c r="T261" i="9"/>
  <c r="AL256" i="9"/>
  <c r="AN256" i="9" s="1"/>
  <c r="AH257" i="9" s="1"/>
  <c r="F350" i="9"/>
  <c r="H350" i="9" s="1"/>
  <c r="B351" i="9" s="1"/>
  <c r="J186" i="9"/>
  <c r="AD261" i="9" l="1"/>
  <c r="AF261" i="9" s="1"/>
  <c r="Z262" i="9" s="1"/>
  <c r="AB262" i="9" s="1"/>
  <c r="AM257" i="9"/>
  <c r="AK257" i="9"/>
  <c r="AJ257" i="9"/>
  <c r="V261" i="9"/>
  <c r="X261" i="9" s="1"/>
  <c r="R262" i="9" s="1"/>
  <c r="E351" i="9"/>
  <c r="D351" i="9"/>
  <c r="F351" i="9" s="1"/>
  <c r="H351" i="9" s="1"/>
  <c r="B352" i="9" s="1"/>
  <c r="M186" i="9"/>
  <c r="L186" i="9" s="1"/>
  <c r="N186" i="9" s="1"/>
  <c r="AL257" i="9" l="1"/>
  <c r="AE262" i="9"/>
  <c r="AC262" i="9"/>
  <c r="AD262" i="9"/>
  <c r="AF262" i="9" s="1"/>
  <c r="Z263" i="9" s="1"/>
  <c r="AN257" i="9"/>
  <c r="AH258" i="9" s="1"/>
  <c r="AJ258" i="9" s="1"/>
  <c r="W262" i="9"/>
  <c r="U262" i="9"/>
  <c r="T262" i="9"/>
  <c r="E352" i="9"/>
  <c r="D352" i="9"/>
  <c r="O186" i="9"/>
  <c r="P186" i="9" s="1"/>
  <c r="AM258" i="9" l="1"/>
  <c r="AK258" i="9"/>
  <c r="AL258" i="9" s="1"/>
  <c r="AN258" i="9" s="1"/>
  <c r="AH259" i="9" s="1"/>
  <c r="F352" i="9"/>
  <c r="H352" i="9" s="1"/>
  <c r="B353" i="9" s="1"/>
  <c r="E353" i="9" s="1"/>
  <c r="AB263" i="9"/>
  <c r="AE263" i="9"/>
  <c r="AC263" i="9"/>
  <c r="V262" i="9"/>
  <c r="X262" i="9"/>
  <c r="R263" i="9" s="1"/>
  <c r="J187" i="9"/>
  <c r="AJ259" i="9" l="1"/>
  <c r="AM259" i="9"/>
  <c r="AK259" i="9"/>
  <c r="D353" i="9"/>
  <c r="AD263" i="9"/>
  <c r="AF263" i="9" s="1"/>
  <c r="Z264" i="9" s="1"/>
  <c r="F353" i="9"/>
  <c r="H353" i="9" s="1"/>
  <c r="B354" i="9" s="1"/>
  <c r="D354" i="9" s="1"/>
  <c r="AC264" i="9"/>
  <c r="AE264" i="9"/>
  <c r="AB264" i="9"/>
  <c r="AD264" i="9" s="1"/>
  <c r="AF264" i="9" s="1"/>
  <c r="Z265" i="9" s="1"/>
  <c r="AL259" i="9"/>
  <c r="AN259" i="9" s="1"/>
  <c r="AH260" i="9" s="1"/>
  <c r="AJ260" i="9" s="1"/>
  <c r="U263" i="9"/>
  <c r="W263" i="9"/>
  <c r="T263" i="9"/>
  <c r="M187" i="9"/>
  <c r="L187" i="9" s="1"/>
  <c r="N187" i="9" s="1"/>
  <c r="E354" i="9" l="1"/>
  <c r="V263" i="9"/>
  <c r="X263" i="9" s="1"/>
  <c r="R264" i="9" s="1"/>
  <c r="AC265" i="9"/>
  <c r="AE265" i="9"/>
  <c r="AB265" i="9"/>
  <c r="AK260" i="9"/>
  <c r="AL260" i="9" s="1"/>
  <c r="AM260" i="9"/>
  <c r="W264" i="9"/>
  <c r="T264" i="9"/>
  <c r="U264" i="9"/>
  <c r="F354" i="9"/>
  <c r="H354" i="9" s="1"/>
  <c r="B355" i="9" s="1"/>
  <c r="O187" i="9"/>
  <c r="P187" i="9" s="1"/>
  <c r="J188" i="9" s="1"/>
  <c r="AN260" i="9" l="1"/>
  <c r="AH261" i="9" s="1"/>
  <c r="AM261" i="9" s="1"/>
  <c r="AD265" i="9"/>
  <c r="AF265" i="9" s="1"/>
  <c r="Z266" i="9" s="1"/>
  <c r="AC266" i="9" s="1"/>
  <c r="AB266" i="9"/>
  <c r="AE266" i="9"/>
  <c r="V264" i="9"/>
  <c r="X264" i="9" s="1"/>
  <c r="R265" i="9" s="1"/>
  <c r="E355" i="9"/>
  <c r="D355" i="9"/>
  <c r="F355" i="9" s="1"/>
  <c r="H355" i="9" s="1"/>
  <c r="B356" i="9" s="1"/>
  <c r="M188" i="9"/>
  <c r="AD266" i="9" l="1"/>
  <c r="AJ261" i="9"/>
  <c r="AK261" i="9"/>
  <c r="AF266" i="9"/>
  <c r="Z267" i="9" s="1"/>
  <c r="T265" i="9"/>
  <c r="U265" i="9"/>
  <c r="W265" i="9"/>
  <c r="D356" i="9"/>
  <c r="E356" i="9"/>
  <c r="L188" i="9"/>
  <c r="AL261" i="9" l="1"/>
  <c r="AN261" i="9" s="1"/>
  <c r="AH262" i="9" s="1"/>
  <c r="V265" i="9"/>
  <c r="X265" i="9" s="1"/>
  <c r="R266" i="9" s="1"/>
  <c r="AB267" i="9"/>
  <c r="AC267" i="9"/>
  <c r="AE267" i="9"/>
  <c r="AK262" i="9"/>
  <c r="AM262" i="9"/>
  <c r="AJ262" i="9"/>
  <c r="T266" i="9"/>
  <c r="U266" i="9"/>
  <c r="W266" i="9"/>
  <c r="F356" i="9"/>
  <c r="H356" i="9" s="1"/>
  <c r="B357" i="9" s="1"/>
  <c r="N188" i="9"/>
  <c r="AD267" i="9" l="1"/>
  <c r="AF267" i="9" s="1"/>
  <c r="Z268" i="9" s="1"/>
  <c r="V266" i="9"/>
  <c r="X266" i="9" s="1"/>
  <c r="R267" i="9" s="1"/>
  <c r="T267" i="9" s="1"/>
  <c r="AL262" i="9"/>
  <c r="AN262" i="9" s="1"/>
  <c r="AH263" i="9" s="1"/>
  <c r="E357" i="9"/>
  <c r="D357" i="9"/>
  <c r="F357" i="9" s="1"/>
  <c r="H357" i="9" s="1"/>
  <c r="B358" i="9" s="1"/>
  <c r="O188" i="9"/>
  <c r="P188" i="9" s="1"/>
  <c r="J189" i="9" s="1"/>
  <c r="W267" i="9" l="1"/>
  <c r="U267" i="9"/>
  <c r="AB268" i="9"/>
  <c r="AC268" i="9"/>
  <c r="AE268" i="9"/>
  <c r="AM263" i="9"/>
  <c r="AK263" i="9"/>
  <c r="AJ263" i="9"/>
  <c r="V267" i="9"/>
  <c r="X267" i="9" s="1"/>
  <c r="R268" i="9" s="1"/>
  <c r="M189" i="9"/>
  <c r="L189" i="9" s="1"/>
  <c r="N189" i="9" s="1"/>
  <c r="O189" i="9" s="1"/>
  <c r="E358" i="9"/>
  <c r="D358" i="9"/>
  <c r="AD268" i="9" l="1"/>
  <c r="AF268" i="9" s="1"/>
  <c r="Z269" i="9" s="1"/>
  <c r="P189" i="9"/>
  <c r="J190" i="9" s="1"/>
  <c r="AL263" i="9"/>
  <c r="AN263" i="9" s="1"/>
  <c r="AH264" i="9" s="1"/>
  <c r="T268" i="9"/>
  <c r="W268" i="9"/>
  <c r="U268" i="9"/>
  <c r="M190" i="9"/>
  <c r="L190" i="9" s="1"/>
  <c r="N190" i="9" s="1"/>
  <c r="F358" i="9"/>
  <c r="H358" i="9" s="1"/>
  <c r="B359" i="9" s="1"/>
  <c r="AB269" i="9" l="1"/>
  <c r="AE269" i="9"/>
  <c r="AC269" i="9"/>
  <c r="AJ264" i="9"/>
  <c r="AK264" i="9"/>
  <c r="AM264" i="9"/>
  <c r="V268" i="9"/>
  <c r="X268" i="9" s="1"/>
  <c r="R269" i="9" s="1"/>
  <c r="O190" i="9"/>
  <c r="P190" i="9" s="1"/>
  <c r="J191" i="9" s="1"/>
  <c r="E359" i="9"/>
  <c r="D359" i="9"/>
  <c r="F359" i="9" l="1"/>
  <c r="H359" i="9" s="1"/>
  <c r="B360" i="9" s="1"/>
  <c r="AL264" i="9"/>
  <c r="AN264" i="9" s="1"/>
  <c r="AH265" i="9" s="1"/>
  <c r="AM265" i="9" s="1"/>
  <c r="AD269" i="9"/>
  <c r="AF269" i="9" s="1"/>
  <c r="Z270" i="9" s="1"/>
  <c r="W269" i="9"/>
  <c r="U269" i="9"/>
  <c r="T269" i="9"/>
  <c r="E360" i="9"/>
  <c r="D360" i="9"/>
  <c r="F360" i="9" s="1"/>
  <c r="H360" i="9" s="1"/>
  <c r="B361" i="9" s="1"/>
  <c r="M191" i="9"/>
  <c r="L191" i="9" s="1"/>
  <c r="N191" i="9" s="1"/>
  <c r="O191" i="9" s="1"/>
  <c r="AK265" i="9" l="1"/>
  <c r="AJ265" i="9"/>
  <c r="AE270" i="9"/>
  <c r="AC270" i="9"/>
  <c r="AB270" i="9"/>
  <c r="AD270" i="9" s="1"/>
  <c r="AF270" i="9" s="1"/>
  <c r="Z271" i="9" s="1"/>
  <c r="P191" i="9"/>
  <c r="J192" i="9" s="1"/>
  <c r="V269" i="9"/>
  <c r="X269" i="9" s="1"/>
  <c r="R270" i="9" s="1"/>
  <c r="T270" i="9" s="1"/>
  <c r="AL265" i="9"/>
  <c r="AN265" i="9" s="1"/>
  <c r="AH266" i="9" s="1"/>
  <c r="M192" i="9"/>
  <c r="L192" i="9" s="1"/>
  <c r="N192" i="9" s="1"/>
  <c r="D361" i="9"/>
  <c r="E361" i="9"/>
  <c r="W270" i="9" l="1"/>
  <c r="U270" i="9"/>
  <c r="V270" i="9" s="1"/>
  <c r="X270" i="9" s="1"/>
  <c r="R271" i="9" s="1"/>
  <c r="AE271" i="9"/>
  <c r="AC271" i="9"/>
  <c r="AB271" i="9"/>
  <c r="AD271" i="9" s="1"/>
  <c r="AF271" i="9" s="1"/>
  <c r="Z272" i="9" s="1"/>
  <c r="O192" i="9"/>
  <c r="P192" i="9" s="1"/>
  <c r="J193" i="9" s="1"/>
  <c r="M193" i="9" s="1"/>
  <c r="L193" i="9" s="1"/>
  <c r="N193" i="9" s="1"/>
  <c r="O193" i="9" s="1"/>
  <c r="P193" i="9" s="1"/>
  <c r="J194" i="9" s="1"/>
  <c r="AJ266" i="9"/>
  <c r="AK266" i="9"/>
  <c r="AM266" i="9"/>
  <c r="F21" i="7"/>
  <c r="E6" i="7"/>
  <c r="E7" i="7" s="1"/>
  <c r="F361" i="9"/>
  <c r="H361" i="9" s="1"/>
  <c r="D21" i="7" s="1" a="1"/>
  <c r="D21" i="7" s="1"/>
  <c r="E21" i="7" s="1"/>
  <c r="AB272" i="9" l="1"/>
  <c r="AC272" i="9"/>
  <c r="AE272" i="9"/>
  <c r="AL266" i="9"/>
  <c r="AN266" i="9" s="1"/>
  <c r="AH267" i="9" s="1"/>
  <c r="U271" i="9"/>
  <c r="T271" i="9"/>
  <c r="W271" i="9"/>
  <c r="M194" i="9"/>
  <c r="L194" i="9" s="1"/>
  <c r="N194" i="9" s="1"/>
  <c r="O194" i="9" s="1"/>
  <c r="P194" i="9" s="1"/>
  <c r="J195" i="9" s="1"/>
  <c r="E9" i="7"/>
  <c r="G21" i="7"/>
  <c r="V271" i="9" l="1"/>
  <c r="X271" i="9" s="1"/>
  <c r="R272" i="9" s="1"/>
  <c r="AD272" i="9"/>
  <c r="AF272" i="9" s="1"/>
  <c r="Z273" i="9" s="1"/>
  <c r="AM267" i="9"/>
  <c r="AK267" i="9"/>
  <c r="AJ267" i="9"/>
  <c r="T272" i="9"/>
  <c r="U272" i="9"/>
  <c r="W272" i="9"/>
  <c r="M195" i="9"/>
  <c r="L195" i="9" s="1"/>
  <c r="N195" i="9" s="1"/>
  <c r="O195" i="9" s="1"/>
  <c r="P195" i="9" s="1"/>
  <c r="J196" i="9" s="1"/>
  <c r="AL267" i="9" l="1"/>
  <c r="AN267" i="9" s="1"/>
  <c r="AH268" i="9" s="1"/>
  <c r="AM268" i="9" s="1"/>
  <c r="AB273" i="9"/>
  <c r="AC273" i="9"/>
  <c r="AE273" i="9"/>
  <c r="V272" i="9"/>
  <c r="X272" i="9" s="1"/>
  <c r="R273" i="9" s="1"/>
  <c r="U273" i="9" s="1"/>
  <c r="M196" i="9"/>
  <c r="L196" i="9"/>
  <c r="N196" i="9" s="1"/>
  <c r="O196" i="9" s="1"/>
  <c r="AK268" i="9" l="1"/>
  <c r="AJ268" i="9"/>
  <c r="AD273" i="9"/>
  <c r="AF273" i="9" s="1"/>
  <c r="Z274" i="9" s="1"/>
  <c r="W273" i="9"/>
  <c r="T273" i="9"/>
  <c r="V273" i="9" s="1"/>
  <c r="P196" i="9"/>
  <c r="J197" i="9" s="1"/>
  <c r="M197" i="9" s="1"/>
  <c r="L197" i="9" s="1"/>
  <c r="N197" i="9" s="1"/>
  <c r="X273" i="9"/>
  <c r="R274" i="9" s="1"/>
  <c r="AL268" i="9" l="1"/>
  <c r="AN268" i="9" s="1"/>
  <c r="AH269" i="9" s="1"/>
  <c r="AC274" i="9"/>
  <c r="AB274" i="9"/>
  <c r="AE274" i="9"/>
  <c r="O197" i="9"/>
  <c r="P197" i="9" s="1"/>
  <c r="J198" i="9" s="1"/>
  <c r="M198" i="9" s="1"/>
  <c r="AJ269" i="9"/>
  <c r="AK269" i="9"/>
  <c r="AM269" i="9"/>
  <c r="U274" i="9"/>
  <c r="T274" i="9"/>
  <c r="W274" i="9"/>
  <c r="AD274" i="9" l="1"/>
  <c r="AF274" i="9" s="1"/>
  <c r="Z275" i="9" s="1"/>
  <c r="AE275" i="9" s="1"/>
  <c r="L198" i="9"/>
  <c r="N198" i="9" s="1"/>
  <c r="O198" i="9" s="1"/>
  <c r="P198" i="9" s="1"/>
  <c r="J199" i="9" s="1"/>
  <c r="M199" i="9" s="1"/>
  <c r="L199" i="9" s="1"/>
  <c r="N199" i="9" s="1"/>
  <c r="AL269" i="9"/>
  <c r="AN269" i="9" s="1"/>
  <c r="AH270" i="9" s="1"/>
  <c r="V274" i="9"/>
  <c r="X274" i="9" s="1"/>
  <c r="R275" i="9" s="1"/>
  <c r="AC275" i="9" l="1"/>
  <c r="AB275" i="9"/>
  <c r="AD275" i="9"/>
  <c r="AF275" i="9" s="1"/>
  <c r="Z276" i="9" s="1"/>
  <c r="AJ270" i="9"/>
  <c r="AM270" i="9"/>
  <c r="AK270" i="9"/>
  <c r="O199" i="9"/>
  <c r="P199" i="9" s="1"/>
  <c r="J200" i="9" s="1"/>
  <c r="W275" i="9"/>
  <c r="T275" i="9"/>
  <c r="U275" i="9"/>
  <c r="AB276" i="9" l="1"/>
  <c r="AC276" i="9"/>
  <c r="AE276" i="9"/>
  <c r="M200" i="9"/>
  <c r="L200" i="9" s="1"/>
  <c r="N200" i="9" s="1"/>
  <c r="O200" i="9" s="1"/>
  <c r="P200" i="9" s="1"/>
  <c r="J201" i="9" s="1"/>
  <c r="AL270" i="9"/>
  <c r="AN270" i="9" s="1"/>
  <c r="AH271" i="9" s="1"/>
  <c r="V275" i="9"/>
  <c r="X275" i="9" s="1"/>
  <c r="R276" i="9" s="1"/>
  <c r="AD276" i="9" l="1"/>
  <c r="AF276" i="9" s="1"/>
  <c r="Z277" i="9" s="1"/>
  <c r="M201" i="9"/>
  <c r="L201" i="9" s="1"/>
  <c r="N201" i="9" s="1"/>
  <c r="O201" i="9" s="1"/>
  <c r="P201" i="9" s="1"/>
  <c r="J202" i="9" s="1"/>
  <c r="AK271" i="9"/>
  <c r="AJ271" i="9"/>
  <c r="AL271" i="9" s="1"/>
  <c r="AM271" i="9"/>
  <c r="U276" i="9"/>
  <c r="W276" i="9"/>
  <c r="T276" i="9"/>
  <c r="V276" i="9" s="1"/>
  <c r="X276" i="9" s="1"/>
  <c r="R277" i="9" s="1"/>
  <c r="AE277" i="9" l="1"/>
  <c r="AC277" i="9"/>
  <c r="AB277" i="9"/>
  <c r="AD277" i="9" s="1"/>
  <c r="AF277" i="9" s="1"/>
  <c r="Z278" i="9" s="1"/>
  <c r="M202" i="9"/>
  <c r="L202" i="9" s="1"/>
  <c r="N202" i="9" s="1"/>
  <c r="AN271" i="9"/>
  <c r="AH272" i="9" s="1"/>
  <c r="U277" i="9"/>
  <c r="T277" i="9"/>
  <c r="W277" i="9"/>
  <c r="O202" i="9" l="1"/>
  <c r="P202" i="9" s="1"/>
  <c r="J203" i="9" s="1"/>
  <c r="AC278" i="9"/>
  <c r="AE278" i="9"/>
  <c r="AB278" i="9"/>
  <c r="AD278" i="9" s="1"/>
  <c r="AF278" i="9" s="1"/>
  <c r="Z279" i="9" s="1"/>
  <c r="AJ272" i="9"/>
  <c r="AK272" i="9"/>
  <c r="AM272" i="9"/>
  <c r="V277" i="9"/>
  <c r="X277" i="9" s="1"/>
  <c r="R278" i="9" s="1"/>
  <c r="M203" i="9" l="1"/>
  <c r="L203" i="9" s="1"/>
  <c r="N203" i="9" s="1"/>
  <c r="O203" i="9" s="1"/>
  <c r="P203" i="9" s="1"/>
  <c r="J204" i="9" s="1"/>
  <c r="M204" i="9" s="1"/>
  <c r="L204" i="9" s="1"/>
  <c r="N204" i="9" s="1"/>
  <c r="O204" i="9" s="1"/>
  <c r="P204" i="9" s="1"/>
  <c r="J205" i="9" s="1"/>
  <c r="M205" i="9" s="1"/>
  <c r="L205" i="9" s="1"/>
  <c r="N205" i="9" s="1"/>
  <c r="O205" i="9" s="1"/>
  <c r="P205" i="9" s="1"/>
  <c r="J206" i="9" s="1"/>
  <c r="AL272" i="9"/>
  <c r="AN272" i="9" s="1"/>
  <c r="AH273" i="9" s="1"/>
  <c r="AM273" i="9" s="1"/>
  <c r="AE279" i="9"/>
  <c r="AB279" i="9"/>
  <c r="AC279" i="9"/>
  <c r="W278" i="9"/>
  <c r="U278" i="9"/>
  <c r="T278" i="9"/>
  <c r="V278" i="9" s="1"/>
  <c r="X278" i="9" s="1"/>
  <c r="R279" i="9" s="1"/>
  <c r="AK273" i="9" l="1"/>
  <c r="AJ273" i="9"/>
  <c r="AD279" i="9"/>
  <c r="AF279" i="9" s="1"/>
  <c r="Z280" i="9" s="1"/>
  <c r="AL273" i="9"/>
  <c r="AN273" i="9" s="1"/>
  <c r="AH274" i="9" s="1"/>
  <c r="T279" i="9"/>
  <c r="U279" i="9"/>
  <c r="W279" i="9"/>
  <c r="M206" i="9"/>
  <c r="L206" i="9" s="1"/>
  <c r="N206" i="9" s="1"/>
  <c r="O206" i="9" s="1"/>
  <c r="P206" i="9" s="1"/>
  <c r="J207" i="9" s="1"/>
  <c r="AB280" i="9" l="1"/>
  <c r="AC280" i="9"/>
  <c r="AE280" i="9"/>
  <c r="AM274" i="9"/>
  <c r="AJ274" i="9"/>
  <c r="AK274" i="9"/>
  <c r="V279" i="9"/>
  <c r="X279" i="9" s="1"/>
  <c r="R280" i="9" s="1"/>
  <c r="M207" i="9"/>
  <c r="L207" i="9" s="1"/>
  <c r="N207" i="9" s="1"/>
  <c r="O207" i="9" s="1"/>
  <c r="P207" i="9" s="1"/>
  <c r="J208" i="9" s="1"/>
  <c r="AD280" i="9" l="1"/>
  <c r="AF280" i="9" s="1"/>
  <c r="Z281" i="9" s="1"/>
  <c r="AL274" i="9"/>
  <c r="AN274" i="9" s="1"/>
  <c r="AH275" i="9" s="1"/>
  <c r="T280" i="9"/>
  <c r="W280" i="9"/>
  <c r="U280" i="9"/>
  <c r="M208" i="9"/>
  <c r="L208" i="9"/>
  <c r="N208" i="9" s="1"/>
  <c r="O208" i="9" s="1"/>
  <c r="AC281" i="9" l="1"/>
  <c r="AB281" i="9"/>
  <c r="AD281" i="9" s="1"/>
  <c r="AE281" i="9"/>
  <c r="AK275" i="9"/>
  <c r="AJ275" i="9"/>
  <c r="AL275" i="9" s="1"/>
  <c r="AM275" i="9"/>
  <c r="P208" i="9"/>
  <c r="J209" i="9" s="1"/>
  <c r="M209" i="9" s="1"/>
  <c r="L209" i="9" s="1"/>
  <c r="N209" i="9" s="1"/>
  <c r="O209" i="9" s="1"/>
  <c r="P209" i="9" s="1"/>
  <c r="J210" i="9" s="1"/>
  <c r="V280" i="9"/>
  <c r="X280" i="9" s="1"/>
  <c r="R281" i="9" s="1"/>
  <c r="AF281" i="9" l="1"/>
  <c r="Z282" i="9" s="1"/>
  <c r="AN275" i="9"/>
  <c r="AH276" i="9" s="1"/>
  <c r="T281" i="9"/>
  <c r="U281" i="9"/>
  <c r="W281" i="9"/>
  <c r="M210" i="9"/>
  <c r="L210" i="9"/>
  <c r="N210" i="9" s="1"/>
  <c r="O210" i="9" s="1"/>
  <c r="P210" i="9" s="1"/>
  <c r="J211" i="9" s="1"/>
  <c r="AB282" i="9" l="1"/>
  <c r="AC282" i="9"/>
  <c r="AE282" i="9"/>
  <c r="V281" i="9"/>
  <c r="X281" i="9" s="1"/>
  <c r="R282" i="9" s="1"/>
  <c r="AJ276" i="9"/>
  <c r="AM276" i="9"/>
  <c r="AK276" i="9"/>
  <c r="W282" i="9"/>
  <c r="T282" i="9"/>
  <c r="U282" i="9"/>
  <c r="M211" i="9"/>
  <c r="L211" i="9" s="1"/>
  <c r="N211" i="9" s="1"/>
  <c r="O211" i="9" s="1"/>
  <c r="P211" i="9" s="1"/>
  <c r="J212" i="9" s="1"/>
  <c r="AD282" i="9" l="1"/>
  <c r="AF282" i="9" s="1"/>
  <c r="Z283" i="9" s="1"/>
  <c r="AL276" i="9"/>
  <c r="AN276" i="9" s="1"/>
  <c r="AH277" i="9" s="1"/>
  <c r="V282" i="9"/>
  <c r="X282" i="9" s="1"/>
  <c r="R283" i="9" s="1"/>
  <c r="M212" i="9"/>
  <c r="L212" i="9" s="1"/>
  <c r="N212" i="9" s="1"/>
  <c r="O212" i="9" s="1"/>
  <c r="P212" i="9" s="1"/>
  <c r="J213" i="9" s="1"/>
  <c r="AE283" i="9" l="1"/>
  <c r="AB283" i="9"/>
  <c r="AC283" i="9"/>
  <c r="AJ277" i="9"/>
  <c r="AM277" i="9"/>
  <c r="AK277" i="9"/>
  <c r="W283" i="9"/>
  <c r="U283" i="9"/>
  <c r="T283" i="9"/>
  <c r="V283" i="9" s="1"/>
  <c r="X283" i="9" s="1"/>
  <c r="R284" i="9" s="1"/>
  <c r="M213" i="9"/>
  <c r="L213" i="9" s="1"/>
  <c r="N213" i="9" s="1"/>
  <c r="O213" i="9" s="1"/>
  <c r="P213" i="9" s="1"/>
  <c r="J214" i="9" s="1"/>
  <c r="AD283" i="9" l="1"/>
  <c r="AF283" i="9" s="1"/>
  <c r="Z284" i="9" s="1"/>
  <c r="AE284" i="9" s="1"/>
  <c r="AL277" i="9"/>
  <c r="AN277" i="9" s="1"/>
  <c r="AH278" i="9" s="1"/>
  <c r="U284" i="9"/>
  <c r="W284" i="9"/>
  <c r="T284" i="9"/>
  <c r="V284" i="9" s="1"/>
  <c r="X284" i="9" s="1"/>
  <c r="R285" i="9" s="1"/>
  <c r="M214" i="9"/>
  <c r="L214" i="9" s="1"/>
  <c r="N214" i="9" s="1"/>
  <c r="O214" i="9" s="1"/>
  <c r="P214" i="9" s="1"/>
  <c r="J215" i="9" s="1"/>
  <c r="AB284" i="9" l="1"/>
  <c r="AC284" i="9"/>
  <c r="AJ278" i="9"/>
  <c r="AM278" i="9"/>
  <c r="AK278" i="9"/>
  <c r="W285" i="9"/>
  <c r="U285" i="9"/>
  <c r="T285" i="9"/>
  <c r="V285" i="9" s="1"/>
  <c r="M215" i="9"/>
  <c r="L215" i="9" s="1"/>
  <c r="N215" i="9" s="1"/>
  <c r="O215" i="9" s="1"/>
  <c r="P215" i="9" s="1"/>
  <c r="J216" i="9" s="1"/>
  <c r="AD284" i="9" l="1"/>
  <c r="AF284" i="9" s="1"/>
  <c r="Z285" i="9" s="1"/>
  <c r="AB285" i="9" s="1"/>
  <c r="AE285" i="9"/>
  <c r="AC285" i="9"/>
  <c r="AL278" i="9"/>
  <c r="AN278" i="9" s="1"/>
  <c r="AH279" i="9" s="1"/>
  <c r="AJ279" i="9" s="1"/>
  <c r="AD285" i="9"/>
  <c r="AF285" i="9" s="1"/>
  <c r="Z286" i="9" s="1"/>
  <c r="X285" i="9"/>
  <c r="R286" i="9" s="1"/>
  <c r="M216" i="9"/>
  <c r="L216" i="9" s="1"/>
  <c r="N216" i="9" s="1"/>
  <c r="O216" i="9" s="1"/>
  <c r="AK279" i="9" l="1"/>
  <c r="AM279" i="9"/>
  <c r="AB286" i="9"/>
  <c r="AE286" i="9"/>
  <c r="AC286" i="9"/>
  <c r="P216" i="9"/>
  <c r="J217" i="9" s="1"/>
  <c r="AL279" i="9"/>
  <c r="AN279" i="9" s="1"/>
  <c r="AH280" i="9" s="1"/>
  <c r="U286" i="9"/>
  <c r="W286" i="9"/>
  <c r="T286" i="9"/>
  <c r="V286" i="9" s="1"/>
  <c r="X286" i="9" s="1"/>
  <c r="R287" i="9" s="1"/>
  <c r="M217" i="9"/>
  <c r="L217" i="9" s="1"/>
  <c r="N217" i="9" s="1"/>
  <c r="O217" i="9" s="1"/>
  <c r="P217" i="9" s="1"/>
  <c r="J218" i="9" s="1"/>
  <c r="AD286" i="9" l="1"/>
  <c r="AF286" i="9" s="1"/>
  <c r="Z287" i="9" s="1"/>
  <c r="AJ280" i="9"/>
  <c r="AM280" i="9"/>
  <c r="AK280" i="9"/>
  <c r="W287" i="9"/>
  <c r="T287" i="9"/>
  <c r="U287" i="9"/>
  <c r="M218" i="9"/>
  <c r="L218" i="9" s="1"/>
  <c r="N218" i="9" s="1"/>
  <c r="O218" i="9" s="1"/>
  <c r="P218" i="9" s="1"/>
  <c r="J219" i="9" s="1"/>
  <c r="AC287" i="9" l="1"/>
  <c r="AE287" i="9"/>
  <c r="AB287" i="9"/>
  <c r="AD287" i="9" s="1"/>
  <c r="AF287" i="9" s="1"/>
  <c r="Z288" i="9" s="1"/>
  <c r="AL280" i="9"/>
  <c r="AN280" i="9" s="1"/>
  <c r="AH281" i="9" s="1"/>
  <c r="V287" i="9"/>
  <c r="X287" i="9" s="1"/>
  <c r="R288" i="9" s="1"/>
  <c r="M219" i="9"/>
  <c r="L219" i="9" s="1"/>
  <c r="N219" i="9" s="1"/>
  <c r="O219" i="9" s="1"/>
  <c r="AE288" i="9" l="1"/>
  <c r="AB288" i="9"/>
  <c r="AC288" i="9"/>
  <c r="P219" i="9"/>
  <c r="J220" i="9" s="1"/>
  <c r="AM281" i="9"/>
  <c r="AJ281" i="9"/>
  <c r="AK281" i="9"/>
  <c r="U288" i="9"/>
  <c r="W288" i="9"/>
  <c r="T288" i="9"/>
  <c r="M220" i="9"/>
  <c r="L220" i="9" s="1"/>
  <c r="N220" i="9" s="1"/>
  <c r="AD288" i="9" l="1"/>
  <c r="AF288" i="9" s="1"/>
  <c r="Z289" i="9" s="1"/>
  <c r="AL281" i="9"/>
  <c r="AN281" i="9" s="1"/>
  <c r="AH282" i="9" s="1"/>
  <c r="V288" i="9"/>
  <c r="X288" i="9" s="1"/>
  <c r="R289" i="9" s="1"/>
  <c r="O220" i="9"/>
  <c r="P220" i="9" s="1"/>
  <c r="J221" i="9" s="1"/>
  <c r="AE289" i="9" l="1"/>
  <c r="AB289" i="9"/>
  <c r="AC289" i="9"/>
  <c r="AJ282" i="9"/>
  <c r="AK282" i="9"/>
  <c r="AM282" i="9"/>
  <c r="W289" i="9"/>
  <c r="T289" i="9"/>
  <c r="U289" i="9"/>
  <c r="M221" i="9"/>
  <c r="L221" i="9" s="1"/>
  <c r="N221" i="9" s="1"/>
  <c r="O221" i="9" s="1"/>
  <c r="P221" i="9" s="1"/>
  <c r="J222" i="9" s="1"/>
  <c r="AL282" i="9" l="1"/>
  <c r="AN282" i="9" s="1"/>
  <c r="AH283" i="9" s="1"/>
  <c r="AK283" i="9" s="1"/>
  <c r="AD289" i="9"/>
  <c r="AF289" i="9" s="1"/>
  <c r="Z290" i="9" s="1"/>
  <c r="V289" i="9"/>
  <c r="X289" i="9" s="1"/>
  <c r="R290" i="9" s="1"/>
  <c r="M222" i="9"/>
  <c r="L222" i="9"/>
  <c r="N222" i="9" s="1"/>
  <c r="O222" i="9" s="1"/>
  <c r="P222" i="9" s="1"/>
  <c r="J223" i="9" s="1"/>
  <c r="AJ283" i="9" l="1"/>
  <c r="AL283" i="9" s="1"/>
  <c r="AM283" i="9"/>
  <c r="AE290" i="9"/>
  <c r="AC290" i="9"/>
  <c r="AB290" i="9"/>
  <c r="AD290" i="9" s="1"/>
  <c r="AF290" i="9" s="1"/>
  <c r="Z291" i="9" s="1"/>
  <c r="U290" i="9"/>
  <c r="W290" i="9"/>
  <c r="T290" i="9"/>
  <c r="V290" i="9" s="1"/>
  <c r="X290" i="9" s="1"/>
  <c r="R291" i="9" s="1"/>
  <c r="M223" i="9"/>
  <c r="L223" i="9" s="1"/>
  <c r="N223" i="9" s="1"/>
  <c r="O223" i="9" s="1"/>
  <c r="P223" i="9" s="1"/>
  <c r="J224" i="9" s="1"/>
  <c r="AN283" i="9" l="1"/>
  <c r="AH284" i="9" s="1"/>
  <c r="AC291" i="9"/>
  <c r="AB291" i="9"/>
  <c r="AD291" i="9" s="1"/>
  <c r="AE291" i="9"/>
  <c r="AF291" i="9" s="1"/>
  <c r="Z292" i="9" s="1"/>
  <c r="AJ284" i="9"/>
  <c r="AK284" i="9"/>
  <c r="AM284" i="9"/>
  <c r="T291" i="9"/>
  <c r="W291" i="9"/>
  <c r="U291" i="9"/>
  <c r="M224" i="9"/>
  <c r="L224" i="9" s="1"/>
  <c r="N224" i="9" s="1"/>
  <c r="O224" i="9" s="1"/>
  <c r="P224" i="9" s="1"/>
  <c r="J225" i="9" s="1"/>
  <c r="AC292" i="9" l="1"/>
  <c r="AE292" i="9"/>
  <c r="AB292" i="9"/>
  <c r="AD292" i="9" s="1"/>
  <c r="AF292" i="9" s="1"/>
  <c r="Z293" i="9" s="1"/>
  <c r="V291" i="9"/>
  <c r="X291" i="9" s="1"/>
  <c r="R292" i="9" s="1"/>
  <c r="W292" i="9" s="1"/>
  <c r="AL284" i="9"/>
  <c r="AN284" i="9" s="1"/>
  <c r="AH285" i="9" s="1"/>
  <c r="M225" i="9"/>
  <c r="L225" i="9" s="1"/>
  <c r="N225" i="9" s="1"/>
  <c r="O225" i="9" s="1"/>
  <c r="P225" i="9" s="1"/>
  <c r="J226" i="9" s="1"/>
  <c r="U292" i="9" l="1"/>
  <c r="T292" i="9"/>
  <c r="AB293" i="9"/>
  <c r="AE293" i="9"/>
  <c r="AC293" i="9"/>
  <c r="AM285" i="9"/>
  <c r="AJ285" i="9"/>
  <c r="AK285" i="9"/>
  <c r="V292" i="9"/>
  <c r="X292" i="9" s="1"/>
  <c r="R293" i="9" s="1"/>
  <c r="M226" i="9"/>
  <c r="L226" i="9" s="1"/>
  <c r="N226" i="9" s="1"/>
  <c r="AD293" i="9" l="1"/>
  <c r="AF293" i="9" s="1"/>
  <c r="Z294" i="9" s="1"/>
  <c r="O226" i="9"/>
  <c r="P226" i="9" s="1"/>
  <c r="J227" i="9" s="1"/>
  <c r="M227" i="9" s="1"/>
  <c r="L227" i="9" s="1"/>
  <c r="N227" i="9" s="1"/>
  <c r="O227" i="9" s="1"/>
  <c r="AL285" i="9"/>
  <c r="AN285" i="9" s="1"/>
  <c r="AH286" i="9" s="1"/>
  <c r="W293" i="9"/>
  <c r="U293" i="9"/>
  <c r="T293" i="9"/>
  <c r="V293" i="9" s="1"/>
  <c r="X293" i="9" s="1"/>
  <c r="R294" i="9" s="1"/>
  <c r="AC294" i="9" l="1"/>
  <c r="AB294" i="9"/>
  <c r="AD294" i="9" s="1"/>
  <c r="AE294" i="9"/>
  <c r="AF294" i="9"/>
  <c r="Z295" i="9" s="1"/>
  <c r="AK286" i="9"/>
  <c r="AM286" i="9"/>
  <c r="AJ286" i="9"/>
  <c r="U294" i="9"/>
  <c r="W294" i="9"/>
  <c r="T294" i="9"/>
  <c r="V294" i="9" s="1"/>
  <c r="X294" i="9" s="1"/>
  <c r="R295" i="9" s="1"/>
  <c r="P227" i="9"/>
  <c r="J228" i="9" s="1"/>
  <c r="AL286" i="9" l="1"/>
  <c r="AN286" i="9" s="1"/>
  <c r="AH287" i="9" s="1"/>
  <c r="AB295" i="9"/>
  <c r="AC295" i="9"/>
  <c r="AE295" i="9"/>
  <c r="AK287" i="9"/>
  <c r="AJ287" i="9"/>
  <c r="AL287" i="9" s="1"/>
  <c r="AM287" i="9"/>
  <c r="T295" i="9"/>
  <c r="W295" i="9"/>
  <c r="U295" i="9"/>
  <c r="M228" i="9"/>
  <c r="L228" i="9" s="1"/>
  <c r="N228" i="9" s="1"/>
  <c r="O228" i="9" s="1"/>
  <c r="P228" i="9" s="1"/>
  <c r="J229" i="9" s="1"/>
  <c r="AD295" i="9" l="1"/>
  <c r="AF295" i="9" s="1"/>
  <c r="Z296" i="9" s="1"/>
  <c r="AN287" i="9"/>
  <c r="AH288" i="9" s="1"/>
  <c r="V295" i="9"/>
  <c r="X295" i="9" s="1"/>
  <c r="R296" i="9" s="1"/>
  <c r="M229" i="9"/>
  <c r="L229" i="9"/>
  <c r="N229" i="9" s="1"/>
  <c r="O229" i="9" s="1"/>
  <c r="P229" i="9" s="1"/>
  <c r="J230" i="9" s="1"/>
  <c r="AC296" i="9" l="1"/>
  <c r="AB296" i="9"/>
  <c r="AD296" i="9" s="1"/>
  <c r="AE296" i="9"/>
  <c r="AJ288" i="9"/>
  <c r="AM288" i="9"/>
  <c r="AK288" i="9"/>
  <c r="W296" i="9"/>
  <c r="U296" i="9"/>
  <c r="T296" i="9"/>
  <c r="V296" i="9" s="1"/>
  <c r="M230" i="9"/>
  <c r="L230" i="9" s="1"/>
  <c r="N230" i="9" s="1"/>
  <c r="AF296" i="9" l="1"/>
  <c r="Z297" i="9" s="1"/>
  <c r="AB297" i="9" s="1"/>
  <c r="AL288" i="9"/>
  <c r="AN288" i="9" s="1"/>
  <c r="AH289" i="9" s="1"/>
  <c r="AK289" i="9" s="1"/>
  <c r="X296" i="9"/>
  <c r="R297" i="9" s="1"/>
  <c r="O230" i="9"/>
  <c r="P230" i="9" s="1"/>
  <c r="J231" i="9" s="1"/>
  <c r="AE297" i="9" l="1"/>
  <c r="AC297" i="9"/>
  <c r="AJ289" i="9"/>
  <c r="AL289" i="9" s="1"/>
  <c r="AM289" i="9"/>
  <c r="AD297" i="9"/>
  <c r="AF297" i="9" s="1"/>
  <c r="Z298" i="9" s="1"/>
  <c r="U297" i="9"/>
  <c r="T297" i="9"/>
  <c r="V297" i="9" s="1"/>
  <c r="W297" i="9"/>
  <c r="M231" i="9"/>
  <c r="L231" i="9" s="1"/>
  <c r="N231" i="9" s="1"/>
  <c r="O231" i="9" s="1"/>
  <c r="P231" i="9" s="1"/>
  <c r="J232" i="9" s="1"/>
  <c r="AN289" i="9" l="1"/>
  <c r="AH290" i="9" s="1"/>
  <c r="AM290" i="9" s="1"/>
  <c r="AE298" i="9"/>
  <c r="AC298" i="9"/>
  <c r="AB298" i="9"/>
  <c r="AD298" i="9" s="1"/>
  <c r="AF298" i="9" s="1"/>
  <c r="Z299" i="9" s="1"/>
  <c r="X297" i="9"/>
  <c r="R298" i="9" s="1"/>
  <c r="U298" i="9" s="1"/>
  <c r="M232" i="9"/>
  <c r="L232" i="9" s="1"/>
  <c r="N232" i="9" s="1"/>
  <c r="T298" i="9" l="1"/>
  <c r="V298" i="9" s="1"/>
  <c r="W298" i="9"/>
  <c r="AJ290" i="9"/>
  <c r="AK290" i="9"/>
  <c r="AB299" i="9"/>
  <c r="AC299" i="9"/>
  <c r="AE299" i="9"/>
  <c r="O232" i="9"/>
  <c r="P232" i="9" s="1"/>
  <c r="J233" i="9" s="1"/>
  <c r="X298" i="9" l="1"/>
  <c r="R299" i="9" s="1"/>
  <c r="AL290" i="9"/>
  <c r="AN290" i="9" s="1"/>
  <c r="AH291" i="9" s="1"/>
  <c r="AM291" i="9" s="1"/>
  <c r="AD299" i="9"/>
  <c r="AF299" i="9" s="1"/>
  <c r="Z300" i="9" s="1"/>
  <c r="W299" i="9"/>
  <c r="T299" i="9"/>
  <c r="U299" i="9"/>
  <c r="M233" i="9"/>
  <c r="L233" i="9" s="1"/>
  <c r="N233" i="9" s="1"/>
  <c r="O233" i="9" s="1"/>
  <c r="P233" i="9" s="1"/>
  <c r="J234" i="9" s="1"/>
  <c r="AJ291" i="9" l="1"/>
  <c r="AK291" i="9"/>
  <c r="AC300" i="9"/>
  <c r="AB300" i="9"/>
  <c r="AE300" i="9"/>
  <c r="V299" i="9"/>
  <c r="X299" i="9" s="1"/>
  <c r="R300" i="9" s="1"/>
  <c r="M234" i="9"/>
  <c r="L234" i="9"/>
  <c r="N234" i="9" s="1"/>
  <c r="O234" i="9" s="1"/>
  <c r="P234" i="9" s="1"/>
  <c r="J235" i="9" s="1"/>
  <c r="AD300" i="9" l="1"/>
  <c r="AL291" i="9"/>
  <c r="AN291" i="9" s="1"/>
  <c r="AH292" i="9" s="1"/>
  <c r="AF300" i="9"/>
  <c r="Z301" i="9" s="1"/>
  <c r="T300" i="9"/>
  <c r="W300" i="9"/>
  <c r="U300" i="9"/>
  <c r="M235" i="9"/>
  <c r="L235" i="9" s="1"/>
  <c r="N235" i="9" s="1"/>
  <c r="AJ292" i="9" l="1"/>
  <c r="AK292" i="9"/>
  <c r="AM292" i="9"/>
  <c r="AE301" i="9"/>
  <c r="AC301" i="9"/>
  <c r="AB301" i="9"/>
  <c r="AD301" i="9" s="1"/>
  <c r="AF301" i="9" s="1"/>
  <c r="Z302" i="9" s="1"/>
  <c r="V300" i="9"/>
  <c r="X300" i="9" s="1"/>
  <c r="R301" i="9" s="1"/>
  <c r="W301" i="9" s="1"/>
  <c r="O235" i="9"/>
  <c r="P235" i="9" s="1"/>
  <c r="J236" i="9" s="1"/>
  <c r="AL292" i="9" l="1"/>
  <c r="AN292" i="9" s="1"/>
  <c r="AH293" i="9" s="1"/>
  <c r="AM293" i="9" s="1"/>
  <c r="AC302" i="9"/>
  <c r="AE302" i="9"/>
  <c r="AB302" i="9"/>
  <c r="AD302" i="9" s="1"/>
  <c r="AF302" i="9" s="1"/>
  <c r="Z303" i="9" s="1"/>
  <c r="M236" i="9"/>
  <c r="L236" i="9" s="1"/>
  <c r="N236" i="9" s="1"/>
  <c r="O236" i="9" s="1"/>
  <c r="P236" i="9" s="1"/>
  <c r="J237" i="9" s="1"/>
  <c r="M237" i="9" s="1"/>
  <c r="L237" i="9" s="1"/>
  <c r="N237" i="9" s="1"/>
  <c r="T301" i="9"/>
  <c r="U301" i="9"/>
  <c r="AK293" i="9" l="1"/>
  <c r="AJ293" i="9"/>
  <c r="AL293" i="9"/>
  <c r="AN293" i="9" s="1"/>
  <c r="AH294" i="9" s="1"/>
  <c r="AC303" i="9"/>
  <c r="AB303" i="9"/>
  <c r="AE303" i="9"/>
  <c r="O237" i="9"/>
  <c r="P237" i="9" s="1"/>
  <c r="J238" i="9" s="1"/>
  <c r="M238" i="9" s="1"/>
  <c r="L238" i="9" s="1"/>
  <c r="N238" i="9" s="1"/>
  <c r="V301" i="9"/>
  <c r="X301" i="9" s="1"/>
  <c r="R302" i="9" s="1"/>
  <c r="W302" i="9" s="1"/>
  <c r="AJ294" i="9" l="1"/>
  <c r="AM294" i="9"/>
  <c r="AK294" i="9"/>
  <c r="AD303" i="9"/>
  <c r="AF303" i="9" s="1"/>
  <c r="Z304" i="9" s="1"/>
  <c r="O238" i="9"/>
  <c r="P238" i="9" s="1"/>
  <c r="J239" i="9" s="1"/>
  <c r="M239" i="9" s="1"/>
  <c r="L239" i="9" s="1"/>
  <c r="N239" i="9" s="1"/>
  <c r="O239" i="9" s="1"/>
  <c r="P239" i="9" s="1"/>
  <c r="J240" i="9" s="1"/>
  <c r="U302" i="9"/>
  <c r="T302" i="9"/>
  <c r="V302" i="9" l="1"/>
  <c r="X302" i="9" s="1"/>
  <c r="R303" i="9" s="1"/>
  <c r="AL294" i="9"/>
  <c r="AN294" i="9" s="1"/>
  <c r="AH295" i="9" s="1"/>
  <c r="AE304" i="9"/>
  <c r="AC304" i="9"/>
  <c r="AB304" i="9"/>
  <c r="T303" i="9"/>
  <c r="U303" i="9"/>
  <c r="W303" i="9"/>
  <c r="M240" i="9"/>
  <c r="L240" i="9" s="1"/>
  <c r="N240" i="9" s="1"/>
  <c r="O240" i="9" s="1"/>
  <c r="P240" i="9" s="1"/>
  <c r="J241" i="9" s="1"/>
  <c r="AD304" i="9" l="1"/>
  <c r="AF304" i="9" s="1"/>
  <c r="Z305" i="9" s="1"/>
  <c r="AM295" i="9"/>
  <c r="AJ295" i="9"/>
  <c r="AK295" i="9"/>
  <c r="AC305" i="9"/>
  <c r="AE305" i="9"/>
  <c r="AB305" i="9"/>
  <c r="AD305" i="9" s="1"/>
  <c r="AF305" i="9" s="1"/>
  <c r="Z306" i="9" s="1"/>
  <c r="V303" i="9"/>
  <c r="X303" i="9" s="1"/>
  <c r="R304" i="9" s="1"/>
  <c r="T304" i="9" s="1"/>
  <c r="M241" i="9"/>
  <c r="L241" i="9"/>
  <c r="N241" i="9" s="1"/>
  <c r="O241" i="9" s="1"/>
  <c r="P241" i="9" s="1"/>
  <c r="J242" i="9" s="1"/>
  <c r="AL295" i="9" l="1"/>
  <c r="AN295" i="9" s="1"/>
  <c r="AH296" i="9" s="1"/>
  <c r="AE306" i="9"/>
  <c r="AB306" i="9"/>
  <c r="AC306" i="9"/>
  <c r="U304" i="9"/>
  <c r="V304" i="9" s="1"/>
  <c r="W304" i="9"/>
  <c r="M242" i="9"/>
  <c r="L242" i="9" s="1"/>
  <c r="N242" i="9" s="1"/>
  <c r="O242" i="9" s="1"/>
  <c r="P242" i="9" s="1"/>
  <c r="J243" i="9" s="1"/>
  <c r="AJ296" i="9" l="1"/>
  <c r="AK296" i="9"/>
  <c r="AM296" i="9"/>
  <c r="X304" i="9"/>
  <c r="R305" i="9" s="1"/>
  <c r="T305" i="9" s="1"/>
  <c r="AD306" i="9"/>
  <c r="AF306" i="9" s="1"/>
  <c r="Z307" i="9" s="1"/>
  <c r="L243" i="9"/>
  <c r="O243" i="9"/>
  <c r="M243" i="9"/>
  <c r="AL296" i="9" l="1"/>
  <c r="AN296" i="9" s="1"/>
  <c r="AH297" i="9" s="1"/>
  <c r="U305" i="9"/>
  <c r="W305" i="9"/>
  <c r="AE307" i="9"/>
  <c r="AB307" i="9"/>
  <c r="AC307" i="9"/>
  <c r="V305" i="9"/>
  <c r="X305" i="9" s="1"/>
  <c r="R306" i="9" s="1"/>
  <c r="N243" i="9"/>
  <c r="P243" i="9" s="1"/>
  <c r="J244" i="9" s="1"/>
  <c r="AM297" i="9" l="1"/>
  <c r="AJ297" i="9"/>
  <c r="AK297" i="9"/>
  <c r="AD307" i="9"/>
  <c r="AF307" i="9" s="1"/>
  <c r="Z308" i="9" s="1"/>
  <c r="U306" i="9"/>
  <c r="T306" i="9"/>
  <c r="V306" i="9" s="1"/>
  <c r="W306" i="9"/>
  <c r="L244" i="9"/>
  <c r="O244" i="9"/>
  <c r="M244" i="9"/>
  <c r="AL297" i="9" l="1"/>
  <c r="AN297" i="9" s="1"/>
  <c r="AH298" i="9" s="1"/>
  <c r="AC308" i="9"/>
  <c r="AB308" i="9"/>
  <c r="AD308" i="9" s="1"/>
  <c r="AE308" i="9"/>
  <c r="X306" i="9"/>
  <c r="R307" i="9" s="1"/>
  <c r="N244" i="9"/>
  <c r="P244" i="9" s="1"/>
  <c r="J245" i="9" s="1"/>
  <c r="AF308" i="9" l="1"/>
  <c r="Z309" i="9" s="1"/>
  <c r="AK298" i="9"/>
  <c r="AJ298" i="9"/>
  <c r="AL298" i="9" s="1"/>
  <c r="AM298" i="9"/>
  <c r="AE309" i="9"/>
  <c r="AB309" i="9"/>
  <c r="AC309" i="9"/>
  <c r="W307" i="9"/>
  <c r="U307" i="9"/>
  <c r="T307" i="9"/>
  <c r="M245" i="9"/>
  <c r="O245" i="9"/>
  <c r="L245" i="9"/>
  <c r="AN298" i="9" l="1"/>
  <c r="AH299" i="9" s="1"/>
  <c r="N245" i="9"/>
  <c r="P245" i="9" s="1"/>
  <c r="J246" i="9" s="1"/>
  <c r="M246" i="9" s="1"/>
  <c r="AK299" i="9"/>
  <c r="AJ299" i="9"/>
  <c r="AL299" i="9" s="1"/>
  <c r="AM299" i="9"/>
  <c r="V307" i="9"/>
  <c r="X307" i="9" s="1"/>
  <c r="R308" i="9" s="1"/>
  <c r="AD309" i="9"/>
  <c r="AF309" i="9" s="1"/>
  <c r="Z310" i="9" s="1"/>
  <c r="O246" i="9"/>
  <c r="L246" i="9"/>
  <c r="AN299" i="9" l="1"/>
  <c r="AH300" i="9" s="1"/>
  <c r="AK300" i="9" s="1"/>
  <c r="N246" i="9"/>
  <c r="P246" i="9" s="1"/>
  <c r="J247" i="9" s="1"/>
  <c r="M247" i="9" s="1"/>
  <c r="AM300" i="9"/>
  <c r="AJ300" i="9"/>
  <c r="W308" i="9"/>
  <c r="U308" i="9"/>
  <c r="T308" i="9"/>
  <c r="V308" i="9" s="1"/>
  <c r="X308" i="9" s="1"/>
  <c r="R309" i="9" s="1"/>
  <c r="T309" i="9" s="1"/>
  <c r="AB310" i="9"/>
  <c r="AE310" i="9"/>
  <c r="AC310" i="9"/>
  <c r="L247" i="9"/>
  <c r="AL300" i="9" l="1"/>
  <c r="AN300" i="9" s="1"/>
  <c r="AH301" i="9" s="1"/>
  <c r="AM301" i="9" s="1"/>
  <c r="O247" i="9"/>
  <c r="U309" i="9"/>
  <c r="AJ301" i="9"/>
  <c r="W309" i="9"/>
  <c r="AD310" i="9"/>
  <c r="AF310" i="9" s="1"/>
  <c r="Z311" i="9" s="1"/>
  <c r="V309" i="9"/>
  <c r="X309" i="9" s="1"/>
  <c r="R310" i="9" s="1"/>
  <c r="N247" i="9"/>
  <c r="P247" i="9" s="1"/>
  <c r="J248" i="9" s="1"/>
  <c r="AK301" i="9" l="1"/>
  <c r="AL301" i="9" s="1"/>
  <c r="AN301" i="9" s="1"/>
  <c r="AH302" i="9" s="1"/>
  <c r="AE311" i="9"/>
  <c r="AC311" i="9"/>
  <c r="AB311" i="9"/>
  <c r="AD311" i="9" s="1"/>
  <c r="AF311" i="9" s="1"/>
  <c r="Z312" i="9" s="1"/>
  <c r="U310" i="9"/>
  <c r="W310" i="9"/>
  <c r="T310" i="9"/>
  <c r="L248" i="9"/>
  <c r="M248" i="9"/>
  <c r="O248" i="9"/>
  <c r="AM302" i="9" l="1"/>
  <c r="AK302" i="9"/>
  <c r="AJ302" i="9"/>
  <c r="AL302" i="9" s="1"/>
  <c r="AN302" i="9" s="1"/>
  <c r="AH303" i="9" s="1"/>
  <c r="AM303" i="9" s="1"/>
  <c r="AC312" i="9"/>
  <c r="AE312" i="9"/>
  <c r="AB312" i="9"/>
  <c r="AD312" i="9" s="1"/>
  <c r="AF312" i="9" s="1"/>
  <c r="Z313" i="9" s="1"/>
  <c r="V310" i="9"/>
  <c r="X310" i="9" s="1"/>
  <c r="R311" i="9" s="1"/>
  <c r="N248" i="9"/>
  <c r="P248" i="9" s="1"/>
  <c r="J249" i="9" s="1"/>
  <c r="AK303" i="9" l="1"/>
  <c r="AJ303" i="9"/>
  <c r="AL303" i="9"/>
  <c r="AN303" i="9" s="1"/>
  <c r="AH304" i="9" s="1"/>
  <c r="AB313" i="9"/>
  <c r="AE313" i="9"/>
  <c r="AC313" i="9"/>
  <c r="T311" i="9"/>
  <c r="U311" i="9"/>
  <c r="W311" i="9"/>
  <c r="L249" i="9"/>
  <c r="M249" i="9"/>
  <c r="O249" i="9"/>
  <c r="AD313" i="9" l="1"/>
  <c r="AF313" i="9" s="1"/>
  <c r="Z314" i="9" s="1"/>
  <c r="AC314" i="9" s="1"/>
  <c r="AJ304" i="9"/>
  <c r="AM304" i="9"/>
  <c r="AK304" i="9"/>
  <c r="AE314" i="9"/>
  <c r="V311" i="9"/>
  <c r="X311" i="9" s="1"/>
  <c r="R312" i="9" s="1"/>
  <c r="U312" i="9" s="1"/>
  <c r="N249" i="9"/>
  <c r="P249" i="9" s="1"/>
  <c r="J250" i="9" s="1"/>
  <c r="AB314" i="9" l="1"/>
  <c r="AD314" i="9"/>
  <c r="AF314" i="9" s="1"/>
  <c r="Z315" i="9" s="1"/>
  <c r="AL304" i="9"/>
  <c r="AN304" i="9" s="1"/>
  <c r="AH305" i="9" s="1"/>
  <c r="W312" i="9"/>
  <c r="T312" i="9"/>
  <c r="V312" i="9"/>
  <c r="X312" i="9" s="1"/>
  <c r="R313" i="9" s="1"/>
  <c r="M250" i="9"/>
  <c r="O250" i="9"/>
  <c r="L250" i="9"/>
  <c r="N250" i="9" s="1"/>
  <c r="P250" i="9" s="1"/>
  <c r="J251" i="9" s="1"/>
  <c r="AB315" i="9" l="1"/>
  <c r="AC315" i="9"/>
  <c r="AE315" i="9"/>
  <c r="AM305" i="9"/>
  <c r="AK305" i="9"/>
  <c r="AJ305" i="9"/>
  <c r="AD315" i="9"/>
  <c r="AF315" i="9" s="1"/>
  <c r="Z316" i="9" s="1"/>
  <c r="T313" i="9"/>
  <c r="U313" i="9"/>
  <c r="W313" i="9"/>
  <c r="O251" i="9"/>
  <c r="L251" i="9"/>
  <c r="M251" i="9"/>
  <c r="AL305" i="9" l="1"/>
  <c r="AN305" i="9" s="1"/>
  <c r="AH306" i="9" s="1"/>
  <c r="AB316" i="9"/>
  <c r="AE316" i="9"/>
  <c r="AC316" i="9"/>
  <c r="V313" i="9"/>
  <c r="X313" i="9" s="1"/>
  <c r="R314" i="9" s="1"/>
  <c r="T314" i="9" s="1"/>
  <c r="N251" i="9"/>
  <c r="P251" i="9" s="1"/>
  <c r="J252" i="9" s="1"/>
  <c r="AM306" i="9" l="1"/>
  <c r="AJ306" i="9"/>
  <c r="AK306" i="9"/>
  <c r="AD316" i="9"/>
  <c r="AF316" i="9" s="1"/>
  <c r="Z317" i="9" s="1"/>
  <c r="W314" i="9"/>
  <c r="U314" i="9"/>
  <c r="V314" i="9" s="1"/>
  <c r="X314" i="9" s="1"/>
  <c r="R315" i="9" s="1"/>
  <c r="L252" i="9"/>
  <c r="M252" i="9"/>
  <c r="O252" i="9"/>
  <c r="AL306" i="9" l="1"/>
  <c r="AN306" i="9" s="1"/>
  <c r="AH307" i="9" s="1"/>
  <c r="AE317" i="9"/>
  <c r="AC317" i="9"/>
  <c r="AB317" i="9"/>
  <c r="AD317" i="9" s="1"/>
  <c r="AF317" i="9" s="1"/>
  <c r="Z318" i="9" s="1"/>
  <c r="T315" i="9"/>
  <c r="V315" i="9" s="1"/>
  <c r="X315" i="9" s="1"/>
  <c r="R316" i="9" s="1"/>
  <c r="U315" i="9"/>
  <c r="W315" i="9"/>
  <c r="N252" i="9"/>
  <c r="P252" i="9" s="1"/>
  <c r="J253" i="9" s="1"/>
  <c r="AK307" i="9" l="1"/>
  <c r="AJ307" i="9"/>
  <c r="AM307" i="9"/>
  <c r="AE318" i="9"/>
  <c r="AB318" i="9"/>
  <c r="AC318" i="9"/>
  <c r="U316" i="9"/>
  <c r="W316" i="9"/>
  <c r="T316" i="9"/>
  <c r="L253" i="9"/>
  <c r="M253" i="9"/>
  <c r="O253" i="9"/>
  <c r="AL307" i="9" l="1"/>
  <c r="AN307" i="9" s="1"/>
  <c r="AH308" i="9" s="1"/>
  <c r="AD318" i="9"/>
  <c r="AF318" i="9" s="1"/>
  <c r="Z319" i="9" s="1"/>
  <c r="V316" i="9"/>
  <c r="X316" i="9" s="1"/>
  <c r="R317" i="9" s="1"/>
  <c r="N253" i="9"/>
  <c r="P253" i="9" s="1"/>
  <c r="J254" i="9" s="1"/>
  <c r="AJ308" i="9" l="1"/>
  <c r="AK308" i="9"/>
  <c r="AM308" i="9"/>
  <c r="AE319" i="9"/>
  <c r="AB319" i="9"/>
  <c r="AC319" i="9"/>
  <c r="U317" i="9"/>
  <c r="W317" i="9"/>
  <c r="T317" i="9"/>
  <c r="V317" i="9" s="1"/>
  <c r="X317" i="9" s="1"/>
  <c r="R318" i="9" s="1"/>
  <c r="L254" i="9"/>
  <c r="M254" i="9"/>
  <c r="O254" i="9"/>
  <c r="AL308" i="9" l="1"/>
  <c r="AN308" i="9" s="1"/>
  <c r="AH309" i="9" s="1"/>
  <c r="AM309" i="9" s="1"/>
  <c r="AD319" i="9"/>
  <c r="AF319" i="9" s="1"/>
  <c r="Z320" i="9" s="1"/>
  <c r="T318" i="9"/>
  <c r="U318" i="9"/>
  <c r="W318" i="9"/>
  <c r="N254" i="9"/>
  <c r="P254" i="9" s="1"/>
  <c r="J255" i="9" s="1"/>
  <c r="AJ309" i="9" l="1"/>
  <c r="AK309" i="9"/>
  <c r="AC320" i="9"/>
  <c r="AB320" i="9"/>
  <c r="AE320" i="9"/>
  <c r="V318" i="9"/>
  <c r="X318" i="9" s="1"/>
  <c r="R319" i="9" s="1"/>
  <c r="L255" i="9"/>
  <c r="O255" i="9"/>
  <c r="M255" i="9"/>
  <c r="AL309" i="9" l="1"/>
  <c r="AN309" i="9" s="1"/>
  <c r="AH310" i="9" s="1"/>
  <c r="AD320" i="9"/>
  <c r="AF320" i="9" s="1"/>
  <c r="Z321" i="9" s="1"/>
  <c r="T319" i="9"/>
  <c r="U319" i="9"/>
  <c r="W319" i="9"/>
  <c r="N255" i="9"/>
  <c r="P255" i="9" s="1"/>
  <c r="J256" i="9" s="1"/>
  <c r="AK310" i="9" l="1"/>
  <c r="AM310" i="9"/>
  <c r="AJ310" i="9"/>
  <c r="AC321" i="9"/>
  <c r="AB321" i="9"/>
  <c r="AD321" i="9" s="1"/>
  <c r="AE321" i="9"/>
  <c r="V319" i="9"/>
  <c r="X319" i="9" s="1"/>
  <c r="R320" i="9" s="1"/>
  <c r="U320" i="9" s="1"/>
  <c r="O256" i="9"/>
  <c r="M256" i="9"/>
  <c r="L256" i="9"/>
  <c r="N256" i="9" s="1"/>
  <c r="P256" i="9" s="1"/>
  <c r="J257" i="9" s="1"/>
  <c r="AL310" i="9" l="1"/>
  <c r="AN310" i="9" s="1"/>
  <c r="AH311" i="9" s="1"/>
  <c r="AJ311" i="9" s="1"/>
  <c r="T320" i="9"/>
  <c r="V320" i="9" s="1"/>
  <c r="W320" i="9"/>
  <c r="AF321" i="9"/>
  <c r="Z322" i="9" s="1"/>
  <c r="O257" i="9"/>
  <c r="L257" i="9"/>
  <c r="M257" i="9"/>
  <c r="AM311" i="9" l="1"/>
  <c r="AK311" i="9"/>
  <c r="X320" i="9"/>
  <c r="R321" i="9" s="1"/>
  <c r="AL311" i="9"/>
  <c r="AN311" i="9" s="1"/>
  <c r="AH312" i="9" s="1"/>
  <c r="AE322" i="9"/>
  <c r="AB322" i="9"/>
  <c r="AC322" i="9"/>
  <c r="U321" i="9"/>
  <c r="W321" i="9"/>
  <c r="T321" i="9"/>
  <c r="N257" i="9"/>
  <c r="P257" i="9" s="1"/>
  <c r="J258" i="9" s="1"/>
  <c r="AM312" i="9" l="1"/>
  <c r="AK312" i="9"/>
  <c r="AJ312" i="9"/>
  <c r="AL312" i="9" s="1"/>
  <c r="AN312" i="9" s="1"/>
  <c r="AH313" i="9" s="1"/>
  <c r="AD322" i="9"/>
  <c r="AF322" i="9" s="1"/>
  <c r="Z323" i="9" s="1"/>
  <c r="V321" i="9"/>
  <c r="X321" i="9" s="1"/>
  <c r="R322" i="9" s="1"/>
  <c r="O258" i="9"/>
  <c r="L258" i="9"/>
  <c r="M258" i="9"/>
  <c r="AM313" i="9" l="1"/>
  <c r="AK313" i="9"/>
  <c r="AJ313" i="9"/>
  <c r="AL313" i="9" s="1"/>
  <c r="AN313" i="9" s="1"/>
  <c r="AH314" i="9" s="1"/>
  <c r="AC323" i="9"/>
  <c r="AE323" i="9"/>
  <c r="AB323" i="9"/>
  <c r="AD323" i="9" s="1"/>
  <c r="AF323" i="9" s="1"/>
  <c r="Z324" i="9" s="1"/>
  <c r="U322" i="9"/>
  <c r="T322" i="9"/>
  <c r="W322" i="9"/>
  <c r="N258" i="9"/>
  <c r="P258" i="9" s="1"/>
  <c r="J259" i="9" s="1"/>
  <c r="AM314" i="9" l="1"/>
  <c r="AK314" i="9"/>
  <c r="AJ314" i="9"/>
  <c r="AL314" i="9" s="1"/>
  <c r="AN314" i="9" s="1"/>
  <c r="AH315" i="9" s="1"/>
  <c r="AC324" i="9"/>
  <c r="AE324" i="9"/>
  <c r="AB324" i="9"/>
  <c r="AD324" i="9" s="1"/>
  <c r="AF324" i="9" s="1"/>
  <c r="Z325" i="9" s="1"/>
  <c r="V322" i="9"/>
  <c r="X322" i="9" s="1"/>
  <c r="R323" i="9" s="1"/>
  <c r="L259" i="9"/>
  <c r="O259" i="9"/>
  <c r="M259" i="9"/>
  <c r="N259" i="9" l="1"/>
  <c r="P259" i="9" s="1"/>
  <c r="J260" i="9" s="1"/>
  <c r="L260" i="9" s="1"/>
  <c r="AK315" i="9"/>
  <c r="AJ315" i="9"/>
  <c r="AM315" i="9"/>
  <c r="AC325" i="9"/>
  <c r="AB325" i="9"/>
  <c r="AD325" i="9" s="1"/>
  <c r="AE325" i="9"/>
  <c r="U323" i="9"/>
  <c r="T323" i="9"/>
  <c r="W323" i="9"/>
  <c r="M260" i="9"/>
  <c r="O260" i="9"/>
  <c r="AL315" i="9" l="1"/>
  <c r="AF325" i="9"/>
  <c r="Z326" i="9" s="1"/>
  <c r="AC326" i="9" s="1"/>
  <c r="AN315" i="9"/>
  <c r="AH316" i="9" s="1"/>
  <c r="V323" i="9"/>
  <c r="X323" i="9" s="1"/>
  <c r="R324" i="9" s="1"/>
  <c r="N260" i="9"/>
  <c r="P260" i="9" s="1"/>
  <c r="J261" i="9" s="1"/>
  <c r="AE326" i="9" l="1"/>
  <c r="AB326" i="9"/>
  <c r="AD326" i="9" s="1"/>
  <c r="AF326" i="9" s="1"/>
  <c r="Z327" i="9" s="1"/>
  <c r="AJ316" i="9"/>
  <c r="AM316" i="9"/>
  <c r="AK316" i="9"/>
  <c r="W324" i="9"/>
  <c r="U324" i="9"/>
  <c r="T324" i="9"/>
  <c r="V324" i="9" s="1"/>
  <c r="O261" i="9"/>
  <c r="L261" i="9"/>
  <c r="M261" i="9"/>
  <c r="AL316" i="9" l="1"/>
  <c r="AN316" i="9" s="1"/>
  <c r="AH317" i="9" s="1"/>
  <c r="AJ317" i="9" s="1"/>
  <c r="AE327" i="9"/>
  <c r="AC327" i="9"/>
  <c r="AB327" i="9"/>
  <c r="AD327" i="9" s="1"/>
  <c r="AF327" i="9" s="1"/>
  <c r="Z328" i="9" s="1"/>
  <c r="X324" i="9"/>
  <c r="R325" i="9" s="1"/>
  <c r="N261" i="9"/>
  <c r="P261" i="9" s="1"/>
  <c r="J262" i="9" s="1"/>
  <c r="AK317" i="9" l="1"/>
  <c r="AL317" i="9" s="1"/>
  <c r="AM317" i="9"/>
  <c r="AC328" i="9"/>
  <c r="AE328" i="9"/>
  <c r="AB328" i="9"/>
  <c r="AD328" i="9" s="1"/>
  <c r="AF328" i="9" s="1"/>
  <c r="Z329" i="9" s="1"/>
  <c r="W325" i="9"/>
  <c r="T325" i="9"/>
  <c r="U325" i="9"/>
  <c r="O262" i="9"/>
  <c r="L262" i="9"/>
  <c r="M262" i="9"/>
  <c r="AN317" i="9" l="1"/>
  <c r="AH318" i="9" s="1"/>
  <c r="AM318" i="9" s="1"/>
  <c r="AK318" i="9"/>
  <c r="AJ318" i="9"/>
  <c r="AL318" i="9" s="1"/>
  <c r="AN318" i="9" s="1"/>
  <c r="AH319" i="9" s="1"/>
  <c r="AC329" i="9"/>
  <c r="AB329" i="9"/>
  <c r="AD329" i="9" s="1"/>
  <c r="AE329" i="9"/>
  <c r="V325" i="9"/>
  <c r="X325" i="9" s="1"/>
  <c r="R326" i="9" s="1"/>
  <c r="N262" i="9"/>
  <c r="P262" i="9" s="1"/>
  <c r="J263" i="9" s="1"/>
  <c r="AF329" i="9" l="1"/>
  <c r="Z330" i="9" s="1"/>
  <c r="AM319" i="9"/>
  <c r="AK319" i="9"/>
  <c r="AJ319" i="9"/>
  <c r="AL319" i="9" s="1"/>
  <c r="AN319" i="9" s="1"/>
  <c r="AH320" i="9" s="1"/>
  <c r="AE330" i="9"/>
  <c r="AB330" i="9"/>
  <c r="AC330" i="9"/>
  <c r="W326" i="9"/>
  <c r="T326" i="9"/>
  <c r="U326" i="9"/>
  <c r="L263" i="9"/>
  <c r="O263" i="9"/>
  <c r="M263" i="9"/>
  <c r="AD330" i="9" l="1"/>
  <c r="AF330" i="9" s="1"/>
  <c r="Z331" i="9" s="1"/>
  <c r="AK320" i="9"/>
  <c r="AM320" i="9"/>
  <c r="AJ320" i="9"/>
  <c r="V326" i="9"/>
  <c r="X326" i="9" s="1"/>
  <c r="R327" i="9" s="1"/>
  <c r="N263" i="9"/>
  <c r="P263" i="9" s="1"/>
  <c r="J264" i="9" s="1"/>
  <c r="AL320" i="9" l="1"/>
  <c r="AN320" i="9" s="1"/>
  <c r="AH321" i="9" s="1"/>
  <c r="AM321" i="9" s="1"/>
  <c r="AC331" i="9"/>
  <c r="AE331" i="9"/>
  <c r="AB331" i="9"/>
  <c r="AD331" i="9" s="1"/>
  <c r="AF331" i="9" s="1"/>
  <c r="Z332" i="9" s="1"/>
  <c r="AJ321" i="9"/>
  <c r="T327" i="9"/>
  <c r="U327" i="9"/>
  <c r="W327" i="9"/>
  <c r="O264" i="9"/>
  <c r="M264" i="9"/>
  <c r="L264" i="9"/>
  <c r="AK321" i="9" l="1"/>
  <c r="N264" i="9"/>
  <c r="P264" i="9" s="1"/>
  <c r="J265" i="9" s="1"/>
  <c r="AB332" i="9"/>
  <c r="AC332" i="9"/>
  <c r="AE332" i="9"/>
  <c r="V327" i="9"/>
  <c r="X327" i="9" s="1"/>
  <c r="R328" i="9" s="1"/>
  <c r="U328" i="9" s="1"/>
  <c r="AL321" i="9"/>
  <c r="AN321" i="9" s="1"/>
  <c r="AH322" i="9" s="1"/>
  <c r="L265" i="9"/>
  <c r="M265" i="9"/>
  <c r="O265" i="9"/>
  <c r="AD332" i="9" l="1"/>
  <c r="AF332" i="9" s="1"/>
  <c r="Z333" i="9" s="1"/>
  <c r="T328" i="9"/>
  <c r="V328" i="9" s="1"/>
  <c r="W328" i="9"/>
  <c r="AJ322" i="9"/>
  <c r="AM322" i="9"/>
  <c r="AK322" i="9"/>
  <c r="N265" i="9"/>
  <c r="P265" i="9" s="1"/>
  <c r="J266" i="9" s="1"/>
  <c r="X328" i="9" l="1"/>
  <c r="R329" i="9" s="1"/>
  <c r="T329" i="9" s="1"/>
  <c r="AL322" i="9"/>
  <c r="AN322" i="9" s="1"/>
  <c r="AH323" i="9" s="1"/>
  <c r="AC333" i="9"/>
  <c r="AE333" i="9"/>
  <c r="AB333" i="9"/>
  <c r="AD333" i="9" s="1"/>
  <c r="AF333" i="9" s="1"/>
  <c r="Z334" i="9" s="1"/>
  <c r="U329" i="9"/>
  <c r="W329" i="9"/>
  <c r="L266" i="9"/>
  <c r="M266" i="9"/>
  <c r="O266" i="9"/>
  <c r="AE334" i="9" l="1"/>
  <c r="AB334" i="9"/>
  <c r="AC334" i="9"/>
  <c r="AK323" i="9"/>
  <c r="AM323" i="9"/>
  <c r="AJ323" i="9"/>
  <c r="AL323" i="9" s="1"/>
  <c r="AN323" i="9" s="1"/>
  <c r="AH324" i="9" s="1"/>
  <c r="V329" i="9"/>
  <c r="X329" i="9" s="1"/>
  <c r="R330" i="9" s="1"/>
  <c r="N266" i="9"/>
  <c r="P266" i="9" s="1"/>
  <c r="J267" i="9" s="1"/>
  <c r="AD334" i="9" l="1"/>
  <c r="AF334" i="9" s="1"/>
  <c r="Z335" i="9" s="1"/>
  <c r="AE335" i="9" s="1"/>
  <c r="AJ324" i="9"/>
  <c r="AM324" i="9"/>
  <c r="AK324" i="9"/>
  <c r="U330" i="9"/>
  <c r="W330" i="9"/>
  <c r="T330" i="9"/>
  <c r="L267" i="9"/>
  <c r="M267" i="9"/>
  <c r="O267" i="9"/>
  <c r="AC335" i="9" l="1"/>
  <c r="AB335" i="9"/>
  <c r="AD335" i="9" s="1"/>
  <c r="AF335" i="9" s="1"/>
  <c r="Z336" i="9" s="1"/>
  <c r="AE336" i="9" s="1"/>
  <c r="AB336" i="9"/>
  <c r="AL324" i="9"/>
  <c r="AN324" i="9" s="1"/>
  <c r="AH325" i="9" s="1"/>
  <c r="V330" i="9"/>
  <c r="X330" i="9" s="1"/>
  <c r="R331" i="9" s="1"/>
  <c r="N267" i="9"/>
  <c r="P267" i="9" s="1"/>
  <c r="J268" i="9" s="1"/>
  <c r="AC336" i="9" l="1"/>
  <c r="AD336" i="9"/>
  <c r="AF336" i="9" s="1"/>
  <c r="Z337" i="9" s="1"/>
  <c r="AC337" i="9" s="1"/>
  <c r="AM325" i="9"/>
  <c r="AJ325" i="9"/>
  <c r="AK325" i="9"/>
  <c r="W331" i="9"/>
  <c r="T331" i="9"/>
  <c r="U331" i="9"/>
  <c r="O268" i="9"/>
  <c r="M268" i="9"/>
  <c r="L268" i="9"/>
  <c r="AE337" i="9" l="1"/>
  <c r="AB337" i="9"/>
  <c r="AD337" i="9" s="1"/>
  <c r="AF337" i="9" s="1"/>
  <c r="Z338" i="9" s="1"/>
  <c r="N268" i="9"/>
  <c r="P268" i="9" s="1"/>
  <c r="J269" i="9" s="1"/>
  <c r="AE338" i="9"/>
  <c r="AB338" i="9"/>
  <c r="AC338" i="9"/>
  <c r="AL325" i="9"/>
  <c r="AN325" i="9" s="1"/>
  <c r="AH326" i="9" s="1"/>
  <c r="V331" i="9"/>
  <c r="X331" i="9" s="1"/>
  <c r="R332" i="9" s="1"/>
  <c r="O269" i="9"/>
  <c r="M269" i="9"/>
  <c r="L269" i="9"/>
  <c r="N269" i="9" l="1"/>
  <c r="P269" i="9" s="1"/>
  <c r="J270" i="9" s="1"/>
  <c r="AD338" i="9"/>
  <c r="AF338" i="9" s="1"/>
  <c r="Z339" i="9" s="1"/>
  <c r="AJ326" i="9"/>
  <c r="AK326" i="9"/>
  <c r="AM326" i="9"/>
  <c r="T332" i="9"/>
  <c r="W332" i="9"/>
  <c r="U332" i="9"/>
  <c r="M270" i="9"/>
  <c r="O270" i="9"/>
  <c r="L270" i="9"/>
  <c r="N270" i="9" s="1"/>
  <c r="P270" i="9" s="1"/>
  <c r="J271" i="9" s="1"/>
  <c r="V332" i="9" l="1"/>
  <c r="X332" i="9" s="1"/>
  <c r="R333" i="9" s="1"/>
  <c r="W333" i="9" s="1"/>
  <c r="AC339" i="9"/>
  <c r="AB339" i="9"/>
  <c r="AD339" i="9" s="1"/>
  <c r="AE339" i="9"/>
  <c r="AL326" i="9"/>
  <c r="AN326" i="9" s="1"/>
  <c r="AH327" i="9" s="1"/>
  <c r="T333" i="9"/>
  <c r="U333" i="9"/>
  <c r="L271" i="9"/>
  <c r="M271" i="9"/>
  <c r="O271" i="9"/>
  <c r="AF339" i="9" l="1"/>
  <c r="Z340" i="9" s="1"/>
  <c r="AC340" i="9" s="1"/>
  <c r="AM327" i="9"/>
  <c r="AK327" i="9"/>
  <c r="AJ327" i="9"/>
  <c r="AL327" i="9" s="1"/>
  <c r="V333" i="9"/>
  <c r="X333" i="9" s="1"/>
  <c r="R334" i="9" s="1"/>
  <c r="N271" i="9"/>
  <c r="P271" i="9" s="1"/>
  <c r="J272" i="9" s="1"/>
  <c r="AB340" i="9" l="1"/>
  <c r="AD340" i="9" s="1"/>
  <c r="AE340" i="9"/>
  <c r="AN327" i="9"/>
  <c r="AH328" i="9" s="1"/>
  <c r="W334" i="9"/>
  <c r="U334" i="9"/>
  <c r="T334" i="9"/>
  <c r="L272" i="9"/>
  <c r="M272" i="9"/>
  <c r="O272" i="9"/>
  <c r="V334" i="9" l="1"/>
  <c r="AF340" i="9"/>
  <c r="Z341" i="9" s="1"/>
  <c r="AB341" i="9" s="1"/>
  <c r="AD341" i="9" s="1"/>
  <c r="AC341" i="9"/>
  <c r="AJ328" i="9"/>
  <c r="AK328" i="9"/>
  <c r="AM328" i="9"/>
  <c r="X334" i="9"/>
  <c r="R335" i="9" s="1"/>
  <c r="N272" i="9"/>
  <c r="P272" i="9" s="1"/>
  <c r="J273" i="9" s="1"/>
  <c r="AE341" i="9" l="1"/>
  <c r="AF341" i="9" s="1"/>
  <c r="Z342" i="9" s="1"/>
  <c r="AL328" i="9"/>
  <c r="AN328" i="9" s="1"/>
  <c r="AH329" i="9" s="1"/>
  <c r="AJ329" i="9" s="1"/>
  <c r="T335" i="9"/>
  <c r="W335" i="9"/>
  <c r="U335" i="9"/>
  <c r="O273" i="9"/>
  <c r="M273" i="9"/>
  <c r="L273" i="9"/>
  <c r="AB342" i="9" l="1"/>
  <c r="AC342" i="9"/>
  <c r="AE342" i="9"/>
  <c r="N273" i="9"/>
  <c r="P273" i="9" s="1"/>
  <c r="J274" i="9" s="1"/>
  <c r="AK329" i="9"/>
  <c r="AM329" i="9"/>
  <c r="AD342" i="9"/>
  <c r="AF342" i="9" s="1"/>
  <c r="Z343" i="9" s="1"/>
  <c r="V335" i="9"/>
  <c r="X335" i="9" s="1"/>
  <c r="R336" i="9" s="1"/>
  <c r="W336" i="9" s="1"/>
  <c r="AL329" i="9"/>
  <c r="AN329" i="9" s="1"/>
  <c r="AH330" i="9" s="1"/>
  <c r="L274" i="9"/>
  <c r="M274" i="9"/>
  <c r="O274" i="9"/>
  <c r="T336" i="9" l="1"/>
  <c r="U336" i="9"/>
  <c r="AE343" i="9"/>
  <c r="AC343" i="9"/>
  <c r="AB343" i="9"/>
  <c r="AK330" i="9"/>
  <c r="AJ330" i="9"/>
  <c r="AL330" i="9" s="1"/>
  <c r="AM330" i="9"/>
  <c r="V336" i="9"/>
  <c r="X336" i="9" s="1"/>
  <c r="R337" i="9" s="1"/>
  <c r="N274" i="9"/>
  <c r="P274" i="9" s="1"/>
  <c r="J275" i="9" s="1"/>
  <c r="AD343" i="9" l="1"/>
  <c r="AF343" i="9" s="1"/>
  <c r="Z344" i="9" s="1"/>
  <c r="AB344" i="9" s="1"/>
  <c r="AN330" i="9"/>
  <c r="AH331" i="9" s="1"/>
  <c r="AK331" i="9" s="1"/>
  <c r="AC344" i="9"/>
  <c r="AE344" i="9"/>
  <c r="U337" i="9"/>
  <c r="W337" i="9"/>
  <c r="T337" i="9"/>
  <c r="O275" i="9"/>
  <c r="L275" i="9"/>
  <c r="M275" i="9"/>
  <c r="AM331" i="9" l="1"/>
  <c r="AJ331" i="9"/>
  <c r="AD344" i="9"/>
  <c r="AF344" i="9" s="1"/>
  <c r="Z345" i="9" s="1"/>
  <c r="AL331" i="9"/>
  <c r="V337" i="9"/>
  <c r="X337" i="9" s="1"/>
  <c r="R338" i="9" s="1"/>
  <c r="N275" i="9"/>
  <c r="P275" i="9" s="1"/>
  <c r="J276" i="9" s="1"/>
  <c r="AN331" i="9" l="1"/>
  <c r="AH332" i="9" s="1"/>
  <c r="AJ332" i="9" s="1"/>
  <c r="AE345" i="9"/>
  <c r="AB345" i="9"/>
  <c r="AC345" i="9"/>
  <c r="AM332" i="9"/>
  <c r="AK332" i="9"/>
  <c r="T338" i="9"/>
  <c r="U338" i="9"/>
  <c r="W338" i="9"/>
  <c r="M276" i="9"/>
  <c r="O276" i="9"/>
  <c r="L276" i="9"/>
  <c r="N276" i="9" l="1"/>
  <c r="P276" i="9" s="1"/>
  <c r="J277" i="9" s="1"/>
  <c r="L277" i="9" s="1"/>
  <c r="AD345" i="9"/>
  <c r="AF345" i="9" s="1"/>
  <c r="Z346" i="9" s="1"/>
  <c r="AC346" i="9" s="1"/>
  <c r="V338" i="9"/>
  <c r="X338" i="9" s="1"/>
  <c r="R339" i="9" s="1"/>
  <c r="W339" i="9" s="1"/>
  <c r="AL332" i="9"/>
  <c r="AN332" i="9" s="1"/>
  <c r="AH333" i="9" s="1"/>
  <c r="M277" i="9"/>
  <c r="O277" i="9"/>
  <c r="T339" i="9" l="1"/>
  <c r="AB346" i="9"/>
  <c r="AD346" i="9" s="1"/>
  <c r="AE346" i="9"/>
  <c r="U339" i="9"/>
  <c r="AM333" i="9"/>
  <c r="AK333" i="9"/>
  <c r="AJ333" i="9"/>
  <c r="N277" i="9"/>
  <c r="P277" i="9" s="1"/>
  <c r="J278" i="9" s="1"/>
  <c r="V339" i="9" l="1"/>
  <c r="X339" i="9" s="1"/>
  <c r="R340" i="9" s="1"/>
  <c r="AF346" i="9"/>
  <c r="Z347" i="9" s="1"/>
  <c r="W340" i="9"/>
  <c r="T340" i="9"/>
  <c r="U340" i="9"/>
  <c r="AL333" i="9"/>
  <c r="AN333" i="9" s="1"/>
  <c r="AH334" i="9" s="1"/>
  <c r="AJ334" i="9"/>
  <c r="AM334" i="9"/>
  <c r="AK334" i="9"/>
  <c r="M278" i="9"/>
  <c r="O278" i="9"/>
  <c r="L278" i="9"/>
  <c r="N278" i="9" l="1"/>
  <c r="P278" i="9" s="1"/>
  <c r="J279" i="9" s="1"/>
  <c r="O279" i="9" s="1"/>
  <c r="AB347" i="9"/>
  <c r="AC347" i="9"/>
  <c r="AE347" i="9"/>
  <c r="V340" i="9"/>
  <c r="X340" i="9" s="1"/>
  <c r="R341" i="9" s="1"/>
  <c r="AL334" i="9"/>
  <c r="AN334" i="9" s="1"/>
  <c r="AH335" i="9" s="1"/>
  <c r="L279" i="9"/>
  <c r="M279" i="9"/>
  <c r="AD347" i="9" l="1"/>
  <c r="AF347" i="9" s="1"/>
  <c r="Z348" i="9" s="1"/>
  <c r="U341" i="9"/>
  <c r="T341" i="9"/>
  <c r="W341" i="9"/>
  <c r="AK335" i="9"/>
  <c r="AJ335" i="9"/>
  <c r="AM335" i="9"/>
  <c r="N279" i="9"/>
  <c r="P279" i="9" s="1"/>
  <c r="J280" i="9" s="1"/>
  <c r="AB348" i="9" l="1"/>
  <c r="AC348" i="9"/>
  <c r="AE348" i="9"/>
  <c r="V341" i="9"/>
  <c r="X341" i="9" s="1"/>
  <c r="R342" i="9" s="1"/>
  <c r="AL335" i="9"/>
  <c r="AN335" i="9" s="1"/>
  <c r="AH336" i="9" s="1"/>
  <c r="O280" i="9"/>
  <c r="M280" i="9"/>
  <c r="L280" i="9"/>
  <c r="AD348" i="9" l="1"/>
  <c r="AF348" i="9" s="1"/>
  <c r="Z349" i="9" s="1"/>
  <c r="W342" i="9"/>
  <c r="U342" i="9"/>
  <c r="T342" i="9"/>
  <c r="N280" i="9"/>
  <c r="P280" i="9" s="1"/>
  <c r="J281" i="9" s="1"/>
  <c r="O281" i="9" s="1"/>
  <c r="AJ336" i="9"/>
  <c r="AK336" i="9"/>
  <c r="AM336" i="9"/>
  <c r="V342" i="9" l="1"/>
  <c r="X342" i="9" s="1"/>
  <c r="R343" i="9" s="1"/>
  <c r="M281" i="9"/>
  <c r="L281" i="9"/>
  <c r="T343" i="9"/>
  <c r="AE349" i="9"/>
  <c r="AB349" i="9"/>
  <c r="AC349" i="9"/>
  <c r="AL336" i="9"/>
  <c r="AN336" i="9" s="1"/>
  <c r="AH337" i="9" s="1"/>
  <c r="AM337" i="9" s="1"/>
  <c r="N281" i="9"/>
  <c r="P281" i="9" s="1"/>
  <c r="J282" i="9" s="1"/>
  <c r="W343" i="9" l="1"/>
  <c r="U343" i="9"/>
  <c r="V343" i="9" s="1"/>
  <c r="X343" i="9" s="1"/>
  <c r="R344" i="9" s="1"/>
  <c r="T344" i="9" s="1"/>
  <c r="U344" i="9"/>
  <c r="AD349" i="9"/>
  <c r="AF349" i="9" s="1"/>
  <c r="Z350" i="9" s="1"/>
  <c r="AK337" i="9"/>
  <c r="AJ337" i="9"/>
  <c r="V344" i="9"/>
  <c r="M282" i="9"/>
  <c r="O282" i="9"/>
  <c r="L282" i="9"/>
  <c r="N282" i="9" s="1"/>
  <c r="P282" i="9" s="1"/>
  <c r="J283" i="9" s="1"/>
  <c r="W344" i="9" l="1"/>
  <c r="X344" i="9"/>
  <c r="R345" i="9" s="1"/>
  <c r="AL337" i="9"/>
  <c r="AN337" i="9" s="1"/>
  <c r="AH338" i="9" s="1"/>
  <c r="AB350" i="9"/>
  <c r="AC350" i="9"/>
  <c r="AE350" i="9"/>
  <c r="AJ338" i="9"/>
  <c r="AK338" i="9"/>
  <c r="AM338" i="9"/>
  <c r="W345" i="9"/>
  <c r="U345" i="9"/>
  <c r="T345" i="9"/>
  <c r="V345" i="9" s="1"/>
  <c r="L283" i="9"/>
  <c r="M283" i="9"/>
  <c r="O283" i="9"/>
  <c r="AL338" i="9" l="1"/>
  <c r="AN338" i="9" s="1"/>
  <c r="AH339" i="9" s="1"/>
  <c r="AD350" i="9"/>
  <c r="AF350" i="9" s="1"/>
  <c r="Z351" i="9" s="1"/>
  <c r="AM339" i="9"/>
  <c r="AK339" i="9"/>
  <c r="AJ339" i="9"/>
  <c r="AL339" i="9" s="1"/>
  <c r="AN339" i="9" s="1"/>
  <c r="AH340" i="9" s="1"/>
  <c r="X345" i="9"/>
  <c r="R346" i="9" s="1"/>
  <c r="N283" i="9"/>
  <c r="P283" i="9" s="1"/>
  <c r="J284" i="9" s="1"/>
  <c r="AB351" i="9" l="1"/>
  <c r="AC351" i="9"/>
  <c r="AE351" i="9"/>
  <c r="AM340" i="9"/>
  <c r="AK340" i="9"/>
  <c r="AJ340" i="9"/>
  <c r="AL340" i="9" s="1"/>
  <c r="U346" i="9"/>
  <c r="W346" i="9"/>
  <c r="T346" i="9"/>
  <c r="L284" i="9"/>
  <c r="O284" i="9"/>
  <c r="M284" i="9"/>
  <c r="AD351" i="9" l="1"/>
  <c r="AF351" i="9" s="1"/>
  <c r="Z352" i="9" s="1"/>
  <c r="AN340" i="9"/>
  <c r="AH341" i="9" s="1"/>
  <c r="AK341" i="9" s="1"/>
  <c r="V346" i="9"/>
  <c r="X346" i="9" s="1"/>
  <c r="R347" i="9" s="1"/>
  <c r="N284" i="9"/>
  <c r="P284" i="9" s="1"/>
  <c r="J285" i="9" s="1"/>
  <c r="AE352" i="9" l="1"/>
  <c r="AC352" i="9"/>
  <c r="AB352" i="9"/>
  <c r="AD352" i="9" s="1"/>
  <c r="AF352" i="9" s="1"/>
  <c r="Z353" i="9" s="1"/>
  <c r="AJ341" i="9"/>
  <c r="AL341" i="9" s="1"/>
  <c r="AM341" i="9"/>
  <c r="T347" i="9"/>
  <c r="W347" i="9"/>
  <c r="U347" i="9"/>
  <c r="O285" i="9"/>
  <c r="L285" i="9"/>
  <c r="M285" i="9"/>
  <c r="AN341" i="9" l="1"/>
  <c r="AH342" i="9" s="1"/>
  <c r="AJ342" i="9" s="1"/>
  <c r="AB353" i="9"/>
  <c r="AC353" i="9"/>
  <c r="AE353" i="9"/>
  <c r="AM342" i="9"/>
  <c r="AK342" i="9"/>
  <c r="V347" i="9"/>
  <c r="X347" i="9" s="1"/>
  <c r="R348" i="9" s="1"/>
  <c r="T348" i="9" s="1"/>
  <c r="AL342" i="9"/>
  <c r="AN342" i="9" s="1"/>
  <c r="AH343" i="9" s="1"/>
  <c r="N285" i="9"/>
  <c r="P285" i="9" s="1"/>
  <c r="J286" i="9" s="1"/>
  <c r="U348" i="9" l="1"/>
  <c r="W348" i="9"/>
  <c r="AD353" i="9"/>
  <c r="AF353" i="9" s="1"/>
  <c r="Z354" i="9" s="1"/>
  <c r="AJ343" i="9"/>
  <c r="AK343" i="9"/>
  <c r="AM343" i="9"/>
  <c r="V348" i="9"/>
  <c r="X348" i="9" s="1"/>
  <c r="R349" i="9" s="1"/>
  <c r="O286" i="9"/>
  <c r="L286" i="9"/>
  <c r="M286" i="9"/>
  <c r="AB354" i="9" l="1"/>
  <c r="AC354" i="9"/>
  <c r="AE354" i="9"/>
  <c r="AL343" i="9"/>
  <c r="AN343" i="9" s="1"/>
  <c r="AH344" i="9" s="1"/>
  <c r="AM344" i="9" s="1"/>
  <c r="T349" i="9"/>
  <c r="U349" i="9"/>
  <c r="W349" i="9"/>
  <c r="N286" i="9"/>
  <c r="P286" i="9" s="1"/>
  <c r="J287" i="9" s="1"/>
  <c r="AD354" i="9" l="1"/>
  <c r="AF354" i="9" s="1"/>
  <c r="Z355" i="9" s="1"/>
  <c r="AK344" i="9"/>
  <c r="AJ344" i="9"/>
  <c r="V349" i="9"/>
  <c r="X349" i="9" s="1"/>
  <c r="R350" i="9" s="1"/>
  <c r="W350" i="9" s="1"/>
  <c r="O287" i="9"/>
  <c r="M287" i="9"/>
  <c r="L287" i="9"/>
  <c r="AB355" i="9" l="1"/>
  <c r="AE355" i="9"/>
  <c r="AC355" i="9"/>
  <c r="T350" i="9"/>
  <c r="U350" i="9"/>
  <c r="AL344" i="9"/>
  <c r="AN344" i="9" s="1"/>
  <c r="AH345" i="9" s="1"/>
  <c r="N287" i="9"/>
  <c r="P287" i="9" s="1"/>
  <c r="J288" i="9" s="1"/>
  <c r="O288" i="9" s="1"/>
  <c r="V350" i="9"/>
  <c r="X350" i="9" s="1"/>
  <c r="R351" i="9" s="1"/>
  <c r="M288" i="9" l="1"/>
  <c r="L288" i="9"/>
  <c r="N288" i="9" s="1"/>
  <c r="P288" i="9" s="1"/>
  <c r="J289" i="9" s="1"/>
  <c r="O289" i="9" s="1"/>
  <c r="AD355" i="9"/>
  <c r="AF355" i="9" s="1"/>
  <c r="Z356" i="9" s="1"/>
  <c r="AK345" i="9"/>
  <c r="AJ345" i="9"/>
  <c r="AM345" i="9"/>
  <c r="U351" i="9"/>
  <c r="W351" i="9"/>
  <c r="T351" i="9"/>
  <c r="V351" i="9" s="1"/>
  <c r="X351" i="9" s="1"/>
  <c r="R352" i="9" s="1"/>
  <c r="L289" i="9"/>
  <c r="M289" i="9"/>
  <c r="AB356" i="9" l="1"/>
  <c r="AC356" i="9"/>
  <c r="AE356" i="9"/>
  <c r="AL345" i="9"/>
  <c r="AN345" i="9" s="1"/>
  <c r="AH346" i="9" s="1"/>
  <c r="T352" i="9"/>
  <c r="W352" i="9"/>
  <c r="U352" i="9"/>
  <c r="N289" i="9"/>
  <c r="P289" i="9" s="1"/>
  <c r="J290" i="9" s="1"/>
  <c r="AD356" i="9" l="1"/>
  <c r="AF356" i="9" s="1"/>
  <c r="Z357" i="9" s="1"/>
  <c r="AK346" i="9"/>
  <c r="AM346" i="9"/>
  <c r="AJ346" i="9"/>
  <c r="AL346" i="9" s="1"/>
  <c r="AN346" i="9" s="1"/>
  <c r="AH347" i="9" s="1"/>
  <c r="V352" i="9"/>
  <c r="X352" i="9" s="1"/>
  <c r="R353" i="9" s="1"/>
  <c r="L290" i="9"/>
  <c r="M290" i="9"/>
  <c r="O290" i="9"/>
  <c r="AE357" i="9" l="1"/>
  <c r="AB357" i="9"/>
  <c r="AC357" i="9"/>
  <c r="AM347" i="9"/>
  <c r="AK347" i="9"/>
  <c r="AJ347" i="9"/>
  <c r="AL347" i="9" s="1"/>
  <c r="AN347" i="9" s="1"/>
  <c r="AH348" i="9" s="1"/>
  <c r="N290" i="9"/>
  <c r="P290" i="9" s="1"/>
  <c r="J291" i="9" s="1"/>
  <c r="M291" i="9" s="1"/>
  <c r="T353" i="9"/>
  <c r="W353" i="9"/>
  <c r="U353" i="9"/>
  <c r="L291" i="9"/>
  <c r="O291" i="9" l="1"/>
  <c r="AD357" i="9"/>
  <c r="AF357" i="9" s="1"/>
  <c r="Z358" i="9" s="1"/>
  <c r="AK348" i="9"/>
  <c r="AM348" i="9"/>
  <c r="AJ348" i="9"/>
  <c r="V353" i="9"/>
  <c r="X353" i="9" s="1"/>
  <c r="R354" i="9" s="1"/>
  <c r="N291" i="9"/>
  <c r="P291" i="9" s="1"/>
  <c r="J292" i="9" s="1"/>
  <c r="AE358" i="9" l="1"/>
  <c r="AB358" i="9"/>
  <c r="AC358" i="9"/>
  <c r="AL348" i="9"/>
  <c r="AN348" i="9" s="1"/>
  <c r="AH349" i="9" s="1"/>
  <c r="T354" i="9"/>
  <c r="U354" i="9"/>
  <c r="W354" i="9"/>
  <c r="O292" i="9"/>
  <c r="M292" i="9"/>
  <c r="L292" i="9"/>
  <c r="N292" i="9" l="1"/>
  <c r="P292" i="9" s="1"/>
  <c r="J293" i="9" s="1"/>
  <c r="AD358" i="9"/>
  <c r="AF358" i="9" s="1"/>
  <c r="Z359" i="9" s="1"/>
  <c r="AC359" i="9" s="1"/>
  <c r="AJ349" i="9"/>
  <c r="AM349" i="9"/>
  <c r="AK349" i="9"/>
  <c r="V354" i="9"/>
  <c r="X354" i="9" s="1"/>
  <c r="R355" i="9" s="1"/>
  <c r="L293" i="9"/>
  <c r="M293" i="9"/>
  <c r="O293" i="9"/>
  <c r="AE359" i="9" l="1"/>
  <c r="AB359" i="9"/>
  <c r="AD359" i="9" s="1"/>
  <c r="AF359" i="9" s="1"/>
  <c r="Z360" i="9" s="1"/>
  <c r="AL349" i="9"/>
  <c r="AN349" i="9" s="1"/>
  <c r="AH350" i="9" s="1"/>
  <c r="AJ350" i="9" s="1"/>
  <c r="AE360" i="9"/>
  <c r="AB360" i="9"/>
  <c r="AC360" i="9"/>
  <c r="AK350" i="9"/>
  <c r="AM350" i="9"/>
  <c r="W355" i="9"/>
  <c r="T355" i="9"/>
  <c r="U355" i="9"/>
  <c r="N293" i="9"/>
  <c r="P293" i="9" s="1"/>
  <c r="J294" i="9" s="1"/>
  <c r="AD360" i="9" l="1"/>
  <c r="AF360" i="9" s="1"/>
  <c r="Z361" i="9" s="1"/>
  <c r="AL350" i="9"/>
  <c r="AN350" i="9" s="1"/>
  <c r="AH351" i="9" s="1"/>
  <c r="V355" i="9"/>
  <c r="X355" i="9" s="1"/>
  <c r="R356" i="9" s="1"/>
  <c r="L294" i="9"/>
  <c r="O294" i="9"/>
  <c r="M294" i="9"/>
  <c r="AB361" i="9" l="1"/>
  <c r="AE361" i="9"/>
  <c r="H24" i="7" s="1"/>
  <c r="AC361" i="9"/>
  <c r="F24" i="7" s="1"/>
  <c r="G24" i="7" s="1"/>
  <c r="AK351" i="9"/>
  <c r="AM351" i="9"/>
  <c r="AJ351" i="9"/>
  <c r="T356" i="9"/>
  <c r="U356" i="9"/>
  <c r="W356" i="9"/>
  <c r="N294" i="9"/>
  <c r="P294" i="9" s="1"/>
  <c r="J295" i="9" s="1"/>
  <c r="AD361" i="9" l="1"/>
  <c r="AF361" i="9" s="1"/>
  <c r="D24" i="7" s="1" a="1"/>
  <c r="D24" i="7" s="1"/>
  <c r="E24" i="7" s="1"/>
  <c r="AL351" i="9"/>
  <c r="AN351" i="9" s="1"/>
  <c r="AH352" i="9" s="1"/>
  <c r="V356" i="9"/>
  <c r="X356" i="9" s="1"/>
  <c r="R357" i="9" s="1"/>
  <c r="L295" i="9"/>
  <c r="M295" i="9"/>
  <c r="O295" i="9"/>
  <c r="AK352" i="9" l="1"/>
  <c r="AM352" i="9"/>
  <c r="AJ352" i="9"/>
  <c r="U357" i="9"/>
  <c r="T357" i="9"/>
  <c r="V357" i="9" s="1"/>
  <c r="W357" i="9"/>
  <c r="N295" i="9"/>
  <c r="P295" i="9" s="1"/>
  <c r="J296" i="9" s="1"/>
  <c r="X357" i="9" l="1"/>
  <c r="R358" i="9" s="1"/>
  <c r="AL352" i="9"/>
  <c r="AN352" i="9" s="1"/>
  <c r="AH353" i="9" s="1"/>
  <c r="AJ353" i="9"/>
  <c r="AK353" i="9"/>
  <c r="AM353" i="9"/>
  <c r="U358" i="9"/>
  <c r="W358" i="9"/>
  <c r="T358" i="9"/>
  <c r="V358" i="9" s="1"/>
  <c r="X358" i="9" s="1"/>
  <c r="R359" i="9" s="1"/>
  <c r="M296" i="9"/>
  <c r="O296" i="9"/>
  <c r="L296" i="9"/>
  <c r="N296" i="9" l="1"/>
  <c r="P296" i="9" s="1"/>
  <c r="J297" i="9" s="1"/>
  <c r="AL353" i="9"/>
  <c r="AN353" i="9" s="1"/>
  <c r="AH354" i="9" s="1"/>
  <c r="AJ354" i="9" s="1"/>
  <c r="T359" i="9"/>
  <c r="W359" i="9"/>
  <c r="U359" i="9"/>
  <c r="O297" i="9"/>
  <c r="M297" i="9"/>
  <c r="L297" i="9"/>
  <c r="N297" i="9" s="1"/>
  <c r="P297" i="9" s="1"/>
  <c r="J298" i="9" s="1"/>
  <c r="AM354" i="9" l="1"/>
  <c r="AK354" i="9"/>
  <c r="AL354" i="9"/>
  <c r="AN354" i="9" s="1"/>
  <c r="AH355" i="9" s="1"/>
  <c r="V359" i="9"/>
  <c r="X359" i="9" s="1"/>
  <c r="R360" i="9" s="1"/>
  <c r="L298" i="9"/>
  <c r="M298" i="9"/>
  <c r="O298" i="9"/>
  <c r="AJ355" i="9" l="1"/>
  <c r="AK355" i="9"/>
  <c r="AM355" i="9"/>
  <c r="W360" i="9"/>
  <c r="T360" i="9"/>
  <c r="U360" i="9"/>
  <c r="N298" i="9"/>
  <c r="P298" i="9" s="1"/>
  <c r="J299" i="9" s="1"/>
  <c r="AL355" i="9" l="1"/>
  <c r="AN355" i="9" s="1"/>
  <c r="AH356" i="9" s="1"/>
  <c r="AK356" i="9" s="1"/>
  <c r="AM356" i="9"/>
  <c r="AJ356" i="9"/>
  <c r="V360" i="9"/>
  <c r="X360" i="9" s="1"/>
  <c r="R361" i="9" s="1"/>
  <c r="O299" i="9"/>
  <c r="L299" i="9"/>
  <c r="M299" i="9"/>
  <c r="AL356" i="9" l="1"/>
  <c r="AN356" i="9" s="1"/>
  <c r="AH357" i="9" s="1"/>
  <c r="AM357" i="9" s="1"/>
  <c r="AK357" i="9"/>
  <c r="AJ357" i="9"/>
  <c r="AL357" i="9" s="1"/>
  <c r="T361" i="9"/>
  <c r="U361" i="9"/>
  <c r="F23" i="7" s="1"/>
  <c r="G23" i="7" s="1"/>
  <c r="W361" i="9"/>
  <c r="H23" i="7" s="1"/>
  <c r="N299" i="9"/>
  <c r="P299" i="9" s="1"/>
  <c r="J300" i="9" s="1"/>
  <c r="AN357" i="9" l="1"/>
  <c r="AH358" i="9" s="1"/>
  <c r="AM358" i="9" s="1"/>
  <c r="AJ358" i="9"/>
  <c r="V361" i="9"/>
  <c r="X361" i="9" s="1"/>
  <c r="D23" i="7" s="1" a="1"/>
  <c r="D23" i="7" s="1"/>
  <c r="E23" i="7" s="1"/>
  <c r="M300" i="9"/>
  <c r="O300" i="9"/>
  <c r="L300" i="9"/>
  <c r="N300" i="9" s="1"/>
  <c r="P300" i="9" s="1"/>
  <c r="J301" i="9" s="1"/>
  <c r="AK358" i="9" l="1"/>
  <c r="AL358" i="9"/>
  <c r="AN358" i="9" s="1"/>
  <c r="AH359" i="9" s="1"/>
  <c r="AM359" i="9" s="1"/>
  <c r="M301" i="9"/>
  <c r="O301" i="9"/>
  <c r="L301" i="9"/>
  <c r="AJ359" i="9" l="1"/>
  <c r="AK359" i="9"/>
  <c r="AL359" i="9"/>
  <c r="AN359" i="9" s="1"/>
  <c r="AH360" i="9" s="1"/>
  <c r="N301" i="9"/>
  <c r="P301" i="9" s="1"/>
  <c r="J302" i="9" s="1"/>
  <c r="L302" i="9" s="1"/>
  <c r="AJ360" i="9"/>
  <c r="AM360" i="9"/>
  <c r="AK360" i="9"/>
  <c r="M302" i="9"/>
  <c r="O302" i="9"/>
  <c r="N302" i="9" l="1"/>
  <c r="P302" i="9" s="1"/>
  <c r="J303" i="9" s="1"/>
  <c r="AL360" i="9"/>
  <c r="AN360" i="9" s="1"/>
  <c r="AH361" i="9" s="1"/>
  <c r="AM361" i="9" l="1"/>
  <c r="H25" i="7" s="1"/>
  <c r="H10" i="7" s="1"/>
  <c r="AJ361" i="9"/>
  <c r="AK361" i="9"/>
  <c r="F25" i="7" s="1"/>
  <c r="L303" i="9"/>
  <c r="M303" i="9"/>
  <c r="O303" i="9"/>
  <c r="N303" i="9" l="1"/>
  <c r="P303" i="9" s="1"/>
  <c r="J304" i="9" s="1"/>
  <c r="O304" i="9" s="1"/>
  <c r="H8" i="7"/>
  <c r="G25" i="7"/>
  <c r="H9" i="7" s="1"/>
  <c r="AL361" i="9"/>
  <c r="AN361" i="9" s="1"/>
  <c r="D25" i="7" s="1" a="1"/>
  <c r="D25" i="7" s="1"/>
  <c r="E25" i="7" s="1"/>
  <c r="L304" i="9" l="1"/>
  <c r="M304" i="9"/>
  <c r="H6" i="7"/>
  <c r="N304" i="9" l="1"/>
  <c r="P304" i="9" s="1"/>
  <c r="J305" i="9" s="1"/>
  <c r="H7" i="7"/>
  <c r="E50" i="7"/>
  <c r="D50" i="7"/>
  <c r="C50" i="7" a="1"/>
  <c r="C50" i="7" s="1"/>
  <c r="B50" i="7" a="1"/>
  <c r="B50" i="7" s="1"/>
  <c r="H50" i="7" a="1"/>
  <c r="H50" i="7" s="1"/>
  <c r="G50" i="7"/>
  <c r="F50" i="7"/>
  <c r="C51" i="7" a="1"/>
  <c r="C51" i="7" s="1"/>
  <c r="B51" i="7" a="1"/>
  <c r="B51" i="7" s="1"/>
  <c r="F51" i="7"/>
  <c r="E51" i="7"/>
  <c r="G51" i="7"/>
  <c r="H51" i="7" a="1"/>
  <c r="H51" i="7" s="1"/>
  <c r="D51" i="7"/>
  <c r="D52" i="7"/>
  <c r="F52" i="7"/>
  <c r="G52" i="7"/>
  <c r="C52" i="7" a="1"/>
  <c r="C52" i="7" s="1"/>
  <c r="B52" i="7" a="1"/>
  <c r="B52" i="7" s="1"/>
  <c r="H52" i="7" a="1"/>
  <c r="H52" i="7" s="1"/>
  <c r="E52" i="7"/>
  <c r="C53" i="7" a="1"/>
  <c r="C53" i="7" s="1"/>
  <c r="E53" i="7"/>
  <c r="H53" i="7" a="1"/>
  <c r="H53" i="7" s="1"/>
  <c r="B53" i="7" a="1"/>
  <c r="B53" i="7" s="1"/>
  <c r="F53" i="7"/>
  <c r="D53" i="7"/>
  <c r="G53" i="7"/>
  <c r="H54" i="7" a="1"/>
  <c r="H54" i="7" s="1"/>
  <c r="B54" i="7" a="1"/>
  <c r="B54" i="7" s="1"/>
  <c r="D54" i="7"/>
  <c r="F54" i="7"/>
  <c r="E54" i="7"/>
  <c r="G54" i="7"/>
  <c r="C54" i="7" a="1"/>
  <c r="C54" i="7" s="1"/>
  <c r="D55" i="7"/>
  <c r="F55" i="7"/>
  <c r="H55" i="7" a="1"/>
  <c r="H55" i="7" s="1"/>
  <c r="B55" i="7" a="1"/>
  <c r="B55" i="7" s="1"/>
  <c r="G55" i="7"/>
  <c r="E55" i="7"/>
  <c r="C55" i="7" a="1"/>
  <c r="C55" i="7" s="1"/>
  <c r="B56" i="7" a="1"/>
  <c r="B56" i="7" s="1"/>
  <c r="E56" i="7"/>
  <c r="G56" i="7"/>
  <c r="C56" i="7" a="1"/>
  <c r="C56" i="7" s="1"/>
  <c r="D56" i="7"/>
  <c r="F56" i="7"/>
  <c r="H56" i="7" a="1"/>
  <c r="H56" i="7" s="1"/>
  <c r="F57" i="7"/>
  <c r="H57" i="7" a="1"/>
  <c r="H57" i="7" s="1"/>
  <c r="B57" i="7" a="1"/>
  <c r="B57" i="7" s="1"/>
  <c r="E57" i="7"/>
  <c r="D57" i="7"/>
  <c r="C57" i="7" a="1"/>
  <c r="C57" i="7" s="1"/>
  <c r="G57" i="7"/>
  <c r="F58" i="7"/>
  <c r="H58" i="7" a="1"/>
  <c r="H58" i="7" s="1"/>
  <c r="B58" i="7" a="1"/>
  <c r="B58" i="7" s="1"/>
  <c r="E58" i="7"/>
  <c r="D58" i="7"/>
  <c r="G58" i="7"/>
  <c r="C58" i="7" a="1"/>
  <c r="C58" i="7" s="1"/>
  <c r="H59" i="7" a="1"/>
  <c r="H59" i="7" s="1"/>
  <c r="E59" i="7"/>
  <c r="B59" i="7" a="1"/>
  <c r="B59" i="7" s="1"/>
  <c r="G59" i="7"/>
  <c r="C59" i="7" a="1"/>
  <c r="C59" i="7" s="1"/>
  <c r="D59" i="7"/>
  <c r="F59" i="7"/>
  <c r="F60" i="7"/>
  <c r="B60" i="7" a="1"/>
  <c r="B60" i="7" s="1"/>
  <c r="G60" i="7"/>
  <c r="E60" i="7"/>
  <c r="C60" i="7" a="1"/>
  <c r="C60" i="7" s="1"/>
  <c r="H60" i="7" a="1"/>
  <c r="H60" i="7" s="1"/>
  <c r="D60" i="7"/>
  <c r="E61" i="7"/>
  <c r="C61" i="7" a="1"/>
  <c r="C61" i="7" s="1"/>
  <c r="H61" i="7" a="1"/>
  <c r="H61" i="7" s="1"/>
  <c r="D61" i="7"/>
  <c r="G61" i="7"/>
  <c r="F61" i="7"/>
  <c r="B61" i="7" a="1"/>
  <c r="B61" i="7" s="1"/>
  <c r="E62" i="7"/>
  <c r="C62" i="7" a="1"/>
  <c r="C62" i="7" s="1"/>
  <c r="G62" i="7"/>
  <c r="D62" i="7"/>
  <c r="B62" i="7" a="1"/>
  <c r="B62" i="7" s="1"/>
  <c r="H62" i="7" a="1"/>
  <c r="H62" i="7" s="1"/>
  <c r="F62" i="7"/>
  <c r="E63" i="7"/>
  <c r="C63" i="7" a="1"/>
  <c r="C63" i="7" s="1"/>
  <c r="D63" i="7"/>
  <c r="G63" i="7"/>
  <c r="B63" i="7" a="1"/>
  <c r="B63" i="7" s="1"/>
  <c r="H63" i="7" a="1"/>
  <c r="H63" i="7" s="1"/>
  <c r="F63" i="7"/>
  <c r="H64" i="7" a="1"/>
  <c r="H64" i="7" s="1"/>
  <c r="C64" i="7" a="1"/>
  <c r="C64" i="7" s="1"/>
  <c r="G64" i="7"/>
  <c r="D64" i="7"/>
  <c r="F64" i="7"/>
  <c r="B64" i="7" a="1"/>
  <c r="B64" i="7" s="1"/>
  <c r="E64" i="7"/>
  <c r="G65" i="7"/>
  <c r="C65" i="7" a="1"/>
  <c r="C65" i="7" s="1"/>
  <c r="F65" i="7"/>
  <c r="E65" i="7"/>
  <c r="D65" i="7"/>
  <c r="H65" i="7" a="1"/>
  <c r="H65" i="7" s="1"/>
  <c r="B65" i="7" a="1"/>
  <c r="B65" i="7" s="1"/>
  <c r="B66" i="7" a="1"/>
  <c r="B66" i="7" s="1"/>
  <c r="D66" i="7"/>
  <c r="H66" i="7" a="1"/>
  <c r="H66" i="7" s="1"/>
  <c r="F66" i="7"/>
  <c r="E66" i="7"/>
  <c r="G66" i="7"/>
  <c r="C66" i="7" a="1"/>
  <c r="C66" i="7" s="1"/>
  <c r="H67" i="7" a="1"/>
  <c r="H67" i="7" s="1"/>
  <c r="F67" i="7"/>
  <c r="G67" i="7"/>
  <c r="C67" i="7" a="1"/>
  <c r="C67" i="7" s="1"/>
  <c r="B67" i="7" a="1"/>
  <c r="B67" i="7" s="1"/>
  <c r="E67" i="7"/>
  <c r="D67" i="7"/>
  <c r="C68" i="7" a="1"/>
  <c r="C68" i="7" s="1"/>
  <c r="D68" i="7"/>
  <c r="H68" i="7" a="1"/>
  <c r="H68" i="7" s="1"/>
  <c r="F68" i="7"/>
  <c r="B68" i="7" a="1"/>
  <c r="B68" i="7" s="1"/>
  <c r="E68" i="7"/>
  <c r="G68" i="7"/>
  <c r="H69" i="7" a="1"/>
  <c r="H69" i="7" s="1"/>
  <c r="G69" i="7"/>
  <c r="D69" i="7"/>
  <c r="F69" i="7"/>
  <c r="B69" i="7" a="1"/>
  <c r="B69" i="7" s="1"/>
  <c r="E69" i="7"/>
  <c r="C69" i="7" a="1"/>
  <c r="C69" i="7" s="1"/>
  <c r="B70" i="7" a="1"/>
  <c r="B70" i="7" s="1"/>
  <c r="E70" i="7"/>
  <c r="C70" i="7" a="1"/>
  <c r="C70" i="7" s="1"/>
  <c r="H70" i="7" a="1"/>
  <c r="H70" i="7" s="1"/>
  <c r="G70" i="7"/>
  <c r="D70" i="7"/>
  <c r="F70" i="7"/>
  <c r="B71" i="7" a="1"/>
  <c r="B71" i="7" s="1"/>
  <c r="E71" i="7"/>
  <c r="C71" i="7" a="1"/>
  <c r="C71" i="7" s="1"/>
  <c r="G71" i="7"/>
  <c r="H71" i="7" a="1"/>
  <c r="H71" i="7" s="1"/>
  <c r="D71" i="7"/>
  <c r="F71" i="7"/>
  <c r="G72" i="7"/>
  <c r="C72" i="7" a="1"/>
  <c r="C72" i="7" s="1"/>
  <c r="E72" i="7"/>
  <c r="H72" i="7" a="1"/>
  <c r="H72" i="7" s="1"/>
  <c r="D72" i="7"/>
  <c r="F72" i="7"/>
  <c r="B72" i="7" a="1"/>
  <c r="B72" i="7" s="1"/>
  <c r="D73" i="7"/>
  <c r="F73" i="7"/>
  <c r="B73" i="7" a="1"/>
  <c r="B73" i="7" s="1"/>
  <c r="C73" i="7" a="1"/>
  <c r="C73" i="7" s="1"/>
  <c r="E73" i="7"/>
  <c r="G73" i="7"/>
  <c r="H73" i="7" a="1"/>
  <c r="H73" i="7" s="1"/>
  <c r="C74" i="7" a="1"/>
  <c r="C74" i="7" s="1"/>
  <c r="E74" i="7"/>
  <c r="G74" i="7"/>
  <c r="H74" i="7" a="1"/>
  <c r="H74" i="7" s="1"/>
  <c r="D74" i="7"/>
  <c r="F74" i="7"/>
  <c r="B74" i="7" a="1"/>
  <c r="B74" i="7" s="1"/>
  <c r="E75" i="7"/>
  <c r="H75" i="7" a="1"/>
  <c r="H75" i="7" s="1"/>
  <c r="D75" i="7"/>
  <c r="G75" i="7"/>
  <c r="F75" i="7"/>
  <c r="C75" i="7" a="1"/>
  <c r="C75" i="7" s="1"/>
  <c r="B75" i="7" a="1"/>
  <c r="B75" i="7" s="1"/>
  <c r="C76" i="7" a="1"/>
  <c r="C76" i="7" s="1"/>
  <c r="B76" i="7" a="1"/>
  <c r="B76" i="7" s="1"/>
  <c r="G76" i="7"/>
  <c r="H76" i="7" a="1"/>
  <c r="H76" i="7" s="1"/>
  <c r="D76" i="7"/>
  <c r="F76" i="7"/>
  <c r="E76" i="7"/>
  <c r="G77" i="7"/>
  <c r="F77" i="7"/>
  <c r="H77" i="7" a="1"/>
  <c r="H77" i="7" s="1"/>
  <c r="D77" i="7"/>
  <c r="B77" i="7" a="1"/>
  <c r="B77" i="7" s="1"/>
  <c r="E77" i="7"/>
  <c r="C77" i="7" a="1"/>
  <c r="C77" i="7" s="1"/>
  <c r="H78" i="7" a="1"/>
  <c r="H78" i="7" s="1"/>
  <c r="B78" i="7" a="1"/>
  <c r="B78" i="7" s="1"/>
  <c r="D78" i="7"/>
  <c r="F78" i="7"/>
  <c r="C78" i="7" a="1"/>
  <c r="C78" i="7" s="1"/>
  <c r="E78" i="7"/>
  <c r="G78" i="7"/>
  <c r="G79" i="7"/>
  <c r="H79" i="7" a="1"/>
  <c r="H79" i="7" s="1"/>
  <c r="D79" i="7"/>
  <c r="F79" i="7"/>
  <c r="B79" i="7" a="1"/>
  <c r="B79" i="7" s="1"/>
  <c r="C79" i="7" a="1"/>
  <c r="C79" i="7" s="1"/>
  <c r="E79" i="7"/>
  <c r="L305" i="9" l="1"/>
  <c r="M305" i="9"/>
  <c r="O305" i="9"/>
  <c r="N305" i="9" l="1"/>
  <c r="P305" i="9" s="1"/>
  <c r="J306" i="9" s="1"/>
  <c r="M306" i="9" l="1"/>
  <c r="O306" i="9"/>
  <c r="L306" i="9"/>
  <c r="N306" i="9" l="1"/>
  <c r="P306" i="9" s="1"/>
  <c r="J307" i="9" s="1"/>
  <c r="L307" i="9" s="1"/>
  <c r="M307" i="9"/>
  <c r="O307" i="9" l="1"/>
  <c r="N307" i="9"/>
  <c r="P307" i="9" s="1"/>
  <c r="J308" i="9" s="1"/>
  <c r="M308" i="9" s="1"/>
  <c r="O308" i="9" l="1"/>
  <c r="L308" i="9"/>
  <c r="N308" i="9" s="1"/>
  <c r="P308" i="9"/>
  <c r="J309" i="9" s="1"/>
  <c r="O309" i="9" l="1"/>
  <c r="L309" i="9"/>
  <c r="M309" i="9"/>
  <c r="N309" i="9" l="1"/>
  <c r="P309" i="9" s="1"/>
  <c r="J310" i="9" s="1"/>
  <c r="M310" i="9" l="1"/>
  <c r="L310" i="9"/>
  <c r="N310" i="9" s="1"/>
  <c r="O310" i="9"/>
  <c r="P310" i="9" l="1"/>
  <c r="J311" i="9" s="1"/>
  <c r="L311" i="9" l="1"/>
  <c r="M311" i="9"/>
  <c r="O311" i="9"/>
  <c r="N311" i="9" l="1"/>
  <c r="P311" i="9" s="1"/>
  <c r="J312" i="9" s="1"/>
  <c r="L312" i="9" l="1"/>
  <c r="O312" i="9"/>
  <c r="M312" i="9"/>
  <c r="N312" i="9" l="1"/>
  <c r="P312" i="9" s="1"/>
  <c r="J313" i="9" s="1"/>
  <c r="L313" i="9" l="1"/>
  <c r="M313" i="9"/>
  <c r="O313" i="9"/>
  <c r="N313" i="9" l="1"/>
  <c r="P313" i="9" s="1"/>
  <c r="J314" i="9" s="1"/>
  <c r="L314" i="9" l="1"/>
  <c r="M314" i="9"/>
  <c r="O314" i="9"/>
  <c r="N314" i="9" l="1"/>
  <c r="P314" i="9" s="1"/>
  <c r="J315" i="9" s="1"/>
  <c r="M315" i="9" l="1"/>
  <c r="L315" i="9"/>
  <c r="N315" i="9" s="1"/>
  <c r="O315" i="9"/>
  <c r="P315" i="9" l="1"/>
  <c r="J316" i="9" s="1"/>
  <c r="L316" i="9" l="1"/>
  <c r="O316" i="9"/>
  <c r="M316" i="9"/>
  <c r="N316" i="9" l="1"/>
  <c r="P316" i="9" s="1"/>
  <c r="J317" i="9" s="1"/>
  <c r="L317" i="9" l="1"/>
  <c r="M317" i="9"/>
  <c r="O317" i="9"/>
  <c r="N317" i="9" l="1"/>
  <c r="P317" i="9" s="1"/>
  <c r="J318" i="9" s="1"/>
  <c r="O318" i="9" l="1"/>
  <c r="M318" i="9"/>
  <c r="L318" i="9"/>
  <c r="N318" i="9" s="1"/>
  <c r="P318" i="9" s="1"/>
  <c r="J319" i="9" s="1"/>
  <c r="O319" i="9" l="1"/>
  <c r="M319" i="9"/>
  <c r="L319" i="9"/>
  <c r="N319" i="9" s="1"/>
  <c r="P319" i="9" s="1"/>
  <c r="J320" i="9" s="1"/>
  <c r="L320" i="9" s="1"/>
  <c r="M320" i="9" l="1"/>
  <c r="O320" i="9"/>
  <c r="N320" i="9"/>
  <c r="P320" i="9" s="1"/>
  <c r="J321" i="9" s="1"/>
  <c r="M321" i="9" l="1"/>
  <c r="O321" i="9"/>
  <c r="L321" i="9"/>
  <c r="N321" i="9" s="1"/>
  <c r="P321" i="9" s="1"/>
  <c r="J322" i="9" s="1"/>
  <c r="O322" i="9" l="1"/>
  <c r="M322" i="9"/>
  <c r="L322" i="9"/>
  <c r="N322" i="9" s="1"/>
  <c r="P322" i="9" s="1"/>
  <c r="J323" i="9" s="1"/>
  <c r="L323" i="9" l="1"/>
  <c r="M323" i="9"/>
  <c r="O323" i="9"/>
  <c r="N323" i="9" l="1"/>
  <c r="P323" i="9" s="1"/>
  <c r="J324" i="9" s="1"/>
  <c r="O324" i="9" l="1"/>
  <c r="M324" i="9"/>
  <c r="L324" i="9"/>
  <c r="N324" i="9" s="1"/>
  <c r="P324" i="9" s="1"/>
  <c r="J325" i="9" s="1"/>
  <c r="M325" i="9" l="1"/>
  <c r="O325" i="9"/>
  <c r="L325" i="9"/>
  <c r="N325" i="9" s="1"/>
  <c r="P325" i="9" s="1"/>
  <c r="J326" i="9" s="1"/>
  <c r="L326" i="9" l="1"/>
  <c r="M326" i="9"/>
  <c r="O326" i="9"/>
  <c r="N326" i="9" l="1"/>
  <c r="P326" i="9" s="1"/>
  <c r="J327" i="9" s="1"/>
  <c r="L327" i="9" l="1"/>
  <c r="M327" i="9"/>
  <c r="O327" i="9"/>
  <c r="N327" i="9" l="1"/>
  <c r="P327" i="9" s="1"/>
  <c r="J328" i="9" s="1"/>
  <c r="L328" i="9" l="1"/>
  <c r="O328" i="9"/>
  <c r="M328" i="9"/>
  <c r="N328" i="9" l="1"/>
  <c r="P328" i="9" s="1"/>
  <c r="J329" i="9" s="1"/>
  <c r="M329" i="9" l="1"/>
  <c r="O329" i="9"/>
  <c r="L329" i="9"/>
  <c r="N329" i="9" s="1"/>
  <c r="P329" i="9" s="1"/>
  <c r="J330" i="9" s="1"/>
  <c r="M330" i="9" l="1"/>
  <c r="O330" i="9"/>
  <c r="L330" i="9"/>
  <c r="N330" i="9" l="1"/>
  <c r="P330" i="9" s="1"/>
  <c r="J331" i="9" s="1"/>
  <c r="M331" i="9" s="1"/>
  <c r="O331" i="9" l="1"/>
  <c r="L331" i="9"/>
  <c r="N331" i="9"/>
  <c r="P331" i="9" s="1"/>
  <c r="J332" i="9" s="1"/>
  <c r="L332" i="9" l="1"/>
  <c r="M332" i="9"/>
  <c r="O332" i="9"/>
  <c r="N332" i="9" l="1"/>
  <c r="P332" i="9" s="1"/>
  <c r="J333" i="9" s="1"/>
  <c r="L333" i="9" l="1"/>
  <c r="M333" i="9"/>
  <c r="O333" i="9"/>
  <c r="N333" i="9" l="1"/>
  <c r="P333" i="9" s="1"/>
  <c r="J334" i="9" s="1"/>
  <c r="O334" i="9" l="1"/>
  <c r="L334" i="9"/>
  <c r="M334" i="9"/>
  <c r="N334" i="9" l="1"/>
  <c r="P334" i="9" s="1"/>
  <c r="J335" i="9" s="1"/>
  <c r="O335" i="9" l="1"/>
  <c r="L335" i="9"/>
  <c r="M335" i="9"/>
  <c r="N335" i="9" l="1"/>
  <c r="P335" i="9" s="1"/>
  <c r="J336" i="9" s="1"/>
  <c r="L336" i="9" l="1"/>
  <c r="M336" i="9"/>
  <c r="O336" i="9"/>
  <c r="N336" i="9" l="1"/>
  <c r="P336" i="9" s="1"/>
  <c r="J337" i="9" s="1"/>
  <c r="L337" i="9" l="1"/>
  <c r="M337" i="9"/>
  <c r="O337" i="9"/>
  <c r="N337" i="9" l="1"/>
  <c r="P337" i="9" s="1"/>
  <c r="J338" i="9" s="1"/>
  <c r="L338" i="9" l="1"/>
  <c r="M338" i="9"/>
  <c r="O338" i="9"/>
  <c r="N338" i="9" l="1"/>
  <c r="P338" i="9" s="1"/>
  <c r="J339" i="9" s="1"/>
  <c r="L339" i="9" l="1"/>
  <c r="O339" i="9"/>
  <c r="M339" i="9"/>
  <c r="N339" i="9" l="1"/>
  <c r="P339" i="9" s="1"/>
  <c r="J340" i="9" s="1"/>
  <c r="O340" i="9" l="1"/>
  <c r="M340" i="9"/>
  <c r="L340" i="9"/>
  <c r="N340" i="9" l="1"/>
  <c r="P340" i="9" s="1"/>
  <c r="J341" i="9" s="1"/>
  <c r="O341" i="9" s="1"/>
  <c r="M341" i="9" l="1"/>
  <c r="L341" i="9"/>
  <c r="N341" i="9" s="1"/>
  <c r="P341" i="9" s="1"/>
  <c r="J342" i="9" s="1"/>
  <c r="L342" i="9" l="1"/>
  <c r="M342" i="9"/>
  <c r="O342" i="9"/>
  <c r="N342" i="9" l="1"/>
  <c r="P342" i="9" s="1"/>
  <c r="J343" i="9" s="1"/>
  <c r="L343" i="9" l="1"/>
  <c r="M343" i="9"/>
  <c r="O343" i="9"/>
  <c r="N343" i="9" l="1"/>
  <c r="P343" i="9" s="1"/>
  <c r="J344" i="9" s="1"/>
  <c r="L344" i="9" l="1"/>
  <c r="O344" i="9"/>
  <c r="M344" i="9"/>
  <c r="N344" i="9" l="1"/>
  <c r="P344" i="9" s="1"/>
  <c r="J345" i="9" s="1"/>
  <c r="M345" i="9" l="1"/>
  <c r="L345" i="9"/>
  <c r="O345" i="9"/>
  <c r="N345" i="9" l="1"/>
  <c r="P345" i="9" s="1"/>
  <c r="J346" i="9" s="1"/>
  <c r="M346" i="9" l="1"/>
  <c r="O346" i="9"/>
  <c r="L346" i="9"/>
  <c r="N346" i="9" s="1"/>
  <c r="P346" i="9" s="1"/>
  <c r="J347" i="9" s="1"/>
  <c r="O347" i="9" l="1"/>
  <c r="L347" i="9"/>
  <c r="M347" i="9"/>
  <c r="N347" i="9" l="1"/>
  <c r="P347" i="9" s="1"/>
  <c r="J348" i="9" s="1"/>
  <c r="M348" i="9" l="1"/>
  <c r="O348" i="9"/>
  <c r="L348" i="9"/>
  <c r="N348" i="9" l="1"/>
  <c r="P348" i="9" s="1"/>
  <c r="J349" i="9" s="1"/>
  <c r="O349" i="9" s="1"/>
  <c r="M349" i="9"/>
  <c r="L349" i="9"/>
  <c r="N349" i="9" s="1"/>
  <c r="P349" i="9" l="1"/>
  <c r="J350" i="9" s="1"/>
  <c r="L350" i="9" s="1"/>
  <c r="M350" i="9" l="1"/>
  <c r="O350" i="9"/>
  <c r="N350" i="9"/>
  <c r="P350" i="9" s="1"/>
  <c r="J351" i="9" s="1"/>
  <c r="L351" i="9" l="1"/>
  <c r="M351" i="9"/>
  <c r="O351" i="9"/>
  <c r="N351" i="9" l="1"/>
  <c r="P351" i="9" s="1"/>
  <c r="J352" i="9" s="1"/>
  <c r="M352" i="9" l="1"/>
  <c r="O352" i="9"/>
  <c r="L352" i="9"/>
  <c r="N352" i="9" s="1"/>
  <c r="P352" i="9" s="1"/>
  <c r="J353" i="9" s="1"/>
  <c r="L353" i="9" l="1"/>
  <c r="O353" i="9"/>
  <c r="M353" i="9"/>
  <c r="N353" i="9" l="1"/>
  <c r="P353" i="9" s="1"/>
  <c r="J354" i="9" s="1"/>
  <c r="O354" i="9" l="1"/>
  <c r="L354" i="9"/>
  <c r="M354" i="9"/>
  <c r="N354" i="9" l="1"/>
  <c r="P354" i="9" s="1"/>
  <c r="J355" i="9" s="1"/>
  <c r="O355" i="9" l="1"/>
  <c r="L355" i="9"/>
  <c r="M355" i="9"/>
  <c r="N355" i="9" l="1"/>
  <c r="P355" i="9" s="1"/>
  <c r="J356" i="9" s="1"/>
  <c r="L356" i="9" l="1"/>
  <c r="M356" i="9"/>
  <c r="O356" i="9"/>
  <c r="N356" i="9" l="1"/>
  <c r="P356" i="9" s="1"/>
  <c r="J357" i="9" s="1"/>
  <c r="L357" i="9" l="1"/>
  <c r="M357" i="9"/>
  <c r="O357" i="9"/>
  <c r="N357" i="9" l="1"/>
  <c r="P357" i="9" s="1"/>
  <c r="J358" i="9" s="1"/>
  <c r="O358" i="9" l="1"/>
  <c r="L358" i="9"/>
  <c r="M358" i="9"/>
  <c r="N358" i="9" l="1"/>
  <c r="P358" i="9" s="1"/>
  <c r="J359" i="9" s="1"/>
  <c r="M359" i="9" l="1"/>
  <c r="O359" i="9"/>
  <c r="L359" i="9"/>
  <c r="N359" i="9" s="1"/>
  <c r="P359" i="9" s="1"/>
  <c r="J360" i="9" s="1"/>
  <c r="O360" i="9" l="1"/>
  <c r="L360" i="9"/>
  <c r="M360" i="9"/>
  <c r="N360" i="9" l="1"/>
  <c r="P360" i="9" s="1"/>
  <c r="J361" i="9" s="1"/>
  <c r="L361" i="9" l="1"/>
  <c r="M361" i="9"/>
  <c r="F22" i="7" s="1"/>
  <c r="G22" i="7" s="1"/>
  <c r="O361" i="9"/>
  <c r="H22" i="7" l="1"/>
  <c r="N361" i="9"/>
  <c r="P361" i="9" s="1"/>
  <c r="D22" i="7" s="1" a="1"/>
  <c r="D22" i="7" s="1"/>
  <c r="E2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<sst xmlns="http://schemas.openxmlformats.org/spreadsheetml/2006/main" count="616" uniqueCount="494">
  <si>
    <t>Property Price (₹)</t>
  </si>
  <si>
    <t>Loan Amount (₹)</t>
  </si>
  <si>
    <t>Loan Interest (% per year)</t>
  </si>
  <si>
    <t>Tenure (years)</t>
  </si>
  <si>
    <t>Maintenance (% per year)</t>
  </si>
  <si>
    <t>Property Appreciation (% per year)</t>
  </si>
  <si>
    <t>Inflation (% per year)</t>
  </si>
  <si>
    <t>SIP Return (% per year)</t>
  </si>
  <si>
    <t>EMI &amp; PROPERTY SUMMARY</t>
  </si>
  <si>
    <t>Down Payment</t>
  </si>
  <si>
    <t>Monthly EMI</t>
  </si>
  <si>
    <t>Total EMI Paid</t>
  </si>
  <si>
    <t>Net Interest Paid</t>
  </si>
  <si>
    <t>Loan-to-Value Ratio</t>
  </si>
  <si>
    <t>First-Year Maintenance</t>
  </si>
  <si>
    <t>Total Maintenance (20 Years)</t>
  </si>
  <si>
    <t>SIP INVESTMENT SUMMARY</t>
  </si>
  <si>
    <t>Lump Sum Investment</t>
  </si>
  <si>
    <t>Monthly SIP</t>
  </si>
  <si>
    <t>Total Amount Invested</t>
  </si>
  <si>
    <t>SIP Future Value (Nominal)</t>
  </si>
  <si>
    <t>Inflation-Adjusted SIP Value</t>
  </si>
  <si>
    <t>Investment Gain (Nominal)</t>
  </si>
  <si>
    <t>Real Gain After LTCG &amp; Inflation</t>
  </si>
  <si>
    <t>Property Future Value (Gross Nominal)</t>
  </si>
  <si>
    <t>Property Future Value (Gross Real)</t>
  </si>
  <si>
    <t>Purchase price used as the starting value of the property.</t>
  </si>
  <si>
    <t>Principal financed through the home loan.</t>
  </si>
  <si>
    <t>Annual nominal loan rate; the EMI calculation uses a monthly rate.</t>
  </si>
  <si>
    <t>Loan and investment comparison period in years.</t>
  </si>
  <si>
    <t>Annual maintenance assumption; this model keeps the first-year rupee amount flat.</t>
  </si>
  <si>
    <t>Expected annual compound growth rate of the property value.</t>
  </si>
  <si>
    <t>Annual rate used to convert future amounts into today’s purchasing power.</t>
  </si>
  <si>
    <t>Expected annual SIP return; monthly contributions are compounded monthly.</t>
  </si>
  <si>
    <t>Property price less the loan amount; also used as the SIP lump sum.</t>
  </si>
  <si>
    <t>Fixed monthly loan payment of principal and interest.</t>
  </si>
  <si>
    <t>Monthly EMI multiplied by the full number of loan months.</t>
  </si>
  <si>
    <t>Total EMI paid less the original loan principal.</t>
  </si>
  <si>
    <t>Loan amount divided by property price.</t>
  </si>
  <si>
    <t>Property price multiplied by the annual maintenance rate.</t>
  </si>
  <si>
    <t>First-year maintenance multiplied by tenure; no annual escalation is modeled.</t>
  </si>
  <si>
    <t>Estimated property value at the end of the tenure before inflation adjustment.</t>
  </si>
  <si>
    <t>Gross future property value expressed in today’s rupees.</t>
  </si>
  <si>
    <t>One-time investment equal to the house down payment.</t>
  </si>
  <si>
    <t>Monthly investment equal to the home-loan EMI.</t>
  </si>
  <si>
    <t>Lump sum plus all monthly SIP contributions; returns are excluded.</t>
  </si>
  <si>
    <t>Future value of the lump sum and monthly SIP contributions before tax and inflation.</t>
  </si>
  <si>
    <t>Nominal SIP future value expressed in today’s rupees.</t>
  </si>
  <si>
    <t>SIP future value less total contributions, before tax.</t>
  </si>
  <si>
    <t>HOUSE VS SIP — DECISION ANALYSIS</t>
  </si>
  <si>
    <t>Comparison uses the assumptions above over the same 20-year horizon.</t>
  </si>
  <si>
    <t>Metric</t>
  </si>
  <si>
    <t>House</t>
  </si>
  <si>
    <t>SIP</t>
  </si>
  <si>
    <t>Total modeled cash outlay</t>
  </si>
  <si>
    <t>Nominal future value</t>
  </si>
  <si>
    <t>Inflation-adjusted future value</t>
  </si>
  <si>
    <t>Real gain after modeled costs / tax</t>
  </si>
  <si>
    <t>House advantage / (SIP advantage)</t>
  </si>
  <si>
    <t>Net Property Gain (After Maintenance &amp; Interest)</t>
  </si>
  <si>
    <t>Nominal property value less purchase price, modeled maintenance, and total home-loan interest.</t>
  </si>
  <si>
    <t>Real Property Gain (After Maintenance &amp; Interest)</t>
  </si>
  <si>
    <t>Inflation-adjusted property gain after purchase price, present value of maintenance, and loan interest discounted year-by-year.</t>
  </si>
  <si>
    <t>LTCG Tax (12.5%, ₹1.25L Exemption)</t>
  </si>
  <si>
    <t>Tax on the nominal investment gain above the ₹1,25,000 exemption, assuming one final redemption.</t>
  </si>
  <si>
    <t>Post-Tax Investment Gain (Nominal)</t>
  </si>
  <si>
    <t>Nominal investment gain remaining after deducting the modeled LTCG tax.</t>
  </si>
  <si>
    <t>Post-Tax Future Value (Nominal)</t>
  </si>
  <si>
    <t>Total amount invested plus the post-tax nominal investment gain; this is the post-tax corpus after 20 years.</t>
  </si>
  <si>
    <t>Post-Tax Future Value (Real)</t>
  </si>
  <si>
    <t>Post-tax future value after adjusting the full corpus for inflation; this is the value after 20 years in today’s rupees.</t>
  </si>
  <si>
    <t>Interest Rate (% per year)</t>
  </si>
  <si>
    <t>EMI CALCULATOR &amp; YEARLY REPAYMENT SCHEDULE</t>
  </si>
  <si>
    <t>Edit the loan inputs below; the summary and annual amortization schedule recalculate automatically.</t>
  </si>
  <si>
    <t>LOAN INPUTS</t>
  </si>
  <si>
    <t>LOAN SUMMARY</t>
  </si>
  <si>
    <t>Total Payment</t>
  </si>
  <si>
    <t>Total Interest</t>
  </si>
  <si>
    <t>Total Principal</t>
  </si>
  <si>
    <t>YEARLY PAYMENT SCHEDULE</t>
  </si>
  <si>
    <t>Year</t>
  </si>
  <si>
    <t>Opening Balance</t>
  </si>
  <si>
    <t>EMI Paid</t>
  </si>
  <si>
    <t>Principal Paid</t>
  </si>
  <si>
    <t>Interest Paid</t>
  </si>
  <si>
    <t>Closing Balance</t>
  </si>
  <si>
    <t>Monthly SIP Amount (₹)</t>
  </si>
  <si>
    <t>Expected Return (% per year)</t>
  </si>
  <si>
    <t>Lumpsum at start</t>
  </si>
  <si>
    <t>SIP GROWTH &amp; YEARLY VALUE SCHEDULE</t>
  </si>
  <si>
    <t>Edit the assumptions below; the summary and yearly schedule recalculate automatically.</t>
  </si>
  <si>
    <t>INVESTMENT INPUTS</t>
  </si>
  <si>
    <t>INVESTMENT SUMMARY</t>
  </si>
  <si>
    <t>LTCG Tax Rate (%)</t>
  </si>
  <si>
    <t>LTCG Exemption (₹)</t>
  </si>
  <si>
    <t>Future Value (Nominal)</t>
  </si>
  <si>
    <t>Estimated LTCG Tax</t>
  </si>
  <si>
    <t>Post-Tax Value (Nominal)</t>
  </si>
  <si>
    <t>Post-Tax Value (Real)</t>
  </si>
  <si>
    <t>Real Gain vs Contributions</t>
  </si>
  <si>
    <t>Tax assumption: each row estimates tax if the full portfolio were redeemed at that year-end and all gains qualified for Section 112A LTCG. It excludes cess, surcharge, expense ratios, and the short-term status of recent SIP instalments.</t>
  </si>
  <si>
    <t>YEARLY SIP GROWTH SCHEDULE</t>
  </si>
  <si>
    <t>Opening Value</t>
  </si>
  <si>
    <t>Annual SIP</t>
  </si>
  <si>
    <t>Total Invested</t>
  </si>
  <si>
    <t>Nominal Value</t>
  </si>
  <si>
    <t>Nominal Gain</t>
  </si>
  <si>
    <t>Post-Tax Value</t>
  </si>
  <si>
    <t>Post-Tax Real Value</t>
  </si>
  <si>
    <t>HOW TO READ THE RESULTS</t>
  </si>
  <si>
    <t>INPUT GUIDE</t>
  </si>
  <si>
    <t>Input</t>
  </si>
  <si>
    <t>How it affects the model</t>
  </si>
  <si>
    <t>Current value</t>
  </si>
  <si>
    <t>One-time amount invested immediately; it compounds for the entire selected tenure.</t>
  </si>
  <si>
    <t>Monthly SIP amount</t>
  </si>
  <si>
    <t>Contribution made at the end of every month; annual contribution shown in the table equals 12 monthly SIPs.</t>
  </si>
  <si>
    <t>Expected annual return</t>
  </si>
  <si>
    <t>Nominal annual return divided by 12 for monthly compounding; it is an assumption, not a guaranteed return.</t>
  </si>
  <si>
    <t>Tenure</t>
  </si>
  <si>
    <t>Number of years projected and the number of yearly rows generated in the schedule.</t>
  </si>
  <si>
    <t>Inflation</t>
  </si>
  <si>
    <t>Used to discount each year’s post-tax nominal value into today’s purchasing power.</t>
  </si>
  <si>
    <t>LTCG tax rate</t>
  </si>
  <si>
    <t>Tax percentage applied to estimated qualifying gains above the exemption on a full redemption.</t>
  </si>
  <si>
    <t>LTCG exemption</t>
  </si>
  <si>
    <t>Amount of qualifying long-term capital gain excluded from the simplified tax calculation.</t>
  </si>
  <si>
    <t>OUTPUT &amp; CALCULATION FLOW</t>
  </si>
  <si>
    <t>Output</t>
  </si>
  <si>
    <t>Meaning / calculation flow</t>
  </si>
  <si>
    <t>Total amount invested</t>
  </si>
  <si>
    <t>Lumpsum + monthly SIP × 12 × tenure. This is contributed capital, excluding returns.</t>
  </si>
  <si>
    <t>Future value (nominal)</t>
  </si>
  <si>
    <t>Lumpsum growth plus the future value of all month-end SIP contributions before tax and inflation.</t>
  </si>
  <si>
    <t>Investment gain (nominal)</t>
  </si>
  <si>
    <t>Nominal future value less total amount invested.</t>
  </si>
  <si>
    <t>Estimated LTCG tax</t>
  </si>
  <si>
    <t>Maximum of zero and (nominal gain − exemption), multiplied by the LTCG tax rate.</t>
  </si>
  <si>
    <t>Post-tax value (nominal)</t>
  </si>
  <si>
    <t>Nominal future value less estimated LTCG tax.</t>
  </si>
  <si>
    <t>Post-tax value (real)</t>
  </si>
  <si>
    <t>Post-tax nominal value divided by (1 + inflation rate) raised to the elapsed years.</t>
  </si>
  <si>
    <t>Real gain vs contributions</t>
  </si>
  <si>
    <t>Post-tax real value less nominal contributions; useful as a simple comparison, but not a true cash-flow-adjusted real return.</t>
  </si>
  <si>
    <t>ASSUMPTIONS &amp; LIMITATIONS</t>
  </si>
  <si>
    <t>1. Returns are constant and compounded monthly; actual market returns will vary and may include losses.</t>
  </si>
  <si>
    <t>2. Monthly SIPs are assumed to occur at each month-end, with no missed payments, step-up SIP, withdrawals, or rebalancing.</t>
  </si>
  <si>
    <t>3. Tax is estimated as if the full portfolio were redeemed at each year-end and all gains qualified for Section 112A LTCG. Recent SIP instalments may actually be short-term; cess, surcharge, grandfathering, loss set-off, and tax harvesting are excluded.</t>
  </si>
  <si>
    <t>4. Expense ratios, exit loads, transaction costs, tracking error, and advisory fees are excluded, so actual net values may be lower.</t>
  </si>
  <si>
    <t>5. Inflation is assumed constant. “Real value” means purchasing power in today’s rupees, not the amount visible in the future account statement.</t>
  </si>
  <si>
    <t>6. This is an illustration for scenario comparison, not a return guarantee, tax filing computation, or personalized investment recommendation.</t>
  </si>
  <si>
    <t>Loan amount</t>
  </si>
  <si>
    <t>Principal borrowed. A larger amount increases the EMI, total repayment, and total interest proportionally.</t>
  </si>
  <si>
    <t>Annual interest rate</t>
  </si>
  <si>
    <t>Nominal annual borrowing rate divided by 12 for the monthly EMI and amortization calculations.</t>
  </si>
  <si>
    <t>Repayment period in years. A longer tenure usually lowers EMI but increases total interest.</t>
  </si>
  <si>
    <t>Fixed monthly payment calculated using the loan amount, monthly interest rate, and total number of monthly payments.</t>
  </si>
  <si>
    <t>Total payment</t>
  </si>
  <si>
    <t>Monthly EMI × 12 × tenure. This is the total cash paid to the lender if the rate and schedule remain unchanged.</t>
  </si>
  <si>
    <t>Total interest</t>
  </si>
  <si>
    <t>Total payment less the original loan amount. It is the modeled cost of borrowing before fees, taxes, or benefits.</t>
  </si>
  <si>
    <t>Opening balance</t>
  </si>
  <si>
    <t>Outstanding principal at the beginning of each year.</t>
  </si>
  <si>
    <t>Principal paid</t>
  </si>
  <si>
    <t>The part of that year’s EMIs that reduces the outstanding loan balance.</t>
  </si>
  <si>
    <t>Interest paid</t>
  </si>
  <si>
    <t>The part of that year’s EMIs charged as borrowing cost; it generally declines as the balance falls.</t>
  </si>
  <si>
    <t>Closing balance</t>
  </si>
  <si>
    <t>Opening balance less principal paid. It becomes the next year’s opening balance and reaches zero at maturity.</t>
  </si>
  <si>
    <t>1. The interest rate is fixed for the full tenure and interest is calculated monthly on the reducing principal balance.</t>
  </si>
  <si>
    <t>2. EMIs are paid at each month-end, on time, with no missed payments, prepayments, part-payments, moratorium, or refinancing.</t>
  </si>
  <si>
    <t>3. The schedule excludes processing fees, insurance, legal charges, penalties, taxes, and other lender costs.</t>
  </si>
  <si>
    <t>4. Home-loan tax deductions or subsidies are excluded; actual after-tax borrowing cost depends on eligibility and tax rules.</t>
  </si>
  <si>
    <t>5. Values are rounded for display, so displayed yearly figures may differ slightly from exact underlying formulas.</t>
  </si>
  <si>
    <t>6. This is an illustration of a standard amortizing loan; the lender’s actual schedule may differ because of payment dates, day-count conventions, or rate resets.</t>
  </si>
  <si>
    <t>HOME FINANCE PLANNING WORKBOOK</t>
  </si>
  <si>
    <t>CONTENTS</t>
  </si>
  <si>
    <t>PURPOSE</t>
  </si>
  <si>
    <t>Rent vs Buy</t>
  </si>
  <si>
    <t>Compares purchasing a home with renting and investing the avoided down payment and monthly savings.</t>
  </si>
  <si>
    <t>Home Loan Analysis</t>
  </si>
  <si>
    <t>Evaluates home ownership against SIP investing under common long-term assumptions.</t>
  </si>
  <si>
    <t>EMI Calculator</t>
  </si>
  <si>
    <t>Calculates EMI and provides a yearly principal-and-interest repayment schedule.</t>
  </si>
  <si>
    <t>SIP Growth</t>
  </si>
  <si>
    <t>Projects yearly SIP growth, tax, inflation-adjusted value, and model assumptions.</t>
  </si>
  <si>
    <t>RENT VS BUY — LONG-TERM WEALTH COMPARISON</t>
  </si>
  <si>
    <t>MODEL INPUTS</t>
  </si>
  <si>
    <t>DECISION SUMMARY</t>
  </si>
  <si>
    <t>HOW TO READ THE RESULT</t>
  </si>
  <si>
    <t>Loan Interest (% p.a.)</t>
  </si>
  <si>
    <t>Maintenance (% p.a.)</t>
  </si>
  <si>
    <t>Property Appreciation (% p.a.)</t>
  </si>
  <si>
    <t>Inflation (% p.a.)</t>
  </si>
  <si>
    <t>Investment Return (% p.a.)</t>
  </si>
  <si>
    <t>Starting Monthly Rent (₹)</t>
  </si>
  <si>
    <t>Annual Rent Increase (%)</t>
  </si>
  <si>
    <t>Buyer Total Cash Outlay</t>
  </si>
  <si>
    <t>Total Rent Paid</t>
  </si>
  <si>
    <t>Buy Net Wealth (Real)</t>
  </si>
  <si>
    <t>Rent + Invest Wealth (Real)</t>
  </si>
  <si>
    <t>Buy Advantage / (Rent Advantage)</t>
  </si>
  <si>
    <t>Current Decision</t>
  </si>
  <si>
    <t>KEY ASSUMPTIONS &amp; LIMITATIONS</t>
  </si>
  <si>
    <t>1. Buyer wealth equals property value less outstanding loan; both are inflation-adjusted for the real comparison.</t>
  </si>
  <si>
    <t>2. The buyer pays EMI and flat annual maintenance. The renter invests the monthly difference; if rent exceeds ownership cost, the model treats the difference as a portfolio withdrawal.</t>
  </si>
  <si>
    <t>3. Renter tax assumes a full year-end redemption and qualifying Section 112A LTCG above the exemption. Recent SIP instalments, cess, surcharge, and tax harvesting are excluded.</t>
  </si>
  <si>
    <t>4. Stamp duty, registration, property tax, insurance, selling costs, loan tax benefits, rent deposits, moving costs, investment fees, and liquidity or risk differences are excluded.</t>
  </si>
  <si>
    <t>5. Returns, appreciation, inflation, rent escalation, and interest rates are constant assumptions—not forecasts or guarantees.</t>
  </si>
  <si>
    <t>6. Net contributions after any modeled withdrawals are used as a simplified tax cost basis; actual tax-lot calculations may differ.</t>
  </si>
  <si>
    <t>YEARLY RENT VS BUY WEALTH SCHEDULE</t>
  </si>
  <si>
    <t>Annual Rent</t>
  </si>
  <si>
    <t>Monthly Invest Difference</t>
  </si>
  <si>
    <t>Renter Net Contributions</t>
  </si>
  <si>
    <t>Property Value</t>
  </si>
  <si>
    <t>Loan Balance</t>
  </si>
  <si>
    <t>Buy Net Wealth</t>
  </si>
  <si>
    <t>Renter Portfolio</t>
  </si>
  <si>
    <t>Estimated Tax</t>
  </si>
  <si>
    <t>Renter Post-Tax Wealth (Real)</t>
  </si>
  <si>
    <t>Buying means living in the ready-possession home and repaying the loan over the selected tenure; renting means investing the avoided down payment plus EMI and maintenance saved after paying rent.</t>
  </si>
  <si>
    <t>NOMINAL VS REAL WEALTH — A SIMPLE GUIDE</t>
  </si>
  <si>
    <t>Why a large future amount may not buy as much as it appears to—and how inflation-adjusted values improve financial decisions.</t>
  </si>
  <si>
    <t>1. THE BASIC IDEA</t>
  </si>
  <si>
    <t>Nominal wealth is the amount of money shown in your future account statement. It is measured in future rupees and does not adjust for rising prices. If your portfolio becomes ₹1 crore after 20 years, ₹1 crore is its nominal value.</t>
  </si>
  <si>
    <t>Real wealth expresses that future money in today’s purchasing power. It answers a more practical question: “What would this future amount be able to buy compared with what money can buy today?”</t>
  </si>
  <si>
    <t>The difference matters because inflation normally raises the prices of food, housing, education, healthcare, travel, and other expenses. As prices rise, each rupee buys less.</t>
  </si>
  <si>
    <t>2. NOMINAL AND REAL WEALTH COMPARED</t>
  </si>
  <si>
    <t>Term</t>
  </si>
  <si>
    <t>Simple meaning</t>
  </si>
  <si>
    <t>Nominal wealth</t>
  </si>
  <si>
    <t>The future rupee amount before adjusting for inflation. This is the balance you expect to see in the account.</t>
  </si>
  <si>
    <t>Real wealth</t>
  </si>
  <si>
    <t>The inflation-adjusted value of that future balance, expressed in today’s rupees.</t>
  </si>
  <si>
    <t>Nominal return</t>
  </si>
  <si>
    <t>The stated investment growth rate before removing inflation.</t>
  </si>
  <si>
    <t>Real return</t>
  </si>
  <si>
    <t>The increase in purchasing power after accounting for inflation.</t>
  </si>
  <si>
    <t>Purchasing power</t>
  </si>
  <si>
    <t>The quantity of goods and services that money can buy. Inflation reduces it over time.</t>
  </si>
  <si>
    <t>3. HOW REAL WEALTH IS CALCULATED</t>
  </si>
  <si>
    <t>A future amount is converted into today’s money by dividing it by the inflation growth factor: Real Value = Nominal Value ÷ (1 + Inflation Rate) ^ Number of Years.</t>
  </si>
  <si>
    <t>4. NOMINAL RETURN IS NOT THE SAME AS REAL RETURN</t>
  </si>
  <si>
    <t>A quick estimate of real return is nominal return minus inflation. For example, a 12% return with 6% inflation is roughly a 6% real return. This shortcut is useful, but it is not exact.</t>
  </si>
  <si>
    <t>Taxes, fees, and investment costs reduce the return further. Therefore, post-tax real return is usually the most useful measure when planning future spending.</t>
  </si>
  <si>
    <t>5. WHY THIS MATTERS FOR FINANCIAL PLANNING</t>
  </si>
  <si>
    <t>1. Retirement: A future corpus may look large, but retirement expenses will also be higher. Plan using inflation-adjusted spending needs.</t>
  </si>
  <si>
    <t>2. Education and healthcare: These costs may rise faster than general inflation, so a single inflation assumption may understate the required amount.</t>
  </si>
  <si>
    <t>3. Comparing investments: Compare alternatives using the same time period, inflation assumption, tax treatment, and risk level.</t>
  </si>
  <si>
    <t>4. Goals: Set goals in today’s rupees first, then inflate them to estimate the future nominal amount required.</t>
  </si>
  <si>
    <t>5. Decisions: Use nominal values for expected account balances and real values for understanding lifestyle and purchasing power.</t>
  </si>
  <si>
    <t>6. COMMON MISTAKES TO AVOID</t>
  </si>
  <si>
    <t>Do not compare a future nominal portfolio directly with today’s expenses. Do not treat expected returns as guaranteed. Do not ignore taxes and fees. Also, do not subtract inflation from the final corpus as a simple percentage—the adjustment compounds over every year.</t>
  </si>
  <si>
    <t>7. BOTTOM LINE</t>
  </si>
  <si>
    <t>Nominal wealth tells you how many future rupees you may have. Real wealth tells you what those rupees may actually be worth. Both figures are useful, but real wealth is usually better for judging whether your future money can support the lifestyle or goal you are planning for.</t>
  </si>
  <si>
    <t>Remember: real wealth is still an estimate because future returns, inflation, taxes, and costs are uncertain. Use several scenarios rather than relying on one forecast.</t>
  </si>
  <si>
    <t>Loan affordability, repayment, investment growth, and a practical roadmap for the wider financial journey</t>
  </si>
  <si>
    <t>RECOMMENDED CALCULATOR ROADMAP</t>
  </si>
  <si>
    <t>Priority</t>
  </si>
  <si>
    <t>Calculator to create</t>
  </si>
  <si>
    <t>What it should answer</t>
  </si>
  <si>
    <t>Mutual Fund Expense-Ratio Impact</t>
  </si>
  <si>
    <t>How much wealth is lost over time because of fund expenses? Compare two expense ratios, direct vs regular plans, and show the rupee cost after 5–30 years.</t>
  </si>
  <si>
    <t>Home-Loan Part-Payment &amp; Prepayment</t>
  </si>
  <si>
    <t>Step-Up SIP Goal Planner</t>
  </si>
  <si>
    <t>Prepay Loan vs Invest</t>
  </si>
  <si>
    <t>Should surplus cash be used to prepay the loan or invested? Compare guaranteed interest savings with uncertain post-tax investment returns.</t>
  </si>
  <si>
    <t>Retirement Corpus &amp; SWP</t>
  </si>
  <si>
    <t>How large a retirement corpus is required, and how long could it last under inflation, returns, taxes, and monthly withdrawals?</t>
  </si>
  <si>
    <t>Emergency-Fund Calculator</t>
  </si>
  <si>
    <t>How many months of essential expenses should be held, and how long will it take to build the target?</t>
  </si>
  <si>
    <t>Net-Worth &amp; Monthly Cash-Flow Tracker</t>
  </si>
  <si>
    <t>What is the household’s current net worth, savings rate, debt burden, and monthly surplus available for goals?</t>
  </si>
  <si>
    <t>Term-Insurance Need Calculator</t>
  </si>
  <si>
    <t>How much life cover may be needed after considering dependants, debts, future goals, existing assets, and current insurance?</t>
  </si>
  <si>
    <t>Asset-Allocation &amp; Rebalancing Tool</t>
  </si>
  <si>
    <t>What equity, debt, gold, and cash mix matches the goal horizon and risk comfort, and what trades restore the target allocation?</t>
  </si>
  <si>
    <t>Goal-Based Investment Dashboard</t>
  </si>
  <si>
    <t>Track several goals together, show funded percentage, monthly gap, required SIP, and priority when cash is limited.</t>
  </si>
  <si>
    <t>ARTICLE &amp; LEARNING ROADMAP</t>
  </si>
  <si>
    <t>Article to write</t>
  </si>
  <si>
    <t>Simple-language focus</t>
  </si>
  <si>
    <t>How to Build an Emergency Fund</t>
  </si>
  <si>
    <t>What counts as an emergency, where to keep the money, and why emergency savings come before aggressive investing.</t>
  </si>
  <si>
    <t>Needs, Wants, Savings and Debt</t>
  </si>
  <si>
    <t>A simple monthly-money system, savings rate, debt priorities, and how to avoid investing money needed soon.</t>
  </si>
  <si>
    <t>How Expense Ratio Quietly Reduces Wealth</t>
  </si>
  <si>
    <t>Explain TER, daily NAV deduction, compounding drag, and why a small annual percentage can create a large long-term rupee difference.</t>
  </si>
  <si>
    <t>How to Choose a Mutual Fund Without Technical Jargon</t>
  </si>
  <si>
    <t>Start with the goal and horizon, select a suitable category, check the SEBI Riskometer, understand costs, compare consistency, and avoid chasing last year’s winner.</t>
  </si>
  <si>
    <t>Direct vs Regular Mutual Funds</t>
  </si>
  <si>
    <t>Same portfolio but different costs and support: who may prefer DIY direct plans and who may value professional guidance.</t>
  </si>
  <si>
    <t>SIP, Lumpsum and Step-Up SIP</t>
  </si>
  <si>
    <t>When each method may fit, how cash-flow timing changes results, and why discipline matters more than predicting the market.</t>
  </si>
  <si>
    <t>How Part-Payment Reduces Home-Loan Interest</t>
  </si>
  <si>
    <t>Why early prepayments save more interest, the difference between reducing EMI and tenure, and what to confirm with the lender.</t>
  </si>
  <si>
    <t>Prepay the Loan or Invest the Surplus?</t>
  </si>
  <si>
    <t>Compare certainty, liquidity, tax, risk, return assumptions, and the emotional benefit of becoming debt-free.</t>
  </si>
  <si>
    <t>Retirement</t>
  </si>
  <si>
    <t>Nominal Wealth vs Real Wealth</t>
  </si>
  <si>
    <t>Show why inflation changes purchasing power and why retirement and long-term goals must be planned in today’s rupees.</t>
  </si>
  <si>
    <t>Sequence-of-Returns Risk in Retirement</t>
  </si>
  <si>
    <t>Explain why poor returns early in retirement can be damaging even when the long-term average return looks acceptable.</t>
  </si>
  <si>
    <t>Term Insurance and Health Insurance Basics</t>
  </si>
  <si>
    <t>Explain what each policy protects, common exclusions, adequate cover, and why insurance is not an investment return product.</t>
  </si>
  <si>
    <t>Common Investor Mistakes</t>
  </si>
  <si>
    <t>Chasing returns, panic selling, over-diversifying, ignoring costs and tax, borrowing to invest, and changing plans too often.</t>
  </si>
  <si>
    <t>Order</t>
  </si>
  <si>
    <t>Build</t>
  </si>
  <si>
    <t>Mutual Fund Selection Guide</t>
  </si>
  <si>
    <t>WRITING PRINCIPLES FOR EVERY ARTICLE</t>
  </si>
  <si>
    <t>Use one relatable rupee example, distinguish assumptions from facts, show both benefits and risks, explain tax and inflation separately, avoid promising returns, and end with a short checklist the reader can act on.</t>
  </si>
  <si>
    <t>MUTUAL FUND EXPENSE-RATIO IMPACT CALCULATOR</t>
  </si>
  <si>
    <t>Compare direct and regular plans using the same gross return; the difference shows how annual fund expenses compound into a long-term rupee cost.</t>
  </si>
  <si>
    <t>Lumpsum at Start (₹)</t>
  </si>
  <si>
    <t>Gross Return Before Expenses (% p.a.)</t>
  </si>
  <si>
    <t>Direct Plan Expense Ratio (% p.a.)</t>
  </si>
  <si>
    <t>Regular Plan Expense Ratio (% p.a.)</t>
  </si>
  <si>
    <t>Selected Horizon (5–30 years)</t>
  </si>
  <si>
    <t>SELECTED-HORIZON SUMMARY</t>
  </si>
  <si>
    <t>Direct Net Return</t>
  </si>
  <si>
    <t>Regular Net Return</t>
  </si>
  <si>
    <t>Direct Value Before Tax</t>
  </si>
  <si>
    <t>Regular Value Before Tax</t>
  </si>
  <si>
    <t>Wealth Lost Before Tax</t>
  </si>
  <si>
    <t>Direct Post-Tax Value (Real)</t>
  </si>
  <si>
    <t>Regular Post-Tax Value (Real)</t>
  </si>
  <si>
    <t>Real Wealth Lost to Higher TER</t>
  </si>
  <si>
    <t>4. Both plans are assumed to earn the same gross return before expenses; only the expense ratio differs.</t>
  </si>
  <si>
    <t>5. Tax is estimated as if the full portfolio were redeemed at each year-end and all gains qualified for the selected LTCG treatment.</t>
  </si>
  <si>
    <t>6. Returns, inflation, expenses, and tax inputs are assumptions—not forecasts or guarantees.</t>
  </si>
  <si>
    <t>5–30 YEAR MILESTONE COMPARISON</t>
  </si>
  <si>
    <t>Pre-Tax Wealth Lost</t>
  </si>
  <si>
    <t>Direct Post-Tax Real</t>
  </si>
  <si>
    <t>Regular Post-Tax Real</t>
  </si>
  <si>
    <t>Real Wealth Lost</t>
  </si>
  <si>
    <t>YEARLY EXPENSE-RATIO IMPACT SCHEDULE</t>
  </si>
  <si>
    <t>Direct LTCG Tax</t>
  </si>
  <si>
    <t>Direct Post-Tax Value</t>
  </si>
  <si>
    <t>Regular LTCG Tax</t>
  </si>
  <si>
    <t>Regular Post-Tax Value</t>
  </si>
  <si>
    <t>1. Net return is modeled as gross annual return minus the annual expense ratio, compounded monthly. Actual NAVs deduct expenses daily and realized returns vary.</t>
  </si>
  <si>
    <t>2. Direct and regular plans are assumed to hold the same portfolio. Distributor advice, service quality, exit loads, tracking differences, cess, surcharge, and tax-lot timing are excluded.</t>
  </si>
  <si>
    <t>3. The tax estimate assumes one full year-end redemption and qualifying long-term gains above the exemption; recent SIP instalments may not qualify as long term.</t>
  </si>
  <si>
    <t>Expense Ratio Impact</t>
  </si>
  <si>
    <t>Compares direct and regular mutual fund expense ratios and shows the long-term rupee cost over 5–30 years.</t>
  </si>
  <si>
    <t>1 — Built</t>
  </si>
  <si>
    <t>2 — Built</t>
  </si>
  <si>
    <t>How much interest and tenure can be saved with one-time or annual prepayments? Choose Reduce EMI or Reduce Tenure and compare the outcome.</t>
  </si>
  <si>
    <t>LOAN &amp; PREPAYMENT INPUTS</t>
  </si>
  <si>
    <t>Interest Rate (% p.a.)</t>
  </si>
  <si>
    <t>Original Tenure (years)</t>
  </si>
  <si>
    <t>Preferred Strategy</t>
  </si>
  <si>
    <t>Total Repayment</t>
  </si>
  <si>
    <t>Total Prepayment</t>
  </si>
  <si>
    <t>Interest Saved</t>
  </si>
  <si>
    <t>Reduce EMI</t>
  </si>
  <si>
    <t>YEARLY COMPARISON SCHEDULE</t>
  </si>
  <si>
    <t>MID-TERM RATE CHANGE</t>
  </si>
  <si>
    <t>New Rate Starts in Month</t>
  </si>
  <si>
    <t>New Interest Rate (% p.a.)</t>
  </si>
  <si>
    <t>Lender Treatment</t>
  </si>
  <si>
    <t>Keep EMI, change tenure</t>
  </si>
  <si>
    <t>Monthly Extra Payment (₹)</t>
  </si>
  <si>
    <t>Monthly Extra Starts in Month</t>
  </si>
  <si>
    <t>LUMP-SUM PREPAYMENTS</t>
  </si>
  <si>
    <t>Payment Month</t>
  </si>
  <si>
    <t>Amount (₹)</t>
  </si>
  <si>
    <t>Monthly Extra Ends in Month</t>
  </si>
  <si>
    <t>Interest is calculated monthly on the reducing balance. EMI is applied first, followed by monthly extra and any lump sum scheduled for that month. Up to five lump sums are supported; enter 0 for unused rows. The model excludes fees, penalties, insurance, taxes, tax benefits, missed payments, and lender-specific day-count rules. Results are planning estimates; confirm the lender’s revised schedule.</t>
  </si>
  <si>
    <t>Detailed Scenario</t>
  </si>
  <si>
    <t>Combination of All</t>
  </si>
  <si>
    <t>Normal Loan</t>
  </si>
  <si>
    <t>Rate %</t>
  </si>
  <si>
    <t>Scheduled EMI</t>
  </si>
  <si>
    <t>Interest</t>
  </si>
  <si>
    <t>Principal</t>
  </si>
  <si>
    <t>Prepayment</t>
  </si>
  <si>
    <t>Multiple Lump Sums</t>
  </si>
  <si>
    <t>Monthly Extra Payment</t>
  </si>
  <si>
    <t>Mid-Term Rate Change</t>
  </si>
  <si>
    <t>NORMAL LOAN SUMMARY</t>
  </si>
  <si>
    <t>Original Tenure</t>
  </si>
  <si>
    <t>Payoff Month</t>
  </si>
  <si>
    <t>SELECTED SCENARIO SUMMARY</t>
  </si>
  <si>
    <t>Chosen Scenario</t>
  </si>
  <si>
    <t>Payoff Months</t>
  </si>
  <si>
    <t>Payoff Years</t>
  </si>
  <si>
    <t>EMI After Rate Change</t>
  </si>
  <si>
    <t>FIVE-SCENARIO COMPARISON</t>
  </si>
  <si>
    <t>Scenario</t>
  </si>
  <si>
    <t>Initial EMI</t>
  </si>
  <si>
    <t>Interest Savings</t>
  </si>
  <si>
    <t>—</t>
  </si>
  <si>
    <t>SELECTED-SCENARIO YEARLY SCHEDULE</t>
  </si>
  <si>
    <t>Ending Rate %</t>
  </si>
  <si>
    <t>HOME-LOAN PREPAYMENT &amp; RATE-CHANGE SCENARIO CALCULATOR</t>
  </si>
  <si>
    <t>Compare a normal loan, multiple lump sums, monthly extra payments, a mid-term rate change, and their combined effect.</t>
  </si>
  <si>
    <t>1. Enter the outstanding loan, current rate and remaining tenure.  2. Add up to five lump sums in A12:B16; use 0 for unused rows.  3. Set monthly extra payment in B8, its start in B9 and end in E16.  4. E11:E13 controls the new rate and whether EMI or tenure changes.  5. Choose the prepayment treatment in E15 and the detailed scenario in H13.</t>
  </si>
  <si>
    <t>STEP-UP SIP GOAL PLANNER</t>
  </si>
  <si>
    <t>Estimate the starting monthly SIP and annual increase needed to fund a future goal after inflation and simplified long-term capital-gains tax.</t>
  </si>
  <si>
    <t>GOAL &amp; INVESTMENT INPUTS</t>
  </si>
  <si>
    <t>GOAL FUNDING SUMMARY</t>
  </si>
  <si>
    <t>Goal Type</t>
  </si>
  <si>
    <t>Goal Cost Today (₹)</t>
  </si>
  <si>
    <t>Years to Goal</t>
  </si>
  <si>
    <t>Current Invested Corpus (₹)</t>
  </si>
  <si>
    <t>Expected Return (% p.a.)</t>
  </si>
  <si>
    <t>Annual SIP Step-Up (%)</t>
  </si>
  <si>
    <t>SIP Timing</t>
  </si>
  <si>
    <t>Month-end</t>
  </si>
  <si>
    <t>Inflation-Adjusted Goal</t>
  </si>
  <si>
    <t>Future Value of Current Corpus</t>
  </si>
  <si>
    <t>Required Starting Monthly SIP</t>
  </si>
  <si>
    <t>First-Year Contribution</t>
  </si>
  <si>
    <t>Final-Year Monthly SIP</t>
  </si>
  <si>
    <t>Total Contributions</t>
  </si>
  <si>
    <t>Projected Pre-Tax Corpus</t>
  </si>
  <si>
    <t>Projected Post-Tax Corpus</t>
  </si>
  <si>
    <t>Funding Surplus / (Gap)</t>
  </si>
  <si>
    <t>1. Goal cost is entered in today’s rupees; inflation converts it into the future amount required.</t>
  </si>
  <si>
    <t>2. Required starting SIP increases annually by the selected step-up percentage.</t>
  </si>
  <si>
    <t>3. Return, inflation and tax are assumptions—not guaranteed outcomes.</t>
  </si>
  <si>
    <t>4. Tax assumes one final redemption and qualifying gains above the selected exemption.</t>
  </si>
  <si>
    <t>5. Current corpus is treated as invested today and as part of the tax cost basis.</t>
  </si>
  <si>
    <t>6. Use a lower return or higher inflation for a more conservative plan.</t>
  </si>
  <si>
    <t>YEARLY STEP-UP SIP PROJECTION</t>
  </si>
  <si>
    <t>Opening Corpus</t>
  </si>
  <si>
    <t>Annual Contribution</t>
  </si>
  <si>
    <t>Investment Growth</t>
  </si>
  <si>
    <t>Closing Pre-Tax Corpus</t>
  </si>
  <si>
    <t>Cumulative Contributions</t>
  </si>
  <si>
    <t>Post-Tax Corpus</t>
  </si>
  <si>
    <t>Funding %</t>
  </si>
  <si>
    <t>Funding Gap</t>
  </si>
  <si>
    <t>Loan Prepayment</t>
  </si>
  <si>
    <t>Models normal repayment, five lump sums, monthly extra payments, rate changes, and a combined scenario.</t>
  </si>
  <si>
    <t>Step-Up SIP Goal</t>
  </si>
  <si>
    <t>Calculates the starting SIP and annual step-up needed for an inflation-adjusted future goal after simplified tax.</t>
  </si>
  <si>
    <t>3 — Built</t>
  </si>
  <si>
    <t>What starting SIP and annual increase are needed for a future goal after inflation and simplified tax? Includes a 30-year funding schedule.</t>
  </si>
  <si>
    <t>4 — Pending</t>
  </si>
  <si>
    <t>5 — Pending</t>
  </si>
  <si>
    <t>6 — Pending</t>
  </si>
  <si>
    <t>7 — Pending</t>
  </si>
  <si>
    <t>8 — Pending</t>
  </si>
  <si>
    <t>9 — Pending</t>
  </si>
  <si>
    <t>10 — Pending</t>
  </si>
  <si>
    <t>Status / journey stage</t>
  </si>
  <si>
    <t>Pending — Start here</t>
  </si>
  <si>
    <t>Covered in calculator — Mutual funds</t>
  </si>
  <si>
    <t>Pending — Mutual funds</t>
  </si>
  <si>
    <t>Covered in calculators — Mutual funds</t>
  </si>
  <si>
    <t>Covered in calculator — Home loans</t>
  </si>
  <si>
    <t>Pending — Home loans</t>
  </si>
  <si>
    <t>Built article — Retirement</t>
  </si>
  <si>
    <t>Pending — Retirement</t>
  </si>
  <si>
    <t>Pending — Protection</t>
  </si>
  <si>
    <t>Pending — Behaviour</t>
  </si>
  <si>
    <t>CURRENT WORKBOOK STATUS</t>
  </si>
  <si>
    <t>Item</t>
  </si>
  <si>
    <t>Status</t>
  </si>
  <si>
    <t>Detail</t>
  </si>
  <si>
    <t>Visible financial tools</t>
  </si>
  <si>
    <t>7 built</t>
  </si>
  <si>
    <t>Rent vs Buy, Home Loan Analysis, EMI Calculator, Loan Prepayment, SIP Growth, Step-Up SIP Goal, and Expense Ratio Impact.</t>
  </si>
  <si>
    <t>Roadmap calculators</t>
  </si>
  <si>
    <t>3 built / 7 pending</t>
  </si>
  <si>
    <t>The first three roadmap calculators are complete; priorities 4–10 remain pending.</t>
  </si>
  <si>
    <t>Full educational articles</t>
  </si>
  <si>
    <t>1 built</t>
  </si>
  <si>
    <t>Nominal Wealth vs Real Wealth is included in SIP Growth.</t>
  </si>
  <si>
    <t>Embedded learning guides</t>
  </si>
  <si>
    <t>6 covered</t>
  </si>
  <si>
    <t>Rent vs Buy, EMI Calculator, Loan Prepayment, SIP Growth, Step-Up SIP Goal, and Expense Ratio Impact contain explanations or assumptions.</t>
  </si>
  <si>
    <t>Hidden calculation support</t>
  </si>
  <si>
    <t>Prepayment Engine supports the Loan Prepayment calculator and should remain hidden.</t>
  </si>
  <si>
    <t>Pending</t>
  </si>
  <si>
    <t>Still the highest-priority standalone article for beginner investors.</t>
  </si>
  <si>
    <t>Workbook status</t>
  </si>
  <si>
    <t>In progress</t>
  </si>
  <si>
    <t>Core home-loan and SIP tools are strong; household planning, protection, retirement withdrawal, and portfolio allocation remain to be built.</t>
  </si>
  <si>
    <t>NEXT RECOMMENDED BUILDS</t>
  </si>
  <si>
    <t>Why it should come next</t>
  </si>
  <si>
    <t>Connects the existing Loan Prepayment and investment models to answer the next natural decision.</t>
  </si>
  <si>
    <t>Extends nominal-versus-real wealth into retirement income, withdrawal sustainability, and sequence risk.</t>
  </si>
  <si>
    <t>Adds the basic safety layer that should come before long-term investing.</t>
  </si>
  <si>
    <t>Creates a common source for savings capacity, debt burden, and goal funding.</t>
  </si>
  <si>
    <t>Helps a beginner use goals, horizon, Riskometer, costs, and plan type without chasing recent returns.</t>
  </si>
  <si>
    <t>Present Value of SIP Contributions (Real)</t>
  </si>
  <si>
    <t>Lump sum paid today plus each monthly SIP contribution discounted to present value using the same year-by-year inflation convention applied to home-loan interest.</t>
  </si>
  <si>
    <t>Inflation-adjusted post-tax future value less the present value of all SIP contributions, discounted consistently with the house-side cost methodology.</t>
  </si>
  <si>
    <t>Decision caveat: This model compares taking a loan to buy an additional property against investing the same EMI and down payment amount in a SIP, assuming you already have a home to live in — it is not a rent-vs-buy comparison for your primary residence. It assumes the SIP is an equity-oriented investment eligible for Section 112A and is redeemed once at the end of the horizon. It excludes rental income the second property might generate, rent increases, moving costs, stamp duty and registration, property taxes, insurance, selling costs, home-loan tax benefits, SIP expense ratios, surcharge/cess, liquidity, and differences in risk. Include these before making a final personal decision.</t>
  </si>
  <si>
    <t>Drafted — needs calculator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</si>
</sst>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0.0"/>
    <numFmt numFmtId="166" formatCode="0.0%"/>
    <numFmt numFmtId="167" formatCode="\₹#,##0;[Red]\(\₹#,##0\)"/>
    <numFmt numFmtId="168" formatCode="0.00&quot;%&quot;"/>
    <numFmt numFmtId="169" formatCode="\₹###,##0"/>
    <numFmt numFmtId="170" formatCode="0.0\ &quot;years&quot;"/>
    <numFmt numFmtId="171" formatCode="0\ &quot;months&quot;"/>
  </numFmts>
  <fonts count="36" x14ac:knownFonts="1">
    <font>
      <sz val="11"/>
      <color theme="1"/>
      <name val="Aptos Narrow"/>
      <family val="2"/>
      <scheme val="minor"/>
    </font>
    <font>
      <b/>
      <sz val="11"/>
      <color theme="1"/>
      <name val="Aptos Narrow"/>
      <family val="2"/>
      <scheme val="minor"/>
    </font>
    <font>
      <b/>
      <sz val="11"/>
      <color rgb="FFFFFFFF"/>
      <name val="Aptos Narrow"/>
      <family val="2"/>
      <scheme val="minor"/>
    </font>
    <font>
      <sz val="11"/>
      <color rgb="FF1F1F1F"/>
      <name val="Aptos Narrow"/>
      <family val="2"/>
      <scheme val="minor"/>
    </font>
    <font>
      <i/>
      <sz val="11"/>
      <color rgb="FF595959"/>
      <name val="Aptos Narrow"/>
      <family val="2"/>
      <scheme val="minor"/>
    </font>
    <font>
      <b/>
      <i/>
      <sz val="11"/>
      <color rgb="FFFFFFFF"/>
      <name val="Aptos Narrow"/>
      <family val="2"/>
      <scheme val="minor"/>
    </font>
    <font>
      <b/>
      <sz val="18"/>
      <color rgb="FFFFFFFF"/>
      <name val="Aptos Narrow"/>
      <family val="2"/>
      <scheme val="minor"/>
    </font>
    <font>
      <i/>
      <sz val="11"/>
      <color rgb="FF666666"/>
      <name val="Aptos Narrow"/>
      <family val="2"/>
      <scheme val="minor"/>
    </font>
    <font>
      <b/>
      <sz val="12"/>
      <color rgb="FF1F1F1F"/>
      <name val="Aptos Narrow"/>
      <family val="2"/>
      <scheme val="minor"/>
    </font>
    <font>
      <sz val="11"/>
      <color rgb="FF404040"/>
      <name val="Aptos Narrow"/>
      <family val="2"/>
      <scheme val="minor"/>
    </font>
    <font>
      <i/>
      <sz val="11"/>
      <color rgb="FF404040"/>
      <name val="Aptos Narrow"/>
      <family val="2"/>
      <scheme val="minor"/>
    </font>
    <font>
      <i/>
      <sz val="10"/>
      <color rgb="FF666666"/>
      <name val="Aptos Narrow"/>
      <family val="2"/>
      <scheme val="minor"/>
    </font>
    <font>
      <i/>
      <sz val="11"/>
      <color rgb="FF5B4A00"/>
      <name val="Aptos Narrow"/>
      <family val="2"/>
      <scheme val="minor"/>
    </font>
    <font>
      <sz val="11"/>
      <color rgb="FF333333"/>
      <name val="Aptos Narrow"/>
      <family val="2"/>
      <scheme val="minor"/>
    </font>
    <font>
      <b/>
      <sz val="11"/>
      <color rgb="FF333333"/>
      <name val="Aptos Narrow"/>
      <family val="2"/>
      <scheme val="minor"/>
    </font>
    <font>
      <sz val="11"/>
      <color rgb="FF5B4A00"/>
      <name val="Aptos Narrow"/>
      <family val="2"/>
      <scheme val="minor"/>
    </font>
    <font>
      <b/>
      <sz val="11"/>
      <color rgb="FF4472C4"/>
      <name val="Aptos Narrow"/>
      <family val="2"/>
      <scheme val="minor"/>
    </font>
    <font>
      <sz val="11"/>
      <color rgb="FF444444"/>
      <name val="Aptos Narrow"/>
      <family val="2"/>
      <scheme val="minor"/>
    </font>
    <font>
      <sz val="11"/>
      <color theme="1"/>
      <name val="Aptos"/>
    </font>
    <font>
      <b/>
      <sz val="11"/>
      <color rgb="FFFFFFFF"/>
      <name val="Aptos"/>
    </font>
    <font>
      <b/>
      <sz val="18"/>
      <color rgb="FFFFFFFF"/>
      <name val="Aptos"/>
    </font>
    <font>
      <sz val="11"/>
      <color rgb="FF5B6573"/>
      <name val="Aptos"/>
    </font>
    <font>
      <i/>
      <sz val="11"/>
      <color rgb="FF5B6573"/>
      <name val="Aptos"/>
    </font>
    <font>
      <b/>
      <sz val="11"/>
      <color theme="1"/>
      <name val="Aptos"/>
    </font>
    <font>
      <sz val="11"/>
      <color rgb="FF1F2937"/>
      <name val="Aptos"/>
    </font>
    <font>
      <sz val="10"/>
      <color theme="1"/>
      <name val="Aptos"/>
    </font>
    <font>
      <b/>
      <sz val="10"/>
      <color rgb="FFFFFFFF"/>
      <name val="Aptos"/>
    </font>
    <font>
      <sz val="10"/>
      <color rgb="FF5B6573"/>
      <name val="Aptos"/>
    </font>
    <font>
      <b/>
      <sz val="10"/>
      <color theme="1"/>
      <name val="Aptos"/>
    </font>
    <font>
      <b/>
      <sz val="10"/>
      <color rgb="FF0F766E"/>
      <name val="Aptos"/>
    </font>
    <font>
      <b/>
      <sz val="19"/>
      <color rgb="FFFFFFFF"/>
      <name val="Aptos"/>
    </font>
    <font>
      <i/>
      <sz val="10"/>
      <color rgb="FF425466"/>
      <name val="Aptos"/>
    </font>
    <font>
      <b/>
      <sz val="10"/>
      <color rgb="FF1B5E20"/>
      <name val="Aptos"/>
    </font>
    <font>
      <sz val="10"/>
      <color rgb="FF425466"/>
      <name val="Aptos"/>
    </font>
    <font>
      <b/>
      <sz val="20"/>
      <color rgb="FFFFFFFF"/>
      <name val="Aptos"/>
    </font>
    <font>
      <b/>
      <sz val="14"/>
      <color rgb="FF1B5E20"/>
      <name val="Aptos"/>
    </font>
  </fonts>
  <fills count="24">
    <fill>
      <patternFill patternType="none"/>
    </fill>
    <fill>
      <patternFill patternType="gray125"/>
    </fill>
    <fill>
      <patternFill patternType="solid">
        <fgColor rgb="FFD9EAF7"/>
        <bgColor indexed="64"/>
      </patternFill>
    </fill>
    <fill>
      <patternFill patternType="solid">
        <fgColor rgb="FF1F4E78"/>
        <bgColor indexed="64"/>
      </patternFill>
    </fill>
    <fill>
      <patternFill patternType="solid">
        <fgColor rgb="FFEAF2F8"/>
        <bgColor indexed="64"/>
      </patternFill>
    </fill>
    <fill>
      <patternFill patternType="solid">
        <fgColor rgb="FFFFF4CC"/>
        <bgColor indexed="64"/>
      </patternFill>
    </fill>
    <fill>
      <patternFill patternType="solid">
        <fgColor rgb="FF5B9BD5"/>
        <bgColor indexed="64"/>
      </patternFill>
    </fill>
    <fill>
      <patternFill patternType="solid">
        <fgColor rgb="FFE2F0D9"/>
        <bgColor indexed="64"/>
      </patternFill>
    </fill>
    <fill>
      <patternFill patternType="solid">
        <fgColor rgb="FFF2F2F2"/>
        <bgColor indexed="64"/>
      </patternFill>
    </fill>
    <fill>
      <patternFill patternType="solid">
        <fgColor rgb="FF17365D"/>
        <bgColor indexed="64"/>
      </patternFill>
    </fill>
    <fill>
      <patternFill patternType="solid">
        <fgColor rgb="FF4472C4"/>
        <bgColor indexed="64"/>
      </patternFill>
    </fill>
    <fill>
      <patternFill patternType="solid">
        <fgColor rgb="FFFFF2CC"/>
        <bgColor indexed="64"/>
      </patternFill>
    </fill>
    <fill>
      <patternFill patternType="solid">
        <fgColor rgb="FFF3F6FA"/>
        <bgColor indexed="64"/>
      </patternFill>
    </fill>
    <fill>
      <patternFill patternType="solid">
        <fgColor rgb="FFF7F9FC"/>
        <bgColor indexed="64"/>
      </patternFill>
    </fill>
    <fill>
      <patternFill patternType="solid">
        <fgColor rgb="FFFFFFFF"/>
        <bgColor indexed="64"/>
      </patternFill>
    </fill>
    <fill>
      <patternFill patternType="solid">
        <fgColor rgb="FF17324D"/>
        <bgColor indexed="64"/>
      </patternFill>
    </fill>
    <fill>
      <patternFill patternType="solid">
        <fgColor rgb="FF0F766E"/>
        <bgColor indexed="64"/>
      </patternFill>
    </fill>
    <fill>
      <patternFill patternType="solid">
        <fgColor rgb="FFF4F7FA"/>
        <bgColor indexed="64"/>
      </patternFill>
    </fill>
    <fill>
      <patternFill patternType="solid">
        <fgColor rgb="FFE8F3F1"/>
        <bgColor indexed="64"/>
      </patternFill>
    </fill>
    <fill>
      <patternFill patternType="solid">
        <fgColor rgb="FF0F6B78"/>
        <bgColor indexed="64"/>
      </patternFill>
    </fill>
    <fill>
      <patternFill patternType="solid">
        <fgColor rgb="FFEAF0F5"/>
        <bgColor indexed="64"/>
      </patternFill>
    </fill>
    <fill>
      <patternFill patternType="solid">
        <fgColor rgb="FFF4F8FA"/>
        <bgColor indexed="64"/>
      </patternFill>
    </fill>
    <fill>
      <patternFill patternType="solid">
        <fgColor rgb="FFD9EAD3"/>
        <bgColor indexed="64"/>
      </patternFill>
    </fill>
    <fill>
      <patternFill patternType="solid">
        <fgColor rgb="FFF7F9FB"/>
        <bgColor indexed="64"/>
      </patternFill>
    </fill>
  </fills>
  <borders count="31">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style="thin">
        <color rgb="FFD9E2F3"/>
      </right>
      <top style="thin">
        <color auto="1"/>
      </top>
      <bottom style="thin">
        <color rgb="FFD9E2F3"/>
      </bottom>
      <diagonal/>
    </border>
    <border>
      <left style="thin">
        <color rgb="FFD9E2F3"/>
      </left>
      <right style="thin">
        <color rgb="FFD9E2F3"/>
      </right>
      <top style="thin">
        <color auto="1"/>
      </top>
      <bottom style="thin">
        <color rgb="FFD9E2F3"/>
      </bottom>
      <diagonal/>
    </border>
    <border>
      <left style="thin">
        <color rgb="FFD9E2F3"/>
      </left>
      <right style="thin">
        <color auto="1"/>
      </right>
      <top style="thin">
        <color auto="1"/>
      </top>
      <bottom style="thin">
        <color rgb="FFD9E2F3"/>
      </bottom>
      <diagonal/>
    </border>
    <border>
      <left style="thin">
        <color auto="1"/>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style="thin">
        <color auto="1"/>
      </right>
      <top style="thin">
        <color rgb="FFD9E2F3"/>
      </top>
      <bottom style="thin">
        <color rgb="FFD9E2F3"/>
      </bottom>
      <diagonal/>
    </border>
    <border>
      <left style="thin">
        <color auto="1"/>
      </left>
      <right style="thin">
        <color rgb="FFD9E2F3"/>
      </right>
      <top style="thin">
        <color rgb="FFD9E2F3"/>
      </top>
      <bottom style="thin">
        <color auto="1"/>
      </bottom>
      <diagonal/>
    </border>
    <border>
      <left style="thin">
        <color rgb="FFD9E2F3"/>
      </left>
      <right style="thin">
        <color rgb="FFD9E2F3"/>
      </right>
      <top style="thin">
        <color rgb="FFD9E2F3"/>
      </top>
      <bottom style="thin">
        <color auto="1"/>
      </bottom>
      <diagonal/>
    </border>
    <border>
      <left style="thin">
        <color rgb="FFD9E2F3"/>
      </left>
      <right style="thin">
        <color auto="1"/>
      </right>
      <top style="thin">
        <color rgb="FFD9E2F3"/>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top style="thin">
        <color rgb="FFB4C6E7"/>
      </top>
      <bottom style="thin">
        <color rgb="FFB4C6E7"/>
      </bottom>
      <diagonal/>
    </border>
    <border>
      <left style="thin">
        <color rgb="FFB4C6E7"/>
      </left>
      <right/>
      <top style="thin">
        <color rgb="FFB4C6E7"/>
      </top>
      <bottom style="thin">
        <color rgb="FFB4C6E7"/>
      </bottom>
      <diagonal/>
    </border>
    <border>
      <left style="thin">
        <color rgb="FFB4C6E7"/>
      </left>
      <right style="thin">
        <color rgb="FFB4C6E7"/>
      </right>
      <top style="thin">
        <color rgb="FFB4C6E7"/>
      </top>
      <bottom style="thin">
        <color rgb="FFB4C6E7"/>
      </bottom>
      <diagonal/>
    </border>
    <border>
      <left style="thin">
        <color rgb="FFB4C6E7"/>
      </left>
      <right/>
      <top style="thin">
        <color auto="1"/>
      </top>
      <bottom style="thin">
        <color auto="1"/>
      </bottom>
      <diagonal/>
    </border>
    <border>
      <left/>
      <right style="thin">
        <color rgb="FFB4C6E7"/>
      </right>
      <top style="thin">
        <color auto="1"/>
      </top>
      <bottom style="thin">
        <color auto="1"/>
      </bottom>
      <diagonal/>
    </border>
    <border>
      <left/>
      <right style="thin">
        <color rgb="FFB4C6E7"/>
      </right>
      <top style="thin">
        <color rgb="FFB4C6E7"/>
      </top>
      <bottom style="thin">
        <color rgb="FFB4C6E7"/>
      </bottom>
      <diagonal/>
    </border>
    <border>
      <left style="thin">
        <color auto="1"/>
      </left>
      <right style="thin">
        <color auto="1"/>
      </right>
      <top style="thin">
        <color rgb="FFB4C6E7"/>
      </top>
      <bottom style="thin">
        <color auto="1"/>
      </bottom>
      <diagonal/>
    </border>
    <border>
      <left/>
      <right/>
      <top/>
      <bottom style="thin">
        <color rgb="FFD9E1E8"/>
      </bottom>
      <diagonal/>
    </border>
    <border>
      <left/>
      <right/>
      <top style="thin">
        <color rgb="FFD9E1E8"/>
      </top>
      <bottom style="thin">
        <color rgb="FFD9E1E8"/>
      </bottom>
      <diagonal/>
    </border>
    <border>
      <left/>
      <right/>
      <top style="thin">
        <color rgb="FFD9E1E8"/>
      </top>
      <bottom/>
      <diagonal/>
    </border>
    <border>
      <left/>
      <right/>
      <top/>
      <bottom style="thin">
        <color rgb="FFD9E2E8"/>
      </bottom>
      <diagonal/>
    </border>
    <border>
      <left/>
      <right/>
      <top style="thin">
        <color rgb="FFD9E2E8"/>
      </top>
      <bottom style="thin">
        <color rgb="FFD9E2E8"/>
      </bottom>
      <diagonal/>
    </border>
    <border>
      <left/>
      <right/>
      <top style="thin">
        <color rgb="FFD9E2E8"/>
      </top>
      <bottom/>
      <diagonal/>
    </border>
  </borders>
  <cellStyleXfs count="1">
    <xf numFmtId="0" fontId="0" fillId="0" borderId="0"/>
  </cellStyleXfs>
  <cellXfs count="204">
    <xf numFmtId="0" fontId="0" fillId="0" borderId="0" xfId="0"/>
    <xf numFmtId="0" fontId="0" fillId="0" borderId="0" xfId="0" applyAlignment="1">
      <alignment horizontal="right"/>
    </xf>
    <xf numFmtId="164" fontId="0" fillId="0" borderId="3" xfId="0" applyNumberFormat="1" applyBorder="1" applyAlignment="1">
      <alignment horizontal="right"/>
    </xf>
    <xf numFmtId="166" fontId="0" fillId="0" borderId="3" xfId="0" applyNumberFormat="1" applyBorder="1" applyAlignment="1">
      <alignment horizontal="right"/>
    </xf>
    <xf numFmtId="0" fontId="1" fillId="2" borderId="0" xfId="0" applyFont="1" applyFill="1"/>
    <xf numFmtId="0" fontId="1" fillId="2" borderId="1" xfId="0" applyFont="1" applyFill="1" applyBorder="1"/>
    <xf numFmtId="0" fontId="1" fillId="4" borderId="2" xfId="0" applyFont="1" applyFill="1" applyBorder="1"/>
    <xf numFmtId="0" fontId="1" fillId="4" borderId="4" xfId="0" applyFont="1" applyFill="1" applyBorder="1"/>
    <xf numFmtId="164" fontId="0" fillId="0" borderId="5" xfId="0" applyNumberFormat="1" applyBorder="1" applyAlignment="1">
      <alignment horizontal="right"/>
    </xf>
    <xf numFmtId="164" fontId="3" fillId="5" borderId="0" xfId="0" applyNumberFormat="1" applyFont="1" applyFill="1" applyAlignment="1">
      <alignment horizontal="right"/>
    </xf>
    <xf numFmtId="165" fontId="3" fillId="5" borderId="0" xfId="0" applyNumberFormat="1" applyFont="1" applyFill="1" applyAlignment="1">
      <alignment horizontal="right"/>
    </xf>
    <xf numFmtId="165" fontId="3" fillId="5" borderId="1" xfId="0" applyNumberFormat="1" applyFont="1" applyFill="1" applyBorder="1" applyAlignment="1">
      <alignment horizontal="right"/>
    </xf>
    <xf numFmtId="0" fontId="4" fillId="0" borderId="0" xfId="0" applyFont="1" applyAlignment="1">
      <alignment wrapText="1"/>
    </xf>
    <xf numFmtId="0" fontId="2" fillId="6" borderId="7" xfId="0" applyFont="1" applyFill="1" applyBorder="1" applyAlignment="1">
      <alignment horizontal="center"/>
    </xf>
    <xf numFmtId="0" fontId="2" fillId="6" borderId="8" xfId="0" applyFont="1" applyFill="1" applyBorder="1" applyAlignment="1">
      <alignment horizontal="center"/>
    </xf>
    <xf numFmtId="0" fontId="2" fillId="6" borderId="9" xfId="0" applyFont="1" applyFill="1" applyBorder="1" applyAlignment="1">
      <alignment horizontal="center"/>
    </xf>
    <xf numFmtId="0" fontId="1" fillId="0" borderId="10" xfId="0" applyFont="1" applyBorder="1"/>
    <xf numFmtId="167" fontId="0" fillId="0" borderId="11" xfId="0" applyNumberFormat="1" applyBorder="1" applyAlignment="1">
      <alignment horizontal="right"/>
    </xf>
    <xf numFmtId="167" fontId="0" fillId="0" borderId="12" xfId="0" applyNumberFormat="1" applyBorder="1" applyAlignment="1">
      <alignment horizontal="right"/>
    </xf>
    <xf numFmtId="0" fontId="1" fillId="0" borderId="13" xfId="0" applyFont="1" applyBorder="1"/>
    <xf numFmtId="167" fontId="0" fillId="0" borderId="14" xfId="0" applyNumberFormat="1" applyBorder="1" applyAlignment="1">
      <alignment horizontal="right"/>
    </xf>
    <xf numFmtId="0" fontId="0" fillId="0" borderId="15" xfId="0" applyBorder="1" applyAlignment="1">
      <alignment horizontal="right"/>
    </xf>
    <xf numFmtId="0" fontId="1" fillId="4" borderId="2" xfId="0" applyFont="1" applyFill="1" applyBorder="1" applyAlignment="1">
      <alignment wrapText="1"/>
    </xf>
    <xf numFmtId="0" fontId="0" fillId="0" borderId="0" xfId="0" applyAlignment="1">
      <alignment wrapText="1"/>
    </xf>
    <xf numFmtId="0" fontId="2" fillId="10" borderId="0" xfId="0" applyFont="1" applyFill="1"/>
    <xf numFmtId="0" fontId="1" fillId="2" borderId="2" xfId="0" applyFont="1" applyFill="1" applyBorder="1"/>
    <xf numFmtId="164" fontId="0" fillId="11" borderId="3" xfId="0" applyNumberFormat="1" applyFill="1" applyBorder="1"/>
    <xf numFmtId="2" fontId="0" fillId="11" borderId="3" xfId="0" applyNumberFormat="1" applyFill="1" applyBorder="1"/>
    <xf numFmtId="1" fontId="0" fillId="11" borderId="3" xfId="0" applyNumberFormat="1" applyFill="1" applyBorder="1"/>
    <xf numFmtId="0" fontId="1" fillId="12" borderId="2" xfId="0" applyFont="1" applyFill="1" applyBorder="1"/>
    <xf numFmtId="164" fontId="1" fillId="7" borderId="3" xfId="0" applyNumberFormat="1" applyFont="1" applyFill="1" applyBorder="1"/>
    <xf numFmtId="0" fontId="2" fillId="9" borderId="0" xfId="0" applyFont="1" applyFill="1" applyAlignment="1">
      <alignment horizontal="center" wrapText="1"/>
    </xf>
    <xf numFmtId="1" fontId="0" fillId="0" borderId="16" xfId="0" applyNumberFormat="1" applyBorder="1" applyAlignment="1">
      <alignment horizontal="center"/>
    </xf>
    <xf numFmtId="164" fontId="0" fillId="0" borderId="16" xfId="0" applyNumberFormat="1" applyBorder="1" applyAlignment="1">
      <alignment horizontal="right"/>
    </xf>
    <xf numFmtId="1" fontId="0" fillId="13" borderId="16" xfId="0" applyNumberFormat="1" applyFill="1" applyBorder="1" applyAlignment="1">
      <alignment horizontal="center"/>
    </xf>
    <xf numFmtId="164" fontId="0" fillId="13" borderId="16" xfId="0" applyNumberFormat="1" applyFill="1" applyBorder="1" applyAlignment="1">
      <alignment horizontal="right"/>
    </xf>
    <xf numFmtId="0" fontId="2" fillId="9" borderId="0" xfId="0" applyFont="1" applyFill="1" applyAlignment="1">
      <alignment horizontal="center"/>
    </xf>
    <xf numFmtId="0" fontId="13" fillId="14" borderId="20" xfId="0" applyFont="1" applyFill="1" applyBorder="1" applyAlignment="1">
      <alignment wrapText="1"/>
    </xf>
    <xf numFmtId="0" fontId="14" fillId="14" borderId="20" xfId="0" applyFont="1" applyFill="1" applyBorder="1" applyAlignment="1">
      <alignment wrapText="1"/>
    </xf>
    <xf numFmtId="164" fontId="14" fillId="7" borderId="20" xfId="0" applyNumberFormat="1" applyFont="1" applyFill="1" applyBorder="1" applyAlignment="1">
      <alignment wrapText="1"/>
    </xf>
    <xf numFmtId="0" fontId="14" fillId="7" borderId="20" xfId="0" applyFont="1" applyFill="1" applyBorder="1" applyAlignment="1">
      <alignment wrapText="1"/>
    </xf>
    <xf numFmtId="2" fontId="14" fillId="7" borderId="20" xfId="0" applyNumberFormat="1" applyFont="1" applyFill="1" applyBorder="1" applyAlignment="1">
      <alignment wrapText="1"/>
    </xf>
    <xf numFmtId="1" fontId="14" fillId="7" borderId="20" xfId="0" applyNumberFormat="1" applyFont="1" applyFill="1" applyBorder="1" applyAlignment="1">
      <alignment wrapText="1"/>
    </xf>
    <xf numFmtId="0" fontId="16" fillId="12" borderId="24" xfId="0" applyFont="1" applyFill="1" applyBorder="1"/>
    <xf numFmtId="0" fontId="16" fillId="12" borderId="16" xfId="0" applyFont="1" applyFill="1" applyBorder="1"/>
    <xf numFmtId="0" fontId="17" fillId="12" borderId="24" xfId="0" applyFont="1" applyFill="1" applyBorder="1" applyAlignment="1">
      <alignment wrapText="1"/>
    </xf>
    <xf numFmtId="0" fontId="17" fillId="12" borderId="16" xfId="0" applyFont="1" applyFill="1" applyBorder="1" applyAlignment="1">
      <alignment wrapText="1"/>
    </xf>
    <xf numFmtId="0" fontId="1" fillId="2" borderId="20" xfId="0" applyFont="1" applyFill="1" applyBorder="1"/>
    <xf numFmtId="164" fontId="0" fillId="11" borderId="20" xfId="0" applyNumberFormat="1" applyFill="1" applyBorder="1"/>
    <xf numFmtId="2" fontId="0" fillId="11" borderId="20" xfId="0" applyNumberFormat="1" applyFill="1" applyBorder="1"/>
    <xf numFmtId="1" fontId="0" fillId="11" borderId="20" xfId="0" applyNumberFormat="1" applyFill="1" applyBorder="1"/>
    <xf numFmtId="0" fontId="1" fillId="12" borderId="20" xfId="0" applyFont="1" applyFill="1" applyBorder="1"/>
    <xf numFmtId="167" fontId="1" fillId="7" borderId="20" xfId="0" applyNumberFormat="1" applyFont="1" applyFill="1" applyBorder="1"/>
    <xf numFmtId="0" fontId="2" fillId="9" borderId="20" xfId="0" applyFont="1" applyFill="1" applyBorder="1"/>
    <xf numFmtId="1" fontId="0" fillId="0" borderId="20" xfId="0" applyNumberFormat="1" applyBorder="1" applyAlignment="1">
      <alignment horizontal="center"/>
    </xf>
    <xf numFmtId="167" fontId="0" fillId="0" borderId="20" xfId="0" applyNumberFormat="1" applyBorder="1" applyAlignment="1">
      <alignment horizontal="right"/>
    </xf>
    <xf numFmtId="1" fontId="0" fillId="13" borderId="20" xfId="0" applyNumberFormat="1" applyFill="1" applyBorder="1" applyAlignment="1">
      <alignment horizontal="center"/>
    </xf>
    <xf numFmtId="167" fontId="0" fillId="13" borderId="20" xfId="0" applyNumberFormat="1" applyFill="1" applyBorder="1" applyAlignment="1">
      <alignment horizontal="right"/>
    </xf>
    <xf numFmtId="0" fontId="13" fillId="12" borderId="20" xfId="0" applyFont="1" applyFill="1" applyBorder="1" applyAlignment="1">
      <alignment wrapText="1"/>
    </xf>
    <xf numFmtId="0" fontId="13" fillId="7" borderId="20" xfId="0" applyFont="1" applyFill="1" applyBorder="1" applyAlignment="1">
      <alignment wrapText="1"/>
    </xf>
    <xf numFmtId="0" fontId="14" fillId="12" borderId="20" xfId="0" applyFont="1" applyFill="1" applyBorder="1" applyAlignment="1">
      <alignment wrapText="1"/>
    </xf>
    <xf numFmtId="0" fontId="18" fillId="0" borderId="0" xfId="0" applyFont="1"/>
    <xf numFmtId="0" fontId="23" fillId="0" borderId="0" xfId="0" applyFont="1"/>
    <xf numFmtId="0" fontId="23" fillId="0" borderId="0" xfId="0" applyFont="1" applyAlignment="1">
      <alignment vertical="center"/>
    </xf>
    <xf numFmtId="0" fontId="18" fillId="0" borderId="0" xfId="0" applyFont="1" applyAlignment="1">
      <alignment vertical="center"/>
    </xf>
    <xf numFmtId="164" fontId="18" fillId="11" borderId="0" xfId="0" applyNumberFormat="1" applyFont="1" applyFill="1" applyAlignment="1">
      <alignment horizontal="right"/>
    </xf>
    <xf numFmtId="2" fontId="18" fillId="11" borderId="0" xfId="0" applyNumberFormat="1" applyFont="1" applyFill="1" applyAlignment="1">
      <alignment horizontal="right"/>
    </xf>
    <xf numFmtId="1" fontId="18" fillId="11" borderId="0" xfId="0" applyNumberFormat="1" applyFont="1" applyFill="1" applyAlignment="1">
      <alignment horizontal="right"/>
    </xf>
    <xf numFmtId="164" fontId="23" fillId="7" borderId="0" xfId="0" applyNumberFormat="1" applyFont="1" applyFill="1" applyAlignment="1">
      <alignment horizontal="right"/>
    </xf>
    <xf numFmtId="0" fontId="19" fillId="9" borderId="0" xfId="0" applyFont="1" applyFill="1" applyAlignment="1">
      <alignment horizontal="right" wrapText="1"/>
    </xf>
    <xf numFmtId="0" fontId="18" fillId="0" borderId="0" xfId="0" applyFont="1" applyAlignment="1">
      <alignment horizontal="right"/>
    </xf>
    <xf numFmtId="164" fontId="18" fillId="0" borderId="0" xfId="0" applyNumberFormat="1" applyFont="1" applyAlignment="1">
      <alignment horizontal="right"/>
    </xf>
    <xf numFmtId="164" fontId="18" fillId="0" borderId="1" xfId="0" applyNumberFormat="1" applyFont="1" applyBorder="1" applyAlignment="1">
      <alignment horizontal="right"/>
    </xf>
    <xf numFmtId="0" fontId="19" fillId="9" borderId="0" xfId="0" applyFont="1" applyFill="1" applyAlignment="1">
      <alignment horizontal="center" vertical="center" wrapText="1"/>
    </xf>
    <xf numFmtId="1" fontId="18" fillId="0" borderId="0" xfId="0" applyNumberFormat="1" applyFont="1" applyAlignment="1">
      <alignment horizontal="center" vertical="center"/>
    </xf>
    <xf numFmtId="1" fontId="18" fillId="0" borderId="1" xfId="0" applyNumberFormat="1" applyFont="1" applyBorder="1" applyAlignment="1">
      <alignment horizontal="center" vertical="center"/>
    </xf>
    <xf numFmtId="0" fontId="18" fillId="0" borderId="0" xfId="0" applyFont="1" applyAlignment="1">
      <alignment horizontal="center" vertical="center"/>
    </xf>
    <xf numFmtId="168" fontId="23" fillId="7" borderId="0" xfId="0" applyNumberFormat="1" applyFont="1" applyFill="1" applyAlignment="1">
      <alignment horizontal="right"/>
    </xf>
    <xf numFmtId="2" fontId="0" fillId="0" borderId="0" xfId="0" applyNumberFormat="1"/>
    <xf numFmtId="0" fontId="25" fillId="14" borderId="0" xfId="0" applyFont="1" applyFill="1" applyAlignment="1">
      <alignment vertical="center"/>
    </xf>
    <xf numFmtId="0" fontId="28" fillId="17" borderId="0" xfId="0" applyFont="1" applyFill="1" applyAlignment="1">
      <alignment vertical="center"/>
    </xf>
    <xf numFmtId="0" fontId="25" fillId="0" borderId="0" xfId="0" applyFont="1" applyAlignment="1">
      <alignment vertical="center"/>
    </xf>
    <xf numFmtId="0" fontId="26" fillId="19" borderId="0" xfId="0" applyFont="1" applyFill="1" applyAlignment="1">
      <alignment vertical="center"/>
    </xf>
    <xf numFmtId="0" fontId="26" fillId="15" borderId="0" xfId="0" applyFont="1" applyFill="1" applyAlignment="1">
      <alignment vertical="center"/>
    </xf>
    <xf numFmtId="0" fontId="28" fillId="14" borderId="0" xfId="0" applyFont="1" applyFill="1" applyAlignment="1">
      <alignment vertical="center"/>
    </xf>
    <xf numFmtId="1" fontId="28" fillId="11" borderId="0" xfId="0" applyNumberFormat="1" applyFont="1" applyFill="1" applyAlignment="1">
      <alignment vertical="center"/>
    </xf>
    <xf numFmtId="2" fontId="28" fillId="11" borderId="0" xfId="0" applyNumberFormat="1" applyFont="1" applyFill="1" applyAlignment="1">
      <alignment vertical="center"/>
    </xf>
    <xf numFmtId="0" fontId="28" fillId="11" borderId="0" xfId="0" applyFont="1" applyFill="1" applyAlignment="1">
      <alignment vertical="center"/>
    </xf>
    <xf numFmtId="1" fontId="25" fillId="14" borderId="26" xfId="0" applyNumberFormat="1" applyFont="1" applyFill="1" applyBorder="1" applyAlignment="1">
      <alignment horizontal="center" vertical="center"/>
    </xf>
    <xf numFmtId="1" fontId="25" fillId="14" borderId="27" xfId="0" applyNumberFormat="1" applyFont="1" applyFill="1" applyBorder="1" applyAlignment="1">
      <alignment horizontal="center" vertical="center"/>
    </xf>
    <xf numFmtId="0" fontId="28" fillId="0" borderId="0" xfId="0" applyFont="1" applyAlignment="1">
      <alignment vertical="center"/>
    </xf>
    <xf numFmtId="167" fontId="28" fillId="11" borderId="0" xfId="0" applyNumberFormat="1" applyFont="1" applyFill="1" applyAlignment="1">
      <alignment vertical="center"/>
    </xf>
    <xf numFmtId="0" fontId="28" fillId="21" borderId="0" xfId="0" applyFont="1" applyFill="1" applyAlignment="1">
      <alignment vertical="center"/>
    </xf>
    <xf numFmtId="0" fontId="26" fillId="15" borderId="0" xfId="0" applyFont="1" applyFill="1" applyAlignment="1">
      <alignment horizontal="left" vertical="center" wrapText="1"/>
    </xf>
    <xf numFmtId="0" fontId="26" fillId="15" borderId="0" xfId="0" applyFont="1" applyFill="1" applyAlignment="1">
      <alignment horizontal="right" vertical="center" wrapText="1"/>
    </xf>
    <xf numFmtId="0" fontId="26" fillId="15" borderId="0" xfId="0" applyFont="1" applyFill="1" applyAlignment="1">
      <alignment vertical="center" wrapText="1"/>
    </xf>
    <xf numFmtId="1" fontId="26" fillId="15" borderId="25" xfId="0" applyNumberFormat="1" applyFont="1" applyFill="1" applyBorder="1" applyAlignment="1">
      <alignment horizontal="center" vertical="center" wrapText="1"/>
    </xf>
    <xf numFmtId="169" fontId="26" fillId="15" borderId="25" xfId="0" applyNumberFormat="1" applyFont="1" applyFill="1" applyBorder="1" applyAlignment="1">
      <alignment horizontal="right" vertical="center" wrapText="1"/>
    </xf>
    <xf numFmtId="0" fontId="28" fillId="14" borderId="28" xfId="0" applyFont="1" applyFill="1" applyBorder="1" applyAlignment="1">
      <alignment horizontal="left" vertical="center"/>
    </xf>
    <xf numFmtId="0" fontId="28" fillId="14" borderId="29" xfId="0" applyFont="1" applyFill="1" applyBorder="1" applyAlignment="1">
      <alignment horizontal="left" vertical="center"/>
    </xf>
    <xf numFmtId="170" fontId="25" fillId="14" borderId="29" xfId="0" applyNumberFormat="1" applyFont="1" applyFill="1" applyBorder="1" applyAlignment="1">
      <alignment horizontal="right" vertical="center"/>
    </xf>
    <xf numFmtId="0" fontId="28" fillId="14" borderId="30" xfId="0" applyFont="1" applyFill="1" applyBorder="1" applyAlignment="1">
      <alignment vertical="center"/>
    </xf>
    <xf numFmtId="167" fontId="28" fillId="21" borderId="0" xfId="0" applyNumberFormat="1" applyFont="1" applyFill="1" applyAlignment="1">
      <alignment vertical="center"/>
    </xf>
    <xf numFmtId="170" fontId="28" fillId="21" borderId="0" xfId="0" applyNumberFormat="1" applyFont="1" applyFill="1" applyAlignment="1">
      <alignment vertical="center"/>
    </xf>
    <xf numFmtId="171" fontId="28" fillId="21" borderId="0" xfId="0" applyNumberFormat="1" applyFont="1" applyFill="1" applyAlignment="1">
      <alignment vertical="center"/>
    </xf>
    <xf numFmtId="167" fontId="32" fillId="22" borderId="0" xfId="0" applyNumberFormat="1" applyFont="1" applyFill="1" applyAlignment="1">
      <alignment vertical="center"/>
    </xf>
    <xf numFmtId="167" fontId="29" fillId="21" borderId="0" xfId="0" applyNumberFormat="1" applyFont="1" applyFill="1" applyAlignment="1">
      <alignment vertical="center"/>
    </xf>
    <xf numFmtId="167" fontId="25" fillId="14" borderId="28" xfId="0" applyNumberFormat="1" applyFont="1" applyFill="1" applyBorder="1" applyAlignment="1">
      <alignment horizontal="right" vertical="center"/>
    </xf>
    <xf numFmtId="167" fontId="25" fillId="14" borderId="29" xfId="0" applyNumberFormat="1" applyFont="1" applyFill="1" applyBorder="1" applyAlignment="1">
      <alignment horizontal="right" vertical="center"/>
    </xf>
    <xf numFmtId="167" fontId="25" fillId="14" borderId="30" xfId="0" applyNumberFormat="1" applyFont="1" applyFill="1" applyBorder="1" applyAlignment="1">
      <alignment vertical="center"/>
    </xf>
    <xf numFmtId="171" fontId="25" fillId="14" borderId="28" xfId="0" applyNumberFormat="1" applyFont="1" applyFill="1" applyBorder="1" applyAlignment="1">
      <alignment horizontal="right" vertical="center"/>
    </xf>
    <xf numFmtId="171" fontId="25" fillId="14" borderId="29" xfId="0" applyNumberFormat="1" applyFont="1" applyFill="1" applyBorder="1" applyAlignment="1">
      <alignment horizontal="right" vertical="center"/>
    </xf>
    <xf numFmtId="171" fontId="25" fillId="14" borderId="30" xfId="0" applyNumberFormat="1" applyFont="1" applyFill="1" applyBorder="1" applyAlignment="1">
      <alignment vertical="center"/>
    </xf>
    <xf numFmtId="170" fontId="25" fillId="14" borderId="28" xfId="0" applyNumberFormat="1" applyFont="1" applyFill="1" applyBorder="1" applyAlignment="1">
      <alignment horizontal="right" vertical="center"/>
    </xf>
    <xf numFmtId="170" fontId="25" fillId="14" borderId="30" xfId="0" applyNumberFormat="1" applyFont="1" applyFill="1" applyBorder="1" applyAlignment="1">
      <alignment vertical="center"/>
    </xf>
    <xf numFmtId="167" fontId="28" fillId="18" borderId="28" xfId="0" applyNumberFormat="1" applyFont="1" applyFill="1" applyBorder="1" applyAlignment="1">
      <alignment horizontal="right" vertical="center"/>
    </xf>
    <xf numFmtId="167" fontId="27" fillId="14" borderId="28" xfId="0" applyNumberFormat="1" applyFont="1" applyFill="1" applyBorder="1" applyAlignment="1">
      <alignment vertical="center" wrapText="1"/>
    </xf>
    <xf numFmtId="167" fontId="28" fillId="18" borderId="29" xfId="0" applyNumberFormat="1" applyFont="1" applyFill="1" applyBorder="1" applyAlignment="1">
      <alignment horizontal="right" vertical="center"/>
    </xf>
    <xf numFmtId="167" fontId="27" fillId="14" borderId="29" xfId="0" applyNumberFormat="1" applyFont="1" applyFill="1" applyBorder="1" applyAlignment="1">
      <alignment vertical="center" wrapText="1"/>
    </xf>
    <xf numFmtId="167" fontId="25" fillId="14" borderId="26" xfId="0" applyNumberFormat="1" applyFont="1" applyFill="1" applyBorder="1" applyAlignment="1">
      <alignment horizontal="right" vertical="center"/>
    </xf>
    <xf numFmtId="167" fontId="25" fillId="14" borderId="27" xfId="0" applyNumberFormat="1" applyFont="1" applyFill="1" applyBorder="1" applyAlignment="1">
      <alignment horizontal="right" vertical="center"/>
    </xf>
    <xf numFmtId="2" fontId="25" fillId="14" borderId="26" xfId="0" applyNumberFormat="1" applyFont="1" applyFill="1" applyBorder="1" applyAlignment="1">
      <alignment horizontal="right" vertical="center"/>
    </xf>
    <xf numFmtId="2" fontId="25" fillId="14" borderId="27" xfId="0" applyNumberFormat="1" applyFont="1" applyFill="1" applyBorder="1" applyAlignment="1">
      <alignment horizontal="right" vertical="center"/>
    </xf>
    <xf numFmtId="0" fontId="28" fillId="20" borderId="0" xfId="0" applyFont="1" applyFill="1" applyAlignment="1">
      <alignment vertical="center"/>
    </xf>
    <xf numFmtId="167" fontId="35" fillId="22" borderId="0" xfId="0" applyNumberFormat="1" applyFont="1" applyFill="1" applyAlignment="1">
      <alignment vertical="center"/>
    </xf>
    <xf numFmtId="1" fontId="25" fillId="0" borderId="28" xfId="0" applyNumberFormat="1" applyFont="1" applyBorder="1" applyAlignment="1">
      <alignment horizontal="center" vertical="center"/>
    </xf>
    <xf numFmtId="1" fontId="25" fillId="0" borderId="29" xfId="0" applyNumberFormat="1" applyFont="1" applyBorder="1" applyAlignment="1">
      <alignment horizontal="center" vertical="center"/>
    </xf>
    <xf numFmtId="1" fontId="25" fillId="0" borderId="30" xfId="0" applyNumberFormat="1" applyFont="1" applyBorder="1" applyAlignment="1">
      <alignment horizontal="center" vertical="center"/>
    </xf>
    <xf numFmtId="167" fontId="25" fillId="0" borderId="28" xfId="0" applyNumberFormat="1" applyFont="1" applyBorder="1" applyAlignment="1">
      <alignment vertical="center"/>
    </xf>
    <xf numFmtId="167" fontId="25" fillId="0" borderId="29" xfId="0" applyNumberFormat="1" applyFont="1" applyBorder="1" applyAlignment="1">
      <alignment vertical="center"/>
    </xf>
    <xf numFmtId="167" fontId="25" fillId="0" borderId="30" xfId="0" applyNumberFormat="1" applyFont="1" applyBorder="1" applyAlignment="1">
      <alignment vertical="center"/>
    </xf>
    <xf numFmtId="166" fontId="25" fillId="0" borderId="28" xfId="0" applyNumberFormat="1" applyFont="1" applyBorder="1" applyAlignment="1">
      <alignment vertical="center"/>
    </xf>
    <xf numFmtId="166" fontId="25" fillId="0" borderId="29" xfId="0" applyNumberFormat="1" applyFont="1" applyBorder="1" applyAlignment="1">
      <alignment vertical="center"/>
    </xf>
    <xf numFmtId="166" fontId="25" fillId="0" borderId="30" xfId="0" applyNumberFormat="1" applyFont="1" applyBorder="1" applyAlignment="1">
      <alignment vertical="center"/>
    </xf>
    <xf numFmtId="0" fontId="16" fillId="21" borderId="0" xfId="0" applyFont="1" applyFill="1"/>
    <xf numFmtId="0" fontId="17" fillId="21" borderId="0" xfId="0" applyFont="1" applyFill="1" applyAlignment="1">
      <alignment wrapText="1"/>
    </xf>
    <xf numFmtId="0" fontId="0" fillId="21" borderId="0" xfId="0" applyFill="1"/>
    <xf numFmtId="0" fontId="0" fillId="12" borderId="20" xfId="0" applyFill="1" applyBorder="1" applyAlignment="1">
      <alignment wrapText="1"/>
    </xf>
    <xf numFmtId="0" fontId="0" fillId="7" borderId="20" xfId="0" applyFill="1" applyBorder="1" applyAlignment="1">
      <alignment wrapText="1"/>
    </xf>
    <xf numFmtId="0" fontId="1" fillId="12" borderId="20" xfId="0" applyFont="1" applyFill="1" applyBorder="1" applyAlignment="1">
      <alignment wrapText="1"/>
    </xf>
    <xf numFmtId="0" fontId="1" fillId="7" borderId="20" xfId="0" applyFont="1" applyFill="1" applyBorder="1" applyAlignment="1">
      <alignment wrapText="1"/>
    </xf>
    <xf numFmtId="0" fontId="6" fillId="9" borderId="0" xfId="0" applyFont="1" applyFill="1" applyAlignment="1">
      <alignment vertical="center"/>
    </xf>
    <xf numFmtId="0" fontId="11" fillId="0" borderId="0" xfId="0" applyFont="1" applyAlignment="1">
      <alignment wrapText="1"/>
    </xf>
    <xf numFmtId="0" fontId="2" fillId="10" borderId="0" xfId="0" applyFont="1" applyFill="1"/>
    <xf numFmtId="0" fontId="12" fillId="11" borderId="0" xfId="0" applyFont="1" applyFill="1" applyAlignment="1">
      <alignment wrapText="1"/>
    </xf>
    <xf numFmtId="0" fontId="13" fillId="12" borderId="2" xfId="0" applyFont="1" applyFill="1" applyBorder="1" applyAlignment="1">
      <alignment wrapText="1"/>
    </xf>
    <xf numFmtId="0" fontId="13" fillId="12" borderId="17" xfId="0" applyFont="1" applyFill="1" applyBorder="1" applyAlignment="1">
      <alignment wrapText="1"/>
    </xf>
    <xf numFmtId="0" fontId="13" fillId="12" borderId="3" xfId="0" applyFont="1" applyFill="1" applyBorder="1" applyAlignment="1">
      <alignment wrapText="1"/>
    </xf>
    <xf numFmtId="0" fontId="2" fillId="9" borderId="0" xfId="0" applyFont="1" applyFill="1" applyAlignment="1">
      <alignment horizontal="center"/>
    </xf>
    <xf numFmtId="0" fontId="14" fillId="14" borderId="20" xfId="0" applyFont="1" applyFill="1" applyBorder="1" applyAlignment="1">
      <alignment wrapText="1"/>
    </xf>
    <xf numFmtId="0" fontId="13" fillId="14" borderId="20" xfId="0" applyFont="1" applyFill="1" applyBorder="1" applyAlignment="1">
      <alignment wrapText="1"/>
    </xf>
    <xf numFmtId="164" fontId="14" fillId="7" borderId="20" xfId="0" applyNumberFormat="1" applyFont="1" applyFill="1" applyBorder="1" applyAlignment="1">
      <alignment wrapText="1"/>
    </xf>
    <xf numFmtId="0" fontId="14" fillId="7" borderId="20" xfId="0" applyFont="1" applyFill="1" applyBorder="1" applyAlignment="1">
      <alignment wrapText="1"/>
    </xf>
    <xf numFmtId="2" fontId="14" fillId="7" borderId="20" xfId="0" applyNumberFormat="1" applyFont="1" applyFill="1" applyBorder="1" applyAlignment="1">
      <alignment wrapText="1"/>
    </xf>
    <xf numFmtId="1" fontId="14" fillId="7" borderId="20" xfId="0" applyNumberFormat="1" applyFont="1" applyFill="1" applyBorder="1" applyAlignment="1">
      <alignment wrapText="1"/>
    </xf>
    <xf numFmtId="0" fontId="15" fillId="11" borderId="2" xfId="0" applyFont="1" applyFill="1" applyBorder="1" applyAlignment="1">
      <alignment wrapText="1"/>
    </xf>
    <xf numFmtId="0" fontId="15" fillId="11" borderId="17" xfId="0" applyFont="1" applyFill="1" applyBorder="1" applyAlignment="1">
      <alignment wrapText="1"/>
    </xf>
    <xf numFmtId="0" fontId="15" fillId="11" borderId="3" xfId="0" applyFont="1" applyFill="1" applyBorder="1" applyAlignment="1">
      <alignment wrapText="1"/>
    </xf>
    <xf numFmtId="0" fontId="6" fillId="9" borderId="0" xfId="0" applyFont="1" applyFill="1" applyAlignment="1">
      <alignment wrapText="1"/>
    </xf>
    <xf numFmtId="0" fontId="11" fillId="11" borderId="0" xfId="0" applyFont="1" applyFill="1" applyAlignment="1">
      <alignment wrapText="1"/>
    </xf>
    <xf numFmtId="0" fontId="2" fillId="10" borderId="0" xfId="0" applyFont="1" applyFill="1" applyAlignment="1">
      <alignment wrapText="1"/>
    </xf>
    <xf numFmtId="0" fontId="13" fillId="12" borderId="21" xfId="0" applyFont="1" applyFill="1" applyBorder="1" applyAlignment="1">
      <alignment wrapText="1"/>
    </xf>
    <xf numFmtId="0" fontId="13" fillId="12" borderId="22" xfId="0" applyFont="1" applyFill="1" applyBorder="1" applyAlignment="1">
      <alignment wrapText="1"/>
    </xf>
    <xf numFmtId="0" fontId="1" fillId="2" borderId="20" xfId="0" applyFont="1" applyFill="1" applyBorder="1" applyAlignment="1">
      <alignment wrapText="1"/>
    </xf>
    <xf numFmtId="0" fontId="0" fillId="14" borderId="20" xfId="0" applyFill="1" applyBorder="1" applyAlignment="1">
      <alignment wrapText="1"/>
    </xf>
    <xf numFmtId="0" fontId="13" fillId="7" borderId="21" xfId="0" applyFont="1" applyFill="1" applyBorder="1" applyAlignment="1">
      <alignment wrapText="1"/>
    </xf>
    <xf numFmtId="0" fontId="13" fillId="7" borderId="17" xfId="0" applyFont="1" applyFill="1" applyBorder="1" applyAlignment="1">
      <alignment wrapText="1"/>
    </xf>
    <xf numFmtId="0" fontId="13" fillId="7" borderId="22" xfId="0" applyFont="1" applyFill="1" applyBorder="1" applyAlignment="1">
      <alignment wrapText="1"/>
    </xf>
    <xf numFmtId="0" fontId="13" fillId="11" borderId="21" xfId="0" applyFont="1" applyFill="1" applyBorder="1" applyAlignment="1">
      <alignment wrapText="1"/>
    </xf>
    <xf numFmtId="0" fontId="13" fillId="11" borderId="17" xfId="0" applyFont="1" applyFill="1" applyBorder="1" applyAlignment="1">
      <alignment wrapText="1"/>
    </xf>
    <xf numFmtId="0" fontId="13" fillId="11" borderId="22" xfId="0" applyFont="1" applyFill="1" applyBorder="1" applyAlignment="1">
      <alignment wrapText="1"/>
    </xf>
    <xf numFmtId="0" fontId="15" fillId="11" borderId="0" xfId="0" applyFont="1" applyFill="1" applyAlignment="1">
      <alignment wrapText="1"/>
    </xf>
    <xf numFmtId="0" fontId="6" fillId="9" borderId="0" xfId="0" applyFont="1" applyFill="1"/>
    <xf numFmtId="0" fontId="13" fillId="12" borderId="0" xfId="0" applyFont="1" applyFill="1" applyAlignment="1">
      <alignment wrapText="1"/>
    </xf>
    <xf numFmtId="0" fontId="2" fillId="9" borderId="0" xfId="0" applyFont="1" applyFill="1"/>
    <xf numFmtId="0" fontId="9" fillId="0" borderId="0" xfId="0" applyFont="1" applyAlignment="1">
      <alignment wrapText="1"/>
    </xf>
    <xf numFmtId="0" fontId="10" fillId="8" borderId="0" xfId="0" applyFont="1" applyFill="1" applyAlignment="1">
      <alignment horizontal="left" vertical="top" wrapText="1"/>
    </xf>
    <xf numFmtId="0" fontId="2" fillId="3" borderId="6" xfId="0" applyFont="1" applyFill="1" applyBorder="1" applyAlignment="1">
      <alignment horizontal="left"/>
    </xf>
    <xf numFmtId="0" fontId="2" fillId="3" borderId="0" xfId="0" applyFont="1" applyFill="1" applyAlignment="1">
      <alignment horizontal="left"/>
    </xf>
    <xf numFmtId="0" fontId="5" fillId="3" borderId="0" xfId="0" applyFont="1" applyFill="1" applyAlignment="1">
      <alignment horizontal="left" wrapText="1"/>
    </xf>
    <xf numFmtId="0" fontId="6" fillId="3" borderId="0" xfId="0" applyFont="1" applyFill="1" applyAlignment="1">
      <alignment horizontal="left"/>
    </xf>
    <xf numFmtId="0" fontId="7" fillId="0" borderId="0" xfId="0" applyFont="1" applyAlignment="1">
      <alignment wrapText="1"/>
    </xf>
    <xf numFmtId="0" fontId="8" fillId="7" borderId="0" xfId="0" applyFont="1" applyFill="1" applyAlignment="1">
      <alignment wrapText="1"/>
    </xf>
    <xf numFmtId="0" fontId="2" fillId="10" borderId="0" xfId="0" applyFont="1" applyFill="1" applyAlignment="1">
      <alignment horizontal="left"/>
    </xf>
    <xf numFmtId="0" fontId="13" fillId="12" borderId="19" xfId="0" applyFont="1" applyFill="1" applyBorder="1" applyAlignment="1">
      <alignment wrapText="1"/>
    </xf>
    <xf numFmtId="0" fontId="13" fillId="12" borderId="18" xfId="0" applyFont="1" applyFill="1" applyBorder="1" applyAlignment="1">
      <alignment wrapText="1"/>
    </xf>
    <xf numFmtId="0" fontId="13" fillId="12" borderId="23" xfId="0" applyFont="1" applyFill="1" applyBorder="1" applyAlignment="1">
      <alignment wrapText="1"/>
    </xf>
    <xf numFmtId="0" fontId="26" fillId="19" borderId="0" xfId="0" applyFont="1" applyFill="1" applyAlignment="1">
      <alignment vertical="center"/>
    </xf>
    <xf numFmtId="0" fontId="26" fillId="16" borderId="0" xfId="0" applyFont="1" applyFill="1" applyAlignment="1">
      <alignment vertical="center"/>
    </xf>
    <xf numFmtId="0" fontId="33" fillId="23" borderId="0" xfId="0" applyFont="1" applyFill="1" applyAlignment="1">
      <alignment vertical="center" wrapText="1"/>
    </xf>
    <xf numFmtId="0" fontId="25" fillId="14" borderId="0" xfId="0" applyFont="1" applyFill="1" applyAlignment="1">
      <alignment vertical="center" wrapText="1"/>
    </xf>
    <xf numFmtId="0" fontId="26" fillId="19" borderId="0" xfId="0" applyFont="1" applyFill="1" applyAlignment="1">
      <alignment vertical="center" wrapText="1"/>
    </xf>
    <xf numFmtId="0" fontId="30" fillId="15" borderId="0" xfId="0" applyFont="1" applyFill="1" applyAlignment="1">
      <alignment vertical="center"/>
    </xf>
    <xf numFmtId="0" fontId="31" fillId="20" borderId="0" xfId="0" applyFont="1" applyFill="1" applyAlignment="1">
      <alignment vertical="center"/>
    </xf>
    <xf numFmtId="0" fontId="34" fillId="15" borderId="0" xfId="0" applyFont="1" applyFill="1" applyAlignment="1">
      <alignment vertical="center"/>
    </xf>
    <xf numFmtId="0" fontId="19" fillId="10" borderId="0" xfId="0" applyFont="1" applyFill="1" applyAlignment="1">
      <alignment vertical="center"/>
    </xf>
    <xf numFmtId="0" fontId="19" fillId="10" borderId="0" xfId="0" applyFont="1" applyFill="1"/>
    <xf numFmtId="0" fontId="20" fillId="9" borderId="0" xfId="0" applyFont="1" applyFill="1"/>
    <xf numFmtId="0" fontId="22" fillId="0" borderId="0" xfId="0" applyFont="1"/>
    <xf numFmtId="0" fontId="24" fillId="2" borderId="0" xfId="0" applyFont="1" applyFill="1" applyAlignment="1">
      <alignment wrapText="1"/>
    </xf>
    <xf numFmtId="0" fontId="19" fillId="10" borderId="0" xfId="0" applyFont="1" applyFill="1" applyAlignment="1">
      <alignment horizontal="center" vertical="center"/>
    </xf>
    <xf numFmtId="0" fontId="19" fillId="10" borderId="0" xfId="0" applyFont="1" applyFill="1" applyAlignment="1">
      <alignment horizontal="right"/>
    </xf>
    <xf numFmtId="0" fontId="21" fillId="0" borderId="0" xfId="0" applyFont="1" applyAlignment="1">
      <alignment vertical="center" wrapText="1"/>
    </xf>
    <xf numFmtId="0" fontId="21" fillId="0" borderId="0" xfId="0" applyFont="1" applyAlignment="1">
      <alignment wrapText="1"/>
    </xf>
  </cellXfs>
  <cellStyles count="1">
    <cellStyle name="Normal" xfId="0" builtinId="0"/>
  </cellStyles>
  <dxfs count="4">
    <dxf>
      <font>
        <color rgb="FF9C0006"/>
      </font>
      <fill>
        <patternFill patternType="solid">
          <fgColor indexed="64"/>
          <bgColor rgb="FFFFC7CE"/>
        </patternFill>
      </fill>
    </dxf>
    <dxf>
      <font>
        <color rgb="FF1B5E20"/>
      </font>
      <fill>
        <patternFill patternType="solid">
          <fgColor indexed="64"/>
          <bgColor rgb="FFE2F0D9"/>
        </patternFill>
      </fill>
    </dxf>
    <dxf>
      <font>
        <color rgb="FF9C0006"/>
      </font>
      <fill>
        <patternFill patternType="solid">
          <fgColor indexed="64"/>
          <bgColor rgb="FFFFC7CE"/>
        </patternFill>
      </fill>
    </dxf>
    <dxf>
      <font>
        <color rgb="FF1B5E20"/>
      </font>
      <fill>
        <patternFill patternType="solid">
          <fgColor indexed="64"/>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Selected Scenario — Closing Balance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'Loan Prepayment'!$H$49:$H$78</c:f>
              <c:strCache>
                <c:ptCount val="30"/>
                <c:pt idx="0">
                  <c:v>Closing Balance</c:v>
                </c:pt>
                <c:pt idx="1">
                  <c:v>₹93,00,977</c:v>
                </c:pt>
                <c:pt idx="2">
                  <c:v>₹90,95,413</c:v>
                </c:pt>
                <c:pt idx="3">
                  <c:v>₹83,71,679</c:v>
                </c:pt>
                <c:pt idx="4">
                  <c:v>₹81,41,893</c:v>
                </c:pt>
                <c:pt idx="5">
                  <c:v>₹73,91,796</c:v>
                </c:pt>
                <c:pt idx="6">
                  <c:v>₹70,00,342</c:v>
                </c:pt>
                <c:pt idx="7">
                  <c:v>₹65,78,499</c:v>
                </c:pt>
                <c:pt idx="8">
                  <c:v>₹61,23,907</c:v>
                </c:pt>
                <c:pt idx="9">
                  <c:v>₹56,34,024</c:v>
                </c:pt>
                <c:pt idx="10">
                  <c:v>₹51,06,110</c:v>
                </c:pt>
                <c:pt idx="11">
                  <c:v>₹45,37,213</c:v>
                </c:pt>
                <c:pt idx="12">
                  <c:v>₹39,24,151</c:v>
                </c:pt>
                <c:pt idx="13">
                  <c:v>₹32,63,495</c:v>
                </c:pt>
                <c:pt idx="14">
                  <c:v>₹25,51,551</c:v>
                </c:pt>
                <c:pt idx="15">
                  <c:v>₹17,84,337</c:v>
                </c:pt>
                <c:pt idx="16">
                  <c:v>₹9,57,562</c:v>
                </c:pt>
                <c:pt idx="17">
                  <c:v>₹66,602</c:v>
                </c:pt>
                <c:pt idx="18">
                  <c:v>₹0</c:v>
                </c:pt>
              </c:strCache>
            </c:strRef>
          </c:tx>
          <c:spPr>
            <a:ln w="28575" cap="rnd">
              <a:solidFill>
                <a:schemeClr val="accent1"/>
              </a:solidFill>
              <a:round/>
            </a:ln>
            <a:effectLst/>
          </c:spPr>
          <c:marker>
            <c:symbol val="none"/>
          </c:marker>
          <c:cat>
            <c:numRef>
              <c:f>'Loan Prepayment'!$A$50:$A$79</c:f>
              <c:numCache>
                <c:formatCode>0</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'Loan Prepayment'!$H$79</c:f>
              <c:numCache>
                <c:formatCode>\₹#,##0;[Red]\(\₹#,##0\)</c:formatCode>
                <c:ptCount val="1"/>
                <c:pt idx="0">
                  <c:v>0</c:v>
                </c:pt>
              </c:numCache>
            </c:numRef>
          </c:val>
          <c:smooth val="0"/>
          <c:extLst>
            <c:ext xmlns:c16="http://schemas.microsoft.com/office/drawing/2014/chart" uri="{C3380CC4-5D6E-409C-BE32-E72D297353CC}">
              <c16:uniqueId val="{00000000-CA35-4FF6-92CF-4BA9B78D74E5}"/>
            </c:ext>
          </c:extLst>
        </c:ser>
        <c:dLbls>
          <c:showLegendKey val="0"/>
          <c:showVal val="0"/>
          <c:showCatName val="0"/>
          <c:showSerName val="0"/>
          <c:showPercent val="0"/>
          <c:showBubbleSize val="0"/>
        </c:dLbls>
        <c:smooth val="0"/>
        <c:axId val="452150799"/>
        <c:axId val="245231439"/>
      </c:lineChart>
      <c:catAx>
        <c:axId val="45215079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231439"/>
        <c:crosses val="autoZero"/>
        <c:auto val="1"/>
        <c:lblAlgn val="ctr"/>
        <c:lblOffset val="100"/>
        <c:noMultiLvlLbl val="0"/>
      </c:catAx>
      <c:valAx>
        <c:axId val="245231439"/>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Outstanding balance (₹ millions)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2150799"/>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Post-Tax Corpus vs Inflation-Adjusted Goal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Post-Tax Corpus</c:v>
          </c:tx>
          <c:spPr>
            <a:ln w="28575" cap="rnd">
              <a:solidFill>
                <a:schemeClr val="accent1"/>
              </a:solidFill>
              <a:round/>
            </a:ln>
            <a:effectLst/>
          </c:spPr>
          <c:marker>
            <c:symbol val="none"/>
          </c:marker>
          <c:cat>
            <c:numRef>
              <c:f>'Step-Up SIP Goal'!$A$18:$A$47</c:f>
              <c:numCache>
                <c:formatCode>0</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'Step-Up SIP Goal'!$I$18:$I$47</c:f>
              <c:numCache>
                <c:formatCode>\₹#,##0;[Red]\(\₹#,##0\)</c:formatCode>
                <c:ptCount val="30"/>
                <c:pt idx="0">
                  <c:v>224742.56426341389</c:v>
                </c:pt>
                <c:pt idx="1">
                  <c:v>500462.36743781279</c:v>
                </c:pt>
                <c:pt idx="2">
                  <c:v>834996.19291810656</c:v>
                </c:pt>
                <c:pt idx="3">
                  <c:v>1224874.6452757344</c:v>
                </c:pt>
                <c:pt idx="4">
                  <c:v>1689424.4732501251</c:v>
                </c:pt>
                <c:pt idx="5">
                  <c:v>2240638.3792187404</c:v>
                </c:pt>
                <c:pt idx="6">
                  <c:v>2892282.2906909138</c:v>
                </c:pt>
                <c:pt idx="7">
                  <c:v>3660145.474667781</c:v>
                </c:pt>
                <c:pt idx="8">
                  <c:v>4562324.8952663578</c:v>
                </c:pt>
                <c:pt idx="9">
                  <c:v>5619548.4097610665</c:v>
                </c:pt>
                <c:pt idx="10">
                  <c:v>6855542.0062014954</c:v>
                </c:pt>
                <c:pt idx="11">
                  <c:v>8297446.9734034743</c:v>
                </c:pt>
                <c:pt idx="12">
                  <c:v>9976293.6717333607</c:v>
                </c:pt>
                <c:pt idx="13">
                  <c:v>11927539.45240248</c:v>
                </c:pt>
                <c:pt idx="14">
                  <c:v>14191679.267160084</c:v>
                </c:pt>
                <c:pt idx="15">
                  <c:v>16814938.634223584</c:v>
                </c:pt>
                <c:pt idx="16">
                  <c:v>19850059.896842781</c:v>
                </c:pt>
                <c:pt idx="17">
                  <c:v>23357194.147060126</c:v>
                </c:pt>
                <c:pt idx="18">
                  <c:v>27404912.810451668</c:v>
                </c:pt>
                <c:pt idx="19">
                  <c:v>32071354.722128443</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0-5D14-4F59-BF6D-D9A0EF303117}"/>
            </c:ext>
          </c:extLst>
        </c:ser>
        <c:ser>
          <c:idx val="1"/>
          <c:order val="1"/>
          <c:tx>
            <c:v>Inflation-Adjusted Goal</c:v>
          </c:tx>
          <c:spPr>
            <a:ln w="28575" cap="rnd">
              <a:solidFill>
                <a:schemeClr val="accent2"/>
              </a:solidFill>
              <a:round/>
            </a:ln>
            <a:effectLst/>
          </c:spPr>
          <c:marker>
            <c:symbol val="none"/>
          </c:marker>
          <c:cat>
            <c:numRef>
              <c:f>'Step-Up SIP Goal'!$A$18:$A$47</c:f>
              <c:numCache>
                <c:formatCode>0</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'Step-Up SIP Goal'!$K$18:$K$47</c:f>
              <c:numCache>
                <c:formatCode>\₹#,##0;[Red]\(\₹#,##0\)</c:formatCode>
                <c:ptCount val="30"/>
                <c:pt idx="0">
                  <c:v>10600000</c:v>
                </c:pt>
                <c:pt idx="1">
                  <c:v>11236000.000000002</c:v>
                </c:pt>
                <c:pt idx="2">
                  <c:v>11910160.000000004</c:v>
                </c:pt>
                <c:pt idx="3">
                  <c:v>12624769.600000003</c:v>
                </c:pt>
                <c:pt idx="4">
                  <c:v>13382255.776000004</c:v>
                </c:pt>
                <c:pt idx="5">
                  <c:v>14185191.122560006</c:v>
                </c:pt>
                <c:pt idx="6">
                  <c:v>15036302.589913609</c:v>
                </c:pt>
                <c:pt idx="7">
                  <c:v>15938480.745308423</c:v>
                </c:pt>
                <c:pt idx="8">
                  <c:v>16894789.59002693</c:v>
                </c:pt>
                <c:pt idx="9">
                  <c:v>17908476.965428546</c:v>
                </c:pt>
                <c:pt idx="10">
                  <c:v>18982985.583354261</c:v>
                </c:pt>
                <c:pt idx="11">
                  <c:v>20121964.718355518</c:v>
                </c:pt>
                <c:pt idx="12">
                  <c:v>21329282.601456851</c:v>
                </c:pt>
                <c:pt idx="13">
                  <c:v>22609039.557544261</c:v>
                </c:pt>
                <c:pt idx="14">
                  <c:v>23965581.930996925</c:v>
                </c:pt>
                <c:pt idx="15">
                  <c:v>25403516.846856732</c:v>
                </c:pt>
                <c:pt idx="16">
                  <c:v>26927727.857668139</c:v>
                </c:pt>
                <c:pt idx="17">
                  <c:v>28543391.529128227</c:v>
                </c:pt>
                <c:pt idx="18">
                  <c:v>30255995.020875927</c:v>
                </c:pt>
                <c:pt idx="19">
                  <c:v>32071354.722128481</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1-5D14-4F59-BF6D-D9A0EF303117}"/>
            </c:ext>
          </c:extLst>
        </c:ser>
        <c:dLbls>
          <c:showLegendKey val="0"/>
          <c:showVal val="0"/>
          <c:showCatName val="0"/>
          <c:showSerName val="0"/>
          <c:showPercent val="0"/>
          <c:showBubbleSize val="0"/>
        </c:dLbls>
        <c:smooth val="0"/>
        <c:axId val="521449983"/>
        <c:axId val="245242479"/>
      </c:lineChart>
      <c:catAx>
        <c:axId val="52144998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5242479"/>
        <c:crosses val="autoZero"/>
        <c:auto val="1"/>
        <c:lblAlgn val="ctr"/>
        <c:lblOffset val="100"/>
        <c:noMultiLvlLbl val="0"/>
      </c:catAx>
      <c:valAx>
        <c:axId val="245242479"/>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Value (₹ millions)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449983"/>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0</xdr:colOff>
      <xdr:row>18</xdr:row>
      <xdr:rowOff>38100</xdr:rowOff>
    </xdr:from>
    <xdr:to>
      <xdr:col>16</xdr:col>
      <xdr:colOff>946150</xdr:colOff>
      <xdr:row>36</xdr:row>
      <xdr:rowOff>85725</xdr:rowOff>
    </xdr:to>
    <xdr:graphicFrame macro="">
      <xdr:nvGraphicFramePr>
        <xdr:cNvPr id="4" name="Selected Scenario Balance">
          <a:extLst>
            <a:ext uri="{FF2B5EF4-FFF2-40B4-BE49-F238E27FC236}">
              <a16:creationId xmlns:a16="http://schemas.microsoft.com/office/drawing/2014/main" id="{42C3610B-0571-59C1-E9F4-C6FF6975EC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0</xdr:colOff>
      <xdr:row>3</xdr:row>
      <xdr:rowOff>12699</xdr:rowOff>
    </xdr:from>
    <xdr:to>
      <xdr:col>21</xdr:col>
      <xdr:colOff>0</xdr:colOff>
      <xdr:row>19</xdr:row>
      <xdr:rowOff>12699</xdr:rowOff>
    </xdr:to>
    <xdr:graphicFrame macro="">
      <xdr:nvGraphicFramePr>
        <xdr:cNvPr id="3" name="Goal Funding Path">
          <a:extLst>
            <a:ext uri="{FF2B5EF4-FFF2-40B4-BE49-F238E27FC236}">
              <a16:creationId xmlns:a16="http://schemas.microsoft.com/office/drawing/2014/main" id="{27CDD291-3B61-6CBA-3219-9C9441CB05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2A110-5FAA-4E33-9DE1-56E9C71566A1}">
  <dimension ref="A1:C61"/>
  <sheetViews>
    <sheetView tabSelected="1" topLeftCell="A39" zoomScaleNormal="100" workbookViewId="0">
      <selection activeCell="A56" sqref="A56"/>
    </sheetView>
  </sheetViews>
  <sheetFormatPr defaultRowHeight="14.5" x14ac:dyDescent="0.35"/>
  <cols>
    <col min="1" max="1" width="26.36328125" customWidth="1"/>
    <col min="2" max="2" width="37.26953125" customWidth="1"/>
    <col min="3" max="3" width="63.6328125" customWidth="1"/>
  </cols>
  <sheetData>
    <row r="1" spans="1:3" ht="23.5" x14ac:dyDescent="0.55000000000000004">
      <c r="A1" s="172" t="s">
        <v>175</v>
      </c>
      <c r="B1" s="172"/>
      <c r="C1" s="172"/>
    </row>
    <row r="2" spans="1:3" x14ac:dyDescent="0.35">
      <c r="A2" s="142" t="s">
        <v>256</v>
      </c>
      <c r="B2" s="142"/>
      <c r="C2" s="142"/>
    </row>
    <row r="4" spans="1:3" x14ac:dyDescent="0.35">
      <c r="A4" s="24" t="s">
        <v>176</v>
      </c>
      <c r="B4" s="24" t="s">
        <v>177</v>
      </c>
    </row>
    <row r="5" spans="1:3" ht="43.5" x14ac:dyDescent="0.35">
      <c r="A5" s="43" t="s">
        <v>178</v>
      </c>
      <c r="B5" s="45" t="s">
        <v>179</v>
      </c>
    </row>
    <row r="6" spans="1:3" ht="43.5" x14ac:dyDescent="0.35">
      <c r="A6" s="44" t="s">
        <v>180</v>
      </c>
      <c r="B6" s="46" t="s">
        <v>181</v>
      </c>
    </row>
    <row r="7" spans="1:3" ht="29" x14ac:dyDescent="0.35">
      <c r="A7" s="44" t="s">
        <v>182</v>
      </c>
      <c r="B7" s="46" t="s">
        <v>183</v>
      </c>
    </row>
    <row r="8" spans="1:3" ht="29" x14ac:dyDescent="0.35">
      <c r="A8" s="44" t="s">
        <v>184</v>
      </c>
      <c r="B8" s="46" t="s">
        <v>185</v>
      </c>
    </row>
    <row r="9" spans="1:3" ht="43.5" x14ac:dyDescent="0.35">
      <c r="A9" s="44" t="s">
        <v>344</v>
      </c>
      <c r="B9" s="46" t="s">
        <v>345</v>
      </c>
    </row>
    <row r="10" spans="1:3" ht="43.5" x14ac:dyDescent="0.35">
      <c r="A10" s="134" t="s">
        <v>435</v>
      </c>
      <c r="B10" s="135" t="s">
        <v>436</v>
      </c>
      <c r="C10" s="136"/>
    </row>
    <row r="11" spans="1:3" ht="43.5" x14ac:dyDescent="0.35">
      <c r="A11" s="134" t="s">
        <v>437</v>
      </c>
      <c r="B11" s="135" t="s">
        <v>438</v>
      </c>
      <c r="C11" s="136"/>
    </row>
    <row r="12" spans="1:3" x14ac:dyDescent="0.35">
      <c r="A12" s="134"/>
      <c r="B12" s="135"/>
      <c r="C12" s="136"/>
    </row>
    <row r="13" spans="1:3" x14ac:dyDescent="0.35">
      <c r="A13" s="143" t="s">
        <v>257</v>
      </c>
      <c r="B13" s="143"/>
      <c r="C13" s="143"/>
    </row>
    <row r="14" spans="1:3" x14ac:dyDescent="0.35">
      <c r="A14" s="31" t="s">
        <v>258</v>
      </c>
      <c r="B14" s="31" t="s">
        <v>259</v>
      </c>
      <c r="C14" s="31" t="s">
        <v>260</v>
      </c>
    </row>
    <row r="15" spans="1:3" ht="43.5" x14ac:dyDescent="0.35">
      <c r="A15" s="40" t="s">
        <v>346</v>
      </c>
      <c r="B15" s="40" t="s">
        <v>261</v>
      </c>
      <c r="C15" s="59" t="s">
        <v>262</v>
      </c>
    </row>
    <row r="16" spans="1:3" ht="43.5" x14ac:dyDescent="0.35">
      <c r="A16" s="40" t="s">
        <v>347</v>
      </c>
      <c r="B16" s="40" t="s">
        <v>263</v>
      </c>
      <c r="C16" s="59" t="s">
        <v>348</v>
      </c>
    </row>
    <row r="17" spans="1:3" ht="29" x14ac:dyDescent="0.35">
      <c r="A17" s="40" t="s">
        <v>439</v>
      </c>
      <c r="B17" s="40" t="s">
        <v>264</v>
      </c>
      <c r="C17" s="59" t="s">
        <v>440</v>
      </c>
    </row>
    <row r="18" spans="1:3" ht="29" x14ac:dyDescent="0.35">
      <c r="A18" s="60" t="s">
        <v>441</v>
      </c>
      <c r="B18" s="60" t="s">
        <v>265</v>
      </c>
      <c r="C18" s="58" t="s">
        <v>266</v>
      </c>
    </row>
    <row r="19" spans="1:3" ht="29" x14ac:dyDescent="0.35">
      <c r="A19" s="60" t="s">
        <v>442</v>
      </c>
      <c r="B19" s="60" t="s">
        <v>267</v>
      </c>
      <c r="C19" s="58" t="s">
        <v>268</v>
      </c>
    </row>
    <row r="20" spans="1:3" ht="29" x14ac:dyDescent="0.35">
      <c r="A20" s="60" t="s">
        <v>443</v>
      </c>
      <c r="B20" s="60" t="s">
        <v>269</v>
      </c>
      <c r="C20" s="58" t="s">
        <v>270</v>
      </c>
    </row>
    <row r="21" spans="1:3" ht="29" x14ac:dyDescent="0.35">
      <c r="A21" s="60" t="s">
        <v>444</v>
      </c>
      <c r="B21" s="60" t="s">
        <v>271</v>
      </c>
      <c r="C21" s="58" t="s">
        <v>272</v>
      </c>
    </row>
    <row r="22" spans="1:3" ht="29" x14ac:dyDescent="0.35">
      <c r="A22" s="60" t="s">
        <v>445</v>
      </c>
      <c r="B22" s="60" t="s">
        <v>273</v>
      </c>
      <c r="C22" s="58" t="s">
        <v>274</v>
      </c>
    </row>
    <row r="23" spans="1:3" ht="29" x14ac:dyDescent="0.35">
      <c r="A23" s="60" t="s">
        <v>446</v>
      </c>
      <c r="B23" s="60" t="s">
        <v>275</v>
      </c>
      <c r="C23" s="58" t="s">
        <v>276</v>
      </c>
    </row>
    <row r="24" spans="1:3" ht="29" x14ac:dyDescent="0.35">
      <c r="A24" s="60" t="s">
        <v>447</v>
      </c>
      <c r="B24" s="60" t="s">
        <v>277</v>
      </c>
      <c r="C24" s="58" t="s">
        <v>278</v>
      </c>
    </row>
    <row r="26" spans="1:3" x14ac:dyDescent="0.35">
      <c r="A26" s="143" t="s">
        <v>279</v>
      </c>
      <c r="B26" s="143"/>
      <c r="C26" s="143"/>
    </row>
    <row r="27" spans="1:3" x14ac:dyDescent="0.35">
      <c r="A27" s="31" t="s">
        <v>448</v>
      </c>
      <c r="B27" s="31" t="s">
        <v>280</v>
      </c>
      <c r="C27" s="31" t="s">
        <v>281</v>
      </c>
    </row>
    <row r="28" spans="1:3" ht="29" x14ac:dyDescent="0.35">
      <c r="A28" s="38" t="s">
        <v>493</v>
      </c>
      <c r="B28" s="38" t="s">
        <v>282</v>
      </c>
      <c r="C28" s="37" t="s">
        <v>283</v>
      </c>
    </row>
    <row r="29" spans="1:3" ht="29" x14ac:dyDescent="0.35">
      <c r="A29" s="38" t="s">
        <v>449</v>
      </c>
      <c r="B29" s="38" t="s">
        <v>284</v>
      </c>
      <c r="C29" s="37" t="s">
        <v>285</v>
      </c>
    </row>
    <row r="30" spans="1:3" ht="29" x14ac:dyDescent="0.35">
      <c r="A30" s="40" t="s">
        <v>450</v>
      </c>
      <c r="B30" s="40" t="s">
        <v>286</v>
      </c>
      <c r="C30" s="59" t="s">
        <v>287</v>
      </c>
    </row>
    <row r="31" spans="1:3" ht="43.5" x14ac:dyDescent="0.35">
      <c r="A31" s="38" t="s">
        <v>451</v>
      </c>
      <c r="B31" s="38" t="s">
        <v>288</v>
      </c>
      <c r="C31" s="37" t="s">
        <v>289</v>
      </c>
    </row>
    <row r="32" spans="1:3" ht="29" x14ac:dyDescent="0.35">
      <c r="A32" s="38" t="s">
        <v>451</v>
      </c>
      <c r="B32" s="38" t="s">
        <v>290</v>
      </c>
      <c r="C32" s="37" t="s">
        <v>291</v>
      </c>
    </row>
    <row r="33" spans="1:3" ht="29" x14ac:dyDescent="0.35">
      <c r="A33" s="40" t="s">
        <v>452</v>
      </c>
      <c r="B33" s="40" t="s">
        <v>292</v>
      </c>
      <c r="C33" s="59" t="s">
        <v>293</v>
      </c>
    </row>
    <row r="34" spans="1:3" ht="29" x14ac:dyDescent="0.35">
      <c r="A34" s="40" t="s">
        <v>453</v>
      </c>
      <c r="B34" s="40" t="s">
        <v>294</v>
      </c>
      <c r="C34" s="59" t="s">
        <v>295</v>
      </c>
    </row>
    <row r="35" spans="1:3" ht="29" x14ac:dyDescent="0.35">
      <c r="A35" s="38" t="s">
        <v>454</v>
      </c>
      <c r="B35" s="38" t="s">
        <v>296</v>
      </c>
      <c r="C35" s="37" t="s">
        <v>297</v>
      </c>
    </row>
    <row r="36" spans="1:3" ht="29" x14ac:dyDescent="0.35">
      <c r="A36" s="40" t="s">
        <v>455</v>
      </c>
      <c r="B36" s="40" t="s">
        <v>299</v>
      </c>
      <c r="C36" s="59" t="s">
        <v>300</v>
      </c>
    </row>
    <row r="37" spans="1:3" ht="29" x14ac:dyDescent="0.35">
      <c r="A37" s="38" t="s">
        <v>456</v>
      </c>
      <c r="B37" s="38" t="s">
        <v>301</v>
      </c>
      <c r="C37" s="37" t="s">
        <v>302</v>
      </c>
    </row>
    <row r="38" spans="1:3" ht="29" x14ac:dyDescent="0.35">
      <c r="A38" s="38" t="s">
        <v>457</v>
      </c>
      <c r="B38" s="38" t="s">
        <v>303</v>
      </c>
      <c r="C38" s="37" t="s">
        <v>304</v>
      </c>
    </row>
    <row r="39" spans="1:3" ht="29" x14ac:dyDescent="0.35">
      <c r="A39" s="38" t="s">
        <v>458</v>
      </c>
      <c r="B39" s="38" t="s">
        <v>305</v>
      </c>
      <c r="C39" s="37" t="s">
        <v>306</v>
      </c>
    </row>
    <row r="41" spans="1:3" x14ac:dyDescent="0.35">
      <c r="A41" s="143" t="s">
        <v>459</v>
      </c>
      <c r="B41" s="143"/>
      <c r="C41" s="143"/>
    </row>
    <row r="42" spans="1:3" x14ac:dyDescent="0.35">
      <c r="A42" s="31" t="s">
        <v>460</v>
      </c>
      <c r="B42" s="31" t="s">
        <v>461</v>
      </c>
      <c r="C42" s="31" t="s">
        <v>462</v>
      </c>
    </row>
    <row r="43" spans="1:3" ht="29" x14ac:dyDescent="0.35">
      <c r="A43" s="139" t="s">
        <v>463</v>
      </c>
      <c r="B43" s="139" t="s">
        <v>464</v>
      </c>
      <c r="C43" s="137" t="s">
        <v>465</v>
      </c>
    </row>
    <row r="44" spans="1:3" ht="29" x14ac:dyDescent="0.35">
      <c r="A44" s="139" t="s">
        <v>466</v>
      </c>
      <c r="B44" s="139" t="s">
        <v>467</v>
      </c>
      <c r="C44" s="137" t="s">
        <v>468</v>
      </c>
    </row>
    <row r="45" spans="1:3" x14ac:dyDescent="0.35">
      <c r="A45" s="139" t="s">
        <v>469</v>
      </c>
      <c r="B45" s="139" t="s">
        <v>470</v>
      </c>
      <c r="C45" s="137" t="s">
        <v>471</v>
      </c>
    </row>
    <row r="46" spans="1:3" ht="29" x14ac:dyDescent="0.35">
      <c r="A46" s="139" t="s">
        <v>472</v>
      </c>
      <c r="B46" s="139" t="s">
        <v>473</v>
      </c>
      <c r="C46" s="137" t="s">
        <v>474</v>
      </c>
    </row>
    <row r="47" spans="1:3" ht="29" x14ac:dyDescent="0.35">
      <c r="A47" s="139" t="s">
        <v>475</v>
      </c>
      <c r="B47" s="139" t="s">
        <v>470</v>
      </c>
      <c r="C47" s="137" t="s">
        <v>476</v>
      </c>
    </row>
    <row r="48" spans="1:3" x14ac:dyDescent="0.35">
      <c r="A48" s="139" t="s">
        <v>309</v>
      </c>
      <c r="B48" s="139" t="s">
        <v>477</v>
      </c>
      <c r="C48" s="137" t="s">
        <v>478</v>
      </c>
    </row>
    <row r="49" spans="1:3" ht="29" x14ac:dyDescent="0.35">
      <c r="A49" s="139" t="s">
        <v>479</v>
      </c>
      <c r="B49" s="139" t="s">
        <v>480</v>
      </c>
      <c r="C49" s="137" t="s">
        <v>481</v>
      </c>
    </row>
    <row r="51" spans="1:3" x14ac:dyDescent="0.35">
      <c r="A51" s="143" t="s">
        <v>482</v>
      </c>
      <c r="B51" s="143"/>
      <c r="C51" s="143"/>
    </row>
    <row r="52" spans="1:3" x14ac:dyDescent="0.35">
      <c r="A52" s="31" t="s">
        <v>307</v>
      </c>
      <c r="B52" s="31" t="s">
        <v>308</v>
      </c>
      <c r="C52" s="31" t="s">
        <v>483</v>
      </c>
    </row>
    <row r="53" spans="1:3" ht="29" x14ac:dyDescent="0.35">
      <c r="A53" s="140">
        <v>1</v>
      </c>
      <c r="B53" s="140" t="s">
        <v>265</v>
      </c>
      <c r="C53" s="138" t="s">
        <v>484</v>
      </c>
    </row>
    <row r="54" spans="1:3" x14ac:dyDescent="0.35">
      <c r="A54" s="140">
        <v>2</v>
      </c>
      <c r="B54" s="140" t="s">
        <v>269</v>
      </c>
      <c r="C54" s="138" t="s">
        <v>486</v>
      </c>
    </row>
    <row r="55" spans="1:3" ht="29" x14ac:dyDescent="0.35">
      <c r="A55" s="140">
        <v>3</v>
      </c>
      <c r="B55" s="140" t="s">
        <v>267</v>
      </c>
      <c r="C55" s="138" t="s">
        <v>485</v>
      </c>
    </row>
    <row r="56" spans="1:3" ht="29" x14ac:dyDescent="0.35">
      <c r="A56" s="140">
        <v>4</v>
      </c>
      <c r="B56" s="140" t="s">
        <v>271</v>
      </c>
      <c r="C56" s="138" t="s">
        <v>487</v>
      </c>
    </row>
    <row r="57" spans="1:3" ht="29" x14ac:dyDescent="0.35">
      <c r="A57" s="140">
        <v>5</v>
      </c>
      <c r="B57" s="140" t="s">
        <v>309</v>
      </c>
      <c r="C57" s="138" t="s">
        <v>488</v>
      </c>
    </row>
    <row r="59" spans="1:3" x14ac:dyDescent="0.35">
      <c r="A59" s="143" t="s">
        <v>310</v>
      </c>
      <c r="B59" s="143"/>
      <c r="C59" s="143"/>
    </row>
    <row r="60" spans="1:3" x14ac:dyDescent="0.35">
      <c r="A60" s="171" t="s">
        <v>311</v>
      </c>
      <c r="B60" s="171"/>
      <c r="C60" s="171"/>
    </row>
    <row r="61" spans="1:3" x14ac:dyDescent="0.35">
      <c r="A61" s="171"/>
      <c r="B61" s="171"/>
      <c r="C61" s="171"/>
    </row>
  </sheetData>
  <mergeCells count="8">
    <mergeCell ref="A60:C61"/>
    <mergeCell ref="A26:C26"/>
    <mergeCell ref="A41:C41"/>
    <mergeCell ref="A1:C1"/>
    <mergeCell ref="A2:C2"/>
    <mergeCell ref="A13:C13"/>
    <mergeCell ref="A51:C51"/>
    <mergeCell ref="A59:C5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2697A-9CF6-43CE-8D12-4F91F0B7AFA2}">
  <dimension ref="A1:K40"/>
  <sheetViews>
    <sheetView workbookViewId="0">
      <selection activeCell="E6" sqref="E6"/>
    </sheetView>
  </sheetViews>
  <sheetFormatPr defaultRowHeight="14.5" x14ac:dyDescent="0.35"/>
  <cols>
    <col min="1" max="1" width="27" bestFit="1" customWidth="1"/>
    <col min="2" max="2" width="11.453125" bestFit="1" customWidth="1"/>
    <col min="3" max="3" width="14.1796875" customWidth="1"/>
    <col min="4" max="4" width="30.26953125" bestFit="1" customWidth="1"/>
    <col min="5" max="5" width="14.90625" customWidth="1"/>
    <col min="6" max="6" width="14.1796875" customWidth="1"/>
    <col min="7" max="8" width="15.453125" customWidth="1"/>
    <col min="9" max="9" width="16" customWidth="1"/>
    <col min="10" max="10" width="13.08984375" customWidth="1"/>
    <col min="11" max="11" width="16.36328125" customWidth="1"/>
  </cols>
  <sheetData>
    <row r="1" spans="1:11" ht="30" customHeight="1" x14ac:dyDescent="0.55000000000000004">
      <c r="A1" s="172" t="s">
        <v>186</v>
      </c>
      <c r="B1" s="172"/>
      <c r="C1" s="172"/>
      <c r="D1" s="172"/>
      <c r="E1" s="172"/>
      <c r="F1" s="172"/>
      <c r="G1" s="172"/>
      <c r="H1" s="172"/>
      <c r="I1" s="172"/>
      <c r="J1" s="172"/>
      <c r="K1" s="172"/>
    </row>
    <row r="2" spans="1:11" ht="30" customHeight="1" x14ac:dyDescent="0.35">
      <c r="A2" s="142" t="s">
        <v>220</v>
      </c>
      <c r="B2" s="142"/>
      <c r="C2" s="142"/>
      <c r="D2" s="142"/>
      <c r="E2" s="142"/>
      <c r="F2" s="142"/>
      <c r="G2" s="142"/>
      <c r="H2" s="142"/>
      <c r="I2" s="142"/>
      <c r="J2" s="142"/>
      <c r="K2" s="142"/>
    </row>
    <row r="4" spans="1:11" ht="22" customHeight="1" x14ac:dyDescent="0.35">
      <c r="A4" s="143" t="s">
        <v>187</v>
      </c>
      <c r="B4" s="143"/>
      <c r="D4" s="143" t="s">
        <v>188</v>
      </c>
      <c r="E4" s="143"/>
      <c r="G4" s="143" t="s">
        <v>189</v>
      </c>
      <c r="H4" s="143"/>
      <c r="I4" s="143"/>
      <c r="J4" s="143"/>
      <c r="K4" s="143"/>
    </row>
    <row r="5" spans="1:11" ht="29" customHeight="1" x14ac:dyDescent="0.35">
      <c r="A5" s="47" t="s">
        <v>0</v>
      </c>
      <c r="B5" s="48">
        <v>10000000</v>
      </c>
      <c r="D5" s="51" t="s">
        <v>10</v>
      </c>
      <c r="E5" s="52">
        <f>-PMT($B$7/1200,$B$8*12,$B$6)</f>
        <v>66915.205519477022</v>
      </c>
      <c r="G5" s="173" t="str">
        <f>"1. After "&amp;TEXT($B$8,"0")&amp;" years, buying creates real net wealth of ₹"&amp;TEXT($E$9,"##,##,##0")&amp;" versus ₹"&amp;TEXT($E$10,"##,##,##0")&amp;" from renting and investing."</f>
        <v>1. After 20 years, buying creates real net wealth of ₹2,09,76,663 versus ₹5,81,15,802 from renting and investing.</v>
      </c>
      <c r="H5" s="173"/>
      <c r="I5" s="173"/>
      <c r="J5" s="173"/>
      <c r="K5" s="173"/>
    </row>
    <row r="6" spans="1:11" ht="29" customHeight="1" x14ac:dyDescent="0.35">
      <c r="A6" s="47" t="s">
        <v>1</v>
      </c>
      <c r="B6" s="48">
        <v>8000000</v>
      </c>
      <c r="D6" s="51" t="s">
        <v>14</v>
      </c>
      <c r="E6" s="52">
        <f>$B$5*$B$9/100</f>
        <v>100000</v>
      </c>
      <c r="G6" s="173" t="str">
        <f>"2. "&amp;IF($E$11&gt;=0,"Buying leads by ₹","Renting and investing leads by ₹")&amp;TEXT(ABS($E$11),"##,##,##0")&amp;" in today’s rupees under the selected assumptions."</f>
        <v>2. Renting and investing leads by ₹3,71,39,139 in today’s rupees under the selected assumptions.</v>
      </c>
      <c r="H6" s="173"/>
      <c r="I6" s="173"/>
      <c r="J6" s="173"/>
      <c r="K6" s="173"/>
    </row>
    <row r="7" spans="1:11" ht="29" customHeight="1" x14ac:dyDescent="0.35">
      <c r="A7" s="47" t="s">
        <v>190</v>
      </c>
      <c r="B7" s="49">
        <v>8</v>
      </c>
      <c r="D7" s="51" t="s">
        <v>197</v>
      </c>
      <c r="E7" s="52">
        <f>$B$5-$B$6+$E$5*$B$8*12+$E$6*$B$8</f>
        <v>20059649.324674487</v>
      </c>
      <c r="G7" s="173" t="str">
        <f>"3. The renter starts by investing the avoided down payment of ₹"&amp;TEXT($B$5-$B$6,"##,##,##0")&amp;" and then invests EMI plus maintenance less rent each month."</f>
        <v>3. The renter starts by investing the avoided down payment of ₹20,00,000 and then invests EMI plus maintenance less rent each month.</v>
      </c>
      <c r="H7" s="173"/>
      <c r="I7" s="173"/>
      <c r="J7" s="173"/>
      <c r="K7" s="173"/>
    </row>
    <row r="8" spans="1:11" ht="29" customHeight="1" x14ac:dyDescent="0.35">
      <c r="A8" s="47" t="s">
        <v>3</v>
      </c>
      <c r="B8" s="50">
        <v>20</v>
      </c>
      <c r="D8" s="51" t="s">
        <v>198</v>
      </c>
      <c r="E8" s="52">
        <f>$B$13*12*IF($B$14=0,$B$8,((1+$B$14/100)^$B$8-1)/($B$14/100))</f>
        <v>17182499.847976826</v>
      </c>
      <c r="G8" s="173" t="str">
        <f>"4. Starting rent is ₹"&amp;TEXT($B$13,"##,##,##0")&amp;" per month, rising "&amp;TEXT($B$14/100,"0.0%")&amp;" yearly; investment returns are assumed at "&amp;TEXT($B$12/100,"0.0%")&amp;" nominally."</f>
        <v>4. Starting rent is ₹25,000 per month, rising 10.0% yearly; investment returns are assumed at 20.0% nominally.</v>
      </c>
      <c r="H8" s="173"/>
      <c r="I8" s="173"/>
      <c r="J8" s="173"/>
      <c r="K8" s="173"/>
    </row>
    <row r="9" spans="1:11" x14ac:dyDescent="0.35">
      <c r="A9" s="47" t="s">
        <v>191</v>
      </c>
      <c r="B9" s="49">
        <v>1</v>
      </c>
      <c r="D9" s="51" t="s">
        <v>199</v>
      </c>
      <c r="E9" s="52" cm="1">
        <f t="array" ref="E9">INDEX($H$21:$H$40,$B$8)</f>
        <v>20976662.843256176</v>
      </c>
    </row>
    <row r="10" spans="1:11" x14ac:dyDescent="0.35">
      <c r="A10" s="47" t="s">
        <v>192</v>
      </c>
      <c r="B10" s="49">
        <v>10</v>
      </c>
      <c r="D10" s="51" t="s">
        <v>200</v>
      </c>
      <c r="E10" s="52" cm="1">
        <f t="array" ref="E10">INDEX($K$21:$K$40,$B$8)</f>
        <v>58115802.140622117</v>
      </c>
      <c r="G10" s="174" t="s">
        <v>203</v>
      </c>
      <c r="H10" s="174"/>
      <c r="I10" s="174"/>
      <c r="J10" s="174"/>
      <c r="K10" s="174"/>
    </row>
    <row r="11" spans="1:11" ht="33" customHeight="1" x14ac:dyDescent="0.35">
      <c r="A11" s="47" t="s">
        <v>193</v>
      </c>
      <c r="B11" s="49">
        <v>6</v>
      </c>
      <c r="D11" s="51" t="s">
        <v>201</v>
      </c>
      <c r="E11" s="52">
        <f>E9-E10</f>
        <v>-37139139.297365941</v>
      </c>
      <c r="G11" s="171" t="s">
        <v>204</v>
      </c>
      <c r="H11" s="171"/>
      <c r="I11" s="171"/>
      <c r="J11" s="171"/>
      <c r="K11" s="171"/>
    </row>
    <row r="12" spans="1:11" ht="33" customHeight="1" x14ac:dyDescent="0.35">
      <c r="A12" s="47" t="s">
        <v>194</v>
      </c>
      <c r="B12" s="49">
        <v>20</v>
      </c>
      <c r="D12" s="51" t="s">
        <v>202</v>
      </c>
      <c r="E12" s="53" t="str">
        <f>IF(E11&gt;=0,"BUY LEADS","RENT + INVEST LEADS")</f>
        <v>RENT + INVEST LEADS</v>
      </c>
      <c r="G12" s="171" t="s">
        <v>205</v>
      </c>
      <c r="H12" s="171"/>
      <c r="I12" s="171"/>
      <c r="J12" s="171"/>
      <c r="K12" s="171"/>
    </row>
    <row r="13" spans="1:11" ht="33" customHeight="1" x14ac:dyDescent="0.35">
      <c r="A13" s="47" t="s">
        <v>195</v>
      </c>
      <c r="B13" s="48">
        <v>25000</v>
      </c>
      <c r="G13" s="171" t="s">
        <v>206</v>
      </c>
      <c r="H13" s="171"/>
      <c r="I13" s="171"/>
      <c r="J13" s="171"/>
      <c r="K13" s="171"/>
    </row>
    <row r="14" spans="1:11" ht="33" customHeight="1" x14ac:dyDescent="0.35">
      <c r="A14" s="47" t="s">
        <v>196</v>
      </c>
      <c r="B14" s="49">
        <v>10</v>
      </c>
      <c r="G14" s="171" t="s">
        <v>207</v>
      </c>
      <c r="H14" s="171"/>
      <c r="I14" s="171"/>
      <c r="J14" s="171"/>
      <c r="K14" s="171"/>
    </row>
    <row r="15" spans="1:11" ht="33" customHeight="1" x14ac:dyDescent="0.35">
      <c r="A15" s="47" t="s">
        <v>93</v>
      </c>
      <c r="B15" s="49">
        <v>12.5</v>
      </c>
      <c r="G15" s="171" t="s">
        <v>208</v>
      </c>
      <c r="H15" s="171"/>
      <c r="I15" s="171"/>
      <c r="J15" s="171"/>
      <c r="K15" s="171"/>
    </row>
    <row r="16" spans="1:11" ht="33" customHeight="1" x14ac:dyDescent="0.35">
      <c r="A16" s="47" t="s">
        <v>94</v>
      </c>
      <c r="B16" s="48">
        <v>125000</v>
      </c>
      <c r="G16" s="171" t="s">
        <v>209</v>
      </c>
      <c r="H16" s="171"/>
      <c r="I16" s="171"/>
      <c r="J16" s="171"/>
      <c r="K16" s="171"/>
    </row>
    <row r="19" spans="1:11" ht="22" customHeight="1" x14ac:dyDescent="0.35">
      <c r="A19" s="143" t="s">
        <v>210</v>
      </c>
      <c r="B19" s="143"/>
      <c r="C19" s="143"/>
      <c r="D19" s="143"/>
      <c r="E19" s="143"/>
      <c r="F19" s="143"/>
      <c r="G19" s="143"/>
      <c r="H19" s="143"/>
      <c r="I19" s="143"/>
      <c r="J19" s="143"/>
      <c r="K19" s="143"/>
    </row>
    <row r="20" spans="1:11" ht="34" customHeight="1" x14ac:dyDescent="0.35">
      <c r="A20" s="31" t="s">
        <v>80</v>
      </c>
      <c r="B20" s="31" t="s">
        <v>211</v>
      </c>
      <c r="C20" s="31" t="s">
        <v>212</v>
      </c>
      <c r="D20" s="31" t="s">
        <v>213</v>
      </c>
      <c r="E20" s="31" t="s">
        <v>214</v>
      </c>
      <c r="F20" s="31" t="s">
        <v>215</v>
      </c>
      <c r="G20" s="31" t="s">
        <v>216</v>
      </c>
      <c r="H20" s="31" t="s">
        <v>199</v>
      </c>
      <c r="I20" s="31" t="s">
        <v>217</v>
      </c>
      <c r="J20" s="31" t="s">
        <v>218</v>
      </c>
      <c r="K20" s="31" t="s">
        <v>219</v>
      </c>
    </row>
    <row r="21" spans="1:11" x14ac:dyDescent="0.35">
      <c r="A21" s="56">
        <f>1</f>
        <v>1</v>
      </c>
      <c r="B21" s="57">
        <f>$B$13*12*(1+$B$14/100)^(A21-1)</f>
        <v>300000</v>
      </c>
      <c r="C21" s="57">
        <f>$E$5+$E$6/12-$B$13*(1+$B$14/100)^(A21-1)</f>
        <v>50248.53885281035</v>
      </c>
      <c r="D21" s="57">
        <f>$B$5-$B$6+C21*12</f>
        <v>2602982.4662337243</v>
      </c>
      <c r="E21" s="57">
        <f>$B$5*(1+$B$10/100)^A21</f>
        <v>11000000</v>
      </c>
      <c r="F21" s="57">
        <f>IF(A21&gt;=$B$8,0,MAX(0,-FV($B$7/1200,A21*12,-$E$5,$B$6)))</f>
        <v>7830906.6960541159</v>
      </c>
      <c r="G21" s="57">
        <f>E21-F21</f>
        <v>3169093.3039458841</v>
      </c>
      <c r="H21" s="57">
        <f>G21/(1+$B$11/100)^A21</f>
        <v>2989710.6640998907</v>
      </c>
      <c r="I21" s="57">
        <f>($B$5-$B$6)*(1+$B$12/1200)^12+FV($B$12/1200,12,-C21,0,0)</f>
        <v>3100227.0570397093</v>
      </c>
      <c r="J21" s="57">
        <f>MAX(0,I21-D21-$B$16)*$B$15/100</f>
        <v>46530.573850748129</v>
      </c>
      <c r="K21" s="57">
        <f>(I21-J21)/(1+$B$11/100)^A21</f>
        <v>2880845.7388575105</v>
      </c>
    </row>
    <row r="22" spans="1:11" x14ac:dyDescent="0.35">
      <c r="A22" s="54">
        <f>A21+1</f>
        <v>2</v>
      </c>
      <c r="B22" s="55">
        <f>$B$13*12*(1+$B$14/100)^(A22-1)</f>
        <v>330000</v>
      </c>
      <c r="C22" s="55">
        <f>$E$5+$E$6/12-$B$13*(1+$B$14/100)^(A22-1)</f>
        <v>47748.53885281035</v>
      </c>
      <c r="D22" s="55">
        <f>D21+C22*12</f>
        <v>3175964.9324674485</v>
      </c>
      <c r="E22" s="55">
        <f>$B$5*(1+$B$10/100)^A22</f>
        <v>12100000.000000002</v>
      </c>
      <c r="F22" s="55">
        <f>IF(A22&gt;=$B$8,0,MAX(0,-FV($B$7/1200,A22*12,-$E$5,$B$6)))</f>
        <v>7647778.73127627</v>
      </c>
      <c r="G22" s="55">
        <f>E22-F22</f>
        <v>4452221.2687237319</v>
      </c>
      <c r="H22" s="55">
        <f>G22/(1+$B$11/100)^A22</f>
        <v>3962461.0793198035</v>
      </c>
      <c r="I22" s="55">
        <f>I21*(1+$B$12/1200)^12+FV($B$12/1200,12,-C22,0,0)</f>
        <v>4408925.4590296661</v>
      </c>
      <c r="J22" s="55">
        <f>MAX(0,I22-D22-$B$16)*$B$15/100</f>
        <v>138495.0658202772</v>
      </c>
      <c r="K22" s="55">
        <f>(I22-J22)/(1+$B$11/100)^A22</f>
        <v>3800667.8472849661</v>
      </c>
    </row>
    <row r="23" spans="1:11" x14ac:dyDescent="0.35">
      <c r="A23" s="56">
        <f t="shared" ref="A23:A40" si="0">A22+1</f>
        <v>3</v>
      </c>
      <c r="B23" s="57">
        <f t="shared" ref="B23:B40" si="1">$B$13*12*(1+$B$14/100)^(A23-1)</f>
        <v>363000.00000000006</v>
      </c>
      <c r="C23" s="57">
        <f t="shared" ref="C23:C40" si="2">$E$5+$E$6/12-$B$13*(1+$B$14/100)^(A23-1)</f>
        <v>44998.53885281035</v>
      </c>
      <c r="D23" s="57">
        <f t="shared" ref="D23:D40" si="3">D22+C23*12</f>
        <v>3715947.3987011728</v>
      </c>
      <c r="E23" s="57">
        <f t="shared" ref="E23:E40" si="4">$B$5*(1+$B$10/100)^A23</f>
        <v>13310000.000000004</v>
      </c>
      <c r="F23" s="57">
        <f t="shared" ref="F23:F40" si="5">IF(A23&gt;=$B$8,0,MAX(0,-FV($B$7/1200,A23*12,-$E$5,$B$6)))</f>
        <v>7449451.2357391994</v>
      </c>
      <c r="G23" s="57">
        <f t="shared" ref="G23:G40" si="6">E23-F23</f>
        <v>5860548.7642608043</v>
      </c>
      <c r="H23" s="57">
        <f t="shared" ref="H23:H40" si="7">G23/(1+$B$11/100)^A23</f>
        <v>4920629.7516244976</v>
      </c>
      <c r="I23" s="57">
        <f t="shared" ref="I23:I40" si="8">I22*(1+$B$12/1200)^12+FV($B$12/1200,12,-C23,0,0)</f>
        <v>5968541.0942365788</v>
      </c>
      <c r="J23" s="57">
        <f t="shared" ref="J23:J40" si="9">MAX(0,I23-D23-$B$16)*$B$15/100</f>
        <v>265949.21194192575</v>
      </c>
      <c r="K23" s="57">
        <f t="shared" ref="K23:K40" si="10">(I23-J23)/(1+$B$11/100)^A23</f>
        <v>4788006.1076380601</v>
      </c>
    </row>
    <row r="24" spans="1:11" x14ac:dyDescent="0.35">
      <c r="A24" s="54">
        <f t="shared" si="0"/>
        <v>4</v>
      </c>
      <c r="B24" s="55">
        <f t="shared" si="1"/>
        <v>399300.00000000012</v>
      </c>
      <c r="C24" s="55">
        <f t="shared" si="2"/>
        <v>41973.538852810343</v>
      </c>
      <c r="D24" s="55">
        <f t="shared" si="3"/>
        <v>4219629.8649348971</v>
      </c>
      <c r="E24" s="55">
        <f t="shared" si="4"/>
        <v>14641000.000000004</v>
      </c>
      <c r="F24" s="55">
        <f t="shared" si="5"/>
        <v>7234662.6558861844</v>
      </c>
      <c r="G24" s="55">
        <f t="shared" si="6"/>
        <v>7406337.3441138193</v>
      </c>
      <c r="H24" s="55">
        <f t="shared" si="7"/>
        <v>5866512.8780756658</v>
      </c>
      <c r="I24" s="55">
        <f t="shared" si="8"/>
        <v>7830503.0137763992</v>
      </c>
      <c r="J24" s="55">
        <f t="shared" si="9"/>
        <v>435734.14360518777</v>
      </c>
      <c r="K24" s="55">
        <f t="shared" si="10"/>
        <v>5857349.5631723925</v>
      </c>
    </row>
    <row r="25" spans="1:11" x14ac:dyDescent="0.35">
      <c r="A25" s="56">
        <f t="shared" si="0"/>
        <v>5</v>
      </c>
      <c r="B25" s="57">
        <f t="shared" si="1"/>
        <v>439230.00000000012</v>
      </c>
      <c r="C25" s="57">
        <f t="shared" si="2"/>
        <v>38646.038852810343</v>
      </c>
      <c r="D25" s="57">
        <f t="shared" si="3"/>
        <v>4683382.3311686208</v>
      </c>
      <c r="E25" s="57">
        <f t="shared" si="4"/>
        <v>16105100.000000006</v>
      </c>
      <c r="F25" s="57">
        <f t="shared" si="5"/>
        <v>7002046.7298374847</v>
      </c>
      <c r="G25" s="57">
        <f t="shared" si="6"/>
        <v>9103053.2701625209</v>
      </c>
      <c r="H25" s="57">
        <f t="shared" si="7"/>
        <v>6802330.9541640291</v>
      </c>
      <c r="I25" s="57">
        <f t="shared" si="8"/>
        <v>10057161.348794959</v>
      </c>
      <c r="J25" s="57">
        <f t="shared" si="9"/>
        <v>656097.37720329233</v>
      </c>
      <c r="K25" s="57">
        <f t="shared" si="10"/>
        <v>7025021.886408505</v>
      </c>
    </row>
    <row r="26" spans="1:11" x14ac:dyDescent="0.35">
      <c r="A26" s="54">
        <f t="shared" si="0"/>
        <v>6</v>
      </c>
      <c r="B26" s="55">
        <f t="shared" si="1"/>
        <v>483153.00000000017</v>
      </c>
      <c r="C26" s="55">
        <f t="shared" si="2"/>
        <v>34985.788852810336</v>
      </c>
      <c r="D26" s="55">
        <f t="shared" si="3"/>
        <v>5103211.7974023446</v>
      </c>
      <c r="E26" s="55">
        <f t="shared" si="4"/>
        <v>17715610.000000007</v>
      </c>
      <c r="F26" s="55">
        <f t="shared" si="5"/>
        <v>6750123.7966511687</v>
      </c>
      <c r="G26" s="55">
        <f t="shared" si="6"/>
        <v>10965486.203348838</v>
      </c>
      <c r="H26" s="55">
        <f t="shared" si="7"/>
        <v>7730235.0800966108</v>
      </c>
      <c r="I26" s="55">
        <f t="shared" si="8"/>
        <v>12724147.098535057</v>
      </c>
      <c r="J26" s="55">
        <f t="shared" si="9"/>
        <v>936991.91264158906</v>
      </c>
      <c r="K26" s="55">
        <f t="shared" si="10"/>
        <v>8309479.2900937926</v>
      </c>
    </row>
    <row r="27" spans="1:11" x14ac:dyDescent="0.35">
      <c r="A27" s="56">
        <f t="shared" si="0"/>
        <v>7</v>
      </c>
      <c r="B27" s="57">
        <f t="shared" si="1"/>
        <v>531468.30000000028</v>
      </c>
      <c r="C27" s="57">
        <f t="shared" si="2"/>
        <v>30959.513852810327</v>
      </c>
      <c r="D27" s="57">
        <f t="shared" si="3"/>
        <v>5474725.9636360686</v>
      </c>
      <c r="E27" s="57">
        <f t="shared" si="4"/>
        <v>19487171.000000011</v>
      </c>
      <c r="F27" s="57">
        <f t="shared" si="5"/>
        <v>6477291.3842568882</v>
      </c>
      <c r="G27" s="57">
        <f t="shared" si="6"/>
        <v>13009879.615743123</v>
      </c>
      <c r="H27" s="57">
        <f t="shared" si="7"/>
        <v>8652312.9858201873</v>
      </c>
      <c r="I27" s="57">
        <f t="shared" si="8"/>
        <v>15923246.014914818</v>
      </c>
      <c r="J27" s="57">
        <f t="shared" si="9"/>
        <v>1290440.0064098437</v>
      </c>
      <c r="K27" s="57">
        <f t="shared" si="10"/>
        <v>9731651.7282118928</v>
      </c>
    </row>
    <row r="28" spans="1:11" x14ac:dyDescent="0.35">
      <c r="A28" s="54">
        <f t="shared" si="0"/>
        <v>8</v>
      </c>
      <c r="B28" s="55">
        <f t="shared" si="1"/>
        <v>584615.13000000035</v>
      </c>
      <c r="C28" s="55">
        <f t="shared" si="2"/>
        <v>26530.611352810323</v>
      </c>
      <c r="D28" s="55">
        <f t="shared" si="3"/>
        <v>5793093.2998697925</v>
      </c>
      <c r="E28" s="55">
        <f t="shared" si="4"/>
        <v>21435888.100000013</v>
      </c>
      <c r="F28" s="55">
        <f t="shared" si="5"/>
        <v>6181814.0161927789</v>
      </c>
      <c r="G28" s="55">
        <f t="shared" si="6"/>
        <v>15254074.083807234</v>
      </c>
      <c r="H28" s="55">
        <f t="shared" si="7"/>
        <v>9570594.7935453951</v>
      </c>
      <c r="I28" s="55">
        <f t="shared" si="8"/>
        <v>19765899.009813417</v>
      </c>
      <c r="J28" s="55">
        <f t="shared" si="9"/>
        <v>1730975.713742953</v>
      </c>
      <c r="K28" s="55">
        <f t="shared" si="10"/>
        <v>11315333.99215552</v>
      </c>
    </row>
    <row r="29" spans="1:11" x14ac:dyDescent="0.35">
      <c r="A29" s="56">
        <f t="shared" si="0"/>
        <v>9</v>
      </c>
      <c r="B29" s="57">
        <f t="shared" si="1"/>
        <v>643076.64300000039</v>
      </c>
      <c r="C29" s="57">
        <f t="shared" si="2"/>
        <v>21658.818602810323</v>
      </c>
      <c r="D29" s="57">
        <f t="shared" si="3"/>
        <v>6052999.1231035162</v>
      </c>
      <c r="E29" s="57">
        <f t="shared" si="4"/>
        <v>23579476.910000015</v>
      </c>
      <c r="F29" s="57">
        <f t="shared" si="5"/>
        <v>5861812.1723065674</v>
      </c>
      <c r="G29" s="57">
        <f t="shared" si="6"/>
        <v>17717664.737693448</v>
      </c>
      <c r="H29" s="57">
        <f t="shared" si="7"/>
        <v>10487058.535580855</v>
      </c>
      <c r="I29" s="57">
        <f t="shared" si="8"/>
        <v>24387466.140365802</v>
      </c>
      <c r="J29" s="57">
        <f t="shared" si="9"/>
        <v>2276183.3771577859</v>
      </c>
      <c r="K29" s="57">
        <f t="shared" si="10"/>
        <v>13087634.294220751</v>
      </c>
    </row>
    <row r="30" spans="1:11" x14ac:dyDescent="0.35">
      <c r="A30" s="54">
        <f t="shared" si="0"/>
        <v>10</v>
      </c>
      <c r="B30" s="55">
        <f t="shared" si="1"/>
        <v>707384.30730000045</v>
      </c>
      <c r="C30" s="55">
        <f t="shared" si="2"/>
        <v>16299.846577810313</v>
      </c>
      <c r="D30" s="55">
        <f t="shared" si="3"/>
        <v>6248597.2820372395</v>
      </c>
      <c r="E30" s="55">
        <f t="shared" si="4"/>
        <v>25937424.601000018</v>
      </c>
      <c r="F30" s="55">
        <f t="shared" si="5"/>
        <v>5515250.3332003076</v>
      </c>
      <c r="G30" s="55">
        <f t="shared" si="6"/>
        <v>20422174.267799713</v>
      </c>
      <c r="H30" s="55">
        <f t="shared" si="7"/>
        <v>11403635.444389682</v>
      </c>
      <c r="I30" s="55">
        <f t="shared" si="8"/>
        <v>29952421.25645994</v>
      </c>
      <c r="J30" s="55">
        <f t="shared" si="9"/>
        <v>2947352.9968028381</v>
      </c>
      <c r="K30" s="55">
        <f t="shared" si="10"/>
        <v>15079489.066428758</v>
      </c>
    </row>
    <row r="31" spans="1:11" x14ac:dyDescent="0.35">
      <c r="A31" s="56">
        <f t="shared" si="0"/>
        <v>11</v>
      </c>
      <c r="B31" s="57">
        <f t="shared" si="1"/>
        <v>778122.73803000059</v>
      </c>
      <c r="C31" s="57">
        <f t="shared" si="2"/>
        <v>10404.977350310306</v>
      </c>
      <c r="D31" s="57">
        <f t="shared" si="3"/>
        <v>6373457.0102409627</v>
      </c>
      <c r="E31" s="57">
        <f t="shared" si="4"/>
        <v>28531167.061100025</v>
      </c>
      <c r="F31" s="57">
        <f t="shared" si="5"/>
        <v>5139924.0323699247</v>
      </c>
      <c r="G31" s="57">
        <f t="shared" si="6"/>
        <v>23391243.028730102</v>
      </c>
      <c r="H31" s="57">
        <f t="shared" si="7"/>
        <v>12322215.030938726</v>
      </c>
      <c r="I31" s="57">
        <f t="shared" si="8"/>
        <v>36660681.007611156</v>
      </c>
      <c r="J31" s="57">
        <f t="shared" si="9"/>
        <v>3770277.9996712739</v>
      </c>
      <c r="K31" s="57">
        <f t="shared" si="10"/>
        <v>17326254.009685762</v>
      </c>
    </row>
    <row r="32" spans="1:11" x14ac:dyDescent="0.35">
      <c r="A32" s="54">
        <f t="shared" si="0"/>
        <v>12</v>
      </c>
      <c r="B32" s="55">
        <f t="shared" si="1"/>
        <v>855935.0118330007</v>
      </c>
      <c r="C32" s="55">
        <f t="shared" si="2"/>
        <v>3920.6212000602827</v>
      </c>
      <c r="D32" s="55">
        <f t="shared" si="3"/>
        <v>6420504.4646416865</v>
      </c>
      <c r="E32" s="55">
        <f t="shared" si="4"/>
        <v>31384283.767210025</v>
      </c>
      <c r="F32" s="55">
        <f t="shared" si="5"/>
        <v>4733445.8336787317</v>
      </c>
      <c r="G32" s="55">
        <f t="shared" si="6"/>
        <v>26650837.933531292</v>
      </c>
      <c r="H32" s="55">
        <f t="shared" si="7"/>
        <v>13244649.966620829</v>
      </c>
      <c r="I32" s="55">
        <f t="shared" si="8"/>
        <v>44755316.547550611</v>
      </c>
      <c r="J32" s="55">
        <f t="shared" si="9"/>
        <v>4776226.510363616</v>
      </c>
      <c r="K32" s="55">
        <f t="shared" si="10"/>
        <v>19868382.93216842</v>
      </c>
    </row>
    <row r="33" spans="1:11" x14ac:dyDescent="0.35">
      <c r="A33" s="56">
        <f t="shared" si="0"/>
        <v>13</v>
      </c>
      <c r="B33" s="57">
        <f t="shared" si="1"/>
        <v>941528.51301630074</v>
      </c>
      <c r="C33" s="57">
        <f t="shared" si="2"/>
        <v>-3212.1705652147211</v>
      </c>
      <c r="D33" s="57">
        <f t="shared" si="3"/>
        <v>6381958.41785911</v>
      </c>
      <c r="E33" s="57">
        <f t="shared" si="4"/>
        <v>34522712.143931031</v>
      </c>
      <c r="F33" s="57">
        <f t="shared" si="5"/>
        <v>4293230.1449681669</v>
      </c>
      <c r="G33" s="57">
        <f t="shared" si="6"/>
        <v>30229481.998962864</v>
      </c>
      <c r="H33" s="57">
        <f t="shared" si="7"/>
        <v>14172760.783289591</v>
      </c>
      <c r="I33" s="57">
        <f t="shared" si="8"/>
        <v>54531950.705082633</v>
      </c>
      <c r="J33" s="57">
        <f t="shared" si="9"/>
        <v>6003124.0359029416</v>
      </c>
      <c r="K33" s="57">
        <f t="shared" si="10"/>
        <v>22752207.646151695</v>
      </c>
    </row>
    <row r="34" spans="1:11" x14ac:dyDescent="0.35">
      <c r="A34" s="54">
        <f t="shared" si="0"/>
        <v>14</v>
      </c>
      <c r="B34" s="55">
        <f t="shared" si="1"/>
        <v>1035681.3643179309</v>
      </c>
      <c r="C34" s="55">
        <f t="shared" si="2"/>
        <v>-11058.241507017228</v>
      </c>
      <c r="D34" s="55">
        <f t="shared" si="3"/>
        <v>6249259.5197749035</v>
      </c>
      <c r="E34" s="55">
        <f t="shared" si="4"/>
        <v>37974983.35832414</v>
      </c>
      <c r="F34" s="55">
        <f t="shared" si="5"/>
        <v>3816476.7712056935</v>
      </c>
      <c r="G34" s="55">
        <f t="shared" si="6"/>
        <v>34158506.587118447</v>
      </c>
      <c r="H34" s="55">
        <f t="shared" si="7"/>
        <v>15108340.405251898</v>
      </c>
      <c r="I34" s="55">
        <f t="shared" si="8"/>
        <v>66350209.756187223</v>
      </c>
      <c r="J34" s="55">
        <f t="shared" si="9"/>
        <v>7496993.7795515396</v>
      </c>
      <c r="K34" s="55">
        <f t="shared" si="10"/>
        <v>26030834.183311135</v>
      </c>
    </row>
    <row r="35" spans="1:11" x14ac:dyDescent="0.35">
      <c r="A35" s="56">
        <f t="shared" si="0"/>
        <v>15</v>
      </c>
      <c r="B35" s="57">
        <f t="shared" si="1"/>
        <v>1139249.5007497242</v>
      </c>
      <c r="C35" s="57">
        <f t="shared" si="2"/>
        <v>-19688.919542999996</v>
      </c>
      <c r="D35" s="57">
        <f t="shared" si="3"/>
        <v>6012992.4852589034</v>
      </c>
      <c r="E35" s="57">
        <f t="shared" si="4"/>
        <v>41772481.69415655</v>
      </c>
      <c r="F35" s="57">
        <f t="shared" si="5"/>
        <v>3300153.1025521159</v>
      </c>
      <c r="G35" s="57">
        <f t="shared" si="6"/>
        <v>38472328.591604434</v>
      </c>
      <c r="H35" s="57">
        <f t="shared" si="7"/>
        <v>16053158.526413489</v>
      </c>
      <c r="I35" s="57">
        <f t="shared" si="8"/>
        <v>80647679.853137791</v>
      </c>
      <c r="J35" s="57">
        <f t="shared" si="9"/>
        <v>9313710.9209848605</v>
      </c>
      <c r="K35" s="57">
        <f t="shared" si="10"/>
        <v>29765172.87898194</v>
      </c>
    </row>
    <row r="36" spans="1:11" x14ac:dyDescent="0.35">
      <c r="A36" s="54">
        <f t="shared" si="0"/>
        <v>16</v>
      </c>
      <c r="B36" s="55">
        <f t="shared" si="1"/>
        <v>1253174.4508246966</v>
      </c>
      <c r="C36" s="55">
        <f t="shared" si="2"/>
        <v>-29182.665382581035</v>
      </c>
      <c r="D36" s="55">
        <f t="shared" si="3"/>
        <v>5662800.5006679306</v>
      </c>
      <c r="E36" s="55">
        <f t="shared" si="4"/>
        <v>45949729.86357221</v>
      </c>
      <c r="F36" s="55">
        <f t="shared" si="5"/>
        <v>2740974.8240472525</v>
      </c>
      <c r="G36" s="55">
        <f t="shared" si="6"/>
        <v>43208755.039524958</v>
      </c>
      <c r="H36" s="55">
        <f t="shared" si="7"/>
        <v>17008965.845164597</v>
      </c>
      <c r="I36" s="55">
        <f t="shared" si="8"/>
        <v>97956916.834084854</v>
      </c>
      <c r="J36" s="55">
        <f t="shared" si="9"/>
        <v>11521139.541677115</v>
      </c>
      <c r="K36" s="55">
        <f t="shared" si="10"/>
        <v>34025122.510981284</v>
      </c>
    </row>
    <row r="37" spans="1:11" x14ac:dyDescent="0.35">
      <c r="A37" s="56">
        <f t="shared" si="0"/>
        <v>17</v>
      </c>
      <c r="B37" s="57">
        <f t="shared" si="1"/>
        <v>1378491.8959071664</v>
      </c>
      <c r="C37" s="57">
        <f t="shared" si="2"/>
        <v>-39625.78580612017</v>
      </c>
      <c r="D37" s="57">
        <f t="shared" si="3"/>
        <v>5187291.0709944889</v>
      </c>
      <c r="E37" s="57">
        <f t="shared" si="4"/>
        <v>50544702.84992943</v>
      </c>
      <c r="F37" s="57">
        <f t="shared" si="5"/>
        <v>2135385.0242090113</v>
      </c>
      <c r="G37" s="57">
        <f t="shared" si="6"/>
        <v>48409317.825720415</v>
      </c>
      <c r="H37" s="57">
        <f t="shared" si="7"/>
        <v>17977498.16902395</v>
      </c>
      <c r="I37" s="57">
        <f t="shared" si="8"/>
        <v>118926178.44399267</v>
      </c>
      <c r="J37" s="57">
        <f t="shared" si="9"/>
        <v>14201735.921624772</v>
      </c>
      <c r="K37" s="57">
        <f t="shared" si="10"/>
        <v>38890931.710209548</v>
      </c>
    </row>
    <row r="38" spans="1:11" x14ac:dyDescent="0.35">
      <c r="A38" s="54">
        <f t="shared" si="0"/>
        <v>18</v>
      </c>
      <c r="B38" s="55">
        <f t="shared" si="1"/>
        <v>1516341.0854978829</v>
      </c>
      <c r="C38" s="55">
        <f t="shared" si="2"/>
        <v>-51113.218272013226</v>
      </c>
      <c r="D38" s="55">
        <f t="shared" si="3"/>
        <v>4573932.4517303305</v>
      </c>
      <c r="E38" s="55">
        <f t="shared" si="4"/>
        <v>55599173.134922378</v>
      </c>
      <c r="F38" s="55">
        <f t="shared" si="5"/>
        <v>1479531.569656536</v>
      </c>
      <c r="G38" s="55">
        <f t="shared" si="6"/>
        <v>54119641.565265842</v>
      </c>
      <c r="H38" s="55">
        <f t="shared" si="7"/>
        <v>18960480.4005289</v>
      </c>
      <c r="I38" s="55">
        <f t="shared" si="8"/>
        <v>144344694.69187173</v>
      </c>
      <c r="J38" s="55">
        <f t="shared" si="9"/>
        <v>17455720.280017674</v>
      </c>
      <c r="K38" s="55">
        <f t="shared" si="10"/>
        <v>44454764.347945549</v>
      </c>
    </row>
    <row r="39" spans="1:11" x14ac:dyDescent="0.35">
      <c r="A39" s="56">
        <f t="shared" si="0"/>
        <v>19</v>
      </c>
      <c r="B39" s="57">
        <f t="shared" si="1"/>
        <v>1667975.1940476713</v>
      </c>
      <c r="C39" s="57">
        <f t="shared" si="2"/>
        <v>-63749.393984495589</v>
      </c>
      <c r="D39" s="57">
        <f t="shared" si="3"/>
        <v>3808939.7239163835</v>
      </c>
      <c r="E39" s="57">
        <f t="shared" si="4"/>
        <v>61159090.448414631</v>
      </c>
      <c r="F39" s="57">
        <f t="shared" si="5"/>
        <v>769242.60183820873</v>
      </c>
      <c r="G39" s="57">
        <f t="shared" si="6"/>
        <v>60389847.846576422</v>
      </c>
      <c r="H39" s="57">
        <f t="shared" si="7"/>
        <v>19959630.415363584</v>
      </c>
      <c r="I39" s="57">
        <f t="shared" si="8"/>
        <v>175173470.93813735</v>
      </c>
      <c r="J39" s="57">
        <f t="shared" si="9"/>
        <v>21404941.401777621</v>
      </c>
      <c r="K39" s="57">
        <f t="shared" si="10"/>
        <v>50822499.617104992</v>
      </c>
    </row>
    <row r="40" spans="1:11" x14ac:dyDescent="0.35">
      <c r="A40" s="54">
        <f t="shared" si="0"/>
        <v>20</v>
      </c>
      <c r="B40" s="55">
        <f t="shared" si="1"/>
        <v>1834772.7134524391</v>
      </c>
      <c r="C40" s="55">
        <f t="shared" si="2"/>
        <v>-77649.187268226218</v>
      </c>
      <c r="D40" s="55">
        <f t="shared" si="3"/>
        <v>2877149.4766976689</v>
      </c>
      <c r="E40" s="55">
        <f t="shared" si="4"/>
        <v>67274999.493256092</v>
      </c>
      <c r="F40" s="55">
        <f t="shared" si="5"/>
        <v>0</v>
      </c>
      <c r="G40" s="55">
        <f t="shared" si="6"/>
        <v>67274999.493256092</v>
      </c>
      <c r="H40" s="55">
        <f t="shared" si="7"/>
        <v>20976662.843256176</v>
      </c>
      <c r="I40" s="55">
        <f t="shared" si="8"/>
        <v>212582836.40766326</v>
      </c>
      <c r="J40" s="55">
        <f t="shared" si="9"/>
        <v>26197585.866370697</v>
      </c>
      <c r="K40" s="55">
        <f t="shared" si="10"/>
        <v>58115802.140622117</v>
      </c>
    </row>
  </sheetData>
  <mergeCells count="17">
    <mergeCell ref="G13:K13"/>
    <mergeCell ref="G14:K14"/>
    <mergeCell ref="G15:K15"/>
    <mergeCell ref="G16:K16"/>
    <mergeCell ref="A19:K19"/>
    <mergeCell ref="G12:K12"/>
    <mergeCell ref="A1:K1"/>
    <mergeCell ref="A2:K2"/>
    <mergeCell ref="A4:B4"/>
    <mergeCell ref="D4:E4"/>
    <mergeCell ref="G4:K4"/>
    <mergeCell ref="G5:K5"/>
    <mergeCell ref="G6:K6"/>
    <mergeCell ref="G7:K7"/>
    <mergeCell ref="G8:K8"/>
    <mergeCell ref="G10:K10"/>
    <mergeCell ref="G11:K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6CC1C-1CA9-4765-9E99-F5090DB66CB3}">
  <dimension ref="A1:C51"/>
  <sheetViews>
    <sheetView topLeftCell="A34" workbookViewId="0">
      <selection activeCell="E47" sqref="E47"/>
    </sheetView>
  </sheetViews>
  <sheetFormatPr defaultRowHeight="14.5" x14ac:dyDescent="0.35"/>
  <cols>
    <col min="1" max="1" width="42.1796875" bestFit="1" customWidth="1"/>
    <col min="2" max="2" width="11.453125" bestFit="1" customWidth="1"/>
    <col min="3" max="3" width="36.36328125" customWidth="1"/>
    <col min="7" max="7" width="8.7265625" customWidth="1"/>
  </cols>
  <sheetData>
    <row r="1" spans="1:3" ht="29" x14ac:dyDescent="0.35">
      <c r="A1" s="4" t="s">
        <v>0</v>
      </c>
      <c r="B1" s="9">
        <v>10000000</v>
      </c>
      <c r="C1" s="12" t="s">
        <v>26</v>
      </c>
    </row>
    <row r="2" spans="1:3" x14ac:dyDescent="0.35">
      <c r="A2" s="4" t="s">
        <v>1</v>
      </c>
      <c r="B2" s="9">
        <v>8000000</v>
      </c>
      <c r="C2" s="12" t="s">
        <v>27</v>
      </c>
    </row>
    <row r="3" spans="1:3" ht="29" x14ac:dyDescent="0.35">
      <c r="A3" s="4" t="s">
        <v>2</v>
      </c>
      <c r="B3" s="10">
        <v>8</v>
      </c>
      <c r="C3" s="12" t="s">
        <v>28</v>
      </c>
    </row>
    <row r="4" spans="1:3" ht="29" x14ac:dyDescent="0.35">
      <c r="A4" s="4" t="s">
        <v>3</v>
      </c>
      <c r="B4" s="10">
        <v>20</v>
      </c>
      <c r="C4" s="12" t="s">
        <v>29</v>
      </c>
    </row>
    <row r="5" spans="1:3" ht="43.5" x14ac:dyDescent="0.35">
      <c r="A5" s="4" t="s">
        <v>4</v>
      </c>
      <c r="B5" s="10">
        <v>1</v>
      </c>
      <c r="C5" s="12" t="s">
        <v>30</v>
      </c>
    </row>
    <row r="6" spans="1:3" ht="29" x14ac:dyDescent="0.35">
      <c r="A6" s="4" t="s">
        <v>5</v>
      </c>
      <c r="B6" s="10">
        <v>10</v>
      </c>
      <c r="C6" s="12" t="s">
        <v>31</v>
      </c>
    </row>
    <row r="7" spans="1:3" ht="29" x14ac:dyDescent="0.35">
      <c r="A7" s="4" t="s">
        <v>6</v>
      </c>
      <c r="B7" s="10">
        <v>6</v>
      </c>
      <c r="C7" s="12" t="s">
        <v>32</v>
      </c>
    </row>
    <row r="8" spans="1:3" ht="29" x14ac:dyDescent="0.35">
      <c r="A8" s="5" t="s">
        <v>7</v>
      </c>
      <c r="B8" s="11">
        <v>12</v>
      </c>
      <c r="C8" s="12" t="s">
        <v>33</v>
      </c>
    </row>
    <row r="9" spans="1:3" x14ac:dyDescent="0.35">
      <c r="B9" s="1"/>
      <c r="C9" s="12"/>
    </row>
    <row r="10" spans="1:3" x14ac:dyDescent="0.35">
      <c r="A10" s="177" t="s">
        <v>8</v>
      </c>
      <c r="B10" s="178"/>
      <c r="C10" s="179"/>
    </row>
    <row r="11" spans="1:3" ht="29" x14ac:dyDescent="0.35">
      <c r="A11" s="6" t="s">
        <v>9</v>
      </c>
      <c r="B11" s="2">
        <f>B1-B2</f>
        <v>2000000</v>
      </c>
      <c r="C11" s="12" t="s">
        <v>34</v>
      </c>
    </row>
    <row r="12" spans="1:3" ht="29" x14ac:dyDescent="0.35">
      <c r="A12" s="6" t="s">
        <v>10</v>
      </c>
      <c r="B12" s="2">
        <f>PMT(B3/1200,B4*12,-B2)</f>
        <v>66915.205519477022</v>
      </c>
      <c r="C12" s="12" t="s">
        <v>35</v>
      </c>
    </row>
    <row r="13" spans="1:3" ht="29" x14ac:dyDescent="0.35">
      <c r="A13" s="6" t="s">
        <v>11</v>
      </c>
      <c r="B13" s="2">
        <f>B12*B4*12</f>
        <v>16059649.324674485</v>
      </c>
      <c r="C13" s="12" t="s">
        <v>36</v>
      </c>
    </row>
    <row r="14" spans="1:3" ht="29" x14ac:dyDescent="0.35">
      <c r="A14" s="6" t="s">
        <v>12</v>
      </c>
      <c r="B14" s="2">
        <f>B13-B2</f>
        <v>8059649.3246744853</v>
      </c>
      <c r="C14" s="12" t="s">
        <v>37</v>
      </c>
    </row>
    <row r="15" spans="1:3" x14ac:dyDescent="0.35">
      <c r="A15" s="6" t="s">
        <v>13</v>
      </c>
      <c r="B15" s="3">
        <f>B2/B1</f>
        <v>0.8</v>
      </c>
      <c r="C15" s="12" t="s">
        <v>38</v>
      </c>
    </row>
    <row r="16" spans="1:3" ht="29" x14ac:dyDescent="0.35">
      <c r="A16" s="6" t="s">
        <v>14</v>
      </c>
      <c r="B16" s="2">
        <f>B1*B5/100</f>
        <v>100000</v>
      </c>
      <c r="C16" s="12" t="s">
        <v>39</v>
      </c>
    </row>
    <row r="17" spans="1:3" ht="29" x14ac:dyDescent="0.35">
      <c r="A17" s="6" t="s">
        <v>15</v>
      </c>
      <c r="B17" s="2">
        <f>B16*B4</f>
        <v>2000000</v>
      </c>
      <c r="C17" s="12" t="s">
        <v>40</v>
      </c>
    </row>
    <row r="18" spans="1:3" ht="29" x14ac:dyDescent="0.35">
      <c r="A18" s="6" t="s">
        <v>24</v>
      </c>
      <c r="B18" s="2">
        <f>B1*(1+B6/100)^B4</f>
        <v>67274999.493256092</v>
      </c>
      <c r="C18" s="12" t="s">
        <v>41</v>
      </c>
    </row>
    <row r="19" spans="1:3" ht="29" x14ac:dyDescent="0.35">
      <c r="A19" s="6" t="s">
        <v>25</v>
      </c>
      <c r="B19" s="2">
        <f>B18/(1+B7/100)^B4</f>
        <v>20976662.843256176</v>
      </c>
      <c r="C19" s="12" t="s">
        <v>42</v>
      </c>
    </row>
    <row r="20" spans="1:3" ht="43.5" x14ac:dyDescent="0.35">
      <c r="A20" s="22" t="s">
        <v>59</v>
      </c>
      <c r="B20" s="2">
        <f>B18-B1-B17-B14</f>
        <v>47215350.168581605</v>
      </c>
      <c r="C20" s="12" t="s">
        <v>60</v>
      </c>
    </row>
    <row r="21" spans="1:3" ht="58" x14ac:dyDescent="0.35">
      <c r="A21" s="22" t="s">
        <v>61</v>
      </c>
      <c r="B21" s="2" cm="1">
        <f t="array" ref="B21">B19-B1-IF(B7=0,B16*B4,B16*(1-(1+B7/100)^(-B4))/(B7/100))-IF(B3=0,0,SUMPRODUCT(-IPMT(B3/1200,_xlfn.SEQUENCE(B4*12),B4*12,B2)/(1+B7/100)^ROUNDUP(_xlfn.SEQUENCE(B4*12)/12,0)))</f>
        <v>4561692.0577543546</v>
      </c>
      <c r="C21" s="12" t="s">
        <v>62</v>
      </c>
    </row>
    <row r="22" spans="1:3" x14ac:dyDescent="0.35">
      <c r="C22" s="12"/>
    </row>
    <row r="23" spans="1:3" x14ac:dyDescent="0.35">
      <c r="A23" s="177" t="s">
        <v>16</v>
      </c>
      <c r="B23" s="178"/>
      <c r="C23" s="179"/>
    </row>
    <row r="24" spans="1:3" ht="29" x14ac:dyDescent="0.35">
      <c r="A24" s="6" t="s">
        <v>17</v>
      </c>
      <c r="B24" s="2">
        <f>B11</f>
        <v>2000000</v>
      </c>
      <c r="C24" s="12" t="s">
        <v>43</v>
      </c>
    </row>
    <row r="25" spans="1:3" ht="29" x14ac:dyDescent="0.35">
      <c r="A25" s="6" t="s">
        <v>18</v>
      </c>
      <c r="B25" s="2">
        <f>B12</f>
        <v>66915.205519477022</v>
      </c>
      <c r="C25" s="12" t="s">
        <v>44</v>
      </c>
    </row>
    <row r="26" spans="1:3" ht="29" x14ac:dyDescent="0.35">
      <c r="A26" s="6" t="s">
        <v>19</v>
      </c>
      <c r="B26" s="2">
        <f>B24+B25*B4*12</f>
        <v>18059649.324674487</v>
      </c>
      <c r="C26" s="12" t="s">
        <v>45</v>
      </c>
    </row>
    <row r="27" spans="1:3" ht="29" x14ac:dyDescent="0.35">
      <c r="A27" s="6" t="s">
        <v>20</v>
      </c>
      <c r="B27" s="2">
        <f>B24*(1+B8/100)^B4+FV(B8/1200,B4*12,-B25,0,0)</f>
        <v>85488812.272690624</v>
      </c>
      <c r="C27" s="12" t="s">
        <v>46</v>
      </c>
    </row>
    <row r="28" spans="1:3" ht="29" x14ac:dyDescent="0.35">
      <c r="A28" s="6" t="s">
        <v>21</v>
      </c>
      <c r="B28" s="2">
        <f>B27/(1+B7/100)^B4</f>
        <v>26655815.76250203</v>
      </c>
      <c r="C28" s="12" t="s">
        <v>47</v>
      </c>
    </row>
    <row r="29" spans="1:3" ht="29" x14ac:dyDescent="0.35">
      <c r="A29" s="7" t="s">
        <v>22</v>
      </c>
      <c r="B29" s="8">
        <f>B27-B26</f>
        <v>67429162.948016137</v>
      </c>
      <c r="C29" s="12" t="s">
        <v>48</v>
      </c>
    </row>
    <row r="30" spans="1:3" ht="43.5" x14ac:dyDescent="0.35">
      <c r="A30" s="7" t="s">
        <v>63</v>
      </c>
      <c r="B30" s="8">
        <f>MAX(0,B29-125000)*12.5%</f>
        <v>8413020.3685020171</v>
      </c>
      <c r="C30" s="12" t="s">
        <v>64</v>
      </c>
    </row>
    <row r="31" spans="1:3" ht="29" x14ac:dyDescent="0.35">
      <c r="A31" s="7" t="s">
        <v>65</v>
      </c>
      <c r="B31" s="8">
        <f>B29-B30</f>
        <v>59016142.579514116</v>
      </c>
      <c r="C31" s="12" t="s">
        <v>66</v>
      </c>
    </row>
    <row r="32" spans="1:3" ht="43.5" x14ac:dyDescent="0.35">
      <c r="A32" s="7" t="s">
        <v>67</v>
      </c>
      <c r="B32" s="8">
        <f>B26+B31</f>
        <v>77075791.904188603</v>
      </c>
      <c r="C32" s="12" t="s">
        <v>68</v>
      </c>
    </row>
    <row r="33" spans="1:3" ht="43.5" x14ac:dyDescent="0.35">
      <c r="A33" s="7" t="s">
        <v>69</v>
      </c>
      <c r="B33" s="8">
        <f>B32/(1+B7/100)^B4</f>
        <v>24032596.244214192</v>
      </c>
      <c r="C33" s="12" t="s">
        <v>70</v>
      </c>
    </row>
    <row r="34" spans="1:3" ht="58" x14ac:dyDescent="0.35">
      <c r="A34" s="7" t="s">
        <v>23</v>
      </c>
      <c r="B34" s="8">
        <f>B33-B35</f>
        <v>12822450.616624139</v>
      </c>
      <c r="C34" s="12" t="s">
        <v>491</v>
      </c>
    </row>
    <row r="35" spans="1:3" ht="58" x14ac:dyDescent="0.35">
      <c r="A35" s="7" t="s">
        <v>489</v>
      </c>
      <c r="B35" s="8" cm="1">
        <f t="array" ref="B35">B24+SUMPRODUCT(B25/(1+B7/100)^ROUNDUP(_xlfn.SEQUENCE(B4*12)/12,0))</f>
        <v>11210145.627590053</v>
      </c>
      <c r="C35" s="12" t="s">
        <v>490</v>
      </c>
    </row>
    <row r="36" spans="1:3" ht="30" customHeight="1" x14ac:dyDescent="0.55000000000000004">
      <c r="A36" s="180" t="s">
        <v>49</v>
      </c>
      <c r="B36" s="180"/>
      <c r="C36" s="180"/>
    </row>
    <row r="37" spans="1:3" x14ac:dyDescent="0.35">
      <c r="A37" s="181" t="s">
        <v>50</v>
      </c>
      <c r="B37" s="181"/>
      <c r="C37" s="181"/>
    </row>
    <row r="39" spans="1:3" x14ac:dyDescent="0.35">
      <c r="A39" s="13" t="s">
        <v>51</v>
      </c>
      <c r="B39" s="14" t="s">
        <v>52</v>
      </c>
      <c r="C39" s="15" t="s">
        <v>53</v>
      </c>
    </row>
    <row r="40" spans="1:3" x14ac:dyDescent="0.35">
      <c r="A40" s="16" t="s">
        <v>54</v>
      </c>
      <c r="B40" s="17">
        <f>B11+B13+B17</f>
        <v>20059649.324674487</v>
      </c>
      <c r="C40" s="18">
        <f>B26</f>
        <v>18059649.324674487</v>
      </c>
    </row>
    <row r="41" spans="1:3" x14ac:dyDescent="0.35">
      <c r="A41" s="16" t="s">
        <v>55</v>
      </c>
      <c r="B41" s="17">
        <f>B18</f>
        <v>67274999.493256092</v>
      </c>
      <c r="C41" s="18">
        <f>B27</f>
        <v>85488812.272690624</v>
      </c>
    </row>
    <row r="42" spans="1:3" x14ac:dyDescent="0.35">
      <c r="A42" s="16" t="s">
        <v>56</v>
      </c>
      <c r="B42" s="17">
        <f>B19</f>
        <v>20976662.843256176</v>
      </c>
      <c r="C42" s="18">
        <f>B28</f>
        <v>26655815.76250203</v>
      </c>
    </row>
    <row r="43" spans="1:3" x14ac:dyDescent="0.35">
      <c r="A43" s="16" t="s">
        <v>57</v>
      </c>
      <c r="B43" s="17">
        <f>B21</f>
        <v>4561692.0577543546</v>
      </c>
      <c r="C43" s="18">
        <f>B34</f>
        <v>12822450.616624139</v>
      </c>
    </row>
    <row r="44" spans="1:3" x14ac:dyDescent="0.35">
      <c r="A44" s="19" t="s">
        <v>58</v>
      </c>
      <c r="B44" s="20">
        <f>B43-C43</f>
        <v>-8260758.5588697847</v>
      </c>
      <c r="C44" s="21" t="str">
        <f>IF(B44&gt;=0,"House leads","SIP leads")</f>
        <v>SIP leads</v>
      </c>
    </row>
    <row r="45" spans="1:3" ht="16" x14ac:dyDescent="0.4">
      <c r="A45" s="182" t="str">
        <f>IF(B44&gt;=0,"CONCLUSION: Buying the house is better under the current assumptions by ₹"&amp;TEXT(ABS(B44),"##,##,##0")&amp;" of real gain.","CONCLUSION: SIP investing is better under the current assumptions by ₹"&amp;TEXT(ABS(B44),"##,##,##0")&amp;" of real gain.")</f>
        <v>CONCLUSION: SIP investing is better under the current assumptions by ₹82,60,759 of real gain.</v>
      </c>
      <c r="B45" s="182"/>
      <c r="C45" s="182"/>
    </row>
    <row r="46" spans="1:3" x14ac:dyDescent="0.35">
      <c r="A46" s="23"/>
      <c r="B46" s="23"/>
      <c r="C46" s="23"/>
    </row>
    <row r="47" spans="1:3" x14ac:dyDescent="0.35">
      <c r="A47" s="175" t="str">
        <f>"1. Real outcome: House real gain is ₹"&amp;TEXT(B43,"##,##,##0")&amp;" versus SIP real gain of ₹"&amp;TEXT(C43,"##,##,##0")&amp;" after modeled costs and tax."</f>
        <v>1. Real outcome: House real gain is ₹45,61,692 versus SIP real gain of ₹1,28,22,451 after modeled costs and tax.</v>
      </c>
      <c r="B47" s="175"/>
      <c r="C47" s="175"/>
    </row>
    <row r="48" spans="1:3" x14ac:dyDescent="0.35">
      <c r="A48" s="175" t="str">
        <f>"2. Portfolio size: SIP reaches ₹"&amp;TEXT(C41,"##,##,##0")&amp;" nominally versus the property’s ₹"&amp;TEXT(B41,"##,##,##0")&amp;", but this alone is not the net-gain comparison."</f>
        <v>2. Portfolio size: SIP reaches ₹8,54,88,812 nominally versus the property’s ₹6,72,74,999, but this alone is not the net-gain comparison.</v>
      </c>
      <c r="B48" s="175"/>
      <c r="C48" s="175"/>
    </row>
    <row r="49" spans="1:3" x14ac:dyDescent="0.35">
      <c r="A49" s="175" t="str">
        <f>"3. Cash commitment: The house requires ₹"&amp;TEXT(ABS(B40-C40),"##,##,##0")&amp;IF(B40&gt;=C40," more"," less")&amp;" modeled cash outlay, mainly because maintenance is not invested in the SIP scenario."</f>
        <v>3. Cash commitment: The house requires ₹20,00,000 more modeled cash outlay, mainly because maintenance is not invested in the SIP scenario.</v>
      </c>
      <c r="B49" s="175"/>
      <c r="C49" s="175"/>
    </row>
    <row r="50" spans="1:3" x14ac:dyDescent="0.35">
      <c r="A50" s="23"/>
      <c r="B50" s="23"/>
      <c r="C50" s="23"/>
    </row>
    <row r="51" spans="1:3" ht="60.5" customHeight="1" x14ac:dyDescent="0.35">
      <c r="A51" s="176" t="s">
        <v>492</v>
      </c>
      <c r="B51" s="176"/>
      <c r="C51" s="176"/>
    </row>
  </sheetData>
  <mergeCells count="9">
    <mergeCell ref="A47:C47"/>
    <mergeCell ref="A48:C48"/>
    <mergeCell ref="A49:C49"/>
    <mergeCell ref="A51:C51"/>
    <mergeCell ref="A10:C10"/>
    <mergeCell ref="A23:C23"/>
    <mergeCell ref="A36:C36"/>
    <mergeCell ref="A37:C37"/>
    <mergeCell ref="A45:C4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19200-13CF-43D8-B914-E18ADBE305B9}">
  <dimension ref="A1:F62"/>
  <sheetViews>
    <sheetView workbookViewId="0">
      <selection activeCell="H22" sqref="H22"/>
    </sheetView>
  </sheetViews>
  <sheetFormatPr defaultRowHeight="14.5" x14ac:dyDescent="0.35"/>
  <cols>
    <col min="1" max="1" width="26.36328125" customWidth="1"/>
    <col min="2" max="6" width="20" customWidth="1"/>
  </cols>
  <sheetData>
    <row r="1" spans="1:6" ht="30" customHeight="1" x14ac:dyDescent="0.35">
      <c r="A1" s="141" t="s">
        <v>72</v>
      </c>
      <c r="B1" s="141"/>
      <c r="C1" s="141"/>
      <c r="D1" s="141"/>
      <c r="E1" s="141"/>
      <c r="F1" s="141"/>
    </row>
    <row r="2" spans="1:6" ht="24" customHeight="1" x14ac:dyDescent="0.35">
      <c r="A2" s="142" t="s">
        <v>73</v>
      </c>
      <c r="B2" s="142"/>
      <c r="C2" s="142"/>
      <c r="D2" s="142"/>
      <c r="E2" s="142"/>
      <c r="F2" s="142"/>
    </row>
    <row r="4" spans="1:6" x14ac:dyDescent="0.35">
      <c r="A4" s="183" t="s">
        <v>74</v>
      </c>
      <c r="B4" s="183"/>
      <c r="D4" s="183" t="s">
        <v>75</v>
      </c>
      <c r="E4" s="183"/>
      <c r="F4" s="183"/>
    </row>
    <row r="5" spans="1:6" x14ac:dyDescent="0.35">
      <c r="A5" s="25" t="s">
        <v>1</v>
      </c>
      <c r="B5" s="26">
        <v>2000000</v>
      </c>
      <c r="D5" s="29" t="s">
        <v>10</v>
      </c>
      <c r="E5" s="30">
        <f>-PMT($B$6/1200,$B$7*12,$B$5)</f>
        <v>17356.464667310676</v>
      </c>
    </row>
    <row r="6" spans="1:6" x14ac:dyDescent="0.35">
      <c r="A6" s="25" t="s">
        <v>71</v>
      </c>
      <c r="B6" s="27">
        <v>8.5</v>
      </c>
      <c r="D6" s="29" t="s">
        <v>76</v>
      </c>
      <c r="E6" s="30">
        <f>E5*$B$7*12</f>
        <v>4165551.5201545623</v>
      </c>
    </row>
    <row r="7" spans="1:6" x14ac:dyDescent="0.35">
      <c r="A7" s="25" t="s">
        <v>3</v>
      </c>
      <c r="B7" s="28">
        <v>20</v>
      </c>
      <c r="D7" s="29" t="s">
        <v>77</v>
      </c>
      <c r="E7" s="30">
        <f>E6-$B$5</f>
        <v>2165551.5201545623</v>
      </c>
    </row>
    <row r="8" spans="1:6" x14ac:dyDescent="0.35">
      <c r="D8" s="29" t="s">
        <v>78</v>
      </c>
      <c r="E8" s="30">
        <f>$B$5</f>
        <v>2000000</v>
      </c>
    </row>
    <row r="10" spans="1:6" x14ac:dyDescent="0.35">
      <c r="A10" s="183" t="s">
        <v>79</v>
      </c>
      <c r="B10" s="183"/>
      <c r="C10" s="183"/>
      <c r="D10" s="183"/>
      <c r="E10" s="183"/>
      <c r="F10" s="183"/>
    </row>
    <row r="11" spans="1:6" ht="30" customHeight="1" x14ac:dyDescent="0.35">
      <c r="A11" s="31" t="s">
        <v>80</v>
      </c>
      <c r="B11" s="31" t="s">
        <v>81</v>
      </c>
      <c r="C11" s="31" t="s">
        <v>82</v>
      </c>
      <c r="D11" s="31" t="s">
        <v>83</v>
      </c>
      <c r="E11" s="31" t="s">
        <v>84</v>
      </c>
      <c r="F11" s="31" t="s">
        <v>85</v>
      </c>
    </row>
    <row r="12" spans="1:6" x14ac:dyDescent="0.35">
      <c r="A12" s="34">
        <f>1</f>
        <v>1</v>
      </c>
      <c r="B12" s="35">
        <f>$B$5</f>
        <v>2000000</v>
      </c>
      <c r="C12" s="35">
        <f>$E$5*12</f>
        <v>208277.57600772812</v>
      </c>
      <c r="D12" s="35">
        <f>-CUMPRINC($B$6/1200,$B$7*12,$B$5,1,12,0)</f>
        <v>39804.583749379846</v>
      </c>
      <c r="E12" s="35">
        <f>-CUMIPMT($B$6/1200,$B$7*12,$B$5,1,12,0)</f>
        <v>168472.99225834827</v>
      </c>
      <c r="F12" s="35">
        <f>MAX(0,B12-D12)</f>
        <v>1960195.41625062</v>
      </c>
    </row>
    <row r="13" spans="1:6" x14ac:dyDescent="0.35">
      <c r="A13" s="32">
        <f>A12+1</f>
        <v>2</v>
      </c>
      <c r="B13" s="33">
        <f>F12</f>
        <v>1960195.41625062</v>
      </c>
      <c r="C13" s="33">
        <f>$E$5*12</f>
        <v>208277.57600772812</v>
      </c>
      <c r="D13" s="33">
        <f>-CUMPRINC($B$6/1200,$B$7*12,$B$5,(A13-1)*12+1,A13*12,0)</f>
        <v>43322.946965666793</v>
      </c>
      <c r="E13" s="33">
        <f>-CUMIPMT($B$6/1200,$B$7*12,$B$5,(A13-1)*12+1,A13*12,0)</f>
        <v>164954.62904206134</v>
      </c>
      <c r="F13" s="33">
        <f>MAX(0,B13-D13)</f>
        <v>1916872.4692849533</v>
      </c>
    </row>
    <row r="14" spans="1:6" x14ac:dyDescent="0.35">
      <c r="A14" s="34">
        <f t="shared" ref="A14:A31" si="0">A13+1</f>
        <v>3</v>
      </c>
      <c r="B14" s="35">
        <f t="shared" ref="B14:B31" si="1">F13</f>
        <v>1916872.4692849533</v>
      </c>
      <c r="C14" s="35">
        <f t="shared" ref="C14:C31" si="2">$E$5*12</f>
        <v>208277.57600772812</v>
      </c>
      <c r="D14" s="35">
        <f t="shared" ref="D14:D31" si="3">-CUMPRINC($B$6/1200,$B$7*12,$B$5,(A14-1)*12+1,A14*12,0)</f>
        <v>47152.301493900668</v>
      </c>
      <c r="E14" s="35">
        <f t="shared" ref="E14:E31" si="4">-CUMIPMT($B$6/1200,$B$7*12,$B$5,(A14-1)*12+1,A14*12,0)</f>
        <v>161125.27451382746</v>
      </c>
      <c r="F14" s="35">
        <f t="shared" ref="F14:F31" si="5">MAX(0,B14-D14)</f>
        <v>1869720.1677910527</v>
      </c>
    </row>
    <row r="15" spans="1:6" x14ac:dyDescent="0.35">
      <c r="A15" s="32">
        <f t="shared" si="0"/>
        <v>4</v>
      </c>
      <c r="B15" s="33">
        <f t="shared" si="1"/>
        <v>1869720.1677910527</v>
      </c>
      <c r="C15" s="33">
        <f t="shared" si="2"/>
        <v>208277.57600772812</v>
      </c>
      <c r="D15" s="33">
        <f t="shared" si="3"/>
        <v>51320.136137869194</v>
      </c>
      <c r="E15" s="33">
        <f t="shared" si="4"/>
        <v>156957.43986985891</v>
      </c>
      <c r="F15" s="33">
        <f t="shared" si="5"/>
        <v>1818400.0316531835</v>
      </c>
    </row>
    <row r="16" spans="1:6" x14ac:dyDescent="0.35">
      <c r="A16" s="34">
        <f t="shared" si="0"/>
        <v>5</v>
      </c>
      <c r="B16" s="35">
        <f t="shared" si="1"/>
        <v>1818400.0316531835</v>
      </c>
      <c r="C16" s="35">
        <f t="shared" si="2"/>
        <v>208277.57600772812</v>
      </c>
      <c r="D16" s="35">
        <f t="shared" si="3"/>
        <v>55856.369461628812</v>
      </c>
      <c r="E16" s="35">
        <f t="shared" si="4"/>
        <v>152421.2065460993</v>
      </c>
      <c r="F16" s="35">
        <f t="shared" si="5"/>
        <v>1762543.6621915547</v>
      </c>
    </row>
    <row r="17" spans="1:6" x14ac:dyDescent="0.35">
      <c r="A17" s="32">
        <f t="shared" si="0"/>
        <v>6</v>
      </c>
      <c r="B17" s="33">
        <f t="shared" si="1"/>
        <v>1762543.6621915547</v>
      </c>
      <c r="C17" s="33">
        <f t="shared" si="2"/>
        <v>208277.57600772812</v>
      </c>
      <c r="D17" s="33">
        <f t="shared" si="3"/>
        <v>60793.564558215898</v>
      </c>
      <c r="E17" s="33">
        <f t="shared" si="4"/>
        <v>147484.01144951221</v>
      </c>
      <c r="F17" s="33">
        <f t="shared" si="5"/>
        <v>1701750.0976333388</v>
      </c>
    </row>
    <row r="18" spans="1:6" x14ac:dyDescent="0.35">
      <c r="A18" s="34">
        <f t="shared" si="0"/>
        <v>7</v>
      </c>
      <c r="B18" s="35">
        <f t="shared" si="1"/>
        <v>1701750.0976333388</v>
      </c>
      <c r="C18" s="35">
        <f t="shared" si="2"/>
        <v>208277.57600772812</v>
      </c>
      <c r="D18" s="35">
        <f t="shared" si="3"/>
        <v>66167.162801959013</v>
      </c>
      <c r="E18" s="35">
        <f t="shared" si="4"/>
        <v>142110.41320576909</v>
      </c>
      <c r="F18" s="35">
        <f t="shared" si="5"/>
        <v>1635582.9348313797</v>
      </c>
    </row>
    <row r="19" spans="1:6" x14ac:dyDescent="0.35">
      <c r="A19" s="32">
        <f t="shared" si="0"/>
        <v>8</v>
      </c>
      <c r="B19" s="33">
        <f t="shared" si="1"/>
        <v>1635582.9348313797</v>
      </c>
      <c r="C19" s="33">
        <f t="shared" si="2"/>
        <v>208277.57600772812</v>
      </c>
      <c r="D19" s="33">
        <f t="shared" si="3"/>
        <v>72015.738262369632</v>
      </c>
      <c r="E19" s="33">
        <f t="shared" si="4"/>
        <v>136261.83774535847</v>
      </c>
      <c r="F19" s="33">
        <f t="shared" si="5"/>
        <v>1563567.1965690101</v>
      </c>
    </row>
    <row r="20" spans="1:6" x14ac:dyDescent="0.35">
      <c r="A20" s="34">
        <f t="shared" si="0"/>
        <v>9</v>
      </c>
      <c r="B20" s="35">
        <f t="shared" si="1"/>
        <v>1563567.1965690101</v>
      </c>
      <c r="C20" s="35">
        <f t="shared" si="2"/>
        <v>208277.57600772812</v>
      </c>
      <c r="D20" s="35">
        <f t="shared" si="3"/>
        <v>78381.274605907383</v>
      </c>
      <c r="E20" s="35">
        <f t="shared" si="4"/>
        <v>129896.30140182073</v>
      </c>
      <c r="F20" s="35">
        <f t="shared" si="5"/>
        <v>1485185.9219631026</v>
      </c>
    </row>
    <row r="21" spans="1:6" x14ac:dyDescent="0.35">
      <c r="A21" s="32">
        <f t="shared" si="0"/>
        <v>10</v>
      </c>
      <c r="B21" s="33">
        <f t="shared" si="1"/>
        <v>1485185.9219631026</v>
      </c>
      <c r="C21" s="33">
        <f t="shared" si="2"/>
        <v>208277.57600772812</v>
      </c>
      <c r="D21" s="33">
        <f t="shared" si="3"/>
        <v>85309.466473342924</v>
      </c>
      <c r="E21" s="33">
        <f t="shared" si="4"/>
        <v>122968.10953438519</v>
      </c>
      <c r="F21" s="33">
        <f t="shared" si="5"/>
        <v>1399876.4554897598</v>
      </c>
    </row>
    <row r="22" spans="1:6" x14ac:dyDescent="0.35">
      <c r="A22" s="34">
        <f t="shared" si="0"/>
        <v>11</v>
      </c>
      <c r="B22" s="35">
        <f t="shared" si="1"/>
        <v>1399876.4554897598</v>
      </c>
      <c r="C22" s="35">
        <f t="shared" si="2"/>
        <v>208277.57600772812</v>
      </c>
      <c r="D22" s="35">
        <f t="shared" si="3"/>
        <v>92850.047496139116</v>
      </c>
      <c r="E22" s="35">
        <f t="shared" si="4"/>
        <v>115427.528511589</v>
      </c>
      <c r="F22" s="35">
        <f t="shared" si="5"/>
        <v>1307026.4079936207</v>
      </c>
    </row>
    <row r="23" spans="1:6" x14ac:dyDescent="0.35">
      <c r="A23" s="32">
        <f t="shared" si="0"/>
        <v>12</v>
      </c>
      <c r="B23" s="33">
        <f t="shared" si="1"/>
        <v>1307026.4079936207</v>
      </c>
      <c r="C23" s="33">
        <f t="shared" si="2"/>
        <v>208277.57600772812</v>
      </c>
      <c r="D23" s="33">
        <f t="shared" si="3"/>
        <v>101057.14730649706</v>
      </c>
      <c r="E23" s="33">
        <f t="shared" si="4"/>
        <v>107220.42870123105</v>
      </c>
      <c r="F23" s="33">
        <f t="shared" si="5"/>
        <v>1205969.2606871238</v>
      </c>
    </row>
    <row r="24" spans="1:6" x14ac:dyDescent="0.35">
      <c r="A24" s="34">
        <f t="shared" si="0"/>
        <v>13</v>
      </c>
      <c r="B24" s="35">
        <f t="shared" si="1"/>
        <v>1205969.2606871238</v>
      </c>
      <c r="C24" s="35">
        <f t="shared" si="2"/>
        <v>208277.57600772812</v>
      </c>
      <c r="D24" s="35">
        <f t="shared" si="3"/>
        <v>109989.68010384378</v>
      </c>
      <c r="E24" s="35">
        <f t="shared" si="4"/>
        <v>98287.895903884331</v>
      </c>
      <c r="F24" s="35">
        <f t="shared" si="5"/>
        <v>1095979.58058328</v>
      </c>
    </row>
    <row r="25" spans="1:6" x14ac:dyDescent="0.35">
      <c r="A25" s="32">
        <f t="shared" si="0"/>
        <v>14</v>
      </c>
      <c r="B25" s="33">
        <f t="shared" si="1"/>
        <v>1095979.58058328</v>
      </c>
      <c r="C25" s="33">
        <f t="shared" si="2"/>
        <v>208277.57600772812</v>
      </c>
      <c r="D25" s="33">
        <f t="shared" si="3"/>
        <v>119711.76756706368</v>
      </c>
      <c r="E25" s="33">
        <f t="shared" si="4"/>
        <v>88565.808440664434</v>
      </c>
      <c r="F25" s="33">
        <f t="shared" si="5"/>
        <v>976267.81301621627</v>
      </c>
    </row>
    <row r="26" spans="1:6" x14ac:dyDescent="0.35">
      <c r="A26" s="34">
        <f t="shared" si="0"/>
        <v>15</v>
      </c>
      <c r="B26" s="35">
        <f t="shared" si="1"/>
        <v>976267.81301621627</v>
      </c>
      <c r="C26" s="35">
        <f t="shared" si="2"/>
        <v>208277.57600772812</v>
      </c>
      <c r="D26" s="35">
        <f t="shared" si="3"/>
        <v>130293.19914832503</v>
      </c>
      <c r="E26" s="35">
        <f t="shared" si="4"/>
        <v>77984.376859403084</v>
      </c>
      <c r="F26" s="35">
        <f t="shared" si="5"/>
        <v>845974.61386789125</v>
      </c>
    </row>
    <row r="27" spans="1:6" x14ac:dyDescent="0.35">
      <c r="A27" s="32">
        <f t="shared" si="0"/>
        <v>16</v>
      </c>
      <c r="B27" s="33">
        <f t="shared" si="1"/>
        <v>845974.61386789125</v>
      </c>
      <c r="C27" s="33">
        <f t="shared" si="2"/>
        <v>208277.57600772812</v>
      </c>
      <c r="D27" s="33">
        <f t="shared" si="3"/>
        <v>141809.93305269501</v>
      </c>
      <c r="E27" s="33">
        <f t="shared" si="4"/>
        <v>66467.642955033109</v>
      </c>
      <c r="F27" s="33">
        <f t="shared" si="5"/>
        <v>704164.68081519625</v>
      </c>
    </row>
    <row r="28" spans="1:6" x14ac:dyDescent="0.35">
      <c r="A28" s="34">
        <f t="shared" si="0"/>
        <v>17</v>
      </c>
      <c r="B28" s="35">
        <f t="shared" si="1"/>
        <v>704164.68081519625</v>
      </c>
      <c r="C28" s="35">
        <f t="shared" si="2"/>
        <v>208277.57600772812</v>
      </c>
      <c r="D28" s="35">
        <f t="shared" si="3"/>
        <v>154344.64149979665</v>
      </c>
      <c r="E28" s="35">
        <f t="shared" si="4"/>
        <v>53932.934507931466</v>
      </c>
      <c r="F28" s="35">
        <f t="shared" si="5"/>
        <v>549820.0393153996</v>
      </c>
    </row>
    <row r="29" spans="1:6" x14ac:dyDescent="0.35">
      <c r="A29" s="32">
        <f t="shared" si="0"/>
        <v>18</v>
      </c>
      <c r="B29" s="33">
        <f t="shared" si="1"/>
        <v>549820.0393153996</v>
      </c>
      <c r="C29" s="33">
        <f t="shared" si="2"/>
        <v>208277.57600772812</v>
      </c>
      <c r="D29" s="33">
        <f t="shared" si="3"/>
        <v>167987.30418163768</v>
      </c>
      <c r="E29" s="33">
        <f t="shared" si="4"/>
        <v>40290.271826090437</v>
      </c>
      <c r="F29" s="33">
        <f t="shared" si="5"/>
        <v>381832.73513376189</v>
      </c>
    </row>
    <row r="30" spans="1:6" x14ac:dyDescent="0.35">
      <c r="A30" s="34">
        <f t="shared" si="0"/>
        <v>19</v>
      </c>
      <c r="B30" s="35">
        <f t="shared" si="1"/>
        <v>381832.73513376189</v>
      </c>
      <c r="C30" s="35">
        <f t="shared" si="2"/>
        <v>208277.57600772812</v>
      </c>
      <c r="D30" s="35">
        <f t="shared" si="3"/>
        <v>182835.85417671426</v>
      </c>
      <c r="E30" s="35">
        <f t="shared" si="4"/>
        <v>25441.721831013856</v>
      </c>
      <c r="F30" s="35">
        <f t="shared" si="5"/>
        <v>198996.88095704763</v>
      </c>
    </row>
    <row r="31" spans="1:6" x14ac:dyDescent="0.35">
      <c r="A31" s="32">
        <f t="shared" si="0"/>
        <v>20</v>
      </c>
      <c r="B31" s="33">
        <f t="shared" si="1"/>
        <v>198996.88095704763</v>
      </c>
      <c r="C31" s="33">
        <f t="shared" si="2"/>
        <v>208277.57600772812</v>
      </c>
      <c r="D31" s="33">
        <f t="shared" si="3"/>
        <v>198996.88095704775</v>
      </c>
      <c r="E31" s="33">
        <f t="shared" si="4"/>
        <v>9280.6950506803696</v>
      </c>
      <c r="F31" s="33">
        <f t="shared" si="5"/>
        <v>0</v>
      </c>
    </row>
    <row r="33" spans="1:6" ht="22" customHeight="1" x14ac:dyDescent="0.35">
      <c r="A33" s="143" t="s">
        <v>109</v>
      </c>
      <c r="B33" s="143"/>
      <c r="C33" s="143"/>
      <c r="D33" s="143"/>
      <c r="E33" s="143"/>
      <c r="F33" s="143"/>
    </row>
    <row r="34" spans="1:6" ht="30" customHeight="1" x14ac:dyDescent="0.35">
      <c r="A34" s="184" t="str">
        <f>"1. A loan of ₹"&amp;TEXT($B$5,"##,##,##0")&amp;" at "&amp;TEXT($B$6/100,"0.00%")&amp;" for "&amp;TEXT($B$7,"0")&amp;" years requires a monthly EMI of ₹"&amp;TEXT($E$5,"##,##,##0")&amp;"."</f>
        <v>1. A loan of ₹20,00,000 at 8.50% for 20 years requires a monthly EMI of ₹17,356.</v>
      </c>
      <c r="B34" s="185"/>
      <c r="C34" s="185"/>
      <c r="D34" s="185"/>
      <c r="E34" s="185"/>
      <c r="F34" s="186"/>
    </row>
    <row r="35" spans="1:6" ht="30" customHeight="1" x14ac:dyDescent="0.35">
      <c r="A35" s="184" t="str">
        <f>"2. Total repayment over "&amp;TEXT($B$7,"0")&amp;" years is ₹"&amp;TEXT($E$6,"##,##,##0")&amp;", consisting of ₹"&amp;TEXT($E$8,"##,##,##0")&amp;" principal and ₹"&amp;TEXT($E$7,"##,##,##0")&amp;" interest."</f>
        <v>2. Total repayment over 20 years is ₹41,65,552, consisting of ₹20,00,000 principal and ₹21,65,552 interest.</v>
      </c>
      <c r="B35" s="185"/>
      <c r="C35" s="185"/>
      <c r="D35" s="185"/>
      <c r="E35" s="185"/>
      <c r="F35" s="186"/>
    </row>
    <row r="36" spans="1:6" ht="30" customHeight="1" x14ac:dyDescent="0.35">
      <c r="A36" s="184" t="str">
        <f>"3. Interest represents "&amp;TEXT($E$7/$E$6,"0.0%")&amp;" of total repayments; the remaining "&amp;TEXT($E$8/$E$6,"0.0%")&amp;" repays principal."</f>
        <v>3. Interest represents 52.0% of total repayments; the remaining 48.0% repays principal.</v>
      </c>
      <c r="B36" s="185"/>
      <c r="C36" s="185"/>
      <c r="D36" s="185"/>
      <c r="E36" s="185"/>
      <c r="F36" s="186"/>
    </row>
    <row r="37" spans="1:6" ht="30" customHeight="1" x14ac:dyDescent="0.35">
      <c r="A37" s="184" t="str">
        <f>"4. In year 1, ₹"&amp;TEXT($D$12,"##,##,##0")&amp;" of payments reduces principal and ₹"&amp;TEXT($E$12,"##,##,##0")&amp;" pays interest; this mix shifts toward principal over time."</f>
        <v>4. In year 1, ₹39,805 of payments reduces principal and ₹1,68,473 pays interest; this mix shifts toward principal over time.</v>
      </c>
      <c r="B37" s="185"/>
      <c r="C37" s="185"/>
      <c r="D37" s="185"/>
      <c r="E37" s="185"/>
      <c r="F37" s="186"/>
    </row>
    <row r="39" spans="1:6" ht="22" customHeight="1" x14ac:dyDescent="0.35">
      <c r="A39" s="143" t="s">
        <v>110</v>
      </c>
      <c r="B39" s="143"/>
      <c r="C39" s="143"/>
      <c r="D39" s="143"/>
      <c r="E39" s="143"/>
      <c r="F39" s="143"/>
    </row>
    <row r="40" spans="1:6" ht="24" customHeight="1" x14ac:dyDescent="0.35">
      <c r="A40" s="148" t="s">
        <v>111</v>
      </c>
      <c r="B40" s="148"/>
      <c r="C40" s="148" t="s">
        <v>112</v>
      </c>
      <c r="D40" s="148"/>
      <c r="E40" s="148"/>
      <c r="F40" s="36" t="s">
        <v>113</v>
      </c>
    </row>
    <row r="41" spans="1:6" ht="34" customHeight="1" x14ac:dyDescent="0.35">
      <c r="A41" s="149" t="s">
        <v>151</v>
      </c>
      <c r="B41" s="149"/>
      <c r="C41" s="150" t="s">
        <v>152</v>
      </c>
      <c r="D41" s="150"/>
      <c r="E41" s="150"/>
      <c r="F41" s="39">
        <f>B5</f>
        <v>2000000</v>
      </c>
    </row>
    <row r="42" spans="1:6" ht="34" customHeight="1" x14ac:dyDescent="0.35">
      <c r="A42" s="149" t="s">
        <v>153</v>
      </c>
      <c r="B42" s="149"/>
      <c r="C42" s="150" t="s">
        <v>154</v>
      </c>
      <c r="D42" s="150"/>
      <c r="E42" s="150"/>
      <c r="F42" s="41">
        <f>B6</f>
        <v>8.5</v>
      </c>
    </row>
    <row r="43" spans="1:6" ht="34" customHeight="1" x14ac:dyDescent="0.35">
      <c r="A43" s="149" t="s">
        <v>119</v>
      </c>
      <c r="B43" s="149"/>
      <c r="C43" s="150" t="s">
        <v>155</v>
      </c>
      <c r="D43" s="150"/>
      <c r="E43" s="150"/>
      <c r="F43" s="42">
        <f>B7</f>
        <v>20</v>
      </c>
    </row>
    <row r="45" spans="1:6" ht="22" customHeight="1" x14ac:dyDescent="0.35">
      <c r="A45" s="143" t="s">
        <v>127</v>
      </c>
      <c r="B45" s="143"/>
      <c r="C45" s="143"/>
      <c r="D45" s="143"/>
      <c r="E45" s="143"/>
      <c r="F45" s="143"/>
    </row>
    <row r="46" spans="1:6" ht="24" customHeight="1" x14ac:dyDescent="0.35">
      <c r="A46" s="148" t="s">
        <v>128</v>
      </c>
      <c r="B46" s="148"/>
      <c r="C46" s="148" t="s">
        <v>129</v>
      </c>
      <c r="D46" s="148"/>
      <c r="E46" s="148"/>
      <c r="F46" s="148"/>
    </row>
    <row r="47" spans="1:6" ht="34" customHeight="1" x14ac:dyDescent="0.35">
      <c r="A47" s="149" t="s">
        <v>10</v>
      </c>
      <c r="B47" s="149"/>
      <c r="C47" s="150" t="s">
        <v>156</v>
      </c>
      <c r="D47" s="150"/>
      <c r="E47" s="150"/>
      <c r="F47" s="150"/>
    </row>
    <row r="48" spans="1:6" ht="34" customHeight="1" x14ac:dyDescent="0.35">
      <c r="A48" s="149" t="s">
        <v>157</v>
      </c>
      <c r="B48" s="149"/>
      <c r="C48" s="150" t="s">
        <v>158</v>
      </c>
      <c r="D48" s="150"/>
      <c r="E48" s="150"/>
      <c r="F48" s="150"/>
    </row>
    <row r="49" spans="1:6" ht="34" customHeight="1" x14ac:dyDescent="0.35">
      <c r="A49" s="149" t="s">
        <v>159</v>
      </c>
      <c r="B49" s="149"/>
      <c r="C49" s="150" t="s">
        <v>160</v>
      </c>
      <c r="D49" s="150"/>
      <c r="E49" s="150"/>
      <c r="F49" s="150"/>
    </row>
    <row r="50" spans="1:6" ht="34" customHeight="1" x14ac:dyDescent="0.35">
      <c r="A50" s="149" t="s">
        <v>161</v>
      </c>
      <c r="B50" s="149"/>
      <c r="C50" s="150" t="s">
        <v>162</v>
      </c>
      <c r="D50" s="150"/>
      <c r="E50" s="150"/>
      <c r="F50" s="150"/>
    </row>
    <row r="51" spans="1:6" ht="34" customHeight="1" x14ac:dyDescent="0.35">
      <c r="A51" s="149" t="s">
        <v>163</v>
      </c>
      <c r="B51" s="149"/>
      <c r="C51" s="150" t="s">
        <v>164</v>
      </c>
      <c r="D51" s="150"/>
      <c r="E51" s="150"/>
      <c r="F51" s="150"/>
    </row>
    <row r="52" spans="1:6" ht="34" customHeight="1" x14ac:dyDescent="0.35">
      <c r="A52" s="149" t="s">
        <v>165</v>
      </c>
      <c r="B52" s="149"/>
      <c r="C52" s="150" t="s">
        <v>166</v>
      </c>
      <c r="D52" s="150"/>
      <c r="E52" s="150"/>
      <c r="F52" s="150"/>
    </row>
    <row r="53" spans="1:6" ht="34" customHeight="1" x14ac:dyDescent="0.35">
      <c r="A53" s="149" t="s">
        <v>167</v>
      </c>
      <c r="B53" s="149"/>
      <c r="C53" s="150" t="s">
        <v>168</v>
      </c>
      <c r="D53" s="150"/>
      <c r="E53" s="150"/>
      <c r="F53" s="150"/>
    </row>
    <row r="56" spans="1:6" ht="22" customHeight="1" x14ac:dyDescent="0.35">
      <c r="A56" s="143" t="s">
        <v>144</v>
      </c>
      <c r="B56" s="143"/>
      <c r="C56" s="143"/>
      <c r="D56" s="143"/>
      <c r="E56" s="143"/>
      <c r="F56" s="143"/>
    </row>
    <row r="57" spans="1:6" ht="34" customHeight="1" x14ac:dyDescent="0.35">
      <c r="A57" s="155" t="s">
        <v>169</v>
      </c>
      <c r="B57" s="156"/>
      <c r="C57" s="156"/>
      <c r="D57" s="156"/>
      <c r="E57" s="156"/>
      <c r="F57" s="157"/>
    </row>
    <row r="58" spans="1:6" ht="34" customHeight="1" x14ac:dyDescent="0.35">
      <c r="A58" s="155" t="s">
        <v>170</v>
      </c>
      <c r="B58" s="156"/>
      <c r="C58" s="156"/>
      <c r="D58" s="156"/>
      <c r="E58" s="156"/>
      <c r="F58" s="157"/>
    </row>
    <row r="59" spans="1:6" ht="34" customHeight="1" x14ac:dyDescent="0.35">
      <c r="A59" s="155" t="s">
        <v>171</v>
      </c>
      <c r="B59" s="156"/>
      <c r="C59" s="156"/>
      <c r="D59" s="156"/>
      <c r="E59" s="156"/>
      <c r="F59" s="157"/>
    </row>
    <row r="60" spans="1:6" ht="34" customHeight="1" x14ac:dyDescent="0.35">
      <c r="A60" s="155" t="s">
        <v>172</v>
      </c>
      <c r="B60" s="156"/>
      <c r="C60" s="156"/>
      <c r="D60" s="156"/>
      <c r="E60" s="156"/>
      <c r="F60" s="157"/>
    </row>
    <row r="61" spans="1:6" ht="34" customHeight="1" x14ac:dyDescent="0.35">
      <c r="A61" s="155" t="s">
        <v>173</v>
      </c>
      <c r="B61" s="156"/>
      <c r="C61" s="156"/>
      <c r="D61" s="156"/>
      <c r="E61" s="156"/>
      <c r="F61" s="157"/>
    </row>
    <row r="62" spans="1:6" ht="34" customHeight="1" x14ac:dyDescent="0.35">
      <c r="A62" s="155" t="s">
        <v>174</v>
      </c>
      <c r="B62" s="156"/>
      <c r="C62" s="156"/>
      <c r="D62" s="156"/>
      <c r="E62" s="156"/>
      <c r="F62" s="157"/>
    </row>
  </sheetData>
  <mergeCells count="43">
    <mergeCell ref="A62:F62"/>
    <mergeCell ref="A57:F57"/>
    <mergeCell ref="A58:F58"/>
    <mergeCell ref="A59:F59"/>
    <mergeCell ref="A60:F60"/>
    <mergeCell ref="A61:F61"/>
    <mergeCell ref="A52:B52"/>
    <mergeCell ref="C52:F52"/>
    <mergeCell ref="A53:B53"/>
    <mergeCell ref="C53:F53"/>
    <mergeCell ref="A56:F56"/>
    <mergeCell ref="A49:B49"/>
    <mergeCell ref="C49:F49"/>
    <mergeCell ref="A50:B50"/>
    <mergeCell ref="C50:F50"/>
    <mergeCell ref="A51:B51"/>
    <mergeCell ref="C51:F51"/>
    <mergeCell ref="A46:B46"/>
    <mergeCell ref="C46:F46"/>
    <mergeCell ref="A47:B47"/>
    <mergeCell ref="C47:F47"/>
    <mergeCell ref="A48:B48"/>
    <mergeCell ref="C48:F48"/>
    <mergeCell ref="A42:B42"/>
    <mergeCell ref="C42:E42"/>
    <mergeCell ref="A43:B43"/>
    <mergeCell ref="C43:E43"/>
    <mergeCell ref="A45:F45"/>
    <mergeCell ref="A39:F39"/>
    <mergeCell ref="A40:B40"/>
    <mergeCell ref="C40:E40"/>
    <mergeCell ref="A41:B41"/>
    <mergeCell ref="C41:E41"/>
    <mergeCell ref="A33:F33"/>
    <mergeCell ref="A34:F34"/>
    <mergeCell ref="A35:F35"/>
    <mergeCell ref="A36:F36"/>
    <mergeCell ref="A37:F37"/>
    <mergeCell ref="A1:F1"/>
    <mergeCell ref="A2:F2"/>
    <mergeCell ref="A4:B4"/>
    <mergeCell ref="D4:F4"/>
    <mergeCell ref="A10:F10"/>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72A3E-0AF4-4219-BB47-5C73DAF5893C}">
  <dimension ref="A1:H381"/>
  <sheetViews>
    <sheetView workbookViewId="0">
      <selection activeCell="C77" sqref="C77"/>
    </sheetView>
  </sheetViews>
  <sheetFormatPr defaultRowHeight="14.5" x14ac:dyDescent="0.35"/>
  <cols>
    <col min="1" max="1" width="32.7265625" customWidth="1"/>
    <col min="2" max="2" width="21.453125" customWidth="1"/>
    <col min="3" max="3" width="22.7265625" customWidth="1"/>
    <col min="4" max="4" width="27.26953125" customWidth="1"/>
    <col min="5" max="5" width="22.7265625" customWidth="1"/>
    <col min="6" max="7" width="21.81640625" customWidth="1"/>
    <col min="8" max="8" width="30" customWidth="1"/>
    <col min="9" max="11" width="20" customWidth="1"/>
    <col min="12" max="12" width="10.90625" customWidth="1"/>
    <col min="14" max="20" width="13.6328125" customWidth="1"/>
  </cols>
  <sheetData>
    <row r="1" spans="1:8" ht="32" customHeight="1" x14ac:dyDescent="0.35">
      <c r="A1" s="192" t="s">
        <v>396</v>
      </c>
      <c r="B1" s="192"/>
      <c r="C1" s="192"/>
      <c r="D1" s="192"/>
      <c r="E1" s="192"/>
      <c r="F1" s="192"/>
      <c r="G1" s="192"/>
      <c r="H1" s="192"/>
    </row>
    <row r="2" spans="1:8" ht="28" customHeight="1" x14ac:dyDescent="0.35">
      <c r="A2" s="193" t="s">
        <v>397</v>
      </c>
      <c r="B2" s="193"/>
      <c r="C2" s="193"/>
      <c r="D2" s="193"/>
      <c r="E2" s="193"/>
      <c r="F2" s="193"/>
      <c r="G2" s="193"/>
      <c r="H2" s="193"/>
    </row>
    <row r="3" spans="1:8" ht="19" customHeight="1" x14ac:dyDescent="0.35">
      <c r="A3" s="79"/>
      <c r="B3" s="79"/>
      <c r="C3" s="79"/>
      <c r="D3" s="79"/>
      <c r="E3" s="79"/>
      <c r="F3" s="79"/>
      <c r="G3" s="79"/>
      <c r="H3" s="79"/>
    </row>
    <row r="4" spans="1:8" ht="23" customHeight="1" x14ac:dyDescent="0.35">
      <c r="A4" s="187" t="s">
        <v>349</v>
      </c>
      <c r="B4" s="187"/>
      <c r="C4" s="79"/>
      <c r="D4" s="187" t="s">
        <v>381</v>
      </c>
      <c r="E4" s="187"/>
      <c r="F4" s="79"/>
      <c r="G4" s="187" t="s">
        <v>384</v>
      </c>
      <c r="H4" s="187"/>
    </row>
    <row r="5" spans="1:8" ht="19" customHeight="1" x14ac:dyDescent="0.35">
      <c r="A5" s="80" t="s">
        <v>1</v>
      </c>
      <c r="B5" s="91">
        <v>10000000</v>
      </c>
      <c r="C5" s="79"/>
      <c r="D5" s="92" t="s">
        <v>10</v>
      </c>
      <c r="E5" s="102">
        <f>-PMT($B$6/1200,$B$7*12,$B$5)</f>
        <v>86782.323336553396</v>
      </c>
      <c r="F5" s="79"/>
      <c r="G5" s="92" t="s">
        <v>385</v>
      </c>
      <c r="H5" s="92" t="str">
        <f>$H$13</f>
        <v>Combination of All</v>
      </c>
    </row>
    <row r="6" spans="1:8" ht="19" customHeight="1" x14ac:dyDescent="0.35">
      <c r="A6" s="80" t="s">
        <v>350</v>
      </c>
      <c r="B6" s="86">
        <v>8.5</v>
      </c>
      <c r="C6" s="79"/>
      <c r="D6" s="92" t="s">
        <v>77</v>
      </c>
      <c r="E6" s="102">
        <f>SUM('Prepayment Engine'!$E$2:$E$361)</f>
        <v>10827757.600772809</v>
      </c>
      <c r="F6" s="79"/>
      <c r="G6" s="92" t="s">
        <v>386</v>
      </c>
      <c r="H6" s="104">
        <f>INDEX($D$21:$D$25,MATCH($H$13,$A$21:$A$25,0))</f>
        <v>205</v>
      </c>
    </row>
    <row r="7" spans="1:8" ht="19" customHeight="1" x14ac:dyDescent="0.35">
      <c r="A7" s="80" t="s">
        <v>351</v>
      </c>
      <c r="B7" s="85">
        <v>20</v>
      </c>
      <c r="C7" s="79"/>
      <c r="D7" s="92" t="s">
        <v>353</v>
      </c>
      <c r="E7" s="102">
        <f>$B$5+$E$6</f>
        <v>20827757.600772809</v>
      </c>
      <c r="F7" s="79"/>
      <c r="G7" s="92" t="s">
        <v>387</v>
      </c>
      <c r="H7" s="103">
        <f>$H$6/12</f>
        <v>17.083333333333332</v>
      </c>
    </row>
    <row r="8" spans="1:8" ht="19" customHeight="1" x14ac:dyDescent="0.35">
      <c r="A8" s="90" t="s">
        <v>363</v>
      </c>
      <c r="B8" s="91">
        <v>0</v>
      </c>
      <c r="C8" s="79"/>
      <c r="D8" s="92" t="s">
        <v>382</v>
      </c>
      <c r="E8" s="103">
        <f>$B$7</f>
        <v>20</v>
      </c>
      <c r="F8" s="79"/>
      <c r="G8" s="92" t="s">
        <v>77</v>
      </c>
      <c r="H8" s="102">
        <f>INDEX($F$21:$F$25,MATCH($H$13,$A$21:$A$25,0))</f>
        <v>7640818.9417113932</v>
      </c>
    </row>
    <row r="9" spans="1:8" ht="19" customHeight="1" x14ac:dyDescent="0.35">
      <c r="A9" s="90" t="s">
        <v>364</v>
      </c>
      <c r="B9" s="85">
        <v>1</v>
      </c>
      <c r="C9" s="79"/>
      <c r="D9" s="92" t="s">
        <v>383</v>
      </c>
      <c r="E9" s="104">
        <f>IFERROR(MATCH(0,'Prepayment Engine'!$H$2:$H$361,0),360)</f>
        <v>240</v>
      </c>
      <c r="F9" s="79"/>
      <c r="G9" s="92" t="s">
        <v>355</v>
      </c>
      <c r="H9" s="105">
        <f>INDEX($G$21:$G$25,MATCH($H$13,$A$21:$A$25,0))</f>
        <v>3186938.6590614161</v>
      </c>
    </row>
    <row r="10" spans="1:8" ht="23" customHeight="1" x14ac:dyDescent="0.35">
      <c r="A10" s="187" t="s">
        <v>365</v>
      </c>
      <c r="B10" s="187"/>
      <c r="C10" s="79"/>
      <c r="D10" s="187" t="s">
        <v>358</v>
      </c>
      <c r="E10" s="187"/>
      <c r="F10" s="79"/>
      <c r="G10" s="92" t="s">
        <v>354</v>
      </c>
      <c r="H10" s="106">
        <f>INDEX($H$21:$H$25,MATCH($H$13,$A$21:$A$25,0))</f>
        <v>1500000</v>
      </c>
    </row>
    <row r="11" spans="1:8" ht="19" customHeight="1" x14ac:dyDescent="0.35">
      <c r="A11" s="83" t="s">
        <v>366</v>
      </c>
      <c r="B11" s="83" t="s">
        <v>367</v>
      </c>
      <c r="C11" s="79"/>
      <c r="D11" s="84" t="s">
        <v>359</v>
      </c>
      <c r="E11" s="85">
        <v>61</v>
      </c>
      <c r="F11" s="79"/>
      <c r="G11" s="92" t="s">
        <v>388</v>
      </c>
      <c r="H11" s="102">
        <f>INDEX($C$21:$C$25,MATCH($H$13,$A$21:$A$25,0))</f>
        <v>77713.634667410894</v>
      </c>
    </row>
    <row r="12" spans="1:8" ht="19" customHeight="1" x14ac:dyDescent="0.35">
      <c r="A12" s="85">
        <v>12</v>
      </c>
      <c r="B12" s="91">
        <v>500000</v>
      </c>
      <c r="C12" s="79"/>
      <c r="D12" s="84" t="s">
        <v>360</v>
      </c>
      <c r="E12" s="86">
        <v>7.5</v>
      </c>
      <c r="F12" s="79"/>
      <c r="G12" s="79"/>
      <c r="H12" s="79"/>
    </row>
    <row r="13" spans="1:8" ht="19" customHeight="1" x14ac:dyDescent="0.35">
      <c r="A13" s="85">
        <v>36</v>
      </c>
      <c r="B13" s="91">
        <v>500000</v>
      </c>
      <c r="C13" s="79"/>
      <c r="D13" s="84" t="s">
        <v>361</v>
      </c>
      <c r="E13" s="87" t="s">
        <v>362</v>
      </c>
      <c r="F13" s="79"/>
      <c r="G13" s="84" t="s">
        <v>370</v>
      </c>
      <c r="H13" s="87" t="s">
        <v>371</v>
      </c>
    </row>
    <row r="14" spans="1:8" ht="19" customHeight="1" x14ac:dyDescent="0.35">
      <c r="A14" s="85">
        <v>60</v>
      </c>
      <c r="B14" s="91">
        <v>500000</v>
      </c>
      <c r="C14" s="79"/>
      <c r="D14" s="84"/>
      <c r="E14" s="87"/>
      <c r="F14" s="79"/>
      <c r="G14" s="79"/>
      <c r="H14" s="79"/>
    </row>
    <row r="15" spans="1:8" ht="19" customHeight="1" x14ac:dyDescent="0.35">
      <c r="A15" s="85">
        <v>0</v>
      </c>
      <c r="B15" s="91">
        <v>0</v>
      </c>
      <c r="C15" s="79"/>
      <c r="D15" s="84" t="s">
        <v>352</v>
      </c>
      <c r="E15" s="87" t="s">
        <v>356</v>
      </c>
      <c r="F15" s="79"/>
      <c r="G15" s="79"/>
      <c r="H15" s="79"/>
    </row>
    <row r="16" spans="1:8" ht="19" customHeight="1" x14ac:dyDescent="0.35">
      <c r="A16" s="85">
        <v>0</v>
      </c>
      <c r="B16" s="91">
        <v>0</v>
      </c>
      <c r="C16" s="79"/>
      <c r="D16" s="84" t="s">
        <v>368</v>
      </c>
      <c r="E16" s="85">
        <v>240</v>
      </c>
      <c r="F16" s="79"/>
      <c r="G16" s="79"/>
      <c r="H16" s="79"/>
    </row>
    <row r="17" spans="1:8" ht="19" customHeight="1" x14ac:dyDescent="0.35">
      <c r="A17" s="79"/>
      <c r="B17" s="79"/>
      <c r="C17" s="79"/>
      <c r="D17" s="84"/>
      <c r="E17" s="87"/>
      <c r="F17" s="79"/>
      <c r="G17" s="79"/>
      <c r="H17" s="79"/>
    </row>
    <row r="18" spans="1:8" ht="19" customHeight="1" x14ac:dyDescent="0.35">
      <c r="A18" s="79"/>
      <c r="B18" s="79"/>
      <c r="C18" s="79"/>
      <c r="D18" s="79"/>
      <c r="E18" s="79"/>
      <c r="F18" s="79"/>
      <c r="G18" s="79"/>
      <c r="H18" s="79"/>
    </row>
    <row r="19" spans="1:8" ht="23" customHeight="1" x14ac:dyDescent="0.35">
      <c r="A19" s="187" t="s">
        <v>389</v>
      </c>
      <c r="B19" s="187"/>
      <c r="C19" s="187"/>
      <c r="D19" s="187"/>
      <c r="E19" s="187"/>
      <c r="F19" s="187"/>
      <c r="G19" s="187"/>
      <c r="H19" s="187"/>
    </row>
    <row r="20" spans="1:8" ht="31" customHeight="1" x14ac:dyDescent="0.35">
      <c r="A20" s="93" t="s">
        <v>390</v>
      </c>
      <c r="B20" s="94" t="s">
        <v>391</v>
      </c>
      <c r="C20" s="94" t="s">
        <v>388</v>
      </c>
      <c r="D20" s="94" t="s">
        <v>386</v>
      </c>
      <c r="E20" s="94" t="s">
        <v>387</v>
      </c>
      <c r="F20" s="94" t="s">
        <v>77</v>
      </c>
      <c r="G20" s="94" t="s">
        <v>392</v>
      </c>
      <c r="H20" s="95" t="s">
        <v>354</v>
      </c>
    </row>
    <row r="21" spans="1:8" ht="19" customHeight="1" x14ac:dyDescent="0.35">
      <c r="A21" s="98" t="s">
        <v>372</v>
      </c>
      <c r="B21" s="107">
        <f>'Prepayment Engine'!$D$2</f>
        <v>86782.323336553396</v>
      </c>
      <c r="C21" s="107" t="s">
        <v>393</v>
      </c>
      <c r="D21" s="110" cm="1">
        <f t="array" ref="D21">IFERROR(_xlfn.XMATCH(TRUE,'Prepayment Engine'!$H$2:$H$361&lt;=0.01,0),360)</f>
        <v>240</v>
      </c>
      <c r="E21" s="113">
        <f>D21/12</f>
        <v>20</v>
      </c>
      <c r="F21" s="107">
        <f>SUM('Prepayment Engine'!$E$2:$E$361)</f>
        <v>10827757.600772809</v>
      </c>
      <c r="G21" s="115">
        <f>$F$21-F21</f>
        <v>0</v>
      </c>
      <c r="H21" s="116">
        <f>SUM('Prepayment Engine'!$G$2:$G$361)</f>
        <v>0</v>
      </c>
    </row>
    <row r="22" spans="1:8" ht="19" customHeight="1" x14ac:dyDescent="0.35">
      <c r="A22" s="99" t="s">
        <v>378</v>
      </c>
      <c r="B22" s="108">
        <f>'Prepayment Engine'!$L$2</f>
        <v>86782.323336553396</v>
      </c>
      <c r="C22" s="108" t="s">
        <v>393</v>
      </c>
      <c r="D22" s="111" cm="1">
        <f t="array" ref="D22">IFERROR(_xlfn.XMATCH(TRUE,'Prepayment Engine'!$P$2:$P$361&lt;=0.01,0),360)</f>
        <v>240</v>
      </c>
      <c r="E22" s="100">
        <f>D22/12</f>
        <v>20</v>
      </c>
      <c r="F22" s="108">
        <f>SUM('Prepayment Engine'!$M$2:$M$361)</f>
        <v>9485226.0344449673</v>
      </c>
      <c r="G22" s="117">
        <f>$F$21-F22</f>
        <v>1342531.566327842</v>
      </c>
      <c r="H22" s="118">
        <f>SUM('Prepayment Engine'!$O$2:$O$361)</f>
        <v>1500000</v>
      </c>
    </row>
    <row r="23" spans="1:8" ht="19" customHeight="1" x14ac:dyDescent="0.35">
      <c r="A23" s="99" t="s">
        <v>379</v>
      </c>
      <c r="B23" s="108">
        <f>'Prepayment Engine'!$T$2</f>
        <v>86782.323336553396</v>
      </c>
      <c r="C23" s="108" t="s">
        <v>393</v>
      </c>
      <c r="D23" s="111" cm="1">
        <f t="array" ref="D23">IFERROR(_xlfn.XMATCH(TRUE,'Prepayment Engine'!$X$2:$X$361&lt;=0.01,0),360)</f>
        <v>240</v>
      </c>
      <c r="E23" s="100">
        <f>D23/12</f>
        <v>20</v>
      </c>
      <c r="F23" s="108">
        <f>SUM('Prepayment Engine'!$U$2:$U$361)</f>
        <v>10827757.600772809</v>
      </c>
      <c r="G23" s="117">
        <f>$F$21-F23</f>
        <v>0</v>
      </c>
      <c r="H23" s="118">
        <f>SUM('Prepayment Engine'!$W$2:$W$361)</f>
        <v>0</v>
      </c>
    </row>
    <row r="24" spans="1:8" ht="19" customHeight="1" x14ac:dyDescent="0.35">
      <c r="A24" s="99" t="s">
        <v>380</v>
      </c>
      <c r="B24" s="108">
        <f>'Prepayment Engine'!$AB$2</f>
        <v>86782.323336553396</v>
      </c>
      <c r="C24" s="108" cm="1">
        <f t="array" ref="C24">INDEX('Prepayment Engine'!$AB$2:$AB$361,$E$11)</f>
        <v>86782.323336553396</v>
      </c>
      <c r="D24" s="111" cm="1">
        <f t="array" ref="D24">IFERROR(_xlfn.XMATCH(TRUE,'Prepayment Engine'!$AF$2:$AF$361&lt;=0.01,0),360)</f>
        <v>222</v>
      </c>
      <c r="E24" s="100">
        <f>D24/12</f>
        <v>18.5</v>
      </c>
      <c r="F24" s="108">
        <f>SUM('Prepayment Engine'!$AC$2:$AC$361)</f>
        <v>9232976.9015736897</v>
      </c>
      <c r="G24" s="117">
        <f>$F$21-F24</f>
        <v>1594780.6991991196</v>
      </c>
      <c r="H24" s="118">
        <f>SUM('Prepayment Engine'!$AE$2:$AE$361)</f>
        <v>0</v>
      </c>
    </row>
    <row r="25" spans="1:8" ht="19" customHeight="1" x14ac:dyDescent="0.35">
      <c r="A25" s="101" t="s">
        <v>371</v>
      </c>
      <c r="B25" s="109">
        <f>'Prepayment Engine'!$AJ$2</f>
        <v>86782.323336553396</v>
      </c>
      <c r="C25" s="109" cm="1">
        <f t="array" ref="C25">INDEX('Prepayment Engine'!$AJ$2:$AJ$361,$E$11)</f>
        <v>77713.634667410894</v>
      </c>
      <c r="D25" s="112" cm="1">
        <f t="array" ref="D25">IFERROR(_xlfn.XMATCH(TRUE,'Prepayment Engine'!$AN$2:$AN$361&lt;=0.01,0),360)</f>
        <v>205</v>
      </c>
      <c r="E25" s="114">
        <f>D25/12</f>
        <v>17.083333333333332</v>
      </c>
      <c r="F25" s="109">
        <f>SUM('Prepayment Engine'!$AK$2:$AK$361)</f>
        <v>7640818.9417113932</v>
      </c>
      <c r="G25" s="109">
        <f>$F$21-F25</f>
        <v>3186938.6590614161</v>
      </c>
      <c r="H25" s="109">
        <f>SUM('Prepayment Engine'!$AM$2:$AM$361)</f>
        <v>1500000</v>
      </c>
    </row>
    <row r="26" spans="1:8" ht="19" customHeight="1" x14ac:dyDescent="0.35">
      <c r="A26" s="79"/>
      <c r="B26" s="79"/>
      <c r="C26" s="79"/>
      <c r="D26" s="79"/>
      <c r="E26" s="79"/>
      <c r="F26" s="79"/>
      <c r="G26" s="79"/>
      <c r="H26" s="79"/>
    </row>
    <row r="27" spans="1:8" ht="19" customHeight="1" x14ac:dyDescent="0.35">
      <c r="A27" s="79"/>
      <c r="B27" s="79"/>
      <c r="C27" s="79"/>
      <c r="D27" s="79"/>
      <c r="E27" s="79"/>
      <c r="F27" s="79"/>
      <c r="G27" s="79"/>
      <c r="H27" s="79"/>
    </row>
    <row r="28" spans="1:8" ht="19" customHeight="1" x14ac:dyDescent="0.35">
      <c r="A28" s="79"/>
      <c r="B28" s="79"/>
      <c r="C28" s="79"/>
      <c r="D28" s="79"/>
      <c r="E28" s="79"/>
      <c r="F28" s="79"/>
      <c r="G28" s="79"/>
      <c r="H28" s="79"/>
    </row>
    <row r="29" spans="1:8" ht="23" customHeight="1" x14ac:dyDescent="0.35">
      <c r="A29" s="187" t="s">
        <v>189</v>
      </c>
      <c r="B29" s="187"/>
      <c r="C29" s="187"/>
      <c r="D29" s="187"/>
      <c r="E29" s="187"/>
      <c r="F29" s="187"/>
      <c r="G29" s="187"/>
      <c r="H29" s="187"/>
    </row>
    <row r="30" spans="1:8" s="23" customFormat="1" ht="58" customHeight="1" x14ac:dyDescent="0.35">
      <c r="A30" s="189" t="s">
        <v>398</v>
      </c>
      <c r="B30" s="189"/>
      <c r="C30" s="189"/>
      <c r="D30" s="189"/>
      <c r="E30" s="189"/>
      <c r="F30" s="189"/>
      <c r="G30" s="189"/>
      <c r="H30" s="189"/>
    </row>
    <row r="31" spans="1:8" s="23" customFormat="1" ht="19" customHeight="1" x14ac:dyDescent="0.35">
      <c r="A31" s="190"/>
      <c r="B31" s="190"/>
      <c r="C31" s="190"/>
      <c r="D31" s="190"/>
      <c r="E31" s="190"/>
      <c r="F31" s="190"/>
      <c r="G31" s="190"/>
      <c r="H31" s="190"/>
    </row>
    <row r="32" spans="1:8" s="23" customFormat="1" ht="19" customHeight="1" x14ac:dyDescent="0.35">
      <c r="A32" s="190"/>
      <c r="B32" s="190"/>
      <c r="C32" s="190"/>
      <c r="D32" s="190"/>
      <c r="E32" s="190"/>
      <c r="F32" s="190"/>
      <c r="G32" s="190"/>
      <c r="H32" s="190"/>
    </row>
    <row r="33" spans="1:8" s="23" customFormat="1" ht="19" customHeight="1" x14ac:dyDescent="0.35">
      <c r="A33" s="190"/>
      <c r="B33" s="190"/>
      <c r="C33" s="190"/>
      <c r="D33" s="190"/>
      <c r="E33" s="190"/>
      <c r="F33" s="190"/>
      <c r="G33" s="190"/>
      <c r="H33" s="190"/>
    </row>
    <row r="34" spans="1:8" s="23" customFormat="1" ht="19" customHeight="1" x14ac:dyDescent="0.35">
      <c r="A34" s="190"/>
      <c r="B34" s="190"/>
      <c r="C34" s="190"/>
      <c r="D34" s="190"/>
      <c r="E34" s="190"/>
      <c r="F34" s="190"/>
      <c r="G34" s="190"/>
      <c r="H34" s="190"/>
    </row>
    <row r="35" spans="1:8" s="23" customFormat="1" ht="19" customHeight="1" x14ac:dyDescent="0.35">
      <c r="A35" s="190"/>
      <c r="B35" s="190"/>
      <c r="C35" s="190"/>
      <c r="D35" s="190"/>
      <c r="E35" s="190"/>
      <c r="F35" s="190"/>
      <c r="G35" s="190"/>
      <c r="H35" s="190"/>
    </row>
    <row r="36" spans="1:8" ht="19" customHeight="1" x14ac:dyDescent="0.35">
      <c r="A36" s="79"/>
      <c r="B36" s="79"/>
      <c r="C36" s="79"/>
      <c r="D36" s="79"/>
      <c r="E36" s="79"/>
      <c r="F36" s="79"/>
      <c r="G36" s="79"/>
      <c r="H36" s="79"/>
    </row>
    <row r="37" spans="1:8" ht="19" customHeight="1" x14ac:dyDescent="0.35">
      <c r="A37" s="79"/>
      <c r="B37" s="79"/>
      <c r="C37" s="79"/>
      <c r="D37" s="79"/>
      <c r="E37" s="79"/>
      <c r="F37" s="79"/>
      <c r="G37" s="79"/>
      <c r="H37" s="79"/>
    </row>
    <row r="38" spans="1:8" ht="19" customHeight="1" x14ac:dyDescent="0.35">
      <c r="A38" s="188" t="s">
        <v>144</v>
      </c>
      <c r="B38" s="188"/>
      <c r="C38" s="188"/>
      <c r="D38" s="188"/>
      <c r="E38" s="188"/>
      <c r="F38" s="188"/>
      <c r="G38" s="188"/>
      <c r="H38" s="188"/>
    </row>
    <row r="39" spans="1:8" s="23" customFormat="1" ht="23" customHeight="1" x14ac:dyDescent="0.35">
      <c r="A39" s="191" t="s">
        <v>369</v>
      </c>
      <c r="B39" s="191"/>
      <c r="C39" s="191"/>
      <c r="D39" s="191"/>
      <c r="E39" s="191"/>
      <c r="F39" s="191"/>
      <c r="G39" s="191"/>
      <c r="H39" s="191"/>
    </row>
    <row r="40" spans="1:8" s="23" customFormat="1" ht="48" customHeight="1" x14ac:dyDescent="0.35">
      <c r="A40" s="189"/>
      <c r="B40" s="189"/>
      <c r="C40" s="189"/>
      <c r="D40" s="189"/>
      <c r="E40" s="189"/>
      <c r="F40" s="189"/>
      <c r="G40" s="189"/>
      <c r="H40" s="189"/>
    </row>
    <row r="41" spans="1:8" s="23" customFormat="1" ht="19" customHeight="1" x14ac:dyDescent="0.35">
      <c r="A41" s="190"/>
      <c r="B41" s="190"/>
      <c r="C41" s="190"/>
      <c r="D41" s="190"/>
      <c r="E41" s="190"/>
      <c r="F41" s="190"/>
      <c r="G41" s="190"/>
      <c r="H41" s="190"/>
    </row>
    <row r="42" spans="1:8" s="23" customFormat="1" ht="19" customHeight="1" x14ac:dyDescent="0.35">
      <c r="A42" s="190"/>
      <c r="B42" s="190"/>
      <c r="C42" s="190"/>
      <c r="D42" s="190"/>
      <c r="E42" s="190"/>
      <c r="F42" s="190"/>
      <c r="G42" s="190"/>
      <c r="H42" s="190"/>
    </row>
    <row r="43" spans="1:8" s="23" customFormat="1" ht="19" customHeight="1" x14ac:dyDescent="0.35">
      <c r="A43" s="190"/>
      <c r="B43" s="190"/>
      <c r="C43" s="190"/>
      <c r="D43" s="190"/>
      <c r="E43" s="190"/>
      <c r="F43" s="190"/>
      <c r="G43" s="190"/>
      <c r="H43" s="190"/>
    </row>
    <row r="44" spans="1:8" s="23" customFormat="1" ht="19" customHeight="1" x14ac:dyDescent="0.35">
      <c r="A44" s="190"/>
      <c r="B44" s="190"/>
      <c r="C44" s="190"/>
      <c r="D44" s="190"/>
      <c r="E44" s="190"/>
      <c r="F44" s="190"/>
      <c r="G44" s="190"/>
      <c r="H44" s="190"/>
    </row>
    <row r="45" spans="1:8" ht="19" customHeight="1" x14ac:dyDescent="0.35">
      <c r="A45" s="79"/>
      <c r="B45" s="79"/>
      <c r="C45" s="79"/>
      <c r="D45" s="79"/>
      <c r="E45" s="79"/>
      <c r="F45" s="79"/>
      <c r="G45" s="79"/>
      <c r="H45" s="79"/>
    </row>
    <row r="46" spans="1:8" ht="19" customHeight="1" x14ac:dyDescent="0.35">
      <c r="A46" s="79"/>
      <c r="B46" s="79"/>
      <c r="C46" s="79"/>
      <c r="D46" s="79"/>
      <c r="E46" s="79"/>
      <c r="F46" s="79"/>
      <c r="G46" s="79"/>
      <c r="H46" s="79"/>
    </row>
    <row r="47" spans="1:8" ht="19" customHeight="1" x14ac:dyDescent="0.35">
      <c r="A47" s="188" t="s">
        <v>357</v>
      </c>
      <c r="B47" s="188"/>
      <c r="C47" s="188"/>
      <c r="D47" s="188"/>
      <c r="E47" s="188"/>
      <c r="F47" s="188"/>
      <c r="G47" s="188"/>
      <c r="H47" s="188"/>
    </row>
    <row r="48" spans="1:8" ht="23" customHeight="1" x14ac:dyDescent="0.35">
      <c r="A48" s="187" t="s">
        <v>394</v>
      </c>
      <c r="B48" s="187"/>
      <c r="C48" s="187"/>
      <c r="D48" s="187"/>
      <c r="E48" s="187"/>
      <c r="F48" s="187"/>
      <c r="G48" s="187"/>
      <c r="H48" s="187"/>
    </row>
    <row r="49" spans="1:8" ht="31" customHeight="1" x14ac:dyDescent="0.35">
      <c r="A49" s="96" t="s">
        <v>80</v>
      </c>
      <c r="B49" s="97" t="s">
        <v>81</v>
      </c>
      <c r="C49" s="97" t="s">
        <v>395</v>
      </c>
      <c r="D49" s="97" t="s">
        <v>82</v>
      </c>
      <c r="E49" s="97" t="s">
        <v>84</v>
      </c>
      <c r="F49" s="97" t="s">
        <v>83</v>
      </c>
      <c r="G49" s="97" t="s">
        <v>377</v>
      </c>
      <c r="H49" s="97" t="s">
        <v>85</v>
      </c>
    </row>
    <row r="50" spans="1:8" ht="19" customHeight="1" x14ac:dyDescent="0.35">
      <c r="A50" s="88">
        <v>1</v>
      </c>
      <c r="B50" s="119" cm="1">
        <f t="array" ref="B50">IF((A50-1)*12&lt;$H$6,INDEX('Prepayment Engine'!$A$2:$AN$361,(A50-1)*12+1,MATCH($H$13,'Prepayment Engine'!$A$1:$AN$1,0)+1),"")</f>
        <v>10000000</v>
      </c>
      <c r="C50" s="121" cm="1">
        <f t="array" ref="C50">IF((A50-1)*12&lt;$H$6,INDEX('Prepayment Engine'!$A$2:$AN$361,MIN(A50*12,$H$6),MATCH($H$13,'Prepayment Engine'!$A$1:$AN$1,0)+2),"")</f>
        <v>8.5</v>
      </c>
      <c r="D50" s="119">
        <f>IF((A50-1)*12&lt;$H$6,SUM(INDEX('Prepayment Engine'!$A$2:$AN$361,(A50-1)*12+1,MATCH($H$13,'Prepayment Engine'!$A$1:$AN$1,0)+3):INDEX('Prepayment Engine'!$A$2:$AN$361,MIN(A50*12,$H$6),MATCH($H$13,'Prepayment Engine'!$A$1:$AN$1,0)+3)),"")</f>
        <v>1041387.8800386408</v>
      </c>
      <c r="E50" s="119">
        <f>IF((A50-1)*12&lt;$H$6,SUM(INDEX('Prepayment Engine'!$A$2:$AN$361,(A50-1)*12+1,MATCH($H$13,'Prepayment Engine'!$A$1:$AN$1,0)+4):INDEX('Prepayment Engine'!$A$2:$AN$361,MIN(A50*12,$H$6),MATCH($H$13,'Prepayment Engine'!$A$1:$AN$1,0)+4)),"")</f>
        <v>842364.96129174135</v>
      </c>
      <c r="F50" s="119">
        <f>IF((A50-1)*12&lt;$H$6,SUM(INDEX('Prepayment Engine'!$A$2:$AN$361,(A50-1)*12+1,MATCH($H$13,'Prepayment Engine'!$A$1:$AN$1,0)+5):INDEX('Prepayment Engine'!$A$2:$AN$361,MIN(A50*12,$H$6),MATCH($H$13,'Prepayment Engine'!$A$1:$AN$1,0)+5)),"")</f>
        <v>199022.91874689935</v>
      </c>
      <c r="G50" s="119">
        <f>IF((A50-1)*12&lt;$H$6,SUM(INDEX('Prepayment Engine'!$A$2:$AN$361,(A50-1)*12+1,MATCH($H$13,'Prepayment Engine'!$A$1:$AN$1,0)+6):INDEX('Prepayment Engine'!$A$2:$AN$361,MIN(A50*12,$H$6),MATCH($H$13,'Prepayment Engine'!$A$1:$AN$1,0)+6)),"")</f>
        <v>500000</v>
      </c>
      <c r="H50" s="119" cm="1">
        <f t="array" ref="H50">IF((A50-1)*12&lt;$H$6,INDEX('Prepayment Engine'!$A$2:$AN$361,MIN(A50*12,$H$6),MATCH($H$13,'Prepayment Engine'!$A$1:$AN$1,0)+7),"")</f>
        <v>9300977.0812531002</v>
      </c>
    </row>
    <row r="51" spans="1:8" ht="19" customHeight="1" x14ac:dyDescent="0.35">
      <c r="A51" s="88">
        <f>A50+1</f>
        <v>2</v>
      </c>
      <c r="B51" s="119" cm="1">
        <f t="array" ref="B51">IF((A51-1)*12&lt;$H$6,INDEX('Prepayment Engine'!$A$2:$AN$361,(A51-1)*12+1,MATCH($H$13,'Prepayment Engine'!$A$1:$AN$1,0)+1),"")</f>
        <v>9300977.0812531002</v>
      </c>
      <c r="C51" s="121" cm="1">
        <f t="array" ref="C51">IF((A51-1)*12&lt;$H$6,INDEX('Prepayment Engine'!$A$2:$AN$361,MIN(A51*12,$H$6),MATCH($H$13,'Prepayment Engine'!$A$1:$AN$1,0)+2),"")</f>
        <v>8.5</v>
      </c>
      <c r="D51" s="119">
        <f>IF((A51-1)*12&lt;$H$6,SUM(INDEX('Prepayment Engine'!$A$2:$AN$361,(A51-1)*12+1,MATCH($H$13,'Prepayment Engine'!$A$1:$AN$1,0)+3):INDEX('Prepayment Engine'!$A$2:$AN$361,MIN(A51*12,$H$6),MATCH($H$13,'Prepayment Engine'!$A$1:$AN$1,0)+3)),"")</f>
        <v>988261.14219376992</v>
      </c>
      <c r="E51" s="119">
        <f>IF((A51-1)*12&lt;$H$6,SUM(INDEX('Prepayment Engine'!$A$2:$AN$361,(A51-1)*12+1,MATCH($H$13,'Prepayment Engine'!$A$1:$AN$1,0)+4):INDEX('Prepayment Engine'!$A$2:$AN$361,MIN(A51*12,$H$6),MATCH($H$13,'Prepayment Engine'!$A$1:$AN$1,0)+4)),"")</f>
        <v>782697.07777474984</v>
      </c>
      <c r="F51" s="119">
        <f>IF((A51-1)*12&lt;$H$6,SUM(INDEX('Prepayment Engine'!$A$2:$AN$361,(A51-1)*12+1,MATCH($H$13,'Prepayment Engine'!$A$1:$AN$1,0)+5):INDEX('Prepayment Engine'!$A$2:$AN$361,MIN(A51*12,$H$6),MATCH($H$13,'Prepayment Engine'!$A$1:$AN$1,0)+5)),"")</f>
        <v>205564.06441902011</v>
      </c>
      <c r="G51" s="119">
        <f>IF((A51-1)*12&lt;$H$6,SUM(INDEX('Prepayment Engine'!$A$2:$AN$361,(A51-1)*12+1,MATCH($H$13,'Prepayment Engine'!$A$1:$AN$1,0)+6):INDEX('Prepayment Engine'!$A$2:$AN$361,MIN(A51*12,$H$6),MATCH($H$13,'Prepayment Engine'!$A$1:$AN$1,0)+6)),"")</f>
        <v>0</v>
      </c>
      <c r="H51" s="119" cm="1">
        <f t="array" ref="H51">IF((A51-1)*12&lt;$H$6,INDEX('Prepayment Engine'!$A$2:$AN$361,MIN(A51*12,$H$6),MATCH($H$13,'Prepayment Engine'!$A$1:$AN$1,0)+7),"")</f>
        <v>9095413.0168340821</v>
      </c>
    </row>
    <row r="52" spans="1:8" ht="19" customHeight="1" x14ac:dyDescent="0.35">
      <c r="A52" s="88">
        <f t="shared" ref="A52:A79" si="0">A51+1</f>
        <v>3</v>
      </c>
      <c r="B52" s="119" cm="1">
        <f t="array" ref="B52">IF((A52-1)*12&lt;$H$6,INDEX('Prepayment Engine'!$A$2:$AN$361,(A52-1)*12+1,MATCH($H$13,'Prepayment Engine'!$A$1:$AN$1,0)+1),"")</f>
        <v>9095413.0168340821</v>
      </c>
      <c r="C52" s="121" cm="1">
        <f t="array" ref="C52">IF((A52-1)*12&lt;$H$6,INDEX('Prepayment Engine'!$A$2:$AN$361,MIN(A52*12,$H$6),MATCH($H$13,'Prepayment Engine'!$A$1:$AN$1,0)+2),"")</f>
        <v>8.5</v>
      </c>
      <c r="D52" s="119">
        <f>IF((A52-1)*12&lt;$H$6,SUM(INDEX('Prepayment Engine'!$A$2:$AN$361,(A52-1)*12+1,MATCH($H$13,'Prepayment Engine'!$A$1:$AN$1,0)+3):INDEX('Prepayment Engine'!$A$2:$AN$361,MIN(A52*12,$H$6),MATCH($H$13,'Prepayment Engine'!$A$1:$AN$1,0)+3)),"")</f>
        <v>988261.14219376992</v>
      </c>
      <c r="E52" s="119">
        <f>IF((A52-1)*12&lt;$H$6,SUM(INDEX('Prepayment Engine'!$A$2:$AN$361,(A52-1)*12+1,MATCH($H$13,'Prepayment Engine'!$A$1:$AN$1,0)+4):INDEX('Prepayment Engine'!$A$2:$AN$361,MIN(A52*12,$H$6),MATCH($H$13,'Prepayment Engine'!$A$1:$AN$1,0)+4)),"")</f>
        <v>764527.08390178054</v>
      </c>
      <c r="F52" s="119">
        <f>IF((A52-1)*12&lt;$H$6,SUM(INDEX('Prepayment Engine'!$A$2:$AN$361,(A52-1)*12+1,MATCH($H$13,'Prepayment Engine'!$A$1:$AN$1,0)+5):INDEX('Prepayment Engine'!$A$2:$AN$361,MIN(A52*12,$H$6),MATCH($H$13,'Prepayment Engine'!$A$1:$AN$1,0)+5)),"")</f>
        <v>223734.05829198929</v>
      </c>
      <c r="G52" s="119">
        <f>IF((A52-1)*12&lt;$H$6,SUM(INDEX('Prepayment Engine'!$A$2:$AN$361,(A52-1)*12+1,MATCH($H$13,'Prepayment Engine'!$A$1:$AN$1,0)+6):INDEX('Prepayment Engine'!$A$2:$AN$361,MIN(A52*12,$H$6),MATCH($H$13,'Prepayment Engine'!$A$1:$AN$1,0)+6)),"")</f>
        <v>500000</v>
      </c>
      <c r="H52" s="119" cm="1">
        <f t="array" ref="H52">IF((A52-1)*12&lt;$H$6,INDEX('Prepayment Engine'!$A$2:$AN$361,MIN(A52*12,$H$6),MATCH($H$13,'Prepayment Engine'!$A$1:$AN$1,0)+7),"")</f>
        <v>8371678.9585420918</v>
      </c>
    </row>
    <row r="53" spans="1:8" ht="19" customHeight="1" x14ac:dyDescent="0.35">
      <c r="A53" s="88">
        <f t="shared" si="0"/>
        <v>4</v>
      </c>
      <c r="B53" s="119" cm="1">
        <f t="array" ref="B53">IF((A53-1)*12&lt;$H$6,INDEX('Prepayment Engine'!$A$2:$AN$361,(A53-1)*12+1,MATCH($H$13,'Prepayment Engine'!$A$1:$AN$1,0)+1),"")</f>
        <v>8371678.9585420918</v>
      </c>
      <c r="C53" s="121" cm="1">
        <f t="array" ref="C53">IF((A53-1)*12&lt;$H$6,INDEX('Prepayment Engine'!$A$2:$AN$361,MIN(A53*12,$H$6),MATCH($H$13,'Prepayment Engine'!$A$1:$AN$1,0)+2),"")</f>
        <v>8.5</v>
      </c>
      <c r="D53" s="119">
        <f>IF((A53-1)*12&lt;$H$6,SUM(INDEX('Prepayment Engine'!$A$2:$AN$361,(A53-1)*12+1,MATCH($H$13,'Prepayment Engine'!$A$1:$AN$1,0)+3):INDEX('Prepayment Engine'!$A$2:$AN$361,MIN(A53*12,$H$6),MATCH($H$13,'Prepayment Engine'!$A$1:$AN$1,0)+3)),"")</f>
        <v>932563.61600893049</v>
      </c>
      <c r="E53" s="119">
        <f>IF((A53-1)*12&lt;$H$6,SUM(INDEX('Prepayment Engine'!$A$2:$AN$361,(A53-1)*12+1,MATCH($H$13,'Prepayment Engine'!$A$1:$AN$1,0)+4):INDEX('Prepayment Engine'!$A$2:$AN$361,MIN(A53*12,$H$6),MATCH($H$13,'Prepayment Engine'!$A$1:$AN$1,0)+4)),"")</f>
        <v>702777.51686100289</v>
      </c>
      <c r="F53" s="119">
        <f>IF((A53-1)*12&lt;$H$6,SUM(INDEX('Prepayment Engine'!$A$2:$AN$361,(A53-1)*12+1,MATCH($H$13,'Prepayment Engine'!$A$1:$AN$1,0)+5):INDEX('Prepayment Engine'!$A$2:$AN$361,MIN(A53*12,$H$6),MATCH($H$13,'Prepayment Engine'!$A$1:$AN$1,0)+5)),"")</f>
        <v>229786.09914792783</v>
      </c>
      <c r="G53" s="119">
        <f>IF((A53-1)*12&lt;$H$6,SUM(INDEX('Prepayment Engine'!$A$2:$AN$361,(A53-1)*12+1,MATCH($H$13,'Prepayment Engine'!$A$1:$AN$1,0)+6):INDEX('Prepayment Engine'!$A$2:$AN$361,MIN(A53*12,$H$6),MATCH($H$13,'Prepayment Engine'!$A$1:$AN$1,0)+6)),"")</f>
        <v>0</v>
      </c>
      <c r="H53" s="119" cm="1">
        <f t="array" ref="H53">IF((A53-1)*12&lt;$H$6,INDEX('Prepayment Engine'!$A$2:$AN$361,MIN(A53*12,$H$6),MATCH($H$13,'Prepayment Engine'!$A$1:$AN$1,0)+7),"")</f>
        <v>8141892.8593941638</v>
      </c>
    </row>
    <row r="54" spans="1:8" ht="19" customHeight="1" x14ac:dyDescent="0.35">
      <c r="A54" s="88">
        <f t="shared" si="0"/>
        <v>5</v>
      </c>
      <c r="B54" s="119" cm="1">
        <f t="array" ref="B54">IF((A54-1)*12&lt;$H$6,INDEX('Prepayment Engine'!$A$2:$AN$361,(A54-1)*12+1,MATCH($H$13,'Prepayment Engine'!$A$1:$AN$1,0)+1),"")</f>
        <v>8141892.8593941638</v>
      </c>
      <c r="C54" s="121" cm="1">
        <f t="array" ref="C54">IF((A54-1)*12&lt;$H$6,INDEX('Prepayment Engine'!$A$2:$AN$361,MIN(A54*12,$H$6),MATCH($H$13,'Prepayment Engine'!$A$1:$AN$1,0)+2),"")</f>
        <v>8.5</v>
      </c>
      <c r="D54" s="119">
        <f>IF((A54-1)*12&lt;$H$6,SUM(INDEX('Prepayment Engine'!$A$2:$AN$361,(A54-1)*12+1,MATCH($H$13,'Prepayment Engine'!$A$1:$AN$1,0)+3):INDEX('Prepayment Engine'!$A$2:$AN$361,MIN(A54*12,$H$6),MATCH($H$13,'Prepayment Engine'!$A$1:$AN$1,0)+3)),"")</f>
        <v>932563.61600893049</v>
      </c>
      <c r="E54" s="119">
        <f>IF((A54-1)*12&lt;$H$6,SUM(INDEX('Prepayment Engine'!$A$2:$AN$361,(A54-1)*12+1,MATCH($H$13,'Prepayment Engine'!$A$1:$AN$1,0)+4):INDEX('Prepayment Engine'!$A$2:$AN$361,MIN(A54*12,$H$6),MATCH($H$13,'Prepayment Engine'!$A$1:$AN$1,0)+4)),"")</f>
        <v>682466.51539578266</v>
      </c>
      <c r="F54" s="119">
        <f>IF((A54-1)*12&lt;$H$6,SUM(INDEX('Prepayment Engine'!$A$2:$AN$361,(A54-1)*12+1,MATCH($H$13,'Prepayment Engine'!$A$1:$AN$1,0)+5):INDEX('Prepayment Engine'!$A$2:$AN$361,MIN(A54*12,$H$6),MATCH($H$13,'Prepayment Engine'!$A$1:$AN$1,0)+5)),"")</f>
        <v>250097.1006131481</v>
      </c>
      <c r="G54" s="119">
        <f>IF((A54-1)*12&lt;$H$6,SUM(INDEX('Prepayment Engine'!$A$2:$AN$361,(A54-1)*12+1,MATCH($H$13,'Prepayment Engine'!$A$1:$AN$1,0)+6):INDEX('Prepayment Engine'!$A$2:$AN$361,MIN(A54*12,$H$6),MATCH($H$13,'Prepayment Engine'!$A$1:$AN$1,0)+6)),"")</f>
        <v>500000</v>
      </c>
      <c r="H54" s="119" cm="1">
        <f t="array" ref="H54">IF((A54-1)*12&lt;$H$6,INDEX('Prepayment Engine'!$A$2:$AN$361,MIN(A54*12,$H$6),MATCH($H$13,'Prepayment Engine'!$A$1:$AN$1,0)+7),"")</f>
        <v>7391795.7587810159</v>
      </c>
    </row>
    <row r="55" spans="1:8" ht="19" customHeight="1" x14ac:dyDescent="0.35">
      <c r="A55" s="88">
        <f t="shared" si="0"/>
        <v>6</v>
      </c>
      <c r="B55" s="119" cm="1">
        <f t="array" ref="B55">IF((A55-1)*12&lt;$H$6,INDEX('Prepayment Engine'!$A$2:$AN$361,(A55-1)*12+1,MATCH($H$13,'Prepayment Engine'!$A$1:$AN$1,0)+1),"")</f>
        <v>7391795.7587810159</v>
      </c>
      <c r="C55" s="121" cm="1">
        <f t="array" ref="C55">IF((A55-1)*12&lt;$H$6,INDEX('Prepayment Engine'!$A$2:$AN$361,MIN(A55*12,$H$6),MATCH($H$13,'Prepayment Engine'!$A$1:$AN$1,0)+2),"")</f>
        <v>7.5</v>
      </c>
      <c r="D55" s="119">
        <f>IF((A55-1)*12&lt;$H$6,SUM(INDEX('Prepayment Engine'!$A$2:$AN$361,(A55-1)*12+1,MATCH($H$13,'Prepayment Engine'!$A$1:$AN$1,0)+3):INDEX('Prepayment Engine'!$A$2:$AN$361,MIN(A55*12,$H$6),MATCH($H$13,'Prepayment Engine'!$A$1:$AN$1,0)+3)),"")</f>
        <v>932563.61600893049</v>
      </c>
      <c r="E55" s="119">
        <f>IF((A55-1)*12&lt;$H$6,SUM(INDEX('Prepayment Engine'!$A$2:$AN$361,(A55-1)*12+1,MATCH($H$13,'Prepayment Engine'!$A$1:$AN$1,0)+4):INDEX('Prepayment Engine'!$A$2:$AN$361,MIN(A55*12,$H$6),MATCH($H$13,'Prepayment Engine'!$A$1:$AN$1,0)+4)),"")</f>
        <v>541110.10285141261</v>
      </c>
      <c r="F55" s="119">
        <f>IF((A55-1)*12&lt;$H$6,SUM(INDEX('Prepayment Engine'!$A$2:$AN$361,(A55-1)*12+1,MATCH($H$13,'Prepayment Engine'!$A$1:$AN$1,0)+5):INDEX('Prepayment Engine'!$A$2:$AN$361,MIN(A55*12,$H$6),MATCH($H$13,'Prepayment Engine'!$A$1:$AN$1,0)+5)),"")</f>
        <v>391453.51315751811</v>
      </c>
      <c r="G55" s="119">
        <f>IF((A55-1)*12&lt;$H$6,SUM(INDEX('Prepayment Engine'!$A$2:$AN$361,(A55-1)*12+1,MATCH($H$13,'Prepayment Engine'!$A$1:$AN$1,0)+6):INDEX('Prepayment Engine'!$A$2:$AN$361,MIN(A55*12,$H$6),MATCH($H$13,'Prepayment Engine'!$A$1:$AN$1,0)+6)),"")</f>
        <v>0</v>
      </c>
      <c r="H55" s="119" cm="1">
        <f t="array" ref="H55">IF((A55-1)*12&lt;$H$6,INDEX('Prepayment Engine'!$A$2:$AN$361,MIN(A55*12,$H$6),MATCH($H$13,'Prepayment Engine'!$A$1:$AN$1,0)+7),"")</f>
        <v>7000342.2456234973</v>
      </c>
    </row>
    <row r="56" spans="1:8" ht="19" customHeight="1" x14ac:dyDescent="0.35">
      <c r="A56" s="88">
        <f t="shared" si="0"/>
        <v>7</v>
      </c>
      <c r="B56" s="119" cm="1">
        <f t="array" ref="B56">IF((A56-1)*12&lt;$H$6,INDEX('Prepayment Engine'!$A$2:$AN$361,(A56-1)*12+1,MATCH($H$13,'Prepayment Engine'!$A$1:$AN$1,0)+1),"")</f>
        <v>7000342.2456234973</v>
      </c>
      <c r="C56" s="121" cm="1">
        <f t="array" ref="C56">IF((A56-1)*12&lt;$H$6,INDEX('Prepayment Engine'!$A$2:$AN$361,MIN(A56*12,$H$6),MATCH($H$13,'Prepayment Engine'!$A$1:$AN$1,0)+2),"")</f>
        <v>7.5</v>
      </c>
      <c r="D56" s="119">
        <f>IF((A56-1)*12&lt;$H$6,SUM(INDEX('Prepayment Engine'!$A$2:$AN$361,(A56-1)*12+1,MATCH($H$13,'Prepayment Engine'!$A$1:$AN$1,0)+3):INDEX('Prepayment Engine'!$A$2:$AN$361,MIN(A56*12,$H$6),MATCH($H$13,'Prepayment Engine'!$A$1:$AN$1,0)+3)),"")</f>
        <v>932563.61600893049</v>
      </c>
      <c r="E56" s="119">
        <f>IF((A56-1)*12&lt;$H$6,SUM(INDEX('Prepayment Engine'!$A$2:$AN$361,(A56-1)*12+1,MATCH($H$13,'Prepayment Engine'!$A$1:$AN$1,0)+4):INDEX('Prepayment Engine'!$A$2:$AN$361,MIN(A56*12,$H$6),MATCH($H$13,'Prepayment Engine'!$A$1:$AN$1,0)+4)),"")</f>
        <v>510720.54929367144</v>
      </c>
      <c r="F56" s="119">
        <f>IF((A56-1)*12&lt;$H$6,SUM(INDEX('Prepayment Engine'!$A$2:$AN$361,(A56-1)*12+1,MATCH($H$13,'Prepayment Engine'!$A$1:$AN$1,0)+5):INDEX('Prepayment Engine'!$A$2:$AN$361,MIN(A56*12,$H$6),MATCH($H$13,'Prepayment Engine'!$A$1:$AN$1,0)+5)),"")</f>
        <v>421843.06671525934</v>
      </c>
      <c r="G56" s="119">
        <f>IF((A56-1)*12&lt;$H$6,SUM(INDEX('Prepayment Engine'!$A$2:$AN$361,(A56-1)*12+1,MATCH($H$13,'Prepayment Engine'!$A$1:$AN$1,0)+6):INDEX('Prepayment Engine'!$A$2:$AN$361,MIN(A56*12,$H$6),MATCH($H$13,'Prepayment Engine'!$A$1:$AN$1,0)+6)),"")</f>
        <v>0</v>
      </c>
      <c r="H56" s="119" cm="1">
        <f t="array" ref="H56">IF((A56-1)*12&lt;$H$6,INDEX('Prepayment Engine'!$A$2:$AN$361,MIN(A56*12,$H$6),MATCH($H$13,'Prepayment Engine'!$A$1:$AN$1,0)+7),"")</f>
        <v>6578499.1789082401</v>
      </c>
    </row>
    <row r="57" spans="1:8" ht="19" customHeight="1" x14ac:dyDescent="0.35">
      <c r="A57" s="88">
        <f t="shared" si="0"/>
        <v>8</v>
      </c>
      <c r="B57" s="119" cm="1">
        <f t="array" ref="B57">IF((A57-1)*12&lt;$H$6,INDEX('Prepayment Engine'!$A$2:$AN$361,(A57-1)*12+1,MATCH($H$13,'Prepayment Engine'!$A$1:$AN$1,0)+1),"")</f>
        <v>6578499.1789082401</v>
      </c>
      <c r="C57" s="121" cm="1">
        <f t="array" ref="C57">IF((A57-1)*12&lt;$H$6,INDEX('Prepayment Engine'!$A$2:$AN$361,MIN(A57*12,$H$6),MATCH($H$13,'Prepayment Engine'!$A$1:$AN$1,0)+2),"")</f>
        <v>7.5</v>
      </c>
      <c r="D57" s="119">
        <f>IF((A57-1)*12&lt;$H$6,SUM(INDEX('Prepayment Engine'!$A$2:$AN$361,(A57-1)*12+1,MATCH($H$13,'Prepayment Engine'!$A$1:$AN$1,0)+3):INDEX('Prepayment Engine'!$A$2:$AN$361,MIN(A57*12,$H$6),MATCH($H$13,'Prepayment Engine'!$A$1:$AN$1,0)+3)),"")</f>
        <v>932563.61600893049</v>
      </c>
      <c r="E57" s="119">
        <f>IF((A57-1)*12&lt;$H$6,SUM(INDEX('Prepayment Engine'!$A$2:$AN$361,(A57-1)*12+1,MATCH($H$13,'Prepayment Engine'!$A$1:$AN$1,0)+4):INDEX('Prepayment Engine'!$A$2:$AN$361,MIN(A57*12,$H$6),MATCH($H$13,'Prepayment Engine'!$A$1:$AN$1,0)+4)),"")</f>
        <v>477971.77571516822</v>
      </c>
      <c r="F57" s="119">
        <f>IF((A57-1)*12&lt;$H$6,SUM(INDEX('Prepayment Engine'!$A$2:$AN$361,(A57-1)*12+1,MATCH($H$13,'Prepayment Engine'!$A$1:$AN$1,0)+5):INDEX('Prepayment Engine'!$A$2:$AN$361,MIN(A57*12,$H$6),MATCH($H$13,'Prepayment Engine'!$A$1:$AN$1,0)+5)),"")</f>
        <v>454591.84029376251</v>
      </c>
      <c r="G57" s="119">
        <f>IF((A57-1)*12&lt;$H$6,SUM(INDEX('Prepayment Engine'!$A$2:$AN$361,(A57-1)*12+1,MATCH($H$13,'Prepayment Engine'!$A$1:$AN$1,0)+6):INDEX('Prepayment Engine'!$A$2:$AN$361,MIN(A57*12,$H$6),MATCH($H$13,'Prepayment Engine'!$A$1:$AN$1,0)+6)),"")</f>
        <v>0</v>
      </c>
      <c r="H57" s="119" cm="1">
        <f t="array" ref="H57">IF((A57-1)*12&lt;$H$6,INDEX('Prepayment Engine'!$A$2:$AN$361,MIN(A57*12,$H$6),MATCH($H$13,'Prepayment Engine'!$A$1:$AN$1,0)+7),"")</f>
        <v>6123907.3386144778</v>
      </c>
    </row>
    <row r="58" spans="1:8" ht="19" customHeight="1" x14ac:dyDescent="0.35">
      <c r="A58" s="88">
        <f t="shared" si="0"/>
        <v>9</v>
      </c>
      <c r="B58" s="119" cm="1">
        <f t="array" ref="B58">IF((A58-1)*12&lt;$H$6,INDEX('Prepayment Engine'!$A$2:$AN$361,(A58-1)*12+1,MATCH($H$13,'Prepayment Engine'!$A$1:$AN$1,0)+1),"")</f>
        <v>6123907.3386144778</v>
      </c>
      <c r="C58" s="121" cm="1">
        <f t="array" ref="C58">IF((A58-1)*12&lt;$H$6,INDEX('Prepayment Engine'!$A$2:$AN$361,MIN(A58*12,$H$6),MATCH($H$13,'Prepayment Engine'!$A$1:$AN$1,0)+2),"")</f>
        <v>7.5</v>
      </c>
      <c r="D58" s="119">
        <f>IF((A58-1)*12&lt;$H$6,SUM(INDEX('Prepayment Engine'!$A$2:$AN$361,(A58-1)*12+1,MATCH($H$13,'Prepayment Engine'!$A$1:$AN$1,0)+3):INDEX('Prepayment Engine'!$A$2:$AN$361,MIN(A58*12,$H$6),MATCH($H$13,'Prepayment Engine'!$A$1:$AN$1,0)+3)),"")</f>
        <v>932563.61600893049</v>
      </c>
      <c r="E58" s="119">
        <f>IF((A58-1)*12&lt;$H$6,SUM(INDEX('Prepayment Engine'!$A$2:$AN$361,(A58-1)*12+1,MATCH($H$13,'Prepayment Engine'!$A$1:$AN$1,0)+4):INDEX('Prepayment Engine'!$A$2:$AN$361,MIN(A58*12,$H$6),MATCH($H$13,'Prepayment Engine'!$A$1:$AN$1,0)+4)),"")</f>
        <v>442680.62973441812</v>
      </c>
      <c r="F58" s="119">
        <f>IF((A58-1)*12&lt;$H$6,SUM(INDEX('Prepayment Engine'!$A$2:$AN$361,(A58-1)*12+1,MATCH($H$13,'Prepayment Engine'!$A$1:$AN$1,0)+5):INDEX('Prepayment Engine'!$A$2:$AN$361,MIN(A58*12,$H$6),MATCH($H$13,'Prepayment Engine'!$A$1:$AN$1,0)+5)),"")</f>
        <v>489882.98627451272</v>
      </c>
      <c r="G58" s="119">
        <f>IF((A58-1)*12&lt;$H$6,SUM(INDEX('Prepayment Engine'!$A$2:$AN$361,(A58-1)*12+1,MATCH($H$13,'Prepayment Engine'!$A$1:$AN$1,0)+6):INDEX('Prepayment Engine'!$A$2:$AN$361,MIN(A58*12,$H$6),MATCH($H$13,'Prepayment Engine'!$A$1:$AN$1,0)+6)),"")</f>
        <v>0</v>
      </c>
      <c r="H58" s="119" cm="1">
        <f t="array" ref="H58">IF((A58-1)*12&lt;$H$6,INDEX('Prepayment Engine'!$A$2:$AN$361,MIN(A58*12,$H$6),MATCH($H$13,'Prepayment Engine'!$A$1:$AN$1,0)+7),"")</f>
        <v>5634024.3523399625</v>
      </c>
    </row>
    <row r="59" spans="1:8" ht="19" customHeight="1" x14ac:dyDescent="0.35">
      <c r="A59" s="88">
        <f t="shared" si="0"/>
        <v>10</v>
      </c>
      <c r="B59" s="119" cm="1">
        <f t="array" ref="B59">IF((A59-1)*12&lt;$H$6,INDEX('Prepayment Engine'!$A$2:$AN$361,(A59-1)*12+1,MATCH($H$13,'Prepayment Engine'!$A$1:$AN$1,0)+1),"")</f>
        <v>5634024.3523399625</v>
      </c>
      <c r="C59" s="121" cm="1">
        <f t="array" ref="C59">IF((A59-1)*12&lt;$H$6,INDEX('Prepayment Engine'!$A$2:$AN$361,MIN(A59*12,$H$6),MATCH($H$13,'Prepayment Engine'!$A$1:$AN$1,0)+2),"")</f>
        <v>7.5</v>
      </c>
      <c r="D59" s="119">
        <f>IF((A59-1)*12&lt;$H$6,SUM(INDEX('Prepayment Engine'!$A$2:$AN$361,(A59-1)*12+1,MATCH($H$13,'Prepayment Engine'!$A$1:$AN$1,0)+3):INDEX('Prepayment Engine'!$A$2:$AN$361,MIN(A59*12,$H$6),MATCH($H$13,'Prepayment Engine'!$A$1:$AN$1,0)+3)),"")</f>
        <v>932563.61600893049</v>
      </c>
      <c r="E59" s="119">
        <f>IF((A59-1)*12&lt;$H$6,SUM(INDEX('Prepayment Engine'!$A$2:$AN$361,(A59-1)*12+1,MATCH($H$13,'Prepayment Engine'!$A$1:$AN$1,0)+4):INDEX('Prepayment Engine'!$A$2:$AN$361,MIN(A59*12,$H$6),MATCH($H$13,'Prepayment Engine'!$A$1:$AN$1,0)+4)),"")</f>
        <v>404649.74037457461</v>
      </c>
      <c r="F59" s="119">
        <f>IF((A59-1)*12&lt;$H$6,SUM(INDEX('Prepayment Engine'!$A$2:$AN$361,(A59-1)*12+1,MATCH($H$13,'Prepayment Engine'!$A$1:$AN$1,0)+5):INDEX('Prepayment Engine'!$A$2:$AN$361,MIN(A59*12,$H$6),MATCH($H$13,'Prepayment Engine'!$A$1:$AN$1,0)+5)),"")</f>
        <v>527913.87563435617</v>
      </c>
      <c r="G59" s="119">
        <f>IF((A59-1)*12&lt;$H$6,SUM(INDEX('Prepayment Engine'!$A$2:$AN$361,(A59-1)*12+1,MATCH($H$13,'Prepayment Engine'!$A$1:$AN$1,0)+6):INDEX('Prepayment Engine'!$A$2:$AN$361,MIN(A59*12,$H$6),MATCH($H$13,'Prepayment Engine'!$A$1:$AN$1,0)+6)),"")</f>
        <v>0</v>
      </c>
      <c r="H59" s="119" cm="1">
        <f t="array" ref="H59">IF((A59-1)*12&lt;$H$6,INDEX('Prepayment Engine'!$A$2:$AN$361,MIN(A59*12,$H$6),MATCH($H$13,'Prepayment Engine'!$A$1:$AN$1,0)+7),"")</f>
        <v>5106110.476705607</v>
      </c>
    </row>
    <row r="60" spans="1:8" ht="19" customHeight="1" x14ac:dyDescent="0.35">
      <c r="A60" s="88">
        <f t="shared" si="0"/>
        <v>11</v>
      </c>
      <c r="B60" s="119" cm="1">
        <f t="array" ref="B60">IF((A60-1)*12&lt;$H$6,INDEX('Prepayment Engine'!$A$2:$AN$361,(A60-1)*12+1,MATCH($H$13,'Prepayment Engine'!$A$1:$AN$1,0)+1),"")</f>
        <v>5106110.476705607</v>
      </c>
      <c r="C60" s="121" cm="1">
        <f t="array" ref="C60">IF((A60-1)*12&lt;$H$6,INDEX('Prepayment Engine'!$A$2:$AN$361,MIN(A60*12,$H$6),MATCH($H$13,'Prepayment Engine'!$A$1:$AN$1,0)+2),"")</f>
        <v>7.5</v>
      </c>
      <c r="D60" s="119">
        <f>IF((A60-1)*12&lt;$H$6,SUM(INDEX('Prepayment Engine'!$A$2:$AN$361,(A60-1)*12+1,MATCH($H$13,'Prepayment Engine'!$A$1:$AN$1,0)+3):INDEX('Prepayment Engine'!$A$2:$AN$361,MIN(A60*12,$H$6),MATCH($H$13,'Prepayment Engine'!$A$1:$AN$1,0)+3)),"")</f>
        <v>932563.61600893049</v>
      </c>
      <c r="E60" s="119">
        <f>IF((A60-1)*12&lt;$H$6,SUM(INDEX('Prepayment Engine'!$A$2:$AN$361,(A60-1)*12+1,MATCH($H$13,'Prepayment Engine'!$A$1:$AN$1,0)+4):INDEX('Prepayment Engine'!$A$2:$AN$361,MIN(A60*12,$H$6),MATCH($H$13,'Prepayment Engine'!$A$1:$AN$1,0)+4)),"")</f>
        <v>363666.41423692048</v>
      </c>
      <c r="F60" s="119">
        <f>IF((A60-1)*12&lt;$H$6,SUM(INDEX('Prepayment Engine'!$A$2:$AN$361,(A60-1)*12+1,MATCH($H$13,'Prepayment Engine'!$A$1:$AN$1,0)+5):INDEX('Prepayment Engine'!$A$2:$AN$361,MIN(A60*12,$H$6),MATCH($H$13,'Prepayment Engine'!$A$1:$AN$1,0)+5)),"")</f>
        <v>568897.20177201019</v>
      </c>
      <c r="G60" s="119">
        <f>IF((A60-1)*12&lt;$H$6,SUM(INDEX('Prepayment Engine'!$A$2:$AN$361,(A60-1)*12+1,MATCH($H$13,'Prepayment Engine'!$A$1:$AN$1,0)+6):INDEX('Prepayment Engine'!$A$2:$AN$361,MIN(A60*12,$H$6),MATCH($H$13,'Prepayment Engine'!$A$1:$AN$1,0)+6)),"")</f>
        <v>0</v>
      </c>
      <c r="H60" s="119" cm="1">
        <f t="array" ref="H60">IF((A60-1)*12&lt;$H$6,INDEX('Prepayment Engine'!$A$2:$AN$361,MIN(A60*12,$H$6),MATCH($H$13,'Prepayment Engine'!$A$1:$AN$1,0)+7),"")</f>
        <v>4537213.2749335971</v>
      </c>
    </row>
    <row r="61" spans="1:8" ht="19" customHeight="1" x14ac:dyDescent="0.35">
      <c r="A61" s="88">
        <f t="shared" si="0"/>
        <v>12</v>
      </c>
      <c r="B61" s="119" cm="1">
        <f t="array" ref="B61">IF((A61-1)*12&lt;$H$6,INDEX('Prepayment Engine'!$A$2:$AN$361,(A61-1)*12+1,MATCH($H$13,'Prepayment Engine'!$A$1:$AN$1,0)+1),"")</f>
        <v>4537213.2749335971</v>
      </c>
      <c r="C61" s="121" cm="1">
        <f t="array" ref="C61">IF((A61-1)*12&lt;$H$6,INDEX('Prepayment Engine'!$A$2:$AN$361,MIN(A61*12,$H$6),MATCH($H$13,'Prepayment Engine'!$A$1:$AN$1,0)+2),"")</f>
        <v>7.5</v>
      </c>
      <c r="D61" s="119">
        <f>IF((A61-1)*12&lt;$H$6,SUM(INDEX('Prepayment Engine'!$A$2:$AN$361,(A61-1)*12+1,MATCH($H$13,'Prepayment Engine'!$A$1:$AN$1,0)+3):INDEX('Prepayment Engine'!$A$2:$AN$361,MIN(A61*12,$H$6),MATCH($H$13,'Prepayment Engine'!$A$1:$AN$1,0)+3)),"")</f>
        <v>932563.61600893049</v>
      </c>
      <c r="E61" s="119">
        <f>IF((A61-1)*12&lt;$H$6,SUM(INDEX('Prepayment Engine'!$A$2:$AN$361,(A61-1)*12+1,MATCH($H$13,'Prepayment Engine'!$A$1:$AN$1,0)+4):INDEX('Prepayment Engine'!$A$2:$AN$361,MIN(A61*12,$H$6),MATCH($H$13,'Prepayment Engine'!$A$1:$AN$1,0)+4)),"")</f>
        <v>319501.445981436</v>
      </c>
      <c r="F61" s="119">
        <f>IF((A61-1)*12&lt;$H$6,SUM(INDEX('Prepayment Engine'!$A$2:$AN$361,(A61-1)*12+1,MATCH($H$13,'Prepayment Engine'!$A$1:$AN$1,0)+5):INDEX('Prepayment Engine'!$A$2:$AN$361,MIN(A61*12,$H$6),MATCH($H$13,'Prepayment Engine'!$A$1:$AN$1,0)+5)),"")</f>
        <v>613062.17002749466</v>
      </c>
      <c r="G61" s="119">
        <f>IF((A61-1)*12&lt;$H$6,SUM(INDEX('Prepayment Engine'!$A$2:$AN$361,(A61-1)*12+1,MATCH($H$13,'Prepayment Engine'!$A$1:$AN$1,0)+6):INDEX('Prepayment Engine'!$A$2:$AN$361,MIN(A61*12,$H$6),MATCH($H$13,'Prepayment Engine'!$A$1:$AN$1,0)+6)),"")</f>
        <v>0</v>
      </c>
      <c r="H61" s="119" cm="1">
        <f t="array" ref="H61">IF((A61-1)*12&lt;$H$6,INDEX('Prepayment Engine'!$A$2:$AN$361,MIN(A61*12,$H$6),MATCH($H$13,'Prepayment Engine'!$A$1:$AN$1,0)+7),"")</f>
        <v>3924151.1049061026</v>
      </c>
    </row>
    <row r="62" spans="1:8" ht="19" customHeight="1" x14ac:dyDescent="0.35">
      <c r="A62" s="88">
        <f t="shared" si="0"/>
        <v>13</v>
      </c>
      <c r="B62" s="119" cm="1">
        <f t="array" ref="B62">IF((A62-1)*12&lt;$H$6,INDEX('Prepayment Engine'!$A$2:$AN$361,(A62-1)*12+1,MATCH($H$13,'Prepayment Engine'!$A$1:$AN$1,0)+1),"")</f>
        <v>3924151.1049061026</v>
      </c>
      <c r="C62" s="121" cm="1">
        <f t="array" ref="C62">IF((A62-1)*12&lt;$H$6,INDEX('Prepayment Engine'!$A$2:$AN$361,MIN(A62*12,$H$6),MATCH($H$13,'Prepayment Engine'!$A$1:$AN$1,0)+2),"")</f>
        <v>7.5</v>
      </c>
      <c r="D62" s="119">
        <f>IF((A62-1)*12&lt;$H$6,SUM(INDEX('Prepayment Engine'!$A$2:$AN$361,(A62-1)*12+1,MATCH($H$13,'Prepayment Engine'!$A$1:$AN$1,0)+3):INDEX('Prepayment Engine'!$A$2:$AN$361,MIN(A62*12,$H$6),MATCH($H$13,'Prepayment Engine'!$A$1:$AN$1,0)+3)),"")</f>
        <v>932563.61600893049</v>
      </c>
      <c r="E62" s="119">
        <f>IF((A62-1)*12&lt;$H$6,SUM(INDEX('Prepayment Engine'!$A$2:$AN$361,(A62-1)*12+1,MATCH($H$13,'Prepayment Engine'!$A$1:$AN$1,0)+4):INDEX('Prepayment Engine'!$A$2:$AN$361,MIN(A62*12,$H$6),MATCH($H$13,'Prepayment Engine'!$A$1:$AN$1,0)+4)),"")</f>
        <v>271907.83646188432</v>
      </c>
      <c r="F62" s="119">
        <f>IF((A62-1)*12&lt;$H$6,SUM(INDEX('Prepayment Engine'!$A$2:$AN$361,(A62-1)*12+1,MATCH($H$13,'Prepayment Engine'!$A$1:$AN$1,0)+5):INDEX('Prepayment Engine'!$A$2:$AN$361,MIN(A62*12,$H$6),MATCH($H$13,'Prepayment Engine'!$A$1:$AN$1,0)+5)),"")</f>
        <v>660655.77954704664</v>
      </c>
      <c r="G62" s="119">
        <f>IF((A62-1)*12&lt;$H$6,SUM(INDEX('Prepayment Engine'!$A$2:$AN$361,(A62-1)*12+1,MATCH($H$13,'Prepayment Engine'!$A$1:$AN$1,0)+6):INDEX('Prepayment Engine'!$A$2:$AN$361,MIN(A62*12,$H$6),MATCH($H$13,'Prepayment Engine'!$A$1:$AN$1,0)+6)),"")</f>
        <v>0</v>
      </c>
      <c r="H62" s="119" cm="1">
        <f t="array" ref="H62">IF((A62-1)*12&lt;$H$6,INDEX('Prepayment Engine'!$A$2:$AN$361,MIN(A62*12,$H$6),MATCH($H$13,'Prepayment Engine'!$A$1:$AN$1,0)+7),"")</f>
        <v>3263495.3253590567</v>
      </c>
    </row>
    <row r="63" spans="1:8" ht="19" customHeight="1" x14ac:dyDescent="0.35">
      <c r="A63" s="88">
        <f t="shared" si="0"/>
        <v>14</v>
      </c>
      <c r="B63" s="119" cm="1">
        <f t="array" ref="B63">IF((A63-1)*12&lt;$H$6,INDEX('Prepayment Engine'!$A$2:$AN$361,(A63-1)*12+1,MATCH($H$13,'Prepayment Engine'!$A$1:$AN$1,0)+1),"")</f>
        <v>3263495.3253590567</v>
      </c>
      <c r="C63" s="121" cm="1">
        <f t="array" ref="C63">IF((A63-1)*12&lt;$H$6,INDEX('Prepayment Engine'!$A$2:$AN$361,MIN(A63*12,$H$6),MATCH($H$13,'Prepayment Engine'!$A$1:$AN$1,0)+2),"")</f>
        <v>7.5</v>
      </c>
      <c r="D63" s="119">
        <f>IF((A63-1)*12&lt;$H$6,SUM(INDEX('Prepayment Engine'!$A$2:$AN$361,(A63-1)*12+1,MATCH($H$13,'Prepayment Engine'!$A$1:$AN$1,0)+3):INDEX('Prepayment Engine'!$A$2:$AN$361,MIN(A63*12,$H$6),MATCH($H$13,'Prepayment Engine'!$A$1:$AN$1,0)+3)),"")</f>
        <v>932563.61600893049</v>
      </c>
      <c r="E63" s="119">
        <f>IF((A63-1)*12&lt;$H$6,SUM(INDEX('Prepayment Engine'!$A$2:$AN$361,(A63-1)*12+1,MATCH($H$13,'Prepayment Engine'!$A$1:$AN$1,0)+4):INDEX('Prepayment Engine'!$A$2:$AN$361,MIN(A63*12,$H$6),MATCH($H$13,'Prepayment Engine'!$A$1:$AN$1,0)+4)),"")</f>
        <v>220619.41134639064</v>
      </c>
      <c r="F63" s="119">
        <f>IF((A63-1)*12&lt;$H$6,SUM(INDEX('Prepayment Engine'!$A$2:$AN$361,(A63-1)*12+1,MATCH($H$13,'Prepayment Engine'!$A$1:$AN$1,0)+5):INDEX('Prepayment Engine'!$A$2:$AN$361,MIN(A63*12,$H$6),MATCH($H$13,'Prepayment Engine'!$A$1:$AN$1,0)+5)),"")</f>
        <v>711944.20466254</v>
      </c>
      <c r="G63" s="119">
        <f>IF((A63-1)*12&lt;$H$6,SUM(INDEX('Prepayment Engine'!$A$2:$AN$361,(A63-1)*12+1,MATCH($H$13,'Prepayment Engine'!$A$1:$AN$1,0)+6):INDEX('Prepayment Engine'!$A$2:$AN$361,MIN(A63*12,$H$6),MATCH($H$13,'Prepayment Engine'!$A$1:$AN$1,0)+6)),"")</f>
        <v>0</v>
      </c>
      <c r="H63" s="119" cm="1">
        <f t="array" ref="H63">IF((A63-1)*12&lt;$H$6,INDEX('Prepayment Engine'!$A$2:$AN$361,MIN(A63*12,$H$6),MATCH($H$13,'Prepayment Engine'!$A$1:$AN$1,0)+7),"")</f>
        <v>2551551.1206965167</v>
      </c>
    </row>
    <row r="64" spans="1:8" ht="19" customHeight="1" x14ac:dyDescent="0.35">
      <c r="A64" s="88">
        <f t="shared" si="0"/>
        <v>15</v>
      </c>
      <c r="B64" s="119" cm="1">
        <f t="array" ref="B64">IF((A64-1)*12&lt;$H$6,INDEX('Prepayment Engine'!$A$2:$AN$361,(A64-1)*12+1,MATCH($H$13,'Prepayment Engine'!$A$1:$AN$1,0)+1),"")</f>
        <v>2551551.1206965167</v>
      </c>
      <c r="C64" s="121" cm="1">
        <f t="array" ref="C64">IF((A64-1)*12&lt;$H$6,INDEX('Prepayment Engine'!$A$2:$AN$361,MIN(A64*12,$H$6),MATCH($H$13,'Prepayment Engine'!$A$1:$AN$1,0)+2),"")</f>
        <v>7.5</v>
      </c>
      <c r="D64" s="119">
        <f>IF((A64-1)*12&lt;$H$6,SUM(INDEX('Prepayment Engine'!$A$2:$AN$361,(A64-1)*12+1,MATCH($H$13,'Prepayment Engine'!$A$1:$AN$1,0)+3):INDEX('Prepayment Engine'!$A$2:$AN$361,MIN(A64*12,$H$6),MATCH($H$13,'Prepayment Engine'!$A$1:$AN$1,0)+3)),"")</f>
        <v>932563.61600893049</v>
      </c>
      <c r="E64" s="119">
        <f>IF((A64-1)*12&lt;$H$6,SUM(INDEX('Prepayment Engine'!$A$2:$AN$361,(A64-1)*12+1,MATCH($H$13,'Prepayment Engine'!$A$1:$AN$1,0)+4):INDEX('Prepayment Engine'!$A$2:$AN$361,MIN(A64*12,$H$6),MATCH($H$13,'Prepayment Engine'!$A$1:$AN$1,0)+4)),"")</f>
        <v>165349.33249794831</v>
      </c>
      <c r="F64" s="119">
        <f>IF((A64-1)*12&lt;$H$6,SUM(INDEX('Prepayment Engine'!$A$2:$AN$361,(A64-1)*12+1,MATCH($H$13,'Prepayment Engine'!$A$1:$AN$1,0)+5):INDEX('Prepayment Engine'!$A$2:$AN$361,MIN(A64*12,$H$6),MATCH($H$13,'Prepayment Engine'!$A$1:$AN$1,0)+5)),"")</f>
        <v>767214.28351098241</v>
      </c>
      <c r="G64" s="119">
        <f>IF((A64-1)*12&lt;$H$6,SUM(INDEX('Prepayment Engine'!$A$2:$AN$361,(A64-1)*12+1,MATCH($H$13,'Prepayment Engine'!$A$1:$AN$1,0)+6):INDEX('Prepayment Engine'!$A$2:$AN$361,MIN(A64*12,$H$6),MATCH($H$13,'Prepayment Engine'!$A$1:$AN$1,0)+6)),"")</f>
        <v>0</v>
      </c>
      <c r="H64" s="119" cm="1">
        <f t="array" ref="H64">IF((A64-1)*12&lt;$H$6,INDEX('Prepayment Engine'!$A$2:$AN$361,MIN(A64*12,$H$6),MATCH($H$13,'Prepayment Engine'!$A$1:$AN$1,0)+7),"")</f>
        <v>1784336.8371855342</v>
      </c>
    </row>
    <row r="65" spans="1:8" ht="19" customHeight="1" x14ac:dyDescent="0.35">
      <c r="A65" s="88">
        <f t="shared" si="0"/>
        <v>16</v>
      </c>
      <c r="B65" s="119" cm="1">
        <f t="array" ref="B65">IF((A65-1)*12&lt;$H$6,INDEX('Prepayment Engine'!$A$2:$AN$361,(A65-1)*12+1,MATCH($H$13,'Prepayment Engine'!$A$1:$AN$1,0)+1),"")</f>
        <v>1784336.8371855342</v>
      </c>
      <c r="C65" s="121" cm="1">
        <f t="array" ref="C65">IF((A65-1)*12&lt;$H$6,INDEX('Prepayment Engine'!$A$2:$AN$361,MIN(A65*12,$H$6),MATCH($H$13,'Prepayment Engine'!$A$1:$AN$1,0)+2),"")</f>
        <v>7.5</v>
      </c>
      <c r="D65" s="119">
        <f>IF((A65-1)*12&lt;$H$6,SUM(INDEX('Prepayment Engine'!$A$2:$AN$361,(A65-1)*12+1,MATCH($H$13,'Prepayment Engine'!$A$1:$AN$1,0)+3):INDEX('Prepayment Engine'!$A$2:$AN$361,MIN(A65*12,$H$6),MATCH($H$13,'Prepayment Engine'!$A$1:$AN$1,0)+3)),"")</f>
        <v>932563.61600893049</v>
      </c>
      <c r="E65" s="119">
        <f>IF((A65-1)*12&lt;$H$6,SUM(INDEX('Prepayment Engine'!$A$2:$AN$361,(A65-1)*12+1,MATCH($H$13,'Prepayment Engine'!$A$1:$AN$1,0)+4):INDEX('Prepayment Engine'!$A$2:$AN$361,MIN(A65*12,$H$6),MATCH($H$13,'Prepayment Engine'!$A$1:$AN$1,0)+4)),"")</f>
        <v>105788.49378952365</v>
      </c>
      <c r="F65" s="119">
        <f>IF((A65-1)*12&lt;$H$6,SUM(INDEX('Prepayment Engine'!$A$2:$AN$361,(A65-1)*12+1,MATCH($H$13,'Prepayment Engine'!$A$1:$AN$1,0)+5):INDEX('Prepayment Engine'!$A$2:$AN$361,MIN(A65*12,$H$6),MATCH($H$13,'Prepayment Engine'!$A$1:$AN$1,0)+5)),"")</f>
        <v>826775.12221940712</v>
      </c>
      <c r="G65" s="119">
        <f>IF((A65-1)*12&lt;$H$6,SUM(INDEX('Prepayment Engine'!$A$2:$AN$361,(A65-1)*12+1,MATCH($H$13,'Prepayment Engine'!$A$1:$AN$1,0)+6):INDEX('Prepayment Engine'!$A$2:$AN$361,MIN(A65*12,$H$6),MATCH($H$13,'Prepayment Engine'!$A$1:$AN$1,0)+6)),"")</f>
        <v>0</v>
      </c>
      <c r="H65" s="119" cm="1">
        <f t="array" ref="H65">IF((A65-1)*12&lt;$H$6,INDEX('Prepayment Engine'!$A$2:$AN$361,MIN(A65*12,$H$6),MATCH($H$13,'Prepayment Engine'!$A$1:$AN$1,0)+7),"")</f>
        <v>957561.71496612695</v>
      </c>
    </row>
    <row r="66" spans="1:8" ht="19" customHeight="1" x14ac:dyDescent="0.35">
      <c r="A66" s="88">
        <f t="shared" si="0"/>
        <v>17</v>
      </c>
      <c r="B66" s="119" cm="1">
        <f t="array" ref="B66">IF((A66-1)*12&lt;$H$6,INDEX('Prepayment Engine'!$A$2:$AN$361,(A66-1)*12+1,MATCH($H$13,'Prepayment Engine'!$A$1:$AN$1,0)+1),"")</f>
        <v>957561.71496612695</v>
      </c>
      <c r="C66" s="121" cm="1">
        <f t="array" ref="C66">IF((A66-1)*12&lt;$H$6,INDEX('Prepayment Engine'!$A$2:$AN$361,MIN(A66*12,$H$6),MATCH($H$13,'Prepayment Engine'!$A$1:$AN$1,0)+2),"")</f>
        <v>7.5</v>
      </c>
      <c r="D66" s="119">
        <f>IF((A66-1)*12&lt;$H$6,SUM(INDEX('Prepayment Engine'!$A$2:$AN$361,(A66-1)*12+1,MATCH($H$13,'Prepayment Engine'!$A$1:$AN$1,0)+3):INDEX('Prepayment Engine'!$A$2:$AN$361,MIN(A66*12,$H$6),MATCH($H$13,'Prepayment Engine'!$A$1:$AN$1,0)+3)),"")</f>
        <v>932563.61600893049</v>
      </c>
      <c r="E66" s="119">
        <f>IF((A66-1)*12&lt;$H$6,SUM(INDEX('Prepayment Engine'!$A$2:$AN$361,(A66-1)*12+1,MATCH($H$13,'Prepayment Engine'!$A$1:$AN$1,0)+4):INDEX('Prepayment Engine'!$A$2:$AN$361,MIN(A66*12,$H$6),MATCH($H$13,'Prepayment Engine'!$A$1:$AN$1,0)+4)),"")</f>
        <v>41603.79238211918</v>
      </c>
      <c r="F66" s="119">
        <f>IF((A66-1)*12&lt;$H$6,SUM(INDEX('Prepayment Engine'!$A$2:$AN$361,(A66-1)*12+1,MATCH($H$13,'Prepayment Engine'!$A$1:$AN$1,0)+5):INDEX('Prepayment Engine'!$A$2:$AN$361,MIN(A66*12,$H$6),MATCH($H$13,'Prepayment Engine'!$A$1:$AN$1,0)+5)),"")</f>
        <v>890959.8236268115</v>
      </c>
      <c r="G66" s="119">
        <f>IF((A66-1)*12&lt;$H$6,SUM(INDEX('Prepayment Engine'!$A$2:$AN$361,(A66-1)*12+1,MATCH($H$13,'Prepayment Engine'!$A$1:$AN$1,0)+6):INDEX('Prepayment Engine'!$A$2:$AN$361,MIN(A66*12,$H$6),MATCH($H$13,'Prepayment Engine'!$A$1:$AN$1,0)+6)),"")</f>
        <v>0</v>
      </c>
      <c r="H66" s="119" cm="1">
        <f t="array" ref="H66">IF((A66-1)*12&lt;$H$6,INDEX('Prepayment Engine'!$A$2:$AN$361,MIN(A66*12,$H$6),MATCH($H$13,'Prepayment Engine'!$A$1:$AN$1,0)+7),"")</f>
        <v>66601.891339315349</v>
      </c>
    </row>
    <row r="67" spans="1:8" ht="19" customHeight="1" x14ac:dyDescent="0.35">
      <c r="A67" s="88">
        <f t="shared" si="0"/>
        <v>18</v>
      </c>
      <c r="B67" s="119" cm="1">
        <f t="array" ref="B67">IF((A67-1)*12&lt;$H$6,INDEX('Prepayment Engine'!$A$2:$AN$361,(A67-1)*12+1,MATCH($H$13,'Prepayment Engine'!$A$1:$AN$1,0)+1),"")</f>
        <v>66601.891339315349</v>
      </c>
      <c r="C67" s="121" cm="1">
        <f t="array" ref="C67">IF((A67-1)*12&lt;$H$6,INDEX('Prepayment Engine'!$A$2:$AN$361,MIN(A67*12,$H$6),MATCH($H$13,'Prepayment Engine'!$A$1:$AN$1,0)+2),"")</f>
        <v>7.5</v>
      </c>
      <c r="D67" s="119">
        <f>IF((A67-1)*12&lt;$H$6,SUM(INDEX('Prepayment Engine'!$A$2:$AN$361,(A67-1)*12+1,MATCH($H$13,'Prepayment Engine'!$A$1:$AN$1,0)+3):INDEX('Prepayment Engine'!$A$2:$AN$361,MIN(A67*12,$H$6),MATCH($H$13,'Prepayment Engine'!$A$1:$AN$1,0)+3)),"")</f>
        <v>67018.153160186077</v>
      </c>
      <c r="E67" s="119">
        <f>IF((A67-1)*12&lt;$H$6,SUM(INDEX('Prepayment Engine'!$A$2:$AN$361,(A67-1)*12+1,MATCH($H$13,'Prepayment Engine'!$A$1:$AN$1,0)+4):INDEX('Prepayment Engine'!$A$2:$AN$361,MIN(A67*12,$H$6),MATCH($H$13,'Prepayment Engine'!$A$1:$AN$1,0)+4)),"")</f>
        <v>416.26182087072095</v>
      </c>
      <c r="F67" s="119">
        <f>IF((A67-1)*12&lt;$H$6,SUM(INDEX('Prepayment Engine'!$A$2:$AN$361,(A67-1)*12+1,MATCH($H$13,'Prepayment Engine'!$A$1:$AN$1,0)+5):INDEX('Prepayment Engine'!$A$2:$AN$361,MIN(A67*12,$H$6),MATCH($H$13,'Prepayment Engine'!$A$1:$AN$1,0)+5)),"")</f>
        <v>66601.891339315349</v>
      </c>
      <c r="G67" s="119">
        <f>IF((A67-1)*12&lt;$H$6,SUM(INDEX('Prepayment Engine'!$A$2:$AN$361,(A67-1)*12+1,MATCH($H$13,'Prepayment Engine'!$A$1:$AN$1,0)+6):INDEX('Prepayment Engine'!$A$2:$AN$361,MIN(A67*12,$H$6),MATCH($H$13,'Prepayment Engine'!$A$1:$AN$1,0)+6)),"")</f>
        <v>0</v>
      </c>
      <c r="H67" s="119" cm="1">
        <f t="array" ref="H67">IF((A67-1)*12&lt;$H$6,INDEX('Prepayment Engine'!$A$2:$AN$361,MIN(A67*12,$H$6),MATCH($H$13,'Prepayment Engine'!$A$1:$AN$1,0)+7),"")</f>
        <v>0</v>
      </c>
    </row>
    <row r="68" spans="1:8" ht="19" customHeight="1" x14ac:dyDescent="0.35">
      <c r="A68" s="88">
        <f t="shared" si="0"/>
        <v>19</v>
      </c>
      <c r="B68" s="119" t="str" cm="1">
        <f t="array" ref="B68">IF((A68-1)*12&lt;$H$6,INDEX('Prepayment Engine'!$A$2:$AN$361,(A68-1)*12+1,MATCH($H$13,'Prepayment Engine'!$A$1:$AN$1,0)+1),"")</f>
        <v/>
      </c>
      <c r="C68" s="121" t="str" cm="1">
        <f t="array" ref="C68">IF((A68-1)*12&lt;$H$6,INDEX('Prepayment Engine'!$A$2:$AN$361,MIN(A68*12,$H$6),MATCH($H$13,'Prepayment Engine'!$A$1:$AN$1,0)+2),"")</f>
        <v/>
      </c>
      <c r="D68" s="119" t="str">
        <f>IF((A68-1)*12&lt;$H$6,SUM(INDEX('Prepayment Engine'!$A$2:$AN$361,(A68-1)*12+1,MATCH($H$13,'Prepayment Engine'!$A$1:$AN$1,0)+3):INDEX('Prepayment Engine'!$A$2:$AN$361,MIN(A68*12,$H$6),MATCH($H$13,'Prepayment Engine'!$A$1:$AN$1,0)+3)),"")</f>
        <v/>
      </c>
      <c r="E68" s="119" t="str">
        <f>IF((A68-1)*12&lt;$H$6,SUM(INDEX('Prepayment Engine'!$A$2:$AN$361,(A68-1)*12+1,MATCH($H$13,'Prepayment Engine'!$A$1:$AN$1,0)+4):INDEX('Prepayment Engine'!$A$2:$AN$361,MIN(A68*12,$H$6),MATCH($H$13,'Prepayment Engine'!$A$1:$AN$1,0)+4)),"")</f>
        <v/>
      </c>
      <c r="F68" s="119" t="str">
        <f>IF((A68-1)*12&lt;$H$6,SUM(INDEX('Prepayment Engine'!$A$2:$AN$361,(A68-1)*12+1,MATCH($H$13,'Prepayment Engine'!$A$1:$AN$1,0)+5):INDEX('Prepayment Engine'!$A$2:$AN$361,MIN(A68*12,$H$6),MATCH($H$13,'Prepayment Engine'!$A$1:$AN$1,0)+5)),"")</f>
        <v/>
      </c>
      <c r="G68" s="119" t="str">
        <f>IF((A68-1)*12&lt;$H$6,SUM(INDEX('Prepayment Engine'!$A$2:$AN$361,(A68-1)*12+1,MATCH($H$13,'Prepayment Engine'!$A$1:$AN$1,0)+6):INDEX('Prepayment Engine'!$A$2:$AN$361,MIN(A68*12,$H$6),MATCH($H$13,'Prepayment Engine'!$A$1:$AN$1,0)+6)),"")</f>
        <v/>
      </c>
      <c r="H68" s="119" t="str" cm="1">
        <f t="array" ref="H68">IF((A68-1)*12&lt;$H$6,INDEX('Prepayment Engine'!$A$2:$AN$361,MIN(A68*12,$H$6),MATCH($H$13,'Prepayment Engine'!$A$1:$AN$1,0)+7),"")</f>
        <v/>
      </c>
    </row>
    <row r="69" spans="1:8" ht="19" customHeight="1" x14ac:dyDescent="0.35">
      <c r="A69" s="88">
        <f t="shared" si="0"/>
        <v>20</v>
      </c>
      <c r="B69" s="119" t="str" cm="1">
        <f t="array" ref="B69">IF((A69-1)*12&lt;$H$6,INDEX('Prepayment Engine'!$A$2:$AN$361,(A69-1)*12+1,MATCH($H$13,'Prepayment Engine'!$A$1:$AN$1,0)+1),"")</f>
        <v/>
      </c>
      <c r="C69" s="121" t="str" cm="1">
        <f t="array" ref="C69">IF((A69-1)*12&lt;$H$6,INDEX('Prepayment Engine'!$A$2:$AN$361,MIN(A69*12,$H$6),MATCH($H$13,'Prepayment Engine'!$A$1:$AN$1,0)+2),"")</f>
        <v/>
      </c>
      <c r="D69" s="119" t="str">
        <f>IF((A69-1)*12&lt;$H$6,SUM(INDEX('Prepayment Engine'!$A$2:$AN$361,(A69-1)*12+1,MATCH($H$13,'Prepayment Engine'!$A$1:$AN$1,0)+3):INDEX('Prepayment Engine'!$A$2:$AN$361,MIN(A69*12,$H$6),MATCH($H$13,'Prepayment Engine'!$A$1:$AN$1,0)+3)),"")</f>
        <v/>
      </c>
      <c r="E69" s="119" t="str">
        <f>IF((A69-1)*12&lt;$H$6,SUM(INDEX('Prepayment Engine'!$A$2:$AN$361,(A69-1)*12+1,MATCH($H$13,'Prepayment Engine'!$A$1:$AN$1,0)+4):INDEX('Prepayment Engine'!$A$2:$AN$361,MIN(A69*12,$H$6),MATCH($H$13,'Prepayment Engine'!$A$1:$AN$1,0)+4)),"")</f>
        <v/>
      </c>
      <c r="F69" s="119" t="str">
        <f>IF((A69-1)*12&lt;$H$6,SUM(INDEX('Prepayment Engine'!$A$2:$AN$361,(A69-1)*12+1,MATCH($H$13,'Prepayment Engine'!$A$1:$AN$1,0)+5):INDEX('Prepayment Engine'!$A$2:$AN$361,MIN(A69*12,$H$6),MATCH($H$13,'Prepayment Engine'!$A$1:$AN$1,0)+5)),"")</f>
        <v/>
      </c>
      <c r="G69" s="119" t="str">
        <f>IF((A69-1)*12&lt;$H$6,SUM(INDEX('Prepayment Engine'!$A$2:$AN$361,(A69-1)*12+1,MATCH($H$13,'Prepayment Engine'!$A$1:$AN$1,0)+6):INDEX('Prepayment Engine'!$A$2:$AN$361,MIN(A69*12,$H$6),MATCH($H$13,'Prepayment Engine'!$A$1:$AN$1,0)+6)),"")</f>
        <v/>
      </c>
      <c r="H69" s="119" t="str" cm="1">
        <f t="array" ref="H69">IF((A69-1)*12&lt;$H$6,INDEX('Prepayment Engine'!$A$2:$AN$361,MIN(A69*12,$H$6),MATCH($H$13,'Prepayment Engine'!$A$1:$AN$1,0)+7),"")</f>
        <v/>
      </c>
    </row>
    <row r="70" spans="1:8" ht="19" customHeight="1" x14ac:dyDescent="0.35">
      <c r="A70" s="88">
        <f t="shared" si="0"/>
        <v>21</v>
      </c>
      <c r="B70" s="119" t="str" cm="1">
        <f t="array" ref="B70">IF((A70-1)*12&lt;$H$6,INDEX('Prepayment Engine'!$A$2:$AN$361,(A70-1)*12+1,MATCH($H$13,'Prepayment Engine'!$A$1:$AN$1,0)+1),"")</f>
        <v/>
      </c>
      <c r="C70" s="121" t="str" cm="1">
        <f t="array" ref="C70">IF((A70-1)*12&lt;$H$6,INDEX('Prepayment Engine'!$A$2:$AN$361,MIN(A70*12,$H$6),MATCH($H$13,'Prepayment Engine'!$A$1:$AN$1,0)+2),"")</f>
        <v/>
      </c>
      <c r="D70" s="119" t="str">
        <f>IF((A70-1)*12&lt;$H$6,SUM(INDEX('Prepayment Engine'!$A$2:$AN$361,(A70-1)*12+1,MATCH($H$13,'Prepayment Engine'!$A$1:$AN$1,0)+3):INDEX('Prepayment Engine'!$A$2:$AN$361,MIN(A70*12,$H$6),MATCH($H$13,'Prepayment Engine'!$A$1:$AN$1,0)+3)),"")</f>
        <v/>
      </c>
      <c r="E70" s="119" t="str">
        <f>IF((A70-1)*12&lt;$H$6,SUM(INDEX('Prepayment Engine'!$A$2:$AN$361,(A70-1)*12+1,MATCH($H$13,'Prepayment Engine'!$A$1:$AN$1,0)+4):INDEX('Prepayment Engine'!$A$2:$AN$361,MIN(A70*12,$H$6),MATCH($H$13,'Prepayment Engine'!$A$1:$AN$1,0)+4)),"")</f>
        <v/>
      </c>
      <c r="F70" s="119" t="str">
        <f>IF((A70-1)*12&lt;$H$6,SUM(INDEX('Prepayment Engine'!$A$2:$AN$361,(A70-1)*12+1,MATCH($H$13,'Prepayment Engine'!$A$1:$AN$1,0)+5):INDEX('Prepayment Engine'!$A$2:$AN$361,MIN(A70*12,$H$6),MATCH($H$13,'Prepayment Engine'!$A$1:$AN$1,0)+5)),"")</f>
        <v/>
      </c>
      <c r="G70" s="119" t="str">
        <f>IF((A70-1)*12&lt;$H$6,SUM(INDEX('Prepayment Engine'!$A$2:$AN$361,(A70-1)*12+1,MATCH($H$13,'Prepayment Engine'!$A$1:$AN$1,0)+6):INDEX('Prepayment Engine'!$A$2:$AN$361,MIN(A70*12,$H$6),MATCH($H$13,'Prepayment Engine'!$A$1:$AN$1,0)+6)),"")</f>
        <v/>
      </c>
      <c r="H70" s="119" t="str" cm="1">
        <f t="array" ref="H70">IF((A70-1)*12&lt;$H$6,INDEX('Prepayment Engine'!$A$2:$AN$361,MIN(A70*12,$H$6),MATCH($H$13,'Prepayment Engine'!$A$1:$AN$1,0)+7),"")</f>
        <v/>
      </c>
    </row>
    <row r="71" spans="1:8" ht="19" customHeight="1" x14ac:dyDescent="0.35">
      <c r="A71" s="88">
        <f t="shared" si="0"/>
        <v>22</v>
      </c>
      <c r="B71" s="119" t="str" cm="1">
        <f t="array" ref="B71">IF((A71-1)*12&lt;$H$6,INDEX('Prepayment Engine'!$A$2:$AN$361,(A71-1)*12+1,MATCH($H$13,'Prepayment Engine'!$A$1:$AN$1,0)+1),"")</f>
        <v/>
      </c>
      <c r="C71" s="121" t="str" cm="1">
        <f t="array" ref="C71">IF((A71-1)*12&lt;$H$6,INDEX('Prepayment Engine'!$A$2:$AN$361,MIN(A71*12,$H$6),MATCH($H$13,'Prepayment Engine'!$A$1:$AN$1,0)+2),"")</f>
        <v/>
      </c>
      <c r="D71" s="119" t="str">
        <f>IF((A71-1)*12&lt;$H$6,SUM(INDEX('Prepayment Engine'!$A$2:$AN$361,(A71-1)*12+1,MATCH($H$13,'Prepayment Engine'!$A$1:$AN$1,0)+3):INDEX('Prepayment Engine'!$A$2:$AN$361,MIN(A71*12,$H$6),MATCH($H$13,'Prepayment Engine'!$A$1:$AN$1,0)+3)),"")</f>
        <v/>
      </c>
      <c r="E71" s="119" t="str">
        <f>IF((A71-1)*12&lt;$H$6,SUM(INDEX('Prepayment Engine'!$A$2:$AN$361,(A71-1)*12+1,MATCH($H$13,'Prepayment Engine'!$A$1:$AN$1,0)+4):INDEX('Prepayment Engine'!$A$2:$AN$361,MIN(A71*12,$H$6),MATCH($H$13,'Prepayment Engine'!$A$1:$AN$1,0)+4)),"")</f>
        <v/>
      </c>
      <c r="F71" s="119" t="str">
        <f>IF((A71-1)*12&lt;$H$6,SUM(INDEX('Prepayment Engine'!$A$2:$AN$361,(A71-1)*12+1,MATCH($H$13,'Prepayment Engine'!$A$1:$AN$1,0)+5):INDEX('Prepayment Engine'!$A$2:$AN$361,MIN(A71*12,$H$6),MATCH($H$13,'Prepayment Engine'!$A$1:$AN$1,0)+5)),"")</f>
        <v/>
      </c>
      <c r="G71" s="119" t="str">
        <f>IF((A71-1)*12&lt;$H$6,SUM(INDEX('Prepayment Engine'!$A$2:$AN$361,(A71-1)*12+1,MATCH($H$13,'Prepayment Engine'!$A$1:$AN$1,0)+6):INDEX('Prepayment Engine'!$A$2:$AN$361,MIN(A71*12,$H$6),MATCH($H$13,'Prepayment Engine'!$A$1:$AN$1,0)+6)),"")</f>
        <v/>
      </c>
      <c r="H71" s="119" t="str" cm="1">
        <f t="array" ref="H71">IF((A71-1)*12&lt;$H$6,INDEX('Prepayment Engine'!$A$2:$AN$361,MIN(A71*12,$H$6),MATCH($H$13,'Prepayment Engine'!$A$1:$AN$1,0)+7),"")</f>
        <v/>
      </c>
    </row>
    <row r="72" spans="1:8" ht="19" customHeight="1" x14ac:dyDescent="0.35">
      <c r="A72" s="88">
        <f t="shared" si="0"/>
        <v>23</v>
      </c>
      <c r="B72" s="119" t="str" cm="1">
        <f t="array" ref="B72">IF((A72-1)*12&lt;$H$6,INDEX('Prepayment Engine'!$A$2:$AN$361,(A72-1)*12+1,MATCH($H$13,'Prepayment Engine'!$A$1:$AN$1,0)+1),"")</f>
        <v/>
      </c>
      <c r="C72" s="121" t="str" cm="1">
        <f t="array" ref="C72">IF((A72-1)*12&lt;$H$6,INDEX('Prepayment Engine'!$A$2:$AN$361,MIN(A72*12,$H$6),MATCH($H$13,'Prepayment Engine'!$A$1:$AN$1,0)+2),"")</f>
        <v/>
      </c>
      <c r="D72" s="119" t="str">
        <f>IF((A72-1)*12&lt;$H$6,SUM(INDEX('Prepayment Engine'!$A$2:$AN$361,(A72-1)*12+1,MATCH($H$13,'Prepayment Engine'!$A$1:$AN$1,0)+3):INDEX('Prepayment Engine'!$A$2:$AN$361,MIN(A72*12,$H$6),MATCH($H$13,'Prepayment Engine'!$A$1:$AN$1,0)+3)),"")</f>
        <v/>
      </c>
      <c r="E72" s="119" t="str">
        <f>IF((A72-1)*12&lt;$H$6,SUM(INDEX('Prepayment Engine'!$A$2:$AN$361,(A72-1)*12+1,MATCH($H$13,'Prepayment Engine'!$A$1:$AN$1,0)+4):INDEX('Prepayment Engine'!$A$2:$AN$361,MIN(A72*12,$H$6),MATCH($H$13,'Prepayment Engine'!$A$1:$AN$1,0)+4)),"")</f>
        <v/>
      </c>
      <c r="F72" s="119" t="str">
        <f>IF((A72-1)*12&lt;$H$6,SUM(INDEX('Prepayment Engine'!$A$2:$AN$361,(A72-1)*12+1,MATCH($H$13,'Prepayment Engine'!$A$1:$AN$1,0)+5):INDEX('Prepayment Engine'!$A$2:$AN$361,MIN(A72*12,$H$6),MATCH($H$13,'Prepayment Engine'!$A$1:$AN$1,0)+5)),"")</f>
        <v/>
      </c>
      <c r="G72" s="119" t="str">
        <f>IF((A72-1)*12&lt;$H$6,SUM(INDEX('Prepayment Engine'!$A$2:$AN$361,(A72-1)*12+1,MATCH($H$13,'Prepayment Engine'!$A$1:$AN$1,0)+6):INDEX('Prepayment Engine'!$A$2:$AN$361,MIN(A72*12,$H$6),MATCH($H$13,'Prepayment Engine'!$A$1:$AN$1,0)+6)),"")</f>
        <v/>
      </c>
      <c r="H72" s="119" t="str" cm="1">
        <f t="array" ref="H72">IF((A72-1)*12&lt;$H$6,INDEX('Prepayment Engine'!$A$2:$AN$361,MIN(A72*12,$H$6),MATCH($H$13,'Prepayment Engine'!$A$1:$AN$1,0)+7),"")</f>
        <v/>
      </c>
    </row>
    <row r="73" spans="1:8" ht="19" customHeight="1" x14ac:dyDescent="0.35">
      <c r="A73" s="88">
        <f t="shared" si="0"/>
        <v>24</v>
      </c>
      <c r="B73" s="119" t="str" cm="1">
        <f t="array" ref="B73">IF((A73-1)*12&lt;$H$6,INDEX('Prepayment Engine'!$A$2:$AN$361,(A73-1)*12+1,MATCH($H$13,'Prepayment Engine'!$A$1:$AN$1,0)+1),"")</f>
        <v/>
      </c>
      <c r="C73" s="121" t="str" cm="1">
        <f t="array" ref="C73">IF((A73-1)*12&lt;$H$6,INDEX('Prepayment Engine'!$A$2:$AN$361,MIN(A73*12,$H$6),MATCH($H$13,'Prepayment Engine'!$A$1:$AN$1,0)+2),"")</f>
        <v/>
      </c>
      <c r="D73" s="119" t="str">
        <f>IF((A73-1)*12&lt;$H$6,SUM(INDEX('Prepayment Engine'!$A$2:$AN$361,(A73-1)*12+1,MATCH($H$13,'Prepayment Engine'!$A$1:$AN$1,0)+3):INDEX('Prepayment Engine'!$A$2:$AN$361,MIN(A73*12,$H$6),MATCH($H$13,'Prepayment Engine'!$A$1:$AN$1,0)+3)),"")</f>
        <v/>
      </c>
      <c r="E73" s="119" t="str">
        <f>IF((A73-1)*12&lt;$H$6,SUM(INDEX('Prepayment Engine'!$A$2:$AN$361,(A73-1)*12+1,MATCH($H$13,'Prepayment Engine'!$A$1:$AN$1,0)+4):INDEX('Prepayment Engine'!$A$2:$AN$361,MIN(A73*12,$H$6),MATCH($H$13,'Prepayment Engine'!$A$1:$AN$1,0)+4)),"")</f>
        <v/>
      </c>
      <c r="F73" s="119" t="str">
        <f>IF((A73-1)*12&lt;$H$6,SUM(INDEX('Prepayment Engine'!$A$2:$AN$361,(A73-1)*12+1,MATCH($H$13,'Prepayment Engine'!$A$1:$AN$1,0)+5):INDEX('Prepayment Engine'!$A$2:$AN$361,MIN(A73*12,$H$6),MATCH($H$13,'Prepayment Engine'!$A$1:$AN$1,0)+5)),"")</f>
        <v/>
      </c>
      <c r="G73" s="119" t="str">
        <f>IF((A73-1)*12&lt;$H$6,SUM(INDEX('Prepayment Engine'!$A$2:$AN$361,(A73-1)*12+1,MATCH($H$13,'Prepayment Engine'!$A$1:$AN$1,0)+6):INDEX('Prepayment Engine'!$A$2:$AN$361,MIN(A73*12,$H$6),MATCH($H$13,'Prepayment Engine'!$A$1:$AN$1,0)+6)),"")</f>
        <v/>
      </c>
      <c r="H73" s="119" t="str" cm="1">
        <f t="array" ref="H73">IF((A73-1)*12&lt;$H$6,INDEX('Prepayment Engine'!$A$2:$AN$361,MIN(A73*12,$H$6),MATCH($H$13,'Prepayment Engine'!$A$1:$AN$1,0)+7),"")</f>
        <v/>
      </c>
    </row>
    <row r="74" spans="1:8" ht="19" customHeight="1" x14ac:dyDescent="0.35">
      <c r="A74" s="88">
        <f t="shared" si="0"/>
        <v>25</v>
      </c>
      <c r="B74" s="119" t="str" cm="1">
        <f t="array" ref="B74">IF((A74-1)*12&lt;$H$6,INDEX('Prepayment Engine'!$A$2:$AN$361,(A74-1)*12+1,MATCH($H$13,'Prepayment Engine'!$A$1:$AN$1,0)+1),"")</f>
        <v/>
      </c>
      <c r="C74" s="121" t="str" cm="1">
        <f t="array" ref="C74">IF((A74-1)*12&lt;$H$6,INDEX('Prepayment Engine'!$A$2:$AN$361,MIN(A74*12,$H$6),MATCH($H$13,'Prepayment Engine'!$A$1:$AN$1,0)+2),"")</f>
        <v/>
      </c>
      <c r="D74" s="119" t="str">
        <f>IF((A74-1)*12&lt;$H$6,SUM(INDEX('Prepayment Engine'!$A$2:$AN$361,(A74-1)*12+1,MATCH($H$13,'Prepayment Engine'!$A$1:$AN$1,0)+3):INDEX('Prepayment Engine'!$A$2:$AN$361,MIN(A74*12,$H$6),MATCH($H$13,'Prepayment Engine'!$A$1:$AN$1,0)+3)),"")</f>
        <v/>
      </c>
      <c r="E74" s="119" t="str">
        <f>IF((A74-1)*12&lt;$H$6,SUM(INDEX('Prepayment Engine'!$A$2:$AN$361,(A74-1)*12+1,MATCH($H$13,'Prepayment Engine'!$A$1:$AN$1,0)+4):INDEX('Prepayment Engine'!$A$2:$AN$361,MIN(A74*12,$H$6),MATCH($H$13,'Prepayment Engine'!$A$1:$AN$1,0)+4)),"")</f>
        <v/>
      </c>
      <c r="F74" s="119" t="str">
        <f>IF((A74-1)*12&lt;$H$6,SUM(INDEX('Prepayment Engine'!$A$2:$AN$361,(A74-1)*12+1,MATCH($H$13,'Prepayment Engine'!$A$1:$AN$1,0)+5):INDEX('Prepayment Engine'!$A$2:$AN$361,MIN(A74*12,$H$6),MATCH($H$13,'Prepayment Engine'!$A$1:$AN$1,0)+5)),"")</f>
        <v/>
      </c>
      <c r="G74" s="119" t="str">
        <f>IF((A74-1)*12&lt;$H$6,SUM(INDEX('Prepayment Engine'!$A$2:$AN$361,(A74-1)*12+1,MATCH($H$13,'Prepayment Engine'!$A$1:$AN$1,0)+6):INDEX('Prepayment Engine'!$A$2:$AN$361,MIN(A74*12,$H$6),MATCH($H$13,'Prepayment Engine'!$A$1:$AN$1,0)+6)),"")</f>
        <v/>
      </c>
      <c r="H74" s="119" t="str" cm="1">
        <f t="array" ref="H74">IF((A74-1)*12&lt;$H$6,INDEX('Prepayment Engine'!$A$2:$AN$361,MIN(A74*12,$H$6),MATCH($H$13,'Prepayment Engine'!$A$1:$AN$1,0)+7),"")</f>
        <v/>
      </c>
    </row>
    <row r="75" spans="1:8" ht="19" customHeight="1" x14ac:dyDescent="0.35">
      <c r="A75" s="88">
        <f t="shared" si="0"/>
        <v>26</v>
      </c>
      <c r="B75" s="119" t="str" cm="1">
        <f t="array" ref="B75">IF((A75-1)*12&lt;$H$6,INDEX('Prepayment Engine'!$A$2:$AN$361,(A75-1)*12+1,MATCH($H$13,'Prepayment Engine'!$A$1:$AN$1,0)+1),"")</f>
        <v/>
      </c>
      <c r="C75" s="121" t="str" cm="1">
        <f t="array" ref="C75">IF((A75-1)*12&lt;$H$6,INDEX('Prepayment Engine'!$A$2:$AN$361,MIN(A75*12,$H$6),MATCH($H$13,'Prepayment Engine'!$A$1:$AN$1,0)+2),"")</f>
        <v/>
      </c>
      <c r="D75" s="119" t="str">
        <f>IF((A75-1)*12&lt;$H$6,SUM(INDEX('Prepayment Engine'!$A$2:$AN$361,(A75-1)*12+1,MATCH($H$13,'Prepayment Engine'!$A$1:$AN$1,0)+3):INDEX('Prepayment Engine'!$A$2:$AN$361,MIN(A75*12,$H$6),MATCH($H$13,'Prepayment Engine'!$A$1:$AN$1,0)+3)),"")</f>
        <v/>
      </c>
      <c r="E75" s="119" t="str">
        <f>IF((A75-1)*12&lt;$H$6,SUM(INDEX('Prepayment Engine'!$A$2:$AN$361,(A75-1)*12+1,MATCH($H$13,'Prepayment Engine'!$A$1:$AN$1,0)+4):INDEX('Prepayment Engine'!$A$2:$AN$361,MIN(A75*12,$H$6),MATCH($H$13,'Prepayment Engine'!$A$1:$AN$1,0)+4)),"")</f>
        <v/>
      </c>
      <c r="F75" s="119" t="str">
        <f>IF((A75-1)*12&lt;$H$6,SUM(INDEX('Prepayment Engine'!$A$2:$AN$361,(A75-1)*12+1,MATCH($H$13,'Prepayment Engine'!$A$1:$AN$1,0)+5):INDEX('Prepayment Engine'!$A$2:$AN$361,MIN(A75*12,$H$6),MATCH($H$13,'Prepayment Engine'!$A$1:$AN$1,0)+5)),"")</f>
        <v/>
      </c>
      <c r="G75" s="119" t="str">
        <f>IF((A75-1)*12&lt;$H$6,SUM(INDEX('Prepayment Engine'!$A$2:$AN$361,(A75-1)*12+1,MATCH($H$13,'Prepayment Engine'!$A$1:$AN$1,0)+6):INDEX('Prepayment Engine'!$A$2:$AN$361,MIN(A75*12,$H$6),MATCH($H$13,'Prepayment Engine'!$A$1:$AN$1,0)+6)),"")</f>
        <v/>
      </c>
      <c r="H75" s="119" t="str" cm="1">
        <f t="array" ref="H75">IF((A75-1)*12&lt;$H$6,INDEX('Prepayment Engine'!$A$2:$AN$361,MIN(A75*12,$H$6),MATCH($H$13,'Prepayment Engine'!$A$1:$AN$1,0)+7),"")</f>
        <v/>
      </c>
    </row>
    <row r="76" spans="1:8" ht="19" customHeight="1" x14ac:dyDescent="0.35">
      <c r="A76" s="88">
        <f t="shared" si="0"/>
        <v>27</v>
      </c>
      <c r="B76" s="119" t="str" cm="1">
        <f t="array" ref="B76">IF((A76-1)*12&lt;$H$6,INDEX('Prepayment Engine'!$A$2:$AN$361,(A76-1)*12+1,MATCH($H$13,'Prepayment Engine'!$A$1:$AN$1,0)+1),"")</f>
        <v/>
      </c>
      <c r="C76" s="121" t="str" cm="1">
        <f t="array" ref="C76">IF((A76-1)*12&lt;$H$6,INDEX('Prepayment Engine'!$A$2:$AN$361,MIN(A76*12,$H$6),MATCH($H$13,'Prepayment Engine'!$A$1:$AN$1,0)+2),"")</f>
        <v/>
      </c>
      <c r="D76" s="119" t="str">
        <f>IF((A76-1)*12&lt;$H$6,SUM(INDEX('Prepayment Engine'!$A$2:$AN$361,(A76-1)*12+1,MATCH($H$13,'Prepayment Engine'!$A$1:$AN$1,0)+3):INDEX('Prepayment Engine'!$A$2:$AN$361,MIN(A76*12,$H$6),MATCH($H$13,'Prepayment Engine'!$A$1:$AN$1,0)+3)),"")</f>
        <v/>
      </c>
      <c r="E76" s="119" t="str">
        <f>IF((A76-1)*12&lt;$H$6,SUM(INDEX('Prepayment Engine'!$A$2:$AN$361,(A76-1)*12+1,MATCH($H$13,'Prepayment Engine'!$A$1:$AN$1,0)+4):INDEX('Prepayment Engine'!$A$2:$AN$361,MIN(A76*12,$H$6),MATCH($H$13,'Prepayment Engine'!$A$1:$AN$1,0)+4)),"")</f>
        <v/>
      </c>
      <c r="F76" s="119" t="str">
        <f>IF((A76-1)*12&lt;$H$6,SUM(INDEX('Prepayment Engine'!$A$2:$AN$361,(A76-1)*12+1,MATCH($H$13,'Prepayment Engine'!$A$1:$AN$1,0)+5):INDEX('Prepayment Engine'!$A$2:$AN$361,MIN(A76*12,$H$6),MATCH($H$13,'Prepayment Engine'!$A$1:$AN$1,0)+5)),"")</f>
        <v/>
      </c>
      <c r="G76" s="119" t="str">
        <f>IF((A76-1)*12&lt;$H$6,SUM(INDEX('Prepayment Engine'!$A$2:$AN$361,(A76-1)*12+1,MATCH($H$13,'Prepayment Engine'!$A$1:$AN$1,0)+6):INDEX('Prepayment Engine'!$A$2:$AN$361,MIN(A76*12,$H$6),MATCH($H$13,'Prepayment Engine'!$A$1:$AN$1,0)+6)),"")</f>
        <v/>
      </c>
      <c r="H76" s="119" t="str" cm="1">
        <f t="array" ref="H76">IF((A76-1)*12&lt;$H$6,INDEX('Prepayment Engine'!$A$2:$AN$361,MIN(A76*12,$H$6),MATCH($H$13,'Prepayment Engine'!$A$1:$AN$1,0)+7),"")</f>
        <v/>
      </c>
    </row>
    <row r="77" spans="1:8" ht="19" customHeight="1" x14ac:dyDescent="0.35">
      <c r="A77" s="88">
        <f t="shared" si="0"/>
        <v>28</v>
      </c>
      <c r="B77" s="119" t="str" cm="1">
        <f t="array" ref="B77">IF((A77-1)*12&lt;$H$6,INDEX('Prepayment Engine'!$A$2:$AN$361,(A77-1)*12+1,MATCH($H$13,'Prepayment Engine'!$A$1:$AN$1,0)+1),"")</f>
        <v/>
      </c>
      <c r="C77" s="121" t="str" cm="1">
        <f t="array" ref="C77">IF((A77-1)*12&lt;$H$6,INDEX('Prepayment Engine'!$A$2:$AN$361,MIN(A77*12,$H$6),MATCH($H$13,'Prepayment Engine'!$A$1:$AN$1,0)+2),"")</f>
        <v/>
      </c>
      <c r="D77" s="119" t="str">
        <f>IF((A77-1)*12&lt;$H$6,SUM(INDEX('Prepayment Engine'!$A$2:$AN$361,(A77-1)*12+1,MATCH($H$13,'Prepayment Engine'!$A$1:$AN$1,0)+3):INDEX('Prepayment Engine'!$A$2:$AN$361,MIN(A77*12,$H$6),MATCH($H$13,'Prepayment Engine'!$A$1:$AN$1,0)+3)),"")</f>
        <v/>
      </c>
      <c r="E77" s="119" t="str">
        <f>IF((A77-1)*12&lt;$H$6,SUM(INDEX('Prepayment Engine'!$A$2:$AN$361,(A77-1)*12+1,MATCH($H$13,'Prepayment Engine'!$A$1:$AN$1,0)+4):INDEX('Prepayment Engine'!$A$2:$AN$361,MIN(A77*12,$H$6),MATCH($H$13,'Prepayment Engine'!$A$1:$AN$1,0)+4)),"")</f>
        <v/>
      </c>
      <c r="F77" s="119" t="str">
        <f>IF((A77-1)*12&lt;$H$6,SUM(INDEX('Prepayment Engine'!$A$2:$AN$361,(A77-1)*12+1,MATCH($H$13,'Prepayment Engine'!$A$1:$AN$1,0)+5):INDEX('Prepayment Engine'!$A$2:$AN$361,MIN(A77*12,$H$6),MATCH($H$13,'Prepayment Engine'!$A$1:$AN$1,0)+5)),"")</f>
        <v/>
      </c>
      <c r="G77" s="119" t="str">
        <f>IF((A77-1)*12&lt;$H$6,SUM(INDEX('Prepayment Engine'!$A$2:$AN$361,(A77-1)*12+1,MATCH($H$13,'Prepayment Engine'!$A$1:$AN$1,0)+6):INDEX('Prepayment Engine'!$A$2:$AN$361,MIN(A77*12,$H$6),MATCH($H$13,'Prepayment Engine'!$A$1:$AN$1,0)+6)),"")</f>
        <v/>
      </c>
      <c r="H77" s="119" t="str" cm="1">
        <f t="array" ref="H77">IF((A77-1)*12&lt;$H$6,INDEX('Prepayment Engine'!$A$2:$AN$361,MIN(A77*12,$H$6),MATCH($H$13,'Prepayment Engine'!$A$1:$AN$1,0)+7),"")</f>
        <v/>
      </c>
    </row>
    <row r="78" spans="1:8" ht="19" customHeight="1" x14ac:dyDescent="0.35">
      <c r="A78" s="89">
        <f t="shared" si="0"/>
        <v>29</v>
      </c>
      <c r="B78" s="120" t="str" cm="1">
        <f t="array" ref="B78">IF((A78-1)*12&lt;$H$6,INDEX('Prepayment Engine'!$A$2:$AN$361,(A78-1)*12+1,MATCH($H$13,'Prepayment Engine'!$A$1:$AN$1,0)+1),"")</f>
        <v/>
      </c>
      <c r="C78" s="122" t="str" cm="1">
        <f t="array" ref="C78">IF((A78-1)*12&lt;$H$6,INDEX('Prepayment Engine'!$A$2:$AN$361,MIN(A78*12,$H$6),MATCH($H$13,'Prepayment Engine'!$A$1:$AN$1,0)+2),"")</f>
        <v/>
      </c>
      <c r="D78" s="120" t="str">
        <f>IF((A78-1)*12&lt;$H$6,SUM(INDEX('Prepayment Engine'!$A$2:$AN$361,(A78-1)*12+1,MATCH($H$13,'Prepayment Engine'!$A$1:$AN$1,0)+3):INDEX('Prepayment Engine'!$A$2:$AN$361,MIN(A78*12,$H$6),MATCH($H$13,'Prepayment Engine'!$A$1:$AN$1,0)+3)),"")</f>
        <v/>
      </c>
      <c r="E78" s="120" t="str">
        <f>IF((A78-1)*12&lt;$H$6,SUM(INDEX('Prepayment Engine'!$A$2:$AN$361,(A78-1)*12+1,MATCH($H$13,'Prepayment Engine'!$A$1:$AN$1,0)+4):INDEX('Prepayment Engine'!$A$2:$AN$361,MIN(A78*12,$H$6),MATCH($H$13,'Prepayment Engine'!$A$1:$AN$1,0)+4)),"")</f>
        <v/>
      </c>
      <c r="F78" s="120" t="str">
        <f>IF((A78-1)*12&lt;$H$6,SUM(INDEX('Prepayment Engine'!$A$2:$AN$361,(A78-1)*12+1,MATCH($H$13,'Prepayment Engine'!$A$1:$AN$1,0)+5):INDEX('Prepayment Engine'!$A$2:$AN$361,MIN(A78*12,$H$6),MATCH($H$13,'Prepayment Engine'!$A$1:$AN$1,0)+5)),"")</f>
        <v/>
      </c>
      <c r="G78" s="120" t="str">
        <f>IF((A78-1)*12&lt;$H$6,SUM(INDEX('Prepayment Engine'!$A$2:$AN$361,(A78-1)*12+1,MATCH($H$13,'Prepayment Engine'!$A$1:$AN$1,0)+6):INDEX('Prepayment Engine'!$A$2:$AN$361,MIN(A78*12,$H$6),MATCH($H$13,'Prepayment Engine'!$A$1:$AN$1,0)+6)),"")</f>
        <v/>
      </c>
      <c r="H78" s="120" t="str" cm="1">
        <f t="array" ref="H78">IF((A78-1)*12&lt;$H$6,INDEX('Prepayment Engine'!$A$2:$AN$361,MIN(A78*12,$H$6),MATCH($H$13,'Prepayment Engine'!$A$1:$AN$1,0)+7),"")</f>
        <v/>
      </c>
    </row>
    <row r="79" spans="1:8" ht="19" customHeight="1" x14ac:dyDescent="0.35">
      <c r="A79" s="89">
        <f t="shared" si="0"/>
        <v>30</v>
      </c>
      <c r="B79" s="120" t="str" cm="1">
        <f t="array" ref="B79">IF((A79-1)*12&lt;$H$6,INDEX('Prepayment Engine'!$A$2:$AN$361,(A79-1)*12+1,MATCH($H$13,'Prepayment Engine'!$A$1:$AN$1,0)+1),"")</f>
        <v/>
      </c>
      <c r="C79" s="122" t="str" cm="1">
        <f t="array" ref="C79">IF((A79-1)*12&lt;$H$6,INDEX('Prepayment Engine'!$A$2:$AN$361,MIN(A79*12,$H$6),MATCH($H$13,'Prepayment Engine'!$A$1:$AN$1,0)+2),"")</f>
        <v/>
      </c>
      <c r="D79" s="120" t="str">
        <f>IF((A79-1)*12&lt;$H$6,SUM(INDEX('Prepayment Engine'!$A$2:$AN$361,(A79-1)*12+1,MATCH($H$13,'Prepayment Engine'!$A$1:$AN$1,0)+3):INDEX('Prepayment Engine'!$A$2:$AN$361,MIN(A79*12,$H$6),MATCH($H$13,'Prepayment Engine'!$A$1:$AN$1,0)+3)),"")</f>
        <v/>
      </c>
      <c r="E79" s="120" t="str">
        <f>IF((A79-1)*12&lt;$H$6,SUM(INDEX('Prepayment Engine'!$A$2:$AN$361,(A79-1)*12+1,MATCH($H$13,'Prepayment Engine'!$A$1:$AN$1,0)+4):INDEX('Prepayment Engine'!$A$2:$AN$361,MIN(A79*12,$H$6),MATCH($H$13,'Prepayment Engine'!$A$1:$AN$1,0)+4)),"")</f>
        <v/>
      </c>
      <c r="F79" s="120" t="str">
        <f>IF((A79-1)*12&lt;$H$6,SUM(INDEX('Prepayment Engine'!$A$2:$AN$361,(A79-1)*12+1,MATCH($H$13,'Prepayment Engine'!$A$1:$AN$1,0)+5):INDEX('Prepayment Engine'!$A$2:$AN$361,MIN(A79*12,$H$6),MATCH($H$13,'Prepayment Engine'!$A$1:$AN$1,0)+5)),"")</f>
        <v/>
      </c>
      <c r="G79" s="120" t="str">
        <f>IF((A79-1)*12&lt;$H$6,SUM(INDEX('Prepayment Engine'!$A$2:$AN$361,(A79-1)*12+1,MATCH($H$13,'Prepayment Engine'!$A$1:$AN$1,0)+6):INDEX('Prepayment Engine'!$A$2:$AN$361,MIN(A79*12,$H$6),MATCH($H$13,'Prepayment Engine'!$A$1:$AN$1,0)+6)),"")</f>
        <v/>
      </c>
      <c r="H79" s="120" t="str" cm="1">
        <f t="array" ref="H79">IF((A79-1)*12&lt;$H$6,INDEX('Prepayment Engine'!$A$2:$AN$361,MIN(A79*12,$H$6),MATCH($H$13,'Prepayment Engine'!$A$1:$AN$1,0)+7),"")</f>
        <v/>
      </c>
    </row>
    <row r="80" spans="1:8" ht="18" customHeight="1" x14ac:dyDescent="0.35"/>
    <row r="81" ht="18" customHeight="1" x14ac:dyDescent="0.35"/>
    <row r="82" ht="18" customHeight="1" x14ac:dyDescent="0.35"/>
    <row r="83" ht="18" customHeight="1" x14ac:dyDescent="0.35"/>
    <row r="84" ht="18" customHeight="1" x14ac:dyDescent="0.35"/>
    <row r="85" ht="18" customHeight="1" x14ac:dyDescent="0.35"/>
    <row r="86" ht="18" customHeight="1" x14ac:dyDescent="0.35"/>
    <row r="87" ht="18" customHeight="1" x14ac:dyDescent="0.35"/>
    <row r="88" ht="18" customHeight="1" x14ac:dyDescent="0.35"/>
    <row r="89" ht="18" customHeight="1" x14ac:dyDescent="0.35"/>
    <row r="90" ht="18" customHeight="1" x14ac:dyDescent="0.35"/>
    <row r="91" ht="18" customHeight="1" x14ac:dyDescent="0.35"/>
    <row r="92" ht="18" customHeight="1" x14ac:dyDescent="0.35"/>
    <row r="93" ht="18" customHeight="1" x14ac:dyDescent="0.35"/>
    <row r="94" ht="18" customHeight="1" x14ac:dyDescent="0.35"/>
    <row r="95" ht="18" customHeight="1" x14ac:dyDescent="0.35"/>
    <row r="96" ht="18" customHeight="1" x14ac:dyDescent="0.35"/>
    <row r="97" ht="18" customHeight="1" x14ac:dyDescent="0.35"/>
    <row r="98" ht="18" customHeight="1" x14ac:dyDescent="0.35"/>
    <row r="99" ht="18" customHeight="1" x14ac:dyDescent="0.35"/>
    <row r="100" ht="18" customHeight="1" x14ac:dyDescent="0.35"/>
    <row r="101" ht="18" customHeight="1" x14ac:dyDescent="0.35"/>
    <row r="102" ht="18" customHeight="1" x14ac:dyDescent="0.35"/>
    <row r="103" ht="18" customHeight="1" x14ac:dyDescent="0.35"/>
    <row r="104" ht="18" customHeight="1" x14ac:dyDescent="0.35"/>
    <row r="105" ht="18" customHeight="1" x14ac:dyDescent="0.35"/>
    <row r="106" ht="18" customHeight="1" x14ac:dyDescent="0.35"/>
    <row r="107" ht="18" customHeight="1" x14ac:dyDescent="0.35"/>
    <row r="108" ht="18" customHeight="1" x14ac:dyDescent="0.35"/>
    <row r="109" ht="18" customHeight="1" x14ac:dyDescent="0.35"/>
    <row r="110" ht="18" customHeight="1" x14ac:dyDescent="0.35"/>
    <row r="111" ht="18" customHeight="1" x14ac:dyDescent="0.35"/>
    <row r="112" ht="18" customHeight="1" x14ac:dyDescent="0.35"/>
    <row r="113" ht="18" customHeight="1" x14ac:dyDescent="0.35"/>
    <row r="114" ht="18" customHeight="1" x14ac:dyDescent="0.35"/>
    <row r="115" ht="18" customHeight="1" x14ac:dyDescent="0.35"/>
    <row r="116" ht="18" customHeight="1" x14ac:dyDescent="0.35"/>
    <row r="117" ht="18" customHeight="1" x14ac:dyDescent="0.35"/>
    <row r="118" ht="18" customHeight="1" x14ac:dyDescent="0.35"/>
    <row r="119" ht="18" customHeight="1" x14ac:dyDescent="0.35"/>
    <row r="120" ht="18" customHeight="1" x14ac:dyDescent="0.35"/>
    <row r="121" ht="18" customHeight="1" x14ac:dyDescent="0.35"/>
    <row r="122" ht="18" customHeight="1" x14ac:dyDescent="0.35"/>
    <row r="123" ht="18" customHeight="1" x14ac:dyDescent="0.35"/>
    <row r="124" ht="18" customHeight="1" x14ac:dyDescent="0.35"/>
    <row r="125" ht="18" customHeight="1" x14ac:dyDescent="0.35"/>
    <row r="126" ht="18" customHeight="1" x14ac:dyDescent="0.35"/>
    <row r="127" ht="18" customHeight="1" x14ac:dyDescent="0.35"/>
    <row r="128" ht="18" customHeight="1" x14ac:dyDescent="0.35"/>
    <row r="129" ht="18" customHeight="1" x14ac:dyDescent="0.35"/>
    <row r="130" ht="18" customHeight="1" x14ac:dyDescent="0.35"/>
    <row r="131" ht="18" customHeight="1" x14ac:dyDescent="0.35"/>
    <row r="132" ht="18" customHeight="1" x14ac:dyDescent="0.35"/>
    <row r="133" ht="18" customHeight="1" x14ac:dyDescent="0.35"/>
    <row r="134" ht="18" customHeight="1" x14ac:dyDescent="0.35"/>
    <row r="135" ht="18" customHeight="1" x14ac:dyDescent="0.35"/>
    <row r="136" ht="18" customHeight="1" x14ac:dyDescent="0.35"/>
    <row r="137" ht="18" customHeight="1" x14ac:dyDescent="0.35"/>
    <row r="138" ht="18" customHeight="1" x14ac:dyDescent="0.35"/>
    <row r="139" ht="18" customHeight="1" x14ac:dyDescent="0.35"/>
    <row r="140" ht="18" customHeight="1" x14ac:dyDescent="0.35"/>
    <row r="141" ht="18" customHeight="1" x14ac:dyDescent="0.35"/>
    <row r="142" ht="18" customHeight="1" x14ac:dyDescent="0.35"/>
    <row r="143" ht="18" customHeight="1" x14ac:dyDescent="0.35"/>
    <row r="144" ht="18" customHeight="1" x14ac:dyDescent="0.35"/>
    <row r="145" ht="18" customHeight="1" x14ac:dyDescent="0.35"/>
    <row r="146" ht="18" customHeight="1" x14ac:dyDescent="0.35"/>
    <row r="147" ht="18" customHeight="1" x14ac:dyDescent="0.35"/>
    <row r="148" ht="18" customHeight="1" x14ac:dyDescent="0.35"/>
    <row r="149" ht="18" customHeight="1" x14ac:dyDescent="0.35"/>
    <row r="150" ht="18" customHeight="1" x14ac:dyDescent="0.35"/>
    <row r="151" ht="18" customHeight="1" x14ac:dyDescent="0.35"/>
    <row r="152" ht="18" customHeight="1" x14ac:dyDescent="0.35"/>
    <row r="153" ht="18" customHeight="1" x14ac:dyDescent="0.35"/>
    <row r="154" ht="18" customHeight="1" x14ac:dyDescent="0.35"/>
    <row r="155" ht="18" customHeight="1" x14ac:dyDescent="0.35"/>
    <row r="156" ht="18" customHeight="1" x14ac:dyDescent="0.35"/>
    <row r="157" ht="18" customHeight="1" x14ac:dyDescent="0.35"/>
    <row r="158" ht="18" customHeight="1" x14ac:dyDescent="0.35"/>
    <row r="159" ht="18" customHeight="1" x14ac:dyDescent="0.35"/>
    <row r="160" ht="18" customHeight="1" x14ac:dyDescent="0.35"/>
    <row r="161" ht="18" customHeight="1" x14ac:dyDescent="0.35"/>
    <row r="162" ht="18" customHeight="1" x14ac:dyDescent="0.35"/>
    <row r="163" ht="18" customHeight="1" x14ac:dyDescent="0.35"/>
    <row r="164" ht="18" customHeight="1" x14ac:dyDescent="0.35"/>
    <row r="165" ht="18" customHeight="1" x14ac:dyDescent="0.35"/>
    <row r="166" ht="18" customHeight="1" x14ac:dyDescent="0.35"/>
    <row r="167" ht="18" customHeight="1" x14ac:dyDescent="0.35"/>
    <row r="168" ht="18" customHeight="1" x14ac:dyDescent="0.35"/>
    <row r="169" ht="18" customHeight="1" x14ac:dyDescent="0.35"/>
    <row r="170" ht="18" customHeight="1" x14ac:dyDescent="0.35"/>
    <row r="171" ht="18" customHeight="1" x14ac:dyDescent="0.35"/>
    <row r="172" ht="18" customHeight="1" x14ac:dyDescent="0.35"/>
    <row r="173" ht="18" customHeight="1" x14ac:dyDescent="0.35"/>
    <row r="174" ht="18" customHeight="1" x14ac:dyDescent="0.35"/>
    <row r="175" ht="18" customHeight="1" x14ac:dyDescent="0.35"/>
    <row r="176" ht="18" customHeight="1" x14ac:dyDescent="0.35"/>
    <row r="177" ht="18" customHeight="1" x14ac:dyDescent="0.35"/>
    <row r="178" ht="18" customHeight="1" x14ac:dyDescent="0.35"/>
    <row r="179" ht="18" customHeight="1" x14ac:dyDescent="0.35"/>
    <row r="180" ht="18" customHeight="1" x14ac:dyDescent="0.35"/>
    <row r="181" ht="18" customHeight="1" x14ac:dyDescent="0.35"/>
    <row r="182" ht="18" customHeight="1" x14ac:dyDescent="0.35"/>
    <row r="183" ht="18" customHeight="1" x14ac:dyDescent="0.35"/>
    <row r="184" ht="18" customHeight="1" x14ac:dyDescent="0.35"/>
    <row r="185" ht="18" customHeight="1" x14ac:dyDescent="0.35"/>
    <row r="186" ht="18" customHeight="1" x14ac:dyDescent="0.35"/>
    <row r="187" ht="18" customHeight="1" x14ac:dyDescent="0.35"/>
    <row r="188" ht="18" customHeight="1" x14ac:dyDescent="0.35"/>
    <row r="189" ht="18" customHeight="1" x14ac:dyDescent="0.35"/>
    <row r="190" ht="18" customHeight="1" x14ac:dyDescent="0.35"/>
    <row r="191" ht="18" customHeight="1" x14ac:dyDescent="0.35"/>
    <row r="192" ht="18" customHeight="1" x14ac:dyDescent="0.35"/>
    <row r="193" ht="18" customHeight="1" x14ac:dyDescent="0.35"/>
    <row r="194" ht="18" customHeight="1" x14ac:dyDescent="0.35"/>
    <row r="195" ht="18" customHeight="1" x14ac:dyDescent="0.35"/>
    <row r="196" ht="18" customHeight="1" x14ac:dyDescent="0.35"/>
    <row r="197" ht="18" customHeight="1" x14ac:dyDescent="0.35"/>
    <row r="198" ht="18" customHeight="1" x14ac:dyDescent="0.35"/>
    <row r="199" ht="18" customHeight="1" x14ac:dyDescent="0.35"/>
    <row r="200" ht="18" customHeight="1" x14ac:dyDescent="0.35"/>
    <row r="201" ht="18" customHeight="1" x14ac:dyDescent="0.35"/>
    <row r="202" ht="18" customHeight="1" x14ac:dyDescent="0.35"/>
    <row r="203" ht="18" customHeight="1" x14ac:dyDescent="0.35"/>
    <row r="204" ht="18" customHeight="1" x14ac:dyDescent="0.35"/>
    <row r="205" ht="18" customHeight="1" x14ac:dyDescent="0.35"/>
    <row r="206" ht="18" customHeight="1" x14ac:dyDescent="0.35"/>
    <row r="207" ht="18" customHeight="1" x14ac:dyDescent="0.35"/>
    <row r="208" ht="18" customHeight="1" x14ac:dyDescent="0.35"/>
    <row r="209" ht="18" customHeight="1" x14ac:dyDescent="0.35"/>
    <row r="210" ht="18" customHeight="1" x14ac:dyDescent="0.35"/>
    <row r="211" ht="18" customHeight="1" x14ac:dyDescent="0.35"/>
    <row r="212" ht="18" customHeight="1" x14ac:dyDescent="0.35"/>
    <row r="213" ht="18" customHeight="1" x14ac:dyDescent="0.35"/>
    <row r="214" ht="18" customHeight="1" x14ac:dyDescent="0.35"/>
    <row r="215" ht="18" customHeight="1" x14ac:dyDescent="0.35"/>
    <row r="216" ht="18" customHeight="1" x14ac:dyDescent="0.35"/>
    <row r="217" ht="18" customHeight="1" x14ac:dyDescent="0.35"/>
    <row r="218" ht="18" customHeight="1" x14ac:dyDescent="0.35"/>
    <row r="219" ht="18" customHeight="1" x14ac:dyDescent="0.35"/>
    <row r="220" ht="18" customHeight="1" x14ac:dyDescent="0.35"/>
    <row r="221" ht="18" customHeight="1" x14ac:dyDescent="0.35"/>
    <row r="222" ht="18" customHeight="1" x14ac:dyDescent="0.35"/>
    <row r="223" ht="18" customHeight="1" x14ac:dyDescent="0.35"/>
    <row r="224" ht="18" customHeight="1" x14ac:dyDescent="0.35"/>
    <row r="225" ht="18" customHeight="1" x14ac:dyDescent="0.35"/>
    <row r="226" ht="18" customHeight="1" x14ac:dyDescent="0.35"/>
    <row r="227" ht="18" customHeight="1" x14ac:dyDescent="0.35"/>
    <row r="228" ht="18" customHeight="1" x14ac:dyDescent="0.35"/>
    <row r="229" ht="18" customHeight="1" x14ac:dyDescent="0.35"/>
    <row r="230" ht="18" customHeight="1" x14ac:dyDescent="0.35"/>
    <row r="231" ht="18" customHeight="1" x14ac:dyDescent="0.35"/>
    <row r="232" ht="18" customHeight="1" x14ac:dyDescent="0.35"/>
    <row r="233" ht="18" customHeight="1" x14ac:dyDescent="0.35"/>
    <row r="234" ht="18" customHeight="1" x14ac:dyDescent="0.35"/>
    <row r="235" ht="18" customHeight="1" x14ac:dyDescent="0.35"/>
    <row r="236" ht="18" customHeight="1" x14ac:dyDescent="0.35"/>
    <row r="237" ht="18" customHeight="1" x14ac:dyDescent="0.35"/>
    <row r="238" ht="18" customHeight="1" x14ac:dyDescent="0.35"/>
    <row r="239" ht="18" customHeight="1" x14ac:dyDescent="0.35"/>
    <row r="240" ht="18" customHeight="1" x14ac:dyDescent="0.35"/>
    <row r="241" ht="18" customHeight="1" x14ac:dyDescent="0.35"/>
    <row r="242" ht="18" customHeight="1" x14ac:dyDescent="0.35"/>
    <row r="243" ht="18" customHeight="1" x14ac:dyDescent="0.35"/>
    <row r="244" ht="18" customHeight="1" x14ac:dyDescent="0.35"/>
    <row r="245" ht="18" customHeight="1" x14ac:dyDescent="0.35"/>
    <row r="246" ht="18" customHeight="1" x14ac:dyDescent="0.35"/>
    <row r="247" ht="18" customHeight="1" x14ac:dyDescent="0.35"/>
    <row r="248" ht="18" customHeight="1" x14ac:dyDescent="0.35"/>
    <row r="249" ht="18" customHeight="1" x14ac:dyDescent="0.35"/>
    <row r="250" ht="18" customHeight="1" x14ac:dyDescent="0.35"/>
    <row r="251" ht="18" customHeight="1" x14ac:dyDescent="0.35"/>
    <row r="252" ht="18" customHeight="1" x14ac:dyDescent="0.35"/>
    <row r="253" ht="18" customHeight="1" x14ac:dyDescent="0.35"/>
    <row r="254" ht="18" customHeight="1" x14ac:dyDescent="0.35"/>
    <row r="255" ht="18" customHeight="1" x14ac:dyDescent="0.35"/>
    <row r="256" ht="18" customHeight="1" x14ac:dyDescent="0.35"/>
    <row r="257" ht="18" customHeight="1" x14ac:dyDescent="0.35"/>
    <row r="258" ht="18" customHeight="1" x14ac:dyDescent="0.35"/>
    <row r="259" ht="18" customHeight="1" x14ac:dyDescent="0.35"/>
    <row r="260" ht="18" customHeight="1" x14ac:dyDescent="0.35"/>
    <row r="261" ht="18" customHeight="1" x14ac:dyDescent="0.35"/>
    <row r="262" ht="18" customHeight="1" x14ac:dyDescent="0.35"/>
    <row r="263" ht="18" customHeight="1" x14ac:dyDescent="0.35"/>
    <row r="264" ht="18" customHeight="1" x14ac:dyDescent="0.35"/>
    <row r="265" ht="18" customHeight="1" x14ac:dyDescent="0.35"/>
    <row r="266" ht="18" customHeight="1" x14ac:dyDescent="0.35"/>
    <row r="267" ht="18" customHeight="1" x14ac:dyDescent="0.35"/>
    <row r="268" ht="18" customHeight="1" x14ac:dyDescent="0.35"/>
    <row r="269" ht="18" customHeight="1" x14ac:dyDescent="0.35"/>
    <row r="270" ht="18" customHeight="1" x14ac:dyDescent="0.35"/>
    <row r="271" ht="18" customHeight="1" x14ac:dyDescent="0.35"/>
    <row r="272" ht="18" customHeight="1" x14ac:dyDescent="0.35"/>
    <row r="273" ht="18" customHeight="1" x14ac:dyDescent="0.35"/>
    <row r="274" ht="18" customHeight="1" x14ac:dyDescent="0.35"/>
    <row r="275" ht="18" customHeight="1" x14ac:dyDescent="0.35"/>
    <row r="276" ht="18" customHeight="1" x14ac:dyDescent="0.35"/>
    <row r="277" ht="18" customHeight="1" x14ac:dyDescent="0.35"/>
    <row r="278" ht="18" customHeight="1" x14ac:dyDescent="0.35"/>
    <row r="279" ht="18" customHeight="1" x14ac:dyDescent="0.35"/>
    <row r="280" ht="18" customHeight="1" x14ac:dyDescent="0.35"/>
    <row r="281" ht="18" customHeight="1" x14ac:dyDescent="0.35"/>
    <row r="282" ht="18" customHeight="1" x14ac:dyDescent="0.35"/>
    <row r="283" ht="18" customHeight="1" x14ac:dyDescent="0.35"/>
    <row r="284" ht="18" customHeight="1" x14ac:dyDescent="0.35"/>
    <row r="285" ht="18" customHeight="1" x14ac:dyDescent="0.35"/>
    <row r="286" ht="18" customHeight="1" x14ac:dyDescent="0.35"/>
    <row r="287" ht="18" customHeight="1" x14ac:dyDescent="0.35"/>
    <row r="288" ht="18" customHeight="1" x14ac:dyDescent="0.35"/>
    <row r="289" ht="18" customHeight="1" x14ac:dyDescent="0.35"/>
    <row r="290" ht="18" customHeight="1" x14ac:dyDescent="0.35"/>
    <row r="291" ht="18" customHeight="1" x14ac:dyDescent="0.35"/>
    <row r="292" ht="18" customHeight="1" x14ac:dyDescent="0.35"/>
    <row r="293" ht="18" customHeight="1" x14ac:dyDescent="0.35"/>
    <row r="294" ht="18" customHeight="1" x14ac:dyDescent="0.35"/>
    <row r="295" ht="18" customHeight="1" x14ac:dyDescent="0.35"/>
    <row r="296" ht="18" customHeight="1" x14ac:dyDescent="0.35"/>
    <row r="297" ht="18" customHeight="1" x14ac:dyDescent="0.35"/>
    <row r="298" ht="18" customHeight="1" x14ac:dyDescent="0.35"/>
    <row r="299" ht="18" customHeight="1" x14ac:dyDescent="0.35"/>
    <row r="300" ht="18" customHeight="1" x14ac:dyDescent="0.35"/>
    <row r="301" ht="18" customHeight="1" x14ac:dyDescent="0.35"/>
    <row r="302" ht="18" customHeight="1" x14ac:dyDescent="0.35"/>
    <row r="303" ht="18" customHeight="1" x14ac:dyDescent="0.35"/>
    <row r="304" ht="18" customHeight="1" x14ac:dyDescent="0.35"/>
    <row r="305" ht="18" customHeight="1" x14ac:dyDescent="0.35"/>
    <row r="306" ht="18" customHeight="1" x14ac:dyDescent="0.35"/>
    <row r="307" ht="18" customHeight="1" x14ac:dyDescent="0.35"/>
    <row r="308" ht="18" customHeight="1" x14ac:dyDescent="0.35"/>
    <row r="309" ht="18" customHeight="1" x14ac:dyDescent="0.35"/>
    <row r="310" ht="18" customHeight="1" x14ac:dyDescent="0.35"/>
    <row r="311" ht="18" customHeight="1" x14ac:dyDescent="0.35"/>
    <row r="312" ht="18" customHeight="1" x14ac:dyDescent="0.35"/>
    <row r="313" ht="18" customHeight="1" x14ac:dyDescent="0.35"/>
    <row r="314" ht="18" customHeight="1" x14ac:dyDescent="0.35"/>
    <row r="315" ht="18" customHeight="1" x14ac:dyDescent="0.35"/>
    <row r="316" ht="18" customHeight="1" x14ac:dyDescent="0.35"/>
    <row r="317" ht="18" customHeight="1" x14ac:dyDescent="0.35"/>
    <row r="318" ht="18" customHeight="1" x14ac:dyDescent="0.35"/>
    <row r="319" ht="18" customHeight="1" x14ac:dyDescent="0.35"/>
    <row r="320" ht="18" customHeight="1" x14ac:dyDescent="0.35"/>
    <row r="321" ht="18" customHeight="1" x14ac:dyDescent="0.35"/>
    <row r="322" ht="18" customHeight="1" x14ac:dyDescent="0.35"/>
    <row r="323" ht="18" customHeight="1" x14ac:dyDescent="0.35"/>
    <row r="324" ht="18" customHeight="1" x14ac:dyDescent="0.35"/>
    <row r="325" ht="18" customHeight="1" x14ac:dyDescent="0.35"/>
    <row r="326" ht="18" customHeight="1" x14ac:dyDescent="0.35"/>
    <row r="327" ht="18" customHeight="1" x14ac:dyDescent="0.35"/>
    <row r="328" ht="18" customHeight="1" x14ac:dyDescent="0.35"/>
    <row r="329" ht="18" customHeight="1" x14ac:dyDescent="0.35"/>
    <row r="330" ht="18" customHeight="1" x14ac:dyDescent="0.35"/>
    <row r="331" ht="18" customHeight="1" x14ac:dyDescent="0.35"/>
    <row r="332" ht="18" customHeight="1" x14ac:dyDescent="0.35"/>
    <row r="333" ht="18" customHeight="1" x14ac:dyDescent="0.35"/>
    <row r="334" ht="18" customHeight="1" x14ac:dyDescent="0.35"/>
    <row r="335" ht="18" customHeight="1" x14ac:dyDescent="0.35"/>
    <row r="336" ht="18" customHeight="1" x14ac:dyDescent="0.35"/>
    <row r="337" ht="18" customHeight="1" x14ac:dyDescent="0.35"/>
    <row r="338" ht="18" customHeight="1" x14ac:dyDescent="0.35"/>
    <row r="339" ht="18" customHeight="1" x14ac:dyDescent="0.35"/>
    <row r="340" ht="18" customHeight="1" x14ac:dyDescent="0.35"/>
    <row r="341" ht="18" customHeight="1" x14ac:dyDescent="0.35"/>
    <row r="342" ht="18" customHeight="1" x14ac:dyDescent="0.35"/>
    <row r="343" ht="18" customHeight="1" x14ac:dyDescent="0.35"/>
    <row r="344" ht="18" customHeight="1" x14ac:dyDescent="0.35"/>
    <row r="345" ht="18" customHeight="1" x14ac:dyDescent="0.35"/>
    <row r="346" ht="18" customHeight="1" x14ac:dyDescent="0.35"/>
    <row r="347" ht="18" customHeight="1" x14ac:dyDescent="0.35"/>
    <row r="348" ht="18" customHeight="1" x14ac:dyDescent="0.35"/>
    <row r="349" ht="18" customHeight="1" x14ac:dyDescent="0.35"/>
    <row r="350" ht="18" customHeight="1" x14ac:dyDescent="0.35"/>
    <row r="351" ht="18" customHeight="1" x14ac:dyDescent="0.35"/>
    <row r="352" ht="18" customHeight="1" x14ac:dyDescent="0.35"/>
    <row r="353" ht="18" customHeight="1" x14ac:dyDescent="0.35"/>
    <row r="354" ht="18" customHeight="1" x14ac:dyDescent="0.35"/>
    <row r="355" ht="18" customHeight="1" x14ac:dyDescent="0.35"/>
    <row r="356" ht="18" customHeight="1" x14ac:dyDescent="0.35"/>
    <row r="357" ht="18" customHeight="1" x14ac:dyDescent="0.35"/>
    <row r="358" ht="18" customHeight="1" x14ac:dyDescent="0.35"/>
    <row r="359" ht="18" customHeight="1" x14ac:dyDescent="0.35"/>
    <row r="360" ht="18" customHeight="1" x14ac:dyDescent="0.35"/>
    <row r="361" ht="18" customHeight="1" x14ac:dyDescent="0.35"/>
    <row r="362" ht="18" customHeight="1" x14ac:dyDescent="0.35"/>
    <row r="363" ht="18" customHeight="1" x14ac:dyDescent="0.35"/>
    <row r="364" ht="18" customHeight="1" x14ac:dyDescent="0.35"/>
    <row r="365" ht="18" customHeight="1" x14ac:dyDescent="0.35"/>
    <row r="366" ht="18" customHeight="1" x14ac:dyDescent="0.35"/>
    <row r="367" ht="18" customHeight="1" x14ac:dyDescent="0.35"/>
    <row r="368" ht="18" customHeight="1" x14ac:dyDescent="0.35"/>
    <row r="369" ht="18" customHeight="1" x14ac:dyDescent="0.35"/>
    <row r="370" ht="18" customHeight="1" x14ac:dyDescent="0.35"/>
    <row r="371" ht="18" customHeight="1" x14ac:dyDescent="0.35"/>
    <row r="372" ht="18" customHeight="1" x14ac:dyDescent="0.35"/>
    <row r="373" ht="18" customHeight="1" x14ac:dyDescent="0.35"/>
    <row r="374" ht="18" customHeight="1" x14ac:dyDescent="0.35"/>
    <row r="375" ht="18" customHeight="1" x14ac:dyDescent="0.35"/>
    <row r="376" ht="18" customHeight="1" x14ac:dyDescent="0.35"/>
    <row r="377" ht="18" customHeight="1" x14ac:dyDescent="0.35"/>
    <row r="378" ht="18" customHeight="1" x14ac:dyDescent="0.35"/>
    <row r="379" ht="18" customHeight="1" x14ac:dyDescent="0.35"/>
    <row r="380" ht="18" customHeight="1" x14ac:dyDescent="0.35"/>
    <row r="381" ht="18" customHeight="1" x14ac:dyDescent="0.35"/>
  </sheetData>
  <mergeCells count="14">
    <mergeCell ref="A19:H19"/>
    <mergeCell ref="D10:E10"/>
    <mergeCell ref="A10:B10"/>
    <mergeCell ref="A1:H1"/>
    <mergeCell ref="A2:H2"/>
    <mergeCell ref="A4:B4"/>
    <mergeCell ref="D4:E4"/>
    <mergeCell ref="G4:H4"/>
    <mergeCell ref="A48:H48"/>
    <mergeCell ref="A29:H29"/>
    <mergeCell ref="A38:H38"/>
    <mergeCell ref="A47:H47"/>
    <mergeCell ref="A30:H35"/>
    <mergeCell ref="A39:H44"/>
  </mergeCells>
  <conditionalFormatting sqref="G21:G25">
    <cfRule type="expression" dxfId="3" priority="1">
      <formula>G21&gt;0</formula>
    </cfRule>
    <cfRule type="expression" dxfId="2" priority="2">
      <formula>G21&lt;0</formula>
    </cfRule>
  </conditionalFormatting>
  <dataValidations count="9">
    <dataValidation type="list" allowBlank="1" showInputMessage="1" showErrorMessage="1" sqref="E15" xr:uid="{C150FC67-88C8-4E98-9DD1-F14C0C767534}">
      <formula1>"Reduce Tenure,Reduce EMI"</formula1>
    </dataValidation>
    <dataValidation type="decimal" operator="greaterThanOrEqual" allowBlank="1" showInputMessage="1" showErrorMessage="1" sqref="B5" xr:uid="{31E6022F-70FE-469A-BF78-534947489EFB}">
      <formula1>1</formula1>
    </dataValidation>
    <dataValidation type="decimal" allowBlank="1" showInputMessage="1" showErrorMessage="1" sqref="B6 E12" xr:uid="{B369AE8B-50B5-4F2B-8594-D1F00AF43452}">
      <formula1>0.01</formula1>
      <formula2>30</formula2>
    </dataValidation>
    <dataValidation type="whole" allowBlank="1" showInputMessage="1" showErrorMessage="1" sqref="B7" xr:uid="{0C8CB179-27B7-4609-ACB3-787D66CB92D3}">
      <formula1>1</formula1>
      <formula2>30</formula2>
    </dataValidation>
    <dataValidation type="decimal" operator="greaterThanOrEqual" allowBlank="1" showInputMessage="1" showErrorMessage="1" sqref="B8 B12:B16" xr:uid="{4BA2EB9B-6462-499D-AC24-B6AD3CD5A651}">
      <formula1>0</formula1>
    </dataValidation>
    <dataValidation type="whole" allowBlank="1" showInputMessage="1" showErrorMessage="1" sqref="B9 E11 E16" xr:uid="{0BC84933-3274-47AD-8C2C-FF0630EB3E43}">
      <formula1>1</formula1>
      <formula2>360</formula2>
    </dataValidation>
    <dataValidation type="list" allowBlank="1" showInputMessage="1" showErrorMessage="1" sqref="E14 E17 E13" xr:uid="{264D6AFB-2A85-4B24-884B-9BB98AEC1836}">
      <formula1>"Keep EMI, change tenure,Keep tenure, recalculate EMI"</formula1>
    </dataValidation>
    <dataValidation type="whole" allowBlank="1" showInputMessage="1" showErrorMessage="1" sqref="A12:A16" xr:uid="{D82CC21E-DE3F-43D9-B87F-3377025F1A7F}">
      <formula1>0</formula1>
      <formula2>360</formula2>
    </dataValidation>
    <dataValidation type="list" allowBlank="1" showInputMessage="1" showErrorMessage="1" sqref="H13" xr:uid="{AC50EF4E-0192-4284-BECD-92AAB76E5990}">
      <formula1>"Normal Loan,Multiple Lump Sums,Monthly Extra Payment,Mid-Term Rate Change,Combination of All"</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32601-0611-449D-A088-201EE2A635A7}">
  <dimension ref="A1:AN361"/>
  <sheetViews>
    <sheetView workbookViewId="0"/>
  </sheetViews>
  <sheetFormatPr defaultRowHeight="14.5" x14ac:dyDescent="0.35"/>
  <sheetData>
    <row r="1" spans="1:40" x14ac:dyDescent="0.35">
      <c r="A1" t="s">
        <v>372</v>
      </c>
      <c r="B1" t="s">
        <v>81</v>
      </c>
      <c r="C1" t="s">
        <v>373</v>
      </c>
      <c r="D1" t="s">
        <v>374</v>
      </c>
      <c r="E1" t="s">
        <v>375</v>
      </c>
      <c r="F1" t="s">
        <v>376</v>
      </c>
      <c r="G1" t="s">
        <v>377</v>
      </c>
      <c r="H1" t="s">
        <v>85</v>
      </c>
      <c r="I1" t="s">
        <v>378</v>
      </c>
      <c r="J1" t="s">
        <v>81</v>
      </c>
      <c r="K1" t="s">
        <v>373</v>
      </c>
      <c r="L1" t="s">
        <v>374</v>
      </c>
      <c r="M1" t="s">
        <v>375</v>
      </c>
      <c r="N1" t="s">
        <v>376</v>
      </c>
      <c r="O1" t="s">
        <v>377</v>
      </c>
      <c r="P1" t="s">
        <v>85</v>
      </c>
      <c r="Q1" t="s">
        <v>379</v>
      </c>
      <c r="R1" t="s">
        <v>81</v>
      </c>
      <c r="S1" t="s">
        <v>373</v>
      </c>
      <c r="T1" t="s">
        <v>374</v>
      </c>
      <c r="U1" t="s">
        <v>375</v>
      </c>
      <c r="V1" t="s">
        <v>376</v>
      </c>
      <c r="W1" t="s">
        <v>377</v>
      </c>
      <c r="X1" t="s">
        <v>85</v>
      </c>
      <c r="Y1" t="s">
        <v>380</v>
      </c>
      <c r="Z1" t="s">
        <v>81</v>
      </c>
      <c r="AA1" t="s">
        <v>373</v>
      </c>
      <c r="AB1" t="s">
        <v>374</v>
      </c>
      <c r="AC1" t="s">
        <v>375</v>
      </c>
      <c r="AD1" t="s">
        <v>376</v>
      </c>
      <c r="AE1" t="s">
        <v>377</v>
      </c>
      <c r="AF1" t="s">
        <v>85</v>
      </c>
      <c r="AG1" t="s">
        <v>371</v>
      </c>
      <c r="AH1" t="s">
        <v>81</v>
      </c>
      <c r="AI1" t="s">
        <v>373</v>
      </c>
      <c r="AJ1" t="s">
        <v>374</v>
      </c>
      <c r="AK1" t="s">
        <v>375</v>
      </c>
      <c r="AL1" t="s">
        <v>376</v>
      </c>
      <c r="AM1" t="s">
        <v>377</v>
      </c>
      <c r="AN1" t="s">
        <v>85</v>
      </c>
    </row>
    <row r="2" spans="1:40" x14ac:dyDescent="0.35">
      <c r="A2">
        <v>1</v>
      </c>
      <c r="B2">
        <f>'Loan Prepayment'!$B$5</f>
        <v>10000000</v>
      </c>
      <c r="C2" s="78">
        <f>'Loan Prepayment'!$B$6</f>
        <v>8.5</v>
      </c>
      <c r="D2">
        <f>IF(B2&lt;=0,0,MIN(-PMT('Loan Prepayment'!$B$6/1200,'Loan Prepayment'!$B$7*12,'Loan Prepayment'!$B$5),B2+E2))</f>
        <v>86782.323336553396</v>
      </c>
      <c r="E2">
        <f t="shared" ref="E2:E65" si="0">IF(B2&lt;=0,0,B2*C2/1200)</f>
        <v>70833.333333333328</v>
      </c>
      <c r="F2">
        <f t="shared" ref="F2:F65" si="1">MAX(0,D2-E2)</f>
        <v>15948.990003220068</v>
      </c>
      <c r="G2">
        <v>0</v>
      </c>
      <c r="H2">
        <f t="shared" ref="H2:H65" si="2">MAX(0,B2-F2-G2)</f>
        <v>9984051.0099967793</v>
      </c>
      <c r="I2">
        <v>1</v>
      </c>
      <c r="J2">
        <f>'Loan Prepayment'!$B$5</f>
        <v>10000000</v>
      </c>
      <c r="K2" s="78">
        <f>'Loan Prepayment'!$B$6</f>
        <v>8.5</v>
      </c>
      <c r="L2">
        <f>IF(J2&lt;=0,0,MIN(-PMT(K2/1200,'Loan Prepayment'!$B$7*12,J2),J2+M2))</f>
        <v>86782.323336553396</v>
      </c>
      <c r="M2">
        <f t="shared" ref="M2:M65" si="3">IF(J2&lt;=0,0,J2*K2/1200)</f>
        <v>70833.333333333328</v>
      </c>
      <c r="N2">
        <f t="shared" ref="N2:N65" si="4">MAX(0,L2-M2)</f>
        <v>15948.990003220068</v>
      </c>
      <c r="O2">
        <f>IF(J2&lt;=0,0,MIN(MAX(0,J2-N2),SUMIFS('Loan Prepayment'!$B$12:$B$16,'Loan Prepayment'!$A$12:$A$16,I2)+0))</f>
        <v>0</v>
      </c>
      <c r="P2">
        <f t="shared" ref="P2:P65" si="5">MAX(0,J2-N2-O2)</f>
        <v>9984051.0099967793</v>
      </c>
      <c r="Q2">
        <v>1</v>
      </c>
      <c r="R2">
        <f>'Loan Prepayment'!$B$5</f>
        <v>10000000</v>
      </c>
      <c r="S2" s="78">
        <f>'Loan Prepayment'!$B$6</f>
        <v>8.5</v>
      </c>
      <c r="T2">
        <f>IF(R2&lt;=0,0,MIN(-PMT(S2/1200,'Loan Prepayment'!$B$7*12,R2),R2+U2))</f>
        <v>86782.323336553396</v>
      </c>
      <c r="U2">
        <f t="shared" ref="U2:U65" si="6">IF(R2&lt;=0,0,R2*S2/1200)</f>
        <v>70833.333333333328</v>
      </c>
      <c r="V2">
        <f t="shared" ref="V2:V65" si="7">MAX(0,T2-U2)</f>
        <v>15948.990003220068</v>
      </c>
      <c r="W2">
        <f>IF(R2&lt;=0,0,MIN(MAX(0,R2-V2),0+IF(AND(Q2&gt;='Loan Prepayment'!$B$9,Q2&lt;='Loan Prepayment'!$E$16),'Loan Prepayment'!$B$8,0)))</f>
        <v>0</v>
      </c>
      <c r="X2">
        <f t="shared" ref="X2:X65" si="8">MAX(0,R2-V2-W2)</f>
        <v>9984051.0099967793</v>
      </c>
      <c r="Y2">
        <v>1</v>
      </c>
      <c r="Z2">
        <f>'Loan Prepayment'!$B$5</f>
        <v>10000000</v>
      </c>
      <c r="AA2">
        <f>IF(Y2&gt;='Loan Prepayment'!$E$11,'Loan Prepayment'!$E$12,'Loan Prepayment'!$B$6)</f>
        <v>8.5</v>
      </c>
      <c r="AB2">
        <f>IF(Z2&lt;=0,0,MIN(-PMT(AA2/1200,'Loan Prepayment'!$B$7*12,Z2),Z2+AC2))</f>
        <v>86782.323336553396</v>
      </c>
      <c r="AC2">
        <f t="shared" ref="AC2:AC65" si="9">IF(Z2&lt;=0,0,Z2*AA2/1200)</f>
        <v>70833.333333333328</v>
      </c>
      <c r="AD2">
        <f t="shared" ref="AD2:AD65" si="10">MAX(0,AB2-AC2)</f>
        <v>15948.990003220068</v>
      </c>
      <c r="AE2">
        <f t="shared" ref="AE2:AE65" si="11">IF(Z2&lt;=0,0,MIN(MAX(0,Z2-AD2),0))</f>
        <v>0</v>
      </c>
      <c r="AF2">
        <f t="shared" ref="AF2:AF65" si="12">MAX(0,Z2-AD2-AE2)</f>
        <v>9984051.0099967793</v>
      </c>
      <c r="AG2">
        <v>1</v>
      </c>
      <c r="AH2">
        <f>'Loan Prepayment'!$B$5</f>
        <v>10000000</v>
      </c>
      <c r="AI2">
        <f>IF(AG2&gt;='Loan Prepayment'!$E$11,'Loan Prepayment'!$E$12,'Loan Prepayment'!$B$6)</f>
        <v>8.5</v>
      </c>
      <c r="AJ2">
        <f>IF(AH2&lt;=0,0,MIN(-PMT(AI2/1200,'Loan Prepayment'!$B$7*12,AH2),AH2+AK2))</f>
        <v>86782.323336553396</v>
      </c>
      <c r="AK2">
        <f t="shared" ref="AK2:AK65" si="13">IF(AH2&lt;=0,0,AH2*AI2/1200)</f>
        <v>70833.333333333328</v>
      </c>
      <c r="AL2">
        <f t="shared" ref="AL2:AL65" si="14">MAX(0,AJ2-AK2)</f>
        <v>15948.990003220068</v>
      </c>
      <c r="AM2">
        <f>IF(AH2&lt;=0,0,MIN(MAX(0,AH2-AL2),SUMIFS('Loan Prepayment'!$B$12:$B$16,'Loan Prepayment'!$A$12:$A$16,AG2)+IF(AND(AG2&gt;='Loan Prepayment'!$B$9,AG2&lt;='Loan Prepayment'!$E$16),'Loan Prepayment'!$B$8,0)))</f>
        <v>0</v>
      </c>
      <c r="AN2">
        <f t="shared" ref="AN2:AN65" si="15">MAX(0,AH2-AL2-AM2)</f>
        <v>9984051.0099967793</v>
      </c>
    </row>
    <row r="3" spans="1:40" x14ac:dyDescent="0.35">
      <c r="A3">
        <v>2</v>
      </c>
      <c r="B3">
        <f t="shared" ref="B3:B66" si="16">H2</f>
        <v>9984051.0099967793</v>
      </c>
      <c r="C3" s="78">
        <f>'Loan Prepayment'!$B$6</f>
        <v>8.5</v>
      </c>
      <c r="D3">
        <f>IF(B3&lt;=0,0,MIN(-PMT('Loan Prepayment'!$B$6/1200,'Loan Prepayment'!$B$7*12,'Loan Prepayment'!$B$5),B3+E3))</f>
        <v>86782.323336553396</v>
      </c>
      <c r="E3">
        <f t="shared" si="0"/>
        <v>70720.361320810523</v>
      </c>
      <c r="F3">
        <f t="shared" si="1"/>
        <v>16061.962015742873</v>
      </c>
      <c r="G3">
        <v>0</v>
      </c>
      <c r="H3">
        <f t="shared" si="2"/>
        <v>9967989.0479810368</v>
      </c>
      <c r="I3">
        <v>2</v>
      </c>
      <c r="J3">
        <f t="shared" ref="J3:J66" si="17">P2</f>
        <v>9984051.0099967793</v>
      </c>
      <c r="K3" s="78">
        <f>'Loan Prepayment'!$B$6</f>
        <v>8.5</v>
      </c>
      <c r="L3">
        <f>IF(J3&lt;=0,0,MIN(IF(AND('Loan Prepayment'!$E$15="Reduce EMI",O2&gt;0),-PMT(K3/1200,MAX(1,'Loan Prepayment'!$B$7*12-I3+1),J3),L2),J3+M3))</f>
        <v>86782.323336553396</v>
      </c>
      <c r="M3">
        <f t="shared" si="3"/>
        <v>70720.361320810523</v>
      </c>
      <c r="N3">
        <f t="shared" si="4"/>
        <v>16061.962015742873</v>
      </c>
      <c r="O3">
        <f>IF(J3&lt;=0,0,MIN(MAX(0,J3-N3),SUMIFS('Loan Prepayment'!$B$12:$B$16,'Loan Prepayment'!$A$12:$A$16,I3)+0))</f>
        <v>0</v>
      </c>
      <c r="P3">
        <f t="shared" si="5"/>
        <v>9967989.0479810368</v>
      </c>
      <c r="Q3">
        <v>2</v>
      </c>
      <c r="R3">
        <f t="shared" ref="R3:R66" si="18">X2</f>
        <v>9984051.0099967793</v>
      </c>
      <c r="S3" s="78">
        <f>'Loan Prepayment'!$B$6</f>
        <v>8.5</v>
      </c>
      <c r="T3">
        <f>IF(R3&lt;=0,0,MIN(IF(AND('Loan Prepayment'!$E$15="Reduce EMI",W2&gt;0),-PMT(S3/1200,MAX(1,'Loan Prepayment'!$B$7*12-Q3+1),R3),T2),R3+U3))</f>
        <v>86782.323336553396</v>
      </c>
      <c r="U3">
        <f t="shared" si="6"/>
        <v>70720.361320810523</v>
      </c>
      <c r="V3">
        <f t="shared" si="7"/>
        <v>16061.962015742873</v>
      </c>
      <c r="W3">
        <f>IF(R3&lt;=0,0,MIN(MAX(0,R3-V3),0+IF(AND(Q3&gt;='Loan Prepayment'!$B$9,Q3&lt;='Loan Prepayment'!$E$16),'Loan Prepayment'!$B$8,0)))</f>
        <v>0</v>
      </c>
      <c r="X3">
        <f t="shared" si="8"/>
        <v>9967989.0479810368</v>
      </c>
      <c r="Y3">
        <v>2</v>
      </c>
      <c r="Z3">
        <f t="shared" ref="Z3:Z66" si="19">AF2</f>
        <v>9984051.0099967793</v>
      </c>
      <c r="AA3">
        <f>IF(Y3&gt;='Loan Prepayment'!$E$11,'Loan Prepayment'!$E$12,'Loan Prepayment'!$B$6)</f>
        <v>8.5</v>
      </c>
      <c r="AB3">
        <f>IF(Z3&lt;=0,0,MIN(IF(Y3='Loan Prepayment'!$E$11,IF('Loan Prepayment'!$E$13="Keep tenure, recalculate EMI",-PMT(AA3/1200,MAX(1,'Loan Prepayment'!$B$7*12-Y3+1),Z3),AB2),AB2),Z3+AC3))</f>
        <v>86782.323336553396</v>
      </c>
      <c r="AC3">
        <f t="shared" si="9"/>
        <v>70720.361320810523</v>
      </c>
      <c r="AD3">
        <f t="shared" si="10"/>
        <v>16061.962015742873</v>
      </c>
      <c r="AE3">
        <f t="shared" si="11"/>
        <v>0</v>
      </c>
      <c r="AF3">
        <f t="shared" si="12"/>
        <v>9967989.0479810368</v>
      </c>
      <c r="AG3">
        <v>2</v>
      </c>
      <c r="AH3">
        <f t="shared" ref="AH3:AH66" si="20">AN2</f>
        <v>9984051.0099967793</v>
      </c>
      <c r="AI3">
        <f>IF(AG3&gt;='Loan Prepayment'!$E$11,'Loan Prepayment'!$E$12,'Loan Prepayment'!$B$6)</f>
        <v>8.5</v>
      </c>
      <c r="AJ3">
        <f>IF(AH3&lt;=0,0,MIN(IF(AG3='Loan Prepayment'!$E$11,IF('Loan Prepayment'!$E$13="Keep tenure, recalculate EMI",-PMT(AI3/1200,MAX(1,'Loan Prepayment'!$B$7*12-AG3+1),AH3),AJ2),IF(AND('Loan Prepayment'!$E$15="Reduce EMI",AM2&gt;0),-PMT(AI3/1200,MAX(1,'Loan Prepayment'!$B$7*12-AG3+1),AH3),AJ2)),AH3+AK3))</f>
        <v>86782.323336553396</v>
      </c>
      <c r="AK3">
        <f t="shared" si="13"/>
        <v>70720.361320810523</v>
      </c>
      <c r="AL3">
        <f t="shared" si="14"/>
        <v>16061.962015742873</v>
      </c>
      <c r="AM3">
        <f>IF(AH3&lt;=0,0,MIN(MAX(0,AH3-AL3),SUMIFS('Loan Prepayment'!$B$12:$B$16,'Loan Prepayment'!$A$12:$A$16,AG3)+IF(AND(AG3&gt;='Loan Prepayment'!$B$9,AG3&lt;='Loan Prepayment'!$E$16),'Loan Prepayment'!$B$8,0)))</f>
        <v>0</v>
      </c>
      <c r="AN3">
        <f t="shared" si="15"/>
        <v>9967989.0479810368</v>
      </c>
    </row>
    <row r="4" spans="1:40" x14ac:dyDescent="0.35">
      <c r="A4">
        <v>3</v>
      </c>
      <c r="B4">
        <f t="shared" si="16"/>
        <v>9967989.0479810368</v>
      </c>
      <c r="C4" s="78">
        <f>'Loan Prepayment'!$B$6</f>
        <v>8.5</v>
      </c>
      <c r="D4">
        <f>IF(B4&lt;=0,0,MIN(-PMT('Loan Prepayment'!$B$6/1200,'Loan Prepayment'!$B$7*12,'Loan Prepayment'!$B$5),B4+E4))</f>
        <v>86782.323336553396</v>
      </c>
      <c r="E4">
        <f t="shared" si="0"/>
        <v>70606.589089865665</v>
      </c>
      <c r="F4">
        <f t="shared" si="1"/>
        <v>16175.734246687731</v>
      </c>
      <c r="G4">
        <v>0</v>
      </c>
      <c r="H4">
        <f t="shared" si="2"/>
        <v>9951813.3137343489</v>
      </c>
      <c r="I4">
        <v>3</v>
      </c>
      <c r="J4">
        <f t="shared" si="17"/>
        <v>9967989.0479810368</v>
      </c>
      <c r="K4" s="78">
        <f>'Loan Prepayment'!$B$6</f>
        <v>8.5</v>
      </c>
      <c r="L4">
        <f>IF(J4&lt;=0,0,MIN(IF(AND('Loan Prepayment'!$E$15="Reduce EMI",O3&gt;0),-PMT(K4/1200,MAX(1,'Loan Prepayment'!$B$7*12-I4+1),J4),L3),J4+M4))</f>
        <v>86782.323336553396</v>
      </c>
      <c r="M4">
        <f t="shared" si="3"/>
        <v>70606.589089865665</v>
      </c>
      <c r="N4">
        <f t="shared" si="4"/>
        <v>16175.734246687731</v>
      </c>
      <c r="O4">
        <f>IF(J4&lt;=0,0,MIN(MAX(0,J4-N4),SUMIFS('Loan Prepayment'!$B$12:$B$16,'Loan Prepayment'!$A$12:$A$16,I4)+0))</f>
        <v>0</v>
      </c>
      <c r="P4">
        <f t="shared" si="5"/>
        <v>9951813.3137343489</v>
      </c>
      <c r="Q4">
        <v>3</v>
      </c>
      <c r="R4">
        <f t="shared" si="18"/>
        <v>9967989.0479810368</v>
      </c>
      <c r="S4" s="78">
        <f>'Loan Prepayment'!$B$6</f>
        <v>8.5</v>
      </c>
      <c r="T4">
        <f>IF(R4&lt;=0,0,MIN(IF(AND('Loan Prepayment'!$E$15="Reduce EMI",W3&gt;0),-PMT(S4/1200,MAX(1,'Loan Prepayment'!$B$7*12-Q4+1),R4),T3),R4+U4))</f>
        <v>86782.323336553396</v>
      </c>
      <c r="U4">
        <f t="shared" si="6"/>
        <v>70606.589089865665</v>
      </c>
      <c r="V4">
        <f t="shared" si="7"/>
        <v>16175.734246687731</v>
      </c>
      <c r="W4">
        <f>IF(R4&lt;=0,0,MIN(MAX(0,R4-V4),0+IF(AND(Q4&gt;='Loan Prepayment'!$B$9,Q4&lt;='Loan Prepayment'!$E$16),'Loan Prepayment'!$B$8,0)))</f>
        <v>0</v>
      </c>
      <c r="X4">
        <f t="shared" si="8"/>
        <v>9951813.3137343489</v>
      </c>
      <c r="Y4">
        <v>3</v>
      </c>
      <c r="Z4">
        <f t="shared" si="19"/>
        <v>9967989.0479810368</v>
      </c>
      <c r="AA4">
        <f>IF(Y4&gt;='Loan Prepayment'!$E$11,'Loan Prepayment'!$E$12,'Loan Prepayment'!$B$6)</f>
        <v>8.5</v>
      </c>
      <c r="AB4">
        <f>IF(Z4&lt;=0,0,MIN(IF(Y4='Loan Prepayment'!$E$11,IF('Loan Prepayment'!$E$13="Keep tenure, recalculate EMI",-PMT(AA4/1200,MAX(1,'Loan Prepayment'!$B$7*12-Y4+1),Z4),AB3),AB3),Z4+AC4))</f>
        <v>86782.323336553396</v>
      </c>
      <c r="AC4">
        <f t="shared" si="9"/>
        <v>70606.589089865665</v>
      </c>
      <c r="AD4">
        <f t="shared" si="10"/>
        <v>16175.734246687731</v>
      </c>
      <c r="AE4">
        <f t="shared" si="11"/>
        <v>0</v>
      </c>
      <c r="AF4">
        <f t="shared" si="12"/>
        <v>9951813.3137343489</v>
      </c>
      <c r="AG4">
        <v>3</v>
      </c>
      <c r="AH4">
        <f t="shared" si="20"/>
        <v>9967989.0479810368</v>
      </c>
      <c r="AI4">
        <f>IF(AG4&gt;='Loan Prepayment'!$E$11,'Loan Prepayment'!$E$12,'Loan Prepayment'!$B$6)</f>
        <v>8.5</v>
      </c>
      <c r="AJ4">
        <f>IF(AH4&lt;=0,0,MIN(IF(AG4='Loan Prepayment'!$E$11,IF('Loan Prepayment'!$E$13="Keep tenure, recalculate EMI",-PMT(AI4/1200,MAX(1,'Loan Prepayment'!$B$7*12-AG4+1),AH4),AJ3),IF(AND('Loan Prepayment'!$E$15="Reduce EMI",AM3&gt;0),-PMT(AI4/1200,MAX(1,'Loan Prepayment'!$B$7*12-AG4+1),AH4),AJ3)),AH4+AK4))</f>
        <v>86782.323336553396</v>
      </c>
      <c r="AK4">
        <f t="shared" si="13"/>
        <v>70606.589089865665</v>
      </c>
      <c r="AL4">
        <f t="shared" si="14"/>
        <v>16175.734246687731</v>
      </c>
      <c r="AM4">
        <f>IF(AH4&lt;=0,0,MIN(MAX(0,AH4-AL4),SUMIFS('Loan Prepayment'!$B$12:$B$16,'Loan Prepayment'!$A$12:$A$16,AG4)+IF(AND(AG4&gt;='Loan Prepayment'!$B$9,AG4&lt;='Loan Prepayment'!$E$16),'Loan Prepayment'!$B$8,0)))</f>
        <v>0</v>
      </c>
      <c r="AN4">
        <f t="shared" si="15"/>
        <v>9951813.3137343489</v>
      </c>
    </row>
    <row r="5" spans="1:40" x14ac:dyDescent="0.35">
      <c r="A5">
        <v>4</v>
      </c>
      <c r="B5">
        <f t="shared" si="16"/>
        <v>9951813.3137343489</v>
      </c>
      <c r="C5" s="78">
        <f>'Loan Prepayment'!$B$6</f>
        <v>8.5</v>
      </c>
      <c r="D5">
        <f>IF(B5&lt;=0,0,MIN(-PMT('Loan Prepayment'!$B$6/1200,'Loan Prepayment'!$B$7*12,'Loan Prepayment'!$B$5),B5+E5))</f>
        <v>86782.323336553396</v>
      </c>
      <c r="E5">
        <f t="shared" si="0"/>
        <v>70492.010972284974</v>
      </c>
      <c r="F5">
        <f t="shared" si="1"/>
        <v>16290.312364268422</v>
      </c>
      <c r="G5">
        <v>0</v>
      </c>
      <c r="H5">
        <f t="shared" si="2"/>
        <v>9935523.0013700798</v>
      </c>
      <c r="I5">
        <v>4</v>
      </c>
      <c r="J5">
        <f t="shared" si="17"/>
        <v>9951813.3137343489</v>
      </c>
      <c r="K5" s="78">
        <f>'Loan Prepayment'!$B$6</f>
        <v>8.5</v>
      </c>
      <c r="L5">
        <f>IF(J5&lt;=0,0,MIN(IF(AND('Loan Prepayment'!$E$15="Reduce EMI",O4&gt;0),-PMT(K5/1200,MAX(1,'Loan Prepayment'!$B$7*12-I5+1),J5),L4),J5+M5))</f>
        <v>86782.323336553396</v>
      </c>
      <c r="M5">
        <f t="shared" si="3"/>
        <v>70492.010972284974</v>
      </c>
      <c r="N5">
        <f t="shared" si="4"/>
        <v>16290.312364268422</v>
      </c>
      <c r="O5">
        <f>IF(J5&lt;=0,0,MIN(MAX(0,J5-N5),SUMIFS('Loan Prepayment'!$B$12:$B$16,'Loan Prepayment'!$A$12:$A$16,I5)+0))</f>
        <v>0</v>
      </c>
      <c r="P5">
        <f t="shared" si="5"/>
        <v>9935523.0013700798</v>
      </c>
      <c r="Q5">
        <v>4</v>
      </c>
      <c r="R5">
        <f t="shared" si="18"/>
        <v>9951813.3137343489</v>
      </c>
      <c r="S5" s="78">
        <f>'Loan Prepayment'!$B$6</f>
        <v>8.5</v>
      </c>
      <c r="T5">
        <f>IF(R5&lt;=0,0,MIN(IF(AND('Loan Prepayment'!$E$15="Reduce EMI",W4&gt;0),-PMT(S5/1200,MAX(1,'Loan Prepayment'!$B$7*12-Q5+1),R5),T4),R5+U5))</f>
        <v>86782.323336553396</v>
      </c>
      <c r="U5">
        <f t="shared" si="6"/>
        <v>70492.010972284974</v>
      </c>
      <c r="V5">
        <f t="shared" si="7"/>
        <v>16290.312364268422</v>
      </c>
      <c r="W5">
        <f>IF(R5&lt;=0,0,MIN(MAX(0,R5-V5),0+IF(AND(Q5&gt;='Loan Prepayment'!$B$9,Q5&lt;='Loan Prepayment'!$E$16),'Loan Prepayment'!$B$8,0)))</f>
        <v>0</v>
      </c>
      <c r="X5">
        <f t="shared" si="8"/>
        <v>9935523.0013700798</v>
      </c>
      <c r="Y5">
        <v>4</v>
      </c>
      <c r="Z5">
        <f t="shared" si="19"/>
        <v>9951813.3137343489</v>
      </c>
      <c r="AA5">
        <f>IF(Y5&gt;='Loan Prepayment'!$E$11,'Loan Prepayment'!$E$12,'Loan Prepayment'!$B$6)</f>
        <v>8.5</v>
      </c>
      <c r="AB5">
        <f>IF(Z5&lt;=0,0,MIN(IF(Y5='Loan Prepayment'!$E$11,IF('Loan Prepayment'!$E$13="Keep tenure, recalculate EMI",-PMT(AA5/1200,MAX(1,'Loan Prepayment'!$B$7*12-Y5+1),Z5),AB4),AB4),Z5+AC5))</f>
        <v>86782.323336553396</v>
      </c>
      <c r="AC5">
        <f t="shared" si="9"/>
        <v>70492.010972284974</v>
      </c>
      <c r="AD5">
        <f t="shared" si="10"/>
        <v>16290.312364268422</v>
      </c>
      <c r="AE5">
        <f t="shared" si="11"/>
        <v>0</v>
      </c>
      <c r="AF5">
        <f t="shared" si="12"/>
        <v>9935523.0013700798</v>
      </c>
      <c r="AG5">
        <v>4</v>
      </c>
      <c r="AH5">
        <f t="shared" si="20"/>
        <v>9951813.3137343489</v>
      </c>
      <c r="AI5">
        <f>IF(AG5&gt;='Loan Prepayment'!$E$11,'Loan Prepayment'!$E$12,'Loan Prepayment'!$B$6)</f>
        <v>8.5</v>
      </c>
      <c r="AJ5">
        <f>IF(AH5&lt;=0,0,MIN(IF(AG5='Loan Prepayment'!$E$11,IF('Loan Prepayment'!$E$13="Keep tenure, recalculate EMI",-PMT(AI5/1200,MAX(1,'Loan Prepayment'!$B$7*12-AG5+1),AH5),AJ4),IF(AND('Loan Prepayment'!$E$15="Reduce EMI",AM4&gt;0),-PMT(AI5/1200,MAX(1,'Loan Prepayment'!$B$7*12-AG5+1),AH5),AJ4)),AH5+AK5))</f>
        <v>86782.323336553396</v>
      </c>
      <c r="AK5">
        <f t="shared" si="13"/>
        <v>70492.010972284974</v>
      </c>
      <c r="AL5">
        <f t="shared" si="14"/>
        <v>16290.312364268422</v>
      </c>
      <c r="AM5">
        <f>IF(AH5&lt;=0,0,MIN(MAX(0,AH5-AL5),SUMIFS('Loan Prepayment'!$B$12:$B$16,'Loan Prepayment'!$A$12:$A$16,AG5)+IF(AND(AG5&gt;='Loan Prepayment'!$B$9,AG5&lt;='Loan Prepayment'!$E$16),'Loan Prepayment'!$B$8,0)))</f>
        <v>0</v>
      </c>
      <c r="AN5">
        <f t="shared" si="15"/>
        <v>9935523.0013700798</v>
      </c>
    </row>
    <row r="6" spans="1:40" x14ac:dyDescent="0.35">
      <c r="A6">
        <v>5</v>
      </c>
      <c r="B6">
        <f t="shared" si="16"/>
        <v>9935523.0013700798</v>
      </c>
      <c r="C6" s="78">
        <f>'Loan Prepayment'!$B$6</f>
        <v>8.5</v>
      </c>
      <c r="D6">
        <f>IF(B6&lt;=0,0,MIN(-PMT('Loan Prepayment'!$B$6/1200,'Loan Prepayment'!$B$7*12,'Loan Prepayment'!$B$5),B6+E6))</f>
        <v>86782.323336553396</v>
      </c>
      <c r="E6">
        <f t="shared" si="0"/>
        <v>70376.621259704727</v>
      </c>
      <c r="F6">
        <f t="shared" si="1"/>
        <v>16405.702076848669</v>
      </c>
      <c r="G6">
        <v>0</v>
      </c>
      <c r="H6">
        <f t="shared" si="2"/>
        <v>9919117.2992932312</v>
      </c>
      <c r="I6">
        <v>5</v>
      </c>
      <c r="J6">
        <f t="shared" si="17"/>
        <v>9935523.0013700798</v>
      </c>
      <c r="K6" s="78">
        <f>'Loan Prepayment'!$B$6</f>
        <v>8.5</v>
      </c>
      <c r="L6">
        <f>IF(J6&lt;=0,0,MIN(IF(AND('Loan Prepayment'!$E$15="Reduce EMI",O5&gt;0),-PMT(K6/1200,MAX(1,'Loan Prepayment'!$B$7*12-I6+1),J6),L5),J6+M6))</f>
        <v>86782.323336553396</v>
      </c>
      <c r="M6">
        <f t="shared" si="3"/>
        <v>70376.621259704727</v>
      </c>
      <c r="N6">
        <f t="shared" si="4"/>
        <v>16405.702076848669</v>
      </c>
      <c r="O6">
        <f>IF(J6&lt;=0,0,MIN(MAX(0,J6-N6),SUMIFS('Loan Prepayment'!$B$12:$B$16,'Loan Prepayment'!$A$12:$A$16,I6)+0))</f>
        <v>0</v>
      </c>
      <c r="P6">
        <f t="shared" si="5"/>
        <v>9919117.2992932312</v>
      </c>
      <c r="Q6">
        <v>5</v>
      </c>
      <c r="R6">
        <f t="shared" si="18"/>
        <v>9935523.0013700798</v>
      </c>
      <c r="S6" s="78">
        <f>'Loan Prepayment'!$B$6</f>
        <v>8.5</v>
      </c>
      <c r="T6">
        <f>IF(R6&lt;=0,0,MIN(IF(AND('Loan Prepayment'!$E$15="Reduce EMI",W5&gt;0),-PMT(S6/1200,MAX(1,'Loan Prepayment'!$B$7*12-Q6+1),R6),T5),R6+U6))</f>
        <v>86782.323336553396</v>
      </c>
      <c r="U6">
        <f t="shared" si="6"/>
        <v>70376.621259704727</v>
      </c>
      <c r="V6">
        <f t="shared" si="7"/>
        <v>16405.702076848669</v>
      </c>
      <c r="W6">
        <f>IF(R6&lt;=0,0,MIN(MAX(0,R6-V6),0+IF(AND(Q6&gt;='Loan Prepayment'!$B$9,Q6&lt;='Loan Prepayment'!$E$16),'Loan Prepayment'!$B$8,0)))</f>
        <v>0</v>
      </c>
      <c r="X6">
        <f t="shared" si="8"/>
        <v>9919117.2992932312</v>
      </c>
      <c r="Y6">
        <v>5</v>
      </c>
      <c r="Z6">
        <f t="shared" si="19"/>
        <v>9935523.0013700798</v>
      </c>
      <c r="AA6">
        <f>IF(Y6&gt;='Loan Prepayment'!$E$11,'Loan Prepayment'!$E$12,'Loan Prepayment'!$B$6)</f>
        <v>8.5</v>
      </c>
      <c r="AB6">
        <f>IF(Z6&lt;=0,0,MIN(IF(Y6='Loan Prepayment'!$E$11,IF('Loan Prepayment'!$E$13="Keep tenure, recalculate EMI",-PMT(AA6/1200,MAX(1,'Loan Prepayment'!$B$7*12-Y6+1),Z6),AB5),AB5),Z6+AC6))</f>
        <v>86782.323336553396</v>
      </c>
      <c r="AC6">
        <f t="shared" si="9"/>
        <v>70376.621259704727</v>
      </c>
      <c r="AD6">
        <f t="shared" si="10"/>
        <v>16405.702076848669</v>
      </c>
      <c r="AE6">
        <f t="shared" si="11"/>
        <v>0</v>
      </c>
      <c r="AF6">
        <f t="shared" si="12"/>
        <v>9919117.2992932312</v>
      </c>
      <c r="AG6">
        <v>5</v>
      </c>
      <c r="AH6">
        <f t="shared" si="20"/>
        <v>9935523.0013700798</v>
      </c>
      <c r="AI6">
        <f>IF(AG6&gt;='Loan Prepayment'!$E$11,'Loan Prepayment'!$E$12,'Loan Prepayment'!$B$6)</f>
        <v>8.5</v>
      </c>
      <c r="AJ6">
        <f>IF(AH6&lt;=0,0,MIN(IF(AG6='Loan Prepayment'!$E$11,IF('Loan Prepayment'!$E$13="Keep tenure, recalculate EMI",-PMT(AI6/1200,MAX(1,'Loan Prepayment'!$B$7*12-AG6+1),AH6),AJ5),IF(AND('Loan Prepayment'!$E$15="Reduce EMI",AM5&gt;0),-PMT(AI6/1200,MAX(1,'Loan Prepayment'!$B$7*12-AG6+1),AH6),AJ5)),AH6+AK6))</f>
        <v>86782.323336553396</v>
      </c>
      <c r="AK6">
        <f t="shared" si="13"/>
        <v>70376.621259704727</v>
      </c>
      <c r="AL6">
        <f t="shared" si="14"/>
        <v>16405.702076848669</v>
      </c>
      <c r="AM6">
        <f>IF(AH6&lt;=0,0,MIN(MAX(0,AH6-AL6),SUMIFS('Loan Prepayment'!$B$12:$B$16,'Loan Prepayment'!$A$12:$A$16,AG6)+IF(AND(AG6&gt;='Loan Prepayment'!$B$9,AG6&lt;='Loan Prepayment'!$E$16),'Loan Prepayment'!$B$8,0)))</f>
        <v>0</v>
      </c>
      <c r="AN6">
        <f t="shared" si="15"/>
        <v>9919117.2992932312</v>
      </c>
    </row>
    <row r="7" spans="1:40" x14ac:dyDescent="0.35">
      <c r="A7">
        <v>6</v>
      </c>
      <c r="B7">
        <f t="shared" si="16"/>
        <v>9919117.2992932312</v>
      </c>
      <c r="C7" s="78">
        <f>'Loan Prepayment'!$B$6</f>
        <v>8.5</v>
      </c>
      <c r="D7">
        <f>IF(B7&lt;=0,0,MIN(-PMT('Loan Prepayment'!$B$6/1200,'Loan Prepayment'!$B$7*12,'Loan Prepayment'!$B$5),B7+E7))</f>
        <v>86782.323336553396</v>
      </c>
      <c r="E7">
        <f t="shared" si="0"/>
        <v>70260.414203327047</v>
      </c>
      <c r="F7">
        <f t="shared" si="1"/>
        <v>16521.909133226349</v>
      </c>
      <c r="G7">
        <v>0</v>
      </c>
      <c r="H7">
        <f t="shared" si="2"/>
        <v>9902595.3901600055</v>
      </c>
      <c r="I7">
        <v>6</v>
      </c>
      <c r="J7">
        <f t="shared" si="17"/>
        <v>9919117.2992932312</v>
      </c>
      <c r="K7" s="78">
        <f>'Loan Prepayment'!$B$6</f>
        <v>8.5</v>
      </c>
      <c r="L7">
        <f>IF(J7&lt;=0,0,MIN(IF(AND('Loan Prepayment'!$E$15="Reduce EMI",O6&gt;0),-PMT(K7/1200,MAX(1,'Loan Prepayment'!$B$7*12-I7+1),J7),L6),J7+M7))</f>
        <v>86782.323336553396</v>
      </c>
      <c r="M7">
        <f t="shared" si="3"/>
        <v>70260.414203327047</v>
      </c>
      <c r="N7">
        <f t="shared" si="4"/>
        <v>16521.909133226349</v>
      </c>
      <c r="O7">
        <f>IF(J7&lt;=0,0,MIN(MAX(0,J7-N7),SUMIFS('Loan Prepayment'!$B$12:$B$16,'Loan Prepayment'!$A$12:$A$16,I7)+0))</f>
        <v>0</v>
      </c>
      <c r="P7">
        <f t="shared" si="5"/>
        <v>9902595.3901600055</v>
      </c>
      <c r="Q7">
        <v>6</v>
      </c>
      <c r="R7">
        <f t="shared" si="18"/>
        <v>9919117.2992932312</v>
      </c>
      <c r="S7" s="78">
        <f>'Loan Prepayment'!$B$6</f>
        <v>8.5</v>
      </c>
      <c r="T7">
        <f>IF(R7&lt;=0,0,MIN(IF(AND('Loan Prepayment'!$E$15="Reduce EMI",W6&gt;0),-PMT(S7/1200,MAX(1,'Loan Prepayment'!$B$7*12-Q7+1),R7),T6),R7+U7))</f>
        <v>86782.323336553396</v>
      </c>
      <c r="U7">
        <f t="shared" si="6"/>
        <v>70260.414203327047</v>
      </c>
      <c r="V7">
        <f t="shared" si="7"/>
        <v>16521.909133226349</v>
      </c>
      <c r="W7">
        <f>IF(R7&lt;=0,0,MIN(MAX(0,R7-V7),0+IF(AND(Q7&gt;='Loan Prepayment'!$B$9,Q7&lt;='Loan Prepayment'!$E$16),'Loan Prepayment'!$B$8,0)))</f>
        <v>0</v>
      </c>
      <c r="X7">
        <f t="shared" si="8"/>
        <v>9902595.3901600055</v>
      </c>
      <c r="Y7">
        <v>6</v>
      </c>
      <c r="Z7">
        <f t="shared" si="19"/>
        <v>9919117.2992932312</v>
      </c>
      <c r="AA7">
        <f>IF(Y7&gt;='Loan Prepayment'!$E$11,'Loan Prepayment'!$E$12,'Loan Prepayment'!$B$6)</f>
        <v>8.5</v>
      </c>
      <c r="AB7">
        <f>IF(Z7&lt;=0,0,MIN(IF(Y7='Loan Prepayment'!$E$11,IF('Loan Prepayment'!$E$13="Keep tenure, recalculate EMI",-PMT(AA7/1200,MAX(1,'Loan Prepayment'!$B$7*12-Y7+1),Z7),AB6),AB6),Z7+AC7))</f>
        <v>86782.323336553396</v>
      </c>
      <c r="AC7">
        <f t="shared" si="9"/>
        <v>70260.414203327047</v>
      </c>
      <c r="AD7">
        <f t="shared" si="10"/>
        <v>16521.909133226349</v>
      </c>
      <c r="AE7">
        <f t="shared" si="11"/>
        <v>0</v>
      </c>
      <c r="AF7">
        <f t="shared" si="12"/>
        <v>9902595.3901600055</v>
      </c>
      <c r="AG7">
        <v>6</v>
      </c>
      <c r="AH7">
        <f t="shared" si="20"/>
        <v>9919117.2992932312</v>
      </c>
      <c r="AI7">
        <f>IF(AG7&gt;='Loan Prepayment'!$E$11,'Loan Prepayment'!$E$12,'Loan Prepayment'!$B$6)</f>
        <v>8.5</v>
      </c>
      <c r="AJ7">
        <f>IF(AH7&lt;=0,0,MIN(IF(AG7='Loan Prepayment'!$E$11,IF('Loan Prepayment'!$E$13="Keep tenure, recalculate EMI",-PMT(AI7/1200,MAX(1,'Loan Prepayment'!$B$7*12-AG7+1),AH7),AJ6),IF(AND('Loan Prepayment'!$E$15="Reduce EMI",AM6&gt;0),-PMT(AI7/1200,MAX(1,'Loan Prepayment'!$B$7*12-AG7+1),AH7),AJ6)),AH7+AK7))</f>
        <v>86782.323336553396</v>
      </c>
      <c r="AK7">
        <f t="shared" si="13"/>
        <v>70260.414203327047</v>
      </c>
      <c r="AL7">
        <f t="shared" si="14"/>
        <v>16521.909133226349</v>
      </c>
      <c r="AM7">
        <f>IF(AH7&lt;=0,0,MIN(MAX(0,AH7-AL7),SUMIFS('Loan Prepayment'!$B$12:$B$16,'Loan Prepayment'!$A$12:$A$16,AG7)+IF(AND(AG7&gt;='Loan Prepayment'!$B$9,AG7&lt;='Loan Prepayment'!$E$16),'Loan Prepayment'!$B$8,0)))</f>
        <v>0</v>
      </c>
      <c r="AN7">
        <f t="shared" si="15"/>
        <v>9902595.3901600055</v>
      </c>
    </row>
    <row r="8" spans="1:40" x14ac:dyDescent="0.35">
      <c r="A8">
        <v>7</v>
      </c>
      <c r="B8">
        <f t="shared" si="16"/>
        <v>9902595.3901600055</v>
      </c>
      <c r="C8" s="78">
        <f>'Loan Prepayment'!$B$6</f>
        <v>8.5</v>
      </c>
      <c r="D8">
        <f>IF(B8&lt;=0,0,MIN(-PMT('Loan Prepayment'!$B$6/1200,'Loan Prepayment'!$B$7*12,'Loan Prepayment'!$B$5),B8+E8))</f>
        <v>86782.323336553396</v>
      </c>
      <c r="E8">
        <f t="shared" si="0"/>
        <v>70143.384013633375</v>
      </c>
      <c r="F8">
        <f t="shared" si="1"/>
        <v>16638.939322920021</v>
      </c>
      <c r="G8">
        <v>0</v>
      </c>
      <c r="H8">
        <f t="shared" si="2"/>
        <v>9885956.450837085</v>
      </c>
      <c r="I8">
        <v>7</v>
      </c>
      <c r="J8">
        <f t="shared" si="17"/>
        <v>9902595.3901600055</v>
      </c>
      <c r="K8" s="78">
        <f>'Loan Prepayment'!$B$6</f>
        <v>8.5</v>
      </c>
      <c r="L8">
        <f>IF(J8&lt;=0,0,MIN(IF(AND('Loan Prepayment'!$E$15="Reduce EMI",O7&gt;0),-PMT(K8/1200,MAX(1,'Loan Prepayment'!$B$7*12-I8+1),J8),L7),J8+M8))</f>
        <v>86782.323336553396</v>
      </c>
      <c r="M8">
        <f t="shared" si="3"/>
        <v>70143.384013633375</v>
      </c>
      <c r="N8">
        <f t="shared" si="4"/>
        <v>16638.939322920021</v>
      </c>
      <c r="O8">
        <f>IF(J8&lt;=0,0,MIN(MAX(0,J8-N8),SUMIFS('Loan Prepayment'!$B$12:$B$16,'Loan Prepayment'!$A$12:$A$16,I8)+0))</f>
        <v>0</v>
      </c>
      <c r="P8">
        <f t="shared" si="5"/>
        <v>9885956.450837085</v>
      </c>
      <c r="Q8">
        <v>7</v>
      </c>
      <c r="R8">
        <f t="shared" si="18"/>
        <v>9902595.3901600055</v>
      </c>
      <c r="S8" s="78">
        <f>'Loan Prepayment'!$B$6</f>
        <v>8.5</v>
      </c>
      <c r="T8">
        <f>IF(R8&lt;=0,0,MIN(IF(AND('Loan Prepayment'!$E$15="Reduce EMI",W7&gt;0),-PMT(S8/1200,MAX(1,'Loan Prepayment'!$B$7*12-Q8+1),R8),T7),R8+U8))</f>
        <v>86782.323336553396</v>
      </c>
      <c r="U8">
        <f t="shared" si="6"/>
        <v>70143.384013633375</v>
      </c>
      <c r="V8">
        <f t="shared" si="7"/>
        <v>16638.939322920021</v>
      </c>
      <c r="W8">
        <f>IF(R8&lt;=0,0,MIN(MAX(0,R8-V8),0+IF(AND(Q8&gt;='Loan Prepayment'!$B$9,Q8&lt;='Loan Prepayment'!$E$16),'Loan Prepayment'!$B$8,0)))</f>
        <v>0</v>
      </c>
      <c r="X8">
        <f t="shared" si="8"/>
        <v>9885956.450837085</v>
      </c>
      <c r="Y8">
        <v>7</v>
      </c>
      <c r="Z8">
        <f t="shared" si="19"/>
        <v>9902595.3901600055</v>
      </c>
      <c r="AA8">
        <f>IF(Y8&gt;='Loan Prepayment'!$E$11,'Loan Prepayment'!$E$12,'Loan Prepayment'!$B$6)</f>
        <v>8.5</v>
      </c>
      <c r="AB8">
        <f>IF(Z8&lt;=0,0,MIN(IF(Y8='Loan Prepayment'!$E$11,IF('Loan Prepayment'!$E$13="Keep tenure, recalculate EMI",-PMT(AA8/1200,MAX(1,'Loan Prepayment'!$B$7*12-Y8+1),Z8),AB7),AB7),Z8+AC8))</f>
        <v>86782.323336553396</v>
      </c>
      <c r="AC8">
        <f t="shared" si="9"/>
        <v>70143.384013633375</v>
      </c>
      <c r="AD8">
        <f t="shared" si="10"/>
        <v>16638.939322920021</v>
      </c>
      <c r="AE8">
        <f t="shared" si="11"/>
        <v>0</v>
      </c>
      <c r="AF8">
        <f t="shared" si="12"/>
        <v>9885956.450837085</v>
      </c>
      <c r="AG8">
        <v>7</v>
      </c>
      <c r="AH8">
        <f t="shared" si="20"/>
        <v>9902595.3901600055</v>
      </c>
      <c r="AI8">
        <f>IF(AG8&gt;='Loan Prepayment'!$E$11,'Loan Prepayment'!$E$12,'Loan Prepayment'!$B$6)</f>
        <v>8.5</v>
      </c>
      <c r="AJ8">
        <f>IF(AH8&lt;=0,0,MIN(IF(AG8='Loan Prepayment'!$E$11,IF('Loan Prepayment'!$E$13="Keep tenure, recalculate EMI",-PMT(AI8/1200,MAX(1,'Loan Prepayment'!$B$7*12-AG8+1),AH8),AJ7),IF(AND('Loan Prepayment'!$E$15="Reduce EMI",AM7&gt;0),-PMT(AI8/1200,MAX(1,'Loan Prepayment'!$B$7*12-AG8+1),AH8),AJ7)),AH8+AK8))</f>
        <v>86782.323336553396</v>
      </c>
      <c r="AK8">
        <f t="shared" si="13"/>
        <v>70143.384013633375</v>
      </c>
      <c r="AL8">
        <f t="shared" si="14"/>
        <v>16638.939322920021</v>
      </c>
      <c r="AM8">
        <f>IF(AH8&lt;=0,0,MIN(MAX(0,AH8-AL8),SUMIFS('Loan Prepayment'!$B$12:$B$16,'Loan Prepayment'!$A$12:$A$16,AG8)+IF(AND(AG8&gt;='Loan Prepayment'!$B$9,AG8&lt;='Loan Prepayment'!$E$16),'Loan Prepayment'!$B$8,0)))</f>
        <v>0</v>
      </c>
      <c r="AN8">
        <f t="shared" si="15"/>
        <v>9885956.450837085</v>
      </c>
    </row>
    <row r="9" spans="1:40" x14ac:dyDescent="0.35">
      <c r="A9">
        <v>8</v>
      </c>
      <c r="B9">
        <f t="shared" si="16"/>
        <v>9885956.450837085</v>
      </c>
      <c r="C9" s="78">
        <f>'Loan Prepayment'!$B$6</f>
        <v>8.5</v>
      </c>
      <c r="D9">
        <f>IF(B9&lt;=0,0,MIN(-PMT('Loan Prepayment'!$B$6/1200,'Loan Prepayment'!$B$7*12,'Loan Prepayment'!$B$5),B9+E9))</f>
        <v>86782.323336553396</v>
      </c>
      <c r="E9">
        <f t="shared" si="0"/>
        <v>70025.524860096019</v>
      </c>
      <c r="F9">
        <f t="shared" si="1"/>
        <v>16756.798476457378</v>
      </c>
      <c r="G9">
        <v>0</v>
      </c>
      <c r="H9">
        <f t="shared" si="2"/>
        <v>9869199.6523606274</v>
      </c>
      <c r="I9">
        <v>8</v>
      </c>
      <c r="J9">
        <f t="shared" si="17"/>
        <v>9885956.450837085</v>
      </c>
      <c r="K9" s="78">
        <f>'Loan Prepayment'!$B$6</f>
        <v>8.5</v>
      </c>
      <c r="L9">
        <f>IF(J9&lt;=0,0,MIN(IF(AND('Loan Prepayment'!$E$15="Reduce EMI",O8&gt;0),-PMT(K9/1200,MAX(1,'Loan Prepayment'!$B$7*12-I9+1),J9),L8),J9+M9))</f>
        <v>86782.323336553396</v>
      </c>
      <c r="M9">
        <f t="shared" si="3"/>
        <v>70025.524860096019</v>
      </c>
      <c r="N9">
        <f t="shared" si="4"/>
        <v>16756.798476457378</v>
      </c>
      <c r="O9">
        <f>IF(J9&lt;=0,0,MIN(MAX(0,J9-N9),SUMIFS('Loan Prepayment'!$B$12:$B$16,'Loan Prepayment'!$A$12:$A$16,I9)+0))</f>
        <v>0</v>
      </c>
      <c r="P9">
        <f t="shared" si="5"/>
        <v>9869199.6523606274</v>
      </c>
      <c r="Q9">
        <v>8</v>
      </c>
      <c r="R9">
        <f t="shared" si="18"/>
        <v>9885956.450837085</v>
      </c>
      <c r="S9" s="78">
        <f>'Loan Prepayment'!$B$6</f>
        <v>8.5</v>
      </c>
      <c r="T9">
        <f>IF(R9&lt;=0,0,MIN(IF(AND('Loan Prepayment'!$E$15="Reduce EMI",W8&gt;0),-PMT(S9/1200,MAX(1,'Loan Prepayment'!$B$7*12-Q9+1),R9),T8),R9+U9))</f>
        <v>86782.323336553396</v>
      </c>
      <c r="U9">
        <f t="shared" si="6"/>
        <v>70025.524860096019</v>
      </c>
      <c r="V9">
        <f t="shared" si="7"/>
        <v>16756.798476457378</v>
      </c>
      <c r="W9">
        <f>IF(R9&lt;=0,0,MIN(MAX(0,R9-V9),0+IF(AND(Q9&gt;='Loan Prepayment'!$B$9,Q9&lt;='Loan Prepayment'!$E$16),'Loan Prepayment'!$B$8,0)))</f>
        <v>0</v>
      </c>
      <c r="X9">
        <f t="shared" si="8"/>
        <v>9869199.6523606274</v>
      </c>
      <c r="Y9">
        <v>8</v>
      </c>
      <c r="Z9">
        <f t="shared" si="19"/>
        <v>9885956.450837085</v>
      </c>
      <c r="AA9">
        <f>IF(Y9&gt;='Loan Prepayment'!$E$11,'Loan Prepayment'!$E$12,'Loan Prepayment'!$B$6)</f>
        <v>8.5</v>
      </c>
      <c r="AB9">
        <f>IF(Z9&lt;=0,0,MIN(IF(Y9='Loan Prepayment'!$E$11,IF('Loan Prepayment'!$E$13="Keep tenure, recalculate EMI",-PMT(AA9/1200,MAX(1,'Loan Prepayment'!$B$7*12-Y9+1),Z9),AB8),AB8),Z9+AC9))</f>
        <v>86782.323336553396</v>
      </c>
      <c r="AC9">
        <f t="shared" si="9"/>
        <v>70025.524860096019</v>
      </c>
      <c r="AD9">
        <f t="shared" si="10"/>
        <v>16756.798476457378</v>
      </c>
      <c r="AE9">
        <f t="shared" si="11"/>
        <v>0</v>
      </c>
      <c r="AF9">
        <f t="shared" si="12"/>
        <v>9869199.6523606274</v>
      </c>
      <c r="AG9">
        <v>8</v>
      </c>
      <c r="AH9">
        <f t="shared" si="20"/>
        <v>9885956.450837085</v>
      </c>
      <c r="AI9">
        <f>IF(AG9&gt;='Loan Prepayment'!$E$11,'Loan Prepayment'!$E$12,'Loan Prepayment'!$B$6)</f>
        <v>8.5</v>
      </c>
      <c r="AJ9">
        <f>IF(AH9&lt;=0,0,MIN(IF(AG9='Loan Prepayment'!$E$11,IF('Loan Prepayment'!$E$13="Keep tenure, recalculate EMI",-PMT(AI9/1200,MAX(1,'Loan Prepayment'!$B$7*12-AG9+1),AH9),AJ8),IF(AND('Loan Prepayment'!$E$15="Reduce EMI",AM8&gt;0),-PMT(AI9/1200,MAX(1,'Loan Prepayment'!$B$7*12-AG9+1),AH9),AJ8)),AH9+AK9))</f>
        <v>86782.323336553396</v>
      </c>
      <c r="AK9">
        <f t="shared" si="13"/>
        <v>70025.524860096019</v>
      </c>
      <c r="AL9">
        <f t="shared" si="14"/>
        <v>16756.798476457378</v>
      </c>
      <c r="AM9">
        <f>IF(AH9&lt;=0,0,MIN(MAX(0,AH9-AL9),SUMIFS('Loan Prepayment'!$B$12:$B$16,'Loan Prepayment'!$A$12:$A$16,AG9)+IF(AND(AG9&gt;='Loan Prepayment'!$B$9,AG9&lt;='Loan Prepayment'!$E$16),'Loan Prepayment'!$B$8,0)))</f>
        <v>0</v>
      </c>
      <c r="AN9">
        <f t="shared" si="15"/>
        <v>9869199.6523606274</v>
      </c>
    </row>
    <row r="10" spans="1:40" x14ac:dyDescent="0.35">
      <c r="A10">
        <v>9</v>
      </c>
      <c r="B10">
        <f t="shared" si="16"/>
        <v>9869199.6523606274</v>
      </c>
      <c r="C10" s="78">
        <f>'Loan Prepayment'!$B$6</f>
        <v>8.5</v>
      </c>
      <c r="D10">
        <f>IF(B10&lt;=0,0,MIN(-PMT('Loan Prepayment'!$B$6/1200,'Loan Prepayment'!$B$7*12,'Loan Prepayment'!$B$5),B10+E10))</f>
        <v>86782.323336553396</v>
      </c>
      <c r="E10">
        <f t="shared" si="0"/>
        <v>69906.830870887774</v>
      </c>
      <c r="F10">
        <f t="shared" si="1"/>
        <v>16875.492465665622</v>
      </c>
      <c r="G10">
        <v>0</v>
      </c>
      <c r="H10">
        <f t="shared" si="2"/>
        <v>9852324.1598949619</v>
      </c>
      <c r="I10">
        <v>9</v>
      </c>
      <c r="J10">
        <f t="shared" si="17"/>
        <v>9869199.6523606274</v>
      </c>
      <c r="K10" s="78">
        <f>'Loan Prepayment'!$B$6</f>
        <v>8.5</v>
      </c>
      <c r="L10">
        <f>IF(J10&lt;=0,0,MIN(IF(AND('Loan Prepayment'!$E$15="Reduce EMI",O9&gt;0),-PMT(K10/1200,MAX(1,'Loan Prepayment'!$B$7*12-I10+1),J10),L9),J10+M10))</f>
        <v>86782.323336553396</v>
      </c>
      <c r="M10">
        <f t="shared" si="3"/>
        <v>69906.830870887774</v>
      </c>
      <c r="N10">
        <f t="shared" si="4"/>
        <v>16875.492465665622</v>
      </c>
      <c r="O10">
        <f>IF(J10&lt;=0,0,MIN(MAX(0,J10-N10),SUMIFS('Loan Prepayment'!$B$12:$B$16,'Loan Prepayment'!$A$12:$A$16,I10)+0))</f>
        <v>0</v>
      </c>
      <c r="P10">
        <f t="shared" si="5"/>
        <v>9852324.1598949619</v>
      </c>
      <c r="Q10">
        <v>9</v>
      </c>
      <c r="R10">
        <f t="shared" si="18"/>
        <v>9869199.6523606274</v>
      </c>
      <c r="S10" s="78">
        <f>'Loan Prepayment'!$B$6</f>
        <v>8.5</v>
      </c>
      <c r="T10">
        <f>IF(R10&lt;=0,0,MIN(IF(AND('Loan Prepayment'!$E$15="Reduce EMI",W9&gt;0),-PMT(S10/1200,MAX(1,'Loan Prepayment'!$B$7*12-Q10+1),R10),T9),R10+U10))</f>
        <v>86782.323336553396</v>
      </c>
      <c r="U10">
        <f t="shared" si="6"/>
        <v>69906.830870887774</v>
      </c>
      <c r="V10">
        <f t="shared" si="7"/>
        <v>16875.492465665622</v>
      </c>
      <c r="W10">
        <f>IF(R10&lt;=0,0,MIN(MAX(0,R10-V10),0+IF(AND(Q10&gt;='Loan Prepayment'!$B$9,Q10&lt;='Loan Prepayment'!$E$16),'Loan Prepayment'!$B$8,0)))</f>
        <v>0</v>
      </c>
      <c r="X10">
        <f t="shared" si="8"/>
        <v>9852324.1598949619</v>
      </c>
      <c r="Y10">
        <v>9</v>
      </c>
      <c r="Z10">
        <f t="shared" si="19"/>
        <v>9869199.6523606274</v>
      </c>
      <c r="AA10">
        <f>IF(Y10&gt;='Loan Prepayment'!$E$11,'Loan Prepayment'!$E$12,'Loan Prepayment'!$B$6)</f>
        <v>8.5</v>
      </c>
      <c r="AB10">
        <f>IF(Z10&lt;=0,0,MIN(IF(Y10='Loan Prepayment'!$E$11,IF('Loan Prepayment'!$E$13="Keep tenure, recalculate EMI",-PMT(AA10/1200,MAX(1,'Loan Prepayment'!$B$7*12-Y10+1),Z10),AB9),AB9),Z10+AC10))</f>
        <v>86782.323336553396</v>
      </c>
      <c r="AC10">
        <f t="shared" si="9"/>
        <v>69906.830870887774</v>
      </c>
      <c r="AD10">
        <f t="shared" si="10"/>
        <v>16875.492465665622</v>
      </c>
      <c r="AE10">
        <f t="shared" si="11"/>
        <v>0</v>
      </c>
      <c r="AF10">
        <f t="shared" si="12"/>
        <v>9852324.1598949619</v>
      </c>
      <c r="AG10">
        <v>9</v>
      </c>
      <c r="AH10">
        <f t="shared" si="20"/>
        <v>9869199.6523606274</v>
      </c>
      <c r="AI10">
        <f>IF(AG10&gt;='Loan Prepayment'!$E$11,'Loan Prepayment'!$E$12,'Loan Prepayment'!$B$6)</f>
        <v>8.5</v>
      </c>
      <c r="AJ10">
        <f>IF(AH10&lt;=0,0,MIN(IF(AG10='Loan Prepayment'!$E$11,IF('Loan Prepayment'!$E$13="Keep tenure, recalculate EMI",-PMT(AI10/1200,MAX(1,'Loan Prepayment'!$B$7*12-AG10+1),AH10),AJ9),IF(AND('Loan Prepayment'!$E$15="Reduce EMI",AM9&gt;0),-PMT(AI10/1200,MAX(1,'Loan Prepayment'!$B$7*12-AG10+1),AH10),AJ9)),AH10+AK10))</f>
        <v>86782.323336553396</v>
      </c>
      <c r="AK10">
        <f t="shared" si="13"/>
        <v>69906.830870887774</v>
      </c>
      <c r="AL10">
        <f t="shared" si="14"/>
        <v>16875.492465665622</v>
      </c>
      <c r="AM10">
        <f>IF(AH10&lt;=0,0,MIN(MAX(0,AH10-AL10),SUMIFS('Loan Prepayment'!$B$12:$B$16,'Loan Prepayment'!$A$12:$A$16,AG10)+IF(AND(AG10&gt;='Loan Prepayment'!$B$9,AG10&lt;='Loan Prepayment'!$E$16),'Loan Prepayment'!$B$8,0)))</f>
        <v>0</v>
      </c>
      <c r="AN10">
        <f t="shared" si="15"/>
        <v>9852324.1598949619</v>
      </c>
    </row>
    <row r="11" spans="1:40" x14ac:dyDescent="0.35">
      <c r="A11">
        <v>10</v>
      </c>
      <c r="B11">
        <f t="shared" si="16"/>
        <v>9852324.1598949619</v>
      </c>
      <c r="C11" s="78">
        <f>'Loan Prepayment'!$B$6</f>
        <v>8.5</v>
      </c>
      <c r="D11">
        <f>IF(B11&lt;=0,0,MIN(-PMT('Loan Prepayment'!$B$6/1200,'Loan Prepayment'!$B$7*12,'Loan Prepayment'!$B$5),B11+E11))</f>
        <v>86782.323336553396</v>
      </c>
      <c r="E11">
        <f t="shared" si="0"/>
        <v>69787.296132589312</v>
      </c>
      <c r="F11">
        <f t="shared" si="1"/>
        <v>16995.027203964084</v>
      </c>
      <c r="G11">
        <v>0</v>
      </c>
      <c r="H11">
        <f t="shared" si="2"/>
        <v>9835329.1326909978</v>
      </c>
      <c r="I11">
        <v>10</v>
      </c>
      <c r="J11">
        <f t="shared" si="17"/>
        <v>9852324.1598949619</v>
      </c>
      <c r="K11" s="78">
        <f>'Loan Prepayment'!$B$6</f>
        <v>8.5</v>
      </c>
      <c r="L11">
        <f>IF(J11&lt;=0,0,MIN(IF(AND('Loan Prepayment'!$E$15="Reduce EMI",O10&gt;0),-PMT(K11/1200,MAX(1,'Loan Prepayment'!$B$7*12-I11+1),J11),L10),J11+M11))</f>
        <v>86782.323336553396</v>
      </c>
      <c r="M11">
        <f t="shared" si="3"/>
        <v>69787.296132589312</v>
      </c>
      <c r="N11">
        <f t="shared" si="4"/>
        <v>16995.027203964084</v>
      </c>
      <c r="O11">
        <f>IF(J11&lt;=0,0,MIN(MAX(0,J11-N11),SUMIFS('Loan Prepayment'!$B$12:$B$16,'Loan Prepayment'!$A$12:$A$16,I11)+0))</f>
        <v>0</v>
      </c>
      <c r="P11">
        <f t="shared" si="5"/>
        <v>9835329.1326909978</v>
      </c>
      <c r="Q11">
        <v>10</v>
      </c>
      <c r="R11">
        <f t="shared" si="18"/>
        <v>9852324.1598949619</v>
      </c>
      <c r="S11" s="78">
        <f>'Loan Prepayment'!$B$6</f>
        <v>8.5</v>
      </c>
      <c r="T11">
        <f>IF(R11&lt;=0,0,MIN(IF(AND('Loan Prepayment'!$E$15="Reduce EMI",W10&gt;0),-PMT(S11/1200,MAX(1,'Loan Prepayment'!$B$7*12-Q11+1),R11),T10),R11+U11))</f>
        <v>86782.323336553396</v>
      </c>
      <c r="U11">
        <f t="shared" si="6"/>
        <v>69787.296132589312</v>
      </c>
      <c r="V11">
        <f t="shared" si="7"/>
        <v>16995.027203964084</v>
      </c>
      <c r="W11">
        <f>IF(R11&lt;=0,0,MIN(MAX(0,R11-V11),0+IF(AND(Q11&gt;='Loan Prepayment'!$B$9,Q11&lt;='Loan Prepayment'!$E$16),'Loan Prepayment'!$B$8,0)))</f>
        <v>0</v>
      </c>
      <c r="X11">
        <f t="shared" si="8"/>
        <v>9835329.1326909978</v>
      </c>
      <c r="Y11">
        <v>10</v>
      </c>
      <c r="Z11">
        <f t="shared" si="19"/>
        <v>9852324.1598949619</v>
      </c>
      <c r="AA11">
        <f>IF(Y11&gt;='Loan Prepayment'!$E$11,'Loan Prepayment'!$E$12,'Loan Prepayment'!$B$6)</f>
        <v>8.5</v>
      </c>
      <c r="AB11">
        <f>IF(Z11&lt;=0,0,MIN(IF(Y11='Loan Prepayment'!$E$11,IF('Loan Prepayment'!$E$13="Keep tenure, recalculate EMI",-PMT(AA11/1200,MAX(1,'Loan Prepayment'!$B$7*12-Y11+1),Z11),AB10),AB10),Z11+AC11))</f>
        <v>86782.323336553396</v>
      </c>
      <c r="AC11">
        <f t="shared" si="9"/>
        <v>69787.296132589312</v>
      </c>
      <c r="AD11">
        <f t="shared" si="10"/>
        <v>16995.027203964084</v>
      </c>
      <c r="AE11">
        <f t="shared" si="11"/>
        <v>0</v>
      </c>
      <c r="AF11">
        <f t="shared" si="12"/>
        <v>9835329.1326909978</v>
      </c>
      <c r="AG11">
        <v>10</v>
      </c>
      <c r="AH11">
        <f t="shared" si="20"/>
        <v>9852324.1598949619</v>
      </c>
      <c r="AI11">
        <f>IF(AG11&gt;='Loan Prepayment'!$E$11,'Loan Prepayment'!$E$12,'Loan Prepayment'!$B$6)</f>
        <v>8.5</v>
      </c>
      <c r="AJ11">
        <f>IF(AH11&lt;=0,0,MIN(IF(AG11='Loan Prepayment'!$E$11,IF('Loan Prepayment'!$E$13="Keep tenure, recalculate EMI",-PMT(AI11/1200,MAX(1,'Loan Prepayment'!$B$7*12-AG11+1),AH11),AJ10),IF(AND('Loan Prepayment'!$E$15="Reduce EMI",AM10&gt;0),-PMT(AI11/1200,MAX(1,'Loan Prepayment'!$B$7*12-AG11+1),AH11),AJ10)),AH11+AK11))</f>
        <v>86782.323336553396</v>
      </c>
      <c r="AK11">
        <f t="shared" si="13"/>
        <v>69787.296132589312</v>
      </c>
      <c r="AL11">
        <f t="shared" si="14"/>
        <v>16995.027203964084</v>
      </c>
      <c r="AM11">
        <f>IF(AH11&lt;=0,0,MIN(MAX(0,AH11-AL11),SUMIFS('Loan Prepayment'!$B$12:$B$16,'Loan Prepayment'!$A$12:$A$16,AG11)+IF(AND(AG11&gt;='Loan Prepayment'!$B$9,AG11&lt;='Loan Prepayment'!$E$16),'Loan Prepayment'!$B$8,0)))</f>
        <v>0</v>
      </c>
      <c r="AN11">
        <f t="shared" si="15"/>
        <v>9835329.1326909978</v>
      </c>
    </row>
    <row r="12" spans="1:40" x14ac:dyDescent="0.35">
      <c r="A12">
        <v>11</v>
      </c>
      <c r="B12">
        <f t="shared" si="16"/>
        <v>9835329.1326909978</v>
      </c>
      <c r="C12" s="78">
        <f>'Loan Prepayment'!$B$6</f>
        <v>8.5</v>
      </c>
      <c r="D12">
        <f>IF(B12&lt;=0,0,MIN(-PMT('Loan Prepayment'!$B$6/1200,'Loan Prepayment'!$B$7*12,'Loan Prepayment'!$B$5),B12+E12))</f>
        <v>86782.323336553396</v>
      </c>
      <c r="E12">
        <f t="shared" si="0"/>
        <v>69666.914689894562</v>
      </c>
      <c r="F12">
        <f t="shared" si="1"/>
        <v>17115.408646658834</v>
      </c>
      <c r="G12">
        <v>0</v>
      </c>
      <c r="H12">
        <f t="shared" si="2"/>
        <v>9818213.7240443397</v>
      </c>
      <c r="I12">
        <v>11</v>
      </c>
      <c r="J12">
        <f t="shared" si="17"/>
        <v>9835329.1326909978</v>
      </c>
      <c r="K12" s="78">
        <f>'Loan Prepayment'!$B$6</f>
        <v>8.5</v>
      </c>
      <c r="L12">
        <f>IF(J12&lt;=0,0,MIN(IF(AND('Loan Prepayment'!$E$15="Reduce EMI",O11&gt;0),-PMT(K12/1200,MAX(1,'Loan Prepayment'!$B$7*12-I12+1),J12),L11),J12+M12))</f>
        <v>86782.323336553396</v>
      </c>
      <c r="M12">
        <f t="shared" si="3"/>
        <v>69666.914689894562</v>
      </c>
      <c r="N12">
        <f t="shared" si="4"/>
        <v>17115.408646658834</v>
      </c>
      <c r="O12">
        <f>IF(J12&lt;=0,0,MIN(MAX(0,J12-N12),SUMIFS('Loan Prepayment'!$B$12:$B$16,'Loan Prepayment'!$A$12:$A$16,I12)+0))</f>
        <v>0</v>
      </c>
      <c r="P12">
        <f t="shared" si="5"/>
        <v>9818213.7240443397</v>
      </c>
      <c r="Q12">
        <v>11</v>
      </c>
      <c r="R12">
        <f t="shared" si="18"/>
        <v>9835329.1326909978</v>
      </c>
      <c r="S12" s="78">
        <f>'Loan Prepayment'!$B$6</f>
        <v>8.5</v>
      </c>
      <c r="T12">
        <f>IF(R12&lt;=0,0,MIN(IF(AND('Loan Prepayment'!$E$15="Reduce EMI",W11&gt;0),-PMT(S12/1200,MAX(1,'Loan Prepayment'!$B$7*12-Q12+1),R12),T11),R12+U12))</f>
        <v>86782.323336553396</v>
      </c>
      <c r="U12">
        <f t="shared" si="6"/>
        <v>69666.914689894562</v>
      </c>
      <c r="V12">
        <f t="shared" si="7"/>
        <v>17115.408646658834</v>
      </c>
      <c r="W12">
        <f>IF(R12&lt;=0,0,MIN(MAX(0,R12-V12),0+IF(AND(Q12&gt;='Loan Prepayment'!$B$9,Q12&lt;='Loan Prepayment'!$E$16),'Loan Prepayment'!$B$8,0)))</f>
        <v>0</v>
      </c>
      <c r="X12">
        <f t="shared" si="8"/>
        <v>9818213.7240443397</v>
      </c>
      <c r="Y12">
        <v>11</v>
      </c>
      <c r="Z12">
        <f t="shared" si="19"/>
        <v>9835329.1326909978</v>
      </c>
      <c r="AA12">
        <f>IF(Y12&gt;='Loan Prepayment'!$E$11,'Loan Prepayment'!$E$12,'Loan Prepayment'!$B$6)</f>
        <v>8.5</v>
      </c>
      <c r="AB12">
        <f>IF(Z12&lt;=0,0,MIN(IF(Y12='Loan Prepayment'!$E$11,IF('Loan Prepayment'!$E$13="Keep tenure, recalculate EMI",-PMT(AA12/1200,MAX(1,'Loan Prepayment'!$B$7*12-Y12+1),Z12),AB11),AB11),Z12+AC12))</f>
        <v>86782.323336553396</v>
      </c>
      <c r="AC12">
        <f t="shared" si="9"/>
        <v>69666.914689894562</v>
      </c>
      <c r="AD12">
        <f t="shared" si="10"/>
        <v>17115.408646658834</v>
      </c>
      <c r="AE12">
        <f t="shared" si="11"/>
        <v>0</v>
      </c>
      <c r="AF12">
        <f t="shared" si="12"/>
        <v>9818213.7240443397</v>
      </c>
      <c r="AG12">
        <v>11</v>
      </c>
      <c r="AH12">
        <f t="shared" si="20"/>
        <v>9835329.1326909978</v>
      </c>
      <c r="AI12">
        <f>IF(AG12&gt;='Loan Prepayment'!$E$11,'Loan Prepayment'!$E$12,'Loan Prepayment'!$B$6)</f>
        <v>8.5</v>
      </c>
      <c r="AJ12">
        <f>IF(AH12&lt;=0,0,MIN(IF(AG12='Loan Prepayment'!$E$11,IF('Loan Prepayment'!$E$13="Keep tenure, recalculate EMI",-PMT(AI12/1200,MAX(1,'Loan Prepayment'!$B$7*12-AG12+1),AH12),AJ11),IF(AND('Loan Prepayment'!$E$15="Reduce EMI",AM11&gt;0),-PMT(AI12/1200,MAX(1,'Loan Prepayment'!$B$7*12-AG12+1),AH12),AJ11)),AH12+AK12))</f>
        <v>86782.323336553396</v>
      </c>
      <c r="AK12">
        <f t="shared" si="13"/>
        <v>69666.914689894562</v>
      </c>
      <c r="AL12">
        <f t="shared" si="14"/>
        <v>17115.408646658834</v>
      </c>
      <c r="AM12">
        <f>IF(AH12&lt;=0,0,MIN(MAX(0,AH12-AL12),SUMIFS('Loan Prepayment'!$B$12:$B$16,'Loan Prepayment'!$A$12:$A$16,AG12)+IF(AND(AG12&gt;='Loan Prepayment'!$B$9,AG12&lt;='Loan Prepayment'!$E$16),'Loan Prepayment'!$B$8,0)))</f>
        <v>0</v>
      </c>
      <c r="AN12">
        <f t="shared" si="15"/>
        <v>9818213.7240443397</v>
      </c>
    </row>
    <row r="13" spans="1:40" x14ac:dyDescent="0.35">
      <c r="A13">
        <v>12</v>
      </c>
      <c r="B13">
        <f t="shared" si="16"/>
        <v>9818213.7240443397</v>
      </c>
      <c r="C13" s="78">
        <f>'Loan Prepayment'!$B$6</f>
        <v>8.5</v>
      </c>
      <c r="D13">
        <f>IF(B13&lt;=0,0,MIN(-PMT('Loan Prepayment'!$B$6/1200,'Loan Prepayment'!$B$7*12,'Loan Prepayment'!$B$5),B13+E13))</f>
        <v>86782.323336553396</v>
      </c>
      <c r="E13">
        <f t="shared" si="0"/>
        <v>69545.680545314084</v>
      </c>
      <c r="F13">
        <f t="shared" si="1"/>
        <v>17236.642791239312</v>
      </c>
      <c r="G13">
        <v>0</v>
      </c>
      <c r="H13">
        <f t="shared" si="2"/>
        <v>9800977.0812531002</v>
      </c>
      <c r="I13">
        <v>12</v>
      </c>
      <c r="J13">
        <f t="shared" si="17"/>
        <v>9818213.7240443397</v>
      </c>
      <c r="K13" s="78">
        <f>'Loan Prepayment'!$B$6</f>
        <v>8.5</v>
      </c>
      <c r="L13">
        <f>IF(J13&lt;=0,0,MIN(IF(AND('Loan Prepayment'!$E$15="Reduce EMI",O12&gt;0),-PMT(K13/1200,MAX(1,'Loan Prepayment'!$B$7*12-I13+1),J13),L12),J13+M13))</f>
        <v>86782.323336553396</v>
      </c>
      <c r="M13">
        <f t="shared" si="3"/>
        <v>69545.680545314084</v>
      </c>
      <c r="N13">
        <f t="shared" si="4"/>
        <v>17236.642791239312</v>
      </c>
      <c r="O13">
        <f>IF(J13&lt;=0,0,MIN(MAX(0,J13-N13),SUMIFS('Loan Prepayment'!$B$12:$B$16,'Loan Prepayment'!$A$12:$A$16,I13)+0))</f>
        <v>500000</v>
      </c>
      <c r="P13">
        <f t="shared" si="5"/>
        <v>9300977.0812531002</v>
      </c>
      <c r="Q13">
        <v>12</v>
      </c>
      <c r="R13">
        <f t="shared" si="18"/>
        <v>9818213.7240443397</v>
      </c>
      <c r="S13" s="78">
        <f>'Loan Prepayment'!$B$6</f>
        <v>8.5</v>
      </c>
      <c r="T13">
        <f>IF(R13&lt;=0,0,MIN(IF(AND('Loan Prepayment'!$E$15="Reduce EMI",W12&gt;0),-PMT(S13/1200,MAX(1,'Loan Prepayment'!$B$7*12-Q13+1),R13),T12),R13+U13))</f>
        <v>86782.323336553396</v>
      </c>
      <c r="U13">
        <f t="shared" si="6"/>
        <v>69545.680545314084</v>
      </c>
      <c r="V13">
        <f t="shared" si="7"/>
        <v>17236.642791239312</v>
      </c>
      <c r="W13">
        <f>IF(R13&lt;=0,0,MIN(MAX(0,R13-V13),0+IF(AND(Q13&gt;='Loan Prepayment'!$B$9,Q13&lt;='Loan Prepayment'!$E$16),'Loan Prepayment'!$B$8,0)))</f>
        <v>0</v>
      </c>
      <c r="X13">
        <f t="shared" si="8"/>
        <v>9800977.0812531002</v>
      </c>
      <c r="Y13">
        <v>12</v>
      </c>
      <c r="Z13">
        <f t="shared" si="19"/>
        <v>9818213.7240443397</v>
      </c>
      <c r="AA13">
        <f>IF(Y13&gt;='Loan Prepayment'!$E$11,'Loan Prepayment'!$E$12,'Loan Prepayment'!$B$6)</f>
        <v>8.5</v>
      </c>
      <c r="AB13">
        <f>IF(Z13&lt;=0,0,MIN(IF(Y13='Loan Prepayment'!$E$11,IF('Loan Prepayment'!$E$13="Keep tenure, recalculate EMI",-PMT(AA13/1200,MAX(1,'Loan Prepayment'!$B$7*12-Y13+1),Z13),AB12),AB12),Z13+AC13))</f>
        <v>86782.323336553396</v>
      </c>
      <c r="AC13">
        <f t="shared" si="9"/>
        <v>69545.680545314084</v>
      </c>
      <c r="AD13">
        <f t="shared" si="10"/>
        <v>17236.642791239312</v>
      </c>
      <c r="AE13">
        <f t="shared" si="11"/>
        <v>0</v>
      </c>
      <c r="AF13">
        <f t="shared" si="12"/>
        <v>9800977.0812531002</v>
      </c>
      <c r="AG13">
        <v>12</v>
      </c>
      <c r="AH13">
        <f t="shared" si="20"/>
        <v>9818213.7240443397</v>
      </c>
      <c r="AI13">
        <f>IF(AG13&gt;='Loan Prepayment'!$E$11,'Loan Prepayment'!$E$12,'Loan Prepayment'!$B$6)</f>
        <v>8.5</v>
      </c>
      <c r="AJ13">
        <f>IF(AH13&lt;=0,0,MIN(IF(AG13='Loan Prepayment'!$E$11,IF('Loan Prepayment'!$E$13="Keep tenure, recalculate EMI",-PMT(AI13/1200,MAX(1,'Loan Prepayment'!$B$7*12-AG13+1),AH13),AJ12),IF(AND('Loan Prepayment'!$E$15="Reduce EMI",AM12&gt;0),-PMT(AI13/1200,MAX(1,'Loan Prepayment'!$B$7*12-AG13+1),AH13),AJ12)),AH13+AK13))</f>
        <v>86782.323336553396</v>
      </c>
      <c r="AK13">
        <f t="shared" si="13"/>
        <v>69545.680545314084</v>
      </c>
      <c r="AL13">
        <f t="shared" si="14"/>
        <v>17236.642791239312</v>
      </c>
      <c r="AM13">
        <f>IF(AH13&lt;=0,0,MIN(MAX(0,AH13-AL13),SUMIFS('Loan Prepayment'!$B$12:$B$16,'Loan Prepayment'!$A$12:$A$16,AG13)+IF(AND(AG13&gt;='Loan Prepayment'!$B$9,AG13&lt;='Loan Prepayment'!$E$16),'Loan Prepayment'!$B$8,0)))</f>
        <v>500000</v>
      </c>
      <c r="AN13">
        <f t="shared" si="15"/>
        <v>9300977.0812531002</v>
      </c>
    </row>
    <row r="14" spans="1:40" x14ac:dyDescent="0.35">
      <c r="A14">
        <v>13</v>
      </c>
      <c r="B14">
        <f t="shared" si="16"/>
        <v>9800977.0812531002</v>
      </c>
      <c r="C14" s="78">
        <f>'Loan Prepayment'!$B$6</f>
        <v>8.5</v>
      </c>
      <c r="D14">
        <f>IF(B14&lt;=0,0,MIN(-PMT('Loan Prepayment'!$B$6/1200,'Loan Prepayment'!$B$7*12,'Loan Prepayment'!$B$5),B14+E14))</f>
        <v>86782.323336553396</v>
      </c>
      <c r="E14">
        <f t="shared" si="0"/>
        <v>69423.587658876131</v>
      </c>
      <c r="F14">
        <f t="shared" si="1"/>
        <v>17358.735677677265</v>
      </c>
      <c r="G14">
        <v>0</v>
      </c>
      <c r="H14">
        <f t="shared" si="2"/>
        <v>9783618.345575422</v>
      </c>
      <c r="I14">
        <v>13</v>
      </c>
      <c r="J14">
        <f t="shared" si="17"/>
        <v>9300977.0812531002</v>
      </c>
      <c r="K14" s="78">
        <f>'Loan Prepayment'!$B$6</f>
        <v>8.5</v>
      </c>
      <c r="L14">
        <f>IF(J14&lt;=0,0,MIN(IF(AND('Loan Prepayment'!$E$15="Reduce EMI",O13&gt;0),-PMT(K14/1200,MAX(1,'Loan Prepayment'!$B$7*12-I14+1),J14),L13),J14+M14))</f>
        <v>82355.095182814155</v>
      </c>
      <c r="M14">
        <f t="shared" si="3"/>
        <v>65881.92099220946</v>
      </c>
      <c r="N14">
        <f t="shared" si="4"/>
        <v>16473.174190604695</v>
      </c>
      <c r="O14">
        <f>IF(J14&lt;=0,0,MIN(MAX(0,J14-N14),SUMIFS('Loan Prepayment'!$B$12:$B$16,'Loan Prepayment'!$A$12:$A$16,I14)+0))</f>
        <v>0</v>
      </c>
      <c r="P14">
        <f t="shared" si="5"/>
        <v>9284503.9070624951</v>
      </c>
      <c r="Q14">
        <v>13</v>
      </c>
      <c r="R14">
        <f t="shared" si="18"/>
        <v>9800977.0812531002</v>
      </c>
      <c r="S14" s="78">
        <f>'Loan Prepayment'!$B$6</f>
        <v>8.5</v>
      </c>
      <c r="T14">
        <f>IF(R14&lt;=0,0,MIN(IF(AND('Loan Prepayment'!$E$15="Reduce EMI",W13&gt;0),-PMT(S14/1200,MAX(1,'Loan Prepayment'!$B$7*12-Q14+1),R14),T13),R14+U14))</f>
        <v>86782.323336553396</v>
      </c>
      <c r="U14">
        <f t="shared" si="6"/>
        <v>69423.587658876131</v>
      </c>
      <c r="V14">
        <f t="shared" si="7"/>
        <v>17358.735677677265</v>
      </c>
      <c r="W14">
        <f>IF(R14&lt;=0,0,MIN(MAX(0,R14-V14),0+IF(AND(Q14&gt;='Loan Prepayment'!$B$9,Q14&lt;='Loan Prepayment'!$E$16),'Loan Prepayment'!$B$8,0)))</f>
        <v>0</v>
      </c>
      <c r="X14">
        <f t="shared" si="8"/>
        <v>9783618.345575422</v>
      </c>
      <c r="Y14">
        <v>13</v>
      </c>
      <c r="Z14">
        <f t="shared" si="19"/>
        <v>9800977.0812531002</v>
      </c>
      <c r="AA14">
        <f>IF(Y14&gt;='Loan Prepayment'!$E$11,'Loan Prepayment'!$E$12,'Loan Prepayment'!$B$6)</f>
        <v>8.5</v>
      </c>
      <c r="AB14">
        <f>IF(Z14&lt;=0,0,MIN(IF(Y14='Loan Prepayment'!$E$11,IF('Loan Prepayment'!$E$13="Keep tenure, recalculate EMI",-PMT(AA14/1200,MAX(1,'Loan Prepayment'!$B$7*12-Y14+1),Z14),AB13),AB13),Z14+AC14))</f>
        <v>86782.323336553396</v>
      </c>
      <c r="AC14">
        <f t="shared" si="9"/>
        <v>69423.587658876131</v>
      </c>
      <c r="AD14">
        <f t="shared" si="10"/>
        <v>17358.735677677265</v>
      </c>
      <c r="AE14">
        <f t="shared" si="11"/>
        <v>0</v>
      </c>
      <c r="AF14">
        <f t="shared" si="12"/>
        <v>9783618.345575422</v>
      </c>
      <c r="AG14">
        <v>13</v>
      </c>
      <c r="AH14">
        <f t="shared" si="20"/>
        <v>9300977.0812531002</v>
      </c>
      <c r="AI14">
        <f>IF(AG14&gt;='Loan Prepayment'!$E$11,'Loan Prepayment'!$E$12,'Loan Prepayment'!$B$6)</f>
        <v>8.5</v>
      </c>
      <c r="AJ14">
        <f>IF(AH14&lt;=0,0,MIN(IF(AG14='Loan Prepayment'!$E$11,IF('Loan Prepayment'!$E$13="Keep tenure, recalculate EMI",-PMT(AI14/1200,MAX(1,'Loan Prepayment'!$B$7*12-AG14+1),AH14),AJ13),IF(AND('Loan Prepayment'!$E$15="Reduce EMI",AM13&gt;0),-PMT(AI14/1200,MAX(1,'Loan Prepayment'!$B$7*12-AG14+1),AH14),AJ13)),AH14+AK14))</f>
        <v>82355.095182814155</v>
      </c>
      <c r="AK14">
        <f t="shared" si="13"/>
        <v>65881.92099220946</v>
      </c>
      <c r="AL14">
        <f t="shared" si="14"/>
        <v>16473.174190604695</v>
      </c>
      <c r="AM14">
        <f>IF(AH14&lt;=0,0,MIN(MAX(0,AH14-AL14),SUMIFS('Loan Prepayment'!$B$12:$B$16,'Loan Prepayment'!$A$12:$A$16,AG14)+IF(AND(AG14&gt;='Loan Prepayment'!$B$9,AG14&lt;='Loan Prepayment'!$E$16),'Loan Prepayment'!$B$8,0)))</f>
        <v>0</v>
      </c>
      <c r="AN14">
        <f t="shared" si="15"/>
        <v>9284503.9070624951</v>
      </c>
    </row>
    <row r="15" spans="1:40" x14ac:dyDescent="0.35">
      <c r="A15">
        <v>14</v>
      </c>
      <c r="B15">
        <f t="shared" si="16"/>
        <v>9783618.345575422</v>
      </c>
      <c r="C15" s="78">
        <f>'Loan Prepayment'!$B$6</f>
        <v>8.5</v>
      </c>
      <c r="D15">
        <f>IF(B15&lt;=0,0,MIN(-PMT('Loan Prepayment'!$B$6/1200,'Loan Prepayment'!$B$7*12,'Loan Prepayment'!$B$5),B15+E15))</f>
        <v>86782.323336553396</v>
      </c>
      <c r="E15">
        <f t="shared" si="0"/>
        <v>69300.629947825902</v>
      </c>
      <c r="F15">
        <f t="shared" si="1"/>
        <v>17481.693388727494</v>
      </c>
      <c r="G15">
        <v>0</v>
      </c>
      <c r="H15">
        <f t="shared" si="2"/>
        <v>9766136.6521866955</v>
      </c>
      <c r="I15">
        <v>14</v>
      </c>
      <c r="J15">
        <f t="shared" si="17"/>
        <v>9284503.9070624951</v>
      </c>
      <c r="K15" s="78">
        <f>'Loan Prepayment'!$B$6</f>
        <v>8.5</v>
      </c>
      <c r="L15">
        <f>IF(J15&lt;=0,0,MIN(IF(AND('Loan Prepayment'!$E$15="Reduce EMI",O14&gt;0),-PMT(K15/1200,MAX(1,'Loan Prepayment'!$B$7*12-I15+1),J15),L14),J15+M15))</f>
        <v>82355.095182814155</v>
      </c>
      <c r="M15">
        <f t="shared" si="3"/>
        <v>65765.236008359338</v>
      </c>
      <c r="N15">
        <f t="shared" si="4"/>
        <v>16589.859174454818</v>
      </c>
      <c r="O15">
        <f>IF(J15&lt;=0,0,MIN(MAX(0,J15-N15),SUMIFS('Loan Prepayment'!$B$12:$B$16,'Loan Prepayment'!$A$12:$A$16,I15)+0))</f>
        <v>0</v>
      </c>
      <c r="P15">
        <f t="shared" si="5"/>
        <v>9267914.0478880405</v>
      </c>
      <c r="Q15">
        <v>14</v>
      </c>
      <c r="R15">
        <f t="shared" si="18"/>
        <v>9783618.345575422</v>
      </c>
      <c r="S15" s="78">
        <f>'Loan Prepayment'!$B$6</f>
        <v>8.5</v>
      </c>
      <c r="T15">
        <f>IF(R15&lt;=0,0,MIN(IF(AND('Loan Prepayment'!$E$15="Reduce EMI",W14&gt;0),-PMT(S15/1200,MAX(1,'Loan Prepayment'!$B$7*12-Q15+1),R15),T14),R15+U15))</f>
        <v>86782.323336553396</v>
      </c>
      <c r="U15">
        <f t="shared" si="6"/>
        <v>69300.629947825902</v>
      </c>
      <c r="V15">
        <f t="shared" si="7"/>
        <v>17481.693388727494</v>
      </c>
      <c r="W15">
        <f>IF(R15&lt;=0,0,MIN(MAX(0,R15-V15),0+IF(AND(Q15&gt;='Loan Prepayment'!$B$9,Q15&lt;='Loan Prepayment'!$E$16),'Loan Prepayment'!$B$8,0)))</f>
        <v>0</v>
      </c>
      <c r="X15">
        <f t="shared" si="8"/>
        <v>9766136.6521866955</v>
      </c>
      <c r="Y15">
        <v>14</v>
      </c>
      <c r="Z15">
        <f t="shared" si="19"/>
        <v>9783618.345575422</v>
      </c>
      <c r="AA15">
        <f>IF(Y15&gt;='Loan Prepayment'!$E$11,'Loan Prepayment'!$E$12,'Loan Prepayment'!$B$6)</f>
        <v>8.5</v>
      </c>
      <c r="AB15">
        <f>IF(Z15&lt;=0,0,MIN(IF(Y15='Loan Prepayment'!$E$11,IF('Loan Prepayment'!$E$13="Keep tenure, recalculate EMI",-PMT(AA15/1200,MAX(1,'Loan Prepayment'!$B$7*12-Y15+1),Z15),AB14),AB14),Z15+AC15))</f>
        <v>86782.323336553396</v>
      </c>
      <c r="AC15">
        <f t="shared" si="9"/>
        <v>69300.629947825902</v>
      </c>
      <c r="AD15">
        <f t="shared" si="10"/>
        <v>17481.693388727494</v>
      </c>
      <c r="AE15">
        <f t="shared" si="11"/>
        <v>0</v>
      </c>
      <c r="AF15">
        <f t="shared" si="12"/>
        <v>9766136.6521866955</v>
      </c>
      <c r="AG15">
        <v>14</v>
      </c>
      <c r="AH15">
        <f t="shared" si="20"/>
        <v>9284503.9070624951</v>
      </c>
      <c r="AI15">
        <f>IF(AG15&gt;='Loan Prepayment'!$E$11,'Loan Prepayment'!$E$12,'Loan Prepayment'!$B$6)</f>
        <v>8.5</v>
      </c>
      <c r="AJ15">
        <f>IF(AH15&lt;=0,0,MIN(IF(AG15='Loan Prepayment'!$E$11,IF('Loan Prepayment'!$E$13="Keep tenure, recalculate EMI",-PMT(AI15/1200,MAX(1,'Loan Prepayment'!$B$7*12-AG15+1),AH15),AJ14),IF(AND('Loan Prepayment'!$E$15="Reduce EMI",AM14&gt;0),-PMT(AI15/1200,MAX(1,'Loan Prepayment'!$B$7*12-AG15+1),AH15),AJ14)),AH15+AK15))</f>
        <v>82355.095182814155</v>
      </c>
      <c r="AK15">
        <f t="shared" si="13"/>
        <v>65765.236008359338</v>
      </c>
      <c r="AL15">
        <f t="shared" si="14"/>
        <v>16589.859174454818</v>
      </c>
      <c r="AM15">
        <f>IF(AH15&lt;=0,0,MIN(MAX(0,AH15-AL15),SUMIFS('Loan Prepayment'!$B$12:$B$16,'Loan Prepayment'!$A$12:$A$16,AG15)+IF(AND(AG15&gt;='Loan Prepayment'!$B$9,AG15&lt;='Loan Prepayment'!$E$16),'Loan Prepayment'!$B$8,0)))</f>
        <v>0</v>
      </c>
      <c r="AN15">
        <f t="shared" si="15"/>
        <v>9267914.0478880405</v>
      </c>
    </row>
    <row r="16" spans="1:40" x14ac:dyDescent="0.35">
      <c r="A16">
        <v>15</v>
      </c>
      <c r="B16">
        <f t="shared" si="16"/>
        <v>9766136.6521866955</v>
      </c>
      <c r="C16" s="78">
        <f>'Loan Prepayment'!$B$6</f>
        <v>8.5</v>
      </c>
      <c r="D16">
        <f>IF(B16&lt;=0,0,MIN(-PMT('Loan Prepayment'!$B$6/1200,'Loan Prepayment'!$B$7*12,'Loan Prepayment'!$B$5),B16+E16))</f>
        <v>86782.323336553396</v>
      </c>
      <c r="E16">
        <f t="shared" si="0"/>
        <v>69176.801286322428</v>
      </c>
      <c r="F16">
        <f t="shared" si="1"/>
        <v>17605.522050230968</v>
      </c>
      <c r="G16">
        <v>0</v>
      </c>
      <c r="H16">
        <f t="shared" si="2"/>
        <v>9748531.1301364638</v>
      </c>
      <c r="I16">
        <v>15</v>
      </c>
      <c r="J16">
        <f t="shared" si="17"/>
        <v>9267914.0478880405</v>
      </c>
      <c r="K16" s="78">
        <f>'Loan Prepayment'!$B$6</f>
        <v>8.5</v>
      </c>
      <c r="L16">
        <f>IF(J16&lt;=0,0,MIN(IF(AND('Loan Prepayment'!$E$15="Reduce EMI",O15&gt;0),-PMT(K16/1200,MAX(1,'Loan Prepayment'!$B$7*12-I16+1),J16),L15),J16+M16))</f>
        <v>82355.095182814155</v>
      </c>
      <c r="M16">
        <f t="shared" si="3"/>
        <v>65647.724505873615</v>
      </c>
      <c r="N16">
        <f t="shared" si="4"/>
        <v>16707.37067694054</v>
      </c>
      <c r="O16">
        <f>IF(J16&lt;=0,0,MIN(MAX(0,J16-N16),SUMIFS('Loan Prepayment'!$B$12:$B$16,'Loan Prepayment'!$A$12:$A$16,I16)+0))</f>
        <v>0</v>
      </c>
      <c r="P16">
        <f t="shared" si="5"/>
        <v>9251206.6772111002</v>
      </c>
      <c r="Q16">
        <v>15</v>
      </c>
      <c r="R16">
        <f t="shared" si="18"/>
        <v>9766136.6521866955</v>
      </c>
      <c r="S16" s="78">
        <f>'Loan Prepayment'!$B$6</f>
        <v>8.5</v>
      </c>
      <c r="T16">
        <f>IF(R16&lt;=0,0,MIN(IF(AND('Loan Prepayment'!$E$15="Reduce EMI",W15&gt;0),-PMT(S16/1200,MAX(1,'Loan Prepayment'!$B$7*12-Q16+1),R16),T15),R16+U16))</f>
        <v>86782.323336553396</v>
      </c>
      <c r="U16">
        <f t="shared" si="6"/>
        <v>69176.801286322428</v>
      </c>
      <c r="V16">
        <f t="shared" si="7"/>
        <v>17605.522050230968</v>
      </c>
      <c r="W16">
        <f>IF(R16&lt;=0,0,MIN(MAX(0,R16-V16),0+IF(AND(Q16&gt;='Loan Prepayment'!$B$9,Q16&lt;='Loan Prepayment'!$E$16),'Loan Prepayment'!$B$8,0)))</f>
        <v>0</v>
      </c>
      <c r="X16">
        <f t="shared" si="8"/>
        <v>9748531.1301364638</v>
      </c>
      <c r="Y16">
        <v>15</v>
      </c>
      <c r="Z16">
        <f t="shared" si="19"/>
        <v>9766136.6521866955</v>
      </c>
      <c r="AA16">
        <f>IF(Y16&gt;='Loan Prepayment'!$E$11,'Loan Prepayment'!$E$12,'Loan Prepayment'!$B$6)</f>
        <v>8.5</v>
      </c>
      <c r="AB16">
        <f>IF(Z16&lt;=0,0,MIN(IF(Y16='Loan Prepayment'!$E$11,IF('Loan Prepayment'!$E$13="Keep tenure, recalculate EMI",-PMT(AA16/1200,MAX(1,'Loan Prepayment'!$B$7*12-Y16+1),Z16),AB15),AB15),Z16+AC16))</f>
        <v>86782.323336553396</v>
      </c>
      <c r="AC16">
        <f t="shared" si="9"/>
        <v>69176.801286322428</v>
      </c>
      <c r="AD16">
        <f t="shared" si="10"/>
        <v>17605.522050230968</v>
      </c>
      <c r="AE16">
        <f t="shared" si="11"/>
        <v>0</v>
      </c>
      <c r="AF16">
        <f t="shared" si="12"/>
        <v>9748531.1301364638</v>
      </c>
      <c r="AG16">
        <v>15</v>
      </c>
      <c r="AH16">
        <f t="shared" si="20"/>
        <v>9267914.0478880405</v>
      </c>
      <c r="AI16">
        <f>IF(AG16&gt;='Loan Prepayment'!$E$11,'Loan Prepayment'!$E$12,'Loan Prepayment'!$B$6)</f>
        <v>8.5</v>
      </c>
      <c r="AJ16">
        <f>IF(AH16&lt;=0,0,MIN(IF(AG16='Loan Prepayment'!$E$11,IF('Loan Prepayment'!$E$13="Keep tenure, recalculate EMI",-PMT(AI16/1200,MAX(1,'Loan Prepayment'!$B$7*12-AG16+1),AH16),AJ15),IF(AND('Loan Prepayment'!$E$15="Reduce EMI",AM15&gt;0),-PMT(AI16/1200,MAX(1,'Loan Prepayment'!$B$7*12-AG16+1),AH16),AJ15)),AH16+AK16))</f>
        <v>82355.095182814155</v>
      </c>
      <c r="AK16">
        <f t="shared" si="13"/>
        <v>65647.724505873615</v>
      </c>
      <c r="AL16">
        <f t="shared" si="14"/>
        <v>16707.37067694054</v>
      </c>
      <c r="AM16">
        <f>IF(AH16&lt;=0,0,MIN(MAX(0,AH16-AL16),SUMIFS('Loan Prepayment'!$B$12:$B$16,'Loan Prepayment'!$A$12:$A$16,AG16)+IF(AND(AG16&gt;='Loan Prepayment'!$B$9,AG16&lt;='Loan Prepayment'!$E$16),'Loan Prepayment'!$B$8,0)))</f>
        <v>0</v>
      </c>
      <c r="AN16">
        <f t="shared" si="15"/>
        <v>9251206.6772111002</v>
      </c>
    </row>
    <row r="17" spans="1:40" x14ac:dyDescent="0.35">
      <c r="A17">
        <v>16</v>
      </c>
      <c r="B17">
        <f t="shared" si="16"/>
        <v>9748531.1301364638</v>
      </c>
      <c r="C17" s="78">
        <f>'Loan Prepayment'!$B$6</f>
        <v>8.5</v>
      </c>
      <c r="D17">
        <f>IF(B17&lt;=0,0,MIN(-PMT('Loan Prepayment'!$B$6/1200,'Loan Prepayment'!$B$7*12,'Loan Prepayment'!$B$5),B17+E17))</f>
        <v>86782.323336553396</v>
      </c>
      <c r="E17">
        <f t="shared" si="0"/>
        <v>69052.095505133286</v>
      </c>
      <c r="F17">
        <f t="shared" si="1"/>
        <v>17730.22783142011</v>
      </c>
      <c r="G17">
        <v>0</v>
      </c>
      <c r="H17">
        <f t="shared" si="2"/>
        <v>9730800.9023050442</v>
      </c>
      <c r="I17">
        <v>16</v>
      </c>
      <c r="J17">
        <f t="shared" si="17"/>
        <v>9251206.6772111002</v>
      </c>
      <c r="K17" s="78">
        <f>'Loan Prepayment'!$B$6</f>
        <v>8.5</v>
      </c>
      <c r="L17">
        <f>IF(J17&lt;=0,0,MIN(IF(AND('Loan Prepayment'!$E$15="Reduce EMI",O16&gt;0),-PMT(K17/1200,MAX(1,'Loan Prepayment'!$B$7*12-I17+1),J17),L16),J17+M17))</f>
        <v>82355.095182814155</v>
      </c>
      <c r="M17">
        <f t="shared" si="3"/>
        <v>65529.380630245294</v>
      </c>
      <c r="N17">
        <f t="shared" si="4"/>
        <v>16825.714552568861</v>
      </c>
      <c r="O17">
        <f>IF(J17&lt;=0,0,MIN(MAX(0,J17-N17),SUMIFS('Loan Prepayment'!$B$12:$B$16,'Loan Prepayment'!$A$12:$A$16,I17)+0))</f>
        <v>0</v>
      </c>
      <c r="P17">
        <f t="shared" si="5"/>
        <v>9234380.962658532</v>
      </c>
      <c r="Q17">
        <v>16</v>
      </c>
      <c r="R17">
        <f t="shared" si="18"/>
        <v>9748531.1301364638</v>
      </c>
      <c r="S17" s="78">
        <f>'Loan Prepayment'!$B$6</f>
        <v>8.5</v>
      </c>
      <c r="T17">
        <f>IF(R17&lt;=0,0,MIN(IF(AND('Loan Prepayment'!$E$15="Reduce EMI",W16&gt;0),-PMT(S17/1200,MAX(1,'Loan Prepayment'!$B$7*12-Q17+1),R17),T16),R17+U17))</f>
        <v>86782.323336553396</v>
      </c>
      <c r="U17">
        <f t="shared" si="6"/>
        <v>69052.095505133286</v>
      </c>
      <c r="V17">
        <f t="shared" si="7"/>
        <v>17730.22783142011</v>
      </c>
      <c r="W17">
        <f>IF(R17&lt;=0,0,MIN(MAX(0,R17-V17),0+IF(AND(Q17&gt;='Loan Prepayment'!$B$9,Q17&lt;='Loan Prepayment'!$E$16),'Loan Prepayment'!$B$8,0)))</f>
        <v>0</v>
      </c>
      <c r="X17">
        <f t="shared" si="8"/>
        <v>9730800.9023050442</v>
      </c>
      <c r="Y17">
        <v>16</v>
      </c>
      <c r="Z17">
        <f t="shared" si="19"/>
        <v>9748531.1301364638</v>
      </c>
      <c r="AA17">
        <f>IF(Y17&gt;='Loan Prepayment'!$E$11,'Loan Prepayment'!$E$12,'Loan Prepayment'!$B$6)</f>
        <v>8.5</v>
      </c>
      <c r="AB17">
        <f>IF(Z17&lt;=0,0,MIN(IF(Y17='Loan Prepayment'!$E$11,IF('Loan Prepayment'!$E$13="Keep tenure, recalculate EMI",-PMT(AA17/1200,MAX(1,'Loan Prepayment'!$B$7*12-Y17+1),Z17),AB16),AB16),Z17+AC17))</f>
        <v>86782.323336553396</v>
      </c>
      <c r="AC17">
        <f t="shared" si="9"/>
        <v>69052.095505133286</v>
      </c>
      <c r="AD17">
        <f t="shared" si="10"/>
        <v>17730.22783142011</v>
      </c>
      <c r="AE17">
        <f t="shared" si="11"/>
        <v>0</v>
      </c>
      <c r="AF17">
        <f t="shared" si="12"/>
        <v>9730800.9023050442</v>
      </c>
      <c r="AG17">
        <v>16</v>
      </c>
      <c r="AH17">
        <f t="shared" si="20"/>
        <v>9251206.6772111002</v>
      </c>
      <c r="AI17">
        <f>IF(AG17&gt;='Loan Prepayment'!$E$11,'Loan Prepayment'!$E$12,'Loan Prepayment'!$B$6)</f>
        <v>8.5</v>
      </c>
      <c r="AJ17">
        <f>IF(AH17&lt;=0,0,MIN(IF(AG17='Loan Prepayment'!$E$11,IF('Loan Prepayment'!$E$13="Keep tenure, recalculate EMI",-PMT(AI17/1200,MAX(1,'Loan Prepayment'!$B$7*12-AG17+1),AH17),AJ16),IF(AND('Loan Prepayment'!$E$15="Reduce EMI",AM16&gt;0),-PMT(AI17/1200,MAX(1,'Loan Prepayment'!$B$7*12-AG17+1),AH17),AJ16)),AH17+AK17))</f>
        <v>82355.095182814155</v>
      </c>
      <c r="AK17">
        <f t="shared" si="13"/>
        <v>65529.380630245294</v>
      </c>
      <c r="AL17">
        <f t="shared" si="14"/>
        <v>16825.714552568861</v>
      </c>
      <c r="AM17">
        <f>IF(AH17&lt;=0,0,MIN(MAX(0,AH17-AL17),SUMIFS('Loan Prepayment'!$B$12:$B$16,'Loan Prepayment'!$A$12:$A$16,AG17)+IF(AND(AG17&gt;='Loan Prepayment'!$B$9,AG17&lt;='Loan Prepayment'!$E$16),'Loan Prepayment'!$B$8,0)))</f>
        <v>0</v>
      </c>
      <c r="AN17">
        <f t="shared" si="15"/>
        <v>9234380.962658532</v>
      </c>
    </row>
    <row r="18" spans="1:40" x14ac:dyDescent="0.35">
      <c r="A18">
        <v>17</v>
      </c>
      <c r="B18">
        <f t="shared" si="16"/>
        <v>9730800.9023050442</v>
      </c>
      <c r="C18" s="78">
        <f>'Loan Prepayment'!$B$6</f>
        <v>8.5</v>
      </c>
      <c r="D18">
        <f>IF(B18&lt;=0,0,MIN(-PMT('Loan Prepayment'!$B$6/1200,'Loan Prepayment'!$B$7*12,'Loan Prepayment'!$B$5),B18+E18))</f>
        <v>86782.323336553396</v>
      </c>
      <c r="E18">
        <f t="shared" si="0"/>
        <v>68926.506391327392</v>
      </c>
      <c r="F18">
        <f t="shared" si="1"/>
        <v>17855.816945226004</v>
      </c>
      <c r="G18">
        <v>0</v>
      </c>
      <c r="H18">
        <f t="shared" si="2"/>
        <v>9712945.0853598174</v>
      </c>
      <c r="I18">
        <v>17</v>
      </c>
      <c r="J18">
        <f t="shared" si="17"/>
        <v>9234380.962658532</v>
      </c>
      <c r="K18" s="78">
        <f>'Loan Prepayment'!$B$6</f>
        <v>8.5</v>
      </c>
      <c r="L18">
        <f>IF(J18&lt;=0,0,MIN(IF(AND('Loan Prepayment'!$E$15="Reduce EMI",O17&gt;0),-PMT(K18/1200,MAX(1,'Loan Prepayment'!$B$7*12-I18+1),J18),L17),J18+M18))</f>
        <v>82355.095182814155</v>
      </c>
      <c r="M18">
        <f t="shared" si="3"/>
        <v>65410.198485497931</v>
      </c>
      <c r="N18">
        <f t="shared" si="4"/>
        <v>16944.896697316224</v>
      </c>
      <c r="O18">
        <f>IF(J18&lt;=0,0,MIN(MAX(0,J18-N18),SUMIFS('Loan Prepayment'!$B$12:$B$16,'Loan Prepayment'!$A$12:$A$16,I18)+0))</f>
        <v>0</v>
      </c>
      <c r="P18">
        <f t="shared" si="5"/>
        <v>9217436.0659612156</v>
      </c>
      <c r="Q18">
        <v>17</v>
      </c>
      <c r="R18">
        <f t="shared" si="18"/>
        <v>9730800.9023050442</v>
      </c>
      <c r="S18" s="78">
        <f>'Loan Prepayment'!$B$6</f>
        <v>8.5</v>
      </c>
      <c r="T18">
        <f>IF(R18&lt;=0,0,MIN(IF(AND('Loan Prepayment'!$E$15="Reduce EMI",W17&gt;0),-PMT(S18/1200,MAX(1,'Loan Prepayment'!$B$7*12-Q18+1),R18),T17),R18+U18))</f>
        <v>86782.323336553396</v>
      </c>
      <c r="U18">
        <f t="shared" si="6"/>
        <v>68926.506391327392</v>
      </c>
      <c r="V18">
        <f t="shared" si="7"/>
        <v>17855.816945226004</v>
      </c>
      <c r="W18">
        <f>IF(R18&lt;=0,0,MIN(MAX(0,R18-V18),0+IF(AND(Q18&gt;='Loan Prepayment'!$B$9,Q18&lt;='Loan Prepayment'!$E$16),'Loan Prepayment'!$B$8,0)))</f>
        <v>0</v>
      </c>
      <c r="X18">
        <f t="shared" si="8"/>
        <v>9712945.0853598174</v>
      </c>
      <c r="Y18">
        <v>17</v>
      </c>
      <c r="Z18">
        <f t="shared" si="19"/>
        <v>9730800.9023050442</v>
      </c>
      <c r="AA18">
        <f>IF(Y18&gt;='Loan Prepayment'!$E$11,'Loan Prepayment'!$E$12,'Loan Prepayment'!$B$6)</f>
        <v>8.5</v>
      </c>
      <c r="AB18">
        <f>IF(Z18&lt;=0,0,MIN(IF(Y18='Loan Prepayment'!$E$11,IF('Loan Prepayment'!$E$13="Keep tenure, recalculate EMI",-PMT(AA18/1200,MAX(1,'Loan Prepayment'!$B$7*12-Y18+1),Z18),AB17),AB17),Z18+AC18))</f>
        <v>86782.323336553396</v>
      </c>
      <c r="AC18">
        <f t="shared" si="9"/>
        <v>68926.506391327392</v>
      </c>
      <c r="AD18">
        <f t="shared" si="10"/>
        <v>17855.816945226004</v>
      </c>
      <c r="AE18">
        <f t="shared" si="11"/>
        <v>0</v>
      </c>
      <c r="AF18">
        <f t="shared" si="12"/>
        <v>9712945.0853598174</v>
      </c>
      <c r="AG18">
        <v>17</v>
      </c>
      <c r="AH18">
        <f t="shared" si="20"/>
        <v>9234380.962658532</v>
      </c>
      <c r="AI18">
        <f>IF(AG18&gt;='Loan Prepayment'!$E$11,'Loan Prepayment'!$E$12,'Loan Prepayment'!$B$6)</f>
        <v>8.5</v>
      </c>
      <c r="AJ18">
        <f>IF(AH18&lt;=0,0,MIN(IF(AG18='Loan Prepayment'!$E$11,IF('Loan Prepayment'!$E$13="Keep tenure, recalculate EMI",-PMT(AI18/1200,MAX(1,'Loan Prepayment'!$B$7*12-AG18+1),AH18),AJ17),IF(AND('Loan Prepayment'!$E$15="Reduce EMI",AM17&gt;0),-PMT(AI18/1200,MAX(1,'Loan Prepayment'!$B$7*12-AG18+1),AH18),AJ17)),AH18+AK18))</f>
        <v>82355.095182814155</v>
      </c>
      <c r="AK18">
        <f t="shared" si="13"/>
        <v>65410.198485497931</v>
      </c>
      <c r="AL18">
        <f t="shared" si="14"/>
        <v>16944.896697316224</v>
      </c>
      <c r="AM18">
        <f>IF(AH18&lt;=0,0,MIN(MAX(0,AH18-AL18),SUMIFS('Loan Prepayment'!$B$12:$B$16,'Loan Prepayment'!$A$12:$A$16,AG18)+IF(AND(AG18&gt;='Loan Prepayment'!$B$9,AG18&lt;='Loan Prepayment'!$E$16),'Loan Prepayment'!$B$8,0)))</f>
        <v>0</v>
      </c>
      <c r="AN18">
        <f t="shared" si="15"/>
        <v>9217436.0659612156</v>
      </c>
    </row>
    <row r="19" spans="1:40" x14ac:dyDescent="0.35">
      <c r="A19">
        <v>18</v>
      </c>
      <c r="B19">
        <f t="shared" si="16"/>
        <v>9712945.0853598174</v>
      </c>
      <c r="C19" s="78">
        <f>'Loan Prepayment'!$B$6</f>
        <v>8.5</v>
      </c>
      <c r="D19">
        <f>IF(B19&lt;=0,0,MIN(-PMT('Loan Prepayment'!$B$6/1200,'Loan Prepayment'!$B$7*12,'Loan Prepayment'!$B$5),B19+E19))</f>
        <v>86782.323336553396</v>
      </c>
      <c r="E19">
        <f t="shared" si="0"/>
        <v>68800.027687965368</v>
      </c>
      <c r="F19">
        <f t="shared" si="1"/>
        <v>17982.295648588028</v>
      </c>
      <c r="G19">
        <v>0</v>
      </c>
      <c r="H19">
        <f t="shared" si="2"/>
        <v>9694962.7897112295</v>
      </c>
      <c r="I19">
        <v>18</v>
      </c>
      <c r="J19">
        <f t="shared" si="17"/>
        <v>9217436.0659612156</v>
      </c>
      <c r="K19" s="78">
        <f>'Loan Prepayment'!$B$6</f>
        <v>8.5</v>
      </c>
      <c r="L19">
        <f>IF(J19&lt;=0,0,MIN(IF(AND('Loan Prepayment'!$E$15="Reduce EMI",O18&gt;0),-PMT(K19/1200,MAX(1,'Loan Prepayment'!$B$7*12-I19+1),J19),L18),J19+M19))</f>
        <v>82355.095182814155</v>
      </c>
      <c r="M19">
        <f t="shared" si="3"/>
        <v>65290.172133891945</v>
      </c>
      <c r="N19">
        <f t="shared" si="4"/>
        <v>17064.92304892221</v>
      </c>
      <c r="O19">
        <f>IF(J19&lt;=0,0,MIN(MAX(0,J19-N19),SUMIFS('Loan Prepayment'!$B$12:$B$16,'Loan Prepayment'!$A$12:$A$16,I19)+0))</f>
        <v>0</v>
      </c>
      <c r="P19">
        <f t="shared" si="5"/>
        <v>9200371.1429122929</v>
      </c>
      <c r="Q19">
        <v>18</v>
      </c>
      <c r="R19">
        <f t="shared" si="18"/>
        <v>9712945.0853598174</v>
      </c>
      <c r="S19" s="78">
        <f>'Loan Prepayment'!$B$6</f>
        <v>8.5</v>
      </c>
      <c r="T19">
        <f>IF(R19&lt;=0,0,MIN(IF(AND('Loan Prepayment'!$E$15="Reduce EMI",W18&gt;0),-PMT(S19/1200,MAX(1,'Loan Prepayment'!$B$7*12-Q19+1),R19),T18),R19+U19))</f>
        <v>86782.323336553396</v>
      </c>
      <c r="U19">
        <f t="shared" si="6"/>
        <v>68800.027687965368</v>
      </c>
      <c r="V19">
        <f t="shared" si="7"/>
        <v>17982.295648588028</v>
      </c>
      <c r="W19">
        <f>IF(R19&lt;=0,0,MIN(MAX(0,R19-V19),0+IF(AND(Q19&gt;='Loan Prepayment'!$B$9,Q19&lt;='Loan Prepayment'!$E$16),'Loan Prepayment'!$B$8,0)))</f>
        <v>0</v>
      </c>
      <c r="X19">
        <f t="shared" si="8"/>
        <v>9694962.7897112295</v>
      </c>
      <c r="Y19">
        <v>18</v>
      </c>
      <c r="Z19">
        <f t="shared" si="19"/>
        <v>9712945.0853598174</v>
      </c>
      <c r="AA19">
        <f>IF(Y19&gt;='Loan Prepayment'!$E$11,'Loan Prepayment'!$E$12,'Loan Prepayment'!$B$6)</f>
        <v>8.5</v>
      </c>
      <c r="AB19">
        <f>IF(Z19&lt;=0,0,MIN(IF(Y19='Loan Prepayment'!$E$11,IF('Loan Prepayment'!$E$13="Keep tenure, recalculate EMI",-PMT(AA19/1200,MAX(1,'Loan Prepayment'!$B$7*12-Y19+1),Z19),AB18),AB18),Z19+AC19))</f>
        <v>86782.323336553396</v>
      </c>
      <c r="AC19">
        <f t="shared" si="9"/>
        <v>68800.027687965368</v>
      </c>
      <c r="AD19">
        <f t="shared" si="10"/>
        <v>17982.295648588028</v>
      </c>
      <c r="AE19">
        <f t="shared" si="11"/>
        <v>0</v>
      </c>
      <c r="AF19">
        <f t="shared" si="12"/>
        <v>9694962.7897112295</v>
      </c>
      <c r="AG19">
        <v>18</v>
      </c>
      <c r="AH19">
        <f t="shared" si="20"/>
        <v>9217436.0659612156</v>
      </c>
      <c r="AI19">
        <f>IF(AG19&gt;='Loan Prepayment'!$E$11,'Loan Prepayment'!$E$12,'Loan Prepayment'!$B$6)</f>
        <v>8.5</v>
      </c>
      <c r="AJ19">
        <f>IF(AH19&lt;=0,0,MIN(IF(AG19='Loan Prepayment'!$E$11,IF('Loan Prepayment'!$E$13="Keep tenure, recalculate EMI",-PMT(AI19/1200,MAX(1,'Loan Prepayment'!$B$7*12-AG19+1),AH19),AJ18),IF(AND('Loan Prepayment'!$E$15="Reduce EMI",AM18&gt;0),-PMT(AI19/1200,MAX(1,'Loan Prepayment'!$B$7*12-AG19+1),AH19),AJ18)),AH19+AK19))</f>
        <v>82355.095182814155</v>
      </c>
      <c r="AK19">
        <f t="shared" si="13"/>
        <v>65290.172133891945</v>
      </c>
      <c r="AL19">
        <f t="shared" si="14"/>
        <v>17064.92304892221</v>
      </c>
      <c r="AM19">
        <f>IF(AH19&lt;=0,0,MIN(MAX(0,AH19-AL19),SUMIFS('Loan Prepayment'!$B$12:$B$16,'Loan Prepayment'!$A$12:$A$16,AG19)+IF(AND(AG19&gt;='Loan Prepayment'!$B$9,AG19&lt;='Loan Prepayment'!$E$16),'Loan Prepayment'!$B$8,0)))</f>
        <v>0</v>
      </c>
      <c r="AN19">
        <f t="shared" si="15"/>
        <v>9200371.1429122929</v>
      </c>
    </row>
    <row r="20" spans="1:40" x14ac:dyDescent="0.35">
      <c r="A20">
        <v>19</v>
      </c>
      <c r="B20">
        <f t="shared" si="16"/>
        <v>9694962.7897112295</v>
      </c>
      <c r="C20" s="78">
        <f>'Loan Prepayment'!$B$6</f>
        <v>8.5</v>
      </c>
      <c r="D20">
        <f>IF(B20&lt;=0,0,MIN(-PMT('Loan Prepayment'!$B$6/1200,'Loan Prepayment'!$B$7*12,'Loan Prepayment'!$B$5),B20+E20))</f>
        <v>86782.323336553396</v>
      </c>
      <c r="E20">
        <f t="shared" si="0"/>
        <v>68672.653093787885</v>
      </c>
      <c r="F20">
        <f t="shared" si="1"/>
        <v>18109.670242765511</v>
      </c>
      <c r="G20">
        <v>0</v>
      </c>
      <c r="H20">
        <f t="shared" si="2"/>
        <v>9676853.1194684636</v>
      </c>
      <c r="I20">
        <v>19</v>
      </c>
      <c r="J20">
        <f t="shared" si="17"/>
        <v>9200371.1429122929</v>
      </c>
      <c r="K20" s="78">
        <f>'Loan Prepayment'!$B$6</f>
        <v>8.5</v>
      </c>
      <c r="L20">
        <f>IF(J20&lt;=0,0,MIN(IF(AND('Loan Prepayment'!$E$15="Reduce EMI",O19&gt;0),-PMT(K20/1200,MAX(1,'Loan Prepayment'!$B$7*12-I20+1),J20),L19),J20+M20))</f>
        <v>82355.095182814155</v>
      </c>
      <c r="M20">
        <f t="shared" si="3"/>
        <v>65169.295595628741</v>
      </c>
      <c r="N20">
        <f t="shared" si="4"/>
        <v>17185.799587185415</v>
      </c>
      <c r="O20">
        <f>IF(J20&lt;=0,0,MIN(MAX(0,J20-N20),SUMIFS('Loan Prepayment'!$B$12:$B$16,'Loan Prepayment'!$A$12:$A$16,I20)+0))</f>
        <v>0</v>
      </c>
      <c r="P20">
        <f t="shared" si="5"/>
        <v>9183185.3433251083</v>
      </c>
      <c r="Q20">
        <v>19</v>
      </c>
      <c r="R20">
        <f t="shared" si="18"/>
        <v>9694962.7897112295</v>
      </c>
      <c r="S20" s="78">
        <f>'Loan Prepayment'!$B$6</f>
        <v>8.5</v>
      </c>
      <c r="T20">
        <f>IF(R20&lt;=0,0,MIN(IF(AND('Loan Prepayment'!$E$15="Reduce EMI",W19&gt;0),-PMT(S20/1200,MAX(1,'Loan Prepayment'!$B$7*12-Q20+1),R20),T19),R20+U20))</f>
        <v>86782.323336553396</v>
      </c>
      <c r="U20">
        <f t="shared" si="6"/>
        <v>68672.653093787885</v>
      </c>
      <c r="V20">
        <f t="shared" si="7"/>
        <v>18109.670242765511</v>
      </c>
      <c r="W20">
        <f>IF(R20&lt;=0,0,MIN(MAX(0,R20-V20),0+IF(AND(Q20&gt;='Loan Prepayment'!$B$9,Q20&lt;='Loan Prepayment'!$E$16),'Loan Prepayment'!$B$8,0)))</f>
        <v>0</v>
      </c>
      <c r="X20">
        <f t="shared" si="8"/>
        <v>9676853.1194684636</v>
      </c>
      <c r="Y20">
        <v>19</v>
      </c>
      <c r="Z20">
        <f t="shared" si="19"/>
        <v>9694962.7897112295</v>
      </c>
      <c r="AA20">
        <f>IF(Y20&gt;='Loan Prepayment'!$E$11,'Loan Prepayment'!$E$12,'Loan Prepayment'!$B$6)</f>
        <v>8.5</v>
      </c>
      <c r="AB20">
        <f>IF(Z20&lt;=0,0,MIN(IF(Y20='Loan Prepayment'!$E$11,IF('Loan Prepayment'!$E$13="Keep tenure, recalculate EMI",-PMT(AA20/1200,MAX(1,'Loan Prepayment'!$B$7*12-Y20+1),Z20),AB19),AB19),Z20+AC20))</f>
        <v>86782.323336553396</v>
      </c>
      <c r="AC20">
        <f t="shared" si="9"/>
        <v>68672.653093787885</v>
      </c>
      <c r="AD20">
        <f t="shared" si="10"/>
        <v>18109.670242765511</v>
      </c>
      <c r="AE20">
        <f t="shared" si="11"/>
        <v>0</v>
      </c>
      <c r="AF20">
        <f t="shared" si="12"/>
        <v>9676853.1194684636</v>
      </c>
      <c r="AG20">
        <v>19</v>
      </c>
      <c r="AH20">
        <f t="shared" si="20"/>
        <v>9200371.1429122929</v>
      </c>
      <c r="AI20">
        <f>IF(AG20&gt;='Loan Prepayment'!$E$11,'Loan Prepayment'!$E$12,'Loan Prepayment'!$B$6)</f>
        <v>8.5</v>
      </c>
      <c r="AJ20">
        <f>IF(AH20&lt;=0,0,MIN(IF(AG20='Loan Prepayment'!$E$11,IF('Loan Prepayment'!$E$13="Keep tenure, recalculate EMI",-PMT(AI20/1200,MAX(1,'Loan Prepayment'!$B$7*12-AG20+1),AH20),AJ19),IF(AND('Loan Prepayment'!$E$15="Reduce EMI",AM19&gt;0),-PMT(AI20/1200,MAX(1,'Loan Prepayment'!$B$7*12-AG20+1),AH20),AJ19)),AH20+AK20))</f>
        <v>82355.095182814155</v>
      </c>
      <c r="AK20">
        <f t="shared" si="13"/>
        <v>65169.295595628741</v>
      </c>
      <c r="AL20">
        <f t="shared" si="14"/>
        <v>17185.799587185415</v>
      </c>
      <c r="AM20">
        <f>IF(AH20&lt;=0,0,MIN(MAX(0,AH20-AL20),SUMIFS('Loan Prepayment'!$B$12:$B$16,'Loan Prepayment'!$A$12:$A$16,AG20)+IF(AND(AG20&gt;='Loan Prepayment'!$B$9,AG20&lt;='Loan Prepayment'!$E$16),'Loan Prepayment'!$B$8,0)))</f>
        <v>0</v>
      </c>
      <c r="AN20">
        <f t="shared" si="15"/>
        <v>9183185.3433251083</v>
      </c>
    </row>
    <row r="21" spans="1:40" x14ac:dyDescent="0.35">
      <c r="A21">
        <v>20</v>
      </c>
      <c r="B21">
        <f t="shared" si="16"/>
        <v>9676853.1194684636</v>
      </c>
      <c r="C21" s="78">
        <f>'Loan Prepayment'!$B$6</f>
        <v>8.5</v>
      </c>
      <c r="D21">
        <f>IF(B21&lt;=0,0,MIN(-PMT('Loan Prepayment'!$B$6/1200,'Loan Prepayment'!$B$7*12,'Loan Prepayment'!$B$5),B21+E21))</f>
        <v>86782.323336553396</v>
      </c>
      <c r="E21">
        <f t="shared" si="0"/>
        <v>68544.376262901613</v>
      </c>
      <c r="F21">
        <f t="shared" si="1"/>
        <v>18237.947073651783</v>
      </c>
      <c r="G21">
        <v>0</v>
      </c>
      <c r="H21">
        <f t="shared" si="2"/>
        <v>9658615.1723948121</v>
      </c>
      <c r="I21">
        <v>20</v>
      </c>
      <c r="J21">
        <f t="shared" si="17"/>
        <v>9183185.3433251083</v>
      </c>
      <c r="K21" s="78">
        <f>'Loan Prepayment'!$B$6</f>
        <v>8.5</v>
      </c>
      <c r="L21">
        <f>IF(J21&lt;=0,0,MIN(IF(AND('Loan Prepayment'!$E$15="Reduce EMI",O20&gt;0),-PMT(K21/1200,MAX(1,'Loan Prepayment'!$B$7*12-I21+1),J21),L20),J21+M21))</f>
        <v>82355.095182814155</v>
      </c>
      <c r="M21">
        <f t="shared" si="3"/>
        <v>65047.56284855285</v>
      </c>
      <c r="N21">
        <f t="shared" si="4"/>
        <v>17307.532334261305</v>
      </c>
      <c r="O21">
        <f>IF(J21&lt;=0,0,MIN(MAX(0,J21-N21),SUMIFS('Loan Prepayment'!$B$12:$B$16,'Loan Prepayment'!$A$12:$A$16,I21)+0))</f>
        <v>0</v>
      </c>
      <c r="P21">
        <f t="shared" si="5"/>
        <v>9165877.8109908476</v>
      </c>
      <c r="Q21">
        <v>20</v>
      </c>
      <c r="R21">
        <f t="shared" si="18"/>
        <v>9676853.1194684636</v>
      </c>
      <c r="S21" s="78">
        <f>'Loan Prepayment'!$B$6</f>
        <v>8.5</v>
      </c>
      <c r="T21">
        <f>IF(R21&lt;=0,0,MIN(IF(AND('Loan Prepayment'!$E$15="Reduce EMI",W20&gt;0),-PMT(S21/1200,MAX(1,'Loan Prepayment'!$B$7*12-Q21+1),R21),T20),R21+U21))</f>
        <v>86782.323336553396</v>
      </c>
      <c r="U21">
        <f t="shared" si="6"/>
        <v>68544.376262901613</v>
      </c>
      <c r="V21">
        <f t="shared" si="7"/>
        <v>18237.947073651783</v>
      </c>
      <c r="W21">
        <f>IF(R21&lt;=0,0,MIN(MAX(0,R21-V21),0+IF(AND(Q21&gt;='Loan Prepayment'!$B$9,Q21&lt;='Loan Prepayment'!$E$16),'Loan Prepayment'!$B$8,0)))</f>
        <v>0</v>
      </c>
      <c r="X21">
        <f t="shared" si="8"/>
        <v>9658615.1723948121</v>
      </c>
      <c r="Y21">
        <v>20</v>
      </c>
      <c r="Z21">
        <f t="shared" si="19"/>
        <v>9676853.1194684636</v>
      </c>
      <c r="AA21">
        <f>IF(Y21&gt;='Loan Prepayment'!$E$11,'Loan Prepayment'!$E$12,'Loan Prepayment'!$B$6)</f>
        <v>8.5</v>
      </c>
      <c r="AB21">
        <f>IF(Z21&lt;=0,0,MIN(IF(Y21='Loan Prepayment'!$E$11,IF('Loan Prepayment'!$E$13="Keep tenure, recalculate EMI",-PMT(AA21/1200,MAX(1,'Loan Prepayment'!$B$7*12-Y21+1),Z21),AB20),AB20),Z21+AC21))</f>
        <v>86782.323336553396</v>
      </c>
      <c r="AC21">
        <f t="shared" si="9"/>
        <v>68544.376262901613</v>
      </c>
      <c r="AD21">
        <f t="shared" si="10"/>
        <v>18237.947073651783</v>
      </c>
      <c r="AE21">
        <f t="shared" si="11"/>
        <v>0</v>
      </c>
      <c r="AF21">
        <f t="shared" si="12"/>
        <v>9658615.1723948121</v>
      </c>
      <c r="AG21">
        <v>20</v>
      </c>
      <c r="AH21">
        <f t="shared" si="20"/>
        <v>9183185.3433251083</v>
      </c>
      <c r="AI21">
        <f>IF(AG21&gt;='Loan Prepayment'!$E$11,'Loan Prepayment'!$E$12,'Loan Prepayment'!$B$6)</f>
        <v>8.5</v>
      </c>
      <c r="AJ21">
        <f>IF(AH21&lt;=0,0,MIN(IF(AG21='Loan Prepayment'!$E$11,IF('Loan Prepayment'!$E$13="Keep tenure, recalculate EMI",-PMT(AI21/1200,MAX(1,'Loan Prepayment'!$B$7*12-AG21+1),AH21),AJ20),IF(AND('Loan Prepayment'!$E$15="Reduce EMI",AM20&gt;0),-PMT(AI21/1200,MAX(1,'Loan Prepayment'!$B$7*12-AG21+1),AH21),AJ20)),AH21+AK21))</f>
        <v>82355.095182814155</v>
      </c>
      <c r="AK21">
        <f t="shared" si="13"/>
        <v>65047.56284855285</v>
      </c>
      <c r="AL21">
        <f t="shared" si="14"/>
        <v>17307.532334261305</v>
      </c>
      <c r="AM21">
        <f>IF(AH21&lt;=0,0,MIN(MAX(0,AH21-AL21),SUMIFS('Loan Prepayment'!$B$12:$B$16,'Loan Prepayment'!$A$12:$A$16,AG21)+IF(AND(AG21&gt;='Loan Prepayment'!$B$9,AG21&lt;='Loan Prepayment'!$E$16),'Loan Prepayment'!$B$8,0)))</f>
        <v>0</v>
      </c>
      <c r="AN21">
        <f t="shared" si="15"/>
        <v>9165877.8109908476</v>
      </c>
    </row>
    <row r="22" spans="1:40" x14ac:dyDescent="0.35">
      <c r="A22">
        <v>21</v>
      </c>
      <c r="B22">
        <f t="shared" si="16"/>
        <v>9658615.1723948121</v>
      </c>
      <c r="C22" s="78">
        <f>'Loan Prepayment'!$B$6</f>
        <v>8.5</v>
      </c>
      <c r="D22">
        <f>IF(B22&lt;=0,0,MIN(-PMT('Loan Prepayment'!$B$6/1200,'Loan Prepayment'!$B$7*12,'Loan Prepayment'!$B$5),B22+E22))</f>
        <v>86782.323336553396</v>
      </c>
      <c r="E22">
        <f t="shared" si="0"/>
        <v>68415.190804463258</v>
      </c>
      <c r="F22">
        <f t="shared" si="1"/>
        <v>18367.132532090138</v>
      </c>
      <c r="G22">
        <v>0</v>
      </c>
      <c r="H22">
        <f t="shared" si="2"/>
        <v>9640248.0398627222</v>
      </c>
      <c r="I22">
        <v>21</v>
      </c>
      <c r="J22">
        <f t="shared" si="17"/>
        <v>9165877.8109908476</v>
      </c>
      <c r="K22" s="78">
        <f>'Loan Prepayment'!$B$6</f>
        <v>8.5</v>
      </c>
      <c r="L22">
        <f>IF(J22&lt;=0,0,MIN(IF(AND('Loan Prepayment'!$E$15="Reduce EMI",O21&gt;0),-PMT(K22/1200,MAX(1,'Loan Prepayment'!$B$7*12-I22+1),J22),L21),J22+M22))</f>
        <v>82355.095182814155</v>
      </c>
      <c r="M22">
        <f t="shared" si="3"/>
        <v>64924.967827851833</v>
      </c>
      <c r="N22">
        <f t="shared" si="4"/>
        <v>17430.127354962322</v>
      </c>
      <c r="O22">
        <f>IF(J22&lt;=0,0,MIN(MAX(0,J22-N22),SUMIFS('Loan Prepayment'!$B$12:$B$16,'Loan Prepayment'!$A$12:$A$16,I22)+0))</f>
        <v>0</v>
      </c>
      <c r="P22">
        <f t="shared" si="5"/>
        <v>9148447.6836358849</v>
      </c>
      <c r="Q22">
        <v>21</v>
      </c>
      <c r="R22">
        <f t="shared" si="18"/>
        <v>9658615.1723948121</v>
      </c>
      <c r="S22" s="78">
        <f>'Loan Prepayment'!$B$6</f>
        <v>8.5</v>
      </c>
      <c r="T22">
        <f>IF(R22&lt;=0,0,MIN(IF(AND('Loan Prepayment'!$E$15="Reduce EMI",W21&gt;0),-PMT(S22/1200,MAX(1,'Loan Prepayment'!$B$7*12-Q22+1),R22),T21),R22+U22))</f>
        <v>86782.323336553396</v>
      </c>
      <c r="U22">
        <f t="shared" si="6"/>
        <v>68415.190804463258</v>
      </c>
      <c r="V22">
        <f t="shared" si="7"/>
        <v>18367.132532090138</v>
      </c>
      <c r="W22">
        <f>IF(R22&lt;=0,0,MIN(MAX(0,R22-V22),0+IF(AND(Q22&gt;='Loan Prepayment'!$B$9,Q22&lt;='Loan Prepayment'!$E$16),'Loan Prepayment'!$B$8,0)))</f>
        <v>0</v>
      </c>
      <c r="X22">
        <f t="shared" si="8"/>
        <v>9640248.0398627222</v>
      </c>
      <c r="Y22">
        <v>21</v>
      </c>
      <c r="Z22">
        <f t="shared" si="19"/>
        <v>9658615.1723948121</v>
      </c>
      <c r="AA22">
        <f>IF(Y22&gt;='Loan Prepayment'!$E$11,'Loan Prepayment'!$E$12,'Loan Prepayment'!$B$6)</f>
        <v>8.5</v>
      </c>
      <c r="AB22">
        <f>IF(Z22&lt;=0,0,MIN(IF(Y22='Loan Prepayment'!$E$11,IF('Loan Prepayment'!$E$13="Keep tenure, recalculate EMI",-PMT(AA22/1200,MAX(1,'Loan Prepayment'!$B$7*12-Y22+1),Z22),AB21),AB21),Z22+AC22))</f>
        <v>86782.323336553396</v>
      </c>
      <c r="AC22">
        <f t="shared" si="9"/>
        <v>68415.190804463258</v>
      </c>
      <c r="AD22">
        <f t="shared" si="10"/>
        <v>18367.132532090138</v>
      </c>
      <c r="AE22">
        <f t="shared" si="11"/>
        <v>0</v>
      </c>
      <c r="AF22">
        <f t="shared" si="12"/>
        <v>9640248.0398627222</v>
      </c>
      <c r="AG22">
        <v>21</v>
      </c>
      <c r="AH22">
        <f t="shared" si="20"/>
        <v>9165877.8109908476</v>
      </c>
      <c r="AI22">
        <f>IF(AG22&gt;='Loan Prepayment'!$E$11,'Loan Prepayment'!$E$12,'Loan Prepayment'!$B$6)</f>
        <v>8.5</v>
      </c>
      <c r="AJ22">
        <f>IF(AH22&lt;=0,0,MIN(IF(AG22='Loan Prepayment'!$E$11,IF('Loan Prepayment'!$E$13="Keep tenure, recalculate EMI",-PMT(AI22/1200,MAX(1,'Loan Prepayment'!$B$7*12-AG22+1),AH22),AJ21),IF(AND('Loan Prepayment'!$E$15="Reduce EMI",AM21&gt;0),-PMT(AI22/1200,MAX(1,'Loan Prepayment'!$B$7*12-AG22+1),AH22),AJ21)),AH22+AK22))</f>
        <v>82355.095182814155</v>
      </c>
      <c r="AK22">
        <f t="shared" si="13"/>
        <v>64924.967827851833</v>
      </c>
      <c r="AL22">
        <f t="shared" si="14"/>
        <v>17430.127354962322</v>
      </c>
      <c r="AM22">
        <f>IF(AH22&lt;=0,0,MIN(MAX(0,AH22-AL22),SUMIFS('Loan Prepayment'!$B$12:$B$16,'Loan Prepayment'!$A$12:$A$16,AG22)+IF(AND(AG22&gt;='Loan Prepayment'!$B$9,AG22&lt;='Loan Prepayment'!$E$16),'Loan Prepayment'!$B$8,0)))</f>
        <v>0</v>
      </c>
      <c r="AN22">
        <f t="shared" si="15"/>
        <v>9148447.6836358849</v>
      </c>
    </row>
    <row r="23" spans="1:40" x14ac:dyDescent="0.35">
      <c r="A23">
        <v>22</v>
      </c>
      <c r="B23">
        <f t="shared" si="16"/>
        <v>9640248.0398627222</v>
      </c>
      <c r="C23" s="78">
        <f>'Loan Prepayment'!$B$6</f>
        <v>8.5</v>
      </c>
      <c r="D23">
        <f>IF(B23&lt;=0,0,MIN(-PMT('Loan Prepayment'!$B$6/1200,'Loan Prepayment'!$B$7*12,'Loan Prepayment'!$B$5),B23+E23))</f>
        <v>86782.323336553396</v>
      </c>
      <c r="E23">
        <f t="shared" si="0"/>
        <v>68285.09028236095</v>
      </c>
      <c r="F23">
        <f t="shared" si="1"/>
        <v>18497.233054192446</v>
      </c>
      <c r="G23">
        <v>0</v>
      </c>
      <c r="H23">
        <f t="shared" si="2"/>
        <v>9621750.8068085294</v>
      </c>
      <c r="I23">
        <v>22</v>
      </c>
      <c r="J23">
        <f t="shared" si="17"/>
        <v>9148447.6836358849</v>
      </c>
      <c r="K23" s="78">
        <f>'Loan Prepayment'!$B$6</f>
        <v>8.5</v>
      </c>
      <c r="L23">
        <f>IF(J23&lt;=0,0,MIN(IF(AND('Loan Prepayment'!$E$15="Reduce EMI",O22&gt;0),-PMT(K23/1200,MAX(1,'Loan Prepayment'!$B$7*12-I23+1),J23),L22),J23+M23))</f>
        <v>82355.095182814155</v>
      </c>
      <c r="M23">
        <f t="shared" si="3"/>
        <v>64801.504425754189</v>
      </c>
      <c r="N23">
        <f t="shared" si="4"/>
        <v>17553.590757059967</v>
      </c>
      <c r="O23">
        <f>IF(J23&lt;=0,0,MIN(MAX(0,J23-N23),SUMIFS('Loan Prepayment'!$B$12:$B$16,'Loan Prepayment'!$A$12:$A$16,I23)+0))</f>
        <v>0</v>
      </c>
      <c r="P23">
        <f t="shared" si="5"/>
        <v>9130894.0928788241</v>
      </c>
      <c r="Q23">
        <v>22</v>
      </c>
      <c r="R23">
        <f t="shared" si="18"/>
        <v>9640248.0398627222</v>
      </c>
      <c r="S23" s="78">
        <f>'Loan Prepayment'!$B$6</f>
        <v>8.5</v>
      </c>
      <c r="T23">
        <f>IF(R23&lt;=0,0,MIN(IF(AND('Loan Prepayment'!$E$15="Reduce EMI",W22&gt;0),-PMT(S23/1200,MAX(1,'Loan Prepayment'!$B$7*12-Q23+1),R23),T22),R23+U23))</f>
        <v>86782.323336553396</v>
      </c>
      <c r="U23">
        <f t="shared" si="6"/>
        <v>68285.09028236095</v>
      </c>
      <c r="V23">
        <f t="shared" si="7"/>
        <v>18497.233054192446</v>
      </c>
      <c r="W23">
        <f>IF(R23&lt;=0,0,MIN(MAX(0,R23-V23),0+IF(AND(Q23&gt;='Loan Prepayment'!$B$9,Q23&lt;='Loan Prepayment'!$E$16),'Loan Prepayment'!$B$8,0)))</f>
        <v>0</v>
      </c>
      <c r="X23">
        <f t="shared" si="8"/>
        <v>9621750.8068085294</v>
      </c>
      <c r="Y23">
        <v>22</v>
      </c>
      <c r="Z23">
        <f t="shared" si="19"/>
        <v>9640248.0398627222</v>
      </c>
      <c r="AA23">
        <f>IF(Y23&gt;='Loan Prepayment'!$E$11,'Loan Prepayment'!$E$12,'Loan Prepayment'!$B$6)</f>
        <v>8.5</v>
      </c>
      <c r="AB23">
        <f>IF(Z23&lt;=0,0,MIN(IF(Y23='Loan Prepayment'!$E$11,IF('Loan Prepayment'!$E$13="Keep tenure, recalculate EMI",-PMT(AA23/1200,MAX(1,'Loan Prepayment'!$B$7*12-Y23+1),Z23),AB22),AB22),Z23+AC23))</f>
        <v>86782.323336553396</v>
      </c>
      <c r="AC23">
        <f t="shared" si="9"/>
        <v>68285.09028236095</v>
      </c>
      <c r="AD23">
        <f t="shared" si="10"/>
        <v>18497.233054192446</v>
      </c>
      <c r="AE23">
        <f t="shared" si="11"/>
        <v>0</v>
      </c>
      <c r="AF23">
        <f t="shared" si="12"/>
        <v>9621750.8068085294</v>
      </c>
      <c r="AG23">
        <v>22</v>
      </c>
      <c r="AH23">
        <f t="shared" si="20"/>
        <v>9148447.6836358849</v>
      </c>
      <c r="AI23">
        <f>IF(AG23&gt;='Loan Prepayment'!$E$11,'Loan Prepayment'!$E$12,'Loan Prepayment'!$B$6)</f>
        <v>8.5</v>
      </c>
      <c r="AJ23">
        <f>IF(AH23&lt;=0,0,MIN(IF(AG23='Loan Prepayment'!$E$11,IF('Loan Prepayment'!$E$13="Keep tenure, recalculate EMI",-PMT(AI23/1200,MAX(1,'Loan Prepayment'!$B$7*12-AG23+1),AH23),AJ22),IF(AND('Loan Prepayment'!$E$15="Reduce EMI",AM22&gt;0),-PMT(AI23/1200,MAX(1,'Loan Prepayment'!$B$7*12-AG23+1),AH23),AJ22)),AH23+AK23))</f>
        <v>82355.095182814155</v>
      </c>
      <c r="AK23">
        <f t="shared" si="13"/>
        <v>64801.504425754189</v>
      </c>
      <c r="AL23">
        <f t="shared" si="14"/>
        <v>17553.590757059967</v>
      </c>
      <c r="AM23">
        <f>IF(AH23&lt;=0,0,MIN(MAX(0,AH23-AL23),SUMIFS('Loan Prepayment'!$B$12:$B$16,'Loan Prepayment'!$A$12:$A$16,AG23)+IF(AND(AG23&gt;='Loan Prepayment'!$B$9,AG23&lt;='Loan Prepayment'!$E$16),'Loan Prepayment'!$B$8,0)))</f>
        <v>0</v>
      </c>
      <c r="AN23">
        <f t="shared" si="15"/>
        <v>9130894.0928788241</v>
      </c>
    </row>
    <row r="24" spans="1:40" x14ac:dyDescent="0.35">
      <c r="A24">
        <v>23</v>
      </c>
      <c r="B24">
        <f t="shared" si="16"/>
        <v>9621750.8068085294</v>
      </c>
      <c r="C24" s="78">
        <f>'Loan Prepayment'!$B$6</f>
        <v>8.5</v>
      </c>
      <c r="D24">
        <f>IF(B24&lt;=0,0,MIN(-PMT('Loan Prepayment'!$B$6/1200,'Loan Prepayment'!$B$7*12,'Loan Prepayment'!$B$5),B24+E24))</f>
        <v>86782.323336553396</v>
      </c>
      <c r="E24">
        <f t="shared" si="0"/>
        <v>68154.068214893749</v>
      </c>
      <c r="F24">
        <f t="shared" si="1"/>
        <v>18628.255121659648</v>
      </c>
      <c r="G24">
        <v>0</v>
      </c>
      <c r="H24">
        <f t="shared" si="2"/>
        <v>9603122.5516868699</v>
      </c>
      <c r="I24">
        <v>23</v>
      </c>
      <c r="J24">
        <f t="shared" si="17"/>
        <v>9130894.0928788241</v>
      </c>
      <c r="K24" s="78">
        <f>'Loan Prepayment'!$B$6</f>
        <v>8.5</v>
      </c>
      <c r="L24">
        <f>IF(J24&lt;=0,0,MIN(IF(AND('Loan Prepayment'!$E$15="Reduce EMI",O23&gt;0),-PMT(K24/1200,MAX(1,'Loan Prepayment'!$B$7*12-I24+1),J24),L23),J24+M24))</f>
        <v>82355.095182814155</v>
      </c>
      <c r="M24">
        <f t="shared" si="3"/>
        <v>64677.166491225005</v>
      </c>
      <c r="N24">
        <f t="shared" si="4"/>
        <v>17677.92869158915</v>
      </c>
      <c r="O24">
        <f>IF(J24&lt;=0,0,MIN(MAX(0,J24-N24),SUMIFS('Loan Prepayment'!$B$12:$B$16,'Loan Prepayment'!$A$12:$A$16,I24)+0))</f>
        <v>0</v>
      </c>
      <c r="P24">
        <f t="shared" si="5"/>
        <v>9113216.1641872358</v>
      </c>
      <c r="Q24">
        <v>23</v>
      </c>
      <c r="R24">
        <f t="shared" si="18"/>
        <v>9621750.8068085294</v>
      </c>
      <c r="S24" s="78">
        <f>'Loan Prepayment'!$B$6</f>
        <v>8.5</v>
      </c>
      <c r="T24">
        <f>IF(R24&lt;=0,0,MIN(IF(AND('Loan Prepayment'!$E$15="Reduce EMI",W23&gt;0),-PMT(S24/1200,MAX(1,'Loan Prepayment'!$B$7*12-Q24+1),R24),T23),R24+U24))</f>
        <v>86782.323336553396</v>
      </c>
      <c r="U24">
        <f t="shared" si="6"/>
        <v>68154.068214893749</v>
      </c>
      <c r="V24">
        <f t="shared" si="7"/>
        <v>18628.255121659648</v>
      </c>
      <c r="W24">
        <f>IF(R24&lt;=0,0,MIN(MAX(0,R24-V24),0+IF(AND(Q24&gt;='Loan Prepayment'!$B$9,Q24&lt;='Loan Prepayment'!$E$16),'Loan Prepayment'!$B$8,0)))</f>
        <v>0</v>
      </c>
      <c r="X24">
        <f t="shared" si="8"/>
        <v>9603122.5516868699</v>
      </c>
      <c r="Y24">
        <v>23</v>
      </c>
      <c r="Z24">
        <f t="shared" si="19"/>
        <v>9621750.8068085294</v>
      </c>
      <c r="AA24">
        <f>IF(Y24&gt;='Loan Prepayment'!$E$11,'Loan Prepayment'!$E$12,'Loan Prepayment'!$B$6)</f>
        <v>8.5</v>
      </c>
      <c r="AB24">
        <f>IF(Z24&lt;=0,0,MIN(IF(Y24='Loan Prepayment'!$E$11,IF('Loan Prepayment'!$E$13="Keep tenure, recalculate EMI",-PMT(AA24/1200,MAX(1,'Loan Prepayment'!$B$7*12-Y24+1),Z24),AB23),AB23),Z24+AC24))</f>
        <v>86782.323336553396</v>
      </c>
      <c r="AC24">
        <f t="shared" si="9"/>
        <v>68154.068214893749</v>
      </c>
      <c r="AD24">
        <f t="shared" si="10"/>
        <v>18628.255121659648</v>
      </c>
      <c r="AE24">
        <f t="shared" si="11"/>
        <v>0</v>
      </c>
      <c r="AF24">
        <f t="shared" si="12"/>
        <v>9603122.5516868699</v>
      </c>
      <c r="AG24">
        <v>23</v>
      </c>
      <c r="AH24">
        <f t="shared" si="20"/>
        <v>9130894.0928788241</v>
      </c>
      <c r="AI24">
        <f>IF(AG24&gt;='Loan Prepayment'!$E$11,'Loan Prepayment'!$E$12,'Loan Prepayment'!$B$6)</f>
        <v>8.5</v>
      </c>
      <c r="AJ24">
        <f>IF(AH24&lt;=0,0,MIN(IF(AG24='Loan Prepayment'!$E$11,IF('Loan Prepayment'!$E$13="Keep tenure, recalculate EMI",-PMT(AI24/1200,MAX(1,'Loan Prepayment'!$B$7*12-AG24+1),AH24),AJ23),IF(AND('Loan Prepayment'!$E$15="Reduce EMI",AM23&gt;0),-PMT(AI24/1200,MAX(1,'Loan Prepayment'!$B$7*12-AG24+1),AH24),AJ23)),AH24+AK24))</f>
        <v>82355.095182814155</v>
      </c>
      <c r="AK24">
        <f t="shared" si="13"/>
        <v>64677.166491225005</v>
      </c>
      <c r="AL24">
        <f t="shared" si="14"/>
        <v>17677.92869158915</v>
      </c>
      <c r="AM24">
        <f>IF(AH24&lt;=0,0,MIN(MAX(0,AH24-AL24),SUMIFS('Loan Prepayment'!$B$12:$B$16,'Loan Prepayment'!$A$12:$A$16,AG24)+IF(AND(AG24&gt;='Loan Prepayment'!$B$9,AG24&lt;='Loan Prepayment'!$E$16),'Loan Prepayment'!$B$8,0)))</f>
        <v>0</v>
      </c>
      <c r="AN24">
        <f t="shared" si="15"/>
        <v>9113216.1641872358</v>
      </c>
    </row>
    <row r="25" spans="1:40" x14ac:dyDescent="0.35">
      <c r="A25">
        <v>24</v>
      </c>
      <c r="B25">
        <f t="shared" si="16"/>
        <v>9603122.5516868699</v>
      </c>
      <c r="C25" s="78">
        <f>'Loan Prepayment'!$B$6</f>
        <v>8.5</v>
      </c>
      <c r="D25">
        <f>IF(B25&lt;=0,0,MIN(-PMT('Loan Prepayment'!$B$6/1200,'Loan Prepayment'!$B$7*12,'Loan Prepayment'!$B$5),B25+E25))</f>
        <v>86782.323336553396</v>
      </c>
      <c r="E25">
        <f t="shared" si="0"/>
        <v>68022.118074448663</v>
      </c>
      <c r="F25">
        <f t="shared" si="1"/>
        <v>18760.205262104733</v>
      </c>
      <c r="G25">
        <v>0</v>
      </c>
      <c r="H25">
        <f t="shared" si="2"/>
        <v>9584362.3464247659</v>
      </c>
      <c r="I25">
        <v>24</v>
      </c>
      <c r="J25">
        <f t="shared" si="17"/>
        <v>9113216.1641872358</v>
      </c>
      <c r="K25" s="78">
        <f>'Loan Prepayment'!$B$6</f>
        <v>8.5</v>
      </c>
      <c r="L25">
        <f>IF(J25&lt;=0,0,MIN(IF(AND('Loan Prepayment'!$E$15="Reduce EMI",O24&gt;0),-PMT(K25/1200,MAX(1,'Loan Prepayment'!$B$7*12-I25+1),J25),L24),J25+M25))</f>
        <v>82355.095182814155</v>
      </c>
      <c r="M25">
        <f t="shared" si="3"/>
        <v>64551.947829659584</v>
      </c>
      <c r="N25">
        <f t="shared" si="4"/>
        <v>17803.147353154571</v>
      </c>
      <c r="O25">
        <f>IF(J25&lt;=0,0,MIN(MAX(0,J25-N25),SUMIFS('Loan Prepayment'!$B$12:$B$16,'Loan Prepayment'!$A$12:$A$16,I25)+0))</f>
        <v>0</v>
      </c>
      <c r="P25">
        <f t="shared" si="5"/>
        <v>9095413.0168340821</v>
      </c>
      <c r="Q25">
        <v>24</v>
      </c>
      <c r="R25">
        <f t="shared" si="18"/>
        <v>9603122.5516868699</v>
      </c>
      <c r="S25" s="78">
        <f>'Loan Prepayment'!$B$6</f>
        <v>8.5</v>
      </c>
      <c r="T25">
        <f>IF(R25&lt;=0,0,MIN(IF(AND('Loan Prepayment'!$E$15="Reduce EMI",W24&gt;0),-PMT(S25/1200,MAX(1,'Loan Prepayment'!$B$7*12-Q25+1),R25),T24),R25+U25))</f>
        <v>86782.323336553396</v>
      </c>
      <c r="U25">
        <f t="shared" si="6"/>
        <v>68022.118074448663</v>
      </c>
      <c r="V25">
        <f t="shared" si="7"/>
        <v>18760.205262104733</v>
      </c>
      <c r="W25">
        <f>IF(R25&lt;=0,0,MIN(MAX(0,R25-V25),0+IF(AND(Q25&gt;='Loan Prepayment'!$B$9,Q25&lt;='Loan Prepayment'!$E$16),'Loan Prepayment'!$B$8,0)))</f>
        <v>0</v>
      </c>
      <c r="X25">
        <f t="shared" si="8"/>
        <v>9584362.3464247659</v>
      </c>
      <c r="Y25">
        <v>24</v>
      </c>
      <c r="Z25">
        <f t="shared" si="19"/>
        <v>9603122.5516868699</v>
      </c>
      <c r="AA25">
        <f>IF(Y25&gt;='Loan Prepayment'!$E$11,'Loan Prepayment'!$E$12,'Loan Prepayment'!$B$6)</f>
        <v>8.5</v>
      </c>
      <c r="AB25">
        <f>IF(Z25&lt;=0,0,MIN(IF(Y25='Loan Prepayment'!$E$11,IF('Loan Prepayment'!$E$13="Keep tenure, recalculate EMI",-PMT(AA25/1200,MAX(1,'Loan Prepayment'!$B$7*12-Y25+1),Z25),AB24),AB24),Z25+AC25))</f>
        <v>86782.323336553396</v>
      </c>
      <c r="AC25">
        <f t="shared" si="9"/>
        <v>68022.118074448663</v>
      </c>
      <c r="AD25">
        <f t="shared" si="10"/>
        <v>18760.205262104733</v>
      </c>
      <c r="AE25">
        <f t="shared" si="11"/>
        <v>0</v>
      </c>
      <c r="AF25">
        <f t="shared" si="12"/>
        <v>9584362.3464247659</v>
      </c>
      <c r="AG25">
        <v>24</v>
      </c>
      <c r="AH25">
        <f t="shared" si="20"/>
        <v>9113216.1641872358</v>
      </c>
      <c r="AI25">
        <f>IF(AG25&gt;='Loan Prepayment'!$E$11,'Loan Prepayment'!$E$12,'Loan Prepayment'!$B$6)</f>
        <v>8.5</v>
      </c>
      <c r="AJ25">
        <f>IF(AH25&lt;=0,0,MIN(IF(AG25='Loan Prepayment'!$E$11,IF('Loan Prepayment'!$E$13="Keep tenure, recalculate EMI",-PMT(AI25/1200,MAX(1,'Loan Prepayment'!$B$7*12-AG25+1),AH25),AJ24),IF(AND('Loan Prepayment'!$E$15="Reduce EMI",AM24&gt;0),-PMT(AI25/1200,MAX(1,'Loan Prepayment'!$B$7*12-AG25+1),AH25),AJ24)),AH25+AK25))</f>
        <v>82355.095182814155</v>
      </c>
      <c r="AK25">
        <f t="shared" si="13"/>
        <v>64551.947829659584</v>
      </c>
      <c r="AL25">
        <f t="shared" si="14"/>
        <v>17803.147353154571</v>
      </c>
      <c r="AM25">
        <f>IF(AH25&lt;=0,0,MIN(MAX(0,AH25-AL25),SUMIFS('Loan Prepayment'!$B$12:$B$16,'Loan Prepayment'!$A$12:$A$16,AG25)+IF(AND(AG25&gt;='Loan Prepayment'!$B$9,AG25&lt;='Loan Prepayment'!$E$16),'Loan Prepayment'!$B$8,0)))</f>
        <v>0</v>
      </c>
      <c r="AN25">
        <f t="shared" si="15"/>
        <v>9095413.0168340821</v>
      </c>
    </row>
    <row r="26" spans="1:40" x14ac:dyDescent="0.35">
      <c r="A26">
        <v>25</v>
      </c>
      <c r="B26">
        <f t="shared" si="16"/>
        <v>9584362.3464247659</v>
      </c>
      <c r="C26" s="78">
        <f>'Loan Prepayment'!$B$6</f>
        <v>8.5</v>
      </c>
      <c r="D26">
        <f>IF(B26&lt;=0,0,MIN(-PMT('Loan Prepayment'!$B$6/1200,'Loan Prepayment'!$B$7*12,'Loan Prepayment'!$B$5),B26+E26))</f>
        <v>86782.323336553396</v>
      </c>
      <c r="E26">
        <f t="shared" si="0"/>
        <v>67889.233287175419</v>
      </c>
      <c r="F26">
        <f t="shared" si="1"/>
        <v>18893.090049377977</v>
      </c>
      <c r="G26">
        <v>0</v>
      </c>
      <c r="H26">
        <f t="shared" si="2"/>
        <v>9565469.2563753873</v>
      </c>
      <c r="I26">
        <v>25</v>
      </c>
      <c r="J26">
        <f t="shared" si="17"/>
        <v>9095413.0168340821</v>
      </c>
      <c r="K26" s="78">
        <f>'Loan Prepayment'!$B$6</f>
        <v>8.5</v>
      </c>
      <c r="L26">
        <f>IF(J26&lt;=0,0,MIN(IF(AND('Loan Prepayment'!$E$15="Reduce EMI",O25&gt;0),-PMT(K26/1200,MAX(1,'Loan Prepayment'!$B$7*12-I26+1),J26),L25),J26+M26))</f>
        <v>82355.095182814155</v>
      </c>
      <c r="M26">
        <f t="shared" si="3"/>
        <v>64425.84220257475</v>
      </c>
      <c r="N26">
        <f t="shared" si="4"/>
        <v>17929.252980239406</v>
      </c>
      <c r="O26">
        <f>IF(J26&lt;=0,0,MIN(MAX(0,J26-N26),SUMIFS('Loan Prepayment'!$B$12:$B$16,'Loan Prepayment'!$A$12:$A$16,I26)+0))</f>
        <v>0</v>
      </c>
      <c r="P26">
        <f t="shared" si="5"/>
        <v>9077483.7638538424</v>
      </c>
      <c r="Q26">
        <v>25</v>
      </c>
      <c r="R26">
        <f t="shared" si="18"/>
        <v>9584362.3464247659</v>
      </c>
      <c r="S26" s="78">
        <f>'Loan Prepayment'!$B$6</f>
        <v>8.5</v>
      </c>
      <c r="T26">
        <f>IF(R26&lt;=0,0,MIN(IF(AND('Loan Prepayment'!$E$15="Reduce EMI",W25&gt;0),-PMT(S26/1200,MAX(1,'Loan Prepayment'!$B$7*12-Q26+1),R26),T25),R26+U26))</f>
        <v>86782.323336553396</v>
      </c>
      <c r="U26">
        <f t="shared" si="6"/>
        <v>67889.233287175419</v>
      </c>
      <c r="V26">
        <f t="shared" si="7"/>
        <v>18893.090049377977</v>
      </c>
      <c r="W26">
        <f>IF(R26&lt;=0,0,MIN(MAX(0,R26-V26),0+IF(AND(Q26&gt;='Loan Prepayment'!$B$9,Q26&lt;='Loan Prepayment'!$E$16),'Loan Prepayment'!$B$8,0)))</f>
        <v>0</v>
      </c>
      <c r="X26">
        <f t="shared" si="8"/>
        <v>9565469.2563753873</v>
      </c>
      <c r="Y26">
        <v>25</v>
      </c>
      <c r="Z26">
        <f t="shared" si="19"/>
        <v>9584362.3464247659</v>
      </c>
      <c r="AA26">
        <f>IF(Y26&gt;='Loan Prepayment'!$E$11,'Loan Prepayment'!$E$12,'Loan Prepayment'!$B$6)</f>
        <v>8.5</v>
      </c>
      <c r="AB26">
        <f>IF(Z26&lt;=0,0,MIN(IF(Y26='Loan Prepayment'!$E$11,IF('Loan Prepayment'!$E$13="Keep tenure, recalculate EMI",-PMT(AA26/1200,MAX(1,'Loan Prepayment'!$B$7*12-Y26+1),Z26),AB25),AB25),Z26+AC26))</f>
        <v>86782.323336553396</v>
      </c>
      <c r="AC26">
        <f t="shared" si="9"/>
        <v>67889.233287175419</v>
      </c>
      <c r="AD26">
        <f t="shared" si="10"/>
        <v>18893.090049377977</v>
      </c>
      <c r="AE26">
        <f t="shared" si="11"/>
        <v>0</v>
      </c>
      <c r="AF26">
        <f t="shared" si="12"/>
        <v>9565469.2563753873</v>
      </c>
      <c r="AG26">
        <v>25</v>
      </c>
      <c r="AH26">
        <f t="shared" si="20"/>
        <v>9095413.0168340821</v>
      </c>
      <c r="AI26">
        <f>IF(AG26&gt;='Loan Prepayment'!$E$11,'Loan Prepayment'!$E$12,'Loan Prepayment'!$B$6)</f>
        <v>8.5</v>
      </c>
      <c r="AJ26">
        <f>IF(AH26&lt;=0,0,MIN(IF(AG26='Loan Prepayment'!$E$11,IF('Loan Prepayment'!$E$13="Keep tenure, recalculate EMI",-PMT(AI26/1200,MAX(1,'Loan Prepayment'!$B$7*12-AG26+1),AH26),AJ25),IF(AND('Loan Prepayment'!$E$15="Reduce EMI",AM25&gt;0),-PMT(AI26/1200,MAX(1,'Loan Prepayment'!$B$7*12-AG26+1),AH26),AJ25)),AH26+AK26))</f>
        <v>82355.095182814155</v>
      </c>
      <c r="AK26">
        <f t="shared" si="13"/>
        <v>64425.84220257475</v>
      </c>
      <c r="AL26">
        <f t="shared" si="14"/>
        <v>17929.252980239406</v>
      </c>
      <c r="AM26">
        <f>IF(AH26&lt;=0,0,MIN(MAX(0,AH26-AL26),SUMIFS('Loan Prepayment'!$B$12:$B$16,'Loan Prepayment'!$A$12:$A$16,AG26)+IF(AND(AG26&gt;='Loan Prepayment'!$B$9,AG26&lt;='Loan Prepayment'!$E$16),'Loan Prepayment'!$B$8,0)))</f>
        <v>0</v>
      </c>
      <c r="AN26">
        <f t="shared" si="15"/>
        <v>9077483.7638538424</v>
      </c>
    </row>
    <row r="27" spans="1:40" x14ac:dyDescent="0.35">
      <c r="A27">
        <v>26</v>
      </c>
      <c r="B27">
        <f t="shared" si="16"/>
        <v>9565469.2563753873</v>
      </c>
      <c r="C27" s="78">
        <f>'Loan Prepayment'!$B$6</f>
        <v>8.5</v>
      </c>
      <c r="D27">
        <f>IF(B27&lt;=0,0,MIN(-PMT('Loan Prepayment'!$B$6/1200,'Loan Prepayment'!$B$7*12,'Loan Prepayment'!$B$5),B27+E27))</f>
        <v>86782.323336553396</v>
      </c>
      <c r="E27">
        <f t="shared" si="0"/>
        <v>67755.407232658981</v>
      </c>
      <c r="F27">
        <f t="shared" si="1"/>
        <v>19026.916103894415</v>
      </c>
      <c r="G27">
        <v>0</v>
      </c>
      <c r="H27">
        <f t="shared" si="2"/>
        <v>9546442.3402714934</v>
      </c>
      <c r="I27">
        <v>26</v>
      </c>
      <c r="J27">
        <f t="shared" si="17"/>
        <v>9077483.7638538424</v>
      </c>
      <c r="K27" s="78">
        <f>'Loan Prepayment'!$B$6</f>
        <v>8.5</v>
      </c>
      <c r="L27">
        <f>IF(J27&lt;=0,0,MIN(IF(AND('Loan Prepayment'!$E$15="Reduce EMI",O26&gt;0),-PMT(K27/1200,MAX(1,'Loan Prepayment'!$B$7*12-I27+1),J27),L26),J27+M27))</f>
        <v>82355.095182814155</v>
      </c>
      <c r="M27">
        <f t="shared" si="3"/>
        <v>64298.843327298055</v>
      </c>
      <c r="N27">
        <f t="shared" si="4"/>
        <v>18056.2518555161</v>
      </c>
      <c r="O27">
        <f>IF(J27&lt;=0,0,MIN(MAX(0,J27-N27),SUMIFS('Loan Prepayment'!$B$12:$B$16,'Loan Prepayment'!$A$12:$A$16,I27)+0))</f>
        <v>0</v>
      </c>
      <c r="P27">
        <f t="shared" si="5"/>
        <v>9059427.5119983256</v>
      </c>
      <c r="Q27">
        <v>26</v>
      </c>
      <c r="R27">
        <f t="shared" si="18"/>
        <v>9565469.2563753873</v>
      </c>
      <c r="S27" s="78">
        <f>'Loan Prepayment'!$B$6</f>
        <v>8.5</v>
      </c>
      <c r="T27">
        <f>IF(R27&lt;=0,0,MIN(IF(AND('Loan Prepayment'!$E$15="Reduce EMI",W26&gt;0),-PMT(S27/1200,MAX(1,'Loan Prepayment'!$B$7*12-Q27+1),R27),T26),R27+U27))</f>
        <v>86782.323336553396</v>
      </c>
      <c r="U27">
        <f t="shared" si="6"/>
        <v>67755.407232658981</v>
      </c>
      <c r="V27">
        <f t="shared" si="7"/>
        <v>19026.916103894415</v>
      </c>
      <c r="W27">
        <f>IF(R27&lt;=0,0,MIN(MAX(0,R27-V27),0+IF(AND(Q27&gt;='Loan Prepayment'!$B$9,Q27&lt;='Loan Prepayment'!$E$16),'Loan Prepayment'!$B$8,0)))</f>
        <v>0</v>
      </c>
      <c r="X27">
        <f t="shared" si="8"/>
        <v>9546442.3402714934</v>
      </c>
      <c r="Y27">
        <v>26</v>
      </c>
      <c r="Z27">
        <f t="shared" si="19"/>
        <v>9565469.2563753873</v>
      </c>
      <c r="AA27">
        <f>IF(Y27&gt;='Loan Prepayment'!$E$11,'Loan Prepayment'!$E$12,'Loan Prepayment'!$B$6)</f>
        <v>8.5</v>
      </c>
      <c r="AB27">
        <f>IF(Z27&lt;=0,0,MIN(IF(Y27='Loan Prepayment'!$E$11,IF('Loan Prepayment'!$E$13="Keep tenure, recalculate EMI",-PMT(AA27/1200,MAX(1,'Loan Prepayment'!$B$7*12-Y27+1),Z27),AB26),AB26),Z27+AC27))</f>
        <v>86782.323336553396</v>
      </c>
      <c r="AC27">
        <f t="shared" si="9"/>
        <v>67755.407232658981</v>
      </c>
      <c r="AD27">
        <f t="shared" si="10"/>
        <v>19026.916103894415</v>
      </c>
      <c r="AE27">
        <f t="shared" si="11"/>
        <v>0</v>
      </c>
      <c r="AF27">
        <f t="shared" si="12"/>
        <v>9546442.3402714934</v>
      </c>
      <c r="AG27">
        <v>26</v>
      </c>
      <c r="AH27">
        <f t="shared" si="20"/>
        <v>9077483.7638538424</v>
      </c>
      <c r="AI27">
        <f>IF(AG27&gt;='Loan Prepayment'!$E$11,'Loan Prepayment'!$E$12,'Loan Prepayment'!$B$6)</f>
        <v>8.5</v>
      </c>
      <c r="AJ27">
        <f>IF(AH27&lt;=0,0,MIN(IF(AG27='Loan Prepayment'!$E$11,IF('Loan Prepayment'!$E$13="Keep tenure, recalculate EMI",-PMT(AI27/1200,MAX(1,'Loan Prepayment'!$B$7*12-AG27+1),AH27),AJ26),IF(AND('Loan Prepayment'!$E$15="Reduce EMI",AM26&gt;0),-PMT(AI27/1200,MAX(1,'Loan Prepayment'!$B$7*12-AG27+1),AH27),AJ26)),AH27+AK27))</f>
        <v>82355.095182814155</v>
      </c>
      <c r="AK27">
        <f t="shared" si="13"/>
        <v>64298.843327298055</v>
      </c>
      <c r="AL27">
        <f t="shared" si="14"/>
        <v>18056.2518555161</v>
      </c>
      <c r="AM27">
        <f>IF(AH27&lt;=0,0,MIN(MAX(0,AH27-AL27),SUMIFS('Loan Prepayment'!$B$12:$B$16,'Loan Prepayment'!$A$12:$A$16,AG27)+IF(AND(AG27&gt;='Loan Prepayment'!$B$9,AG27&lt;='Loan Prepayment'!$E$16),'Loan Prepayment'!$B$8,0)))</f>
        <v>0</v>
      </c>
      <c r="AN27">
        <f t="shared" si="15"/>
        <v>9059427.5119983256</v>
      </c>
    </row>
    <row r="28" spans="1:40" x14ac:dyDescent="0.35">
      <c r="A28">
        <v>27</v>
      </c>
      <c r="B28">
        <f t="shared" si="16"/>
        <v>9546442.3402714934</v>
      </c>
      <c r="C28" s="78">
        <f>'Loan Prepayment'!$B$6</f>
        <v>8.5</v>
      </c>
      <c r="D28">
        <f>IF(B28&lt;=0,0,MIN(-PMT('Loan Prepayment'!$B$6/1200,'Loan Prepayment'!$B$7*12,'Loan Prepayment'!$B$5),B28+E28))</f>
        <v>86782.323336553396</v>
      </c>
      <c r="E28">
        <f t="shared" si="0"/>
        <v>67620.633243589749</v>
      </c>
      <c r="F28">
        <f t="shared" si="1"/>
        <v>19161.690092963647</v>
      </c>
      <c r="G28">
        <v>0</v>
      </c>
      <c r="H28">
        <f t="shared" si="2"/>
        <v>9527280.6501785293</v>
      </c>
      <c r="I28">
        <v>27</v>
      </c>
      <c r="J28">
        <f t="shared" si="17"/>
        <v>9059427.5119983256</v>
      </c>
      <c r="K28" s="78">
        <f>'Loan Prepayment'!$B$6</f>
        <v>8.5</v>
      </c>
      <c r="L28">
        <f>IF(J28&lt;=0,0,MIN(IF(AND('Loan Prepayment'!$E$15="Reduce EMI",O27&gt;0),-PMT(K28/1200,MAX(1,'Loan Prepayment'!$B$7*12-I28+1),J28),L27),J28+M28))</f>
        <v>82355.095182814155</v>
      </c>
      <c r="M28">
        <f t="shared" si="3"/>
        <v>64170.944876654808</v>
      </c>
      <c r="N28">
        <f t="shared" si="4"/>
        <v>18184.150306159347</v>
      </c>
      <c r="O28">
        <f>IF(J28&lt;=0,0,MIN(MAX(0,J28-N28),SUMIFS('Loan Prepayment'!$B$12:$B$16,'Loan Prepayment'!$A$12:$A$16,I28)+0))</f>
        <v>0</v>
      </c>
      <c r="P28">
        <f t="shared" si="5"/>
        <v>9041243.361692166</v>
      </c>
      <c r="Q28">
        <v>27</v>
      </c>
      <c r="R28">
        <f t="shared" si="18"/>
        <v>9546442.3402714934</v>
      </c>
      <c r="S28" s="78">
        <f>'Loan Prepayment'!$B$6</f>
        <v>8.5</v>
      </c>
      <c r="T28">
        <f>IF(R28&lt;=0,0,MIN(IF(AND('Loan Prepayment'!$E$15="Reduce EMI",W27&gt;0),-PMT(S28/1200,MAX(1,'Loan Prepayment'!$B$7*12-Q28+1),R28),T27),R28+U28))</f>
        <v>86782.323336553396</v>
      </c>
      <c r="U28">
        <f t="shared" si="6"/>
        <v>67620.633243589749</v>
      </c>
      <c r="V28">
        <f t="shared" si="7"/>
        <v>19161.690092963647</v>
      </c>
      <c r="W28">
        <f>IF(R28&lt;=0,0,MIN(MAX(0,R28-V28),0+IF(AND(Q28&gt;='Loan Prepayment'!$B$9,Q28&lt;='Loan Prepayment'!$E$16),'Loan Prepayment'!$B$8,0)))</f>
        <v>0</v>
      </c>
      <c r="X28">
        <f t="shared" si="8"/>
        <v>9527280.6501785293</v>
      </c>
      <c r="Y28">
        <v>27</v>
      </c>
      <c r="Z28">
        <f t="shared" si="19"/>
        <v>9546442.3402714934</v>
      </c>
      <c r="AA28">
        <f>IF(Y28&gt;='Loan Prepayment'!$E$11,'Loan Prepayment'!$E$12,'Loan Prepayment'!$B$6)</f>
        <v>8.5</v>
      </c>
      <c r="AB28">
        <f>IF(Z28&lt;=0,0,MIN(IF(Y28='Loan Prepayment'!$E$11,IF('Loan Prepayment'!$E$13="Keep tenure, recalculate EMI",-PMT(AA28/1200,MAX(1,'Loan Prepayment'!$B$7*12-Y28+1),Z28),AB27),AB27),Z28+AC28))</f>
        <v>86782.323336553396</v>
      </c>
      <c r="AC28">
        <f t="shared" si="9"/>
        <v>67620.633243589749</v>
      </c>
      <c r="AD28">
        <f t="shared" si="10"/>
        <v>19161.690092963647</v>
      </c>
      <c r="AE28">
        <f t="shared" si="11"/>
        <v>0</v>
      </c>
      <c r="AF28">
        <f t="shared" si="12"/>
        <v>9527280.6501785293</v>
      </c>
      <c r="AG28">
        <v>27</v>
      </c>
      <c r="AH28">
        <f t="shared" si="20"/>
        <v>9059427.5119983256</v>
      </c>
      <c r="AI28">
        <f>IF(AG28&gt;='Loan Prepayment'!$E$11,'Loan Prepayment'!$E$12,'Loan Prepayment'!$B$6)</f>
        <v>8.5</v>
      </c>
      <c r="AJ28">
        <f>IF(AH28&lt;=0,0,MIN(IF(AG28='Loan Prepayment'!$E$11,IF('Loan Prepayment'!$E$13="Keep tenure, recalculate EMI",-PMT(AI28/1200,MAX(1,'Loan Prepayment'!$B$7*12-AG28+1),AH28),AJ27),IF(AND('Loan Prepayment'!$E$15="Reduce EMI",AM27&gt;0),-PMT(AI28/1200,MAX(1,'Loan Prepayment'!$B$7*12-AG28+1),AH28),AJ27)),AH28+AK28))</f>
        <v>82355.095182814155</v>
      </c>
      <c r="AK28">
        <f t="shared" si="13"/>
        <v>64170.944876654808</v>
      </c>
      <c r="AL28">
        <f t="shared" si="14"/>
        <v>18184.150306159347</v>
      </c>
      <c r="AM28">
        <f>IF(AH28&lt;=0,0,MIN(MAX(0,AH28-AL28),SUMIFS('Loan Prepayment'!$B$12:$B$16,'Loan Prepayment'!$A$12:$A$16,AG28)+IF(AND(AG28&gt;='Loan Prepayment'!$B$9,AG28&lt;='Loan Prepayment'!$E$16),'Loan Prepayment'!$B$8,0)))</f>
        <v>0</v>
      </c>
      <c r="AN28">
        <f t="shared" si="15"/>
        <v>9041243.361692166</v>
      </c>
    </row>
    <row r="29" spans="1:40" x14ac:dyDescent="0.35">
      <c r="A29">
        <v>28</v>
      </c>
      <c r="B29">
        <f t="shared" si="16"/>
        <v>9527280.6501785293</v>
      </c>
      <c r="C29" s="78">
        <f>'Loan Prepayment'!$B$6</f>
        <v>8.5</v>
      </c>
      <c r="D29">
        <f>IF(B29&lt;=0,0,MIN(-PMT('Loan Prepayment'!$B$6/1200,'Loan Prepayment'!$B$7*12,'Loan Prepayment'!$B$5),B29+E29))</f>
        <v>86782.323336553396</v>
      </c>
      <c r="E29">
        <f t="shared" si="0"/>
        <v>67484.904605431249</v>
      </c>
      <c r="F29">
        <f t="shared" si="1"/>
        <v>19297.418731122147</v>
      </c>
      <c r="G29">
        <v>0</v>
      </c>
      <c r="H29">
        <f t="shared" si="2"/>
        <v>9507983.231447408</v>
      </c>
      <c r="I29">
        <v>28</v>
      </c>
      <c r="J29">
        <f t="shared" si="17"/>
        <v>9041243.361692166</v>
      </c>
      <c r="K29" s="78">
        <f>'Loan Prepayment'!$B$6</f>
        <v>8.5</v>
      </c>
      <c r="L29">
        <f>IF(J29&lt;=0,0,MIN(IF(AND('Loan Prepayment'!$E$15="Reduce EMI",O28&gt;0),-PMT(K29/1200,MAX(1,'Loan Prepayment'!$B$7*12-I29+1),J29),L28),J29+M29))</f>
        <v>82355.095182814155</v>
      </c>
      <c r="M29">
        <f t="shared" si="3"/>
        <v>64042.140478652836</v>
      </c>
      <c r="N29">
        <f t="shared" si="4"/>
        <v>18312.954704161319</v>
      </c>
      <c r="O29">
        <f>IF(J29&lt;=0,0,MIN(MAX(0,J29-N29),SUMIFS('Loan Prepayment'!$B$12:$B$16,'Loan Prepayment'!$A$12:$A$16,I29)+0))</f>
        <v>0</v>
      </c>
      <c r="P29">
        <f t="shared" si="5"/>
        <v>9022930.4069880042</v>
      </c>
      <c r="Q29">
        <v>28</v>
      </c>
      <c r="R29">
        <f t="shared" si="18"/>
        <v>9527280.6501785293</v>
      </c>
      <c r="S29" s="78">
        <f>'Loan Prepayment'!$B$6</f>
        <v>8.5</v>
      </c>
      <c r="T29">
        <f>IF(R29&lt;=0,0,MIN(IF(AND('Loan Prepayment'!$E$15="Reduce EMI",W28&gt;0),-PMT(S29/1200,MAX(1,'Loan Prepayment'!$B$7*12-Q29+1),R29),T28),R29+U29))</f>
        <v>86782.323336553396</v>
      </c>
      <c r="U29">
        <f t="shared" si="6"/>
        <v>67484.904605431249</v>
      </c>
      <c r="V29">
        <f t="shared" si="7"/>
        <v>19297.418731122147</v>
      </c>
      <c r="W29">
        <f>IF(R29&lt;=0,0,MIN(MAX(0,R29-V29),0+IF(AND(Q29&gt;='Loan Prepayment'!$B$9,Q29&lt;='Loan Prepayment'!$E$16),'Loan Prepayment'!$B$8,0)))</f>
        <v>0</v>
      </c>
      <c r="X29">
        <f t="shared" si="8"/>
        <v>9507983.231447408</v>
      </c>
      <c r="Y29">
        <v>28</v>
      </c>
      <c r="Z29">
        <f t="shared" si="19"/>
        <v>9527280.6501785293</v>
      </c>
      <c r="AA29">
        <f>IF(Y29&gt;='Loan Prepayment'!$E$11,'Loan Prepayment'!$E$12,'Loan Prepayment'!$B$6)</f>
        <v>8.5</v>
      </c>
      <c r="AB29">
        <f>IF(Z29&lt;=0,0,MIN(IF(Y29='Loan Prepayment'!$E$11,IF('Loan Prepayment'!$E$13="Keep tenure, recalculate EMI",-PMT(AA29/1200,MAX(1,'Loan Prepayment'!$B$7*12-Y29+1),Z29),AB28),AB28),Z29+AC29))</f>
        <v>86782.323336553396</v>
      </c>
      <c r="AC29">
        <f t="shared" si="9"/>
        <v>67484.904605431249</v>
      </c>
      <c r="AD29">
        <f t="shared" si="10"/>
        <v>19297.418731122147</v>
      </c>
      <c r="AE29">
        <f t="shared" si="11"/>
        <v>0</v>
      </c>
      <c r="AF29">
        <f t="shared" si="12"/>
        <v>9507983.231447408</v>
      </c>
      <c r="AG29">
        <v>28</v>
      </c>
      <c r="AH29">
        <f t="shared" si="20"/>
        <v>9041243.361692166</v>
      </c>
      <c r="AI29">
        <f>IF(AG29&gt;='Loan Prepayment'!$E$11,'Loan Prepayment'!$E$12,'Loan Prepayment'!$B$6)</f>
        <v>8.5</v>
      </c>
      <c r="AJ29">
        <f>IF(AH29&lt;=0,0,MIN(IF(AG29='Loan Prepayment'!$E$11,IF('Loan Prepayment'!$E$13="Keep tenure, recalculate EMI",-PMT(AI29/1200,MAX(1,'Loan Prepayment'!$B$7*12-AG29+1),AH29),AJ28),IF(AND('Loan Prepayment'!$E$15="Reduce EMI",AM28&gt;0),-PMT(AI29/1200,MAX(1,'Loan Prepayment'!$B$7*12-AG29+1),AH29),AJ28)),AH29+AK29))</f>
        <v>82355.095182814155</v>
      </c>
      <c r="AK29">
        <f t="shared" si="13"/>
        <v>64042.140478652836</v>
      </c>
      <c r="AL29">
        <f t="shared" si="14"/>
        <v>18312.954704161319</v>
      </c>
      <c r="AM29">
        <f>IF(AH29&lt;=0,0,MIN(MAX(0,AH29-AL29),SUMIFS('Loan Prepayment'!$B$12:$B$16,'Loan Prepayment'!$A$12:$A$16,AG29)+IF(AND(AG29&gt;='Loan Prepayment'!$B$9,AG29&lt;='Loan Prepayment'!$E$16),'Loan Prepayment'!$B$8,0)))</f>
        <v>0</v>
      </c>
      <c r="AN29">
        <f t="shared" si="15"/>
        <v>9022930.4069880042</v>
      </c>
    </row>
    <row r="30" spans="1:40" x14ac:dyDescent="0.35">
      <c r="A30">
        <v>29</v>
      </c>
      <c r="B30">
        <f t="shared" si="16"/>
        <v>9507983.231447408</v>
      </c>
      <c r="C30" s="78">
        <f>'Loan Prepayment'!$B$6</f>
        <v>8.5</v>
      </c>
      <c r="D30">
        <f>IF(B30&lt;=0,0,MIN(-PMT('Loan Prepayment'!$B$6/1200,'Loan Prepayment'!$B$7*12,'Loan Prepayment'!$B$5),B30+E30))</f>
        <v>86782.323336553396</v>
      </c>
      <c r="E30">
        <f t="shared" si="0"/>
        <v>67348.214556085804</v>
      </c>
      <c r="F30">
        <f t="shared" si="1"/>
        <v>19434.108780467592</v>
      </c>
      <c r="G30">
        <v>0</v>
      </c>
      <c r="H30">
        <f t="shared" si="2"/>
        <v>9488549.1226669401</v>
      </c>
      <c r="I30">
        <v>29</v>
      </c>
      <c r="J30">
        <f t="shared" si="17"/>
        <v>9022930.4069880042</v>
      </c>
      <c r="K30" s="78">
        <f>'Loan Prepayment'!$B$6</f>
        <v>8.5</v>
      </c>
      <c r="L30">
        <f>IF(J30&lt;=0,0,MIN(IF(AND('Loan Prepayment'!$E$15="Reduce EMI",O29&gt;0),-PMT(K30/1200,MAX(1,'Loan Prepayment'!$B$7*12-I30+1),J30),L29),J30+M30))</f>
        <v>82355.095182814155</v>
      </c>
      <c r="M30">
        <f t="shared" si="3"/>
        <v>63912.423716165024</v>
      </c>
      <c r="N30">
        <f t="shared" si="4"/>
        <v>18442.671466649132</v>
      </c>
      <c r="O30">
        <f>IF(J30&lt;=0,0,MIN(MAX(0,J30-N30),SUMIFS('Loan Prepayment'!$B$12:$B$16,'Loan Prepayment'!$A$12:$A$16,I30)+0))</f>
        <v>0</v>
      </c>
      <c r="P30">
        <f t="shared" si="5"/>
        <v>9004487.7355213556</v>
      </c>
      <c r="Q30">
        <v>29</v>
      </c>
      <c r="R30">
        <f t="shared" si="18"/>
        <v>9507983.231447408</v>
      </c>
      <c r="S30" s="78">
        <f>'Loan Prepayment'!$B$6</f>
        <v>8.5</v>
      </c>
      <c r="T30">
        <f>IF(R30&lt;=0,0,MIN(IF(AND('Loan Prepayment'!$E$15="Reduce EMI",W29&gt;0),-PMT(S30/1200,MAX(1,'Loan Prepayment'!$B$7*12-Q30+1),R30),T29),R30+U30))</f>
        <v>86782.323336553396</v>
      </c>
      <c r="U30">
        <f t="shared" si="6"/>
        <v>67348.214556085804</v>
      </c>
      <c r="V30">
        <f t="shared" si="7"/>
        <v>19434.108780467592</v>
      </c>
      <c r="W30">
        <f>IF(R30&lt;=0,0,MIN(MAX(0,R30-V30),0+IF(AND(Q30&gt;='Loan Prepayment'!$B$9,Q30&lt;='Loan Prepayment'!$E$16),'Loan Prepayment'!$B$8,0)))</f>
        <v>0</v>
      </c>
      <c r="X30">
        <f t="shared" si="8"/>
        <v>9488549.1226669401</v>
      </c>
      <c r="Y30">
        <v>29</v>
      </c>
      <c r="Z30">
        <f t="shared" si="19"/>
        <v>9507983.231447408</v>
      </c>
      <c r="AA30">
        <f>IF(Y30&gt;='Loan Prepayment'!$E$11,'Loan Prepayment'!$E$12,'Loan Prepayment'!$B$6)</f>
        <v>8.5</v>
      </c>
      <c r="AB30">
        <f>IF(Z30&lt;=0,0,MIN(IF(Y30='Loan Prepayment'!$E$11,IF('Loan Prepayment'!$E$13="Keep tenure, recalculate EMI",-PMT(AA30/1200,MAX(1,'Loan Prepayment'!$B$7*12-Y30+1),Z30),AB29),AB29),Z30+AC30))</f>
        <v>86782.323336553396</v>
      </c>
      <c r="AC30">
        <f t="shared" si="9"/>
        <v>67348.214556085804</v>
      </c>
      <c r="AD30">
        <f t="shared" si="10"/>
        <v>19434.108780467592</v>
      </c>
      <c r="AE30">
        <f t="shared" si="11"/>
        <v>0</v>
      </c>
      <c r="AF30">
        <f t="shared" si="12"/>
        <v>9488549.1226669401</v>
      </c>
      <c r="AG30">
        <v>29</v>
      </c>
      <c r="AH30">
        <f t="shared" si="20"/>
        <v>9022930.4069880042</v>
      </c>
      <c r="AI30">
        <f>IF(AG30&gt;='Loan Prepayment'!$E$11,'Loan Prepayment'!$E$12,'Loan Prepayment'!$B$6)</f>
        <v>8.5</v>
      </c>
      <c r="AJ30">
        <f>IF(AH30&lt;=0,0,MIN(IF(AG30='Loan Prepayment'!$E$11,IF('Loan Prepayment'!$E$13="Keep tenure, recalculate EMI",-PMT(AI30/1200,MAX(1,'Loan Prepayment'!$B$7*12-AG30+1),AH30),AJ29),IF(AND('Loan Prepayment'!$E$15="Reduce EMI",AM29&gt;0),-PMT(AI30/1200,MAX(1,'Loan Prepayment'!$B$7*12-AG30+1),AH30),AJ29)),AH30+AK30))</f>
        <v>82355.095182814155</v>
      </c>
      <c r="AK30">
        <f t="shared" si="13"/>
        <v>63912.423716165024</v>
      </c>
      <c r="AL30">
        <f t="shared" si="14"/>
        <v>18442.671466649132</v>
      </c>
      <c r="AM30">
        <f>IF(AH30&lt;=0,0,MIN(MAX(0,AH30-AL30),SUMIFS('Loan Prepayment'!$B$12:$B$16,'Loan Prepayment'!$A$12:$A$16,AG30)+IF(AND(AG30&gt;='Loan Prepayment'!$B$9,AG30&lt;='Loan Prepayment'!$E$16),'Loan Prepayment'!$B$8,0)))</f>
        <v>0</v>
      </c>
      <c r="AN30">
        <f t="shared" si="15"/>
        <v>9004487.7355213556</v>
      </c>
    </row>
    <row r="31" spans="1:40" x14ac:dyDescent="0.35">
      <c r="A31">
        <v>30</v>
      </c>
      <c r="B31">
        <f t="shared" si="16"/>
        <v>9488549.1226669401</v>
      </c>
      <c r="C31" s="78">
        <f>'Loan Prepayment'!$B$6</f>
        <v>8.5</v>
      </c>
      <c r="D31">
        <f>IF(B31&lt;=0,0,MIN(-PMT('Loan Prepayment'!$B$6/1200,'Loan Prepayment'!$B$7*12,'Loan Prepayment'!$B$5),B31+E31))</f>
        <v>86782.323336553396</v>
      </c>
      <c r="E31">
        <f t="shared" si="0"/>
        <v>67210.556285557497</v>
      </c>
      <c r="F31">
        <f t="shared" si="1"/>
        <v>19571.767050995899</v>
      </c>
      <c r="G31">
        <v>0</v>
      </c>
      <c r="H31">
        <f t="shared" si="2"/>
        <v>9468977.3556159437</v>
      </c>
      <c r="I31">
        <v>30</v>
      </c>
      <c r="J31">
        <f t="shared" si="17"/>
        <v>9004487.7355213556</v>
      </c>
      <c r="K31" s="78">
        <f>'Loan Prepayment'!$B$6</f>
        <v>8.5</v>
      </c>
      <c r="L31">
        <f>IF(J31&lt;=0,0,MIN(IF(AND('Loan Prepayment'!$E$15="Reduce EMI",O30&gt;0),-PMT(K31/1200,MAX(1,'Loan Prepayment'!$B$7*12-I31+1),J31),L30),J31+M31))</f>
        <v>82355.095182814155</v>
      </c>
      <c r="M31">
        <f t="shared" si="3"/>
        <v>63781.788126609601</v>
      </c>
      <c r="N31">
        <f t="shared" si="4"/>
        <v>18573.307056204554</v>
      </c>
      <c r="O31">
        <f>IF(J31&lt;=0,0,MIN(MAX(0,J31-N31),SUMIFS('Loan Prepayment'!$B$12:$B$16,'Loan Prepayment'!$A$12:$A$16,I31)+0))</f>
        <v>0</v>
      </c>
      <c r="P31">
        <f t="shared" si="5"/>
        <v>8985914.4284651503</v>
      </c>
      <c r="Q31">
        <v>30</v>
      </c>
      <c r="R31">
        <f t="shared" si="18"/>
        <v>9488549.1226669401</v>
      </c>
      <c r="S31" s="78">
        <f>'Loan Prepayment'!$B$6</f>
        <v>8.5</v>
      </c>
      <c r="T31">
        <f>IF(R31&lt;=0,0,MIN(IF(AND('Loan Prepayment'!$E$15="Reduce EMI",W30&gt;0),-PMT(S31/1200,MAX(1,'Loan Prepayment'!$B$7*12-Q31+1),R31),T30),R31+U31))</f>
        <v>86782.323336553396</v>
      </c>
      <c r="U31">
        <f t="shared" si="6"/>
        <v>67210.556285557497</v>
      </c>
      <c r="V31">
        <f t="shared" si="7"/>
        <v>19571.767050995899</v>
      </c>
      <c r="W31">
        <f>IF(R31&lt;=0,0,MIN(MAX(0,R31-V31),0+IF(AND(Q31&gt;='Loan Prepayment'!$B$9,Q31&lt;='Loan Prepayment'!$E$16),'Loan Prepayment'!$B$8,0)))</f>
        <v>0</v>
      </c>
      <c r="X31">
        <f t="shared" si="8"/>
        <v>9468977.3556159437</v>
      </c>
      <c r="Y31">
        <v>30</v>
      </c>
      <c r="Z31">
        <f t="shared" si="19"/>
        <v>9488549.1226669401</v>
      </c>
      <c r="AA31">
        <f>IF(Y31&gt;='Loan Prepayment'!$E$11,'Loan Prepayment'!$E$12,'Loan Prepayment'!$B$6)</f>
        <v>8.5</v>
      </c>
      <c r="AB31">
        <f>IF(Z31&lt;=0,0,MIN(IF(Y31='Loan Prepayment'!$E$11,IF('Loan Prepayment'!$E$13="Keep tenure, recalculate EMI",-PMT(AA31/1200,MAX(1,'Loan Prepayment'!$B$7*12-Y31+1),Z31),AB30),AB30),Z31+AC31))</f>
        <v>86782.323336553396</v>
      </c>
      <c r="AC31">
        <f t="shared" si="9"/>
        <v>67210.556285557497</v>
      </c>
      <c r="AD31">
        <f t="shared" si="10"/>
        <v>19571.767050995899</v>
      </c>
      <c r="AE31">
        <f t="shared" si="11"/>
        <v>0</v>
      </c>
      <c r="AF31">
        <f t="shared" si="12"/>
        <v>9468977.3556159437</v>
      </c>
      <c r="AG31">
        <v>30</v>
      </c>
      <c r="AH31">
        <f t="shared" si="20"/>
        <v>9004487.7355213556</v>
      </c>
      <c r="AI31">
        <f>IF(AG31&gt;='Loan Prepayment'!$E$11,'Loan Prepayment'!$E$12,'Loan Prepayment'!$B$6)</f>
        <v>8.5</v>
      </c>
      <c r="AJ31">
        <f>IF(AH31&lt;=0,0,MIN(IF(AG31='Loan Prepayment'!$E$11,IF('Loan Prepayment'!$E$13="Keep tenure, recalculate EMI",-PMT(AI31/1200,MAX(1,'Loan Prepayment'!$B$7*12-AG31+1),AH31),AJ30),IF(AND('Loan Prepayment'!$E$15="Reduce EMI",AM30&gt;0),-PMT(AI31/1200,MAX(1,'Loan Prepayment'!$B$7*12-AG31+1),AH31),AJ30)),AH31+AK31))</f>
        <v>82355.095182814155</v>
      </c>
      <c r="AK31">
        <f t="shared" si="13"/>
        <v>63781.788126609601</v>
      </c>
      <c r="AL31">
        <f t="shared" si="14"/>
        <v>18573.307056204554</v>
      </c>
      <c r="AM31">
        <f>IF(AH31&lt;=0,0,MIN(MAX(0,AH31-AL31),SUMIFS('Loan Prepayment'!$B$12:$B$16,'Loan Prepayment'!$A$12:$A$16,AG31)+IF(AND(AG31&gt;='Loan Prepayment'!$B$9,AG31&lt;='Loan Prepayment'!$E$16),'Loan Prepayment'!$B$8,0)))</f>
        <v>0</v>
      </c>
      <c r="AN31">
        <f t="shared" si="15"/>
        <v>8985914.4284651503</v>
      </c>
    </row>
    <row r="32" spans="1:40" x14ac:dyDescent="0.35">
      <c r="A32">
        <v>31</v>
      </c>
      <c r="B32">
        <f t="shared" si="16"/>
        <v>9468977.3556159437</v>
      </c>
      <c r="C32" s="78">
        <f>'Loan Prepayment'!$B$6</f>
        <v>8.5</v>
      </c>
      <c r="D32">
        <f>IF(B32&lt;=0,0,MIN(-PMT('Loan Prepayment'!$B$6/1200,'Loan Prepayment'!$B$7*12,'Loan Prepayment'!$B$5),B32+E32))</f>
        <v>86782.323336553396</v>
      </c>
      <c r="E32">
        <f t="shared" si="0"/>
        <v>67071.922935612936</v>
      </c>
      <c r="F32">
        <f t="shared" si="1"/>
        <v>19710.40040094046</v>
      </c>
      <c r="G32">
        <v>0</v>
      </c>
      <c r="H32">
        <f t="shared" si="2"/>
        <v>9449266.9552150033</v>
      </c>
      <c r="I32">
        <v>31</v>
      </c>
      <c r="J32">
        <f t="shared" si="17"/>
        <v>8985914.4284651503</v>
      </c>
      <c r="K32" s="78">
        <f>'Loan Prepayment'!$B$6</f>
        <v>8.5</v>
      </c>
      <c r="L32">
        <f>IF(J32&lt;=0,0,MIN(IF(AND('Loan Prepayment'!$E$15="Reduce EMI",O31&gt;0),-PMT(K32/1200,MAX(1,'Loan Prepayment'!$B$7*12-I32+1),J32),L31),J32+M32))</f>
        <v>82355.095182814155</v>
      </c>
      <c r="M32">
        <f t="shared" si="3"/>
        <v>63650.227201628149</v>
      </c>
      <c r="N32">
        <f t="shared" si="4"/>
        <v>18704.867981186006</v>
      </c>
      <c r="O32">
        <f>IF(J32&lt;=0,0,MIN(MAX(0,J32-N32),SUMIFS('Loan Prepayment'!$B$12:$B$16,'Loan Prepayment'!$A$12:$A$16,I32)+0))</f>
        <v>0</v>
      </c>
      <c r="P32">
        <f t="shared" si="5"/>
        <v>8967209.5604839642</v>
      </c>
      <c r="Q32">
        <v>31</v>
      </c>
      <c r="R32">
        <f t="shared" si="18"/>
        <v>9468977.3556159437</v>
      </c>
      <c r="S32" s="78">
        <f>'Loan Prepayment'!$B$6</f>
        <v>8.5</v>
      </c>
      <c r="T32">
        <f>IF(R32&lt;=0,0,MIN(IF(AND('Loan Prepayment'!$E$15="Reduce EMI",W31&gt;0),-PMT(S32/1200,MAX(1,'Loan Prepayment'!$B$7*12-Q32+1),R32),T31),R32+U32))</f>
        <v>86782.323336553396</v>
      </c>
      <c r="U32">
        <f t="shared" si="6"/>
        <v>67071.922935612936</v>
      </c>
      <c r="V32">
        <f t="shared" si="7"/>
        <v>19710.40040094046</v>
      </c>
      <c r="W32">
        <f>IF(R32&lt;=0,0,MIN(MAX(0,R32-V32),0+IF(AND(Q32&gt;='Loan Prepayment'!$B$9,Q32&lt;='Loan Prepayment'!$E$16),'Loan Prepayment'!$B$8,0)))</f>
        <v>0</v>
      </c>
      <c r="X32">
        <f t="shared" si="8"/>
        <v>9449266.9552150033</v>
      </c>
      <c r="Y32">
        <v>31</v>
      </c>
      <c r="Z32">
        <f t="shared" si="19"/>
        <v>9468977.3556159437</v>
      </c>
      <c r="AA32">
        <f>IF(Y32&gt;='Loan Prepayment'!$E$11,'Loan Prepayment'!$E$12,'Loan Prepayment'!$B$6)</f>
        <v>8.5</v>
      </c>
      <c r="AB32">
        <f>IF(Z32&lt;=0,0,MIN(IF(Y32='Loan Prepayment'!$E$11,IF('Loan Prepayment'!$E$13="Keep tenure, recalculate EMI",-PMT(AA32/1200,MAX(1,'Loan Prepayment'!$B$7*12-Y32+1),Z32),AB31),AB31),Z32+AC32))</f>
        <v>86782.323336553396</v>
      </c>
      <c r="AC32">
        <f t="shared" si="9"/>
        <v>67071.922935612936</v>
      </c>
      <c r="AD32">
        <f t="shared" si="10"/>
        <v>19710.40040094046</v>
      </c>
      <c r="AE32">
        <f t="shared" si="11"/>
        <v>0</v>
      </c>
      <c r="AF32">
        <f t="shared" si="12"/>
        <v>9449266.9552150033</v>
      </c>
      <c r="AG32">
        <v>31</v>
      </c>
      <c r="AH32">
        <f t="shared" si="20"/>
        <v>8985914.4284651503</v>
      </c>
      <c r="AI32">
        <f>IF(AG32&gt;='Loan Prepayment'!$E$11,'Loan Prepayment'!$E$12,'Loan Prepayment'!$B$6)</f>
        <v>8.5</v>
      </c>
      <c r="AJ32">
        <f>IF(AH32&lt;=0,0,MIN(IF(AG32='Loan Prepayment'!$E$11,IF('Loan Prepayment'!$E$13="Keep tenure, recalculate EMI",-PMT(AI32/1200,MAX(1,'Loan Prepayment'!$B$7*12-AG32+1),AH32),AJ31),IF(AND('Loan Prepayment'!$E$15="Reduce EMI",AM31&gt;0),-PMT(AI32/1200,MAX(1,'Loan Prepayment'!$B$7*12-AG32+1),AH32),AJ31)),AH32+AK32))</f>
        <v>82355.095182814155</v>
      </c>
      <c r="AK32">
        <f t="shared" si="13"/>
        <v>63650.227201628149</v>
      </c>
      <c r="AL32">
        <f t="shared" si="14"/>
        <v>18704.867981186006</v>
      </c>
      <c r="AM32">
        <f>IF(AH32&lt;=0,0,MIN(MAX(0,AH32-AL32),SUMIFS('Loan Prepayment'!$B$12:$B$16,'Loan Prepayment'!$A$12:$A$16,AG32)+IF(AND(AG32&gt;='Loan Prepayment'!$B$9,AG32&lt;='Loan Prepayment'!$E$16),'Loan Prepayment'!$B$8,0)))</f>
        <v>0</v>
      </c>
      <c r="AN32">
        <f t="shared" si="15"/>
        <v>8967209.5604839642</v>
      </c>
    </row>
    <row r="33" spans="1:40" x14ac:dyDescent="0.35">
      <c r="A33">
        <v>32</v>
      </c>
      <c r="B33">
        <f t="shared" si="16"/>
        <v>9449266.9552150033</v>
      </c>
      <c r="C33" s="78">
        <f>'Loan Prepayment'!$B$6</f>
        <v>8.5</v>
      </c>
      <c r="D33">
        <f>IF(B33&lt;=0,0,MIN(-PMT('Loan Prepayment'!$B$6/1200,'Loan Prepayment'!$B$7*12,'Loan Prepayment'!$B$5),B33+E33))</f>
        <v>86782.323336553396</v>
      </c>
      <c r="E33">
        <f t="shared" si="0"/>
        <v>66932.307599439606</v>
      </c>
      <c r="F33">
        <f t="shared" si="1"/>
        <v>19850.01573711379</v>
      </c>
      <c r="G33">
        <v>0</v>
      </c>
      <c r="H33">
        <f t="shared" si="2"/>
        <v>9429416.9394778889</v>
      </c>
      <c r="I33">
        <v>32</v>
      </c>
      <c r="J33">
        <f t="shared" si="17"/>
        <v>8967209.5604839642</v>
      </c>
      <c r="K33" s="78">
        <f>'Loan Prepayment'!$B$6</f>
        <v>8.5</v>
      </c>
      <c r="L33">
        <f>IF(J33&lt;=0,0,MIN(IF(AND('Loan Prepayment'!$E$15="Reduce EMI",O32&gt;0),-PMT(K33/1200,MAX(1,'Loan Prepayment'!$B$7*12-I33+1),J33),L32),J33+M33))</f>
        <v>82355.095182814155</v>
      </c>
      <c r="M33">
        <f t="shared" si="3"/>
        <v>63517.734386761411</v>
      </c>
      <c r="N33">
        <f t="shared" si="4"/>
        <v>18837.360796052744</v>
      </c>
      <c r="O33">
        <f>IF(J33&lt;=0,0,MIN(MAX(0,J33-N33),SUMIFS('Loan Prepayment'!$B$12:$B$16,'Loan Prepayment'!$A$12:$A$16,I33)+0))</f>
        <v>0</v>
      </c>
      <c r="P33">
        <f t="shared" si="5"/>
        <v>8948372.1996879112</v>
      </c>
      <c r="Q33">
        <v>32</v>
      </c>
      <c r="R33">
        <f t="shared" si="18"/>
        <v>9449266.9552150033</v>
      </c>
      <c r="S33" s="78">
        <f>'Loan Prepayment'!$B$6</f>
        <v>8.5</v>
      </c>
      <c r="T33">
        <f>IF(R33&lt;=0,0,MIN(IF(AND('Loan Prepayment'!$E$15="Reduce EMI",W32&gt;0),-PMT(S33/1200,MAX(1,'Loan Prepayment'!$B$7*12-Q33+1),R33),T32),R33+U33))</f>
        <v>86782.323336553396</v>
      </c>
      <c r="U33">
        <f t="shared" si="6"/>
        <v>66932.307599439606</v>
      </c>
      <c r="V33">
        <f t="shared" si="7"/>
        <v>19850.01573711379</v>
      </c>
      <c r="W33">
        <f>IF(R33&lt;=0,0,MIN(MAX(0,R33-V33),0+IF(AND(Q33&gt;='Loan Prepayment'!$B$9,Q33&lt;='Loan Prepayment'!$E$16),'Loan Prepayment'!$B$8,0)))</f>
        <v>0</v>
      </c>
      <c r="X33">
        <f t="shared" si="8"/>
        <v>9429416.9394778889</v>
      </c>
      <c r="Y33">
        <v>32</v>
      </c>
      <c r="Z33">
        <f t="shared" si="19"/>
        <v>9449266.9552150033</v>
      </c>
      <c r="AA33">
        <f>IF(Y33&gt;='Loan Prepayment'!$E$11,'Loan Prepayment'!$E$12,'Loan Prepayment'!$B$6)</f>
        <v>8.5</v>
      </c>
      <c r="AB33">
        <f>IF(Z33&lt;=0,0,MIN(IF(Y33='Loan Prepayment'!$E$11,IF('Loan Prepayment'!$E$13="Keep tenure, recalculate EMI",-PMT(AA33/1200,MAX(1,'Loan Prepayment'!$B$7*12-Y33+1),Z33),AB32),AB32),Z33+AC33))</f>
        <v>86782.323336553396</v>
      </c>
      <c r="AC33">
        <f t="shared" si="9"/>
        <v>66932.307599439606</v>
      </c>
      <c r="AD33">
        <f t="shared" si="10"/>
        <v>19850.01573711379</v>
      </c>
      <c r="AE33">
        <f t="shared" si="11"/>
        <v>0</v>
      </c>
      <c r="AF33">
        <f t="shared" si="12"/>
        <v>9429416.9394778889</v>
      </c>
      <c r="AG33">
        <v>32</v>
      </c>
      <c r="AH33">
        <f t="shared" si="20"/>
        <v>8967209.5604839642</v>
      </c>
      <c r="AI33">
        <f>IF(AG33&gt;='Loan Prepayment'!$E$11,'Loan Prepayment'!$E$12,'Loan Prepayment'!$B$6)</f>
        <v>8.5</v>
      </c>
      <c r="AJ33">
        <f>IF(AH33&lt;=0,0,MIN(IF(AG33='Loan Prepayment'!$E$11,IF('Loan Prepayment'!$E$13="Keep tenure, recalculate EMI",-PMT(AI33/1200,MAX(1,'Loan Prepayment'!$B$7*12-AG33+1),AH33),AJ32),IF(AND('Loan Prepayment'!$E$15="Reduce EMI",AM32&gt;0),-PMT(AI33/1200,MAX(1,'Loan Prepayment'!$B$7*12-AG33+1),AH33),AJ32)),AH33+AK33))</f>
        <v>82355.095182814155</v>
      </c>
      <c r="AK33">
        <f t="shared" si="13"/>
        <v>63517.734386761411</v>
      </c>
      <c r="AL33">
        <f t="shared" si="14"/>
        <v>18837.360796052744</v>
      </c>
      <c r="AM33">
        <f>IF(AH33&lt;=0,0,MIN(MAX(0,AH33-AL33),SUMIFS('Loan Prepayment'!$B$12:$B$16,'Loan Prepayment'!$A$12:$A$16,AG33)+IF(AND(AG33&gt;='Loan Prepayment'!$B$9,AG33&lt;='Loan Prepayment'!$E$16),'Loan Prepayment'!$B$8,0)))</f>
        <v>0</v>
      </c>
      <c r="AN33">
        <f t="shared" si="15"/>
        <v>8948372.1996879112</v>
      </c>
    </row>
    <row r="34" spans="1:40" x14ac:dyDescent="0.35">
      <c r="A34">
        <v>33</v>
      </c>
      <c r="B34">
        <f t="shared" si="16"/>
        <v>9429416.9394778889</v>
      </c>
      <c r="C34" s="78">
        <f>'Loan Prepayment'!$B$6</f>
        <v>8.5</v>
      </c>
      <c r="D34">
        <f>IF(B34&lt;=0,0,MIN(-PMT('Loan Prepayment'!$B$6/1200,'Loan Prepayment'!$B$7*12,'Loan Prepayment'!$B$5),B34+E34))</f>
        <v>86782.323336553396</v>
      </c>
      <c r="E34">
        <f t="shared" si="0"/>
        <v>66791.703321301713</v>
      </c>
      <c r="F34">
        <f t="shared" si="1"/>
        <v>19990.620015251683</v>
      </c>
      <c r="G34">
        <v>0</v>
      </c>
      <c r="H34">
        <f t="shared" si="2"/>
        <v>9409426.3194626365</v>
      </c>
      <c r="I34">
        <v>33</v>
      </c>
      <c r="J34">
        <f t="shared" si="17"/>
        <v>8948372.1996879112</v>
      </c>
      <c r="K34" s="78">
        <f>'Loan Prepayment'!$B$6</f>
        <v>8.5</v>
      </c>
      <c r="L34">
        <f>IF(J34&lt;=0,0,MIN(IF(AND('Loan Prepayment'!$E$15="Reduce EMI",O33&gt;0),-PMT(K34/1200,MAX(1,'Loan Prepayment'!$B$7*12-I34+1),J34),L33),J34+M34))</f>
        <v>82355.095182814155</v>
      </c>
      <c r="M34">
        <f t="shared" si="3"/>
        <v>63384.3030811227</v>
      </c>
      <c r="N34">
        <f t="shared" si="4"/>
        <v>18970.792101691455</v>
      </c>
      <c r="O34">
        <f>IF(J34&lt;=0,0,MIN(MAX(0,J34-N34),SUMIFS('Loan Prepayment'!$B$12:$B$16,'Loan Prepayment'!$A$12:$A$16,I34)+0))</f>
        <v>0</v>
      </c>
      <c r="P34">
        <f t="shared" si="5"/>
        <v>8929401.4075862207</v>
      </c>
      <c r="Q34">
        <v>33</v>
      </c>
      <c r="R34">
        <f t="shared" si="18"/>
        <v>9429416.9394778889</v>
      </c>
      <c r="S34" s="78">
        <f>'Loan Prepayment'!$B$6</f>
        <v>8.5</v>
      </c>
      <c r="T34">
        <f>IF(R34&lt;=0,0,MIN(IF(AND('Loan Prepayment'!$E$15="Reduce EMI",W33&gt;0),-PMT(S34/1200,MAX(1,'Loan Prepayment'!$B$7*12-Q34+1),R34),T33),R34+U34))</f>
        <v>86782.323336553396</v>
      </c>
      <c r="U34">
        <f t="shared" si="6"/>
        <v>66791.703321301713</v>
      </c>
      <c r="V34">
        <f t="shared" si="7"/>
        <v>19990.620015251683</v>
      </c>
      <c r="W34">
        <f>IF(R34&lt;=0,0,MIN(MAX(0,R34-V34),0+IF(AND(Q34&gt;='Loan Prepayment'!$B$9,Q34&lt;='Loan Prepayment'!$E$16),'Loan Prepayment'!$B$8,0)))</f>
        <v>0</v>
      </c>
      <c r="X34">
        <f t="shared" si="8"/>
        <v>9409426.3194626365</v>
      </c>
      <c r="Y34">
        <v>33</v>
      </c>
      <c r="Z34">
        <f t="shared" si="19"/>
        <v>9429416.9394778889</v>
      </c>
      <c r="AA34">
        <f>IF(Y34&gt;='Loan Prepayment'!$E$11,'Loan Prepayment'!$E$12,'Loan Prepayment'!$B$6)</f>
        <v>8.5</v>
      </c>
      <c r="AB34">
        <f>IF(Z34&lt;=0,0,MIN(IF(Y34='Loan Prepayment'!$E$11,IF('Loan Prepayment'!$E$13="Keep tenure, recalculate EMI",-PMT(AA34/1200,MAX(1,'Loan Prepayment'!$B$7*12-Y34+1),Z34),AB33),AB33),Z34+AC34))</f>
        <v>86782.323336553396</v>
      </c>
      <c r="AC34">
        <f t="shared" si="9"/>
        <v>66791.703321301713</v>
      </c>
      <c r="AD34">
        <f t="shared" si="10"/>
        <v>19990.620015251683</v>
      </c>
      <c r="AE34">
        <f t="shared" si="11"/>
        <v>0</v>
      </c>
      <c r="AF34">
        <f t="shared" si="12"/>
        <v>9409426.3194626365</v>
      </c>
      <c r="AG34">
        <v>33</v>
      </c>
      <c r="AH34">
        <f t="shared" si="20"/>
        <v>8948372.1996879112</v>
      </c>
      <c r="AI34">
        <f>IF(AG34&gt;='Loan Prepayment'!$E$11,'Loan Prepayment'!$E$12,'Loan Prepayment'!$B$6)</f>
        <v>8.5</v>
      </c>
      <c r="AJ34">
        <f>IF(AH34&lt;=0,0,MIN(IF(AG34='Loan Prepayment'!$E$11,IF('Loan Prepayment'!$E$13="Keep tenure, recalculate EMI",-PMT(AI34/1200,MAX(1,'Loan Prepayment'!$B$7*12-AG34+1),AH34),AJ33),IF(AND('Loan Prepayment'!$E$15="Reduce EMI",AM33&gt;0),-PMT(AI34/1200,MAX(1,'Loan Prepayment'!$B$7*12-AG34+1),AH34),AJ33)),AH34+AK34))</f>
        <v>82355.095182814155</v>
      </c>
      <c r="AK34">
        <f t="shared" si="13"/>
        <v>63384.3030811227</v>
      </c>
      <c r="AL34">
        <f t="shared" si="14"/>
        <v>18970.792101691455</v>
      </c>
      <c r="AM34">
        <f>IF(AH34&lt;=0,0,MIN(MAX(0,AH34-AL34),SUMIFS('Loan Prepayment'!$B$12:$B$16,'Loan Prepayment'!$A$12:$A$16,AG34)+IF(AND(AG34&gt;='Loan Prepayment'!$B$9,AG34&lt;='Loan Prepayment'!$E$16),'Loan Prepayment'!$B$8,0)))</f>
        <v>0</v>
      </c>
      <c r="AN34">
        <f t="shared" si="15"/>
        <v>8929401.4075862207</v>
      </c>
    </row>
    <row r="35" spans="1:40" x14ac:dyDescent="0.35">
      <c r="A35">
        <v>34</v>
      </c>
      <c r="B35">
        <f t="shared" si="16"/>
        <v>9409426.3194626365</v>
      </c>
      <c r="C35" s="78">
        <f>'Loan Prepayment'!$B$6</f>
        <v>8.5</v>
      </c>
      <c r="D35">
        <f>IF(B35&lt;=0,0,MIN(-PMT('Loan Prepayment'!$B$6/1200,'Loan Prepayment'!$B$7*12,'Loan Prepayment'!$B$5),B35+E35))</f>
        <v>86782.323336553396</v>
      </c>
      <c r="E35">
        <f t="shared" si="0"/>
        <v>66650.103096193678</v>
      </c>
      <c r="F35">
        <f t="shared" si="1"/>
        <v>20132.220240359718</v>
      </c>
      <c r="G35">
        <v>0</v>
      </c>
      <c r="H35">
        <f t="shared" si="2"/>
        <v>9389294.0992222764</v>
      </c>
      <c r="I35">
        <v>34</v>
      </c>
      <c r="J35">
        <f t="shared" si="17"/>
        <v>8929401.4075862207</v>
      </c>
      <c r="K35" s="78">
        <f>'Loan Prepayment'!$B$6</f>
        <v>8.5</v>
      </c>
      <c r="L35">
        <f>IF(J35&lt;=0,0,MIN(IF(AND('Loan Prepayment'!$E$15="Reduce EMI",O34&gt;0),-PMT(K35/1200,MAX(1,'Loan Prepayment'!$B$7*12-I35+1),J35),L34),J35+M35))</f>
        <v>82355.095182814155</v>
      </c>
      <c r="M35">
        <f t="shared" si="3"/>
        <v>63249.92663706906</v>
      </c>
      <c r="N35">
        <f t="shared" si="4"/>
        <v>19105.168545745095</v>
      </c>
      <c r="O35">
        <f>IF(J35&lt;=0,0,MIN(MAX(0,J35-N35),SUMIFS('Loan Prepayment'!$B$12:$B$16,'Loan Prepayment'!$A$12:$A$16,I35)+0))</f>
        <v>0</v>
      </c>
      <c r="P35">
        <f t="shared" si="5"/>
        <v>8910296.2390404753</v>
      </c>
      <c r="Q35">
        <v>34</v>
      </c>
      <c r="R35">
        <f t="shared" si="18"/>
        <v>9409426.3194626365</v>
      </c>
      <c r="S35" s="78">
        <f>'Loan Prepayment'!$B$6</f>
        <v>8.5</v>
      </c>
      <c r="T35">
        <f>IF(R35&lt;=0,0,MIN(IF(AND('Loan Prepayment'!$E$15="Reduce EMI",W34&gt;0),-PMT(S35/1200,MAX(1,'Loan Prepayment'!$B$7*12-Q35+1),R35),T34),R35+U35))</f>
        <v>86782.323336553396</v>
      </c>
      <c r="U35">
        <f t="shared" si="6"/>
        <v>66650.103096193678</v>
      </c>
      <c r="V35">
        <f t="shared" si="7"/>
        <v>20132.220240359718</v>
      </c>
      <c r="W35">
        <f>IF(R35&lt;=0,0,MIN(MAX(0,R35-V35),0+IF(AND(Q35&gt;='Loan Prepayment'!$B$9,Q35&lt;='Loan Prepayment'!$E$16),'Loan Prepayment'!$B$8,0)))</f>
        <v>0</v>
      </c>
      <c r="X35">
        <f t="shared" si="8"/>
        <v>9389294.0992222764</v>
      </c>
      <c r="Y35">
        <v>34</v>
      </c>
      <c r="Z35">
        <f t="shared" si="19"/>
        <v>9409426.3194626365</v>
      </c>
      <c r="AA35">
        <f>IF(Y35&gt;='Loan Prepayment'!$E$11,'Loan Prepayment'!$E$12,'Loan Prepayment'!$B$6)</f>
        <v>8.5</v>
      </c>
      <c r="AB35">
        <f>IF(Z35&lt;=0,0,MIN(IF(Y35='Loan Prepayment'!$E$11,IF('Loan Prepayment'!$E$13="Keep tenure, recalculate EMI",-PMT(AA35/1200,MAX(1,'Loan Prepayment'!$B$7*12-Y35+1),Z35),AB34),AB34),Z35+AC35))</f>
        <v>86782.323336553396</v>
      </c>
      <c r="AC35">
        <f t="shared" si="9"/>
        <v>66650.103096193678</v>
      </c>
      <c r="AD35">
        <f t="shared" si="10"/>
        <v>20132.220240359718</v>
      </c>
      <c r="AE35">
        <f t="shared" si="11"/>
        <v>0</v>
      </c>
      <c r="AF35">
        <f t="shared" si="12"/>
        <v>9389294.0992222764</v>
      </c>
      <c r="AG35">
        <v>34</v>
      </c>
      <c r="AH35">
        <f t="shared" si="20"/>
        <v>8929401.4075862207</v>
      </c>
      <c r="AI35">
        <f>IF(AG35&gt;='Loan Prepayment'!$E$11,'Loan Prepayment'!$E$12,'Loan Prepayment'!$B$6)</f>
        <v>8.5</v>
      </c>
      <c r="AJ35">
        <f>IF(AH35&lt;=0,0,MIN(IF(AG35='Loan Prepayment'!$E$11,IF('Loan Prepayment'!$E$13="Keep tenure, recalculate EMI",-PMT(AI35/1200,MAX(1,'Loan Prepayment'!$B$7*12-AG35+1),AH35),AJ34),IF(AND('Loan Prepayment'!$E$15="Reduce EMI",AM34&gt;0),-PMT(AI35/1200,MAX(1,'Loan Prepayment'!$B$7*12-AG35+1),AH35),AJ34)),AH35+AK35))</f>
        <v>82355.095182814155</v>
      </c>
      <c r="AK35">
        <f t="shared" si="13"/>
        <v>63249.92663706906</v>
      </c>
      <c r="AL35">
        <f t="shared" si="14"/>
        <v>19105.168545745095</v>
      </c>
      <c r="AM35">
        <f>IF(AH35&lt;=0,0,MIN(MAX(0,AH35-AL35),SUMIFS('Loan Prepayment'!$B$12:$B$16,'Loan Prepayment'!$A$12:$A$16,AG35)+IF(AND(AG35&gt;='Loan Prepayment'!$B$9,AG35&lt;='Loan Prepayment'!$E$16),'Loan Prepayment'!$B$8,0)))</f>
        <v>0</v>
      </c>
      <c r="AN35">
        <f t="shared" si="15"/>
        <v>8910296.2390404753</v>
      </c>
    </row>
    <row r="36" spans="1:40" x14ac:dyDescent="0.35">
      <c r="A36">
        <v>35</v>
      </c>
      <c r="B36">
        <f t="shared" si="16"/>
        <v>9389294.0992222764</v>
      </c>
      <c r="C36" s="78">
        <f>'Loan Prepayment'!$B$6</f>
        <v>8.5</v>
      </c>
      <c r="D36">
        <f>IF(B36&lt;=0,0,MIN(-PMT('Loan Prepayment'!$B$6/1200,'Loan Prepayment'!$B$7*12,'Loan Prepayment'!$B$5),B36+E36))</f>
        <v>86782.323336553396</v>
      </c>
      <c r="E36">
        <f t="shared" si="0"/>
        <v>66507.499869491119</v>
      </c>
      <c r="F36">
        <f t="shared" si="1"/>
        <v>20274.823467062277</v>
      </c>
      <c r="G36">
        <v>0</v>
      </c>
      <c r="H36">
        <f t="shared" si="2"/>
        <v>9369019.2757552136</v>
      </c>
      <c r="I36">
        <v>35</v>
      </c>
      <c r="J36">
        <f t="shared" si="17"/>
        <v>8910296.2390404753</v>
      </c>
      <c r="K36" s="78">
        <f>'Loan Prepayment'!$B$6</f>
        <v>8.5</v>
      </c>
      <c r="L36">
        <f>IF(J36&lt;=0,0,MIN(IF(AND('Loan Prepayment'!$E$15="Reduce EMI",O35&gt;0),-PMT(K36/1200,MAX(1,'Loan Prepayment'!$B$7*12-I36+1),J36),L35),J36+M36))</f>
        <v>82355.095182814155</v>
      </c>
      <c r="M36">
        <f t="shared" si="3"/>
        <v>63114.598359870026</v>
      </c>
      <c r="N36">
        <f t="shared" si="4"/>
        <v>19240.496822944129</v>
      </c>
      <c r="O36">
        <f>IF(J36&lt;=0,0,MIN(MAX(0,J36-N36),SUMIFS('Loan Prepayment'!$B$12:$B$16,'Loan Prepayment'!$A$12:$A$16,I36)+0))</f>
        <v>0</v>
      </c>
      <c r="P36">
        <f t="shared" si="5"/>
        <v>8891055.7422175314</v>
      </c>
      <c r="Q36">
        <v>35</v>
      </c>
      <c r="R36">
        <f t="shared" si="18"/>
        <v>9389294.0992222764</v>
      </c>
      <c r="S36" s="78">
        <f>'Loan Prepayment'!$B$6</f>
        <v>8.5</v>
      </c>
      <c r="T36">
        <f>IF(R36&lt;=0,0,MIN(IF(AND('Loan Prepayment'!$E$15="Reduce EMI",W35&gt;0),-PMT(S36/1200,MAX(1,'Loan Prepayment'!$B$7*12-Q36+1),R36),T35),R36+U36))</f>
        <v>86782.323336553396</v>
      </c>
      <c r="U36">
        <f t="shared" si="6"/>
        <v>66507.499869491119</v>
      </c>
      <c r="V36">
        <f t="shared" si="7"/>
        <v>20274.823467062277</v>
      </c>
      <c r="W36">
        <f>IF(R36&lt;=0,0,MIN(MAX(0,R36-V36),0+IF(AND(Q36&gt;='Loan Prepayment'!$B$9,Q36&lt;='Loan Prepayment'!$E$16),'Loan Prepayment'!$B$8,0)))</f>
        <v>0</v>
      </c>
      <c r="X36">
        <f t="shared" si="8"/>
        <v>9369019.2757552136</v>
      </c>
      <c r="Y36">
        <v>35</v>
      </c>
      <c r="Z36">
        <f t="shared" si="19"/>
        <v>9389294.0992222764</v>
      </c>
      <c r="AA36">
        <f>IF(Y36&gt;='Loan Prepayment'!$E$11,'Loan Prepayment'!$E$12,'Loan Prepayment'!$B$6)</f>
        <v>8.5</v>
      </c>
      <c r="AB36">
        <f>IF(Z36&lt;=0,0,MIN(IF(Y36='Loan Prepayment'!$E$11,IF('Loan Prepayment'!$E$13="Keep tenure, recalculate EMI",-PMT(AA36/1200,MAX(1,'Loan Prepayment'!$B$7*12-Y36+1),Z36),AB35),AB35),Z36+AC36))</f>
        <v>86782.323336553396</v>
      </c>
      <c r="AC36">
        <f t="shared" si="9"/>
        <v>66507.499869491119</v>
      </c>
      <c r="AD36">
        <f t="shared" si="10"/>
        <v>20274.823467062277</v>
      </c>
      <c r="AE36">
        <f t="shared" si="11"/>
        <v>0</v>
      </c>
      <c r="AF36">
        <f t="shared" si="12"/>
        <v>9369019.2757552136</v>
      </c>
      <c r="AG36">
        <v>35</v>
      </c>
      <c r="AH36">
        <f t="shared" si="20"/>
        <v>8910296.2390404753</v>
      </c>
      <c r="AI36">
        <f>IF(AG36&gt;='Loan Prepayment'!$E$11,'Loan Prepayment'!$E$12,'Loan Prepayment'!$B$6)</f>
        <v>8.5</v>
      </c>
      <c r="AJ36">
        <f>IF(AH36&lt;=0,0,MIN(IF(AG36='Loan Prepayment'!$E$11,IF('Loan Prepayment'!$E$13="Keep tenure, recalculate EMI",-PMT(AI36/1200,MAX(1,'Loan Prepayment'!$B$7*12-AG36+1),AH36),AJ35),IF(AND('Loan Prepayment'!$E$15="Reduce EMI",AM35&gt;0),-PMT(AI36/1200,MAX(1,'Loan Prepayment'!$B$7*12-AG36+1),AH36),AJ35)),AH36+AK36))</f>
        <v>82355.095182814155</v>
      </c>
      <c r="AK36">
        <f t="shared" si="13"/>
        <v>63114.598359870026</v>
      </c>
      <c r="AL36">
        <f t="shared" si="14"/>
        <v>19240.496822944129</v>
      </c>
      <c r="AM36">
        <f>IF(AH36&lt;=0,0,MIN(MAX(0,AH36-AL36),SUMIFS('Loan Prepayment'!$B$12:$B$16,'Loan Prepayment'!$A$12:$A$16,AG36)+IF(AND(AG36&gt;='Loan Prepayment'!$B$9,AG36&lt;='Loan Prepayment'!$E$16),'Loan Prepayment'!$B$8,0)))</f>
        <v>0</v>
      </c>
      <c r="AN36">
        <f t="shared" si="15"/>
        <v>8891055.7422175314</v>
      </c>
    </row>
    <row r="37" spans="1:40" x14ac:dyDescent="0.35">
      <c r="A37">
        <v>36</v>
      </c>
      <c r="B37">
        <f t="shared" si="16"/>
        <v>9369019.2757552136</v>
      </c>
      <c r="C37" s="78">
        <f>'Loan Prepayment'!$B$6</f>
        <v>8.5</v>
      </c>
      <c r="D37">
        <f>IF(B37&lt;=0,0,MIN(-PMT('Loan Prepayment'!$B$6/1200,'Loan Prepayment'!$B$7*12,'Loan Prepayment'!$B$5),B37+E37))</f>
        <v>86782.323336553396</v>
      </c>
      <c r="E37">
        <f t="shared" si="0"/>
        <v>66363.886536599428</v>
      </c>
      <c r="F37">
        <f t="shared" si="1"/>
        <v>20418.436799953968</v>
      </c>
      <c r="G37">
        <v>0</v>
      </c>
      <c r="H37">
        <f t="shared" si="2"/>
        <v>9348600.838955259</v>
      </c>
      <c r="I37">
        <v>36</v>
      </c>
      <c r="J37">
        <f t="shared" si="17"/>
        <v>8891055.7422175314</v>
      </c>
      <c r="K37" s="78">
        <f>'Loan Prepayment'!$B$6</f>
        <v>8.5</v>
      </c>
      <c r="L37">
        <f>IF(J37&lt;=0,0,MIN(IF(AND('Loan Prepayment'!$E$15="Reduce EMI",O36&gt;0),-PMT(K37/1200,MAX(1,'Loan Prepayment'!$B$7*12-I37+1),J37),L36),J37+M37))</f>
        <v>82355.095182814155</v>
      </c>
      <c r="M37">
        <f t="shared" si="3"/>
        <v>62978.311507374186</v>
      </c>
      <c r="N37">
        <f t="shared" si="4"/>
        <v>19376.783675439969</v>
      </c>
      <c r="O37">
        <f>IF(J37&lt;=0,0,MIN(MAX(0,J37-N37),SUMIFS('Loan Prepayment'!$B$12:$B$16,'Loan Prepayment'!$A$12:$A$16,I37)+0))</f>
        <v>500000</v>
      </c>
      <c r="P37">
        <f t="shared" si="5"/>
        <v>8371678.9585420918</v>
      </c>
      <c r="Q37">
        <v>36</v>
      </c>
      <c r="R37">
        <f t="shared" si="18"/>
        <v>9369019.2757552136</v>
      </c>
      <c r="S37" s="78">
        <f>'Loan Prepayment'!$B$6</f>
        <v>8.5</v>
      </c>
      <c r="T37">
        <f>IF(R37&lt;=0,0,MIN(IF(AND('Loan Prepayment'!$E$15="Reduce EMI",W36&gt;0),-PMT(S37/1200,MAX(1,'Loan Prepayment'!$B$7*12-Q37+1),R37),T36),R37+U37))</f>
        <v>86782.323336553396</v>
      </c>
      <c r="U37">
        <f t="shared" si="6"/>
        <v>66363.886536599428</v>
      </c>
      <c r="V37">
        <f t="shared" si="7"/>
        <v>20418.436799953968</v>
      </c>
      <c r="W37">
        <f>IF(R37&lt;=0,0,MIN(MAX(0,R37-V37),0+IF(AND(Q37&gt;='Loan Prepayment'!$B$9,Q37&lt;='Loan Prepayment'!$E$16),'Loan Prepayment'!$B$8,0)))</f>
        <v>0</v>
      </c>
      <c r="X37">
        <f t="shared" si="8"/>
        <v>9348600.838955259</v>
      </c>
      <c r="Y37">
        <v>36</v>
      </c>
      <c r="Z37">
        <f t="shared" si="19"/>
        <v>9369019.2757552136</v>
      </c>
      <c r="AA37">
        <f>IF(Y37&gt;='Loan Prepayment'!$E$11,'Loan Prepayment'!$E$12,'Loan Prepayment'!$B$6)</f>
        <v>8.5</v>
      </c>
      <c r="AB37">
        <f>IF(Z37&lt;=0,0,MIN(IF(Y37='Loan Prepayment'!$E$11,IF('Loan Prepayment'!$E$13="Keep tenure, recalculate EMI",-PMT(AA37/1200,MAX(1,'Loan Prepayment'!$B$7*12-Y37+1),Z37),AB36),AB36),Z37+AC37))</f>
        <v>86782.323336553396</v>
      </c>
      <c r="AC37">
        <f t="shared" si="9"/>
        <v>66363.886536599428</v>
      </c>
      <c r="AD37">
        <f t="shared" si="10"/>
        <v>20418.436799953968</v>
      </c>
      <c r="AE37">
        <f t="shared" si="11"/>
        <v>0</v>
      </c>
      <c r="AF37">
        <f t="shared" si="12"/>
        <v>9348600.838955259</v>
      </c>
      <c r="AG37">
        <v>36</v>
      </c>
      <c r="AH37">
        <f t="shared" si="20"/>
        <v>8891055.7422175314</v>
      </c>
      <c r="AI37">
        <f>IF(AG37&gt;='Loan Prepayment'!$E$11,'Loan Prepayment'!$E$12,'Loan Prepayment'!$B$6)</f>
        <v>8.5</v>
      </c>
      <c r="AJ37">
        <f>IF(AH37&lt;=0,0,MIN(IF(AG37='Loan Prepayment'!$E$11,IF('Loan Prepayment'!$E$13="Keep tenure, recalculate EMI",-PMT(AI37/1200,MAX(1,'Loan Prepayment'!$B$7*12-AG37+1),AH37),AJ36),IF(AND('Loan Prepayment'!$E$15="Reduce EMI",AM36&gt;0),-PMT(AI37/1200,MAX(1,'Loan Prepayment'!$B$7*12-AG37+1),AH37),AJ36)),AH37+AK37))</f>
        <v>82355.095182814155</v>
      </c>
      <c r="AK37">
        <f t="shared" si="13"/>
        <v>62978.311507374186</v>
      </c>
      <c r="AL37">
        <f t="shared" si="14"/>
        <v>19376.783675439969</v>
      </c>
      <c r="AM37">
        <f>IF(AH37&lt;=0,0,MIN(MAX(0,AH37-AL37),SUMIFS('Loan Prepayment'!$B$12:$B$16,'Loan Prepayment'!$A$12:$A$16,AG37)+IF(AND(AG37&gt;='Loan Prepayment'!$B$9,AG37&lt;='Loan Prepayment'!$E$16),'Loan Prepayment'!$B$8,0)))</f>
        <v>500000</v>
      </c>
      <c r="AN37">
        <f t="shared" si="15"/>
        <v>8371678.9585420918</v>
      </c>
    </row>
    <row r="38" spans="1:40" x14ac:dyDescent="0.35">
      <c r="A38">
        <v>37</v>
      </c>
      <c r="B38">
        <f t="shared" si="16"/>
        <v>9348600.838955259</v>
      </c>
      <c r="C38" s="78">
        <f>'Loan Prepayment'!$B$6</f>
        <v>8.5</v>
      </c>
      <c r="D38">
        <f>IF(B38&lt;=0,0,MIN(-PMT('Loan Prepayment'!$B$6/1200,'Loan Prepayment'!$B$7*12,'Loan Prepayment'!$B$5),B38+E38))</f>
        <v>86782.323336553396</v>
      </c>
      <c r="E38">
        <f t="shared" si="0"/>
        <v>66219.255942599746</v>
      </c>
      <c r="F38">
        <f t="shared" si="1"/>
        <v>20563.06739395365</v>
      </c>
      <c r="G38">
        <v>0</v>
      </c>
      <c r="H38">
        <f t="shared" si="2"/>
        <v>9328037.771561306</v>
      </c>
      <c r="I38">
        <v>37</v>
      </c>
      <c r="J38">
        <f t="shared" si="17"/>
        <v>8371678.9585420918</v>
      </c>
      <c r="K38" s="78">
        <f>'Loan Prepayment'!$B$6</f>
        <v>8.5</v>
      </c>
      <c r="L38">
        <f>IF(J38&lt;=0,0,MIN(IF(AND('Loan Prepayment'!$E$15="Reduce EMI",O37&gt;0),-PMT(K38/1200,MAX(1,'Loan Prepayment'!$B$7*12-I38+1),J38),L37),J38+M38))</f>
        <v>77713.634667410894</v>
      </c>
      <c r="M38">
        <f t="shared" si="3"/>
        <v>59299.392623006475</v>
      </c>
      <c r="N38">
        <f t="shared" si="4"/>
        <v>18414.242044404418</v>
      </c>
      <c r="O38">
        <f>IF(J38&lt;=0,0,MIN(MAX(0,J38-N38),SUMIFS('Loan Prepayment'!$B$12:$B$16,'Loan Prepayment'!$A$12:$A$16,I38)+0))</f>
        <v>0</v>
      </c>
      <c r="P38">
        <f t="shared" si="5"/>
        <v>8353264.7164976876</v>
      </c>
      <c r="Q38">
        <v>37</v>
      </c>
      <c r="R38">
        <f t="shared" si="18"/>
        <v>9348600.838955259</v>
      </c>
      <c r="S38" s="78">
        <f>'Loan Prepayment'!$B$6</f>
        <v>8.5</v>
      </c>
      <c r="T38">
        <f>IF(R38&lt;=0,0,MIN(IF(AND('Loan Prepayment'!$E$15="Reduce EMI",W37&gt;0),-PMT(S38/1200,MAX(1,'Loan Prepayment'!$B$7*12-Q38+1),R38),T37),R38+U38))</f>
        <v>86782.323336553396</v>
      </c>
      <c r="U38">
        <f t="shared" si="6"/>
        <v>66219.255942599746</v>
      </c>
      <c r="V38">
        <f t="shared" si="7"/>
        <v>20563.06739395365</v>
      </c>
      <c r="W38">
        <f>IF(R38&lt;=0,0,MIN(MAX(0,R38-V38),0+IF(AND(Q38&gt;='Loan Prepayment'!$B$9,Q38&lt;='Loan Prepayment'!$E$16),'Loan Prepayment'!$B$8,0)))</f>
        <v>0</v>
      </c>
      <c r="X38">
        <f t="shared" si="8"/>
        <v>9328037.771561306</v>
      </c>
      <c r="Y38">
        <v>37</v>
      </c>
      <c r="Z38">
        <f t="shared" si="19"/>
        <v>9348600.838955259</v>
      </c>
      <c r="AA38">
        <f>IF(Y38&gt;='Loan Prepayment'!$E$11,'Loan Prepayment'!$E$12,'Loan Prepayment'!$B$6)</f>
        <v>8.5</v>
      </c>
      <c r="AB38">
        <f>IF(Z38&lt;=0,0,MIN(IF(Y38='Loan Prepayment'!$E$11,IF('Loan Prepayment'!$E$13="Keep tenure, recalculate EMI",-PMT(AA38/1200,MAX(1,'Loan Prepayment'!$B$7*12-Y38+1),Z38),AB37),AB37),Z38+AC38))</f>
        <v>86782.323336553396</v>
      </c>
      <c r="AC38">
        <f t="shared" si="9"/>
        <v>66219.255942599746</v>
      </c>
      <c r="AD38">
        <f t="shared" si="10"/>
        <v>20563.06739395365</v>
      </c>
      <c r="AE38">
        <f t="shared" si="11"/>
        <v>0</v>
      </c>
      <c r="AF38">
        <f t="shared" si="12"/>
        <v>9328037.771561306</v>
      </c>
      <c r="AG38">
        <v>37</v>
      </c>
      <c r="AH38">
        <f t="shared" si="20"/>
        <v>8371678.9585420918</v>
      </c>
      <c r="AI38">
        <f>IF(AG38&gt;='Loan Prepayment'!$E$11,'Loan Prepayment'!$E$12,'Loan Prepayment'!$B$6)</f>
        <v>8.5</v>
      </c>
      <c r="AJ38">
        <f>IF(AH38&lt;=0,0,MIN(IF(AG38='Loan Prepayment'!$E$11,IF('Loan Prepayment'!$E$13="Keep tenure, recalculate EMI",-PMT(AI38/1200,MAX(1,'Loan Prepayment'!$B$7*12-AG38+1),AH38),AJ37),IF(AND('Loan Prepayment'!$E$15="Reduce EMI",AM37&gt;0),-PMT(AI38/1200,MAX(1,'Loan Prepayment'!$B$7*12-AG38+1),AH38),AJ37)),AH38+AK38))</f>
        <v>77713.634667410894</v>
      </c>
      <c r="AK38">
        <f t="shared" si="13"/>
        <v>59299.392623006475</v>
      </c>
      <c r="AL38">
        <f t="shared" si="14"/>
        <v>18414.242044404418</v>
      </c>
      <c r="AM38">
        <f>IF(AH38&lt;=0,0,MIN(MAX(0,AH38-AL38),SUMIFS('Loan Prepayment'!$B$12:$B$16,'Loan Prepayment'!$A$12:$A$16,AG38)+IF(AND(AG38&gt;='Loan Prepayment'!$B$9,AG38&lt;='Loan Prepayment'!$E$16),'Loan Prepayment'!$B$8,0)))</f>
        <v>0</v>
      </c>
      <c r="AN38">
        <f t="shared" si="15"/>
        <v>8353264.7164976876</v>
      </c>
    </row>
    <row r="39" spans="1:40" x14ac:dyDescent="0.35">
      <c r="A39">
        <v>38</v>
      </c>
      <c r="B39">
        <f t="shared" si="16"/>
        <v>9328037.771561306</v>
      </c>
      <c r="C39" s="78">
        <f>'Loan Prepayment'!$B$6</f>
        <v>8.5</v>
      </c>
      <c r="D39">
        <f>IF(B39&lt;=0,0,MIN(-PMT('Loan Prepayment'!$B$6/1200,'Loan Prepayment'!$B$7*12,'Loan Prepayment'!$B$5),B39+E39))</f>
        <v>86782.323336553396</v>
      </c>
      <c r="E39">
        <f t="shared" si="0"/>
        <v>66073.600881892577</v>
      </c>
      <c r="F39">
        <f t="shared" si="1"/>
        <v>20708.722454660819</v>
      </c>
      <c r="G39">
        <v>0</v>
      </c>
      <c r="H39">
        <f t="shared" si="2"/>
        <v>9307329.0491066445</v>
      </c>
      <c r="I39">
        <v>38</v>
      </c>
      <c r="J39">
        <f t="shared" si="17"/>
        <v>8353264.7164976876</v>
      </c>
      <c r="K39" s="78">
        <f>'Loan Prepayment'!$B$6</f>
        <v>8.5</v>
      </c>
      <c r="L39">
        <f>IF(J39&lt;=0,0,MIN(IF(AND('Loan Prepayment'!$E$15="Reduce EMI",O38&gt;0),-PMT(K39/1200,MAX(1,'Loan Prepayment'!$B$7*12-I39+1),J39),L38),J39+M39))</f>
        <v>77713.634667410894</v>
      </c>
      <c r="M39">
        <f t="shared" si="3"/>
        <v>59168.958408525286</v>
      </c>
      <c r="N39">
        <f t="shared" si="4"/>
        <v>18544.676258885607</v>
      </c>
      <c r="O39">
        <f>IF(J39&lt;=0,0,MIN(MAX(0,J39-N39),SUMIFS('Loan Prepayment'!$B$12:$B$16,'Loan Prepayment'!$A$12:$A$16,I39)+0))</f>
        <v>0</v>
      </c>
      <c r="P39">
        <f t="shared" si="5"/>
        <v>8334720.0402388023</v>
      </c>
      <c r="Q39">
        <v>38</v>
      </c>
      <c r="R39">
        <f t="shared" si="18"/>
        <v>9328037.771561306</v>
      </c>
      <c r="S39" s="78">
        <f>'Loan Prepayment'!$B$6</f>
        <v>8.5</v>
      </c>
      <c r="T39">
        <f>IF(R39&lt;=0,0,MIN(IF(AND('Loan Prepayment'!$E$15="Reduce EMI",W38&gt;0),-PMT(S39/1200,MAX(1,'Loan Prepayment'!$B$7*12-Q39+1),R39),T38),R39+U39))</f>
        <v>86782.323336553396</v>
      </c>
      <c r="U39">
        <f t="shared" si="6"/>
        <v>66073.600881892577</v>
      </c>
      <c r="V39">
        <f t="shared" si="7"/>
        <v>20708.722454660819</v>
      </c>
      <c r="W39">
        <f>IF(R39&lt;=0,0,MIN(MAX(0,R39-V39),0+IF(AND(Q39&gt;='Loan Prepayment'!$B$9,Q39&lt;='Loan Prepayment'!$E$16),'Loan Prepayment'!$B$8,0)))</f>
        <v>0</v>
      </c>
      <c r="X39">
        <f t="shared" si="8"/>
        <v>9307329.0491066445</v>
      </c>
      <c r="Y39">
        <v>38</v>
      </c>
      <c r="Z39">
        <f t="shared" si="19"/>
        <v>9328037.771561306</v>
      </c>
      <c r="AA39">
        <f>IF(Y39&gt;='Loan Prepayment'!$E$11,'Loan Prepayment'!$E$12,'Loan Prepayment'!$B$6)</f>
        <v>8.5</v>
      </c>
      <c r="AB39">
        <f>IF(Z39&lt;=0,0,MIN(IF(Y39='Loan Prepayment'!$E$11,IF('Loan Prepayment'!$E$13="Keep tenure, recalculate EMI",-PMT(AA39/1200,MAX(1,'Loan Prepayment'!$B$7*12-Y39+1),Z39),AB38),AB38),Z39+AC39))</f>
        <v>86782.323336553396</v>
      </c>
      <c r="AC39">
        <f t="shared" si="9"/>
        <v>66073.600881892577</v>
      </c>
      <c r="AD39">
        <f t="shared" si="10"/>
        <v>20708.722454660819</v>
      </c>
      <c r="AE39">
        <f t="shared" si="11"/>
        <v>0</v>
      </c>
      <c r="AF39">
        <f t="shared" si="12"/>
        <v>9307329.0491066445</v>
      </c>
      <c r="AG39">
        <v>38</v>
      </c>
      <c r="AH39">
        <f t="shared" si="20"/>
        <v>8353264.7164976876</v>
      </c>
      <c r="AI39">
        <f>IF(AG39&gt;='Loan Prepayment'!$E$11,'Loan Prepayment'!$E$12,'Loan Prepayment'!$B$6)</f>
        <v>8.5</v>
      </c>
      <c r="AJ39">
        <f>IF(AH39&lt;=0,0,MIN(IF(AG39='Loan Prepayment'!$E$11,IF('Loan Prepayment'!$E$13="Keep tenure, recalculate EMI",-PMT(AI39/1200,MAX(1,'Loan Prepayment'!$B$7*12-AG39+1),AH39),AJ38),IF(AND('Loan Prepayment'!$E$15="Reduce EMI",AM38&gt;0),-PMT(AI39/1200,MAX(1,'Loan Prepayment'!$B$7*12-AG39+1),AH39),AJ38)),AH39+AK39))</f>
        <v>77713.634667410894</v>
      </c>
      <c r="AK39">
        <f t="shared" si="13"/>
        <v>59168.958408525286</v>
      </c>
      <c r="AL39">
        <f t="shared" si="14"/>
        <v>18544.676258885607</v>
      </c>
      <c r="AM39">
        <f>IF(AH39&lt;=0,0,MIN(MAX(0,AH39-AL39),SUMIFS('Loan Prepayment'!$B$12:$B$16,'Loan Prepayment'!$A$12:$A$16,AG39)+IF(AND(AG39&gt;='Loan Prepayment'!$B$9,AG39&lt;='Loan Prepayment'!$E$16),'Loan Prepayment'!$B$8,0)))</f>
        <v>0</v>
      </c>
      <c r="AN39">
        <f t="shared" si="15"/>
        <v>8334720.0402388023</v>
      </c>
    </row>
    <row r="40" spans="1:40" x14ac:dyDescent="0.35">
      <c r="A40">
        <v>39</v>
      </c>
      <c r="B40">
        <f t="shared" si="16"/>
        <v>9307329.0491066445</v>
      </c>
      <c r="C40" s="78">
        <f>'Loan Prepayment'!$B$6</f>
        <v>8.5</v>
      </c>
      <c r="D40">
        <f>IF(B40&lt;=0,0,MIN(-PMT('Loan Prepayment'!$B$6/1200,'Loan Prepayment'!$B$7*12,'Loan Prepayment'!$B$5),B40+E40))</f>
        <v>86782.323336553396</v>
      </c>
      <c r="E40">
        <f t="shared" si="0"/>
        <v>65926.914097838744</v>
      </c>
      <c r="F40">
        <f t="shared" si="1"/>
        <v>20855.409238714652</v>
      </c>
      <c r="G40">
        <v>0</v>
      </c>
      <c r="H40">
        <f t="shared" si="2"/>
        <v>9286473.6398679297</v>
      </c>
      <c r="I40">
        <v>39</v>
      </c>
      <c r="J40">
        <f t="shared" si="17"/>
        <v>8334720.0402388023</v>
      </c>
      <c r="K40" s="78">
        <f>'Loan Prepayment'!$B$6</f>
        <v>8.5</v>
      </c>
      <c r="L40">
        <f>IF(J40&lt;=0,0,MIN(IF(AND('Loan Prepayment'!$E$15="Reduce EMI",O39&gt;0),-PMT(K40/1200,MAX(1,'Loan Prepayment'!$B$7*12-I40+1),J40),L39),J40+M40))</f>
        <v>77713.634667410894</v>
      </c>
      <c r="M40">
        <f t="shared" si="3"/>
        <v>59037.600285024855</v>
      </c>
      <c r="N40">
        <f t="shared" si="4"/>
        <v>18676.034382386038</v>
      </c>
      <c r="O40">
        <f>IF(J40&lt;=0,0,MIN(MAX(0,J40-N40),SUMIFS('Loan Prepayment'!$B$12:$B$16,'Loan Prepayment'!$A$12:$A$16,I40)+0))</f>
        <v>0</v>
      </c>
      <c r="P40">
        <f t="shared" si="5"/>
        <v>8316044.0058564162</v>
      </c>
      <c r="Q40">
        <v>39</v>
      </c>
      <c r="R40">
        <f t="shared" si="18"/>
        <v>9307329.0491066445</v>
      </c>
      <c r="S40" s="78">
        <f>'Loan Prepayment'!$B$6</f>
        <v>8.5</v>
      </c>
      <c r="T40">
        <f>IF(R40&lt;=0,0,MIN(IF(AND('Loan Prepayment'!$E$15="Reduce EMI",W39&gt;0),-PMT(S40/1200,MAX(1,'Loan Prepayment'!$B$7*12-Q40+1),R40),T39),R40+U40))</f>
        <v>86782.323336553396</v>
      </c>
      <c r="U40">
        <f t="shared" si="6"/>
        <v>65926.914097838744</v>
      </c>
      <c r="V40">
        <f t="shared" si="7"/>
        <v>20855.409238714652</v>
      </c>
      <c r="W40">
        <f>IF(R40&lt;=0,0,MIN(MAX(0,R40-V40),0+IF(AND(Q40&gt;='Loan Prepayment'!$B$9,Q40&lt;='Loan Prepayment'!$E$16),'Loan Prepayment'!$B$8,0)))</f>
        <v>0</v>
      </c>
      <c r="X40">
        <f t="shared" si="8"/>
        <v>9286473.6398679297</v>
      </c>
      <c r="Y40">
        <v>39</v>
      </c>
      <c r="Z40">
        <f t="shared" si="19"/>
        <v>9307329.0491066445</v>
      </c>
      <c r="AA40">
        <f>IF(Y40&gt;='Loan Prepayment'!$E$11,'Loan Prepayment'!$E$12,'Loan Prepayment'!$B$6)</f>
        <v>8.5</v>
      </c>
      <c r="AB40">
        <f>IF(Z40&lt;=0,0,MIN(IF(Y40='Loan Prepayment'!$E$11,IF('Loan Prepayment'!$E$13="Keep tenure, recalculate EMI",-PMT(AA40/1200,MAX(1,'Loan Prepayment'!$B$7*12-Y40+1),Z40),AB39),AB39),Z40+AC40))</f>
        <v>86782.323336553396</v>
      </c>
      <c r="AC40">
        <f t="shared" si="9"/>
        <v>65926.914097838744</v>
      </c>
      <c r="AD40">
        <f t="shared" si="10"/>
        <v>20855.409238714652</v>
      </c>
      <c r="AE40">
        <f t="shared" si="11"/>
        <v>0</v>
      </c>
      <c r="AF40">
        <f t="shared" si="12"/>
        <v>9286473.6398679297</v>
      </c>
      <c r="AG40">
        <v>39</v>
      </c>
      <c r="AH40">
        <f t="shared" si="20"/>
        <v>8334720.0402388023</v>
      </c>
      <c r="AI40">
        <f>IF(AG40&gt;='Loan Prepayment'!$E$11,'Loan Prepayment'!$E$12,'Loan Prepayment'!$B$6)</f>
        <v>8.5</v>
      </c>
      <c r="AJ40">
        <f>IF(AH40&lt;=0,0,MIN(IF(AG40='Loan Prepayment'!$E$11,IF('Loan Prepayment'!$E$13="Keep tenure, recalculate EMI",-PMT(AI40/1200,MAX(1,'Loan Prepayment'!$B$7*12-AG40+1),AH40),AJ39),IF(AND('Loan Prepayment'!$E$15="Reduce EMI",AM39&gt;0),-PMT(AI40/1200,MAX(1,'Loan Prepayment'!$B$7*12-AG40+1),AH40),AJ39)),AH40+AK40))</f>
        <v>77713.634667410894</v>
      </c>
      <c r="AK40">
        <f t="shared" si="13"/>
        <v>59037.600285024855</v>
      </c>
      <c r="AL40">
        <f t="shared" si="14"/>
        <v>18676.034382386038</v>
      </c>
      <c r="AM40">
        <f>IF(AH40&lt;=0,0,MIN(MAX(0,AH40-AL40),SUMIFS('Loan Prepayment'!$B$12:$B$16,'Loan Prepayment'!$A$12:$A$16,AG40)+IF(AND(AG40&gt;='Loan Prepayment'!$B$9,AG40&lt;='Loan Prepayment'!$E$16),'Loan Prepayment'!$B$8,0)))</f>
        <v>0</v>
      </c>
      <c r="AN40">
        <f t="shared" si="15"/>
        <v>8316044.0058564162</v>
      </c>
    </row>
    <row r="41" spans="1:40" x14ac:dyDescent="0.35">
      <c r="A41">
        <v>40</v>
      </c>
      <c r="B41">
        <f t="shared" si="16"/>
        <v>9286473.6398679297</v>
      </c>
      <c r="C41" s="78">
        <f>'Loan Prepayment'!$B$6</f>
        <v>8.5</v>
      </c>
      <c r="D41">
        <f>IF(B41&lt;=0,0,MIN(-PMT('Loan Prepayment'!$B$6/1200,'Loan Prepayment'!$B$7*12,'Loan Prepayment'!$B$5),B41+E41))</f>
        <v>86782.323336553396</v>
      </c>
      <c r="E41">
        <f t="shared" si="0"/>
        <v>65779.188282397838</v>
      </c>
      <c r="F41">
        <f t="shared" si="1"/>
        <v>21003.135054155558</v>
      </c>
      <c r="G41">
        <v>0</v>
      </c>
      <c r="H41">
        <f t="shared" si="2"/>
        <v>9265470.5048137736</v>
      </c>
      <c r="I41">
        <v>40</v>
      </c>
      <c r="J41">
        <f t="shared" si="17"/>
        <v>8316044.0058564162</v>
      </c>
      <c r="K41" s="78">
        <f>'Loan Prepayment'!$B$6</f>
        <v>8.5</v>
      </c>
      <c r="L41">
        <f>IF(J41&lt;=0,0,MIN(IF(AND('Loan Prepayment'!$E$15="Reduce EMI",O40&gt;0),-PMT(K41/1200,MAX(1,'Loan Prepayment'!$B$7*12-I41+1),J41),L40),J41+M41))</f>
        <v>77713.634667410894</v>
      </c>
      <c r="M41">
        <f t="shared" si="3"/>
        <v>58905.311708149609</v>
      </c>
      <c r="N41">
        <f t="shared" si="4"/>
        <v>18808.322959261284</v>
      </c>
      <c r="O41">
        <f>IF(J41&lt;=0,0,MIN(MAX(0,J41-N41),SUMIFS('Loan Prepayment'!$B$12:$B$16,'Loan Prepayment'!$A$12:$A$16,I41)+0))</f>
        <v>0</v>
      </c>
      <c r="P41">
        <f t="shared" si="5"/>
        <v>8297235.6828971552</v>
      </c>
      <c r="Q41">
        <v>40</v>
      </c>
      <c r="R41">
        <f t="shared" si="18"/>
        <v>9286473.6398679297</v>
      </c>
      <c r="S41" s="78">
        <f>'Loan Prepayment'!$B$6</f>
        <v>8.5</v>
      </c>
      <c r="T41">
        <f>IF(R41&lt;=0,0,MIN(IF(AND('Loan Prepayment'!$E$15="Reduce EMI",W40&gt;0),-PMT(S41/1200,MAX(1,'Loan Prepayment'!$B$7*12-Q41+1),R41),T40),R41+U41))</f>
        <v>86782.323336553396</v>
      </c>
      <c r="U41">
        <f t="shared" si="6"/>
        <v>65779.188282397838</v>
      </c>
      <c r="V41">
        <f t="shared" si="7"/>
        <v>21003.135054155558</v>
      </c>
      <c r="W41">
        <f>IF(R41&lt;=0,0,MIN(MAX(0,R41-V41),0+IF(AND(Q41&gt;='Loan Prepayment'!$B$9,Q41&lt;='Loan Prepayment'!$E$16),'Loan Prepayment'!$B$8,0)))</f>
        <v>0</v>
      </c>
      <c r="X41">
        <f t="shared" si="8"/>
        <v>9265470.5048137736</v>
      </c>
      <c r="Y41">
        <v>40</v>
      </c>
      <c r="Z41">
        <f t="shared" si="19"/>
        <v>9286473.6398679297</v>
      </c>
      <c r="AA41">
        <f>IF(Y41&gt;='Loan Prepayment'!$E$11,'Loan Prepayment'!$E$12,'Loan Prepayment'!$B$6)</f>
        <v>8.5</v>
      </c>
      <c r="AB41">
        <f>IF(Z41&lt;=0,0,MIN(IF(Y41='Loan Prepayment'!$E$11,IF('Loan Prepayment'!$E$13="Keep tenure, recalculate EMI",-PMT(AA41/1200,MAX(1,'Loan Prepayment'!$B$7*12-Y41+1),Z41),AB40),AB40),Z41+AC41))</f>
        <v>86782.323336553396</v>
      </c>
      <c r="AC41">
        <f t="shared" si="9"/>
        <v>65779.188282397838</v>
      </c>
      <c r="AD41">
        <f t="shared" si="10"/>
        <v>21003.135054155558</v>
      </c>
      <c r="AE41">
        <f t="shared" si="11"/>
        <v>0</v>
      </c>
      <c r="AF41">
        <f t="shared" si="12"/>
        <v>9265470.5048137736</v>
      </c>
      <c r="AG41">
        <v>40</v>
      </c>
      <c r="AH41">
        <f t="shared" si="20"/>
        <v>8316044.0058564162</v>
      </c>
      <c r="AI41">
        <f>IF(AG41&gt;='Loan Prepayment'!$E$11,'Loan Prepayment'!$E$12,'Loan Prepayment'!$B$6)</f>
        <v>8.5</v>
      </c>
      <c r="AJ41">
        <f>IF(AH41&lt;=0,0,MIN(IF(AG41='Loan Prepayment'!$E$11,IF('Loan Prepayment'!$E$13="Keep tenure, recalculate EMI",-PMT(AI41/1200,MAX(1,'Loan Prepayment'!$B$7*12-AG41+1),AH41),AJ40),IF(AND('Loan Prepayment'!$E$15="Reduce EMI",AM40&gt;0),-PMT(AI41/1200,MAX(1,'Loan Prepayment'!$B$7*12-AG41+1),AH41),AJ40)),AH41+AK41))</f>
        <v>77713.634667410894</v>
      </c>
      <c r="AK41">
        <f t="shared" si="13"/>
        <v>58905.311708149609</v>
      </c>
      <c r="AL41">
        <f t="shared" si="14"/>
        <v>18808.322959261284</v>
      </c>
      <c r="AM41">
        <f>IF(AH41&lt;=0,0,MIN(MAX(0,AH41-AL41),SUMIFS('Loan Prepayment'!$B$12:$B$16,'Loan Prepayment'!$A$12:$A$16,AG41)+IF(AND(AG41&gt;='Loan Prepayment'!$B$9,AG41&lt;='Loan Prepayment'!$E$16),'Loan Prepayment'!$B$8,0)))</f>
        <v>0</v>
      </c>
      <c r="AN41">
        <f t="shared" si="15"/>
        <v>8297235.6828971552</v>
      </c>
    </row>
    <row r="42" spans="1:40" x14ac:dyDescent="0.35">
      <c r="A42">
        <v>41</v>
      </c>
      <c r="B42">
        <f t="shared" si="16"/>
        <v>9265470.5048137736</v>
      </c>
      <c r="C42" s="78">
        <f>'Loan Prepayment'!$B$6</f>
        <v>8.5</v>
      </c>
      <c r="D42">
        <f>IF(B42&lt;=0,0,MIN(-PMT('Loan Prepayment'!$B$6/1200,'Loan Prepayment'!$B$7*12,'Loan Prepayment'!$B$5),B42+E42))</f>
        <v>86782.323336553396</v>
      </c>
      <c r="E42">
        <f t="shared" si="0"/>
        <v>65630.416075764224</v>
      </c>
      <c r="F42">
        <f t="shared" si="1"/>
        <v>21151.907260789172</v>
      </c>
      <c r="G42">
        <v>0</v>
      </c>
      <c r="H42">
        <f t="shared" si="2"/>
        <v>9244318.597552985</v>
      </c>
      <c r="I42">
        <v>41</v>
      </c>
      <c r="J42">
        <f t="shared" si="17"/>
        <v>8297235.6828971552</v>
      </c>
      <c r="K42" s="78">
        <f>'Loan Prepayment'!$B$6</f>
        <v>8.5</v>
      </c>
      <c r="L42">
        <f>IF(J42&lt;=0,0,MIN(IF(AND('Loan Prepayment'!$E$15="Reduce EMI",O41&gt;0),-PMT(K42/1200,MAX(1,'Loan Prepayment'!$B$7*12-I42+1),J42),L41),J42+M42))</f>
        <v>77713.634667410894</v>
      </c>
      <c r="M42">
        <f t="shared" si="3"/>
        <v>58772.086087188189</v>
      </c>
      <c r="N42">
        <f t="shared" si="4"/>
        <v>18941.548580222705</v>
      </c>
      <c r="O42">
        <f>IF(J42&lt;=0,0,MIN(MAX(0,J42-N42),SUMIFS('Loan Prepayment'!$B$12:$B$16,'Loan Prepayment'!$A$12:$A$16,I42)+0))</f>
        <v>0</v>
      </c>
      <c r="P42">
        <f t="shared" si="5"/>
        <v>8278294.1343169324</v>
      </c>
      <c r="Q42">
        <v>41</v>
      </c>
      <c r="R42">
        <f t="shared" si="18"/>
        <v>9265470.5048137736</v>
      </c>
      <c r="S42" s="78">
        <f>'Loan Prepayment'!$B$6</f>
        <v>8.5</v>
      </c>
      <c r="T42">
        <f>IF(R42&lt;=0,0,MIN(IF(AND('Loan Prepayment'!$E$15="Reduce EMI",W41&gt;0),-PMT(S42/1200,MAX(1,'Loan Prepayment'!$B$7*12-Q42+1),R42),T41),R42+U42))</f>
        <v>86782.323336553396</v>
      </c>
      <c r="U42">
        <f t="shared" si="6"/>
        <v>65630.416075764224</v>
      </c>
      <c r="V42">
        <f t="shared" si="7"/>
        <v>21151.907260789172</v>
      </c>
      <c r="W42">
        <f>IF(R42&lt;=0,0,MIN(MAX(0,R42-V42),0+IF(AND(Q42&gt;='Loan Prepayment'!$B$9,Q42&lt;='Loan Prepayment'!$E$16),'Loan Prepayment'!$B$8,0)))</f>
        <v>0</v>
      </c>
      <c r="X42">
        <f t="shared" si="8"/>
        <v>9244318.597552985</v>
      </c>
      <c r="Y42">
        <v>41</v>
      </c>
      <c r="Z42">
        <f t="shared" si="19"/>
        <v>9265470.5048137736</v>
      </c>
      <c r="AA42">
        <f>IF(Y42&gt;='Loan Prepayment'!$E$11,'Loan Prepayment'!$E$12,'Loan Prepayment'!$B$6)</f>
        <v>8.5</v>
      </c>
      <c r="AB42">
        <f>IF(Z42&lt;=0,0,MIN(IF(Y42='Loan Prepayment'!$E$11,IF('Loan Prepayment'!$E$13="Keep tenure, recalculate EMI",-PMT(AA42/1200,MAX(1,'Loan Prepayment'!$B$7*12-Y42+1),Z42),AB41),AB41),Z42+AC42))</f>
        <v>86782.323336553396</v>
      </c>
      <c r="AC42">
        <f t="shared" si="9"/>
        <v>65630.416075764224</v>
      </c>
      <c r="AD42">
        <f t="shared" si="10"/>
        <v>21151.907260789172</v>
      </c>
      <c r="AE42">
        <f t="shared" si="11"/>
        <v>0</v>
      </c>
      <c r="AF42">
        <f t="shared" si="12"/>
        <v>9244318.597552985</v>
      </c>
      <c r="AG42">
        <v>41</v>
      </c>
      <c r="AH42">
        <f t="shared" si="20"/>
        <v>8297235.6828971552</v>
      </c>
      <c r="AI42">
        <f>IF(AG42&gt;='Loan Prepayment'!$E$11,'Loan Prepayment'!$E$12,'Loan Prepayment'!$B$6)</f>
        <v>8.5</v>
      </c>
      <c r="AJ42">
        <f>IF(AH42&lt;=0,0,MIN(IF(AG42='Loan Prepayment'!$E$11,IF('Loan Prepayment'!$E$13="Keep tenure, recalculate EMI",-PMT(AI42/1200,MAX(1,'Loan Prepayment'!$B$7*12-AG42+1),AH42),AJ41),IF(AND('Loan Prepayment'!$E$15="Reduce EMI",AM41&gt;0),-PMT(AI42/1200,MAX(1,'Loan Prepayment'!$B$7*12-AG42+1),AH42),AJ41)),AH42+AK42))</f>
        <v>77713.634667410894</v>
      </c>
      <c r="AK42">
        <f t="shared" si="13"/>
        <v>58772.086087188189</v>
      </c>
      <c r="AL42">
        <f t="shared" si="14"/>
        <v>18941.548580222705</v>
      </c>
      <c r="AM42">
        <f>IF(AH42&lt;=0,0,MIN(MAX(0,AH42-AL42),SUMIFS('Loan Prepayment'!$B$12:$B$16,'Loan Prepayment'!$A$12:$A$16,AG42)+IF(AND(AG42&gt;='Loan Prepayment'!$B$9,AG42&lt;='Loan Prepayment'!$E$16),'Loan Prepayment'!$B$8,0)))</f>
        <v>0</v>
      </c>
      <c r="AN42">
        <f t="shared" si="15"/>
        <v>8278294.1343169324</v>
      </c>
    </row>
    <row r="43" spans="1:40" x14ac:dyDescent="0.35">
      <c r="A43">
        <v>42</v>
      </c>
      <c r="B43">
        <f t="shared" si="16"/>
        <v>9244318.597552985</v>
      </c>
      <c r="C43" s="78">
        <f>'Loan Prepayment'!$B$6</f>
        <v>8.5</v>
      </c>
      <c r="D43">
        <f>IF(B43&lt;=0,0,MIN(-PMT('Loan Prepayment'!$B$6/1200,'Loan Prepayment'!$B$7*12,'Loan Prepayment'!$B$5),B43+E43))</f>
        <v>86782.323336553396</v>
      </c>
      <c r="E43">
        <f t="shared" si="0"/>
        <v>65480.59006600031</v>
      </c>
      <c r="F43">
        <f t="shared" si="1"/>
        <v>21301.733270553086</v>
      </c>
      <c r="G43">
        <v>0</v>
      </c>
      <c r="H43">
        <f t="shared" si="2"/>
        <v>9223016.8642824311</v>
      </c>
      <c r="I43">
        <v>42</v>
      </c>
      <c r="J43">
        <f t="shared" si="17"/>
        <v>8278294.1343169324</v>
      </c>
      <c r="K43" s="78">
        <f>'Loan Prepayment'!$B$6</f>
        <v>8.5</v>
      </c>
      <c r="L43">
        <f>IF(J43&lt;=0,0,MIN(IF(AND('Loan Prepayment'!$E$15="Reduce EMI",O42&gt;0),-PMT(K43/1200,MAX(1,'Loan Prepayment'!$B$7*12-I43+1),J43),L42),J43+M43))</f>
        <v>77713.634667410894</v>
      </c>
      <c r="M43">
        <f t="shared" si="3"/>
        <v>58637.916784744935</v>
      </c>
      <c r="N43">
        <f t="shared" si="4"/>
        <v>19075.717882665958</v>
      </c>
      <c r="O43">
        <f>IF(J43&lt;=0,0,MIN(MAX(0,J43-N43),SUMIFS('Loan Prepayment'!$B$12:$B$16,'Loan Prepayment'!$A$12:$A$16,I43)+0))</f>
        <v>0</v>
      </c>
      <c r="P43">
        <f t="shared" si="5"/>
        <v>8259218.4164342666</v>
      </c>
      <c r="Q43">
        <v>42</v>
      </c>
      <c r="R43">
        <f t="shared" si="18"/>
        <v>9244318.597552985</v>
      </c>
      <c r="S43" s="78">
        <f>'Loan Prepayment'!$B$6</f>
        <v>8.5</v>
      </c>
      <c r="T43">
        <f>IF(R43&lt;=0,0,MIN(IF(AND('Loan Prepayment'!$E$15="Reduce EMI",W42&gt;0),-PMT(S43/1200,MAX(1,'Loan Prepayment'!$B$7*12-Q43+1),R43),T42),R43+U43))</f>
        <v>86782.323336553396</v>
      </c>
      <c r="U43">
        <f t="shared" si="6"/>
        <v>65480.59006600031</v>
      </c>
      <c r="V43">
        <f t="shared" si="7"/>
        <v>21301.733270553086</v>
      </c>
      <c r="W43">
        <f>IF(R43&lt;=0,0,MIN(MAX(0,R43-V43),0+IF(AND(Q43&gt;='Loan Prepayment'!$B$9,Q43&lt;='Loan Prepayment'!$E$16),'Loan Prepayment'!$B$8,0)))</f>
        <v>0</v>
      </c>
      <c r="X43">
        <f t="shared" si="8"/>
        <v>9223016.8642824311</v>
      </c>
      <c r="Y43">
        <v>42</v>
      </c>
      <c r="Z43">
        <f t="shared" si="19"/>
        <v>9244318.597552985</v>
      </c>
      <c r="AA43">
        <f>IF(Y43&gt;='Loan Prepayment'!$E$11,'Loan Prepayment'!$E$12,'Loan Prepayment'!$B$6)</f>
        <v>8.5</v>
      </c>
      <c r="AB43">
        <f>IF(Z43&lt;=0,0,MIN(IF(Y43='Loan Prepayment'!$E$11,IF('Loan Prepayment'!$E$13="Keep tenure, recalculate EMI",-PMT(AA43/1200,MAX(1,'Loan Prepayment'!$B$7*12-Y43+1),Z43),AB42),AB42),Z43+AC43))</f>
        <v>86782.323336553396</v>
      </c>
      <c r="AC43">
        <f t="shared" si="9"/>
        <v>65480.59006600031</v>
      </c>
      <c r="AD43">
        <f t="shared" si="10"/>
        <v>21301.733270553086</v>
      </c>
      <c r="AE43">
        <f t="shared" si="11"/>
        <v>0</v>
      </c>
      <c r="AF43">
        <f t="shared" si="12"/>
        <v>9223016.8642824311</v>
      </c>
      <c r="AG43">
        <v>42</v>
      </c>
      <c r="AH43">
        <f t="shared" si="20"/>
        <v>8278294.1343169324</v>
      </c>
      <c r="AI43">
        <f>IF(AG43&gt;='Loan Prepayment'!$E$11,'Loan Prepayment'!$E$12,'Loan Prepayment'!$B$6)</f>
        <v>8.5</v>
      </c>
      <c r="AJ43">
        <f>IF(AH43&lt;=0,0,MIN(IF(AG43='Loan Prepayment'!$E$11,IF('Loan Prepayment'!$E$13="Keep tenure, recalculate EMI",-PMT(AI43/1200,MAX(1,'Loan Prepayment'!$B$7*12-AG43+1),AH43),AJ42),IF(AND('Loan Prepayment'!$E$15="Reduce EMI",AM42&gt;0),-PMT(AI43/1200,MAX(1,'Loan Prepayment'!$B$7*12-AG43+1),AH43),AJ42)),AH43+AK43))</f>
        <v>77713.634667410894</v>
      </c>
      <c r="AK43">
        <f t="shared" si="13"/>
        <v>58637.916784744935</v>
      </c>
      <c r="AL43">
        <f t="shared" si="14"/>
        <v>19075.717882665958</v>
      </c>
      <c r="AM43">
        <f>IF(AH43&lt;=0,0,MIN(MAX(0,AH43-AL43),SUMIFS('Loan Prepayment'!$B$12:$B$16,'Loan Prepayment'!$A$12:$A$16,AG43)+IF(AND(AG43&gt;='Loan Prepayment'!$B$9,AG43&lt;='Loan Prepayment'!$E$16),'Loan Prepayment'!$B$8,0)))</f>
        <v>0</v>
      </c>
      <c r="AN43">
        <f t="shared" si="15"/>
        <v>8259218.4164342666</v>
      </c>
    </row>
    <row r="44" spans="1:40" x14ac:dyDescent="0.35">
      <c r="A44">
        <v>43</v>
      </c>
      <c r="B44">
        <f t="shared" si="16"/>
        <v>9223016.8642824311</v>
      </c>
      <c r="C44" s="78">
        <f>'Loan Prepayment'!$B$6</f>
        <v>8.5</v>
      </c>
      <c r="D44">
        <f>IF(B44&lt;=0,0,MIN(-PMT('Loan Prepayment'!$B$6/1200,'Loan Prepayment'!$B$7*12,'Loan Prepayment'!$B$5),B44+E44))</f>
        <v>86782.323336553396</v>
      </c>
      <c r="E44">
        <f t="shared" si="0"/>
        <v>65329.702788667222</v>
      </c>
      <c r="F44">
        <f t="shared" si="1"/>
        <v>21452.620547886174</v>
      </c>
      <c r="G44">
        <v>0</v>
      </c>
      <c r="H44">
        <f t="shared" si="2"/>
        <v>9201564.2437345441</v>
      </c>
      <c r="I44">
        <v>43</v>
      </c>
      <c r="J44">
        <f t="shared" si="17"/>
        <v>8259218.4164342666</v>
      </c>
      <c r="K44" s="78">
        <f>'Loan Prepayment'!$B$6</f>
        <v>8.5</v>
      </c>
      <c r="L44">
        <f>IF(J44&lt;=0,0,MIN(IF(AND('Loan Prepayment'!$E$15="Reduce EMI",O43&gt;0),-PMT(K44/1200,MAX(1,'Loan Prepayment'!$B$7*12-I44+1),J44),L43),J44+M44))</f>
        <v>77713.634667410894</v>
      </c>
      <c r="M44">
        <f t="shared" si="3"/>
        <v>58502.797116409391</v>
      </c>
      <c r="N44">
        <f t="shared" si="4"/>
        <v>19210.837551001503</v>
      </c>
      <c r="O44">
        <f>IF(J44&lt;=0,0,MIN(MAX(0,J44-N44),SUMIFS('Loan Prepayment'!$B$12:$B$16,'Loan Prepayment'!$A$12:$A$16,I44)+0))</f>
        <v>0</v>
      </c>
      <c r="P44">
        <f t="shared" si="5"/>
        <v>8240007.5788832651</v>
      </c>
      <c r="Q44">
        <v>43</v>
      </c>
      <c r="R44">
        <f t="shared" si="18"/>
        <v>9223016.8642824311</v>
      </c>
      <c r="S44" s="78">
        <f>'Loan Prepayment'!$B$6</f>
        <v>8.5</v>
      </c>
      <c r="T44">
        <f>IF(R44&lt;=0,0,MIN(IF(AND('Loan Prepayment'!$E$15="Reduce EMI",W43&gt;0),-PMT(S44/1200,MAX(1,'Loan Prepayment'!$B$7*12-Q44+1),R44),T43),R44+U44))</f>
        <v>86782.323336553396</v>
      </c>
      <c r="U44">
        <f t="shared" si="6"/>
        <v>65329.702788667222</v>
      </c>
      <c r="V44">
        <f t="shared" si="7"/>
        <v>21452.620547886174</v>
      </c>
      <c r="W44">
        <f>IF(R44&lt;=0,0,MIN(MAX(0,R44-V44),0+IF(AND(Q44&gt;='Loan Prepayment'!$B$9,Q44&lt;='Loan Prepayment'!$E$16),'Loan Prepayment'!$B$8,0)))</f>
        <v>0</v>
      </c>
      <c r="X44">
        <f t="shared" si="8"/>
        <v>9201564.2437345441</v>
      </c>
      <c r="Y44">
        <v>43</v>
      </c>
      <c r="Z44">
        <f t="shared" si="19"/>
        <v>9223016.8642824311</v>
      </c>
      <c r="AA44">
        <f>IF(Y44&gt;='Loan Prepayment'!$E$11,'Loan Prepayment'!$E$12,'Loan Prepayment'!$B$6)</f>
        <v>8.5</v>
      </c>
      <c r="AB44">
        <f>IF(Z44&lt;=0,0,MIN(IF(Y44='Loan Prepayment'!$E$11,IF('Loan Prepayment'!$E$13="Keep tenure, recalculate EMI",-PMT(AA44/1200,MAX(1,'Loan Prepayment'!$B$7*12-Y44+1),Z44),AB43),AB43),Z44+AC44))</f>
        <v>86782.323336553396</v>
      </c>
      <c r="AC44">
        <f t="shared" si="9"/>
        <v>65329.702788667222</v>
      </c>
      <c r="AD44">
        <f t="shared" si="10"/>
        <v>21452.620547886174</v>
      </c>
      <c r="AE44">
        <f t="shared" si="11"/>
        <v>0</v>
      </c>
      <c r="AF44">
        <f t="shared" si="12"/>
        <v>9201564.2437345441</v>
      </c>
      <c r="AG44">
        <v>43</v>
      </c>
      <c r="AH44">
        <f t="shared" si="20"/>
        <v>8259218.4164342666</v>
      </c>
      <c r="AI44">
        <f>IF(AG44&gt;='Loan Prepayment'!$E$11,'Loan Prepayment'!$E$12,'Loan Prepayment'!$B$6)</f>
        <v>8.5</v>
      </c>
      <c r="AJ44">
        <f>IF(AH44&lt;=0,0,MIN(IF(AG44='Loan Prepayment'!$E$11,IF('Loan Prepayment'!$E$13="Keep tenure, recalculate EMI",-PMT(AI44/1200,MAX(1,'Loan Prepayment'!$B$7*12-AG44+1),AH44),AJ43),IF(AND('Loan Prepayment'!$E$15="Reduce EMI",AM43&gt;0),-PMT(AI44/1200,MAX(1,'Loan Prepayment'!$B$7*12-AG44+1),AH44),AJ43)),AH44+AK44))</f>
        <v>77713.634667410894</v>
      </c>
      <c r="AK44">
        <f t="shared" si="13"/>
        <v>58502.797116409391</v>
      </c>
      <c r="AL44">
        <f t="shared" si="14"/>
        <v>19210.837551001503</v>
      </c>
      <c r="AM44">
        <f>IF(AH44&lt;=0,0,MIN(MAX(0,AH44-AL44),SUMIFS('Loan Prepayment'!$B$12:$B$16,'Loan Prepayment'!$A$12:$A$16,AG44)+IF(AND(AG44&gt;='Loan Prepayment'!$B$9,AG44&lt;='Loan Prepayment'!$E$16),'Loan Prepayment'!$B$8,0)))</f>
        <v>0</v>
      </c>
      <c r="AN44">
        <f t="shared" si="15"/>
        <v>8240007.5788832651</v>
      </c>
    </row>
    <row r="45" spans="1:40" x14ac:dyDescent="0.35">
      <c r="A45">
        <v>44</v>
      </c>
      <c r="B45">
        <f t="shared" si="16"/>
        <v>9201564.2437345441</v>
      </c>
      <c r="C45" s="78">
        <f>'Loan Prepayment'!$B$6</f>
        <v>8.5</v>
      </c>
      <c r="D45">
        <f>IF(B45&lt;=0,0,MIN(-PMT('Loan Prepayment'!$B$6/1200,'Loan Prepayment'!$B$7*12,'Loan Prepayment'!$B$5),B45+E45))</f>
        <v>86782.323336553396</v>
      </c>
      <c r="E45">
        <f t="shared" si="0"/>
        <v>65177.746726453021</v>
      </c>
      <c r="F45">
        <f t="shared" si="1"/>
        <v>21604.576610100376</v>
      </c>
      <c r="G45">
        <v>0</v>
      </c>
      <c r="H45">
        <f t="shared" si="2"/>
        <v>9179959.6671244446</v>
      </c>
      <c r="I45">
        <v>44</v>
      </c>
      <c r="J45">
        <f t="shared" si="17"/>
        <v>8240007.5788832651</v>
      </c>
      <c r="K45" s="78">
        <f>'Loan Prepayment'!$B$6</f>
        <v>8.5</v>
      </c>
      <c r="L45">
        <f>IF(J45&lt;=0,0,MIN(IF(AND('Loan Prepayment'!$E$15="Reduce EMI",O44&gt;0),-PMT(K45/1200,MAX(1,'Loan Prepayment'!$B$7*12-I45+1),J45),L44),J45+M45))</f>
        <v>77713.634667410894</v>
      </c>
      <c r="M45">
        <f t="shared" si="3"/>
        <v>58366.720350423129</v>
      </c>
      <c r="N45">
        <f t="shared" si="4"/>
        <v>19346.914316987764</v>
      </c>
      <c r="O45">
        <f>IF(J45&lt;=0,0,MIN(MAX(0,J45-N45),SUMIFS('Loan Prepayment'!$B$12:$B$16,'Loan Prepayment'!$A$12:$A$16,I45)+0))</f>
        <v>0</v>
      </c>
      <c r="P45">
        <f t="shared" si="5"/>
        <v>8220660.6645662775</v>
      </c>
      <c r="Q45">
        <v>44</v>
      </c>
      <c r="R45">
        <f t="shared" si="18"/>
        <v>9201564.2437345441</v>
      </c>
      <c r="S45" s="78">
        <f>'Loan Prepayment'!$B$6</f>
        <v>8.5</v>
      </c>
      <c r="T45">
        <f>IF(R45&lt;=0,0,MIN(IF(AND('Loan Prepayment'!$E$15="Reduce EMI",W44&gt;0),-PMT(S45/1200,MAX(1,'Loan Prepayment'!$B$7*12-Q45+1),R45),T44),R45+U45))</f>
        <v>86782.323336553396</v>
      </c>
      <c r="U45">
        <f t="shared" si="6"/>
        <v>65177.746726453021</v>
      </c>
      <c r="V45">
        <f t="shared" si="7"/>
        <v>21604.576610100376</v>
      </c>
      <c r="W45">
        <f>IF(R45&lt;=0,0,MIN(MAX(0,R45-V45),0+IF(AND(Q45&gt;='Loan Prepayment'!$B$9,Q45&lt;='Loan Prepayment'!$E$16),'Loan Prepayment'!$B$8,0)))</f>
        <v>0</v>
      </c>
      <c r="X45">
        <f t="shared" si="8"/>
        <v>9179959.6671244446</v>
      </c>
      <c r="Y45">
        <v>44</v>
      </c>
      <c r="Z45">
        <f t="shared" si="19"/>
        <v>9201564.2437345441</v>
      </c>
      <c r="AA45">
        <f>IF(Y45&gt;='Loan Prepayment'!$E$11,'Loan Prepayment'!$E$12,'Loan Prepayment'!$B$6)</f>
        <v>8.5</v>
      </c>
      <c r="AB45">
        <f>IF(Z45&lt;=0,0,MIN(IF(Y45='Loan Prepayment'!$E$11,IF('Loan Prepayment'!$E$13="Keep tenure, recalculate EMI",-PMT(AA45/1200,MAX(1,'Loan Prepayment'!$B$7*12-Y45+1),Z45),AB44),AB44),Z45+AC45))</f>
        <v>86782.323336553396</v>
      </c>
      <c r="AC45">
        <f t="shared" si="9"/>
        <v>65177.746726453021</v>
      </c>
      <c r="AD45">
        <f t="shared" si="10"/>
        <v>21604.576610100376</v>
      </c>
      <c r="AE45">
        <f t="shared" si="11"/>
        <v>0</v>
      </c>
      <c r="AF45">
        <f t="shared" si="12"/>
        <v>9179959.6671244446</v>
      </c>
      <c r="AG45">
        <v>44</v>
      </c>
      <c r="AH45">
        <f t="shared" si="20"/>
        <v>8240007.5788832651</v>
      </c>
      <c r="AI45">
        <f>IF(AG45&gt;='Loan Prepayment'!$E$11,'Loan Prepayment'!$E$12,'Loan Prepayment'!$B$6)</f>
        <v>8.5</v>
      </c>
      <c r="AJ45">
        <f>IF(AH45&lt;=0,0,MIN(IF(AG45='Loan Prepayment'!$E$11,IF('Loan Prepayment'!$E$13="Keep tenure, recalculate EMI",-PMT(AI45/1200,MAX(1,'Loan Prepayment'!$B$7*12-AG45+1),AH45),AJ44),IF(AND('Loan Prepayment'!$E$15="Reduce EMI",AM44&gt;0),-PMT(AI45/1200,MAX(1,'Loan Prepayment'!$B$7*12-AG45+1),AH45),AJ44)),AH45+AK45))</f>
        <v>77713.634667410894</v>
      </c>
      <c r="AK45">
        <f t="shared" si="13"/>
        <v>58366.720350423129</v>
      </c>
      <c r="AL45">
        <f t="shared" si="14"/>
        <v>19346.914316987764</v>
      </c>
      <c r="AM45">
        <f>IF(AH45&lt;=0,0,MIN(MAX(0,AH45-AL45),SUMIFS('Loan Prepayment'!$B$12:$B$16,'Loan Prepayment'!$A$12:$A$16,AG45)+IF(AND(AG45&gt;='Loan Prepayment'!$B$9,AG45&lt;='Loan Prepayment'!$E$16),'Loan Prepayment'!$B$8,0)))</f>
        <v>0</v>
      </c>
      <c r="AN45">
        <f t="shared" si="15"/>
        <v>8220660.6645662775</v>
      </c>
    </row>
    <row r="46" spans="1:40" x14ac:dyDescent="0.35">
      <c r="A46">
        <v>45</v>
      </c>
      <c r="B46">
        <f t="shared" si="16"/>
        <v>9179959.6671244446</v>
      </c>
      <c r="C46" s="78">
        <f>'Loan Prepayment'!$B$6</f>
        <v>8.5</v>
      </c>
      <c r="D46">
        <f>IF(B46&lt;=0,0,MIN(-PMT('Loan Prepayment'!$B$6/1200,'Loan Prepayment'!$B$7*12,'Loan Prepayment'!$B$5),B46+E46))</f>
        <v>86782.323336553396</v>
      </c>
      <c r="E46">
        <f t="shared" si="0"/>
        <v>65024.714308798153</v>
      </c>
      <c r="F46">
        <f t="shared" si="1"/>
        <v>21757.609027755243</v>
      </c>
      <c r="G46">
        <v>0</v>
      </c>
      <c r="H46">
        <f t="shared" si="2"/>
        <v>9158202.0580966901</v>
      </c>
      <c r="I46">
        <v>45</v>
      </c>
      <c r="J46">
        <f t="shared" si="17"/>
        <v>8220660.6645662775</v>
      </c>
      <c r="K46" s="78">
        <f>'Loan Prepayment'!$B$6</f>
        <v>8.5</v>
      </c>
      <c r="L46">
        <f>IF(J46&lt;=0,0,MIN(IF(AND('Loan Prepayment'!$E$15="Reduce EMI",O45&gt;0),-PMT(K46/1200,MAX(1,'Loan Prepayment'!$B$7*12-I46+1),J46),L45),J46+M46))</f>
        <v>77713.634667410894</v>
      </c>
      <c r="M46">
        <f t="shared" si="3"/>
        <v>58229.679707344461</v>
      </c>
      <c r="N46">
        <f t="shared" si="4"/>
        <v>19483.954960066432</v>
      </c>
      <c r="O46">
        <f>IF(J46&lt;=0,0,MIN(MAX(0,J46-N46),SUMIFS('Loan Prepayment'!$B$12:$B$16,'Loan Prepayment'!$A$12:$A$16,I46)+0))</f>
        <v>0</v>
      </c>
      <c r="P46">
        <f t="shared" si="5"/>
        <v>8201176.7096062107</v>
      </c>
      <c r="Q46">
        <v>45</v>
      </c>
      <c r="R46">
        <f t="shared" si="18"/>
        <v>9179959.6671244446</v>
      </c>
      <c r="S46" s="78">
        <f>'Loan Prepayment'!$B$6</f>
        <v>8.5</v>
      </c>
      <c r="T46">
        <f>IF(R46&lt;=0,0,MIN(IF(AND('Loan Prepayment'!$E$15="Reduce EMI",W45&gt;0),-PMT(S46/1200,MAX(1,'Loan Prepayment'!$B$7*12-Q46+1),R46),T45),R46+U46))</f>
        <v>86782.323336553396</v>
      </c>
      <c r="U46">
        <f t="shared" si="6"/>
        <v>65024.714308798153</v>
      </c>
      <c r="V46">
        <f t="shared" si="7"/>
        <v>21757.609027755243</v>
      </c>
      <c r="W46">
        <f>IF(R46&lt;=0,0,MIN(MAX(0,R46-V46),0+IF(AND(Q46&gt;='Loan Prepayment'!$B$9,Q46&lt;='Loan Prepayment'!$E$16),'Loan Prepayment'!$B$8,0)))</f>
        <v>0</v>
      </c>
      <c r="X46">
        <f t="shared" si="8"/>
        <v>9158202.0580966901</v>
      </c>
      <c r="Y46">
        <v>45</v>
      </c>
      <c r="Z46">
        <f t="shared" si="19"/>
        <v>9179959.6671244446</v>
      </c>
      <c r="AA46">
        <f>IF(Y46&gt;='Loan Prepayment'!$E$11,'Loan Prepayment'!$E$12,'Loan Prepayment'!$B$6)</f>
        <v>8.5</v>
      </c>
      <c r="AB46">
        <f>IF(Z46&lt;=0,0,MIN(IF(Y46='Loan Prepayment'!$E$11,IF('Loan Prepayment'!$E$13="Keep tenure, recalculate EMI",-PMT(AA46/1200,MAX(1,'Loan Prepayment'!$B$7*12-Y46+1),Z46),AB45),AB45),Z46+AC46))</f>
        <v>86782.323336553396</v>
      </c>
      <c r="AC46">
        <f t="shared" si="9"/>
        <v>65024.714308798153</v>
      </c>
      <c r="AD46">
        <f t="shared" si="10"/>
        <v>21757.609027755243</v>
      </c>
      <c r="AE46">
        <f t="shared" si="11"/>
        <v>0</v>
      </c>
      <c r="AF46">
        <f t="shared" si="12"/>
        <v>9158202.0580966901</v>
      </c>
      <c r="AG46">
        <v>45</v>
      </c>
      <c r="AH46">
        <f t="shared" si="20"/>
        <v>8220660.6645662775</v>
      </c>
      <c r="AI46">
        <f>IF(AG46&gt;='Loan Prepayment'!$E$11,'Loan Prepayment'!$E$12,'Loan Prepayment'!$B$6)</f>
        <v>8.5</v>
      </c>
      <c r="AJ46">
        <f>IF(AH46&lt;=0,0,MIN(IF(AG46='Loan Prepayment'!$E$11,IF('Loan Prepayment'!$E$13="Keep tenure, recalculate EMI",-PMT(AI46/1200,MAX(1,'Loan Prepayment'!$B$7*12-AG46+1),AH46),AJ45),IF(AND('Loan Prepayment'!$E$15="Reduce EMI",AM45&gt;0),-PMT(AI46/1200,MAX(1,'Loan Prepayment'!$B$7*12-AG46+1),AH46),AJ45)),AH46+AK46))</f>
        <v>77713.634667410894</v>
      </c>
      <c r="AK46">
        <f t="shared" si="13"/>
        <v>58229.679707344461</v>
      </c>
      <c r="AL46">
        <f t="shared" si="14"/>
        <v>19483.954960066432</v>
      </c>
      <c r="AM46">
        <f>IF(AH46&lt;=0,0,MIN(MAX(0,AH46-AL46),SUMIFS('Loan Prepayment'!$B$12:$B$16,'Loan Prepayment'!$A$12:$A$16,AG46)+IF(AND(AG46&gt;='Loan Prepayment'!$B$9,AG46&lt;='Loan Prepayment'!$E$16),'Loan Prepayment'!$B$8,0)))</f>
        <v>0</v>
      </c>
      <c r="AN46">
        <f t="shared" si="15"/>
        <v>8201176.7096062107</v>
      </c>
    </row>
    <row r="47" spans="1:40" x14ac:dyDescent="0.35">
      <c r="A47">
        <v>46</v>
      </c>
      <c r="B47">
        <f t="shared" si="16"/>
        <v>9158202.0580966901</v>
      </c>
      <c r="C47" s="78">
        <f>'Loan Prepayment'!$B$6</f>
        <v>8.5</v>
      </c>
      <c r="D47">
        <f>IF(B47&lt;=0,0,MIN(-PMT('Loan Prepayment'!$B$6/1200,'Loan Prepayment'!$B$7*12,'Loan Prepayment'!$B$5),B47+E47))</f>
        <v>86782.323336553396</v>
      </c>
      <c r="E47">
        <f t="shared" si="0"/>
        <v>64870.597911518213</v>
      </c>
      <c r="F47">
        <f t="shared" si="1"/>
        <v>21911.725425035183</v>
      </c>
      <c r="G47">
        <v>0</v>
      </c>
      <c r="H47">
        <f t="shared" si="2"/>
        <v>9136290.3326716553</v>
      </c>
      <c r="I47">
        <v>46</v>
      </c>
      <c r="J47">
        <f t="shared" si="17"/>
        <v>8201176.7096062107</v>
      </c>
      <c r="K47" s="78">
        <f>'Loan Prepayment'!$B$6</f>
        <v>8.5</v>
      </c>
      <c r="L47">
        <f>IF(J47&lt;=0,0,MIN(IF(AND('Loan Prepayment'!$E$15="Reduce EMI",O46&gt;0),-PMT(K47/1200,MAX(1,'Loan Prepayment'!$B$7*12-I47+1),J47),L46),J47+M47))</f>
        <v>77713.634667410894</v>
      </c>
      <c r="M47">
        <f t="shared" si="3"/>
        <v>58091.66835971066</v>
      </c>
      <c r="N47">
        <f t="shared" si="4"/>
        <v>19621.966307700233</v>
      </c>
      <c r="O47">
        <f>IF(J47&lt;=0,0,MIN(MAX(0,J47-N47),SUMIFS('Loan Prepayment'!$B$12:$B$16,'Loan Prepayment'!$A$12:$A$16,I47)+0))</f>
        <v>0</v>
      </c>
      <c r="P47">
        <f t="shared" si="5"/>
        <v>8181554.7432985101</v>
      </c>
      <c r="Q47">
        <v>46</v>
      </c>
      <c r="R47">
        <f t="shared" si="18"/>
        <v>9158202.0580966901</v>
      </c>
      <c r="S47" s="78">
        <f>'Loan Prepayment'!$B$6</f>
        <v>8.5</v>
      </c>
      <c r="T47">
        <f>IF(R47&lt;=0,0,MIN(IF(AND('Loan Prepayment'!$E$15="Reduce EMI",W46&gt;0),-PMT(S47/1200,MAX(1,'Loan Prepayment'!$B$7*12-Q47+1),R47),T46),R47+U47))</f>
        <v>86782.323336553396</v>
      </c>
      <c r="U47">
        <f t="shared" si="6"/>
        <v>64870.597911518213</v>
      </c>
      <c r="V47">
        <f t="shared" si="7"/>
        <v>21911.725425035183</v>
      </c>
      <c r="W47">
        <f>IF(R47&lt;=0,0,MIN(MAX(0,R47-V47),0+IF(AND(Q47&gt;='Loan Prepayment'!$B$9,Q47&lt;='Loan Prepayment'!$E$16),'Loan Prepayment'!$B$8,0)))</f>
        <v>0</v>
      </c>
      <c r="X47">
        <f t="shared" si="8"/>
        <v>9136290.3326716553</v>
      </c>
      <c r="Y47">
        <v>46</v>
      </c>
      <c r="Z47">
        <f t="shared" si="19"/>
        <v>9158202.0580966901</v>
      </c>
      <c r="AA47">
        <f>IF(Y47&gt;='Loan Prepayment'!$E$11,'Loan Prepayment'!$E$12,'Loan Prepayment'!$B$6)</f>
        <v>8.5</v>
      </c>
      <c r="AB47">
        <f>IF(Z47&lt;=0,0,MIN(IF(Y47='Loan Prepayment'!$E$11,IF('Loan Prepayment'!$E$13="Keep tenure, recalculate EMI",-PMT(AA47/1200,MAX(1,'Loan Prepayment'!$B$7*12-Y47+1),Z47),AB46),AB46),Z47+AC47))</f>
        <v>86782.323336553396</v>
      </c>
      <c r="AC47">
        <f t="shared" si="9"/>
        <v>64870.597911518213</v>
      </c>
      <c r="AD47">
        <f t="shared" si="10"/>
        <v>21911.725425035183</v>
      </c>
      <c r="AE47">
        <f t="shared" si="11"/>
        <v>0</v>
      </c>
      <c r="AF47">
        <f t="shared" si="12"/>
        <v>9136290.3326716553</v>
      </c>
      <c r="AG47">
        <v>46</v>
      </c>
      <c r="AH47">
        <f t="shared" si="20"/>
        <v>8201176.7096062107</v>
      </c>
      <c r="AI47">
        <f>IF(AG47&gt;='Loan Prepayment'!$E$11,'Loan Prepayment'!$E$12,'Loan Prepayment'!$B$6)</f>
        <v>8.5</v>
      </c>
      <c r="AJ47">
        <f>IF(AH47&lt;=0,0,MIN(IF(AG47='Loan Prepayment'!$E$11,IF('Loan Prepayment'!$E$13="Keep tenure, recalculate EMI",-PMT(AI47/1200,MAX(1,'Loan Prepayment'!$B$7*12-AG47+1),AH47),AJ46),IF(AND('Loan Prepayment'!$E$15="Reduce EMI",AM46&gt;0),-PMT(AI47/1200,MAX(1,'Loan Prepayment'!$B$7*12-AG47+1),AH47),AJ46)),AH47+AK47))</f>
        <v>77713.634667410894</v>
      </c>
      <c r="AK47">
        <f t="shared" si="13"/>
        <v>58091.66835971066</v>
      </c>
      <c r="AL47">
        <f t="shared" si="14"/>
        <v>19621.966307700233</v>
      </c>
      <c r="AM47">
        <f>IF(AH47&lt;=0,0,MIN(MAX(0,AH47-AL47),SUMIFS('Loan Prepayment'!$B$12:$B$16,'Loan Prepayment'!$A$12:$A$16,AG47)+IF(AND(AG47&gt;='Loan Prepayment'!$B$9,AG47&lt;='Loan Prepayment'!$E$16),'Loan Prepayment'!$B$8,0)))</f>
        <v>0</v>
      </c>
      <c r="AN47">
        <f t="shared" si="15"/>
        <v>8181554.7432985101</v>
      </c>
    </row>
    <row r="48" spans="1:40" x14ac:dyDescent="0.35">
      <c r="A48">
        <v>47</v>
      </c>
      <c r="B48">
        <f t="shared" si="16"/>
        <v>9136290.3326716553</v>
      </c>
      <c r="C48" s="78">
        <f>'Loan Prepayment'!$B$6</f>
        <v>8.5</v>
      </c>
      <c r="D48">
        <f>IF(B48&lt;=0,0,MIN(-PMT('Loan Prepayment'!$B$6/1200,'Loan Prepayment'!$B$7*12,'Loan Prepayment'!$B$5),B48+E48))</f>
        <v>86782.323336553396</v>
      </c>
      <c r="E48">
        <f t="shared" si="0"/>
        <v>64715.389856424219</v>
      </c>
      <c r="F48">
        <f t="shared" si="1"/>
        <v>22066.933480129177</v>
      </c>
      <c r="G48">
        <v>0</v>
      </c>
      <c r="H48">
        <f t="shared" si="2"/>
        <v>9114223.3991915267</v>
      </c>
      <c r="I48">
        <v>47</v>
      </c>
      <c r="J48">
        <f t="shared" si="17"/>
        <v>8181554.7432985101</v>
      </c>
      <c r="K48" s="78">
        <f>'Loan Prepayment'!$B$6</f>
        <v>8.5</v>
      </c>
      <c r="L48">
        <f>IF(J48&lt;=0,0,MIN(IF(AND('Loan Prepayment'!$E$15="Reduce EMI",O47&gt;0),-PMT(K48/1200,MAX(1,'Loan Prepayment'!$B$7*12-I48+1),J48),L47),J48+M48))</f>
        <v>77713.634667410894</v>
      </c>
      <c r="M48">
        <f t="shared" si="3"/>
        <v>57952.679431697776</v>
      </c>
      <c r="N48">
        <f t="shared" si="4"/>
        <v>19760.955235713118</v>
      </c>
      <c r="O48">
        <f>IF(J48&lt;=0,0,MIN(MAX(0,J48-N48),SUMIFS('Loan Prepayment'!$B$12:$B$16,'Loan Prepayment'!$A$12:$A$16,I48)+0))</f>
        <v>0</v>
      </c>
      <c r="P48">
        <f t="shared" si="5"/>
        <v>8161793.7880627969</v>
      </c>
      <c r="Q48">
        <v>47</v>
      </c>
      <c r="R48">
        <f t="shared" si="18"/>
        <v>9136290.3326716553</v>
      </c>
      <c r="S48" s="78">
        <f>'Loan Prepayment'!$B$6</f>
        <v>8.5</v>
      </c>
      <c r="T48">
        <f>IF(R48&lt;=0,0,MIN(IF(AND('Loan Prepayment'!$E$15="Reduce EMI",W47&gt;0),-PMT(S48/1200,MAX(1,'Loan Prepayment'!$B$7*12-Q48+1),R48),T47),R48+U48))</f>
        <v>86782.323336553396</v>
      </c>
      <c r="U48">
        <f t="shared" si="6"/>
        <v>64715.389856424219</v>
      </c>
      <c r="V48">
        <f t="shared" si="7"/>
        <v>22066.933480129177</v>
      </c>
      <c r="W48">
        <f>IF(R48&lt;=0,0,MIN(MAX(0,R48-V48),0+IF(AND(Q48&gt;='Loan Prepayment'!$B$9,Q48&lt;='Loan Prepayment'!$E$16),'Loan Prepayment'!$B$8,0)))</f>
        <v>0</v>
      </c>
      <c r="X48">
        <f t="shared" si="8"/>
        <v>9114223.3991915267</v>
      </c>
      <c r="Y48">
        <v>47</v>
      </c>
      <c r="Z48">
        <f t="shared" si="19"/>
        <v>9136290.3326716553</v>
      </c>
      <c r="AA48">
        <f>IF(Y48&gt;='Loan Prepayment'!$E$11,'Loan Prepayment'!$E$12,'Loan Prepayment'!$B$6)</f>
        <v>8.5</v>
      </c>
      <c r="AB48">
        <f>IF(Z48&lt;=0,0,MIN(IF(Y48='Loan Prepayment'!$E$11,IF('Loan Prepayment'!$E$13="Keep tenure, recalculate EMI",-PMT(AA48/1200,MAX(1,'Loan Prepayment'!$B$7*12-Y48+1),Z48),AB47),AB47),Z48+AC48))</f>
        <v>86782.323336553396</v>
      </c>
      <c r="AC48">
        <f t="shared" si="9"/>
        <v>64715.389856424219</v>
      </c>
      <c r="AD48">
        <f t="shared" si="10"/>
        <v>22066.933480129177</v>
      </c>
      <c r="AE48">
        <f t="shared" si="11"/>
        <v>0</v>
      </c>
      <c r="AF48">
        <f t="shared" si="12"/>
        <v>9114223.3991915267</v>
      </c>
      <c r="AG48">
        <v>47</v>
      </c>
      <c r="AH48">
        <f t="shared" si="20"/>
        <v>8181554.7432985101</v>
      </c>
      <c r="AI48">
        <f>IF(AG48&gt;='Loan Prepayment'!$E$11,'Loan Prepayment'!$E$12,'Loan Prepayment'!$B$6)</f>
        <v>8.5</v>
      </c>
      <c r="AJ48">
        <f>IF(AH48&lt;=0,0,MIN(IF(AG48='Loan Prepayment'!$E$11,IF('Loan Prepayment'!$E$13="Keep tenure, recalculate EMI",-PMT(AI48/1200,MAX(1,'Loan Prepayment'!$B$7*12-AG48+1),AH48),AJ47),IF(AND('Loan Prepayment'!$E$15="Reduce EMI",AM47&gt;0),-PMT(AI48/1200,MAX(1,'Loan Prepayment'!$B$7*12-AG48+1),AH48),AJ47)),AH48+AK48))</f>
        <v>77713.634667410894</v>
      </c>
      <c r="AK48">
        <f t="shared" si="13"/>
        <v>57952.679431697776</v>
      </c>
      <c r="AL48">
        <f t="shared" si="14"/>
        <v>19760.955235713118</v>
      </c>
      <c r="AM48">
        <f>IF(AH48&lt;=0,0,MIN(MAX(0,AH48-AL48),SUMIFS('Loan Prepayment'!$B$12:$B$16,'Loan Prepayment'!$A$12:$A$16,AG48)+IF(AND(AG48&gt;='Loan Prepayment'!$B$9,AG48&lt;='Loan Prepayment'!$E$16),'Loan Prepayment'!$B$8,0)))</f>
        <v>0</v>
      </c>
      <c r="AN48">
        <f t="shared" si="15"/>
        <v>8161793.7880627969</v>
      </c>
    </row>
    <row r="49" spans="1:40" x14ac:dyDescent="0.35">
      <c r="A49">
        <v>48</v>
      </c>
      <c r="B49">
        <f t="shared" si="16"/>
        <v>9114223.3991915267</v>
      </c>
      <c r="C49" s="78">
        <f>'Loan Prepayment'!$B$6</f>
        <v>8.5</v>
      </c>
      <c r="D49">
        <f>IF(B49&lt;=0,0,MIN(-PMT('Loan Prepayment'!$B$6/1200,'Loan Prepayment'!$B$7*12,'Loan Prepayment'!$B$5),B49+E49))</f>
        <v>86782.323336553396</v>
      </c>
      <c r="E49">
        <f t="shared" si="0"/>
        <v>64559.082410939984</v>
      </c>
      <c r="F49">
        <f t="shared" si="1"/>
        <v>22223.240925613412</v>
      </c>
      <c r="G49">
        <v>0</v>
      </c>
      <c r="H49">
        <f t="shared" si="2"/>
        <v>9092000.1582659129</v>
      </c>
      <c r="I49">
        <v>48</v>
      </c>
      <c r="J49">
        <f t="shared" si="17"/>
        <v>8161793.7880627969</v>
      </c>
      <c r="K49" s="78">
        <f>'Loan Prepayment'!$B$6</f>
        <v>8.5</v>
      </c>
      <c r="L49">
        <f>IF(J49&lt;=0,0,MIN(IF(AND('Loan Prepayment'!$E$15="Reduce EMI",O48&gt;0),-PMT(K49/1200,MAX(1,'Loan Prepayment'!$B$7*12-I49+1),J49),L48),J49+M49))</f>
        <v>77713.634667410894</v>
      </c>
      <c r="M49">
        <f t="shared" si="3"/>
        <v>57812.705998778147</v>
      </c>
      <c r="N49">
        <f t="shared" si="4"/>
        <v>19900.928668632747</v>
      </c>
      <c r="O49">
        <f>IF(J49&lt;=0,0,MIN(MAX(0,J49-N49),SUMIFS('Loan Prepayment'!$B$12:$B$16,'Loan Prepayment'!$A$12:$A$16,I49)+0))</f>
        <v>0</v>
      </c>
      <c r="P49">
        <f t="shared" si="5"/>
        <v>8141892.8593941638</v>
      </c>
      <c r="Q49">
        <v>48</v>
      </c>
      <c r="R49">
        <f t="shared" si="18"/>
        <v>9114223.3991915267</v>
      </c>
      <c r="S49" s="78">
        <f>'Loan Prepayment'!$B$6</f>
        <v>8.5</v>
      </c>
      <c r="T49">
        <f>IF(R49&lt;=0,0,MIN(IF(AND('Loan Prepayment'!$E$15="Reduce EMI",W48&gt;0),-PMT(S49/1200,MAX(1,'Loan Prepayment'!$B$7*12-Q49+1),R49),T48),R49+U49))</f>
        <v>86782.323336553396</v>
      </c>
      <c r="U49">
        <f t="shared" si="6"/>
        <v>64559.082410939984</v>
      </c>
      <c r="V49">
        <f t="shared" si="7"/>
        <v>22223.240925613412</v>
      </c>
      <c r="W49">
        <f>IF(R49&lt;=0,0,MIN(MAX(0,R49-V49),0+IF(AND(Q49&gt;='Loan Prepayment'!$B$9,Q49&lt;='Loan Prepayment'!$E$16),'Loan Prepayment'!$B$8,0)))</f>
        <v>0</v>
      </c>
      <c r="X49">
        <f t="shared" si="8"/>
        <v>9092000.1582659129</v>
      </c>
      <c r="Y49">
        <v>48</v>
      </c>
      <c r="Z49">
        <f t="shared" si="19"/>
        <v>9114223.3991915267</v>
      </c>
      <c r="AA49">
        <f>IF(Y49&gt;='Loan Prepayment'!$E$11,'Loan Prepayment'!$E$12,'Loan Prepayment'!$B$6)</f>
        <v>8.5</v>
      </c>
      <c r="AB49">
        <f>IF(Z49&lt;=0,0,MIN(IF(Y49='Loan Prepayment'!$E$11,IF('Loan Prepayment'!$E$13="Keep tenure, recalculate EMI",-PMT(AA49/1200,MAX(1,'Loan Prepayment'!$B$7*12-Y49+1),Z49),AB48),AB48),Z49+AC49))</f>
        <v>86782.323336553396</v>
      </c>
      <c r="AC49">
        <f t="shared" si="9"/>
        <v>64559.082410939984</v>
      </c>
      <c r="AD49">
        <f t="shared" si="10"/>
        <v>22223.240925613412</v>
      </c>
      <c r="AE49">
        <f t="shared" si="11"/>
        <v>0</v>
      </c>
      <c r="AF49">
        <f t="shared" si="12"/>
        <v>9092000.1582659129</v>
      </c>
      <c r="AG49">
        <v>48</v>
      </c>
      <c r="AH49">
        <f t="shared" si="20"/>
        <v>8161793.7880627969</v>
      </c>
      <c r="AI49">
        <f>IF(AG49&gt;='Loan Prepayment'!$E$11,'Loan Prepayment'!$E$12,'Loan Prepayment'!$B$6)</f>
        <v>8.5</v>
      </c>
      <c r="AJ49">
        <f>IF(AH49&lt;=0,0,MIN(IF(AG49='Loan Prepayment'!$E$11,IF('Loan Prepayment'!$E$13="Keep tenure, recalculate EMI",-PMT(AI49/1200,MAX(1,'Loan Prepayment'!$B$7*12-AG49+1),AH49),AJ48),IF(AND('Loan Prepayment'!$E$15="Reduce EMI",AM48&gt;0),-PMT(AI49/1200,MAX(1,'Loan Prepayment'!$B$7*12-AG49+1),AH49),AJ48)),AH49+AK49))</f>
        <v>77713.634667410894</v>
      </c>
      <c r="AK49">
        <f t="shared" si="13"/>
        <v>57812.705998778147</v>
      </c>
      <c r="AL49">
        <f t="shared" si="14"/>
        <v>19900.928668632747</v>
      </c>
      <c r="AM49">
        <f>IF(AH49&lt;=0,0,MIN(MAX(0,AH49-AL49),SUMIFS('Loan Prepayment'!$B$12:$B$16,'Loan Prepayment'!$A$12:$A$16,AG49)+IF(AND(AG49&gt;='Loan Prepayment'!$B$9,AG49&lt;='Loan Prepayment'!$E$16),'Loan Prepayment'!$B$8,0)))</f>
        <v>0</v>
      </c>
      <c r="AN49">
        <f t="shared" si="15"/>
        <v>8141892.8593941638</v>
      </c>
    </row>
    <row r="50" spans="1:40" x14ac:dyDescent="0.35">
      <c r="A50">
        <v>49</v>
      </c>
      <c r="B50">
        <f t="shared" si="16"/>
        <v>9092000.1582659129</v>
      </c>
      <c r="C50" s="78">
        <f>'Loan Prepayment'!$B$6</f>
        <v>8.5</v>
      </c>
      <c r="D50">
        <f>IF(B50&lt;=0,0,MIN(-PMT('Loan Prepayment'!$B$6/1200,'Loan Prepayment'!$B$7*12,'Loan Prepayment'!$B$5),B50+E50))</f>
        <v>86782.323336553396</v>
      </c>
      <c r="E50">
        <f t="shared" si="0"/>
        <v>64401.667787716884</v>
      </c>
      <c r="F50">
        <f t="shared" si="1"/>
        <v>22380.655548836512</v>
      </c>
      <c r="G50">
        <v>0</v>
      </c>
      <c r="H50">
        <f t="shared" si="2"/>
        <v>9069619.5027170759</v>
      </c>
      <c r="I50">
        <v>49</v>
      </c>
      <c r="J50">
        <f t="shared" si="17"/>
        <v>8141892.8593941638</v>
      </c>
      <c r="K50" s="78">
        <f>'Loan Prepayment'!$B$6</f>
        <v>8.5</v>
      </c>
      <c r="L50">
        <f>IF(J50&lt;=0,0,MIN(IF(AND('Loan Prepayment'!$E$15="Reduce EMI",O49&gt;0),-PMT(K50/1200,MAX(1,'Loan Prepayment'!$B$7*12-I50+1),J50),L49),J50+M50))</f>
        <v>77713.634667410894</v>
      </c>
      <c r="M50">
        <f t="shared" si="3"/>
        <v>57671.741087375332</v>
      </c>
      <c r="N50">
        <f t="shared" si="4"/>
        <v>20041.893580035561</v>
      </c>
      <c r="O50">
        <f>IF(J50&lt;=0,0,MIN(MAX(0,J50-N50),SUMIFS('Loan Prepayment'!$B$12:$B$16,'Loan Prepayment'!$A$12:$A$16,I50)+0))</f>
        <v>0</v>
      </c>
      <c r="P50">
        <f t="shared" si="5"/>
        <v>8121850.9658141285</v>
      </c>
      <c r="Q50">
        <v>49</v>
      </c>
      <c r="R50">
        <f t="shared" si="18"/>
        <v>9092000.1582659129</v>
      </c>
      <c r="S50" s="78">
        <f>'Loan Prepayment'!$B$6</f>
        <v>8.5</v>
      </c>
      <c r="T50">
        <f>IF(R50&lt;=0,0,MIN(IF(AND('Loan Prepayment'!$E$15="Reduce EMI",W49&gt;0),-PMT(S50/1200,MAX(1,'Loan Prepayment'!$B$7*12-Q50+1),R50),T49),R50+U50))</f>
        <v>86782.323336553396</v>
      </c>
      <c r="U50">
        <f t="shared" si="6"/>
        <v>64401.667787716884</v>
      </c>
      <c r="V50">
        <f t="shared" si="7"/>
        <v>22380.655548836512</v>
      </c>
      <c r="W50">
        <f>IF(R50&lt;=0,0,MIN(MAX(0,R50-V50),0+IF(AND(Q50&gt;='Loan Prepayment'!$B$9,Q50&lt;='Loan Prepayment'!$E$16),'Loan Prepayment'!$B$8,0)))</f>
        <v>0</v>
      </c>
      <c r="X50">
        <f t="shared" si="8"/>
        <v>9069619.5027170759</v>
      </c>
      <c r="Y50">
        <v>49</v>
      </c>
      <c r="Z50">
        <f t="shared" si="19"/>
        <v>9092000.1582659129</v>
      </c>
      <c r="AA50">
        <f>IF(Y50&gt;='Loan Prepayment'!$E$11,'Loan Prepayment'!$E$12,'Loan Prepayment'!$B$6)</f>
        <v>8.5</v>
      </c>
      <c r="AB50">
        <f>IF(Z50&lt;=0,0,MIN(IF(Y50='Loan Prepayment'!$E$11,IF('Loan Prepayment'!$E$13="Keep tenure, recalculate EMI",-PMT(AA50/1200,MAX(1,'Loan Prepayment'!$B$7*12-Y50+1),Z50),AB49),AB49),Z50+AC50))</f>
        <v>86782.323336553396</v>
      </c>
      <c r="AC50">
        <f t="shared" si="9"/>
        <v>64401.667787716884</v>
      </c>
      <c r="AD50">
        <f t="shared" si="10"/>
        <v>22380.655548836512</v>
      </c>
      <c r="AE50">
        <f t="shared" si="11"/>
        <v>0</v>
      </c>
      <c r="AF50">
        <f t="shared" si="12"/>
        <v>9069619.5027170759</v>
      </c>
      <c r="AG50">
        <v>49</v>
      </c>
      <c r="AH50">
        <f t="shared" si="20"/>
        <v>8141892.8593941638</v>
      </c>
      <c r="AI50">
        <f>IF(AG50&gt;='Loan Prepayment'!$E$11,'Loan Prepayment'!$E$12,'Loan Prepayment'!$B$6)</f>
        <v>8.5</v>
      </c>
      <c r="AJ50">
        <f>IF(AH50&lt;=0,0,MIN(IF(AG50='Loan Prepayment'!$E$11,IF('Loan Prepayment'!$E$13="Keep tenure, recalculate EMI",-PMT(AI50/1200,MAX(1,'Loan Prepayment'!$B$7*12-AG50+1),AH50),AJ49),IF(AND('Loan Prepayment'!$E$15="Reduce EMI",AM49&gt;0),-PMT(AI50/1200,MAX(1,'Loan Prepayment'!$B$7*12-AG50+1),AH50),AJ49)),AH50+AK50))</f>
        <v>77713.634667410894</v>
      </c>
      <c r="AK50">
        <f t="shared" si="13"/>
        <v>57671.741087375332</v>
      </c>
      <c r="AL50">
        <f t="shared" si="14"/>
        <v>20041.893580035561</v>
      </c>
      <c r="AM50">
        <f>IF(AH50&lt;=0,0,MIN(MAX(0,AH50-AL50),SUMIFS('Loan Prepayment'!$B$12:$B$16,'Loan Prepayment'!$A$12:$A$16,AG50)+IF(AND(AG50&gt;='Loan Prepayment'!$B$9,AG50&lt;='Loan Prepayment'!$E$16),'Loan Prepayment'!$B$8,0)))</f>
        <v>0</v>
      </c>
      <c r="AN50">
        <f t="shared" si="15"/>
        <v>8121850.9658141285</v>
      </c>
    </row>
    <row r="51" spans="1:40" x14ac:dyDescent="0.35">
      <c r="A51">
        <v>50</v>
      </c>
      <c r="B51">
        <f t="shared" si="16"/>
        <v>9069619.5027170759</v>
      </c>
      <c r="C51" s="78">
        <f>'Loan Prepayment'!$B$6</f>
        <v>8.5</v>
      </c>
      <c r="D51">
        <f>IF(B51&lt;=0,0,MIN(-PMT('Loan Prepayment'!$B$6/1200,'Loan Prepayment'!$B$7*12,'Loan Prepayment'!$B$5),B51+E51))</f>
        <v>86782.323336553396</v>
      </c>
      <c r="E51">
        <f t="shared" si="0"/>
        <v>64243.138144245953</v>
      </c>
      <c r="F51">
        <f t="shared" si="1"/>
        <v>22539.185192307443</v>
      </c>
      <c r="G51">
        <v>0</v>
      </c>
      <c r="H51">
        <f t="shared" si="2"/>
        <v>9047080.3175247684</v>
      </c>
      <c r="I51">
        <v>50</v>
      </c>
      <c r="J51">
        <f t="shared" si="17"/>
        <v>8121850.9658141285</v>
      </c>
      <c r="K51" s="78">
        <f>'Loan Prepayment'!$B$6</f>
        <v>8.5</v>
      </c>
      <c r="L51">
        <f>IF(J51&lt;=0,0,MIN(IF(AND('Loan Prepayment'!$E$15="Reduce EMI",O50&gt;0),-PMT(K51/1200,MAX(1,'Loan Prepayment'!$B$7*12-I51+1),J51),L50),J51+M51))</f>
        <v>77713.634667410894</v>
      </c>
      <c r="M51">
        <f t="shared" si="3"/>
        <v>57529.777674516736</v>
      </c>
      <c r="N51">
        <f t="shared" si="4"/>
        <v>20183.856992894158</v>
      </c>
      <c r="O51">
        <f>IF(J51&lt;=0,0,MIN(MAX(0,J51-N51),SUMIFS('Loan Prepayment'!$B$12:$B$16,'Loan Prepayment'!$A$12:$A$16,I51)+0))</f>
        <v>0</v>
      </c>
      <c r="P51">
        <f t="shared" si="5"/>
        <v>8101667.1088212347</v>
      </c>
      <c r="Q51">
        <v>50</v>
      </c>
      <c r="R51">
        <f t="shared" si="18"/>
        <v>9069619.5027170759</v>
      </c>
      <c r="S51" s="78">
        <f>'Loan Prepayment'!$B$6</f>
        <v>8.5</v>
      </c>
      <c r="T51">
        <f>IF(R51&lt;=0,0,MIN(IF(AND('Loan Prepayment'!$E$15="Reduce EMI",W50&gt;0),-PMT(S51/1200,MAX(1,'Loan Prepayment'!$B$7*12-Q51+1),R51),T50),R51+U51))</f>
        <v>86782.323336553396</v>
      </c>
      <c r="U51">
        <f t="shared" si="6"/>
        <v>64243.138144245953</v>
      </c>
      <c r="V51">
        <f t="shared" si="7"/>
        <v>22539.185192307443</v>
      </c>
      <c r="W51">
        <f>IF(R51&lt;=0,0,MIN(MAX(0,R51-V51),0+IF(AND(Q51&gt;='Loan Prepayment'!$B$9,Q51&lt;='Loan Prepayment'!$E$16),'Loan Prepayment'!$B$8,0)))</f>
        <v>0</v>
      </c>
      <c r="X51">
        <f t="shared" si="8"/>
        <v>9047080.3175247684</v>
      </c>
      <c r="Y51">
        <v>50</v>
      </c>
      <c r="Z51">
        <f t="shared" si="19"/>
        <v>9069619.5027170759</v>
      </c>
      <c r="AA51">
        <f>IF(Y51&gt;='Loan Prepayment'!$E$11,'Loan Prepayment'!$E$12,'Loan Prepayment'!$B$6)</f>
        <v>8.5</v>
      </c>
      <c r="AB51">
        <f>IF(Z51&lt;=0,0,MIN(IF(Y51='Loan Prepayment'!$E$11,IF('Loan Prepayment'!$E$13="Keep tenure, recalculate EMI",-PMT(AA51/1200,MAX(1,'Loan Prepayment'!$B$7*12-Y51+1),Z51),AB50),AB50),Z51+AC51))</f>
        <v>86782.323336553396</v>
      </c>
      <c r="AC51">
        <f t="shared" si="9"/>
        <v>64243.138144245953</v>
      </c>
      <c r="AD51">
        <f t="shared" si="10"/>
        <v>22539.185192307443</v>
      </c>
      <c r="AE51">
        <f t="shared" si="11"/>
        <v>0</v>
      </c>
      <c r="AF51">
        <f t="shared" si="12"/>
        <v>9047080.3175247684</v>
      </c>
      <c r="AG51">
        <v>50</v>
      </c>
      <c r="AH51">
        <f t="shared" si="20"/>
        <v>8121850.9658141285</v>
      </c>
      <c r="AI51">
        <f>IF(AG51&gt;='Loan Prepayment'!$E$11,'Loan Prepayment'!$E$12,'Loan Prepayment'!$B$6)</f>
        <v>8.5</v>
      </c>
      <c r="AJ51">
        <f>IF(AH51&lt;=0,0,MIN(IF(AG51='Loan Prepayment'!$E$11,IF('Loan Prepayment'!$E$13="Keep tenure, recalculate EMI",-PMT(AI51/1200,MAX(1,'Loan Prepayment'!$B$7*12-AG51+1),AH51),AJ50),IF(AND('Loan Prepayment'!$E$15="Reduce EMI",AM50&gt;0),-PMT(AI51/1200,MAX(1,'Loan Prepayment'!$B$7*12-AG51+1),AH51),AJ50)),AH51+AK51))</f>
        <v>77713.634667410894</v>
      </c>
      <c r="AK51">
        <f t="shared" si="13"/>
        <v>57529.777674516736</v>
      </c>
      <c r="AL51">
        <f t="shared" si="14"/>
        <v>20183.856992894158</v>
      </c>
      <c r="AM51">
        <f>IF(AH51&lt;=0,0,MIN(MAX(0,AH51-AL51),SUMIFS('Loan Prepayment'!$B$12:$B$16,'Loan Prepayment'!$A$12:$A$16,AG51)+IF(AND(AG51&gt;='Loan Prepayment'!$B$9,AG51&lt;='Loan Prepayment'!$E$16),'Loan Prepayment'!$B$8,0)))</f>
        <v>0</v>
      </c>
      <c r="AN51">
        <f t="shared" si="15"/>
        <v>8101667.1088212347</v>
      </c>
    </row>
    <row r="52" spans="1:40" x14ac:dyDescent="0.35">
      <c r="A52">
        <v>51</v>
      </c>
      <c r="B52">
        <f t="shared" si="16"/>
        <v>9047080.3175247684</v>
      </c>
      <c r="C52" s="78">
        <f>'Loan Prepayment'!$B$6</f>
        <v>8.5</v>
      </c>
      <c r="D52">
        <f>IF(B52&lt;=0,0,MIN(-PMT('Loan Prepayment'!$B$6/1200,'Loan Prepayment'!$B$7*12,'Loan Prepayment'!$B$5),B52+E52))</f>
        <v>86782.323336553396</v>
      </c>
      <c r="E52">
        <f t="shared" si="0"/>
        <v>64083.485582467103</v>
      </c>
      <c r="F52">
        <f t="shared" si="1"/>
        <v>22698.837754086293</v>
      </c>
      <c r="G52">
        <v>0</v>
      </c>
      <c r="H52">
        <f t="shared" si="2"/>
        <v>9024381.4797706828</v>
      </c>
      <c r="I52">
        <v>51</v>
      </c>
      <c r="J52">
        <f t="shared" si="17"/>
        <v>8101667.1088212347</v>
      </c>
      <c r="K52" s="78">
        <f>'Loan Prepayment'!$B$6</f>
        <v>8.5</v>
      </c>
      <c r="L52">
        <f>IF(J52&lt;=0,0,MIN(IF(AND('Loan Prepayment'!$E$15="Reduce EMI",O51&gt;0),-PMT(K52/1200,MAX(1,'Loan Prepayment'!$B$7*12-I52+1),J52),L51),J52+M52))</f>
        <v>77713.634667410894</v>
      </c>
      <c r="M52">
        <f t="shared" si="3"/>
        <v>57386.808687483746</v>
      </c>
      <c r="N52">
        <f t="shared" si="4"/>
        <v>20326.825979927147</v>
      </c>
      <c r="O52">
        <f>IF(J52&lt;=0,0,MIN(MAX(0,J52-N52),SUMIFS('Loan Prepayment'!$B$12:$B$16,'Loan Prepayment'!$A$12:$A$16,I52)+0))</f>
        <v>0</v>
      </c>
      <c r="P52">
        <f t="shared" si="5"/>
        <v>8081340.2828413071</v>
      </c>
      <c r="Q52">
        <v>51</v>
      </c>
      <c r="R52">
        <f t="shared" si="18"/>
        <v>9047080.3175247684</v>
      </c>
      <c r="S52" s="78">
        <f>'Loan Prepayment'!$B$6</f>
        <v>8.5</v>
      </c>
      <c r="T52">
        <f>IF(R52&lt;=0,0,MIN(IF(AND('Loan Prepayment'!$E$15="Reduce EMI",W51&gt;0),-PMT(S52/1200,MAX(1,'Loan Prepayment'!$B$7*12-Q52+1),R52),T51),R52+U52))</f>
        <v>86782.323336553396</v>
      </c>
      <c r="U52">
        <f t="shared" si="6"/>
        <v>64083.485582467103</v>
      </c>
      <c r="V52">
        <f t="shared" si="7"/>
        <v>22698.837754086293</v>
      </c>
      <c r="W52">
        <f>IF(R52&lt;=0,0,MIN(MAX(0,R52-V52),0+IF(AND(Q52&gt;='Loan Prepayment'!$B$9,Q52&lt;='Loan Prepayment'!$E$16),'Loan Prepayment'!$B$8,0)))</f>
        <v>0</v>
      </c>
      <c r="X52">
        <f t="shared" si="8"/>
        <v>9024381.4797706828</v>
      </c>
      <c r="Y52">
        <v>51</v>
      </c>
      <c r="Z52">
        <f t="shared" si="19"/>
        <v>9047080.3175247684</v>
      </c>
      <c r="AA52">
        <f>IF(Y52&gt;='Loan Prepayment'!$E$11,'Loan Prepayment'!$E$12,'Loan Prepayment'!$B$6)</f>
        <v>8.5</v>
      </c>
      <c r="AB52">
        <f>IF(Z52&lt;=0,0,MIN(IF(Y52='Loan Prepayment'!$E$11,IF('Loan Prepayment'!$E$13="Keep tenure, recalculate EMI",-PMT(AA52/1200,MAX(1,'Loan Prepayment'!$B$7*12-Y52+1),Z52),AB51),AB51),Z52+AC52))</f>
        <v>86782.323336553396</v>
      </c>
      <c r="AC52">
        <f t="shared" si="9"/>
        <v>64083.485582467103</v>
      </c>
      <c r="AD52">
        <f t="shared" si="10"/>
        <v>22698.837754086293</v>
      </c>
      <c r="AE52">
        <f t="shared" si="11"/>
        <v>0</v>
      </c>
      <c r="AF52">
        <f t="shared" si="12"/>
        <v>9024381.4797706828</v>
      </c>
      <c r="AG52">
        <v>51</v>
      </c>
      <c r="AH52">
        <f t="shared" si="20"/>
        <v>8101667.1088212347</v>
      </c>
      <c r="AI52">
        <f>IF(AG52&gt;='Loan Prepayment'!$E$11,'Loan Prepayment'!$E$12,'Loan Prepayment'!$B$6)</f>
        <v>8.5</v>
      </c>
      <c r="AJ52">
        <f>IF(AH52&lt;=0,0,MIN(IF(AG52='Loan Prepayment'!$E$11,IF('Loan Prepayment'!$E$13="Keep tenure, recalculate EMI",-PMT(AI52/1200,MAX(1,'Loan Prepayment'!$B$7*12-AG52+1),AH52),AJ51),IF(AND('Loan Prepayment'!$E$15="Reduce EMI",AM51&gt;0),-PMT(AI52/1200,MAX(1,'Loan Prepayment'!$B$7*12-AG52+1),AH52),AJ51)),AH52+AK52))</f>
        <v>77713.634667410894</v>
      </c>
      <c r="AK52">
        <f t="shared" si="13"/>
        <v>57386.808687483746</v>
      </c>
      <c r="AL52">
        <f t="shared" si="14"/>
        <v>20326.825979927147</v>
      </c>
      <c r="AM52">
        <f>IF(AH52&lt;=0,0,MIN(MAX(0,AH52-AL52),SUMIFS('Loan Prepayment'!$B$12:$B$16,'Loan Prepayment'!$A$12:$A$16,AG52)+IF(AND(AG52&gt;='Loan Prepayment'!$B$9,AG52&lt;='Loan Prepayment'!$E$16),'Loan Prepayment'!$B$8,0)))</f>
        <v>0</v>
      </c>
      <c r="AN52">
        <f t="shared" si="15"/>
        <v>8081340.2828413071</v>
      </c>
    </row>
    <row r="53" spans="1:40" x14ac:dyDescent="0.35">
      <c r="A53">
        <v>52</v>
      </c>
      <c r="B53">
        <f t="shared" si="16"/>
        <v>9024381.4797706828</v>
      </c>
      <c r="C53" s="78">
        <f>'Loan Prepayment'!$B$6</f>
        <v>8.5</v>
      </c>
      <c r="D53">
        <f>IF(B53&lt;=0,0,MIN(-PMT('Loan Prepayment'!$B$6/1200,'Loan Prepayment'!$B$7*12,'Loan Prepayment'!$B$5),B53+E53))</f>
        <v>86782.323336553396</v>
      </c>
      <c r="E53">
        <f t="shared" si="0"/>
        <v>63922.702148375676</v>
      </c>
      <c r="F53">
        <f t="shared" si="1"/>
        <v>22859.62118817772</v>
      </c>
      <c r="G53">
        <v>0</v>
      </c>
      <c r="H53">
        <f t="shared" si="2"/>
        <v>9001521.858582506</v>
      </c>
      <c r="I53">
        <v>52</v>
      </c>
      <c r="J53">
        <f t="shared" si="17"/>
        <v>8081340.2828413071</v>
      </c>
      <c r="K53" s="78">
        <f>'Loan Prepayment'!$B$6</f>
        <v>8.5</v>
      </c>
      <c r="L53">
        <f>IF(J53&lt;=0,0,MIN(IF(AND('Loan Prepayment'!$E$15="Reduce EMI",O52&gt;0),-PMT(K53/1200,MAX(1,'Loan Prepayment'!$B$7*12-I53+1),J53),L52),J53+M53))</f>
        <v>77713.634667410894</v>
      </c>
      <c r="M53">
        <f t="shared" si="3"/>
        <v>57242.827003459257</v>
      </c>
      <c r="N53">
        <f t="shared" si="4"/>
        <v>20470.807663951637</v>
      </c>
      <c r="O53">
        <f>IF(J53&lt;=0,0,MIN(MAX(0,J53-N53),SUMIFS('Loan Prepayment'!$B$12:$B$16,'Loan Prepayment'!$A$12:$A$16,I53)+0))</f>
        <v>0</v>
      </c>
      <c r="P53">
        <f t="shared" si="5"/>
        <v>8060869.4751773551</v>
      </c>
      <c r="Q53">
        <v>52</v>
      </c>
      <c r="R53">
        <f t="shared" si="18"/>
        <v>9024381.4797706828</v>
      </c>
      <c r="S53" s="78">
        <f>'Loan Prepayment'!$B$6</f>
        <v>8.5</v>
      </c>
      <c r="T53">
        <f>IF(R53&lt;=0,0,MIN(IF(AND('Loan Prepayment'!$E$15="Reduce EMI",W52&gt;0),-PMT(S53/1200,MAX(1,'Loan Prepayment'!$B$7*12-Q53+1),R53),T52),R53+U53))</f>
        <v>86782.323336553396</v>
      </c>
      <c r="U53">
        <f t="shared" si="6"/>
        <v>63922.702148375676</v>
      </c>
      <c r="V53">
        <f t="shared" si="7"/>
        <v>22859.62118817772</v>
      </c>
      <c r="W53">
        <f>IF(R53&lt;=0,0,MIN(MAX(0,R53-V53),0+IF(AND(Q53&gt;='Loan Prepayment'!$B$9,Q53&lt;='Loan Prepayment'!$E$16),'Loan Prepayment'!$B$8,0)))</f>
        <v>0</v>
      </c>
      <c r="X53">
        <f t="shared" si="8"/>
        <v>9001521.858582506</v>
      </c>
      <c r="Y53">
        <v>52</v>
      </c>
      <c r="Z53">
        <f t="shared" si="19"/>
        <v>9024381.4797706828</v>
      </c>
      <c r="AA53">
        <f>IF(Y53&gt;='Loan Prepayment'!$E$11,'Loan Prepayment'!$E$12,'Loan Prepayment'!$B$6)</f>
        <v>8.5</v>
      </c>
      <c r="AB53">
        <f>IF(Z53&lt;=0,0,MIN(IF(Y53='Loan Prepayment'!$E$11,IF('Loan Prepayment'!$E$13="Keep tenure, recalculate EMI",-PMT(AA53/1200,MAX(1,'Loan Prepayment'!$B$7*12-Y53+1),Z53),AB52),AB52),Z53+AC53))</f>
        <v>86782.323336553396</v>
      </c>
      <c r="AC53">
        <f t="shared" si="9"/>
        <v>63922.702148375676</v>
      </c>
      <c r="AD53">
        <f t="shared" si="10"/>
        <v>22859.62118817772</v>
      </c>
      <c r="AE53">
        <f t="shared" si="11"/>
        <v>0</v>
      </c>
      <c r="AF53">
        <f t="shared" si="12"/>
        <v>9001521.858582506</v>
      </c>
      <c r="AG53">
        <v>52</v>
      </c>
      <c r="AH53">
        <f t="shared" si="20"/>
        <v>8081340.2828413071</v>
      </c>
      <c r="AI53">
        <f>IF(AG53&gt;='Loan Prepayment'!$E$11,'Loan Prepayment'!$E$12,'Loan Prepayment'!$B$6)</f>
        <v>8.5</v>
      </c>
      <c r="AJ53">
        <f>IF(AH53&lt;=0,0,MIN(IF(AG53='Loan Prepayment'!$E$11,IF('Loan Prepayment'!$E$13="Keep tenure, recalculate EMI",-PMT(AI53/1200,MAX(1,'Loan Prepayment'!$B$7*12-AG53+1),AH53),AJ52),IF(AND('Loan Prepayment'!$E$15="Reduce EMI",AM52&gt;0),-PMT(AI53/1200,MAX(1,'Loan Prepayment'!$B$7*12-AG53+1),AH53),AJ52)),AH53+AK53))</f>
        <v>77713.634667410894</v>
      </c>
      <c r="AK53">
        <f t="shared" si="13"/>
        <v>57242.827003459257</v>
      </c>
      <c r="AL53">
        <f t="shared" si="14"/>
        <v>20470.807663951637</v>
      </c>
      <c r="AM53">
        <f>IF(AH53&lt;=0,0,MIN(MAX(0,AH53-AL53),SUMIFS('Loan Prepayment'!$B$12:$B$16,'Loan Prepayment'!$A$12:$A$16,AG53)+IF(AND(AG53&gt;='Loan Prepayment'!$B$9,AG53&lt;='Loan Prepayment'!$E$16),'Loan Prepayment'!$B$8,0)))</f>
        <v>0</v>
      </c>
      <c r="AN53">
        <f t="shared" si="15"/>
        <v>8060869.4751773551</v>
      </c>
    </row>
    <row r="54" spans="1:40" x14ac:dyDescent="0.35">
      <c r="A54">
        <v>53</v>
      </c>
      <c r="B54">
        <f t="shared" si="16"/>
        <v>9001521.858582506</v>
      </c>
      <c r="C54" s="78">
        <f>'Loan Prepayment'!$B$6</f>
        <v>8.5</v>
      </c>
      <c r="D54">
        <f>IF(B54&lt;=0,0,MIN(-PMT('Loan Prepayment'!$B$6/1200,'Loan Prepayment'!$B$7*12,'Loan Prepayment'!$B$5),B54+E54))</f>
        <v>86782.323336553396</v>
      </c>
      <c r="E54">
        <f t="shared" si="0"/>
        <v>63760.779831626081</v>
      </c>
      <c r="F54">
        <f t="shared" si="1"/>
        <v>23021.543504927315</v>
      </c>
      <c r="G54">
        <v>0</v>
      </c>
      <c r="H54">
        <f t="shared" si="2"/>
        <v>8978500.3150775786</v>
      </c>
      <c r="I54">
        <v>53</v>
      </c>
      <c r="J54">
        <f t="shared" si="17"/>
        <v>8060869.4751773551</v>
      </c>
      <c r="K54" s="78">
        <f>'Loan Prepayment'!$B$6</f>
        <v>8.5</v>
      </c>
      <c r="L54">
        <f>IF(J54&lt;=0,0,MIN(IF(AND('Loan Prepayment'!$E$15="Reduce EMI",O53&gt;0),-PMT(K54/1200,MAX(1,'Loan Prepayment'!$B$7*12-I54+1),J54),L53),J54+M54))</f>
        <v>77713.634667410894</v>
      </c>
      <c r="M54">
        <f t="shared" si="3"/>
        <v>57097.825449172931</v>
      </c>
      <c r="N54">
        <f t="shared" si="4"/>
        <v>20615.809218237962</v>
      </c>
      <c r="O54">
        <f>IF(J54&lt;=0,0,MIN(MAX(0,J54-N54),SUMIFS('Loan Prepayment'!$B$12:$B$16,'Loan Prepayment'!$A$12:$A$16,I54)+0))</f>
        <v>0</v>
      </c>
      <c r="P54">
        <f t="shared" si="5"/>
        <v>8040253.665959117</v>
      </c>
      <c r="Q54">
        <v>53</v>
      </c>
      <c r="R54">
        <f t="shared" si="18"/>
        <v>9001521.858582506</v>
      </c>
      <c r="S54" s="78">
        <f>'Loan Prepayment'!$B$6</f>
        <v>8.5</v>
      </c>
      <c r="T54">
        <f>IF(R54&lt;=0,0,MIN(IF(AND('Loan Prepayment'!$E$15="Reduce EMI",W53&gt;0),-PMT(S54/1200,MAX(1,'Loan Prepayment'!$B$7*12-Q54+1),R54),T53),R54+U54))</f>
        <v>86782.323336553396</v>
      </c>
      <c r="U54">
        <f t="shared" si="6"/>
        <v>63760.779831626081</v>
      </c>
      <c r="V54">
        <f t="shared" si="7"/>
        <v>23021.543504927315</v>
      </c>
      <c r="W54">
        <f>IF(R54&lt;=0,0,MIN(MAX(0,R54-V54),0+IF(AND(Q54&gt;='Loan Prepayment'!$B$9,Q54&lt;='Loan Prepayment'!$E$16),'Loan Prepayment'!$B$8,0)))</f>
        <v>0</v>
      </c>
      <c r="X54">
        <f t="shared" si="8"/>
        <v>8978500.3150775786</v>
      </c>
      <c r="Y54">
        <v>53</v>
      </c>
      <c r="Z54">
        <f t="shared" si="19"/>
        <v>9001521.858582506</v>
      </c>
      <c r="AA54">
        <f>IF(Y54&gt;='Loan Prepayment'!$E$11,'Loan Prepayment'!$E$12,'Loan Prepayment'!$B$6)</f>
        <v>8.5</v>
      </c>
      <c r="AB54">
        <f>IF(Z54&lt;=0,0,MIN(IF(Y54='Loan Prepayment'!$E$11,IF('Loan Prepayment'!$E$13="Keep tenure, recalculate EMI",-PMT(AA54/1200,MAX(1,'Loan Prepayment'!$B$7*12-Y54+1),Z54),AB53),AB53),Z54+AC54))</f>
        <v>86782.323336553396</v>
      </c>
      <c r="AC54">
        <f t="shared" si="9"/>
        <v>63760.779831626081</v>
      </c>
      <c r="AD54">
        <f t="shared" si="10"/>
        <v>23021.543504927315</v>
      </c>
      <c r="AE54">
        <f t="shared" si="11"/>
        <v>0</v>
      </c>
      <c r="AF54">
        <f t="shared" si="12"/>
        <v>8978500.3150775786</v>
      </c>
      <c r="AG54">
        <v>53</v>
      </c>
      <c r="AH54">
        <f t="shared" si="20"/>
        <v>8060869.4751773551</v>
      </c>
      <c r="AI54">
        <f>IF(AG54&gt;='Loan Prepayment'!$E$11,'Loan Prepayment'!$E$12,'Loan Prepayment'!$B$6)</f>
        <v>8.5</v>
      </c>
      <c r="AJ54">
        <f>IF(AH54&lt;=0,0,MIN(IF(AG54='Loan Prepayment'!$E$11,IF('Loan Prepayment'!$E$13="Keep tenure, recalculate EMI",-PMT(AI54/1200,MAX(1,'Loan Prepayment'!$B$7*12-AG54+1),AH54),AJ53),IF(AND('Loan Prepayment'!$E$15="Reduce EMI",AM53&gt;0),-PMT(AI54/1200,MAX(1,'Loan Prepayment'!$B$7*12-AG54+1),AH54),AJ53)),AH54+AK54))</f>
        <v>77713.634667410894</v>
      </c>
      <c r="AK54">
        <f t="shared" si="13"/>
        <v>57097.825449172931</v>
      </c>
      <c r="AL54">
        <f t="shared" si="14"/>
        <v>20615.809218237962</v>
      </c>
      <c r="AM54">
        <f>IF(AH54&lt;=0,0,MIN(MAX(0,AH54-AL54),SUMIFS('Loan Prepayment'!$B$12:$B$16,'Loan Prepayment'!$A$12:$A$16,AG54)+IF(AND(AG54&gt;='Loan Prepayment'!$B$9,AG54&lt;='Loan Prepayment'!$E$16),'Loan Prepayment'!$B$8,0)))</f>
        <v>0</v>
      </c>
      <c r="AN54">
        <f t="shared" si="15"/>
        <v>8040253.665959117</v>
      </c>
    </row>
    <row r="55" spans="1:40" x14ac:dyDescent="0.35">
      <c r="A55">
        <v>54</v>
      </c>
      <c r="B55">
        <f t="shared" si="16"/>
        <v>8978500.3150775786</v>
      </c>
      <c r="C55" s="78">
        <f>'Loan Prepayment'!$B$6</f>
        <v>8.5</v>
      </c>
      <c r="D55">
        <f>IF(B55&lt;=0,0,MIN(-PMT('Loan Prepayment'!$B$6/1200,'Loan Prepayment'!$B$7*12,'Loan Prepayment'!$B$5),B55+E55))</f>
        <v>86782.323336553396</v>
      </c>
      <c r="E55">
        <f t="shared" si="0"/>
        <v>63597.710565132846</v>
      </c>
      <c r="F55">
        <f t="shared" si="1"/>
        <v>23184.61277142055</v>
      </c>
      <c r="G55">
        <v>0</v>
      </c>
      <c r="H55">
        <f t="shared" si="2"/>
        <v>8955315.7023061588</v>
      </c>
      <c r="I55">
        <v>54</v>
      </c>
      <c r="J55">
        <f t="shared" si="17"/>
        <v>8040253.665959117</v>
      </c>
      <c r="K55" s="78">
        <f>'Loan Prepayment'!$B$6</f>
        <v>8.5</v>
      </c>
      <c r="L55">
        <f>IF(J55&lt;=0,0,MIN(IF(AND('Loan Prepayment'!$E$15="Reduce EMI",O54&gt;0),-PMT(K55/1200,MAX(1,'Loan Prepayment'!$B$7*12-I55+1),J55),L54),J55+M55))</f>
        <v>77713.634667410894</v>
      </c>
      <c r="M55">
        <f t="shared" si="3"/>
        <v>56951.796800543743</v>
      </c>
      <c r="N55">
        <f t="shared" si="4"/>
        <v>20761.83786686715</v>
      </c>
      <c r="O55">
        <f>IF(J55&lt;=0,0,MIN(MAX(0,J55-N55),SUMIFS('Loan Prepayment'!$B$12:$B$16,'Loan Prepayment'!$A$12:$A$16,I55)+0))</f>
        <v>0</v>
      </c>
      <c r="P55">
        <f t="shared" si="5"/>
        <v>8019491.82809225</v>
      </c>
      <c r="Q55">
        <v>54</v>
      </c>
      <c r="R55">
        <f t="shared" si="18"/>
        <v>8978500.3150775786</v>
      </c>
      <c r="S55" s="78">
        <f>'Loan Prepayment'!$B$6</f>
        <v>8.5</v>
      </c>
      <c r="T55">
        <f>IF(R55&lt;=0,0,MIN(IF(AND('Loan Prepayment'!$E$15="Reduce EMI",W54&gt;0),-PMT(S55/1200,MAX(1,'Loan Prepayment'!$B$7*12-Q55+1),R55),T54),R55+U55))</f>
        <v>86782.323336553396</v>
      </c>
      <c r="U55">
        <f t="shared" si="6"/>
        <v>63597.710565132846</v>
      </c>
      <c r="V55">
        <f t="shared" si="7"/>
        <v>23184.61277142055</v>
      </c>
      <c r="W55">
        <f>IF(R55&lt;=0,0,MIN(MAX(0,R55-V55),0+IF(AND(Q55&gt;='Loan Prepayment'!$B$9,Q55&lt;='Loan Prepayment'!$E$16),'Loan Prepayment'!$B$8,0)))</f>
        <v>0</v>
      </c>
      <c r="X55">
        <f t="shared" si="8"/>
        <v>8955315.7023061588</v>
      </c>
      <c r="Y55">
        <v>54</v>
      </c>
      <c r="Z55">
        <f t="shared" si="19"/>
        <v>8978500.3150775786</v>
      </c>
      <c r="AA55">
        <f>IF(Y55&gt;='Loan Prepayment'!$E$11,'Loan Prepayment'!$E$12,'Loan Prepayment'!$B$6)</f>
        <v>8.5</v>
      </c>
      <c r="AB55">
        <f>IF(Z55&lt;=0,0,MIN(IF(Y55='Loan Prepayment'!$E$11,IF('Loan Prepayment'!$E$13="Keep tenure, recalculate EMI",-PMT(AA55/1200,MAX(1,'Loan Prepayment'!$B$7*12-Y55+1),Z55),AB54),AB54),Z55+AC55))</f>
        <v>86782.323336553396</v>
      </c>
      <c r="AC55">
        <f t="shared" si="9"/>
        <v>63597.710565132846</v>
      </c>
      <c r="AD55">
        <f t="shared" si="10"/>
        <v>23184.61277142055</v>
      </c>
      <c r="AE55">
        <f t="shared" si="11"/>
        <v>0</v>
      </c>
      <c r="AF55">
        <f t="shared" si="12"/>
        <v>8955315.7023061588</v>
      </c>
      <c r="AG55">
        <v>54</v>
      </c>
      <c r="AH55">
        <f t="shared" si="20"/>
        <v>8040253.665959117</v>
      </c>
      <c r="AI55">
        <f>IF(AG55&gt;='Loan Prepayment'!$E$11,'Loan Prepayment'!$E$12,'Loan Prepayment'!$B$6)</f>
        <v>8.5</v>
      </c>
      <c r="AJ55">
        <f>IF(AH55&lt;=0,0,MIN(IF(AG55='Loan Prepayment'!$E$11,IF('Loan Prepayment'!$E$13="Keep tenure, recalculate EMI",-PMT(AI55/1200,MAX(1,'Loan Prepayment'!$B$7*12-AG55+1),AH55),AJ54),IF(AND('Loan Prepayment'!$E$15="Reduce EMI",AM54&gt;0),-PMT(AI55/1200,MAX(1,'Loan Prepayment'!$B$7*12-AG55+1),AH55),AJ54)),AH55+AK55))</f>
        <v>77713.634667410894</v>
      </c>
      <c r="AK55">
        <f t="shared" si="13"/>
        <v>56951.796800543743</v>
      </c>
      <c r="AL55">
        <f t="shared" si="14"/>
        <v>20761.83786686715</v>
      </c>
      <c r="AM55">
        <f>IF(AH55&lt;=0,0,MIN(MAX(0,AH55-AL55),SUMIFS('Loan Prepayment'!$B$12:$B$16,'Loan Prepayment'!$A$12:$A$16,AG55)+IF(AND(AG55&gt;='Loan Prepayment'!$B$9,AG55&lt;='Loan Prepayment'!$E$16),'Loan Prepayment'!$B$8,0)))</f>
        <v>0</v>
      </c>
      <c r="AN55">
        <f t="shared" si="15"/>
        <v>8019491.82809225</v>
      </c>
    </row>
    <row r="56" spans="1:40" x14ac:dyDescent="0.35">
      <c r="A56">
        <v>55</v>
      </c>
      <c r="B56">
        <f t="shared" si="16"/>
        <v>8955315.7023061588</v>
      </c>
      <c r="C56" s="78">
        <f>'Loan Prepayment'!$B$6</f>
        <v>8.5</v>
      </c>
      <c r="D56">
        <f>IF(B56&lt;=0,0,MIN(-PMT('Loan Prepayment'!$B$6/1200,'Loan Prepayment'!$B$7*12,'Loan Prepayment'!$B$5),B56+E56))</f>
        <v>86782.323336553396</v>
      </c>
      <c r="E56">
        <f t="shared" si="0"/>
        <v>63433.486224668624</v>
      </c>
      <c r="F56">
        <f t="shared" si="1"/>
        <v>23348.837111884772</v>
      </c>
      <c r="G56">
        <v>0</v>
      </c>
      <c r="H56">
        <f t="shared" si="2"/>
        <v>8931966.8651942741</v>
      </c>
      <c r="I56">
        <v>55</v>
      </c>
      <c r="J56">
        <f t="shared" si="17"/>
        <v>8019491.82809225</v>
      </c>
      <c r="K56" s="78">
        <f>'Loan Prepayment'!$B$6</f>
        <v>8.5</v>
      </c>
      <c r="L56">
        <f>IF(J56&lt;=0,0,MIN(IF(AND('Loan Prepayment'!$E$15="Reduce EMI",O55&gt;0),-PMT(K56/1200,MAX(1,'Loan Prepayment'!$B$7*12-I56+1),J56),L55),J56+M56))</f>
        <v>77713.634667410894</v>
      </c>
      <c r="M56">
        <f t="shared" si="3"/>
        <v>56804.733782320109</v>
      </c>
      <c r="N56">
        <f t="shared" si="4"/>
        <v>20908.900885090785</v>
      </c>
      <c r="O56">
        <f>IF(J56&lt;=0,0,MIN(MAX(0,J56-N56),SUMIFS('Loan Prepayment'!$B$12:$B$16,'Loan Prepayment'!$A$12:$A$16,I56)+0))</f>
        <v>0</v>
      </c>
      <c r="P56">
        <f t="shared" si="5"/>
        <v>7998582.9272071589</v>
      </c>
      <c r="Q56">
        <v>55</v>
      </c>
      <c r="R56">
        <f t="shared" si="18"/>
        <v>8955315.7023061588</v>
      </c>
      <c r="S56" s="78">
        <f>'Loan Prepayment'!$B$6</f>
        <v>8.5</v>
      </c>
      <c r="T56">
        <f>IF(R56&lt;=0,0,MIN(IF(AND('Loan Prepayment'!$E$15="Reduce EMI",W55&gt;0),-PMT(S56/1200,MAX(1,'Loan Prepayment'!$B$7*12-Q56+1),R56),T55),R56+U56))</f>
        <v>86782.323336553396</v>
      </c>
      <c r="U56">
        <f t="shared" si="6"/>
        <v>63433.486224668624</v>
      </c>
      <c r="V56">
        <f t="shared" si="7"/>
        <v>23348.837111884772</v>
      </c>
      <c r="W56">
        <f>IF(R56&lt;=0,0,MIN(MAX(0,R56-V56),0+IF(AND(Q56&gt;='Loan Prepayment'!$B$9,Q56&lt;='Loan Prepayment'!$E$16),'Loan Prepayment'!$B$8,0)))</f>
        <v>0</v>
      </c>
      <c r="X56">
        <f t="shared" si="8"/>
        <v>8931966.8651942741</v>
      </c>
      <c r="Y56">
        <v>55</v>
      </c>
      <c r="Z56">
        <f t="shared" si="19"/>
        <v>8955315.7023061588</v>
      </c>
      <c r="AA56">
        <f>IF(Y56&gt;='Loan Prepayment'!$E$11,'Loan Prepayment'!$E$12,'Loan Prepayment'!$B$6)</f>
        <v>8.5</v>
      </c>
      <c r="AB56">
        <f>IF(Z56&lt;=0,0,MIN(IF(Y56='Loan Prepayment'!$E$11,IF('Loan Prepayment'!$E$13="Keep tenure, recalculate EMI",-PMT(AA56/1200,MAX(1,'Loan Prepayment'!$B$7*12-Y56+1),Z56),AB55),AB55),Z56+AC56))</f>
        <v>86782.323336553396</v>
      </c>
      <c r="AC56">
        <f t="shared" si="9"/>
        <v>63433.486224668624</v>
      </c>
      <c r="AD56">
        <f t="shared" si="10"/>
        <v>23348.837111884772</v>
      </c>
      <c r="AE56">
        <f t="shared" si="11"/>
        <v>0</v>
      </c>
      <c r="AF56">
        <f t="shared" si="12"/>
        <v>8931966.8651942741</v>
      </c>
      <c r="AG56">
        <v>55</v>
      </c>
      <c r="AH56">
        <f t="shared" si="20"/>
        <v>8019491.82809225</v>
      </c>
      <c r="AI56">
        <f>IF(AG56&gt;='Loan Prepayment'!$E$11,'Loan Prepayment'!$E$12,'Loan Prepayment'!$B$6)</f>
        <v>8.5</v>
      </c>
      <c r="AJ56">
        <f>IF(AH56&lt;=0,0,MIN(IF(AG56='Loan Prepayment'!$E$11,IF('Loan Prepayment'!$E$13="Keep tenure, recalculate EMI",-PMT(AI56/1200,MAX(1,'Loan Prepayment'!$B$7*12-AG56+1),AH56),AJ55),IF(AND('Loan Prepayment'!$E$15="Reduce EMI",AM55&gt;0),-PMT(AI56/1200,MAX(1,'Loan Prepayment'!$B$7*12-AG56+1),AH56),AJ55)),AH56+AK56))</f>
        <v>77713.634667410894</v>
      </c>
      <c r="AK56">
        <f t="shared" si="13"/>
        <v>56804.733782320109</v>
      </c>
      <c r="AL56">
        <f t="shared" si="14"/>
        <v>20908.900885090785</v>
      </c>
      <c r="AM56">
        <f>IF(AH56&lt;=0,0,MIN(MAX(0,AH56-AL56),SUMIFS('Loan Prepayment'!$B$12:$B$16,'Loan Prepayment'!$A$12:$A$16,AG56)+IF(AND(AG56&gt;='Loan Prepayment'!$B$9,AG56&lt;='Loan Prepayment'!$E$16),'Loan Prepayment'!$B$8,0)))</f>
        <v>0</v>
      </c>
      <c r="AN56">
        <f t="shared" si="15"/>
        <v>7998582.9272071589</v>
      </c>
    </row>
    <row r="57" spans="1:40" x14ac:dyDescent="0.35">
      <c r="A57">
        <v>56</v>
      </c>
      <c r="B57">
        <f t="shared" si="16"/>
        <v>8931966.8651942741</v>
      </c>
      <c r="C57" s="78">
        <f>'Loan Prepayment'!$B$6</f>
        <v>8.5</v>
      </c>
      <c r="D57">
        <f>IF(B57&lt;=0,0,MIN(-PMT('Loan Prepayment'!$B$6/1200,'Loan Prepayment'!$B$7*12,'Loan Prepayment'!$B$5),B57+E57))</f>
        <v>86782.323336553396</v>
      </c>
      <c r="E57">
        <f t="shared" si="0"/>
        <v>63268.098628459433</v>
      </c>
      <c r="F57">
        <f t="shared" si="1"/>
        <v>23514.224708093963</v>
      </c>
      <c r="G57">
        <v>0</v>
      </c>
      <c r="H57">
        <f t="shared" si="2"/>
        <v>8908452.6404861808</v>
      </c>
      <c r="I57">
        <v>56</v>
      </c>
      <c r="J57">
        <f t="shared" si="17"/>
        <v>7998582.9272071589</v>
      </c>
      <c r="K57" s="78">
        <f>'Loan Prepayment'!$B$6</f>
        <v>8.5</v>
      </c>
      <c r="L57">
        <f>IF(J57&lt;=0,0,MIN(IF(AND('Loan Prepayment'!$E$15="Reduce EMI",O56&gt;0),-PMT(K57/1200,MAX(1,'Loan Prepayment'!$B$7*12-I57+1),J57),L56),J57+M57))</f>
        <v>77713.634667410894</v>
      </c>
      <c r="M57">
        <f t="shared" si="3"/>
        <v>56656.629067717382</v>
      </c>
      <c r="N57">
        <f t="shared" si="4"/>
        <v>21057.005599693512</v>
      </c>
      <c r="O57">
        <f>IF(J57&lt;=0,0,MIN(MAX(0,J57-N57),SUMIFS('Loan Prepayment'!$B$12:$B$16,'Loan Prepayment'!$A$12:$A$16,I57)+0))</f>
        <v>0</v>
      </c>
      <c r="P57">
        <f t="shared" si="5"/>
        <v>7977525.9216074655</v>
      </c>
      <c r="Q57">
        <v>56</v>
      </c>
      <c r="R57">
        <f t="shared" si="18"/>
        <v>8931966.8651942741</v>
      </c>
      <c r="S57" s="78">
        <f>'Loan Prepayment'!$B$6</f>
        <v>8.5</v>
      </c>
      <c r="T57">
        <f>IF(R57&lt;=0,0,MIN(IF(AND('Loan Prepayment'!$E$15="Reduce EMI",W56&gt;0),-PMT(S57/1200,MAX(1,'Loan Prepayment'!$B$7*12-Q57+1),R57),T56),R57+U57))</f>
        <v>86782.323336553396</v>
      </c>
      <c r="U57">
        <f t="shared" si="6"/>
        <v>63268.098628459433</v>
      </c>
      <c r="V57">
        <f t="shared" si="7"/>
        <v>23514.224708093963</v>
      </c>
      <c r="W57">
        <f>IF(R57&lt;=0,0,MIN(MAX(0,R57-V57),0+IF(AND(Q57&gt;='Loan Prepayment'!$B$9,Q57&lt;='Loan Prepayment'!$E$16),'Loan Prepayment'!$B$8,0)))</f>
        <v>0</v>
      </c>
      <c r="X57">
        <f t="shared" si="8"/>
        <v>8908452.6404861808</v>
      </c>
      <c r="Y57">
        <v>56</v>
      </c>
      <c r="Z57">
        <f t="shared" si="19"/>
        <v>8931966.8651942741</v>
      </c>
      <c r="AA57">
        <f>IF(Y57&gt;='Loan Prepayment'!$E$11,'Loan Prepayment'!$E$12,'Loan Prepayment'!$B$6)</f>
        <v>8.5</v>
      </c>
      <c r="AB57">
        <f>IF(Z57&lt;=0,0,MIN(IF(Y57='Loan Prepayment'!$E$11,IF('Loan Prepayment'!$E$13="Keep tenure, recalculate EMI",-PMT(AA57/1200,MAX(1,'Loan Prepayment'!$B$7*12-Y57+1),Z57),AB56),AB56),Z57+AC57))</f>
        <v>86782.323336553396</v>
      </c>
      <c r="AC57">
        <f t="shared" si="9"/>
        <v>63268.098628459433</v>
      </c>
      <c r="AD57">
        <f t="shared" si="10"/>
        <v>23514.224708093963</v>
      </c>
      <c r="AE57">
        <f t="shared" si="11"/>
        <v>0</v>
      </c>
      <c r="AF57">
        <f t="shared" si="12"/>
        <v>8908452.6404861808</v>
      </c>
      <c r="AG57">
        <v>56</v>
      </c>
      <c r="AH57">
        <f t="shared" si="20"/>
        <v>7998582.9272071589</v>
      </c>
      <c r="AI57">
        <f>IF(AG57&gt;='Loan Prepayment'!$E$11,'Loan Prepayment'!$E$12,'Loan Prepayment'!$B$6)</f>
        <v>8.5</v>
      </c>
      <c r="AJ57">
        <f>IF(AH57&lt;=0,0,MIN(IF(AG57='Loan Prepayment'!$E$11,IF('Loan Prepayment'!$E$13="Keep tenure, recalculate EMI",-PMT(AI57/1200,MAX(1,'Loan Prepayment'!$B$7*12-AG57+1),AH57),AJ56),IF(AND('Loan Prepayment'!$E$15="Reduce EMI",AM56&gt;0),-PMT(AI57/1200,MAX(1,'Loan Prepayment'!$B$7*12-AG57+1),AH57),AJ56)),AH57+AK57))</f>
        <v>77713.634667410894</v>
      </c>
      <c r="AK57">
        <f t="shared" si="13"/>
        <v>56656.629067717382</v>
      </c>
      <c r="AL57">
        <f t="shared" si="14"/>
        <v>21057.005599693512</v>
      </c>
      <c r="AM57">
        <f>IF(AH57&lt;=0,0,MIN(MAX(0,AH57-AL57),SUMIFS('Loan Prepayment'!$B$12:$B$16,'Loan Prepayment'!$A$12:$A$16,AG57)+IF(AND(AG57&gt;='Loan Prepayment'!$B$9,AG57&lt;='Loan Prepayment'!$E$16),'Loan Prepayment'!$B$8,0)))</f>
        <v>0</v>
      </c>
      <c r="AN57">
        <f t="shared" si="15"/>
        <v>7977525.9216074655</v>
      </c>
    </row>
    <row r="58" spans="1:40" x14ac:dyDescent="0.35">
      <c r="A58">
        <v>57</v>
      </c>
      <c r="B58">
        <f t="shared" si="16"/>
        <v>8908452.6404861808</v>
      </c>
      <c r="C58" s="78">
        <f>'Loan Prepayment'!$B$6</f>
        <v>8.5</v>
      </c>
      <c r="D58">
        <f>IF(B58&lt;=0,0,MIN(-PMT('Loan Prepayment'!$B$6/1200,'Loan Prepayment'!$B$7*12,'Loan Prepayment'!$B$5),B58+E58))</f>
        <v>86782.323336553396</v>
      </c>
      <c r="E58">
        <f t="shared" si="0"/>
        <v>63101.539536777113</v>
      </c>
      <c r="F58">
        <f t="shared" si="1"/>
        <v>23680.783799776284</v>
      </c>
      <c r="G58">
        <v>0</v>
      </c>
      <c r="H58">
        <f t="shared" si="2"/>
        <v>8884771.856686404</v>
      </c>
      <c r="I58">
        <v>57</v>
      </c>
      <c r="J58">
        <f t="shared" si="17"/>
        <v>7977525.9216074655</v>
      </c>
      <c r="K58" s="78">
        <f>'Loan Prepayment'!$B$6</f>
        <v>8.5</v>
      </c>
      <c r="L58">
        <f>IF(J58&lt;=0,0,MIN(IF(AND('Loan Prepayment'!$E$15="Reduce EMI",O57&gt;0),-PMT(K58/1200,MAX(1,'Loan Prepayment'!$B$7*12-I58+1),J58),L57),J58+M58))</f>
        <v>77713.634667410894</v>
      </c>
      <c r="M58">
        <f t="shared" si="3"/>
        <v>56507.475278052887</v>
      </c>
      <c r="N58">
        <f t="shared" si="4"/>
        <v>21206.159389358007</v>
      </c>
      <c r="O58">
        <f>IF(J58&lt;=0,0,MIN(MAX(0,J58-N58),SUMIFS('Loan Prepayment'!$B$12:$B$16,'Loan Prepayment'!$A$12:$A$16,I58)+0))</f>
        <v>0</v>
      </c>
      <c r="P58">
        <f t="shared" si="5"/>
        <v>7956319.7622181075</v>
      </c>
      <c r="Q58">
        <v>57</v>
      </c>
      <c r="R58">
        <f t="shared" si="18"/>
        <v>8908452.6404861808</v>
      </c>
      <c r="S58" s="78">
        <f>'Loan Prepayment'!$B$6</f>
        <v>8.5</v>
      </c>
      <c r="T58">
        <f>IF(R58&lt;=0,0,MIN(IF(AND('Loan Prepayment'!$E$15="Reduce EMI",W57&gt;0),-PMT(S58/1200,MAX(1,'Loan Prepayment'!$B$7*12-Q58+1),R58),T57),R58+U58))</f>
        <v>86782.323336553396</v>
      </c>
      <c r="U58">
        <f t="shared" si="6"/>
        <v>63101.539536777113</v>
      </c>
      <c r="V58">
        <f t="shared" si="7"/>
        <v>23680.783799776284</v>
      </c>
      <c r="W58">
        <f>IF(R58&lt;=0,0,MIN(MAX(0,R58-V58),0+IF(AND(Q58&gt;='Loan Prepayment'!$B$9,Q58&lt;='Loan Prepayment'!$E$16),'Loan Prepayment'!$B$8,0)))</f>
        <v>0</v>
      </c>
      <c r="X58">
        <f t="shared" si="8"/>
        <v>8884771.856686404</v>
      </c>
      <c r="Y58">
        <v>57</v>
      </c>
      <c r="Z58">
        <f t="shared" si="19"/>
        <v>8908452.6404861808</v>
      </c>
      <c r="AA58">
        <f>IF(Y58&gt;='Loan Prepayment'!$E$11,'Loan Prepayment'!$E$12,'Loan Prepayment'!$B$6)</f>
        <v>8.5</v>
      </c>
      <c r="AB58">
        <f>IF(Z58&lt;=0,0,MIN(IF(Y58='Loan Prepayment'!$E$11,IF('Loan Prepayment'!$E$13="Keep tenure, recalculate EMI",-PMT(AA58/1200,MAX(1,'Loan Prepayment'!$B$7*12-Y58+1),Z58),AB57),AB57),Z58+AC58))</f>
        <v>86782.323336553396</v>
      </c>
      <c r="AC58">
        <f t="shared" si="9"/>
        <v>63101.539536777113</v>
      </c>
      <c r="AD58">
        <f t="shared" si="10"/>
        <v>23680.783799776284</v>
      </c>
      <c r="AE58">
        <f t="shared" si="11"/>
        <v>0</v>
      </c>
      <c r="AF58">
        <f t="shared" si="12"/>
        <v>8884771.856686404</v>
      </c>
      <c r="AG58">
        <v>57</v>
      </c>
      <c r="AH58">
        <f t="shared" si="20"/>
        <v>7977525.9216074655</v>
      </c>
      <c r="AI58">
        <f>IF(AG58&gt;='Loan Prepayment'!$E$11,'Loan Prepayment'!$E$12,'Loan Prepayment'!$B$6)</f>
        <v>8.5</v>
      </c>
      <c r="AJ58">
        <f>IF(AH58&lt;=0,0,MIN(IF(AG58='Loan Prepayment'!$E$11,IF('Loan Prepayment'!$E$13="Keep tenure, recalculate EMI",-PMT(AI58/1200,MAX(1,'Loan Prepayment'!$B$7*12-AG58+1),AH58),AJ57),IF(AND('Loan Prepayment'!$E$15="Reduce EMI",AM57&gt;0),-PMT(AI58/1200,MAX(1,'Loan Prepayment'!$B$7*12-AG58+1),AH58),AJ57)),AH58+AK58))</f>
        <v>77713.634667410894</v>
      </c>
      <c r="AK58">
        <f t="shared" si="13"/>
        <v>56507.475278052887</v>
      </c>
      <c r="AL58">
        <f t="shared" si="14"/>
        <v>21206.159389358007</v>
      </c>
      <c r="AM58">
        <f>IF(AH58&lt;=0,0,MIN(MAX(0,AH58-AL58),SUMIFS('Loan Prepayment'!$B$12:$B$16,'Loan Prepayment'!$A$12:$A$16,AG58)+IF(AND(AG58&gt;='Loan Prepayment'!$B$9,AG58&lt;='Loan Prepayment'!$E$16),'Loan Prepayment'!$B$8,0)))</f>
        <v>0</v>
      </c>
      <c r="AN58">
        <f t="shared" si="15"/>
        <v>7956319.7622181075</v>
      </c>
    </row>
    <row r="59" spans="1:40" x14ac:dyDescent="0.35">
      <c r="A59">
        <v>58</v>
      </c>
      <c r="B59">
        <f t="shared" si="16"/>
        <v>8884771.856686404</v>
      </c>
      <c r="C59" s="78">
        <f>'Loan Prepayment'!$B$6</f>
        <v>8.5</v>
      </c>
      <c r="D59">
        <f>IF(B59&lt;=0,0,MIN(-PMT('Loan Prepayment'!$B$6/1200,'Loan Prepayment'!$B$7*12,'Loan Prepayment'!$B$5),B59+E59))</f>
        <v>86782.323336553396</v>
      </c>
      <c r="E59">
        <f t="shared" si="0"/>
        <v>62933.800651528698</v>
      </c>
      <c r="F59">
        <f t="shared" si="1"/>
        <v>23848.522685024698</v>
      </c>
      <c r="G59">
        <v>0</v>
      </c>
      <c r="H59">
        <f t="shared" si="2"/>
        <v>8860923.3340013791</v>
      </c>
      <c r="I59">
        <v>58</v>
      </c>
      <c r="J59">
        <f t="shared" si="17"/>
        <v>7956319.7622181075</v>
      </c>
      <c r="K59" s="78">
        <f>'Loan Prepayment'!$B$6</f>
        <v>8.5</v>
      </c>
      <c r="L59">
        <f>IF(J59&lt;=0,0,MIN(IF(AND('Loan Prepayment'!$E$15="Reduce EMI",O58&gt;0),-PMT(K59/1200,MAX(1,'Loan Prepayment'!$B$7*12-I59+1),J59),L58),J59+M59))</f>
        <v>77713.634667410894</v>
      </c>
      <c r="M59">
        <f t="shared" si="3"/>
        <v>56357.264982378256</v>
      </c>
      <c r="N59">
        <f t="shared" si="4"/>
        <v>21356.369685032638</v>
      </c>
      <c r="O59">
        <f>IF(J59&lt;=0,0,MIN(MAX(0,J59-N59),SUMIFS('Loan Prepayment'!$B$12:$B$16,'Loan Prepayment'!$A$12:$A$16,I59)+0))</f>
        <v>0</v>
      </c>
      <c r="P59">
        <f t="shared" si="5"/>
        <v>7934963.3925330751</v>
      </c>
      <c r="Q59">
        <v>58</v>
      </c>
      <c r="R59">
        <f t="shared" si="18"/>
        <v>8884771.856686404</v>
      </c>
      <c r="S59" s="78">
        <f>'Loan Prepayment'!$B$6</f>
        <v>8.5</v>
      </c>
      <c r="T59">
        <f>IF(R59&lt;=0,0,MIN(IF(AND('Loan Prepayment'!$E$15="Reduce EMI",W58&gt;0),-PMT(S59/1200,MAX(1,'Loan Prepayment'!$B$7*12-Q59+1),R59),T58),R59+U59))</f>
        <v>86782.323336553396</v>
      </c>
      <c r="U59">
        <f t="shared" si="6"/>
        <v>62933.800651528698</v>
      </c>
      <c r="V59">
        <f t="shared" si="7"/>
        <v>23848.522685024698</v>
      </c>
      <c r="W59">
        <f>IF(R59&lt;=0,0,MIN(MAX(0,R59-V59),0+IF(AND(Q59&gt;='Loan Prepayment'!$B$9,Q59&lt;='Loan Prepayment'!$E$16),'Loan Prepayment'!$B$8,0)))</f>
        <v>0</v>
      </c>
      <c r="X59">
        <f t="shared" si="8"/>
        <v>8860923.3340013791</v>
      </c>
      <c r="Y59">
        <v>58</v>
      </c>
      <c r="Z59">
        <f t="shared" si="19"/>
        <v>8884771.856686404</v>
      </c>
      <c r="AA59">
        <f>IF(Y59&gt;='Loan Prepayment'!$E$11,'Loan Prepayment'!$E$12,'Loan Prepayment'!$B$6)</f>
        <v>8.5</v>
      </c>
      <c r="AB59">
        <f>IF(Z59&lt;=0,0,MIN(IF(Y59='Loan Prepayment'!$E$11,IF('Loan Prepayment'!$E$13="Keep tenure, recalculate EMI",-PMT(AA59/1200,MAX(1,'Loan Prepayment'!$B$7*12-Y59+1),Z59),AB58),AB58),Z59+AC59))</f>
        <v>86782.323336553396</v>
      </c>
      <c r="AC59">
        <f t="shared" si="9"/>
        <v>62933.800651528698</v>
      </c>
      <c r="AD59">
        <f t="shared" si="10"/>
        <v>23848.522685024698</v>
      </c>
      <c r="AE59">
        <f t="shared" si="11"/>
        <v>0</v>
      </c>
      <c r="AF59">
        <f t="shared" si="12"/>
        <v>8860923.3340013791</v>
      </c>
      <c r="AG59">
        <v>58</v>
      </c>
      <c r="AH59">
        <f t="shared" si="20"/>
        <v>7956319.7622181075</v>
      </c>
      <c r="AI59">
        <f>IF(AG59&gt;='Loan Prepayment'!$E$11,'Loan Prepayment'!$E$12,'Loan Prepayment'!$B$6)</f>
        <v>8.5</v>
      </c>
      <c r="AJ59">
        <f>IF(AH59&lt;=0,0,MIN(IF(AG59='Loan Prepayment'!$E$11,IF('Loan Prepayment'!$E$13="Keep tenure, recalculate EMI",-PMT(AI59/1200,MAX(1,'Loan Prepayment'!$B$7*12-AG59+1),AH59),AJ58),IF(AND('Loan Prepayment'!$E$15="Reduce EMI",AM58&gt;0),-PMT(AI59/1200,MAX(1,'Loan Prepayment'!$B$7*12-AG59+1),AH59),AJ58)),AH59+AK59))</f>
        <v>77713.634667410894</v>
      </c>
      <c r="AK59">
        <f t="shared" si="13"/>
        <v>56357.264982378256</v>
      </c>
      <c r="AL59">
        <f t="shared" si="14"/>
        <v>21356.369685032638</v>
      </c>
      <c r="AM59">
        <f>IF(AH59&lt;=0,0,MIN(MAX(0,AH59-AL59),SUMIFS('Loan Prepayment'!$B$12:$B$16,'Loan Prepayment'!$A$12:$A$16,AG59)+IF(AND(AG59&gt;='Loan Prepayment'!$B$9,AG59&lt;='Loan Prepayment'!$E$16),'Loan Prepayment'!$B$8,0)))</f>
        <v>0</v>
      </c>
      <c r="AN59">
        <f t="shared" si="15"/>
        <v>7934963.3925330751</v>
      </c>
    </row>
    <row r="60" spans="1:40" x14ac:dyDescent="0.35">
      <c r="A60">
        <v>59</v>
      </c>
      <c r="B60">
        <f t="shared" si="16"/>
        <v>8860923.3340013791</v>
      </c>
      <c r="C60" s="78">
        <f>'Loan Prepayment'!$B$6</f>
        <v>8.5</v>
      </c>
      <c r="D60">
        <f>IF(B60&lt;=0,0,MIN(-PMT('Loan Prepayment'!$B$6/1200,'Loan Prepayment'!$B$7*12,'Loan Prepayment'!$B$5),B60+E60))</f>
        <v>86782.323336553396</v>
      </c>
      <c r="E60">
        <f t="shared" si="0"/>
        <v>62764.873615843106</v>
      </c>
      <c r="F60">
        <f t="shared" si="1"/>
        <v>24017.44972071029</v>
      </c>
      <c r="G60">
        <v>0</v>
      </c>
      <c r="H60">
        <f t="shared" si="2"/>
        <v>8836905.8842806686</v>
      </c>
      <c r="I60">
        <v>59</v>
      </c>
      <c r="J60">
        <f t="shared" si="17"/>
        <v>7934963.3925330751</v>
      </c>
      <c r="K60" s="78">
        <f>'Loan Prepayment'!$B$6</f>
        <v>8.5</v>
      </c>
      <c r="L60">
        <f>IF(J60&lt;=0,0,MIN(IF(AND('Loan Prepayment'!$E$15="Reduce EMI",O59&gt;0),-PMT(K60/1200,MAX(1,'Loan Prepayment'!$B$7*12-I60+1),J60),L59),J60+M60))</f>
        <v>77713.634667410894</v>
      </c>
      <c r="M60">
        <f t="shared" si="3"/>
        <v>56205.990697109279</v>
      </c>
      <c r="N60">
        <f t="shared" si="4"/>
        <v>21507.643970301615</v>
      </c>
      <c r="O60">
        <f>IF(J60&lt;=0,0,MIN(MAX(0,J60-N60),SUMIFS('Loan Prepayment'!$B$12:$B$16,'Loan Prepayment'!$A$12:$A$16,I60)+0))</f>
        <v>0</v>
      </c>
      <c r="P60">
        <f t="shared" si="5"/>
        <v>7913455.7485627737</v>
      </c>
      <c r="Q60">
        <v>59</v>
      </c>
      <c r="R60">
        <f t="shared" si="18"/>
        <v>8860923.3340013791</v>
      </c>
      <c r="S60" s="78">
        <f>'Loan Prepayment'!$B$6</f>
        <v>8.5</v>
      </c>
      <c r="T60">
        <f>IF(R60&lt;=0,0,MIN(IF(AND('Loan Prepayment'!$E$15="Reduce EMI",W59&gt;0),-PMT(S60/1200,MAX(1,'Loan Prepayment'!$B$7*12-Q60+1),R60),T59),R60+U60))</f>
        <v>86782.323336553396</v>
      </c>
      <c r="U60">
        <f t="shared" si="6"/>
        <v>62764.873615843106</v>
      </c>
      <c r="V60">
        <f t="shared" si="7"/>
        <v>24017.44972071029</v>
      </c>
      <c r="W60">
        <f>IF(R60&lt;=0,0,MIN(MAX(0,R60-V60),0+IF(AND(Q60&gt;='Loan Prepayment'!$B$9,Q60&lt;='Loan Prepayment'!$E$16),'Loan Prepayment'!$B$8,0)))</f>
        <v>0</v>
      </c>
      <c r="X60">
        <f t="shared" si="8"/>
        <v>8836905.8842806686</v>
      </c>
      <c r="Y60">
        <v>59</v>
      </c>
      <c r="Z60">
        <f t="shared" si="19"/>
        <v>8860923.3340013791</v>
      </c>
      <c r="AA60">
        <f>IF(Y60&gt;='Loan Prepayment'!$E$11,'Loan Prepayment'!$E$12,'Loan Prepayment'!$B$6)</f>
        <v>8.5</v>
      </c>
      <c r="AB60">
        <f>IF(Z60&lt;=0,0,MIN(IF(Y60='Loan Prepayment'!$E$11,IF('Loan Prepayment'!$E$13="Keep tenure, recalculate EMI",-PMT(AA60/1200,MAX(1,'Loan Prepayment'!$B$7*12-Y60+1),Z60),AB59),AB59),Z60+AC60))</f>
        <v>86782.323336553396</v>
      </c>
      <c r="AC60">
        <f t="shared" si="9"/>
        <v>62764.873615843106</v>
      </c>
      <c r="AD60">
        <f t="shared" si="10"/>
        <v>24017.44972071029</v>
      </c>
      <c r="AE60">
        <f t="shared" si="11"/>
        <v>0</v>
      </c>
      <c r="AF60">
        <f t="shared" si="12"/>
        <v>8836905.8842806686</v>
      </c>
      <c r="AG60">
        <v>59</v>
      </c>
      <c r="AH60">
        <f t="shared" si="20"/>
        <v>7934963.3925330751</v>
      </c>
      <c r="AI60">
        <f>IF(AG60&gt;='Loan Prepayment'!$E$11,'Loan Prepayment'!$E$12,'Loan Prepayment'!$B$6)</f>
        <v>8.5</v>
      </c>
      <c r="AJ60">
        <f>IF(AH60&lt;=0,0,MIN(IF(AG60='Loan Prepayment'!$E$11,IF('Loan Prepayment'!$E$13="Keep tenure, recalculate EMI",-PMT(AI60/1200,MAX(1,'Loan Prepayment'!$B$7*12-AG60+1),AH60),AJ59),IF(AND('Loan Prepayment'!$E$15="Reduce EMI",AM59&gt;0),-PMT(AI60/1200,MAX(1,'Loan Prepayment'!$B$7*12-AG60+1),AH60),AJ59)),AH60+AK60))</f>
        <v>77713.634667410894</v>
      </c>
      <c r="AK60">
        <f t="shared" si="13"/>
        <v>56205.990697109279</v>
      </c>
      <c r="AL60">
        <f t="shared" si="14"/>
        <v>21507.643970301615</v>
      </c>
      <c r="AM60">
        <f>IF(AH60&lt;=0,0,MIN(MAX(0,AH60-AL60),SUMIFS('Loan Prepayment'!$B$12:$B$16,'Loan Prepayment'!$A$12:$A$16,AG60)+IF(AND(AG60&gt;='Loan Prepayment'!$B$9,AG60&lt;='Loan Prepayment'!$E$16),'Loan Prepayment'!$B$8,0)))</f>
        <v>0</v>
      </c>
      <c r="AN60">
        <f t="shared" si="15"/>
        <v>7913455.7485627737</v>
      </c>
    </row>
    <row r="61" spans="1:40" x14ac:dyDescent="0.35">
      <c r="A61">
        <v>60</v>
      </c>
      <c r="B61">
        <f t="shared" si="16"/>
        <v>8836905.8842806686</v>
      </c>
      <c r="C61" s="78">
        <f>'Loan Prepayment'!$B$6</f>
        <v>8.5</v>
      </c>
      <c r="D61">
        <f>IF(B61&lt;=0,0,MIN(-PMT('Loan Prepayment'!$B$6/1200,'Loan Prepayment'!$B$7*12,'Loan Prepayment'!$B$5),B61+E61))</f>
        <v>86782.323336553396</v>
      </c>
      <c r="E61">
        <f t="shared" si="0"/>
        <v>62594.750013654739</v>
      </c>
      <c r="F61">
        <f t="shared" si="1"/>
        <v>24187.573322898657</v>
      </c>
      <c r="G61">
        <v>0</v>
      </c>
      <c r="H61">
        <f t="shared" si="2"/>
        <v>8812718.3109577708</v>
      </c>
      <c r="I61">
        <v>60</v>
      </c>
      <c r="J61">
        <f t="shared" si="17"/>
        <v>7913455.7485627737</v>
      </c>
      <c r="K61" s="78">
        <f>'Loan Prepayment'!$B$6</f>
        <v>8.5</v>
      </c>
      <c r="L61">
        <f>IF(J61&lt;=0,0,MIN(IF(AND('Loan Prepayment'!$E$15="Reduce EMI",O60&gt;0),-PMT(K61/1200,MAX(1,'Loan Prepayment'!$B$7*12-I61+1),J61),L60),J61+M61))</f>
        <v>77713.634667410894</v>
      </c>
      <c r="M61">
        <f t="shared" si="3"/>
        <v>56053.644885652982</v>
      </c>
      <c r="N61">
        <f t="shared" si="4"/>
        <v>21659.989781757911</v>
      </c>
      <c r="O61">
        <f>IF(J61&lt;=0,0,MIN(MAX(0,J61-N61),SUMIFS('Loan Prepayment'!$B$12:$B$16,'Loan Prepayment'!$A$12:$A$16,I61)+0))</f>
        <v>500000</v>
      </c>
      <c r="P61">
        <f t="shared" si="5"/>
        <v>7391795.7587810159</v>
      </c>
      <c r="Q61">
        <v>60</v>
      </c>
      <c r="R61">
        <f t="shared" si="18"/>
        <v>8836905.8842806686</v>
      </c>
      <c r="S61" s="78">
        <f>'Loan Prepayment'!$B$6</f>
        <v>8.5</v>
      </c>
      <c r="T61">
        <f>IF(R61&lt;=0,0,MIN(IF(AND('Loan Prepayment'!$E$15="Reduce EMI",W60&gt;0),-PMT(S61/1200,MAX(1,'Loan Prepayment'!$B$7*12-Q61+1),R61),T60),R61+U61))</f>
        <v>86782.323336553396</v>
      </c>
      <c r="U61">
        <f t="shared" si="6"/>
        <v>62594.750013654739</v>
      </c>
      <c r="V61">
        <f t="shared" si="7"/>
        <v>24187.573322898657</v>
      </c>
      <c r="W61">
        <f>IF(R61&lt;=0,0,MIN(MAX(0,R61-V61),0+IF(AND(Q61&gt;='Loan Prepayment'!$B$9,Q61&lt;='Loan Prepayment'!$E$16),'Loan Prepayment'!$B$8,0)))</f>
        <v>0</v>
      </c>
      <c r="X61">
        <f t="shared" si="8"/>
        <v>8812718.3109577708</v>
      </c>
      <c r="Y61">
        <v>60</v>
      </c>
      <c r="Z61">
        <f t="shared" si="19"/>
        <v>8836905.8842806686</v>
      </c>
      <c r="AA61">
        <f>IF(Y61&gt;='Loan Prepayment'!$E$11,'Loan Prepayment'!$E$12,'Loan Prepayment'!$B$6)</f>
        <v>8.5</v>
      </c>
      <c r="AB61">
        <f>IF(Z61&lt;=0,0,MIN(IF(Y61='Loan Prepayment'!$E$11,IF('Loan Prepayment'!$E$13="Keep tenure, recalculate EMI",-PMT(AA61/1200,MAX(1,'Loan Prepayment'!$B$7*12-Y61+1),Z61),AB60),AB60),Z61+AC61))</f>
        <v>86782.323336553396</v>
      </c>
      <c r="AC61">
        <f t="shared" si="9"/>
        <v>62594.750013654739</v>
      </c>
      <c r="AD61">
        <f t="shared" si="10"/>
        <v>24187.573322898657</v>
      </c>
      <c r="AE61">
        <f t="shared" si="11"/>
        <v>0</v>
      </c>
      <c r="AF61">
        <f t="shared" si="12"/>
        <v>8812718.3109577708</v>
      </c>
      <c r="AG61">
        <v>60</v>
      </c>
      <c r="AH61">
        <f t="shared" si="20"/>
        <v>7913455.7485627737</v>
      </c>
      <c r="AI61">
        <f>IF(AG61&gt;='Loan Prepayment'!$E$11,'Loan Prepayment'!$E$12,'Loan Prepayment'!$B$6)</f>
        <v>8.5</v>
      </c>
      <c r="AJ61">
        <f>IF(AH61&lt;=0,0,MIN(IF(AG61='Loan Prepayment'!$E$11,IF('Loan Prepayment'!$E$13="Keep tenure, recalculate EMI",-PMT(AI61/1200,MAX(1,'Loan Prepayment'!$B$7*12-AG61+1),AH61),AJ60),IF(AND('Loan Prepayment'!$E$15="Reduce EMI",AM60&gt;0),-PMT(AI61/1200,MAX(1,'Loan Prepayment'!$B$7*12-AG61+1),AH61),AJ60)),AH61+AK61))</f>
        <v>77713.634667410894</v>
      </c>
      <c r="AK61">
        <f t="shared" si="13"/>
        <v>56053.644885652982</v>
      </c>
      <c r="AL61">
        <f t="shared" si="14"/>
        <v>21659.989781757911</v>
      </c>
      <c r="AM61">
        <f>IF(AH61&lt;=0,0,MIN(MAX(0,AH61-AL61),SUMIFS('Loan Prepayment'!$B$12:$B$16,'Loan Prepayment'!$A$12:$A$16,AG61)+IF(AND(AG61&gt;='Loan Prepayment'!$B$9,AG61&lt;='Loan Prepayment'!$E$16),'Loan Prepayment'!$B$8,0)))</f>
        <v>500000</v>
      </c>
      <c r="AN61">
        <f t="shared" si="15"/>
        <v>7391795.7587810159</v>
      </c>
    </row>
    <row r="62" spans="1:40" x14ac:dyDescent="0.35">
      <c r="A62">
        <v>61</v>
      </c>
      <c r="B62">
        <f t="shared" si="16"/>
        <v>8812718.3109577708</v>
      </c>
      <c r="C62" s="78">
        <f>'Loan Prepayment'!$B$6</f>
        <v>8.5</v>
      </c>
      <c r="D62">
        <f>IF(B62&lt;=0,0,MIN(-PMT('Loan Prepayment'!$B$6/1200,'Loan Prepayment'!$B$7*12,'Loan Prepayment'!$B$5),B62+E62))</f>
        <v>86782.323336553396</v>
      </c>
      <c r="E62">
        <f t="shared" si="0"/>
        <v>62423.421369284202</v>
      </c>
      <c r="F62">
        <f t="shared" si="1"/>
        <v>24358.901967269194</v>
      </c>
      <c r="G62">
        <v>0</v>
      </c>
      <c r="H62">
        <f t="shared" si="2"/>
        <v>8788359.4089905024</v>
      </c>
      <c r="I62">
        <v>61</v>
      </c>
      <c r="J62">
        <f t="shared" si="17"/>
        <v>7391795.7587810159</v>
      </c>
      <c r="K62" s="78">
        <f>'Loan Prepayment'!$B$6</f>
        <v>8.5</v>
      </c>
      <c r="L62">
        <f>IF(J62&lt;=0,0,MIN(IF(AND('Loan Prepayment'!$E$15="Reduce EMI",O61&gt;0),-PMT(K62/1200,MAX(1,'Loan Prepayment'!$B$7*12-I62+1),J62),L61),J62+M62))</f>
        <v>72789.936877782937</v>
      </c>
      <c r="M62">
        <f t="shared" si="3"/>
        <v>52358.553291365526</v>
      </c>
      <c r="N62">
        <f t="shared" si="4"/>
        <v>20431.383586417411</v>
      </c>
      <c r="O62">
        <f>IF(J62&lt;=0,0,MIN(MAX(0,J62-N62),SUMIFS('Loan Prepayment'!$B$12:$B$16,'Loan Prepayment'!$A$12:$A$16,I62)+0))</f>
        <v>0</v>
      </c>
      <c r="P62">
        <f t="shared" si="5"/>
        <v>7371364.3751945989</v>
      </c>
      <c r="Q62">
        <v>61</v>
      </c>
      <c r="R62">
        <f t="shared" si="18"/>
        <v>8812718.3109577708</v>
      </c>
      <c r="S62" s="78">
        <f>'Loan Prepayment'!$B$6</f>
        <v>8.5</v>
      </c>
      <c r="T62">
        <f>IF(R62&lt;=0,0,MIN(IF(AND('Loan Prepayment'!$E$15="Reduce EMI",W61&gt;0),-PMT(S62/1200,MAX(1,'Loan Prepayment'!$B$7*12-Q62+1),R62),T61),R62+U62))</f>
        <v>86782.323336553396</v>
      </c>
      <c r="U62">
        <f t="shared" si="6"/>
        <v>62423.421369284202</v>
      </c>
      <c r="V62">
        <f t="shared" si="7"/>
        <v>24358.901967269194</v>
      </c>
      <c r="W62">
        <f>IF(R62&lt;=0,0,MIN(MAX(0,R62-V62),0+IF(AND(Q62&gt;='Loan Prepayment'!$B$9,Q62&lt;='Loan Prepayment'!$E$16),'Loan Prepayment'!$B$8,0)))</f>
        <v>0</v>
      </c>
      <c r="X62">
        <f t="shared" si="8"/>
        <v>8788359.4089905024</v>
      </c>
      <c r="Y62">
        <v>61</v>
      </c>
      <c r="Z62">
        <f t="shared" si="19"/>
        <v>8812718.3109577708</v>
      </c>
      <c r="AA62">
        <f>IF(Y62&gt;='Loan Prepayment'!$E$11,'Loan Prepayment'!$E$12,'Loan Prepayment'!$B$6)</f>
        <v>7.5</v>
      </c>
      <c r="AB62">
        <f>IF(Z62&lt;=0,0,MIN(IF(Y62='Loan Prepayment'!$E$11,IF('Loan Prepayment'!$E$13="Keep tenure, recalculate EMI",-PMT(AA62/1200,MAX(1,'Loan Prepayment'!$B$7*12-Y62+1),Z62),AB61),AB61),Z62+AC62))</f>
        <v>86782.323336553396</v>
      </c>
      <c r="AC62">
        <f t="shared" si="9"/>
        <v>55079.489443486069</v>
      </c>
      <c r="AD62">
        <f t="shared" si="10"/>
        <v>31702.833893067327</v>
      </c>
      <c r="AE62">
        <f t="shared" si="11"/>
        <v>0</v>
      </c>
      <c r="AF62">
        <f t="shared" si="12"/>
        <v>8781015.4770647027</v>
      </c>
      <c r="AG62">
        <v>61</v>
      </c>
      <c r="AH62">
        <f t="shared" si="20"/>
        <v>7391795.7587810159</v>
      </c>
      <c r="AI62">
        <f>IF(AG62&gt;='Loan Prepayment'!$E$11,'Loan Prepayment'!$E$12,'Loan Prepayment'!$B$6)</f>
        <v>7.5</v>
      </c>
      <c r="AJ62">
        <f>IF(AH62&lt;=0,0,MIN(IF(AG62='Loan Prepayment'!$E$11,IF('Loan Prepayment'!$E$13="Keep tenure, recalculate EMI",-PMT(AI62/1200,MAX(1,'Loan Prepayment'!$B$7*12-AG62+1),AH62),AJ61),IF(AND('Loan Prepayment'!$E$15="Reduce EMI",AM61&gt;0),-PMT(AI62/1200,MAX(1,'Loan Prepayment'!$B$7*12-AG62+1),AH62),AJ61)),AH62+AK62))</f>
        <v>77713.634667410894</v>
      </c>
      <c r="AK62">
        <f t="shared" si="13"/>
        <v>46198.723492381352</v>
      </c>
      <c r="AL62">
        <f t="shared" si="14"/>
        <v>31514.911175029541</v>
      </c>
      <c r="AM62">
        <f>IF(AH62&lt;=0,0,MIN(MAX(0,AH62-AL62),SUMIFS('Loan Prepayment'!$B$12:$B$16,'Loan Prepayment'!$A$12:$A$16,AG62)+IF(AND(AG62&gt;='Loan Prepayment'!$B$9,AG62&lt;='Loan Prepayment'!$E$16),'Loan Prepayment'!$B$8,0)))</f>
        <v>0</v>
      </c>
      <c r="AN62">
        <f t="shared" si="15"/>
        <v>7360280.8476059865</v>
      </c>
    </row>
    <row r="63" spans="1:40" x14ac:dyDescent="0.35">
      <c r="A63">
        <v>62</v>
      </c>
      <c r="B63">
        <f t="shared" si="16"/>
        <v>8788359.4089905024</v>
      </c>
      <c r="C63" s="78">
        <f>'Loan Prepayment'!$B$6</f>
        <v>8.5</v>
      </c>
      <c r="D63">
        <f>IF(B63&lt;=0,0,MIN(-PMT('Loan Prepayment'!$B$6/1200,'Loan Prepayment'!$B$7*12,'Loan Prepayment'!$B$5),B63+E63))</f>
        <v>86782.323336553396</v>
      </c>
      <c r="E63">
        <f t="shared" si="0"/>
        <v>62250.879147016058</v>
      </c>
      <c r="F63">
        <f t="shared" si="1"/>
        <v>24531.444189537338</v>
      </c>
      <c r="G63">
        <v>0</v>
      </c>
      <c r="H63">
        <f t="shared" si="2"/>
        <v>8763827.964800965</v>
      </c>
      <c r="I63">
        <v>62</v>
      </c>
      <c r="J63">
        <f t="shared" si="17"/>
        <v>7371364.3751945989</v>
      </c>
      <c r="K63" s="78">
        <f>'Loan Prepayment'!$B$6</f>
        <v>8.5</v>
      </c>
      <c r="L63">
        <f>IF(J63&lt;=0,0,MIN(IF(AND('Loan Prepayment'!$E$15="Reduce EMI",O62&gt;0),-PMT(K63/1200,MAX(1,'Loan Prepayment'!$B$7*12-I63+1),J63),L62),J63+M63))</f>
        <v>72789.936877782937</v>
      </c>
      <c r="M63">
        <f t="shared" si="3"/>
        <v>52213.830990961738</v>
      </c>
      <c r="N63">
        <f t="shared" si="4"/>
        <v>20576.105886821199</v>
      </c>
      <c r="O63">
        <f>IF(J63&lt;=0,0,MIN(MAX(0,J63-N63),SUMIFS('Loan Prepayment'!$B$12:$B$16,'Loan Prepayment'!$A$12:$A$16,I63)+0))</f>
        <v>0</v>
      </c>
      <c r="P63">
        <f t="shared" si="5"/>
        <v>7350788.2693077773</v>
      </c>
      <c r="Q63">
        <v>62</v>
      </c>
      <c r="R63">
        <f t="shared" si="18"/>
        <v>8788359.4089905024</v>
      </c>
      <c r="S63" s="78">
        <f>'Loan Prepayment'!$B$6</f>
        <v>8.5</v>
      </c>
      <c r="T63">
        <f>IF(R63&lt;=0,0,MIN(IF(AND('Loan Prepayment'!$E$15="Reduce EMI",W62&gt;0),-PMT(S63/1200,MAX(1,'Loan Prepayment'!$B$7*12-Q63+1),R63),T62),R63+U63))</f>
        <v>86782.323336553396</v>
      </c>
      <c r="U63">
        <f t="shared" si="6"/>
        <v>62250.879147016058</v>
      </c>
      <c r="V63">
        <f t="shared" si="7"/>
        <v>24531.444189537338</v>
      </c>
      <c r="W63">
        <f>IF(R63&lt;=0,0,MIN(MAX(0,R63-V63),0+IF(AND(Q63&gt;='Loan Prepayment'!$B$9,Q63&lt;='Loan Prepayment'!$E$16),'Loan Prepayment'!$B$8,0)))</f>
        <v>0</v>
      </c>
      <c r="X63">
        <f t="shared" si="8"/>
        <v>8763827.964800965</v>
      </c>
      <c r="Y63">
        <v>62</v>
      </c>
      <c r="Z63">
        <f t="shared" si="19"/>
        <v>8781015.4770647027</v>
      </c>
      <c r="AA63">
        <f>IF(Y63&gt;='Loan Prepayment'!$E$11,'Loan Prepayment'!$E$12,'Loan Prepayment'!$B$6)</f>
        <v>7.5</v>
      </c>
      <c r="AB63">
        <f>IF(Z63&lt;=0,0,MIN(IF(Y63='Loan Prepayment'!$E$11,IF('Loan Prepayment'!$E$13="Keep tenure, recalculate EMI",-PMT(AA63/1200,MAX(1,'Loan Prepayment'!$B$7*12-Y63+1),Z63),AB62),AB62),Z63+AC63))</f>
        <v>86782.323336553396</v>
      </c>
      <c r="AC63">
        <f t="shared" si="9"/>
        <v>54881.34673165439</v>
      </c>
      <c r="AD63">
        <f t="shared" si="10"/>
        <v>31900.976604899006</v>
      </c>
      <c r="AE63">
        <f t="shared" si="11"/>
        <v>0</v>
      </c>
      <c r="AF63">
        <f t="shared" si="12"/>
        <v>8749114.5004598033</v>
      </c>
      <c r="AG63">
        <v>62</v>
      </c>
      <c r="AH63">
        <f t="shared" si="20"/>
        <v>7360280.8476059865</v>
      </c>
      <c r="AI63">
        <f>IF(AG63&gt;='Loan Prepayment'!$E$11,'Loan Prepayment'!$E$12,'Loan Prepayment'!$B$6)</f>
        <v>7.5</v>
      </c>
      <c r="AJ63">
        <f>IF(AH63&lt;=0,0,MIN(IF(AG63='Loan Prepayment'!$E$11,IF('Loan Prepayment'!$E$13="Keep tenure, recalculate EMI",-PMT(AI63/1200,MAX(1,'Loan Prepayment'!$B$7*12-AG63+1),AH63),AJ62),IF(AND('Loan Prepayment'!$E$15="Reduce EMI",AM62&gt;0),-PMT(AI63/1200,MAX(1,'Loan Prepayment'!$B$7*12-AG63+1),AH63),AJ62)),AH63+AK63))</f>
        <v>77713.634667410894</v>
      </c>
      <c r="AK63">
        <f t="shared" si="13"/>
        <v>46001.755297537413</v>
      </c>
      <c r="AL63">
        <f t="shared" si="14"/>
        <v>31711.879369873481</v>
      </c>
      <c r="AM63">
        <f>IF(AH63&lt;=0,0,MIN(MAX(0,AH63-AL63),SUMIFS('Loan Prepayment'!$B$12:$B$16,'Loan Prepayment'!$A$12:$A$16,AG63)+IF(AND(AG63&gt;='Loan Prepayment'!$B$9,AG63&lt;='Loan Prepayment'!$E$16),'Loan Prepayment'!$B$8,0)))</f>
        <v>0</v>
      </c>
      <c r="AN63">
        <f t="shared" si="15"/>
        <v>7328568.968236113</v>
      </c>
    </row>
    <row r="64" spans="1:40" x14ac:dyDescent="0.35">
      <c r="A64">
        <v>63</v>
      </c>
      <c r="B64">
        <f t="shared" si="16"/>
        <v>8763827.964800965</v>
      </c>
      <c r="C64" s="78">
        <f>'Loan Prepayment'!$B$6</f>
        <v>8.5</v>
      </c>
      <c r="D64">
        <f>IF(B64&lt;=0,0,MIN(-PMT('Loan Prepayment'!$B$6/1200,'Loan Prepayment'!$B$7*12,'Loan Prepayment'!$B$5),B64+E64))</f>
        <v>86782.323336553396</v>
      </c>
      <c r="E64">
        <f t="shared" si="0"/>
        <v>62077.1147506735</v>
      </c>
      <c r="F64">
        <f t="shared" si="1"/>
        <v>24705.208585879896</v>
      </c>
      <c r="G64">
        <v>0</v>
      </c>
      <c r="H64">
        <f t="shared" si="2"/>
        <v>8739122.7562150843</v>
      </c>
      <c r="I64">
        <v>63</v>
      </c>
      <c r="J64">
        <f t="shared" si="17"/>
        <v>7350788.2693077773</v>
      </c>
      <c r="K64" s="78">
        <f>'Loan Prepayment'!$B$6</f>
        <v>8.5</v>
      </c>
      <c r="L64">
        <f>IF(J64&lt;=0,0,MIN(IF(AND('Loan Prepayment'!$E$15="Reduce EMI",O63&gt;0),-PMT(K64/1200,MAX(1,'Loan Prepayment'!$B$7*12-I64+1),J64),L63),J64+M64))</f>
        <v>72789.936877782937</v>
      </c>
      <c r="M64">
        <f t="shared" si="3"/>
        <v>52068.083574263423</v>
      </c>
      <c r="N64">
        <f t="shared" si="4"/>
        <v>20721.853303519514</v>
      </c>
      <c r="O64">
        <f>IF(J64&lt;=0,0,MIN(MAX(0,J64-N64),SUMIFS('Loan Prepayment'!$B$12:$B$16,'Loan Prepayment'!$A$12:$A$16,I64)+0))</f>
        <v>0</v>
      </c>
      <c r="P64">
        <f t="shared" si="5"/>
        <v>7330066.4160042582</v>
      </c>
      <c r="Q64">
        <v>63</v>
      </c>
      <c r="R64">
        <f t="shared" si="18"/>
        <v>8763827.964800965</v>
      </c>
      <c r="S64" s="78">
        <f>'Loan Prepayment'!$B$6</f>
        <v>8.5</v>
      </c>
      <c r="T64">
        <f>IF(R64&lt;=0,0,MIN(IF(AND('Loan Prepayment'!$E$15="Reduce EMI",W63&gt;0),-PMT(S64/1200,MAX(1,'Loan Prepayment'!$B$7*12-Q64+1),R64),T63),R64+U64))</f>
        <v>86782.323336553396</v>
      </c>
      <c r="U64">
        <f t="shared" si="6"/>
        <v>62077.1147506735</v>
      </c>
      <c r="V64">
        <f t="shared" si="7"/>
        <v>24705.208585879896</v>
      </c>
      <c r="W64">
        <f>IF(R64&lt;=0,0,MIN(MAX(0,R64-V64),0+IF(AND(Q64&gt;='Loan Prepayment'!$B$9,Q64&lt;='Loan Prepayment'!$E$16),'Loan Prepayment'!$B$8,0)))</f>
        <v>0</v>
      </c>
      <c r="X64">
        <f t="shared" si="8"/>
        <v>8739122.7562150843</v>
      </c>
      <c r="Y64">
        <v>63</v>
      </c>
      <c r="Z64">
        <f t="shared" si="19"/>
        <v>8749114.5004598033</v>
      </c>
      <c r="AA64">
        <f>IF(Y64&gt;='Loan Prepayment'!$E$11,'Loan Prepayment'!$E$12,'Loan Prepayment'!$B$6)</f>
        <v>7.5</v>
      </c>
      <c r="AB64">
        <f>IF(Z64&lt;=0,0,MIN(IF(Y64='Loan Prepayment'!$E$11,IF('Loan Prepayment'!$E$13="Keep tenure, recalculate EMI",-PMT(AA64/1200,MAX(1,'Loan Prepayment'!$B$7*12-Y64+1),Z64),AB63),AB63),Z64+AC64))</f>
        <v>86782.323336553396</v>
      </c>
      <c r="AC64">
        <f t="shared" si="9"/>
        <v>54681.965627873768</v>
      </c>
      <c r="AD64">
        <f t="shared" si="10"/>
        <v>32100.357708679629</v>
      </c>
      <c r="AE64">
        <f t="shared" si="11"/>
        <v>0</v>
      </c>
      <c r="AF64">
        <f t="shared" si="12"/>
        <v>8717014.1427511238</v>
      </c>
      <c r="AG64">
        <v>63</v>
      </c>
      <c r="AH64">
        <f t="shared" si="20"/>
        <v>7328568.968236113</v>
      </c>
      <c r="AI64">
        <f>IF(AG64&gt;='Loan Prepayment'!$E$11,'Loan Prepayment'!$E$12,'Loan Prepayment'!$B$6)</f>
        <v>7.5</v>
      </c>
      <c r="AJ64">
        <f>IF(AH64&lt;=0,0,MIN(IF(AG64='Loan Prepayment'!$E$11,IF('Loan Prepayment'!$E$13="Keep tenure, recalculate EMI",-PMT(AI64/1200,MAX(1,'Loan Prepayment'!$B$7*12-AG64+1),AH64),AJ63),IF(AND('Loan Prepayment'!$E$15="Reduce EMI",AM63&gt;0),-PMT(AI64/1200,MAX(1,'Loan Prepayment'!$B$7*12-AG64+1),AH64),AJ63)),AH64+AK64))</f>
        <v>77713.634667410894</v>
      </c>
      <c r="AK64">
        <f t="shared" si="13"/>
        <v>45803.556051475702</v>
      </c>
      <c r="AL64">
        <f t="shared" si="14"/>
        <v>31910.078615935192</v>
      </c>
      <c r="AM64">
        <f>IF(AH64&lt;=0,0,MIN(MAX(0,AH64-AL64),SUMIFS('Loan Prepayment'!$B$12:$B$16,'Loan Prepayment'!$A$12:$A$16,AG64)+IF(AND(AG64&gt;='Loan Prepayment'!$B$9,AG64&lt;='Loan Prepayment'!$E$16),'Loan Prepayment'!$B$8,0)))</f>
        <v>0</v>
      </c>
      <c r="AN64">
        <f t="shared" si="15"/>
        <v>7296658.8896201774</v>
      </c>
    </row>
    <row r="65" spans="1:40" x14ac:dyDescent="0.35">
      <c r="A65">
        <v>64</v>
      </c>
      <c r="B65">
        <f t="shared" si="16"/>
        <v>8739122.7562150843</v>
      </c>
      <c r="C65" s="78">
        <f>'Loan Prepayment'!$B$6</f>
        <v>8.5</v>
      </c>
      <c r="D65">
        <f>IF(B65&lt;=0,0,MIN(-PMT('Loan Prepayment'!$B$6/1200,'Loan Prepayment'!$B$7*12,'Loan Prepayment'!$B$5),B65+E65))</f>
        <v>86782.323336553396</v>
      </c>
      <c r="E65">
        <f t="shared" si="0"/>
        <v>61902.119523190187</v>
      </c>
      <c r="F65">
        <f t="shared" si="1"/>
        <v>24880.203813363209</v>
      </c>
      <c r="G65">
        <v>0</v>
      </c>
      <c r="H65">
        <f t="shared" si="2"/>
        <v>8714242.5524017215</v>
      </c>
      <c r="I65">
        <v>64</v>
      </c>
      <c r="J65">
        <f t="shared" si="17"/>
        <v>7330066.4160042582</v>
      </c>
      <c r="K65" s="78">
        <f>'Loan Prepayment'!$B$6</f>
        <v>8.5</v>
      </c>
      <c r="L65">
        <f>IF(J65&lt;=0,0,MIN(IF(AND('Loan Prepayment'!$E$15="Reduce EMI",O64&gt;0),-PMT(K65/1200,MAX(1,'Loan Prepayment'!$B$7*12-I65+1),J65),L64),J65+M65))</f>
        <v>72789.936877782937</v>
      </c>
      <c r="M65">
        <f t="shared" si="3"/>
        <v>51921.303780030161</v>
      </c>
      <c r="N65">
        <f t="shared" si="4"/>
        <v>20868.633097752776</v>
      </c>
      <c r="O65">
        <f>IF(J65&lt;=0,0,MIN(MAX(0,J65-N65),SUMIFS('Loan Prepayment'!$B$12:$B$16,'Loan Prepayment'!$A$12:$A$16,I65)+0))</f>
        <v>0</v>
      </c>
      <c r="P65">
        <f t="shared" si="5"/>
        <v>7309197.7829065053</v>
      </c>
      <c r="Q65">
        <v>64</v>
      </c>
      <c r="R65">
        <f t="shared" si="18"/>
        <v>8739122.7562150843</v>
      </c>
      <c r="S65" s="78">
        <f>'Loan Prepayment'!$B$6</f>
        <v>8.5</v>
      </c>
      <c r="T65">
        <f>IF(R65&lt;=0,0,MIN(IF(AND('Loan Prepayment'!$E$15="Reduce EMI",W64&gt;0),-PMT(S65/1200,MAX(1,'Loan Prepayment'!$B$7*12-Q65+1),R65),T64),R65+U65))</f>
        <v>86782.323336553396</v>
      </c>
      <c r="U65">
        <f t="shared" si="6"/>
        <v>61902.119523190187</v>
      </c>
      <c r="V65">
        <f t="shared" si="7"/>
        <v>24880.203813363209</v>
      </c>
      <c r="W65">
        <f>IF(R65&lt;=0,0,MIN(MAX(0,R65-V65),0+IF(AND(Q65&gt;='Loan Prepayment'!$B$9,Q65&lt;='Loan Prepayment'!$E$16),'Loan Prepayment'!$B$8,0)))</f>
        <v>0</v>
      </c>
      <c r="X65">
        <f t="shared" si="8"/>
        <v>8714242.5524017215</v>
      </c>
      <c r="Y65">
        <v>64</v>
      </c>
      <c r="Z65">
        <f t="shared" si="19"/>
        <v>8717014.1427511238</v>
      </c>
      <c r="AA65">
        <f>IF(Y65&gt;='Loan Prepayment'!$E$11,'Loan Prepayment'!$E$12,'Loan Prepayment'!$B$6)</f>
        <v>7.5</v>
      </c>
      <c r="AB65">
        <f>IF(Z65&lt;=0,0,MIN(IF(Y65='Loan Prepayment'!$E$11,IF('Loan Prepayment'!$E$13="Keep tenure, recalculate EMI",-PMT(AA65/1200,MAX(1,'Loan Prepayment'!$B$7*12-Y65+1),Z65),AB64),AB64),Z65+AC65))</f>
        <v>86782.323336553396</v>
      </c>
      <c r="AC65">
        <f t="shared" si="9"/>
        <v>54481.338392194521</v>
      </c>
      <c r="AD65">
        <f t="shared" si="10"/>
        <v>32300.984944358876</v>
      </c>
      <c r="AE65">
        <f t="shared" si="11"/>
        <v>0</v>
      </c>
      <c r="AF65">
        <f t="shared" si="12"/>
        <v>8684713.1578067653</v>
      </c>
      <c r="AG65">
        <v>64</v>
      </c>
      <c r="AH65">
        <f t="shared" si="20"/>
        <v>7296658.8896201774</v>
      </c>
      <c r="AI65">
        <f>IF(AG65&gt;='Loan Prepayment'!$E$11,'Loan Prepayment'!$E$12,'Loan Prepayment'!$B$6)</f>
        <v>7.5</v>
      </c>
      <c r="AJ65">
        <f>IF(AH65&lt;=0,0,MIN(IF(AG65='Loan Prepayment'!$E$11,IF('Loan Prepayment'!$E$13="Keep tenure, recalculate EMI",-PMT(AI65/1200,MAX(1,'Loan Prepayment'!$B$7*12-AG65+1),AH65),AJ64),IF(AND('Loan Prepayment'!$E$15="Reduce EMI",AM64&gt;0),-PMT(AI65/1200,MAX(1,'Loan Prepayment'!$B$7*12-AG65+1),AH65),AJ64)),AH65+AK65))</f>
        <v>77713.634667410894</v>
      </c>
      <c r="AK65">
        <f t="shared" si="13"/>
        <v>45604.118060126108</v>
      </c>
      <c r="AL65">
        <f t="shared" si="14"/>
        <v>32109.516607284786</v>
      </c>
      <c r="AM65">
        <f>IF(AH65&lt;=0,0,MIN(MAX(0,AH65-AL65),SUMIFS('Loan Prepayment'!$B$12:$B$16,'Loan Prepayment'!$A$12:$A$16,AG65)+IF(AND(AG65&gt;='Loan Prepayment'!$B$9,AG65&lt;='Loan Prepayment'!$E$16),'Loan Prepayment'!$B$8,0)))</f>
        <v>0</v>
      </c>
      <c r="AN65">
        <f t="shared" si="15"/>
        <v>7264549.3730128929</v>
      </c>
    </row>
    <row r="66" spans="1:40" x14ac:dyDescent="0.35">
      <c r="A66">
        <v>65</v>
      </c>
      <c r="B66">
        <f t="shared" si="16"/>
        <v>8714242.5524017215</v>
      </c>
      <c r="C66" s="78">
        <f>'Loan Prepayment'!$B$6</f>
        <v>8.5</v>
      </c>
      <c r="D66">
        <f>IF(B66&lt;=0,0,MIN(-PMT('Loan Prepayment'!$B$6/1200,'Loan Prepayment'!$B$7*12,'Loan Prepayment'!$B$5),B66+E66))</f>
        <v>86782.323336553396</v>
      </c>
      <c r="E66">
        <f t="shared" ref="E66:E129" si="21">IF(B66&lt;=0,0,B66*C66/1200)</f>
        <v>61725.884746178861</v>
      </c>
      <c r="F66">
        <f t="shared" ref="F66:F129" si="22">MAX(0,D66-E66)</f>
        <v>25056.438590374535</v>
      </c>
      <c r="G66">
        <v>0</v>
      </c>
      <c r="H66">
        <f t="shared" ref="H66:H129" si="23">MAX(0,B66-F66-G66)</f>
        <v>8689186.1138113476</v>
      </c>
      <c r="I66">
        <v>65</v>
      </c>
      <c r="J66">
        <f t="shared" si="17"/>
        <v>7309197.7829065053</v>
      </c>
      <c r="K66" s="78">
        <f>'Loan Prepayment'!$B$6</f>
        <v>8.5</v>
      </c>
      <c r="L66">
        <f>IF(J66&lt;=0,0,MIN(IF(AND('Loan Prepayment'!$E$15="Reduce EMI",O65&gt;0),-PMT(K66/1200,MAX(1,'Loan Prepayment'!$B$7*12-I66+1),J66),L65),J66+M66))</f>
        <v>72789.936877782937</v>
      </c>
      <c r="M66">
        <f t="shared" ref="M66:M129" si="24">IF(J66&lt;=0,0,J66*K66/1200)</f>
        <v>51773.484295587747</v>
      </c>
      <c r="N66">
        <f t="shared" ref="N66:N129" si="25">MAX(0,L66-M66)</f>
        <v>21016.45258219519</v>
      </c>
      <c r="O66">
        <f>IF(J66&lt;=0,0,MIN(MAX(0,J66-N66),SUMIFS('Loan Prepayment'!$B$12:$B$16,'Loan Prepayment'!$A$12:$A$16,I66)+0))</f>
        <v>0</v>
      </c>
      <c r="P66">
        <f t="shared" ref="P66:P129" si="26">MAX(0,J66-N66-O66)</f>
        <v>7288181.3303243099</v>
      </c>
      <c r="Q66">
        <v>65</v>
      </c>
      <c r="R66">
        <f t="shared" si="18"/>
        <v>8714242.5524017215</v>
      </c>
      <c r="S66" s="78">
        <f>'Loan Prepayment'!$B$6</f>
        <v>8.5</v>
      </c>
      <c r="T66">
        <f>IF(R66&lt;=0,0,MIN(IF(AND('Loan Prepayment'!$E$15="Reduce EMI",W65&gt;0),-PMT(S66/1200,MAX(1,'Loan Prepayment'!$B$7*12-Q66+1),R66),T65),R66+U66))</f>
        <v>86782.323336553396</v>
      </c>
      <c r="U66">
        <f t="shared" ref="U66:U129" si="27">IF(R66&lt;=0,0,R66*S66/1200)</f>
        <v>61725.884746178861</v>
      </c>
      <c r="V66">
        <f t="shared" ref="V66:V129" si="28">MAX(0,T66-U66)</f>
        <v>25056.438590374535</v>
      </c>
      <c r="W66">
        <f>IF(R66&lt;=0,0,MIN(MAX(0,R66-V66),0+IF(AND(Q66&gt;='Loan Prepayment'!$B$9,Q66&lt;='Loan Prepayment'!$E$16),'Loan Prepayment'!$B$8,0)))</f>
        <v>0</v>
      </c>
      <c r="X66">
        <f t="shared" ref="X66:X129" si="29">MAX(0,R66-V66-W66)</f>
        <v>8689186.1138113476</v>
      </c>
      <c r="Y66">
        <v>65</v>
      </c>
      <c r="Z66">
        <f t="shared" si="19"/>
        <v>8684713.1578067653</v>
      </c>
      <c r="AA66">
        <f>IF(Y66&gt;='Loan Prepayment'!$E$11,'Loan Prepayment'!$E$12,'Loan Prepayment'!$B$6)</f>
        <v>7.5</v>
      </c>
      <c r="AB66">
        <f>IF(Z66&lt;=0,0,MIN(IF(Y66='Loan Prepayment'!$E$11,IF('Loan Prepayment'!$E$13="Keep tenure, recalculate EMI",-PMT(AA66/1200,MAX(1,'Loan Prepayment'!$B$7*12-Y66+1),Z66),AB65),AB65),Z66+AC66))</f>
        <v>86782.323336553396</v>
      </c>
      <c r="AC66">
        <f t="shared" ref="AC66:AC129" si="30">IF(Z66&lt;=0,0,Z66*AA66/1200)</f>
        <v>54279.457236292285</v>
      </c>
      <c r="AD66">
        <f t="shared" ref="AD66:AD129" si="31">MAX(0,AB66-AC66)</f>
        <v>32502.866100261112</v>
      </c>
      <c r="AE66">
        <f t="shared" ref="AE66:AE129" si="32">IF(Z66&lt;=0,0,MIN(MAX(0,Z66-AD66),0))</f>
        <v>0</v>
      </c>
      <c r="AF66">
        <f t="shared" ref="AF66:AF129" si="33">MAX(0,Z66-AD66-AE66)</f>
        <v>8652210.2917065043</v>
      </c>
      <c r="AG66">
        <v>65</v>
      </c>
      <c r="AH66">
        <f t="shared" si="20"/>
        <v>7264549.3730128929</v>
      </c>
      <c r="AI66">
        <f>IF(AG66&gt;='Loan Prepayment'!$E$11,'Loan Prepayment'!$E$12,'Loan Prepayment'!$B$6)</f>
        <v>7.5</v>
      </c>
      <c r="AJ66">
        <f>IF(AH66&lt;=0,0,MIN(IF(AG66='Loan Prepayment'!$E$11,IF('Loan Prepayment'!$E$13="Keep tenure, recalculate EMI",-PMT(AI66/1200,MAX(1,'Loan Prepayment'!$B$7*12-AG66+1),AH66),AJ65),IF(AND('Loan Prepayment'!$E$15="Reduce EMI",AM65&gt;0),-PMT(AI66/1200,MAX(1,'Loan Prepayment'!$B$7*12-AG66+1),AH66),AJ65)),AH66+AK66))</f>
        <v>77713.634667410894</v>
      </c>
      <c r="AK66">
        <f t="shared" ref="AK66:AK129" si="34">IF(AH66&lt;=0,0,AH66*AI66/1200)</f>
        <v>45403.433581330581</v>
      </c>
      <c r="AL66">
        <f t="shared" ref="AL66:AL129" si="35">MAX(0,AJ66-AK66)</f>
        <v>32310.201086080313</v>
      </c>
      <c r="AM66">
        <f>IF(AH66&lt;=0,0,MIN(MAX(0,AH66-AL66),SUMIFS('Loan Prepayment'!$B$12:$B$16,'Loan Prepayment'!$A$12:$A$16,AG66)+IF(AND(AG66&gt;='Loan Prepayment'!$B$9,AG66&lt;='Loan Prepayment'!$E$16),'Loan Prepayment'!$B$8,0)))</f>
        <v>0</v>
      </c>
      <c r="AN66">
        <f t="shared" ref="AN66:AN129" si="36">MAX(0,AH66-AL66-AM66)</f>
        <v>7232239.1719268123</v>
      </c>
    </row>
    <row r="67" spans="1:40" x14ac:dyDescent="0.35">
      <c r="A67">
        <v>66</v>
      </c>
      <c r="B67">
        <f t="shared" ref="B67:B130" si="37">H66</f>
        <v>8689186.1138113476</v>
      </c>
      <c r="C67" s="78">
        <f>'Loan Prepayment'!$B$6</f>
        <v>8.5</v>
      </c>
      <c r="D67">
        <f>IF(B67&lt;=0,0,MIN(-PMT('Loan Prepayment'!$B$6/1200,'Loan Prepayment'!$B$7*12,'Loan Prepayment'!$B$5),B67+E67))</f>
        <v>86782.323336553396</v>
      </c>
      <c r="E67">
        <f t="shared" si="21"/>
        <v>61548.401639497046</v>
      </c>
      <c r="F67">
        <f t="shared" si="22"/>
        <v>25233.92169705635</v>
      </c>
      <c r="G67">
        <v>0</v>
      </c>
      <c r="H67">
        <f t="shared" si="23"/>
        <v>8663952.1921142917</v>
      </c>
      <c r="I67">
        <v>66</v>
      </c>
      <c r="J67">
        <f t="shared" ref="J67:J130" si="38">P66</f>
        <v>7288181.3303243099</v>
      </c>
      <c r="K67" s="78">
        <f>'Loan Prepayment'!$B$6</f>
        <v>8.5</v>
      </c>
      <c r="L67">
        <f>IF(J67&lt;=0,0,MIN(IF(AND('Loan Prepayment'!$E$15="Reduce EMI",O66&gt;0),-PMT(K67/1200,MAX(1,'Loan Prepayment'!$B$7*12-I67+1),J67),L66),J67+M67))</f>
        <v>72789.936877782937</v>
      </c>
      <c r="M67">
        <f t="shared" si="24"/>
        <v>51624.617756463864</v>
      </c>
      <c r="N67">
        <f t="shared" si="25"/>
        <v>21165.319121319073</v>
      </c>
      <c r="O67">
        <f>IF(J67&lt;=0,0,MIN(MAX(0,J67-N67),SUMIFS('Loan Prepayment'!$B$12:$B$16,'Loan Prepayment'!$A$12:$A$16,I67)+0))</f>
        <v>0</v>
      </c>
      <c r="P67">
        <f t="shared" si="26"/>
        <v>7267016.011202991</v>
      </c>
      <c r="Q67">
        <v>66</v>
      </c>
      <c r="R67">
        <f t="shared" ref="R67:R130" si="39">X66</f>
        <v>8689186.1138113476</v>
      </c>
      <c r="S67" s="78">
        <f>'Loan Prepayment'!$B$6</f>
        <v>8.5</v>
      </c>
      <c r="T67">
        <f>IF(R67&lt;=0,0,MIN(IF(AND('Loan Prepayment'!$E$15="Reduce EMI",W66&gt;0),-PMT(S67/1200,MAX(1,'Loan Prepayment'!$B$7*12-Q67+1),R67),T66),R67+U67))</f>
        <v>86782.323336553396</v>
      </c>
      <c r="U67">
        <f t="shared" si="27"/>
        <v>61548.401639497046</v>
      </c>
      <c r="V67">
        <f t="shared" si="28"/>
        <v>25233.92169705635</v>
      </c>
      <c r="W67">
        <f>IF(R67&lt;=0,0,MIN(MAX(0,R67-V67),0+IF(AND(Q67&gt;='Loan Prepayment'!$B$9,Q67&lt;='Loan Prepayment'!$E$16),'Loan Prepayment'!$B$8,0)))</f>
        <v>0</v>
      </c>
      <c r="X67">
        <f t="shared" si="29"/>
        <v>8663952.1921142917</v>
      </c>
      <c r="Y67">
        <v>66</v>
      </c>
      <c r="Z67">
        <f t="shared" ref="Z67:Z130" si="40">AF66</f>
        <v>8652210.2917065043</v>
      </c>
      <c r="AA67">
        <f>IF(Y67&gt;='Loan Prepayment'!$E$11,'Loan Prepayment'!$E$12,'Loan Prepayment'!$B$6)</f>
        <v>7.5</v>
      </c>
      <c r="AB67">
        <f>IF(Z67&lt;=0,0,MIN(IF(Y67='Loan Prepayment'!$E$11,IF('Loan Prepayment'!$E$13="Keep tenure, recalculate EMI",-PMT(AA67/1200,MAX(1,'Loan Prepayment'!$B$7*12-Y67+1),Z67),AB66),AB66),Z67+AC67))</f>
        <v>86782.323336553396</v>
      </c>
      <c r="AC67">
        <f t="shared" si="30"/>
        <v>54076.31432316565</v>
      </c>
      <c r="AD67">
        <f t="shared" si="31"/>
        <v>32706.009013387746</v>
      </c>
      <c r="AE67">
        <f t="shared" si="32"/>
        <v>0</v>
      </c>
      <c r="AF67">
        <f t="shared" si="33"/>
        <v>8619504.282693116</v>
      </c>
      <c r="AG67">
        <v>66</v>
      </c>
      <c r="AH67">
        <f t="shared" ref="AH67:AH130" si="41">AN66</f>
        <v>7232239.1719268123</v>
      </c>
      <c r="AI67">
        <f>IF(AG67&gt;='Loan Prepayment'!$E$11,'Loan Prepayment'!$E$12,'Loan Prepayment'!$B$6)</f>
        <v>7.5</v>
      </c>
      <c r="AJ67">
        <f>IF(AH67&lt;=0,0,MIN(IF(AG67='Loan Prepayment'!$E$11,IF('Loan Prepayment'!$E$13="Keep tenure, recalculate EMI",-PMT(AI67/1200,MAX(1,'Loan Prepayment'!$B$7*12-AG67+1),AH67),AJ66),IF(AND('Loan Prepayment'!$E$15="Reduce EMI",AM66&gt;0),-PMT(AI67/1200,MAX(1,'Loan Prepayment'!$B$7*12-AG67+1),AH67),AJ66)),AH67+AK67))</f>
        <v>77713.634667410894</v>
      </c>
      <c r="AK67">
        <f t="shared" si="34"/>
        <v>45201.494824542577</v>
      </c>
      <c r="AL67">
        <f t="shared" si="35"/>
        <v>32512.139842868317</v>
      </c>
      <c r="AM67">
        <f>IF(AH67&lt;=0,0,MIN(MAX(0,AH67-AL67),SUMIFS('Loan Prepayment'!$B$12:$B$16,'Loan Prepayment'!$A$12:$A$16,AG67)+IF(AND(AG67&gt;='Loan Prepayment'!$B$9,AG67&lt;='Loan Prepayment'!$E$16),'Loan Prepayment'!$B$8,0)))</f>
        <v>0</v>
      </c>
      <c r="AN67">
        <f t="shared" si="36"/>
        <v>7199727.0320839435</v>
      </c>
    </row>
    <row r="68" spans="1:40" x14ac:dyDescent="0.35">
      <c r="A68">
        <v>67</v>
      </c>
      <c r="B68">
        <f t="shared" si="37"/>
        <v>8663952.1921142917</v>
      </c>
      <c r="C68" s="78">
        <f>'Loan Prepayment'!$B$6</f>
        <v>8.5</v>
      </c>
      <c r="D68">
        <f>IF(B68&lt;=0,0,MIN(-PMT('Loan Prepayment'!$B$6/1200,'Loan Prepayment'!$B$7*12,'Loan Prepayment'!$B$5),B68+E68))</f>
        <v>86782.323336553396</v>
      </c>
      <c r="E68">
        <f t="shared" si="21"/>
        <v>61369.661360809565</v>
      </c>
      <c r="F68">
        <f t="shared" si="22"/>
        <v>25412.661975743831</v>
      </c>
      <c r="G68">
        <v>0</v>
      </c>
      <c r="H68">
        <f t="shared" si="23"/>
        <v>8638539.5301385485</v>
      </c>
      <c r="I68">
        <v>67</v>
      </c>
      <c r="J68">
        <f t="shared" si="38"/>
        <v>7267016.011202991</v>
      </c>
      <c r="K68" s="78">
        <f>'Loan Prepayment'!$B$6</f>
        <v>8.5</v>
      </c>
      <c r="L68">
        <f>IF(J68&lt;=0,0,MIN(IF(AND('Loan Prepayment'!$E$15="Reduce EMI",O67&gt;0),-PMT(K68/1200,MAX(1,'Loan Prepayment'!$B$7*12-I68+1),J68),L67),J68+M68))</f>
        <v>72789.936877782937</v>
      </c>
      <c r="M68">
        <f t="shared" si="24"/>
        <v>51474.696746021189</v>
      </c>
      <c r="N68">
        <f t="shared" si="25"/>
        <v>21315.240131761748</v>
      </c>
      <c r="O68">
        <f>IF(J68&lt;=0,0,MIN(MAX(0,J68-N68),SUMIFS('Loan Prepayment'!$B$12:$B$16,'Loan Prepayment'!$A$12:$A$16,I68)+0))</f>
        <v>0</v>
      </c>
      <c r="P68">
        <f t="shared" si="26"/>
        <v>7245700.7710712291</v>
      </c>
      <c r="Q68">
        <v>67</v>
      </c>
      <c r="R68">
        <f t="shared" si="39"/>
        <v>8663952.1921142917</v>
      </c>
      <c r="S68" s="78">
        <f>'Loan Prepayment'!$B$6</f>
        <v>8.5</v>
      </c>
      <c r="T68">
        <f>IF(R68&lt;=0,0,MIN(IF(AND('Loan Prepayment'!$E$15="Reduce EMI",W67&gt;0),-PMT(S68/1200,MAX(1,'Loan Prepayment'!$B$7*12-Q68+1),R68),T67),R68+U68))</f>
        <v>86782.323336553396</v>
      </c>
      <c r="U68">
        <f t="shared" si="27"/>
        <v>61369.661360809565</v>
      </c>
      <c r="V68">
        <f t="shared" si="28"/>
        <v>25412.661975743831</v>
      </c>
      <c r="W68">
        <f>IF(R68&lt;=0,0,MIN(MAX(0,R68-V68),0+IF(AND(Q68&gt;='Loan Prepayment'!$B$9,Q68&lt;='Loan Prepayment'!$E$16),'Loan Prepayment'!$B$8,0)))</f>
        <v>0</v>
      </c>
      <c r="X68">
        <f t="shared" si="29"/>
        <v>8638539.5301385485</v>
      </c>
      <c r="Y68">
        <v>67</v>
      </c>
      <c r="Z68">
        <f t="shared" si="40"/>
        <v>8619504.282693116</v>
      </c>
      <c r="AA68">
        <f>IF(Y68&gt;='Loan Prepayment'!$E$11,'Loan Prepayment'!$E$12,'Loan Prepayment'!$B$6)</f>
        <v>7.5</v>
      </c>
      <c r="AB68">
        <f>IF(Z68&lt;=0,0,MIN(IF(Y68='Loan Prepayment'!$E$11,IF('Loan Prepayment'!$E$13="Keep tenure, recalculate EMI",-PMT(AA68/1200,MAX(1,'Loan Prepayment'!$B$7*12-Y68+1),Z68),AB67),AB67),Z68+AC68))</f>
        <v>86782.323336553396</v>
      </c>
      <c r="AC68">
        <f t="shared" si="30"/>
        <v>53871.901766831972</v>
      </c>
      <c r="AD68">
        <f t="shared" si="31"/>
        <v>32910.421569721424</v>
      </c>
      <c r="AE68">
        <f t="shared" si="32"/>
        <v>0</v>
      </c>
      <c r="AF68">
        <f t="shared" si="33"/>
        <v>8586593.8611233942</v>
      </c>
      <c r="AG68">
        <v>67</v>
      </c>
      <c r="AH68">
        <f t="shared" si="41"/>
        <v>7199727.0320839435</v>
      </c>
      <c r="AI68">
        <f>IF(AG68&gt;='Loan Prepayment'!$E$11,'Loan Prepayment'!$E$12,'Loan Prepayment'!$B$6)</f>
        <v>7.5</v>
      </c>
      <c r="AJ68">
        <f>IF(AH68&lt;=0,0,MIN(IF(AG68='Loan Prepayment'!$E$11,IF('Loan Prepayment'!$E$13="Keep tenure, recalculate EMI",-PMT(AI68/1200,MAX(1,'Loan Prepayment'!$B$7*12-AG68+1),AH68),AJ67),IF(AND('Loan Prepayment'!$E$15="Reduce EMI",AM67&gt;0),-PMT(AI68/1200,MAX(1,'Loan Prepayment'!$B$7*12-AG68+1),AH68),AJ67)),AH68+AK68))</f>
        <v>77713.634667410894</v>
      </c>
      <c r="AK68">
        <f t="shared" si="34"/>
        <v>44998.293950524647</v>
      </c>
      <c r="AL68">
        <f t="shared" si="35"/>
        <v>32715.340716886247</v>
      </c>
      <c r="AM68">
        <f>IF(AH68&lt;=0,0,MIN(MAX(0,AH68-AL68),SUMIFS('Loan Prepayment'!$B$12:$B$16,'Loan Prepayment'!$A$12:$A$16,AG68)+IF(AND(AG68&gt;='Loan Prepayment'!$B$9,AG68&lt;='Loan Prepayment'!$E$16),'Loan Prepayment'!$B$8,0)))</f>
        <v>0</v>
      </c>
      <c r="AN68">
        <f t="shared" si="36"/>
        <v>7167011.6913670572</v>
      </c>
    </row>
    <row r="69" spans="1:40" x14ac:dyDescent="0.35">
      <c r="A69">
        <v>68</v>
      </c>
      <c r="B69">
        <f t="shared" si="37"/>
        <v>8638539.5301385485</v>
      </c>
      <c r="C69" s="78">
        <f>'Loan Prepayment'!$B$6</f>
        <v>8.5</v>
      </c>
      <c r="D69">
        <f>IF(B69&lt;=0,0,MIN(-PMT('Loan Prepayment'!$B$6/1200,'Loan Prepayment'!$B$7*12,'Loan Prepayment'!$B$5),B69+E69))</f>
        <v>86782.323336553396</v>
      </c>
      <c r="E69">
        <f t="shared" si="21"/>
        <v>61189.655005148052</v>
      </c>
      <c r="F69">
        <f t="shared" si="22"/>
        <v>25592.668331405344</v>
      </c>
      <c r="G69">
        <v>0</v>
      </c>
      <c r="H69">
        <f t="shared" si="23"/>
        <v>8612946.8618071433</v>
      </c>
      <c r="I69">
        <v>68</v>
      </c>
      <c r="J69">
        <f t="shared" si="38"/>
        <v>7245700.7710712291</v>
      </c>
      <c r="K69" s="78">
        <f>'Loan Prepayment'!$B$6</f>
        <v>8.5</v>
      </c>
      <c r="L69">
        <f>IF(J69&lt;=0,0,MIN(IF(AND('Loan Prepayment'!$E$15="Reduce EMI",O68&gt;0),-PMT(K69/1200,MAX(1,'Loan Prepayment'!$B$7*12-I69+1),J69),L68),J69+M69))</f>
        <v>72789.936877782937</v>
      </c>
      <c r="M69">
        <f t="shared" si="24"/>
        <v>51323.713795087875</v>
      </c>
      <c r="N69">
        <f t="shared" si="25"/>
        <v>21466.223082695062</v>
      </c>
      <c r="O69">
        <f>IF(J69&lt;=0,0,MIN(MAX(0,J69-N69),SUMIFS('Loan Prepayment'!$B$12:$B$16,'Loan Prepayment'!$A$12:$A$16,I69)+0))</f>
        <v>0</v>
      </c>
      <c r="P69">
        <f t="shared" si="26"/>
        <v>7224234.547988534</v>
      </c>
      <c r="Q69">
        <v>68</v>
      </c>
      <c r="R69">
        <f t="shared" si="39"/>
        <v>8638539.5301385485</v>
      </c>
      <c r="S69" s="78">
        <f>'Loan Prepayment'!$B$6</f>
        <v>8.5</v>
      </c>
      <c r="T69">
        <f>IF(R69&lt;=0,0,MIN(IF(AND('Loan Prepayment'!$E$15="Reduce EMI",W68&gt;0),-PMT(S69/1200,MAX(1,'Loan Prepayment'!$B$7*12-Q69+1),R69),T68),R69+U69))</f>
        <v>86782.323336553396</v>
      </c>
      <c r="U69">
        <f t="shared" si="27"/>
        <v>61189.655005148052</v>
      </c>
      <c r="V69">
        <f t="shared" si="28"/>
        <v>25592.668331405344</v>
      </c>
      <c r="W69">
        <f>IF(R69&lt;=0,0,MIN(MAX(0,R69-V69),0+IF(AND(Q69&gt;='Loan Prepayment'!$B$9,Q69&lt;='Loan Prepayment'!$E$16),'Loan Prepayment'!$B$8,0)))</f>
        <v>0</v>
      </c>
      <c r="X69">
        <f t="shared" si="29"/>
        <v>8612946.8618071433</v>
      </c>
      <c r="Y69">
        <v>68</v>
      </c>
      <c r="Z69">
        <f t="shared" si="40"/>
        <v>8586593.8611233942</v>
      </c>
      <c r="AA69">
        <f>IF(Y69&gt;='Loan Prepayment'!$E$11,'Loan Prepayment'!$E$12,'Loan Prepayment'!$B$6)</f>
        <v>7.5</v>
      </c>
      <c r="AB69">
        <f>IF(Z69&lt;=0,0,MIN(IF(Y69='Loan Prepayment'!$E$11,IF('Loan Prepayment'!$E$13="Keep tenure, recalculate EMI",-PMT(AA69/1200,MAX(1,'Loan Prepayment'!$B$7*12-Y69+1),Z69),AB68),AB68),Z69+AC69))</f>
        <v>86782.323336553396</v>
      </c>
      <c r="AC69">
        <f t="shared" si="30"/>
        <v>53666.211632021215</v>
      </c>
      <c r="AD69">
        <f t="shared" si="31"/>
        <v>33116.111704532181</v>
      </c>
      <c r="AE69">
        <f t="shared" si="32"/>
        <v>0</v>
      </c>
      <c r="AF69">
        <f t="shared" si="33"/>
        <v>8553477.7494188622</v>
      </c>
      <c r="AG69">
        <v>68</v>
      </c>
      <c r="AH69">
        <f t="shared" si="41"/>
        <v>7167011.6913670572</v>
      </c>
      <c r="AI69">
        <f>IF(AG69&gt;='Loan Prepayment'!$E$11,'Loan Prepayment'!$E$12,'Loan Prepayment'!$B$6)</f>
        <v>7.5</v>
      </c>
      <c r="AJ69">
        <f>IF(AH69&lt;=0,0,MIN(IF(AG69='Loan Prepayment'!$E$11,IF('Loan Prepayment'!$E$13="Keep tenure, recalculate EMI",-PMT(AI69/1200,MAX(1,'Loan Prepayment'!$B$7*12-AG69+1),AH69),AJ68),IF(AND('Loan Prepayment'!$E$15="Reduce EMI",AM68&gt;0),-PMT(AI69/1200,MAX(1,'Loan Prepayment'!$B$7*12-AG69+1),AH69),AJ68)),AH69+AK69))</f>
        <v>77713.634667410894</v>
      </c>
      <c r="AK69">
        <f t="shared" si="34"/>
        <v>44793.823071044106</v>
      </c>
      <c r="AL69">
        <f t="shared" si="35"/>
        <v>32919.811596366788</v>
      </c>
      <c r="AM69">
        <f>IF(AH69&lt;=0,0,MIN(MAX(0,AH69-AL69),SUMIFS('Loan Prepayment'!$B$12:$B$16,'Loan Prepayment'!$A$12:$A$16,AG69)+IF(AND(AG69&gt;='Loan Prepayment'!$B$9,AG69&lt;='Loan Prepayment'!$E$16),'Loan Prepayment'!$B$8,0)))</f>
        <v>0</v>
      </c>
      <c r="AN69">
        <f t="shared" si="36"/>
        <v>7134091.8797706906</v>
      </c>
    </row>
    <row r="70" spans="1:40" x14ac:dyDescent="0.35">
      <c r="A70">
        <v>69</v>
      </c>
      <c r="B70">
        <f t="shared" si="37"/>
        <v>8612946.8618071433</v>
      </c>
      <c r="C70" s="78">
        <f>'Loan Prepayment'!$B$6</f>
        <v>8.5</v>
      </c>
      <c r="D70">
        <f>IF(B70&lt;=0,0,MIN(-PMT('Loan Prepayment'!$B$6/1200,'Loan Prepayment'!$B$7*12,'Loan Prepayment'!$B$5),B70+E70))</f>
        <v>86782.323336553396</v>
      </c>
      <c r="E70">
        <f t="shared" si="21"/>
        <v>61008.373604467262</v>
      </c>
      <c r="F70">
        <f t="shared" si="22"/>
        <v>25773.949732086134</v>
      </c>
      <c r="G70">
        <v>0</v>
      </c>
      <c r="H70">
        <f t="shared" si="23"/>
        <v>8587172.9120750576</v>
      </c>
      <c r="I70">
        <v>69</v>
      </c>
      <c r="J70">
        <f t="shared" si="38"/>
        <v>7224234.547988534</v>
      </c>
      <c r="K70" s="78">
        <f>'Loan Prepayment'!$B$6</f>
        <v>8.5</v>
      </c>
      <c r="L70">
        <f>IF(J70&lt;=0,0,MIN(IF(AND('Loan Prepayment'!$E$15="Reduce EMI",O69&gt;0),-PMT(K70/1200,MAX(1,'Loan Prepayment'!$B$7*12-I70+1),J70),L69),J70+M70))</f>
        <v>72789.936877782937</v>
      </c>
      <c r="M70">
        <f t="shared" si="24"/>
        <v>51171.661381585451</v>
      </c>
      <c r="N70">
        <f t="shared" si="25"/>
        <v>21618.275496197486</v>
      </c>
      <c r="O70">
        <f>IF(J70&lt;=0,0,MIN(MAX(0,J70-N70),SUMIFS('Loan Prepayment'!$B$12:$B$16,'Loan Prepayment'!$A$12:$A$16,I70)+0))</f>
        <v>0</v>
      </c>
      <c r="P70">
        <f t="shared" si="26"/>
        <v>7202616.2724923361</v>
      </c>
      <c r="Q70">
        <v>69</v>
      </c>
      <c r="R70">
        <f t="shared" si="39"/>
        <v>8612946.8618071433</v>
      </c>
      <c r="S70" s="78">
        <f>'Loan Prepayment'!$B$6</f>
        <v>8.5</v>
      </c>
      <c r="T70">
        <f>IF(R70&lt;=0,0,MIN(IF(AND('Loan Prepayment'!$E$15="Reduce EMI",W69&gt;0),-PMT(S70/1200,MAX(1,'Loan Prepayment'!$B$7*12-Q70+1),R70),T69),R70+U70))</f>
        <v>86782.323336553396</v>
      </c>
      <c r="U70">
        <f t="shared" si="27"/>
        <v>61008.373604467262</v>
      </c>
      <c r="V70">
        <f t="shared" si="28"/>
        <v>25773.949732086134</v>
      </c>
      <c r="W70">
        <f>IF(R70&lt;=0,0,MIN(MAX(0,R70-V70),0+IF(AND(Q70&gt;='Loan Prepayment'!$B$9,Q70&lt;='Loan Prepayment'!$E$16),'Loan Prepayment'!$B$8,0)))</f>
        <v>0</v>
      </c>
      <c r="X70">
        <f t="shared" si="29"/>
        <v>8587172.9120750576</v>
      </c>
      <c r="Y70">
        <v>69</v>
      </c>
      <c r="Z70">
        <f t="shared" si="40"/>
        <v>8553477.7494188622</v>
      </c>
      <c r="AA70">
        <f>IF(Y70&gt;='Loan Prepayment'!$E$11,'Loan Prepayment'!$E$12,'Loan Prepayment'!$B$6)</f>
        <v>7.5</v>
      </c>
      <c r="AB70">
        <f>IF(Z70&lt;=0,0,MIN(IF(Y70='Loan Prepayment'!$E$11,IF('Loan Prepayment'!$E$13="Keep tenure, recalculate EMI",-PMT(AA70/1200,MAX(1,'Loan Prepayment'!$B$7*12-Y70+1),Z70),AB69),AB69),Z70+AC70))</f>
        <v>86782.323336553396</v>
      </c>
      <c r="AC70">
        <f t="shared" si="30"/>
        <v>53459.235933867894</v>
      </c>
      <c r="AD70">
        <f t="shared" si="31"/>
        <v>33323.087402685502</v>
      </c>
      <c r="AE70">
        <f t="shared" si="32"/>
        <v>0</v>
      </c>
      <c r="AF70">
        <f t="shared" si="33"/>
        <v>8520154.6620161775</v>
      </c>
      <c r="AG70">
        <v>69</v>
      </c>
      <c r="AH70">
        <f t="shared" si="41"/>
        <v>7134091.8797706906</v>
      </c>
      <c r="AI70">
        <f>IF(AG70&gt;='Loan Prepayment'!$E$11,'Loan Prepayment'!$E$12,'Loan Prepayment'!$B$6)</f>
        <v>7.5</v>
      </c>
      <c r="AJ70">
        <f>IF(AH70&lt;=0,0,MIN(IF(AG70='Loan Prepayment'!$E$11,IF('Loan Prepayment'!$E$13="Keep tenure, recalculate EMI",-PMT(AI70/1200,MAX(1,'Loan Prepayment'!$B$7*12-AG70+1),AH70),AJ69),IF(AND('Loan Prepayment'!$E$15="Reduce EMI",AM69&gt;0),-PMT(AI70/1200,MAX(1,'Loan Prepayment'!$B$7*12-AG70+1),AH70),AJ69)),AH70+AK70))</f>
        <v>77713.634667410894</v>
      </c>
      <c r="AK70">
        <f t="shared" si="34"/>
        <v>44588.074248566816</v>
      </c>
      <c r="AL70">
        <f t="shared" si="35"/>
        <v>33125.560418844078</v>
      </c>
      <c r="AM70">
        <f>IF(AH70&lt;=0,0,MIN(MAX(0,AH70-AL70),SUMIFS('Loan Prepayment'!$B$12:$B$16,'Loan Prepayment'!$A$12:$A$16,AG70)+IF(AND(AG70&gt;='Loan Prepayment'!$B$9,AG70&lt;='Loan Prepayment'!$E$16),'Loan Prepayment'!$B$8,0)))</f>
        <v>0</v>
      </c>
      <c r="AN70">
        <f t="shared" si="36"/>
        <v>7100966.3193518464</v>
      </c>
    </row>
    <row r="71" spans="1:40" x14ac:dyDescent="0.35">
      <c r="A71">
        <v>70</v>
      </c>
      <c r="B71">
        <f t="shared" si="37"/>
        <v>8587172.9120750576</v>
      </c>
      <c r="C71" s="78">
        <f>'Loan Prepayment'!$B$6</f>
        <v>8.5</v>
      </c>
      <c r="D71">
        <f>IF(B71&lt;=0,0,MIN(-PMT('Loan Prepayment'!$B$6/1200,'Loan Prepayment'!$B$7*12,'Loan Prepayment'!$B$5),B71+E71))</f>
        <v>86782.323336553396</v>
      </c>
      <c r="E71">
        <f t="shared" si="21"/>
        <v>60825.808127198317</v>
      </c>
      <c r="F71">
        <f t="shared" si="22"/>
        <v>25956.515209355079</v>
      </c>
      <c r="G71">
        <v>0</v>
      </c>
      <c r="H71">
        <f t="shared" si="23"/>
        <v>8561216.3968657032</v>
      </c>
      <c r="I71">
        <v>70</v>
      </c>
      <c r="J71">
        <f t="shared" si="38"/>
        <v>7202616.2724923361</v>
      </c>
      <c r="K71" s="78">
        <f>'Loan Prepayment'!$B$6</f>
        <v>8.5</v>
      </c>
      <c r="L71">
        <f>IF(J71&lt;=0,0,MIN(IF(AND('Loan Prepayment'!$E$15="Reduce EMI",O70&gt;0),-PMT(K71/1200,MAX(1,'Loan Prepayment'!$B$7*12-I71+1),J71),L70),J71+M71))</f>
        <v>72789.936877782937</v>
      </c>
      <c r="M71">
        <f t="shared" si="24"/>
        <v>51018.531930154044</v>
      </c>
      <c r="N71">
        <f t="shared" si="25"/>
        <v>21771.404947628893</v>
      </c>
      <c r="O71">
        <f>IF(J71&lt;=0,0,MIN(MAX(0,J71-N71),SUMIFS('Loan Prepayment'!$B$12:$B$16,'Loan Prepayment'!$A$12:$A$16,I71)+0))</f>
        <v>0</v>
      </c>
      <c r="P71">
        <f t="shared" si="26"/>
        <v>7180844.8675447069</v>
      </c>
      <c r="Q71">
        <v>70</v>
      </c>
      <c r="R71">
        <f t="shared" si="39"/>
        <v>8587172.9120750576</v>
      </c>
      <c r="S71" s="78">
        <f>'Loan Prepayment'!$B$6</f>
        <v>8.5</v>
      </c>
      <c r="T71">
        <f>IF(R71&lt;=0,0,MIN(IF(AND('Loan Prepayment'!$E$15="Reduce EMI",W70&gt;0),-PMT(S71/1200,MAX(1,'Loan Prepayment'!$B$7*12-Q71+1),R71),T70),R71+U71))</f>
        <v>86782.323336553396</v>
      </c>
      <c r="U71">
        <f t="shared" si="27"/>
        <v>60825.808127198317</v>
      </c>
      <c r="V71">
        <f t="shared" si="28"/>
        <v>25956.515209355079</v>
      </c>
      <c r="W71">
        <f>IF(R71&lt;=0,0,MIN(MAX(0,R71-V71),0+IF(AND(Q71&gt;='Loan Prepayment'!$B$9,Q71&lt;='Loan Prepayment'!$E$16),'Loan Prepayment'!$B$8,0)))</f>
        <v>0</v>
      </c>
      <c r="X71">
        <f t="shared" si="29"/>
        <v>8561216.3968657032</v>
      </c>
      <c r="Y71">
        <v>70</v>
      </c>
      <c r="Z71">
        <f t="shared" si="40"/>
        <v>8520154.6620161775</v>
      </c>
      <c r="AA71">
        <f>IF(Y71&gt;='Loan Prepayment'!$E$11,'Loan Prepayment'!$E$12,'Loan Prepayment'!$B$6)</f>
        <v>7.5</v>
      </c>
      <c r="AB71">
        <f>IF(Z71&lt;=0,0,MIN(IF(Y71='Loan Prepayment'!$E$11,IF('Loan Prepayment'!$E$13="Keep tenure, recalculate EMI",-PMT(AA71/1200,MAX(1,'Loan Prepayment'!$B$7*12-Y71+1),Z71),AB70),AB70),Z71+AC71))</f>
        <v>86782.323336553396</v>
      </c>
      <c r="AC71">
        <f t="shared" si="30"/>
        <v>53250.966637601108</v>
      </c>
      <c r="AD71">
        <f t="shared" si="31"/>
        <v>33531.356698952288</v>
      </c>
      <c r="AE71">
        <f t="shared" si="32"/>
        <v>0</v>
      </c>
      <c r="AF71">
        <f t="shared" si="33"/>
        <v>8486623.3053172249</v>
      </c>
      <c r="AG71">
        <v>70</v>
      </c>
      <c r="AH71">
        <f t="shared" si="41"/>
        <v>7100966.3193518464</v>
      </c>
      <c r="AI71">
        <f>IF(AG71&gt;='Loan Prepayment'!$E$11,'Loan Prepayment'!$E$12,'Loan Prepayment'!$B$6)</f>
        <v>7.5</v>
      </c>
      <c r="AJ71">
        <f>IF(AH71&lt;=0,0,MIN(IF(AG71='Loan Prepayment'!$E$11,IF('Loan Prepayment'!$E$13="Keep tenure, recalculate EMI",-PMT(AI71/1200,MAX(1,'Loan Prepayment'!$B$7*12-AG71+1),AH71),AJ70),IF(AND('Loan Prepayment'!$E$15="Reduce EMI",AM70&gt;0),-PMT(AI71/1200,MAX(1,'Loan Prepayment'!$B$7*12-AG71+1),AH71),AJ70)),AH71+AK71))</f>
        <v>77713.634667410894</v>
      </c>
      <c r="AK71">
        <f t="shared" si="34"/>
        <v>44381.039495949037</v>
      </c>
      <c r="AL71">
        <f t="shared" si="35"/>
        <v>33332.595171461857</v>
      </c>
      <c r="AM71">
        <f>IF(AH71&lt;=0,0,MIN(MAX(0,AH71-AL71),SUMIFS('Loan Prepayment'!$B$12:$B$16,'Loan Prepayment'!$A$12:$A$16,AG71)+IF(AND(AG71&gt;='Loan Prepayment'!$B$9,AG71&lt;='Loan Prepayment'!$E$16),'Loan Prepayment'!$B$8,0)))</f>
        <v>0</v>
      </c>
      <c r="AN71">
        <f t="shared" si="36"/>
        <v>7067633.7241803845</v>
      </c>
    </row>
    <row r="72" spans="1:40" x14ac:dyDescent="0.35">
      <c r="A72">
        <v>71</v>
      </c>
      <c r="B72">
        <f t="shared" si="37"/>
        <v>8561216.3968657032</v>
      </c>
      <c r="C72" s="78">
        <f>'Loan Prepayment'!$B$6</f>
        <v>8.5</v>
      </c>
      <c r="D72">
        <f>IF(B72&lt;=0,0,MIN(-PMT('Loan Prepayment'!$B$6/1200,'Loan Prepayment'!$B$7*12,'Loan Prepayment'!$B$5),B72+E72))</f>
        <v>86782.323336553396</v>
      </c>
      <c r="E72">
        <f t="shared" si="21"/>
        <v>60641.949477798727</v>
      </c>
      <c r="F72">
        <f t="shared" si="22"/>
        <v>26140.373858754669</v>
      </c>
      <c r="G72">
        <v>0</v>
      </c>
      <c r="H72">
        <f t="shared" si="23"/>
        <v>8535076.0230069477</v>
      </c>
      <c r="I72">
        <v>71</v>
      </c>
      <c r="J72">
        <f t="shared" si="38"/>
        <v>7180844.8675447069</v>
      </c>
      <c r="K72" s="78">
        <f>'Loan Prepayment'!$B$6</f>
        <v>8.5</v>
      </c>
      <c r="L72">
        <f>IF(J72&lt;=0,0,MIN(IF(AND('Loan Prepayment'!$E$15="Reduce EMI",O71&gt;0),-PMT(K72/1200,MAX(1,'Loan Prepayment'!$B$7*12-I72+1),J72),L71),J72+M72))</f>
        <v>72789.936877782937</v>
      </c>
      <c r="M72">
        <f t="shared" si="24"/>
        <v>50864.317811775007</v>
      </c>
      <c r="N72">
        <f t="shared" si="25"/>
        <v>21925.61906600793</v>
      </c>
      <c r="O72">
        <f>IF(J72&lt;=0,0,MIN(MAX(0,J72-N72),SUMIFS('Loan Prepayment'!$B$12:$B$16,'Loan Prepayment'!$A$12:$A$16,I72)+0))</f>
        <v>0</v>
      </c>
      <c r="P72">
        <f t="shared" si="26"/>
        <v>7158919.2484786985</v>
      </c>
      <c r="Q72">
        <v>71</v>
      </c>
      <c r="R72">
        <f t="shared" si="39"/>
        <v>8561216.3968657032</v>
      </c>
      <c r="S72" s="78">
        <f>'Loan Prepayment'!$B$6</f>
        <v>8.5</v>
      </c>
      <c r="T72">
        <f>IF(R72&lt;=0,0,MIN(IF(AND('Loan Prepayment'!$E$15="Reduce EMI",W71&gt;0),-PMT(S72/1200,MAX(1,'Loan Prepayment'!$B$7*12-Q72+1),R72),T71),R72+U72))</f>
        <v>86782.323336553396</v>
      </c>
      <c r="U72">
        <f t="shared" si="27"/>
        <v>60641.949477798727</v>
      </c>
      <c r="V72">
        <f t="shared" si="28"/>
        <v>26140.373858754669</v>
      </c>
      <c r="W72">
        <f>IF(R72&lt;=0,0,MIN(MAX(0,R72-V72),0+IF(AND(Q72&gt;='Loan Prepayment'!$B$9,Q72&lt;='Loan Prepayment'!$E$16),'Loan Prepayment'!$B$8,0)))</f>
        <v>0</v>
      </c>
      <c r="X72">
        <f t="shared" si="29"/>
        <v>8535076.0230069477</v>
      </c>
      <c r="Y72">
        <v>71</v>
      </c>
      <c r="Z72">
        <f t="shared" si="40"/>
        <v>8486623.3053172249</v>
      </c>
      <c r="AA72">
        <f>IF(Y72&gt;='Loan Prepayment'!$E$11,'Loan Prepayment'!$E$12,'Loan Prepayment'!$B$6)</f>
        <v>7.5</v>
      </c>
      <c r="AB72">
        <f>IF(Z72&lt;=0,0,MIN(IF(Y72='Loan Prepayment'!$E$11,IF('Loan Prepayment'!$E$13="Keep tenure, recalculate EMI",-PMT(AA72/1200,MAX(1,'Loan Prepayment'!$B$7*12-Y72+1),Z72),AB71),AB71),Z72+AC72))</f>
        <v>86782.323336553396</v>
      </c>
      <c r="AC72">
        <f t="shared" si="30"/>
        <v>53041.395658232657</v>
      </c>
      <c r="AD72">
        <f t="shared" si="31"/>
        <v>33740.927678320739</v>
      </c>
      <c r="AE72">
        <f t="shared" si="32"/>
        <v>0</v>
      </c>
      <c r="AF72">
        <f t="shared" si="33"/>
        <v>8452882.3776389044</v>
      </c>
      <c r="AG72">
        <v>71</v>
      </c>
      <c r="AH72">
        <f t="shared" si="41"/>
        <v>7067633.7241803845</v>
      </c>
      <c r="AI72">
        <f>IF(AG72&gt;='Loan Prepayment'!$E$11,'Loan Prepayment'!$E$12,'Loan Prepayment'!$B$6)</f>
        <v>7.5</v>
      </c>
      <c r="AJ72">
        <f>IF(AH72&lt;=0,0,MIN(IF(AG72='Loan Prepayment'!$E$11,IF('Loan Prepayment'!$E$13="Keep tenure, recalculate EMI",-PMT(AI72/1200,MAX(1,'Loan Prepayment'!$B$7*12-AG72+1),AH72),AJ71),IF(AND('Loan Prepayment'!$E$15="Reduce EMI",AM71&gt;0),-PMT(AI72/1200,MAX(1,'Loan Prepayment'!$B$7*12-AG72+1),AH72),AJ71)),AH72+AK72))</f>
        <v>77713.634667410894</v>
      </c>
      <c r="AK72">
        <f t="shared" si="34"/>
        <v>44172.710776127402</v>
      </c>
      <c r="AL72">
        <f t="shared" si="35"/>
        <v>33540.923891283492</v>
      </c>
      <c r="AM72">
        <f>IF(AH72&lt;=0,0,MIN(MAX(0,AH72-AL72),SUMIFS('Loan Prepayment'!$B$12:$B$16,'Loan Prepayment'!$A$12:$A$16,AG72)+IF(AND(AG72&gt;='Loan Prepayment'!$B$9,AG72&lt;='Loan Prepayment'!$E$16),'Loan Prepayment'!$B$8,0)))</f>
        <v>0</v>
      </c>
      <c r="AN72">
        <f t="shared" si="36"/>
        <v>7034092.800289101</v>
      </c>
    </row>
    <row r="73" spans="1:40" x14ac:dyDescent="0.35">
      <c r="A73">
        <v>72</v>
      </c>
      <c r="B73">
        <f t="shared" si="37"/>
        <v>8535076.0230069477</v>
      </c>
      <c r="C73" s="78">
        <f>'Loan Prepayment'!$B$6</f>
        <v>8.5</v>
      </c>
      <c r="D73">
        <f>IF(B73&lt;=0,0,MIN(-PMT('Loan Prepayment'!$B$6/1200,'Loan Prepayment'!$B$7*12,'Loan Prepayment'!$B$5),B73+E73))</f>
        <v>86782.323336553396</v>
      </c>
      <c r="E73">
        <f t="shared" si="21"/>
        <v>60456.78849629921</v>
      </c>
      <c r="F73">
        <f t="shared" si="22"/>
        <v>26325.534840254186</v>
      </c>
      <c r="G73">
        <v>0</v>
      </c>
      <c r="H73">
        <f t="shared" si="23"/>
        <v>8508750.4881666936</v>
      </c>
      <c r="I73">
        <v>72</v>
      </c>
      <c r="J73">
        <f t="shared" si="38"/>
        <v>7158919.2484786985</v>
      </c>
      <c r="K73" s="78">
        <f>'Loan Prepayment'!$B$6</f>
        <v>8.5</v>
      </c>
      <c r="L73">
        <f>IF(J73&lt;=0,0,MIN(IF(AND('Loan Prepayment'!$E$15="Reduce EMI",O72&gt;0),-PMT(K73/1200,MAX(1,'Loan Prepayment'!$B$7*12-I73+1),J73),L72),J73+M73))</f>
        <v>72789.936877782937</v>
      </c>
      <c r="M73">
        <f t="shared" si="24"/>
        <v>50709.011343390783</v>
      </c>
      <c r="N73">
        <f t="shared" si="25"/>
        <v>22080.925534392154</v>
      </c>
      <c r="O73">
        <f>IF(J73&lt;=0,0,MIN(MAX(0,J73-N73),SUMIFS('Loan Prepayment'!$B$12:$B$16,'Loan Prepayment'!$A$12:$A$16,I73)+0))</f>
        <v>0</v>
      </c>
      <c r="P73">
        <f t="shared" si="26"/>
        <v>7136838.3229443068</v>
      </c>
      <c r="Q73">
        <v>72</v>
      </c>
      <c r="R73">
        <f t="shared" si="39"/>
        <v>8535076.0230069477</v>
      </c>
      <c r="S73" s="78">
        <f>'Loan Prepayment'!$B$6</f>
        <v>8.5</v>
      </c>
      <c r="T73">
        <f>IF(R73&lt;=0,0,MIN(IF(AND('Loan Prepayment'!$E$15="Reduce EMI",W72&gt;0),-PMT(S73/1200,MAX(1,'Loan Prepayment'!$B$7*12-Q73+1),R73),T72),R73+U73))</f>
        <v>86782.323336553396</v>
      </c>
      <c r="U73">
        <f t="shared" si="27"/>
        <v>60456.78849629921</v>
      </c>
      <c r="V73">
        <f t="shared" si="28"/>
        <v>26325.534840254186</v>
      </c>
      <c r="W73">
        <f>IF(R73&lt;=0,0,MIN(MAX(0,R73-V73),0+IF(AND(Q73&gt;='Loan Prepayment'!$B$9,Q73&lt;='Loan Prepayment'!$E$16),'Loan Prepayment'!$B$8,0)))</f>
        <v>0</v>
      </c>
      <c r="X73">
        <f t="shared" si="29"/>
        <v>8508750.4881666936</v>
      </c>
      <c r="Y73">
        <v>72</v>
      </c>
      <c r="Z73">
        <f t="shared" si="40"/>
        <v>8452882.3776389044</v>
      </c>
      <c r="AA73">
        <f>IF(Y73&gt;='Loan Prepayment'!$E$11,'Loan Prepayment'!$E$12,'Loan Prepayment'!$B$6)</f>
        <v>7.5</v>
      </c>
      <c r="AB73">
        <f>IF(Z73&lt;=0,0,MIN(IF(Y73='Loan Prepayment'!$E$11,IF('Loan Prepayment'!$E$13="Keep tenure, recalculate EMI",-PMT(AA73/1200,MAX(1,'Loan Prepayment'!$B$7*12-Y73+1),Z73),AB72),AB72),Z73+AC73))</f>
        <v>86782.323336553396</v>
      </c>
      <c r="AC73">
        <f t="shared" si="30"/>
        <v>52830.514860243151</v>
      </c>
      <c r="AD73">
        <f t="shared" si="31"/>
        <v>33951.808476310245</v>
      </c>
      <c r="AE73">
        <f t="shared" si="32"/>
        <v>0</v>
      </c>
      <c r="AF73">
        <f t="shared" si="33"/>
        <v>8418930.5691625942</v>
      </c>
      <c r="AG73">
        <v>72</v>
      </c>
      <c r="AH73">
        <f t="shared" si="41"/>
        <v>7034092.800289101</v>
      </c>
      <c r="AI73">
        <f>IF(AG73&gt;='Loan Prepayment'!$E$11,'Loan Prepayment'!$E$12,'Loan Prepayment'!$B$6)</f>
        <v>7.5</v>
      </c>
      <c r="AJ73">
        <f>IF(AH73&lt;=0,0,MIN(IF(AG73='Loan Prepayment'!$E$11,IF('Loan Prepayment'!$E$13="Keep tenure, recalculate EMI",-PMT(AI73/1200,MAX(1,'Loan Prepayment'!$B$7*12-AG73+1),AH73),AJ72),IF(AND('Loan Prepayment'!$E$15="Reduce EMI",AM72&gt;0),-PMT(AI73/1200,MAX(1,'Loan Prepayment'!$B$7*12-AG73+1),AH73),AJ72)),AH73+AK73))</f>
        <v>77713.634667410894</v>
      </c>
      <c r="AK73">
        <f t="shared" si="34"/>
        <v>43963.080001806884</v>
      </c>
      <c r="AL73">
        <f t="shared" si="35"/>
        <v>33750.55466560401</v>
      </c>
      <c r="AM73">
        <f>IF(AH73&lt;=0,0,MIN(MAX(0,AH73-AL73),SUMIFS('Loan Prepayment'!$B$12:$B$16,'Loan Prepayment'!$A$12:$A$16,AG73)+IF(AND(AG73&gt;='Loan Prepayment'!$B$9,AG73&lt;='Loan Prepayment'!$E$16),'Loan Prepayment'!$B$8,0)))</f>
        <v>0</v>
      </c>
      <c r="AN73">
        <f t="shared" si="36"/>
        <v>7000342.2456234973</v>
      </c>
    </row>
    <row r="74" spans="1:40" x14ac:dyDescent="0.35">
      <c r="A74">
        <v>73</v>
      </c>
      <c r="B74">
        <f t="shared" si="37"/>
        <v>8508750.4881666936</v>
      </c>
      <c r="C74" s="78">
        <f>'Loan Prepayment'!$B$6</f>
        <v>8.5</v>
      </c>
      <c r="D74">
        <f>IF(B74&lt;=0,0,MIN(-PMT('Loan Prepayment'!$B$6/1200,'Loan Prepayment'!$B$7*12,'Loan Prepayment'!$B$5),B74+E74))</f>
        <v>86782.323336553396</v>
      </c>
      <c r="E74">
        <f t="shared" si="21"/>
        <v>60270.315957847408</v>
      </c>
      <c r="F74">
        <f t="shared" si="22"/>
        <v>26512.007378705988</v>
      </c>
      <c r="G74">
        <v>0</v>
      </c>
      <c r="H74">
        <f t="shared" si="23"/>
        <v>8482238.4807879869</v>
      </c>
      <c r="I74">
        <v>73</v>
      </c>
      <c r="J74">
        <f t="shared" si="38"/>
        <v>7136838.3229443068</v>
      </c>
      <c r="K74" s="78">
        <f>'Loan Prepayment'!$B$6</f>
        <v>8.5</v>
      </c>
      <c r="L74">
        <f>IF(J74&lt;=0,0,MIN(IF(AND('Loan Prepayment'!$E$15="Reduce EMI",O73&gt;0),-PMT(K74/1200,MAX(1,'Loan Prepayment'!$B$7*12-I74+1),J74),L73),J74+M74))</f>
        <v>72789.936877782937</v>
      </c>
      <c r="M74">
        <f t="shared" si="24"/>
        <v>50552.604787522178</v>
      </c>
      <c r="N74">
        <f t="shared" si="25"/>
        <v>22237.332090260759</v>
      </c>
      <c r="O74">
        <f>IF(J74&lt;=0,0,MIN(MAX(0,J74-N74),SUMIFS('Loan Prepayment'!$B$12:$B$16,'Loan Prepayment'!$A$12:$A$16,I74)+0))</f>
        <v>0</v>
      </c>
      <c r="P74">
        <f t="shared" si="26"/>
        <v>7114600.9908540463</v>
      </c>
      <c r="Q74">
        <v>73</v>
      </c>
      <c r="R74">
        <f t="shared" si="39"/>
        <v>8508750.4881666936</v>
      </c>
      <c r="S74" s="78">
        <f>'Loan Prepayment'!$B$6</f>
        <v>8.5</v>
      </c>
      <c r="T74">
        <f>IF(R74&lt;=0,0,MIN(IF(AND('Loan Prepayment'!$E$15="Reduce EMI",W73&gt;0),-PMT(S74/1200,MAX(1,'Loan Prepayment'!$B$7*12-Q74+1),R74),T73),R74+U74))</f>
        <v>86782.323336553396</v>
      </c>
      <c r="U74">
        <f t="shared" si="27"/>
        <v>60270.315957847408</v>
      </c>
      <c r="V74">
        <f t="shared" si="28"/>
        <v>26512.007378705988</v>
      </c>
      <c r="W74">
        <f>IF(R74&lt;=0,0,MIN(MAX(0,R74-V74),0+IF(AND(Q74&gt;='Loan Prepayment'!$B$9,Q74&lt;='Loan Prepayment'!$E$16),'Loan Prepayment'!$B$8,0)))</f>
        <v>0</v>
      </c>
      <c r="X74">
        <f t="shared" si="29"/>
        <v>8482238.4807879869</v>
      </c>
      <c r="Y74">
        <v>73</v>
      </c>
      <c r="Z74">
        <f t="shared" si="40"/>
        <v>8418930.5691625942</v>
      </c>
      <c r="AA74">
        <f>IF(Y74&gt;='Loan Prepayment'!$E$11,'Loan Prepayment'!$E$12,'Loan Prepayment'!$B$6)</f>
        <v>7.5</v>
      </c>
      <c r="AB74">
        <f>IF(Z74&lt;=0,0,MIN(IF(Y74='Loan Prepayment'!$E$11,IF('Loan Prepayment'!$E$13="Keep tenure, recalculate EMI",-PMT(AA74/1200,MAX(1,'Loan Prepayment'!$B$7*12-Y74+1),Z74),AB73),AB73),Z74+AC74))</f>
        <v>86782.323336553396</v>
      </c>
      <c r="AC74">
        <f t="shared" si="30"/>
        <v>52618.316057266216</v>
      </c>
      <c r="AD74">
        <f t="shared" si="31"/>
        <v>34164.00727928718</v>
      </c>
      <c r="AE74">
        <f t="shared" si="32"/>
        <v>0</v>
      </c>
      <c r="AF74">
        <f t="shared" si="33"/>
        <v>8384766.5618833071</v>
      </c>
      <c r="AG74">
        <v>73</v>
      </c>
      <c r="AH74">
        <f t="shared" si="41"/>
        <v>7000342.2456234973</v>
      </c>
      <c r="AI74">
        <f>IF(AG74&gt;='Loan Prepayment'!$E$11,'Loan Prepayment'!$E$12,'Loan Prepayment'!$B$6)</f>
        <v>7.5</v>
      </c>
      <c r="AJ74">
        <f>IF(AH74&lt;=0,0,MIN(IF(AG74='Loan Prepayment'!$E$11,IF('Loan Prepayment'!$E$13="Keep tenure, recalculate EMI",-PMT(AI74/1200,MAX(1,'Loan Prepayment'!$B$7*12-AG74+1),AH74),AJ73),IF(AND('Loan Prepayment'!$E$15="Reduce EMI",AM73&gt;0),-PMT(AI74/1200,MAX(1,'Loan Prepayment'!$B$7*12-AG74+1),AH74),AJ73)),AH74+AK74))</f>
        <v>77713.634667410894</v>
      </c>
      <c r="AK74">
        <f t="shared" si="34"/>
        <v>43752.139035146858</v>
      </c>
      <c r="AL74">
        <f t="shared" si="35"/>
        <v>33961.495632264036</v>
      </c>
      <c r="AM74">
        <f>IF(AH74&lt;=0,0,MIN(MAX(0,AH74-AL74),SUMIFS('Loan Prepayment'!$B$12:$B$16,'Loan Prepayment'!$A$12:$A$16,AG74)+IF(AND(AG74&gt;='Loan Prepayment'!$B$9,AG74&lt;='Loan Prepayment'!$E$16),'Loan Prepayment'!$B$8,0)))</f>
        <v>0</v>
      </c>
      <c r="AN74">
        <f t="shared" si="36"/>
        <v>6966380.7499912335</v>
      </c>
    </row>
    <row r="75" spans="1:40" x14ac:dyDescent="0.35">
      <c r="A75">
        <v>74</v>
      </c>
      <c r="B75">
        <f t="shared" si="37"/>
        <v>8482238.4807879869</v>
      </c>
      <c r="C75" s="78">
        <f>'Loan Prepayment'!$B$6</f>
        <v>8.5</v>
      </c>
      <c r="D75">
        <f>IF(B75&lt;=0,0,MIN(-PMT('Loan Prepayment'!$B$6/1200,'Loan Prepayment'!$B$7*12,'Loan Prepayment'!$B$5),B75+E75))</f>
        <v>86782.323336553396</v>
      </c>
      <c r="E75">
        <f t="shared" si="21"/>
        <v>60082.522572248243</v>
      </c>
      <c r="F75">
        <f t="shared" si="22"/>
        <v>26699.800764305153</v>
      </c>
      <c r="G75">
        <v>0</v>
      </c>
      <c r="H75">
        <f t="shared" si="23"/>
        <v>8455538.6800236814</v>
      </c>
      <c r="I75">
        <v>74</v>
      </c>
      <c r="J75">
        <f t="shared" si="38"/>
        <v>7114600.9908540463</v>
      </c>
      <c r="K75" s="78">
        <f>'Loan Prepayment'!$B$6</f>
        <v>8.5</v>
      </c>
      <c r="L75">
        <f>IF(J75&lt;=0,0,MIN(IF(AND('Loan Prepayment'!$E$15="Reduce EMI",O74&gt;0),-PMT(K75/1200,MAX(1,'Loan Prepayment'!$B$7*12-I75+1),J75),L74),J75+M75))</f>
        <v>72789.936877782937</v>
      </c>
      <c r="M75">
        <f t="shared" si="24"/>
        <v>50395.090351882827</v>
      </c>
      <c r="N75">
        <f t="shared" si="25"/>
        <v>22394.84652590011</v>
      </c>
      <c r="O75">
        <f>IF(J75&lt;=0,0,MIN(MAX(0,J75-N75),SUMIFS('Loan Prepayment'!$B$12:$B$16,'Loan Prepayment'!$A$12:$A$16,I75)+0))</f>
        <v>0</v>
      </c>
      <c r="P75">
        <f t="shared" si="26"/>
        <v>7092206.1443281462</v>
      </c>
      <c r="Q75">
        <v>74</v>
      </c>
      <c r="R75">
        <f t="shared" si="39"/>
        <v>8482238.4807879869</v>
      </c>
      <c r="S75" s="78">
        <f>'Loan Prepayment'!$B$6</f>
        <v>8.5</v>
      </c>
      <c r="T75">
        <f>IF(R75&lt;=0,0,MIN(IF(AND('Loan Prepayment'!$E$15="Reduce EMI",W74&gt;0),-PMT(S75/1200,MAX(1,'Loan Prepayment'!$B$7*12-Q75+1),R75),T74),R75+U75))</f>
        <v>86782.323336553396</v>
      </c>
      <c r="U75">
        <f t="shared" si="27"/>
        <v>60082.522572248243</v>
      </c>
      <c r="V75">
        <f t="shared" si="28"/>
        <v>26699.800764305153</v>
      </c>
      <c r="W75">
        <f>IF(R75&lt;=0,0,MIN(MAX(0,R75-V75),0+IF(AND(Q75&gt;='Loan Prepayment'!$B$9,Q75&lt;='Loan Prepayment'!$E$16),'Loan Prepayment'!$B$8,0)))</f>
        <v>0</v>
      </c>
      <c r="X75">
        <f t="shared" si="29"/>
        <v>8455538.6800236814</v>
      </c>
      <c r="Y75">
        <v>74</v>
      </c>
      <c r="Z75">
        <f t="shared" si="40"/>
        <v>8384766.5618833071</v>
      </c>
      <c r="AA75">
        <f>IF(Y75&gt;='Loan Prepayment'!$E$11,'Loan Prepayment'!$E$12,'Loan Prepayment'!$B$6)</f>
        <v>7.5</v>
      </c>
      <c r="AB75">
        <f>IF(Z75&lt;=0,0,MIN(IF(Y75='Loan Prepayment'!$E$11,IF('Loan Prepayment'!$E$13="Keep tenure, recalculate EMI",-PMT(AA75/1200,MAX(1,'Loan Prepayment'!$B$7*12-Y75+1),Z75),AB74),AB74),Z75+AC75))</f>
        <v>86782.323336553396</v>
      </c>
      <c r="AC75">
        <f t="shared" si="30"/>
        <v>52404.791011770671</v>
      </c>
      <c r="AD75">
        <f t="shared" si="31"/>
        <v>34377.532324782725</v>
      </c>
      <c r="AE75">
        <f t="shared" si="32"/>
        <v>0</v>
      </c>
      <c r="AF75">
        <f t="shared" si="33"/>
        <v>8350389.0295585245</v>
      </c>
      <c r="AG75">
        <v>74</v>
      </c>
      <c r="AH75">
        <f t="shared" si="41"/>
        <v>6966380.7499912335</v>
      </c>
      <c r="AI75">
        <f>IF(AG75&gt;='Loan Prepayment'!$E$11,'Loan Prepayment'!$E$12,'Loan Prepayment'!$B$6)</f>
        <v>7.5</v>
      </c>
      <c r="AJ75">
        <f>IF(AH75&lt;=0,0,MIN(IF(AG75='Loan Prepayment'!$E$11,IF('Loan Prepayment'!$E$13="Keep tenure, recalculate EMI",-PMT(AI75/1200,MAX(1,'Loan Prepayment'!$B$7*12-AG75+1),AH75),AJ74),IF(AND('Loan Prepayment'!$E$15="Reduce EMI",AM74&gt;0),-PMT(AI75/1200,MAX(1,'Loan Prepayment'!$B$7*12-AG75+1),AH75),AJ74)),AH75+AK75))</f>
        <v>77713.634667410894</v>
      </c>
      <c r="AK75">
        <f t="shared" si="34"/>
        <v>43539.879687445209</v>
      </c>
      <c r="AL75">
        <f t="shared" si="35"/>
        <v>34173.754979965684</v>
      </c>
      <c r="AM75">
        <f>IF(AH75&lt;=0,0,MIN(MAX(0,AH75-AL75),SUMIFS('Loan Prepayment'!$B$12:$B$16,'Loan Prepayment'!$A$12:$A$16,AG75)+IF(AND(AG75&gt;='Loan Prepayment'!$B$9,AG75&lt;='Loan Prepayment'!$E$16),'Loan Prepayment'!$B$8,0)))</f>
        <v>0</v>
      </c>
      <c r="AN75">
        <f t="shared" si="36"/>
        <v>6932206.9950112682</v>
      </c>
    </row>
    <row r="76" spans="1:40" x14ac:dyDescent="0.35">
      <c r="A76">
        <v>75</v>
      </c>
      <c r="B76">
        <f t="shared" si="37"/>
        <v>8455538.6800236814</v>
      </c>
      <c r="C76" s="78">
        <f>'Loan Prepayment'!$B$6</f>
        <v>8.5</v>
      </c>
      <c r="D76">
        <f>IF(B76&lt;=0,0,MIN(-PMT('Loan Prepayment'!$B$6/1200,'Loan Prepayment'!$B$7*12,'Loan Prepayment'!$B$5),B76+E76))</f>
        <v>86782.323336553396</v>
      </c>
      <c r="E76">
        <f t="shared" si="21"/>
        <v>59893.398983501073</v>
      </c>
      <c r="F76">
        <f t="shared" si="22"/>
        <v>26888.924353052324</v>
      </c>
      <c r="G76">
        <v>0</v>
      </c>
      <c r="H76">
        <f t="shared" si="23"/>
        <v>8428649.7556706294</v>
      </c>
      <c r="I76">
        <v>75</v>
      </c>
      <c r="J76">
        <f t="shared" si="38"/>
        <v>7092206.1443281462</v>
      </c>
      <c r="K76" s="78">
        <f>'Loan Prepayment'!$B$6</f>
        <v>8.5</v>
      </c>
      <c r="L76">
        <f>IF(J76&lt;=0,0,MIN(IF(AND('Loan Prepayment'!$E$15="Reduce EMI",O75&gt;0),-PMT(K76/1200,MAX(1,'Loan Prepayment'!$B$7*12-I76+1),J76),L75),J76+M76))</f>
        <v>72789.936877782937</v>
      </c>
      <c r="M76">
        <f t="shared" si="24"/>
        <v>50236.460188991034</v>
      </c>
      <c r="N76">
        <f t="shared" si="25"/>
        <v>22553.476688791903</v>
      </c>
      <c r="O76">
        <f>IF(J76&lt;=0,0,MIN(MAX(0,J76-N76),SUMIFS('Loan Prepayment'!$B$12:$B$16,'Loan Prepayment'!$A$12:$A$16,I76)+0))</f>
        <v>0</v>
      </c>
      <c r="P76">
        <f t="shared" si="26"/>
        <v>7069652.6676393542</v>
      </c>
      <c r="Q76">
        <v>75</v>
      </c>
      <c r="R76">
        <f t="shared" si="39"/>
        <v>8455538.6800236814</v>
      </c>
      <c r="S76" s="78">
        <f>'Loan Prepayment'!$B$6</f>
        <v>8.5</v>
      </c>
      <c r="T76">
        <f>IF(R76&lt;=0,0,MIN(IF(AND('Loan Prepayment'!$E$15="Reduce EMI",W75&gt;0),-PMT(S76/1200,MAX(1,'Loan Prepayment'!$B$7*12-Q76+1),R76),T75),R76+U76))</f>
        <v>86782.323336553396</v>
      </c>
      <c r="U76">
        <f t="shared" si="27"/>
        <v>59893.398983501073</v>
      </c>
      <c r="V76">
        <f t="shared" si="28"/>
        <v>26888.924353052324</v>
      </c>
      <c r="W76">
        <f>IF(R76&lt;=0,0,MIN(MAX(0,R76-V76),0+IF(AND(Q76&gt;='Loan Prepayment'!$B$9,Q76&lt;='Loan Prepayment'!$E$16),'Loan Prepayment'!$B$8,0)))</f>
        <v>0</v>
      </c>
      <c r="X76">
        <f t="shared" si="29"/>
        <v>8428649.7556706294</v>
      </c>
      <c r="Y76">
        <v>75</v>
      </c>
      <c r="Z76">
        <f t="shared" si="40"/>
        <v>8350389.0295585245</v>
      </c>
      <c r="AA76">
        <f>IF(Y76&gt;='Loan Prepayment'!$E$11,'Loan Prepayment'!$E$12,'Loan Prepayment'!$B$6)</f>
        <v>7.5</v>
      </c>
      <c r="AB76">
        <f>IF(Z76&lt;=0,0,MIN(IF(Y76='Loan Prepayment'!$E$11,IF('Loan Prepayment'!$E$13="Keep tenure, recalculate EMI",-PMT(AA76/1200,MAX(1,'Loan Prepayment'!$B$7*12-Y76+1),Z76),AB75),AB75),Z76+AC76))</f>
        <v>86782.323336553396</v>
      </c>
      <c r="AC76">
        <f t="shared" si="30"/>
        <v>52189.931434740778</v>
      </c>
      <c r="AD76">
        <f t="shared" si="31"/>
        <v>34592.391901812618</v>
      </c>
      <c r="AE76">
        <f t="shared" si="32"/>
        <v>0</v>
      </c>
      <c r="AF76">
        <f t="shared" si="33"/>
        <v>8315796.637656712</v>
      </c>
      <c r="AG76">
        <v>75</v>
      </c>
      <c r="AH76">
        <f t="shared" si="41"/>
        <v>6932206.9950112682</v>
      </c>
      <c r="AI76">
        <f>IF(AG76&gt;='Loan Prepayment'!$E$11,'Loan Prepayment'!$E$12,'Loan Prepayment'!$B$6)</f>
        <v>7.5</v>
      </c>
      <c r="AJ76">
        <f>IF(AH76&lt;=0,0,MIN(IF(AG76='Loan Prepayment'!$E$11,IF('Loan Prepayment'!$E$13="Keep tenure, recalculate EMI",-PMT(AI76/1200,MAX(1,'Loan Prepayment'!$B$7*12-AG76+1),AH76),AJ75),IF(AND('Loan Prepayment'!$E$15="Reduce EMI",AM75&gt;0),-PMT(AI76/1200,MAX(1,'Loan Prepayment'!$B$7*12-AG76+1),AH76),AJ75)),AH76+AK76))</f>
        <v>77713.634667410894</v>
      </c>
      <c r="AK76">
        <f t="shared" si="34"/>
        <v>43326.293718820423</v>
      </c>
      <c r="AL76">
        <f t="shared" si="35"/>
        <v>34387.34094859047</v>
      </c>
      <c r="AM76">
        <f>IF(AH76&lt;=0,0,MIN(MAX(0,AH76-AL76),SUMIFS('Loan Prepayment'!$B$12:$B$16,'Loan Prepayment'!$A$12:$A$16,AG76)+IF(AND(AG76&gt;='Loan Prepayment'!$B$9,AG76&lt;='Loan Prepayment'!$E$16),'Loan Prepayment'!$B$8,0)))</f>
        <v>0</v>
      </c>
      <c r="AN76">
        <f t="shared" si="36"/>
        <v>6897819.6540626781</v>
      </c>
    </row>
    <row r="77" spans="1:40" x14ac:dyDescent="0.35">
      <c r="A77">
        <v>76</v>
      </c>
      <c r="B77">
        <f t="shared" si="37"/>
        <v>8428649.7556706294</v>
      </c>
      <c r="C77" s="78">
        <f>'Loan Prepayment'!$B$6</f>
        <v>8.5</v>
      </c>
      <c r="D77">
        <f>IF(B77&lt;=0,0,MIN(-PMT('Loan Prepayment'!$B$6/1200,'Loan Prepayment'!$B$7*12,'Loan Prepayment'!$B$5),B77+E77))</f>
        <v>86782.323336553396</v>
      </c>
      <c r="E77">
        <f t="shared" si="21"/>
        <v>59702.935769333628</v>
      </c>
      <c r="F77">
        <f t="shared" si="22"/>
        <v>27079.387567219768</v>
      </c>
      <c r="G77">
        <v>0</v>
      </c>
      <c r="H77">
        <f t="shared" si="23"/>
        <v>8401570.3681034092</v>
      </c>
      <c r="I77">
        <v>76</v>
      </c>
      <c r="J77">
        <f t="shared" si="38"/>
        <v>7069652.6676393542</v>
      </c>
      <c r="K77" s="78">
        <f>'Loan Prepayment'!$B$6</f>
        <v>8.5</v>
      </c>
      <c r="L77">
        <f>IF(J77&lt;=0,0,MIN(IF(AND('Loan Prepayment'!$E$15="Reduce EMI",O76&gt;0),-PMT(K77/1200,MAX(1,'Loan Prepayment'!$B$7*12-I77+1),J77),L76),J77+M77))</f>
        <v>72789.936877782937</v>
      </c>
      <c r="M77">
        <f t="shared" si="24"/>
        <v>50076.706395778761</v>
      </c>
      <c r="N77">
        <f t="shared" si="25"/>
        <v>22713.230482004175</v>
      </c>
      <c r="O77">
        <f>IF(J77&lt;=0,0,MIN(MAX(0,J77-N77),SUMIFS('Loan Prepayment'!$B$12:$B$16,'Loan Prepayment'!$A$12:$A$16,I77)+0))</f>
        <v>0</v>
      </c>
      <c r="P77">
        <f t="shared" si="26"/>
        <v>7046939.4371573497</v>
      </c>
      <c r="Q77">
        <v>76</v>
      </c>
      <c r="R77">
        <f t="shared" si="39"/>
        <v>8428649.7556706294</v>
      </c>
      <c r="S77" s="78">
        <f>'Loan Prepayment'!$B$6</f>
        <v>8.5</v>
      </c>
      <c r="T77">
        <f>IF(R77&lt;=0,0,MIN(IF(AND('Loan Prepayment'!$E$15="Reduce EMI",W76&gt;0),-PMT(S77/1200,MAX(1,'Loan Prepayment'!$B$7*12-Q77+1),R77),T76),R77+U77))</f>
        <v>86782.323336553396</v>
      </c>
      <c r="U77">
        <f t="shared" si="27"/>
        <v>59702.935769333628</v>
      </c>
      <c r="V77">
        <f t="shared" si="28"/>
        <v>27079.387567219768</v>
      </c>
      <c r="W77">
        <f>IF(R77&lt;=0,0,MIN(MAX(0,R77-V77),0+IF(AND(Q77&gt;='Loan Prepayment'!$B$9,Q77&lt;='Loan Prepayment'!$E$16),'Loan Prepayment'!$B$8,0)))</f>
        <v>0</v>
      </c>
      <c r="X77">
        <f t="shared" si="29"/>
        <v>8401570.3681034092</v>
      </c>
      <c r="Y77">
        <v>76</v>
      </c>
      <c r="Z77">
        <f t="shared" si="40"/>
        <v>8315796.637656712</v>
      </c>
      <c r="AA77">
        <f>IF(Y77&gt;='Loan Prepayment'!$E$11,'Loan Prepayment'!$E$12,'Loan Prepayment'!$B$6)</f>
        <v>7.5</v>
      </c>
      <c r="AB77">
        <f>IF(Z77&lt;=0,0,MIN(IF(Y77='Loan Prepayment'!$E$11,IF('Loan Prepayment'!$E$13="Keep tenure, recalculate EMI",-PMT(AA77/1200,MAX(1,'Loan Prepayment'!$B$7*12-Y77+1),Z77),AB76),AB76),Z77+AC77))</f>
        <v>86782.323336553396</v>
      </c>
      <c r="AC77">
        <f t="shared" si="30"/>
        <v>51973.72898535445</v>
      </c>
      <c r="AD77">
        <f t="shared" si="31"/>
        <v>34808.594351198946</v>
      </c>
      <c r="AE77">
        <f t="shared" si="32"/>
        <v>0</v>
      </c>
      <c r="AF77">
        <f t="shared" si="33"/>
        <v>8280988.0433055134</v>
      </c>
      <c r="AG77">
        <v>76</v>
      </c>
      <c r="AH77">
        <f t="shared" si="41"/>
        <v>6897819.6540626781</v>
      </c>
      <c r="AI77">
        <f>IF(AG77&gt;='Loan Prepayment'!$E$11,'Loan Prepayment'!$E$12,'Loan Prepayment'!$B$6)</f>
        <v>7.5</v>
      </c>
      <c r="AJ77">
        <f>IF(AH77&lt;=0,0,MIN(IF(AG77='Loan Prepayment'!$E$11,IF('Loan Prepayment'!$E$13="Keep tenure, recalculate EMI",-PMT(AI77/1200,MAX(1,'Loan Prepayment'!$B$7*12-AG77+1),AH77),AJ76),IF(AND('Loan Prepayment'!$E$15="Reduce EMI",AM76&gt;0),-PMT(AI77/1200,MAX(1,'Loan Prepayment'!$B$7*12-AG77+1),AH77),AJ76)),AH77+AK77))</f>
        <v>77713.634667410894</v>
      </c>
      <c r="AK77">
        <f t="shared" si="34"/>
        <v>43111.372837891737</v>
      </c>
      <c r="AL77">
        <f t="shared" si="35"/>
        <v>34602.261829519157</v>
      </c>
      <c r="AM77">
        <f>IF(AH77&lt;=0,0,MIN(MAX(0,AH77-AL77),SUMIFS('Loan Prepayment'!$B$12:$B$16,'Loan Prepayment'!$A$12:$A$16,AG77)+IF(AND(AG77&gt;='Loan Prepayment'!$B$9,AG77&lt;='Loan Prepayment'!$E$16),'Loan Prepayment'!$B$8,0)))</f>
        <v>0</v>
      </c>
      <c r="AN77">
        <f t="shared" si="36"/>
        <v>6863217.3922331594</v>
      </c>
    </row>
    <row r="78" spans="1:40" x14ac:dyDescent="0.35">
      <c r="A78">
        <v>77</v>
      </c>
      <c r="B78">
        <f t="shared" si="37"/>
        <v>8401570.3681034092</v>
      </c>
      <c r="C78" s="78">
        <f>'Loan Prepayment'!$B$6</f>
        <v>8.5</v>
      </c>
      <c r="D78">
        <f>IF(B78&lt;=0,0,MIN(-PMT('Loan Prepayment'!$B$6/1200,'Loan Prepayment'!$B$7*12,'Loan Prepayment'!$B$5),B78+E78))</f>
        <v>86782.323336553396</v>
      </c>
      <c r="E78">
        <f t="shared" si="21"/>
        <v>59511.123440732481</v>
      </c>
      <c r="F78">
        <f t="shared" si="22"/>
        <v>27271.199895820915</v>
      </c>
      <c r="G78">
        <v>0</v>
      </c>
      <c r="H78">
        <f t="shared" si="23"/>
        <v>8374299.1682075886</v>
      </c>
      <c r="I78">
        <v>77</v>
      </c>
      <c r="J78">
        <f t="shared" si="38"/>
        <v>7046939.4371573497</v>
      </c>
      <c r="K78" s="78">
        <f>'Loan Prepayment'!$B$6</f>
        <v>8.5</v>
      </c>
      <c r="L78">
        <f>IF(J78&lt;=0,0,MIN(IF(AND('Loan Prepayment'!$E$15="Reduce EMI",O77&gt;0),-PMT(K78/1200,MAX(1,'Loan Prepayment'!$B$7*12-I78+1),J78),L77),J78+M78))</f>
        <v>72789.936877782937</v>
      </c>
      <c r="M78">
        <f t="shared" si="24"/>
        <v>49915.821013197892</v>
      </c>
      <c r="N78">
        <f t="shared" si="25"/>
        <v>22874.115864585045</v>
      </c>
      <c r="O78">
        <f>IF(J78&lt;=0,0,MIN(MAX(0,J78-N78),SUMIFS('Loan Prepayment'!$B$12:$B$16,'Loan Prepayment'!$A$12:$A$16,I78)+0))</f>
        <v>0</v>
      </c>
      <c r="P78">
        <f t="shared" si="26"/>
        <v>7024065.3212927645</v>
      </c>
      <c r="Q78">
        <v>77</v>
      </c>
      <c r="R78">
        <f t="shared" si="39"/>
        <v>8401570.3681034092</v>
      </c>
      <c r="S78" s="78">
        <f>'Loan Prepayment'!$B$6</f>
        <v>8.5</v>
      </c>
      <c r="T78">
        <f>IF(R78&lt;=0,0,MIN(IF(AND('Loan Prepayment'!$E$15="Reduce EMI",W77&gt;0),-PMT(S78/1200,MAX(1,'Loan Prepayment'!$B$7*12-Q78+1),R78),T77),R78+U78))</f>
        <v>86782.323336553396</v>
      </c>
      <c r="U78">
        <f t="shared" si="27"/>
        <v>59511.123440732481</v>
      </c>
      <c r="V78">
        <f t="shared" si="28"/>
        <v>27271.199895820915</v>
      </c>
      <c r="W78">
        <f>IF(R78&lt;=0,0,MIN(MAX(0,R78-V78),0+IF(AND(Q78&gt;='Loan Prepayment'!$B$9,Q78&lt;='Loan Prepayment'!$E$16),'Loan Prepayment'!$B$8,0)))</f>
        <v>0</v>
      </c>
      <c r="X78">
        <f t="shared" si="29"/>
        <v>8374299.1682075886</v>
      </c>
      <c r="Y78">
        <v>77</v>
      </c>
      <c r="Z78">
        <f t="shared" si="40"/>
        <v>8280988.0433055134</v>
      </c>
      <c r="AA78">
        <f>IF(Y78&gt;='Loan Prepayment'!$E$11,'Loan Prepayment'!$E$12,'Loan Prepayment'!$B$6)</f>
        <v>7.5</v>
      </c>
      <c r="AB78">
        <f>IF(Z78&lt;=0,0,MIN(IF(Y78='Loan Prepayment'!$E$11,IF('Loan Prepayment'!$E$13="Keep tenure, recalculate EMI",-PMT(AA78/1200,MAX(1,'Loan Prepayment'!$B$7*12-Y78+1),Z78),AB77),AB77),Z78+AC78))</f>
        <v>86782.323336553396</v>
      </c>
      <c r="AC78">
        <f t="shared" si="30"/>
        <v>51756.175270659456</v>
      </c>
      <c r="AD78">
        <f t="shared" si="31"/>
        <v>35026.14806589394</v>
      </c>
      <c r="AE78">
        <f t="shared" si="32"/>
        <v>0</v>
      </c>
      <c r="AF78">
        <f t="shared" si="33"/>
        <v>8245961.8952396195</v>
      </c>
      <c r="AG78">
        <v>77</v>
      </c>
      <c r="AH78">
        <f t="shared" si="41"/>
        <v>6863217.3922331594</v>
      </c>
      <c r="AI78">
        <f>IF(AG78&gt;='Loan Prepayment'!$E$11,'Loan Prepayment'!$E$12,'Loan Prepayment'!$B$6)</f>
        <v>7.5</v>
      </c>
      <c r="AJ78">
        <f>IF(AH78&lt;=0,0,MIN(IF(AG78='Loan Prepayment'!$E$11,IF('Loan Prepayment'!$E$13="Keep tenure, recalculate EMI",-PMT(AI78/1200,MAX(1,'Loan Prepayment'!$B$7*12-AG78+1),AH78),AJ77),IF(AND('Loan Prepayment'!$E$15="Reduce EMI",AM77&gt;0),-PMT(AI78/1200,MAX(1,'Loan Prepayment'!$B$7*12-AG78+1),AH78),AJ77)),AH78+AK78))</f>
        <v>77713.634667410894</v>
      </c>
      <c r="AK78">
        <f t="shared" si="34"/>
        <v>42895.108701457248</v>
      </c>
      <c r="AL78">
        <f t="shared" si="35"/>
        <v>34818.525965953646</v>
      </c>
      <c r="AM78">
        <f>IF(AH78&lt;=0,0,MIN(MAX(0,AH78-AL78),SUMIFS('Loan Prepayment'!$B$12:$B$16,'Loan Prepayment'!$A$12:$A$16,AG78)+IF(AND(AG78&gt;='Loan Prepayment'!$B$9,AG78&lt;='Loan Prepayment'!$E$16),'Loan Prepayment'!$B$8,0)))</f>
        <v>0</v>
      </c>
      <c r="AN78">
        <f t="shared" si="36"/>
        <v>6828398.8662672061</v>
      </c>
    </row>
    <row r="79" spans="1:40" x14ac:dyDescent="0.35">
      <c r="A79">
        <v>78</v>
      </c>
      <c r="B79">
        <f t="shared" si="37"/>
        <v>8374299.1682075886</v>
      </c>
      <c r="C79" s="78">
        <f>'Loan Prepayment'!$B$6</f>
        <v>8.5</v>
      </c>
      <c r="D79">
        <f>IF(B79&lt;=0,0,MIN(-PMT('Loan Prepayment'!$B$6/1200,'Loan Prepayment'!$B$7*12,'Loan Prepayment'!$B$5),B79+E79))</f>
        <v>86782.323336553396</v>
      </c>
      <c r="E79">
        <f t="shared" si="21"/>
        <v>59317.952441470421</v>
      </c>
      <c r="F79">
        <f t="shared" si="22"/>
        <v>27464.370895082975</v>
      </c>
      <c r="G79">
        <v>0</v>
      </c>
      <c r="H79">
        <f t="shared" si="23"/>
        <v>8346834.7973125055</v>
      </c>
      <c r="I79">
        <v>78</v>
      </c>
      <c r="J79">
        <f t="shared" si="38"/>
        <v>7024065.3212927645</v>
      </c>
      <c r="K79" s="78">
        <f>'Loan Prepayment'!$B$6</f>
        <v>8.5</v>
      </c>
      <c r="L79">
        <f>IF(J79&lt;=0,0,MIN(IF(AND('Loan Prepayment'!$E$15="Reduce EMI",O78&gt;0),-PMT(K79/1200,MAX(1,'Loan Prepayment'!$B$7*12-I79+1),J79),L78),J79+M79))</f>
        <v>72789.936877782937</v>
      </c>
      <c r="M79">
        <f t="shared" si="24"/>
        <v>49753.796025823744</v>
      </c>
      <c r="N79">
        <f t="shared" si="25"/>
        <v>23036.140851959193</v>
      </c>
      <c r="O79">
        <f>IF(J79&lt;=0,0,MIN(MAX(0,J79-N79),SUMIFS('Loan Prepayment'!$B$12:$B$16,'Loan Prepayment'!$A$12:$A$16,I79)+0))</f>
        <v>0</v>
      </c>
      <c r="P79">
        <f t="shared" si="26"/>
        <v>7001029.1804408049</v>
      </c>
      <c r="Q79">
        <v>78</v>
      </c>
      <c r="R79">
        <f t="shared" si="39"/>
        <v>8374299.1682075886</v>
      </c>
      <c r="S79" s="78">
        <f>'Loan Prepayment'!$B$6</f>
        <v>8.5</v>
      </c>
      <c r="T79">
        <f>IF(R79&lt;=0,0,MIN(IF(AND('Loan Prepayment'!$E$15="Reduce EMI",W78&gt;0),-PMT(S79/1200,MAX(1,'Loan Prepayment'!$B$7*12-Q79+1),R79),T78),R79+U79))</f>
        <v>86782.323336553396</v>
      </c>
      <c r="U79">
        <f t="shared" si="27"/>
        <v>59317.952441470421</v>
      </c>
      <c r="V79">
        <f t="shared" si="28"/>
        <v>27464.370895082975</v>
      </c>
      <c r="W79">
        <f>IF(R79&lt;=0,0,MIN(MAX(0,R79-V79),0+IF(AND(Q79&gt;='Loan Prepayment'!$B$9,Q79&lt;='Loan Prepayment'!$E$16),'Loan Prepayment'!$B$8,0)))</f>
        <v>0</v>
      </c>
      <c r="X79">
        <f t="shared" si="29"/>
        <v>8346834.7973125055</v>
      </c>
      <c r="Y79">
        <v>78</v>
      </c>
      <c r="Z79">
        <f t="shared" si="40"/>
        <v>8245961.8952396195</v>
      </c>
      <c r="AA79">
        <f>IF(Y79&gt;='Loan Prepayment'!$E$11,'Loan Prepayment'!$E$12,'Loan Prepayment'!$B$6)</f>
        <v>7.5</v>
      </c>
      <c r="AB79">
        <f>IF(Z79&lt;=0,0,MIN(IF(Y79='Loan Prepayment'!$E$11,IF('Loan Prepayment'!$E$13="Keep tenure, recalculate EMI",-PMT(AA79/1200,MAX(1,'Loan Prepayment'!$B$7*12-Y79+1),Z79),AB78),AB78),Z79+AC79))</f>
        <v>86782.323336553396</v>
      </c>
      <c r="AC79">
        <f t="shared" si="30"/>
        <v>51537.261845247624</v>
      </c>
      <c r="AD79">
        <f t="shared" si="31"/>
        <v>35245.061491305773</v>
      </c>
      <c r="AE79">
        <f t="shared" si="32"/>
        <v>0</v>
      </c>
      <c r="AF79">
        <f t="shared" si="33"/>
        <v>8210716.8337483136</v>
      </c>
      <c r="AG79">
        <v>78</v>
      </c>
      <c r="AH79">
        <f t="shared" si="41"/>
        <v>6828398.8662672061</v>
      </c>
      <c r="AI79">
        <f>IF(AG79&gt;='Loan Prepayment'!$E$11,'Loan Prepayment'!$E$12,'Loan Prepayment'!$B$6)</f>
        <v>7.5</v>
      </c>
      <c r="AJ79">
        <f>IF(AH79&lt;=0,0,MIN(IF(AG79='Loan Prepayment'!$E$11,IF('Loan Prepayment'!$E$13="Keep tenure, recalculate EMI",-PMT(AI79/1200,MAX(1,'Loan Prepayment'!$B$7*12-AG79+1),AH79),AJ78),IF(AND('Loan Prepayment'!$E$15="Reduce EMI",AM78&gt;0),-PMT(AI79/1200,MAX(1,'Loan Prepayment'!$B$7*12-AG79+1),AH79),AJ78)),AH79+AK79))</f>
        <v>77713.634667410894</v>
      </c>
      <c r="AK79">
        <f t="shared" si="34"/>
        <v>42677.492914170041</v>
      </c>
      <c r="AL79">
        <f t="shared" si="35"/>
        <v>35036.141753240852</v>
      </c>
      <c r="AM79">
        <f>IF(AH79&lt;=0,0,MIN(MAX(0,AH79-AL79),SUMIFS('Loan Prepayment'!$B$12:$B$16,'Loan Prepayment'!$A$12:$A$16,AG79)+IF(AND(AG79&gt;='Loan Prepayment'!$B$9,AG79&lt;='Loan Prepayment'!$E$16),'Loan Prepayment'!$B$8,0)))</f>
        <v>0</v>
      </c>
      <c r="AN79">
        <f t="shared" si="36"/>
        <v>6793362.7245139657</v>
      </c>
    </row>
    <row r="80" spans="1:40" x14ac:dyDescent="0.35">
      <c r="A80">
        <v>79</v>
      </c>
      <c r="B80">
        <f t="shared" si="37"/>
        <v>8346834.7973125055</v>
      </c>
      <c r="C80" s="78">
        <f>'Loan Prepayment'!$B$6</f>
        <v>8.5</v>
      </c>
      <c r="D80">
        <f>IF(B80&lt;=0,0,MIN(-PMT('Loan Prepayment'!$B$6/1200,'Loan Prepayment'!$B$7*12,'Loan Prepayment'!$B$5),B80+E80))</f>
        <v>86782.323336553396</v>
      </c>
      <c r="E80">
        <f t="shared" si="21"/>
        <v>59123.413147630243</v>
      </c>
      <c r="F80">
        <f t="shared" si="22"/>
        <v>27658.910188923153</v>
      </c>
      <c r="G80">
        <v>0</v>
      </c>
      <c r="H80">
        <f t="shared" si="23"/>
        <v>8319175.887123582</v>
      </c>
      <c r="I80">
        <v>79</v>
      </c>
      <c r="J80">
        <f t="shared" si="38"/>
        <v>7001029.1804408049</v>
      </c>
      <c r="K80" s="78">
        <f>'Loan Prepayment'!$B$6</f>
        <v>8.5</v>
      </c>
      <c r="L80">
        <f>IF(J80&lt;=0,0,MIN(IF(AND('Loan Prepayment'!$E$15="Reduce EMI",O79&gt;0),-PMT(K80/1200,MAX(1,'Loan Prepayment'!$B$7*12-I80+1),J80),L79),J80+M80))</f>
        <v>72789.936877782937</v>
      </c>
      <c r="M80">
        <f t="shared" si="24"/>
        <v>49590.623361455699</v>
      </c>
      <c r="N80">
        <f t="shared" si="25"/>
        <v>23199.313516327238</v>
      </c>
      <c r="O80">
        <f>IF(J80&lt;=0,0,MIN(MAX(0,J80-N80),SUMIFS('Loan Prepayment'!$B$12:$B$16,'Loan Prepayment'!$A$12:$A$16,I80)+0))</f>
        <v>0</v>
      </c>
      <c r="P80">
        <f t="shared" si="26"/>
        <v>6977829.8669244777</v>
      </c>
      <c r="Q80">
        <v>79</v>
      </c>
      <c r="R80">
        <f t="shared" si="39"/>
        <v>8346834.7973125055</v>
      </c>
      <c r="S80" s="78">
        <f>'Loan Prepayment'!$B$6</f>
        <v>8.5</v>
      </c>
      <c r="T80">
        <f>IF(R80&lt;=0,0,MIN(IF(AND('Loan Prepayment'!$E$15="Reduce EMI",W79&gt;0),-PMT(S80/1200,MAX(1,'Loan Prepayment'!$B$7*12-Q80+1),R80),T79),R80+U80))</f>
        <v>86782.323336553396</v>
      </c>
      <c r="U80">
        <f t="shared" si="27"/>
        <v>59123.413147630243</v>
      </c>
      <c r="V80">
        <f t="shared" si="28"/>
        <v>27658.910188923153</v>
      </c>
      <c r="W80">
        <f>IF(R80&lt;=0,0,MIN(MAX(0,R80-V80),0+IF(AND(Q80&gt;='Loan Prepayment'!$B$9,Q80&lt;='Loan Prepayment'!$E$16),'Loan Prepayment'!$B$8,0)))</f>
        <v>0</v>
      </c>
      <c r="X80">
        <f t="shared" si="29"/>
        <v>8319175.887123582</v>
      </c>
      <c r="Y80">
        <v>79</v>
      </c>
      <c r="Z80">
        <f t="shared" si="40"/>
        <v>8210716.8337483136</v>
      </c>
      <c r="AA80">
        <f>IF(Y80&gt;='Loan Prepayment'!$E$11,'Loan Prepayment'!$E$12,'Loan Prepayment'!$B$6)</f>
        <v>7.5</v>
      </c>
      <c r="AB80">
        <f>IF(Z80&lt;=0,0,MIN(IF(Y80='Loan Prepayment'!$E$11,IF('Loan Prepayment'!$E$13="Keep tenure, recalculate EMI",-PMT(AA80/1200,MAX(1,'Loan Prepayment'!$B$7*12-Y80+1),Z80),AB79),AB79),Z80+AC80))</f>
        <v>86782.323336553396</v>
      </c>
      <c r="AC80">
        <f t="shared" si="30"/>
        <v>51316.980210926959</v>
      </c>
      <c r="AD80">
        <f t="shared" si="31"/>
        <v>35465.343125626438</v>
      </c>
      <c r="AE80">
        <f t="shared" si="32"/>
        <v>0</v>
      </c>
      <c r="AF80">
        <f t="shared" si="33"/>
        <v>8175251.4906226872</v>
      </c>
      <c r="AG80">
        <v>79</v>
      </c>
      <c r="AH80">
        <f t="shared" si="41"/>
        <v>6793362.7245139657</v>
      </c>
      <c r="AI80">
        <f>IF(AG80&gt;='Loan Prepayment'!$E$11,'Loan Prepayment'!$E$12,'Loan Prepayment'!$B$6)</f>
        <v>7.5</v>
      </c>
      <c r="AJ80">
        <f>IF(AH80&lt;=0,0,MIN(IF(AG80='Loan Prepayment'!$E$11,IF('Loan Prepayment'!$E$13="Keep tenure, recalculate EMI",-PMT(AI80/1200,MAX(1,'Loan Prepayment'!$B$7*12-AG80+1),AH80),AJ79),IF(AND('Loan Prepayment'!$E$15="Reduce EMI",AM79&gt;0),-PMT(AI80/1200,MAX(1,'Loan Prepayment'!$B$7*12-AG80+1),AH80),AJ79)),AH80+AK80))</f>
        <v>77713.634667410894</v>
      </c>
      <c r="AK80">
        <f t="shared" si="34"/>
        <v>42458.517028212285</v>
      </c>
      <c r="AL80">
        <f t="shared" si="35"/>
        <v>35255.117639198608</v>
      </c>
      <c r="AM80">
        <f>IF(AH80&lt;=0,0,MIN(MAX(0,AH80-AL80),SUMIFS('Loan Prepayment'!$B$12:$B$16,'Loan Prepayment'!$A$12:$A$16,AG80)+IF(AND(AG80&gt;='Loan Prepayment'!$B$9,AG80&lt;='Loan Prepayment'!$E$16),'Loan Prepayment'!$B$8,0)))</f>
        <v>0</v>
      </c>
      <c r="AN80">
        <f t="shared" si="36"/>
        <v>6758107.6068747668</v>
      </c>
    </row>
    <row r="81" spans="1:40" x14ac:dyDescent="0.35">
      <c r="A81">
        <v>80</v>
      </c>
      <c r="B81">
        <f t="shared" si="37"/>
        <v>8319175.887123582</v>
      </c>
      <c r="C81" s="78">
        <f>'Loan Prepayment'!$B$6</f>
        <v>8.5</v>
      </c>
      <c r="D81">
        <f>IF(B81&lt;=0,0,MIN(-PMT('Loan Prepayment'!$B$6/1200,'Loan Prepayment'!$B$7*12,'Loan Prepayment'!$B$5),B81+E81))</f>
        <v>86782.323336553396</v>
      </c>
      <c r="E81">
        <f t="shared" si="21"/>
        <v>58927.49586712537</v>
      </c>
      <c r="F81">
        <f t="shared" si="22"/>
        <v>27854.827469428026</v>
      </c>
      <c r="G81">
        <v>0</v>
      </c>
      <c r="H81">
        <f t="shared" si="23"/>
        <v>8291321.0596541539</v>
      </c>
      <c r="I81">
        <v>80</v>
      </c>
      <c r="J81">
        <f t="shared" si="38"/>
        <v>6977829.8669244777</v>
      </c>
      <c r="K81" s="78">
        <f>'Loan Prepayment'!$B$6</f>
        <v>8.5</v>
      </c>
      <c r="L81">
        <f>IF(J81&lt;=0,0,MIN(IF(AND('Loan Prepayment'!$E$15="Reduce EMI",O80&gt;0),-PMT(K81/1200,MAX(1,'Loan Prepayment'!$B$7*12-I81+1),J81),L80),J81+M81))</f>
        <v>72789.936877782937</v>
      </c>
      <c r="M81">
        <f t="shared" si="24"/>
        <v>49426.294890715049</v>
      </c>
      <c r="N81">
        <f t="shared" si="25"/>
        <v>23363.641987067887</v>
      </c>
      <c r="O81">
        <f>IF(J81&lt;=0,0,MIN(MAX(0,J81-N81),SUMIFS('Loan Prepayment'!$B$12:$B$16,'Loan Prepayment'!$A$12:$A$16,I81)+0))</f>
        <v>0</v>
      </c>
      <c r="P81">
        <f t="shared" si="26"/>
        <v>6954466.2249374101</v>
      </c>
      <c r="Q81">
        <v>80</v>
      </c>
      <c r="R81">
        <f t="shared" si="39"/>
        <v>8319175.887123582</v>
      </c>
      <c r="S81" s="78">
        <f>'Loan Prepayment'!$B$6</f>
        <v>8.5</v>
      </c>
      <c r="T81">
        <f>IF(R81&lt;=0,0,MIN(IF(AND('Loan Prepayment'!$E$15="Reduce EMI",W80&gt;0),-PMT(S81/1200,MAX(1,'Loan Prepayment'!$B$7*12-Q81+1),R81),T80),R81+U81))</f>
        <v>86782.323336553396</v>
      </c>
      <c r="U81">
        <f t="shared" si="27"/>
        <v>58927.49586712537</v>
      </c>
      <c r="V81">
        <f t="shared" si="28"/>
        <v>27854.827469428026</v>
      </c>
      <c r="W81">
        <f>IF(R81&lt;=0,0,MIN(MAX(0,R81-V81),0+IF(AND(Q81&gt;='Loan Prepayment'!$B$9,Q81&lt;='Loan Prepayment'!$E$16),'Loan Prepayment'!$B$8,0)))</f>
        <v>0</v>
      </c>
      <c r="X81">
        <f t="shared" si="29"/>
        <v>8291321.0596541539</v>
      </c>
      <c r="Y81">
        <v>80</v>
      </c>
      <c r="Z81">
        <f t="shared" si="40"/>
        <v>8175251.4906226872</v>
      </c>
      <c r="AA81">
        <f>IF(Y81&gt;='Loan Prepayment'!$E$11,'Loan Prepayment'!$E$12,'Loan Prepayment'!$B$6)</f>
        <v>7.5</v>
      </c>
      <c r="AB81">
        <f>IF(Z81&lt;=0,0,MIN(IF(Y81='Loan Prepayment'!$E$11,IF('Loan Prepayment'!$E$13="Keep tenure, recalculate EMI",-PMT(AA81/1200,MAX(1,'Loan Prepayment'!$B$7*12-Y81+1),Z81),AB80),AB80),Z81+AC81))</f>
        <v>86782.323336553396</v>
      </c>
      <c r="AC81">
        <f t="shared" si="30"/>
        <v>51095.321816391799</v>
      </c>
      <c r="AD81">
        <f t="shared" si="31"/>
        <v>35687.001520161597</v>
      </c>
      <c r="AE81">
        <f t="shared" si="32"/>
        <v>0</v>
      </c>
      <c r="AF81">
        <f t="shared" si="33"/>
        <v>8139564.4891025256</v>
      </c>
      <c r="AG81">
        <v>80</v>
      </c>
      <c r="AH81">
        <f t="shared" si="41"/>
        <v>6758107.6068747668</v>
      </c>
      <c r="AI81">
        <f>IF(AG81&gt;='Loan Prepayment'!$E$11,'Loan Prepayment'!$E$12,'Loan Prepayment'!$B$6)</f>
        <v>7.5</v>
      </c>
      <c r="AJ81">
        <f>IF(AH81&lt;=0,0,MIN(IF(AG81='Loan Prepayment'!$E$11,IF('Loan Prepayment'!$E$13="Keep tenure, recalculate EMI",-PMT(AI81/1200,MAX(1,'Loan Prepayment'!$B$7*12-AG81+1),AH81),AJ80),IF(AND('Loan Prepayment'!$E$15="Reduce EMI",AM80&gt;0),-PMT(AI81/1200,MAX(1,'Loan Prepayment'!$B$7*12-AG81+1),AH81),AJ80)),AH81+AK81))</f>
        <v>77713.634667410894</v>
      </c>
      <c r="AK81">
        <f t="shared" si="34"/>
        <v>42238.172542967295</v>
      </c>
      <c r="AL81">
        <f t="shared" si="35"/>
        <v>35475.462124443598</v>
      </c>
      <c r="AM81">
        <f>IF(AH81&lt;=0,0,MIN(MAX(0,AH81-AL81),SUMIFS('Loan Prepayment'!$B$12:$B$16,'Loan Prepayment'!$A$12:$A$16,AG81)+IF(AND(AG81&gt;='Loan Prepayment'!$B$9,AG81&lt;='Loan Prepayment'!$E$16),'Loan Prepayment'!$B$8,0)))</f>
        <v>0</v>
      </c>
      <c r="AN81">
        <f t="shared" si="36"/>
        <v>6722632.1447503231</v>
      </c>
    </row>
    <row r="82" spans="1:40" x14ac:dyDescent="0.35">
      <c r="A82">
        <v>81</v>
      </c>
      <c r="B82">
        <f t="shared" si="37"/>
        <v>8291321.0596541539</v>
      </c>
      <c r="C82" s="78">
        <f>'Loan Prepayment'!$B$6</f>
        <v>8.5</v>
      </c>
      <c r="D82">
        <f>IF(B82&lt;=0,0,MIN(-PMT('Loan Prepayment'!$B$6/1200,'Loan Prepayment'!$B$7*12,'Loan Prepayment'!$B$5),B82+E82))</f>
        <v>86782.323336553396</v>
      </c>
      <c r="E82">
        <f t="shared" si="21"/>
        <v>58730.190839216921</v>
      </c>
      <c r="F82">
        <f t="shared" si="22"/>
        <v>28052.132497336475</v>
      </c>
      <c r="G82">
        <v>0</v>
      </c>
      <c r="H82">
        <f t="shared" si="23"/>
        <v>8263268.9271568172</v>
      </c>
      <c r="I82">
        <v>81</v>
      </c>
      <c r="J82">
        <f t="shared" si="38"/>
        <v>6954466.2249374101</v>
      </c>
      <c r="K82" s="78">
        <f>'Loan Prepayment'!$B$6</f>
        <v>8.5</v>
      </c>
      <c r="L82">
        <f>IF(J82&lt;=0,0,MIN(IF(AND('Loan Prepayment'!$E$15="Reduce EMI",O81&gt;0),-PMT(K82/1200,MAX(1,'Loan Prepayment'!$B$7*12-I82+1),J82),L81),J82+M82))</f>
        <v>72789.936877782937</v>
      </c>
      <c r="M82">
        <f t="shared" si="24"/>
        <v>49260.802426639988</v>
      </c>
      <c r="N82">
        <f t="shared" si="25"/>
        <v>23529.134451142949</v>
      </c>
      <c r="O82">
        <f>IF(J82&lt;=0,0,MIN(MAX(0,J82-N82),SUMIFS('Loan Prepayment'!$B$12:$B$16,'Loan Prepayment'!$A$12:$A$16,I82)+0))</f>
        <v>0</v>
      </c>
      <c r="P82">
        <f t="shared" si="26"/>
        <v>6930937.0904862676</v>
      </c>
      <c r="Q82">
        <v>81</v>
      </c>
      <c r="R82">
        <f t="shared" si="39"/>
        <v>8291321.0596541539</v>
      </c>
      <c r="S82" s="78">
        <f>'Loan Prepayment'!$B$6</f>
        <v>8.5</v>
      </c>
      <c r="T82">
        <f>IF(R82&lt;=0,0,MIN(IF(AND('Loan Prepayment'!$E$15="Reduce EMI",W81&gt;0),-PMT(S82/1200,MAX(1,'Loan Prepayment'!$B$7*12-Q82+1),R82),T81),R82+U82))</f>
        <v>86782.323336553396</v>
      </c>
      <c r="U82">
        <f t="shared" si="27"/>
        <v>58730.190839216921</v>
      </c>
      <c r="V82">
        <f t="shared" si="28"/>
        <v>28052.132497336475</v>
      </c>
      <c r="W82">
        <f>IF(R82&lt;=0,0,MIN(MAX(0,R82-V82),0+IF(AND(Q82&gt;='Loan Prepayment'!$B$9,Q82&lt;='Loan Prepayment'!$E$16),'Loan Prepayment'!$B$8,0)))</f>
        <v>0</v>
      </c>
      <c r="X82">
        <f t="shared" si="29"/>
        <v>8263268.9271568172</v>
      </c>
      <c r="Y82">
        <v>81</v>
      </c>
      <c r="Z82">
        <f t="shared" si="40"/>
        <v>8139564.4891025256</v>
      </c>
      <c r="AA82">
        <f>IF(Y82&gt;='Loan Prepayment'!$E$11,'Loan Prepayment'!$E$12,'Loan Prepayment'!$B$6)</f>
        <v>7.5</v>
      </c>
      <c r="AB82">
        <f>IF(Z82&lt;=0,0,MIN(IF(Y82='Loan Prepayment'!$E$11,IF('Loan Prepayment'!$E$13="Keep tenure, recalculate EMI",-PMT(AA82/1200,MAX(1,'Loan Prepayment'!$B$7*12-Y82+1),Z82),AB81),AB81),Z82+AC82))</f>
        <v>86782.323336553396</v>
      </c>
      <c r="AC82">
        <f t="shared" si="30"/>
        <v>50872.278056890784</v>
      </c>
      <c r="AD82">
        <f t="shared" si="31"/>
        <v>35910.045279662612</v>
      </c>
      <c r="AE82">
        <f t="shared" si="32"/>
        <v>0</v>
      </c>
      <c r="AF82">
        <f t="shared" si="33"/>
        <v>8103654.4438228626</v>
      </c>
      <c r="AG82">
        <v>81</v>
      </c>
      <c r="AH82">
        <f t="shared" si="41"/>
        <v>6722632.1447503231</v>
      </c>
      <c r="AI82">
        <f>IF(AG82&gt;='Loan Prepayment'!$E$11,'Loan Prepayment'!$E$12,'Loan Prepayment'!$B$6)</f>
        <v>7.5</v>
      </c>
      <c r="AJ82">
        <f>IF(AH82&lt;=0,0,MIN(IF(AG82='Loan Prepayment'!$E$11,IF('Loan Prepayment'!$E$13="Keep tenure, recalculate EMI",-PMT(AI82/1200,MAX(1,'Loan Prepayment'!$B$7*12-AG82+1),AH82),AJ81),IF(AND('Loan Prepayment'!$E$15="Reduce EMI",AM81&gt;0),-PMT(AI82/1200,MAX(1,'Loan Prepayment'!$B$7*12-AG82+1),AH82),AJ81)),AH82+AK82))</f>
        <v>77713.634667410894</v>
      </c>
      <c r="AK82">
        <f t="shared" si="34"/>
        <v>42016.450904689518</v>
      </c>
      <c r="AL82">
        <f t="shared" si="35"/>
        <v>35697.183762721375</v>
      </c>
      <c r="AM82">
        <f>IF(AH82&lt;=0,0,MIN(MAX(0,AH82-AL82),SUMIFS('Loan Prepayment'!$B$12:$B$16,'Loan Prepayment'!$A$12:$A$16,AG82)+IF(AND(AG82&gt;='Loan Prepayment'!$B$9,AG82&lt;='Loan Prepayment'!$E$16),'Loan Prepayment'!$B$8,0)))</f>
        <v>0</v>
      </c>
      <c r="AN82">
        <f t="shared" si="36"/>
        <v>6686934.9609876014</v>
      </c>
    </row>
    <row r="83" spans="1:40" x14ac:dyDescent="0.35">
      <c r="A83">
        <v>82</v>
      </c>
      <c r="B83">
        <f t="shared" si="37"/>
        <v>8263268.9271568172</v>
      </c>
      <c r="C83" s="78">
        <f>'Loan Prepayment'!$B$6</f>
        <v>8.5</v>
      </c>
      <c r="D83">
        <f>IF(B83&lt;=0,0,MIN(-PMT('Loan Prepayment'!$B$6/1200,'Loan Prepayment'!$B$7*12,'Loan Prepayment'!$B$5),B83+E83))</f>
        <v>86782.323336553396</v>
      </c>
      <c r="E83">
        <f t="shared" si="21"/>
        <v>58531.488234027449</v>
      </c>
      <c r="F83">
        <f t="shared" si="22"/>
        <v>28250.835102525947</v>
      </c>
      <c r="G83">
        <v>0</v>
      </c>
      <c r="H83">
        <f t="shared" si="23"/>
        <v>8235018.0920542916</v>
      </c>
      <c r="I83">
        <v>82</v>
      </c>
      <c r="J83">
        <f t="shared" si="38"/>
        <v>6930937.0904862676</v>
      </c>
      <c r="K83" s="78">
        <f>'Loan Prepayment'!$B$6</f>
        <v>8.5</v>
      </c>
      <c r="L83">
        <f>IF(J83&lt;=0,0,MIN(IF(AND('Loan Prepayment'!$E$15="Reduce EMI",O82&gt;0),-PMT(K83/1200,MAX(1,'Loan Prepayment'!$B$7*12-I83+1),J83),L82),J83+M83))</f>
        <v>72789.936877782937</v>
      </c>
      <c r="M83">
        <f t="shared" si="24"/>
        <v>49094.137724277731</v>
      </c>
      <c r="N83">
        <f t="shared" si="25"/>
        <v>23695.799153505206</v>
      </c>
      <c r="O83">
        <f>IF(J83&lt;=0,0,MIN(MAX(0,J83-N83),SUMIFS('Loan Prepayment'!$B$12:$B$16,'Loan Prepayment'!$A$12:$A$16,I83)+0))</f>
        <v>0</v>
      </c>
      <c r="P83">
        <f t="shared" si="26"/>
        <v>6907241.2913327627</v>
      </c>
      <c r="Q83">
        <v>82</v>
      </c>
      <c r="R83">
        <f t="shared" si="39"/>
        <v>8263268.9271568172</v>
      </c>
      <c r="S83" s="78">
        <f>'Loan Prepayment'!$B$6</f>
        <v>8.5</v>
      </c>
      <c r="T83">
        <f>IF(R83&lt;=0,0,MIN(IF(AND('Loan Prepayment'!$E$15="Reduce EMI",W82&gt;0),-PMT(S83/1200,MAX(1,'Loan Prepayment'!$B$7*12-Q83+1),R83),T82),R83+U83))</f>
        <v>86782.323336553396</v>
      </c>
      <c r="U83">
        <f t="shared" si="27"/>
        <v>58531.488234027449</v>
      </c>
      <c r="V83">
        <f t="shared" si="28"/>
        <v>28250.835102525947</v>
      </c>
      <c r="W83">
        <f>IF(R83&lt;=0,0,MIN(MAX(0,R83-V83),0+IF(AND(Q83&gt;='Loan Prepayment'!$B$9,Q83&lt;='Loan Prepayment'!$E$16),'Loan Prepayment'!$B$8,0)))</f>
        <v>0</v>
      </c>
      <c r="X83">
        <f t="shared" si="29"/>
        <v>8235018.0920542916</v>
      </c>
      <c r="Y83">
        <v>82</v>
      </c>
      <c r="Z83">
        <f t="shared" si="40"/>
        <v>8103654.4438228626</v>
      </c>
      <c r="AA83">
        <f>IF(Y83&gt;='Loan Prepayment'!$E$11,'Loan Prepayment'!$E$12,'Loan Prepayment'!$B$6)</f>
        <v>7.5</v>
      </c>
      <c r="AB83">
        <f>IF(Z83&lt;=0,0,MIN(IF(Y83='Loan Prepayment'!$E$11,IF('Loan Prepayment'!$E$13="Keep tenure, recalculate EMI",-PMT(AA83/1200,MAX(1,'Loan Prepayment'!$B$7*12-Y83+1),Z83),AB82),AB82),Z83+AC83))</f>
        <v>86782.323336553396</v>
      </c>
      <c r="AC83">
        <f t="shared" si="30"/>
        <v>50647.840273892893</v>
      </c>
      <c r="AD83">
        <f t="shared" si="31"/>
        <v>36134.483062660503</v>
      </c>
      <c r="AE83">
        <f t="shared" si="32"/>
        <v>0</v>
      </c>
      <c r="AF83">
        <f t="shared" si="33"/>
        <v>8067519.9607602023</v>
      </c>
      <c r="AG83">
        <v>82</v>
      </c>
      <c r="AH83">
        <f t="shared" si="41"/>
        <v>6686934.9609876014</v>
      </c>
      <c r="AI83">
        <f>IF(AG83&gt;='Loan Prepayment'!$E$11,'Loan Prepayment'!$E$12,'Loan Prepayment'!$B$6)</f>
        <v>7.5</v>
      </c>
      <c r="AJ83">
        <f>IF(AH83&lt;=0,0,MIN(IF(AG83='Loan Prepayment'!$E$11,IF('Loan Prepayment'!$E$13="Keep tenure, recalculate EMI",-PMT(AI83/1200,MAX(1,'Loan Prepayment'!$B$7*12-AG83+1),AH83),AJ82),IF(AND('Loan Prepayment'!$E$15="Reduce EMI",AM82&gt;0),-PMT(AI83/1200,MAX(1,'Loan Prepayment'!$B$7*12-AG83+1),AH83),AJ82)),AH83+AK83))</f>
        <v>77713.634667410894</v>
      </c>
      <c r="AK83">
        <f t="shared" si="34"/>
        <v>41793.34350617251</v>
      </c>
      <c r="AL83">
        <f t="shared" si="35"/>
        <v>35920.291161238383</v>
      </c>
      <c r="AM83">
        <f>IF(AH83&lt;=0,0,MIN(MAX(0,AH83-AL83),SUMIFS('Loan Prepayment'!$B$12:$B$16,'Loan Prepayment'!$A$12:$A$16,AG83)+IF(AND(AG83&gt;='Loan Prepayment'!$B$9,AG83&lt;='Loan Prepayment'!$E$16),'Loan Prepayment'!$B$8,0)))</f>
        <v>0</v>
      </c>
      <c r="AN83">
        <f t="shared" si="36"/>
        <v>6651014.6698263632</v>
      </c>
    </row>
    <row r="84" spans="1:40" x14ac:dyDescent="0.35">
      <c r="A84">
        <v>83</v>
      </c>
      <c r="B84">
        <f t="shared" si="37"/>
        <v>8235018.0920542916</v>
      </c>
      <c r="C84" s="78">
        <f>'Loan Prepayment'!$B$6</f>
        <v>8.5</v>
      </c>
      <c r="D84">
        <f>IF(B84&lt;=0,0,MIN(-PMT('Loan Prepayment'!$B$6/1200,'Loan Prepayment'!$B$7*12,'Loan Prepayment'!$B$5),B84+E84))</f>
        <v>86782.323336553396</v>
      </c>
      <c r="E84">
        <f t="shared" si="21"/>
        <v>58331.378152051235</v>
      </c>
      <c r="F84">
        <f t="shared" si="22"/>
        <v>28450.945184502161</v>
      </c>
      <c r="G84">
        <v>0</v>
      </c>
      <c r="H84">
        <f t="shared" si="23"/>
        <v>8206567.1468697898</v>
      </c>
      <c r="I84">
        <v>83</v>
      </c>
      <c r="J84">
        <f t="shared" si="38"/>
        <v>6907241.2913327627</v>
      </c>
      <c r="K84" s="78">
        <f>'Loan Prepayment'!$B$6</f>
        <v>8.5</v>
      </c>
      <c r="L84">
        <f>IF(J84&lt;=0,0,MIN(IF(AND('Loan Prepayment'!$E$15="Reduce EMI",O83&gt;0),-PMT(K84/1200,MAX(1,'Loan Prepayment'!$B$7*12-I84+1),J84),L83),J84+M84))</f>
        <v>72789.936877782937</v>
      </c>
      <c r="M84">
        <f t="shared" si="24"/>
        <v>48926.29248027374</v>
      </c>
      <c r="N84">
        <f t="shared" si="25"/>
        <v>23863.644397509197</v>
      </c>
      <c r="O84">
        <f>IF(J84&lt;=0,0,MIN(MAX(0,J84-N84),SUMIFS('Loan Prepayment'!$B$12:$B$16,'Loan Prepayment'!$A$12:$A$16,I84)+0))</f>
        <v>0</v>
      </c>
      <c r="P84">
        <f t="shared" si="26"/>
        <v>6883377.6469352534</v>
      </c>
      <c r="Q84">
        <v>83</v>
      </c>
      <c r="R84">
        <f t="shared" si="39"/>
        <v>8235018.0920542916</v>
      </c>
      <c r="S84" s="78">
        <f>'Loan Prepayment'!$B$6</f>
        <v>8.5</v>
      </c>
      <c r="T84">
        <f>IF(R84&lt;=0,0,MIN(IF(AND('Loan Prepayment'!$E$15="Reduce EMI",W83&gt;0),-PMT(S84/1200,MAX(1,'Loan Prepayment'!$B$7*12-Q84+1),R84),T83),R84+U84))</f>
        <v>86782.323336553396</v>
      </c>
      <c r="U84">
        <f t="shared" si="27"/>
        <v>58331.378152051235</v>
      </c>
      <c r="V84">
        <f t="shared" si="28"/>
        <v>28450.945184502161</v>
      </c>
      <c r="W84">
        <f>IF(R84&lt;=0,0,MIN(MAX(0,R84-V84),0+IF(AND(Q84&gt;='Loan Prepayment'!$B$9,Q84&lt;='Loan Prepayment'!$E$16),'Loan Prepayment'!$B$8,0)))</f>
        <v>0</v>
      </c>
      <c r="X84">
        <f t="shared" si="29"/>
        <v>8206567.1468697898</v>
      </c>
      <c r="Y84">
        <v>83</v>
      </c>
      <c r="Z84">
        <f t="shared" si="40"/>
        <v>8067519.9607602023</v>
      </c>
      <c r="AA84">
        <f>IF(Y84&gt;='Loan Prepayment'!$E$11,'Loan Prepayment'!$E$12,'Loan Prepayment'!$B$6)</f>
        <v>7.5</v>
      </c>
      <c r="AB84">
        <f>IF(Z84&lt;=0,0,MIN(IF(Y84='Loan Prepayment'!$E$11,IF('Loan Prepayment'!$E$13="Keep tenure, recalculate EMI",-PMT(AA84/1200,MAX(1,'Loan Prepayment'!$B$7*12-Y84+1),Z84),AB83),AB83),Z84+AC84))</f>
        <v>86782.323336553396</v>
      </c>
      <c r="AC84">
        <f t="shared" si="30"/>
        <v>50421.999754751261</v>
      </c>
      <c r="AD84">
        <f t="shared" si="31"/>
        <v>36360.323581802135</v>
      </c>
      <c r="AE84">
        <f t="shared" si="32"/>
        <v>0</v>
      </c>
      <c r="AF84">
        <f t="shared" si="33"/>
        <v>8031159.6371784005</v>
      </c>
      <c r="AG84">
        <v>83</v>
      </c>
      <c r="AH84">
        <f t="shared" si="41"/>
        <v>6651014.6698263632</v>
      </c>
      <c r="AI84">
        <f>IF(AG84&gt;='Loan Prepayment'!$E$11,'Loan Prepayment'!$E$12,'Loan Prepayment'!$B$6)</f>
        <v>7.5</v>
      </c>
      <c r="AJ84">
        <f>IF(AH84&lt;=0,0,MIN(IF(AG84='Loan Prepayment'!$E$11,IF('Loan Prepayment'!$E$13="Keep tenure, recalculate EMI",-PMT(AI84/1200,MAX(1,'Loan Prepayment'!$B$7*12-AG84+1),AH84),AJ83),IF(AND('Loan Prepayment'!$E$15="Reduce EMI",AM83&gt;0),-PMT(AI84/1200,MAX(1,'Loan Prepayment'!$B$7*12-AG84+1),AH84),AJ83)),AH84+AK84))</f>
        <v>77713.634667410894</v>
      </c>
      <c r="AK84">
        <f t="shared" si="34"/>
        <v>41568.841686414773</v>
      </c>
      <c r="AL84">
        <f t="shared" si="35"/>
        <v>36144.792980996121</v>
      </c>
      <c r="AM84">
        <f>IF(AH84&lt;=0,0,MIN(MAX(0,AH84-AL84),SUMIFS('Loan Prepayment'!$B$12:$B$16,'Loan Prepayment'!$A$12:$A$16,AG84)+IF(AND(AG84&gt;='Loan Prepayment'!$B$9,AG84&lt;='Loan Prepayment'!$E$16),'Loan Prepayment'!$B$8,0)))</f>
        <v>0</v>
      </c>
      <c r="AN84">
        <f t="shared" si="36"/>
        <v>6614869.8768453673</v>
      </c>
    </row>
    <row r="85" spans="1:40" x14ac:dyDescent="0.35">
      <c r="A85">
        <v>84</v>
      </c>
      <c r="B85">
        <f t="shared" si="37"/>
        <v>8206567.1468697898</v>
      </c>
      <c r="C85" s="78">
        <f>'Loan Prepayment'!$B$6</f>
        <v>8.5</v>
      </c>
      <c r="D85">
        <f>IF(B85&lt;=0,0,MIN(-PMT('Loan Prepayment'!$B$6/1200,'Loan Prepayment'!$B$7*12,'Loan Prepayment'!$B$5),B85+E85))</f>
        <v>86782.323336553396</v>
      </c>
      <c r="E85">
        <f t="shared" si="21"/>
        <v>58129.850623661005</v>
      </c>
      <c r="F85">
        <f t="shared" si="22"/>
        <v>28652.472712892391</v>
      </c>
      <c r="G85">
        <v>0</v>
      </c>
      <c r="H85">
        <f t="shared" si="23"/>
        <v>8177914.6741568977</v>
      </c>
      <c r="I85">
        <v>84</v>
      </c>
      <c r="J85">
        <f t="shared" si="38"/>
        <v>6883377.6469352534</v>
      </c>
      <c r="K85" s="78">
        <f>'Loan Prepayment'!$B$6</f>
        <v>8.5</v>
      </c>
      <c r="L85">
        <f>IF(J85&lt;=0,0,MIN(IF(AND('Loan Prepayment'!$E$15="Reduce EMI",O84&gt;0),-PMT(K85/1200,MAX(1,'Loan Prepayment'!$B$7*12-I85+1),J85),L84),J85+M85))</f>
        <v>72789.936877782937</v>
      </c>
      <c r="M85">
        <f t="shared" si="24"/>
        <v>48757.258332458048</v>
      </c>
      <c r="N85">
        <f t="shared" si="25"/>
        <v>24032.678545324889</v>
      </c>
      <c r="O85">
        <f>IF(J85&lt;=0,0,MIN(MAX(0,J85-N85),SUMIFS('Loan Prepayment'!$B$12:$B$16,'Loan Prepayment'!$A$12:$A$16,I85)+0))</f>
        <v>0</v>
      </c>
      <c r="P85">
        <f t="shared" si="26"/>
        <v>6859344.9683899283</v>
      </c>
      <c r="Q85">
        <v>84</v>
      </c>
      <c r="R85">
        <f t="shared" si="39"/>
        <v>8206567.1468697898</v>
      </c>
      <c r="S85" s="78">
        <f>'Loan Prepayment'!$B$6</f>
        <v>8.5</v>
      </c>
      <c r="T85">
        <f>IF(R85&lt;=0,0,MIN(IF(AND('Loan Prepayment'!$E$15="Reduce EMI",W84&gt;0),-PMT(S85/1200,MAX(1,'Loan Prepayment'!$B$7*12-Q85+1),R85),T84),R85+U85))</f>
        <v>86782.323336553396</v>
      </c>
      <c r="U85">
        <f t="shared" si="27"/>
        <v>58129.850623661005</v>
      </c>
      <c r="V85">
        <f t="shared" si="28"/>
        <v>28652.472712892391</v>
      </c>
      <c r="W85">
        <f>IF(R85&lt;=0,0,MIN(MAX(0,R85-V85),0+IF(AND(Q85&gt;='Loan Prepayment'!$B$9,Q85&lt;='Loan Prepayment'!$E$16),'Loan Prepayment'!$B$8,0)))</f>
        <v>0</v>
      </c>
      <c r="X85">
        <f t="shared" si="29"/>
        <v>8177914.6741568977</v>
      </c>
      <c r="Y85">
        <v>84</v>
      </c>
      <c r="Z85">
        <f t="shared" si="40"/>
        <v>8031159.6371784005</v>
      </c>
      <c r="AA85">
        <f>IF(Y85&gt;='Loan Prepayment'!$E$11,'Loan Prepayment'!$E$12,'Loan Prepayment'!$B$6)</f>
        <v>7.5</v>
      </c>
      <c r="AB85">
        <f>IF(Z85&lt;=0,0,MIN(IF(Y85='Loan Prepayment'!$E$11,IF('Loan Prepayment'!$E$13="Keep tenure, recalculate EMI",-PMT(AA85/1200,MAX(1,'Loan Prepayment'!$B$7*12-Y85+1),Z85),AB84),AB84),Z85+AC85))</f>
        <v>86782.323336553396</v>
      </c>
      <c r="AC85">
        <f t="shared" si="30"/>
        <v>50194.747732365002</v>
      </c>
      <c r="AD85">
        <f t="shared" si="31"/>
        <v>36587.575604188394</v>
      </c>
      <c r="AE85">
        <f t="shared" si="32"/>
        <v>0</v>
      </c>
      <c r="AF85">
        <f t="shared" si="33"/>
        <v>7994572.0615742123</v>
      </c>
      <c r="AG85">
        <v>84</v>
      </c>
      <c r="AH85">
        <f t="shared" si="41"/>
        <v>6614869.8768453673</v>
      </c>
      <c r="AI85">
        <f>IF(AG85&gt;='Loan Prepayment'!$E$11,'Loan Prepayment'!$E$12,'Loan Prepayment'!$B$6)</f>
        <v>7.5</v>
      </c>
      <c r="AJ85">
        <f>IF(AH85&lt;=0,0,MIN(IF(AG85='Loan Prepayment'!$E$11,IF('Loan Prepayment'!$E$13="Keep tenure, recalculate EMI",-PMT(AI85/1200,MAX(1,'Loan Prepayment'!$B$7*12-AG85+1),AH85),AJ84),IF(AND('Loan Prepayment'!$E$15="Reduce EMI",AM84&gt;0),-PMT(AI85/1200,MAX(1,'Loan Prepayment'!$B$7*12-AG85+1),AH85),AJ84)),AH85+AK85))</f>
        <v>77713.634667410894</v>
      </c>
      <c r="AK85">
        <f t="shared" si="34"/>
        <v>41342.936730283545</v>
      </c>
      <c r="AL85">
        <f t="shared" si="35"/>
        <v>36370.697937127348</v>
      </c>
      <c r="AM85">
        <f>IF(AH85&lt;=0,0,MIN(MAX(0,AH85-AL85),SUMIFS('Loan Prepayment'!$B$12:$B$16,'Loan Prepayment'!$A$12:$A$16,AG85)+IF(AND(AG85&gt;='Loan Prepayment'!$B$9,AG85&lt;='Loan Prepayment'!$E$16),'Loan Prepayment'!$B$8,0)))</f>
        <v>0</v>
      </c>
      <c r="AN85">
        <f t="shared" si="36"/>
        <v>6578499.1789082401</v>
      </c>
    </row>
    <row r="86" spans="1:40" x14ac:dyDescent="0.35">
      <c r="A86">
        <v>85</v>
      </c>
      <c r="B86">
        <f t="shared" si="37"/>
        <v>8177914.6741568977</v>
      </c>
      <c r="C86" s="78">
        <f>'Loan Prepayment'!$B$6</f>
        <v>8.5</v>
      </c>
      <c r="D86">
        <f>IF(B86&lt;=0,0,MIN(-PMT('Loan Prepayment'!$B$6/1200,'Loan Prepayment'!$B$7*12,'Loan Prepayment'!$B$5),B86+E86))</f>
        <v>86782.323336553396</v>
      </c>
      <c r="E86">
        <f t="shared" si="21"/>
        <v>57926.895608611354</v>
      </c>
      <c r="F86">
        <f t="shared" si="22"/>
        <v>28855.427727942042</v>
      </c>
      <c r="G86">
        <v>0</v>
      </c>
      <c r="H86">
        <f t="shared" si="23"/>
        <v>8149059.2464289553</v>
      </c>
      <c r="I86">
        <v>85</v>
      </c>
      <c r="J86">
        <f t="shared" si="38"/>
        <v>6859344.9683899283</v>
      </c>
      <c r="K86" s="78">
        <f>'Loan Prepayment'!$B$6</f>
        <v>8.5</v>
      </c>
      <c r="L86">
        <f>IF(J86&lt;=0,0,MIN(IF(AND('Loan Prepayment'!$E$15="Reduce EMI",O85&gt;0),-PMT(K86/1200,MAX(1,'Loan Prepayment'!$B$7*12-I86+1),J86),L85),J86+M86))</f>
        <v>72789.936877782937</v>
      </c>
      <c r="M86">
        <f t="shared" si="24"/>
        <v>48587.026859428661</v>
      </c>
      <c r="N86">
        <f t="shared" si="25"/>
        <v>24202.910018354276</v>
      </c>
      <c r="O86">
        <f>IF(J86&lt;=0,0,MIN(MAX(0,J86-N86),SUMIFS('Loan Prepayment'!$B$12:$B$16,'Loan Prepayment'!$A$12:$A$16,I86)+0))</f>
        <v>0</v>
      </c>
      <c r="P86">
        <f t="shared" si="26"/>
        <v>6835142.0583715737</v>
      </c>
      <c r="Q86">
        <v>85</v>
      </c>
      <c r="R86">
        <f t="shared" si="39"/>
        <v>8177914.6741568977</v>
      </c>
      <c r="S86" s="78">
        <f>'Loan Prepayment'!$B$6</f>
        <v>8.5</v>
      </c>
      <c r="T86">
        <f>IF(R86&lt;=0,0,MIN(IF(AND('Loan Prepayment'!$E$15="Reduce EMI",W85&gt;0),-PMT(S86/1200,MAX(1,'Loan Prepayment'!$B$7*12-Q86+1),R86),T85),R86+U86))</f>
        <v>86782.323336553396</v>
      </c>
      <c r="U86">
        <f t="shared" si="27"/>
        <v>57926.895608611354</v>
      </c>
      <c r="V86">
        <f t="shared" si="28"/>
        <v>28855.427727942042</v>
      </c>
      <c r="W86">
        <f>IF(R86&lt;=0,0,MIN(MAX(0,R86-V86),0+IF(AND(Q86&gt;='Loan Prepayment'!$B$9,Q86&lt;='Loan Prepayment'!$E$16),'Loan Prepayment'!$B$8,0)))</f>
        <v>0</v>
      </c>
      <c r="X86">
        <f t="shared" si="29"/>
        <v>8149059.2464289553</v>
      </c>
      <c r="Y86">
        <v>85</v>
      </c>
      <c r="Z86">
        <f t="shared" si="40"/>
        <v>7994572.0615742123</v>
      </c>
      <c r="AA86">
        <f>IF(Y86&gt;='Loan Prepayment'!$E$11,'Loan Prepayment'!$E$12,'Loan Prepayment'!$B$6)</f>
        <v>7.5</v>
      </c>
      <c r="AB86">
        <f>IF(Z86&lt;=0,0,MIN(IF(Y86='Loan Prepayment'!$E$11,IF('Loan Prepayment'!$E$13="Keep tenure, recalculate EMI",-PMT(AA86/1200,MAX(1,'Loan Prepayment'!$B$7*12-Y86+1),Z86),AB85),AB85),Z86+AC86))</f>
        <v>86782.323336553396</v>
      </c>
      <c r="AC86">
        <f t="shared" si="30"/>
        <v>49966.075384838827</v>
      </c>
      <c r="AD86">
        <f t="shared" si="31"/>
        <v>36816.247951714569</v>
      </c>
      <c r="AE86">
        <f t="shared" si="32"/>
        <v>0</v>
      </c>
      <c r="AF86">
        <f t="shared" si="33"/>
        <v>7957755.813622498</v>
      </c>
      <c r="AG86">
        <v>85</v>
      </c>
      <c r="AH86">
        <f t="shared" si="41"/>
        <v>6578499.1789082401</v>
      </c>
      <c r="AI86">
        <f>IF(AG86&gt;='Loan Prepayment'!$E$11,'Loan Prepayment'!$E$12,'Loan Prepayment'!$B$6)</f>
        <v>7.5</v>
      </c>
      <c r="AJ86">
        <f>IF(AH86&lt;=0,0,MIN(IF(AG86='Loan Prepayment'!$E$11,IF('Loan Prepayment'!$E$13="Keep tenure, recalculate EMI",-PMT(AI86/1200,MAX(1,'Loan Prepayment'!$B$7*12-AG86+1),AH86),AJ85),IF(AND('Loan Prepayment'!$E$15="Reduce EMI",AM85&gt;0),-PMT(AI86/1200,MAX(1,'Loan Prepayment'!$B$7*12-AG86+1),AH86),AJ85)),AH86+AK86))</f>
        <v>77713.634667410894</v>
      </c>
      <c r="AK86">
        <f t="shared" si="34"/>
        <v>41115.619868176502</v>
      </c>
      <c r="AL86">
        <f t="shared" si="35"/>
        <v>36598.014799234392</v>
      </c>
      <c r="AM86">
        <f>IF(AH86&lt;=0,0,MIN(MAX(0,AH86-AL86),SUMIFS('Loan Prepayment'!$B$12:$B$16,'Loan Prepayment'!$A$12:$A$16,AG86)+IF(AND(AG86&gt;='Loan Prepayment'!$B$9,AG86&lt;='Loan Prepayment'!$E$16),'Loan Prepayment'!$B$8,0)))</f>
        <v>0</v>
      </c>
      <c r="AN86">
        <f t="shared" si="36"/>
        <v>6541901.1641090056</v>
      </c>
    </row>
    <row r="87" spans="1:40" x14ac:dyDescent="0.35">
      <c r="A87">
        <v>86</v>
      </c>
      <c r="B87">
        <f t="shared" si="37"/>
        <v>8149059.2464289553</v>
      </c>
      <c r="C87" s="78">
        <f>'Loan Prepayment'!$B$6</f>
        <v>8.5</v>
      </c>
      <c r="D87">
        <f>IF(B87&lt;=0,0,MIN(-PMT('Loan Prepayment'!$B$6/1200,'Loan Prepayment'!$B$7*12,'Loan Prepayment'!$B$5),B87+E87))</f>
        <v>86782.323336553396</v>
      </c>
      <c r="E87">
        <f t="shared" si="21"/>
        <v>57722.502995538438</v>
      </c>
      <c r="F87">
        <f t="shared" si="22"/>
        <v>29059.820341014958</v>
      </c>
      <c r="G87">
        <v>0</v>
      </c>
      <c r="H87">
        <f t="shared" si="23"/>
        <v>8119999.4260879401</v>
      </c>
      <c r="I87">
        <v>86</v>
      </c>
      <c r="J87">
        <f t="shared" si="38"/>
        <v>6835142.0583715737</v>
      </c>
      <c r="K87" s="78">
        <f>'Loan Prepayment'!$B$6</f>
        <v>8.5</v>
      </c>
      <c r="L87">
        <f>IF(J87&lt;=0,0,MIN(IF(AND('Loan Prepayment'!$E$15="Reduce EMI",O86&gt;0),-PMT(K87/1200,MAX(1,'Loan Prepayment'!$B$7*12-I87+1),J87),L86),J87+M87))</f>
        <v>72789.936877782937</v>
      </c>
      <c r="M87">
        <f t="shared" si="24"/>
        <v>48415.589580131978</v>
      </c>
      <c r="N87">
        <f t="shared" si="25"/>
        <v>24374.347297650958</v>
      </c>
      <c r="O87">
        <f>IF(J87&lt;=0,0,MIN(MAX(0,J87-N87),SUMIFS('Loan Prepayment'!$B$12:$B$16,'Loan Prepayment'!$A$12:$A$16,I87)+0))</f>
        <v>0</v>
      </c>
      <c r="P87">
        <f t="shared" si="26"/>
        <v>6810767.7110739229</v>
      </c>
      <c r="Q87">
        <v>86</v>
      </c>
      <c r="R87">
        <f t="shared" si="39"/>
        <v>8149059.2464289553</v>
      </c>
      <c r="S87" s="78">
        <f>'Loan Prepayment'!$B$6</f>
        <v>8.5</v>
      </c>
      <c r="T87">
        <f>IF(R87&lt;=0,0,MIN(IF(AND('Loan Prepayment'!$E$15="Reduce EMI",W86&gt;0),-PMT(S87/1200,MAX(1,'Loan Prepayment'!$B$7*12-Q87+1),R87),T86),R87+U87))</f>
        <v>86782.323336553396</v>
      </c>
      <c r="U87">
        <f t="shared" si="27"/>
        <v>57722.502995538438</v>
      </c>
      <c r="V87">
        <f t="shared" si="28"/>
        <v>29059.820341014958</v>
      </c>
      <c r="W87">
        <f>IF(R87&lt;=0,0,MIN(MAX(0,R87-V87),0+IF(AND(Q87&gt;='Loan Prepayment'!$B$9,Q87&lt;='Loan Prepayment'!$E$16),'Loan Prepayment'!$B$8,0)))</f>
        <v>0</v>
      </c>
      <c r="X87">
        <f t="shared" si="29"/>
        <v>8119999.4260879401</v>
      </c>
      <c r="Y87">
        <v>86</v>
      </c>
      <c r="Z87">
        <f t="shared" si="40"/>
        <v>7957755.813622498</v>
      </c>
      <c r="AA87">
        <f>IF(Y87&gt;='Loan Prepayment'!$E$11,'Loan Prepayment'!$E$12,'Loan Prepayment'!$B$6)</f>
        <v>7.5</v>
      </c>
      <c r="AB87">
        <f>IF(Z87&lt;=0,0,MIN(IF(Y87='Loan Prepayment'!$E$11,IF('Loan Prepayment'!$E$13="Keep tenure, recalculate EMI",-PMT(AA87/1200,MAX(1,'Loan Prepayment'!$B$7*12-Y87+1),Z87),AB86),AB86),Z87+AC87))</f>
        <v>86782.323336553396</v>
      </c>
      <c r="AC87">
        <f t="shared" si="30"/>
        <v>49735.973835140612</v>
      </c>
      <c r="AD87">
        <f t="shared" si="31"/>
        <v>37046.349501412784</v>
      </c>
      <c r="AE87">
        <f t="shared" si="32"/>
        <v>0</v>
      </c>
      <c r="AF87">
        <f t="shared" si="33"/>
        <v>7920709.4641210856</v>
      </c>
      <c r="AG87">
        <v>86</v>
      </c>
      <c r="AH87">
        <f t="shared" si="41"/>
        <v>6541901.1641090056</v>
      </c>
      <c r="AI87">
        <f>IF(AG87&gt;='Loan Prepayment'!$E$11,'Loan Prepayment'!$E$12,'Loan Prepayment'!$B$6)</f>
        <v>7.5</v>
      </c>
      <c r="AJ87">
        <f>IF(AH87&lt;=0,0,MIN(IF(AG87='Loan Prepayment'!$E$11,IF('Loan Prepayment'!$E$13="Keep tenure, recalculate EMI",-PMT(AI87/1200,MAX(1,'Loan Prepayment'!$B$7*12-AG87+1),AH87),AJ86),IF(AND('Loan Prepayment'!$E$15="Reduce EMI",AM86&gt;0),-PMT(AI87/1200,MAX(1,'Loan Prepayment'!$B$7*12-AG87+1),AH87),AJ86)),AH87+AK87))</f>
        <v>77713.634667410894</v>
      </c>
      <c r="AK87">
        <f t="shared" si="34"/>
        <v>40886.882275681288</v>
      </c>
      <c r="AL87">
        <f t="shared" si="35"/>
        <v>36826.752391729606</v>
      </c>
      <c r="AM87">
        <f>IF(AH87&lt;=0,0,MIN(MAX(0,AH87-AL87),SUMIFS('Loan Prepayment'!$B$12:$B$16,'Loan Prepayment'!$A$12:$A$16,AG87)+IF(AND(AG87&gt;='Loan Prepayment'!$B$9,AG87&lt;='Loan Prepayment'!$E$16),'Loan Prepayment'!$B$8,0)))</f>
        <v>0</v>
      </c>
      <c r="AN87">
        <f t="shared" si="36"/>
        <v>6505074.4117172761</v>
      </c>
    </row>
    <row r="88" spans="1:40" x14ac:dyDescent="0.35">
      <c r="A88">
        <v>87</v>
      </c>
      <c r="B88">
        <f t="shared" si="37"/>
        <v>8119999.4260879401</v>
      </c>
      <c r="C88" s="78">
        <f>'Loan Prepayment'!$B$6</f>
        <v>8.5</v>
      </c>
      <c r="D88">
        <f>IF(B88&lt;=0,0,MIN(-PMT('Loan Prepayment'!$B$6/1200,'Loan Prepayment'!$B$7*12,'Loan Prepayment'!$B$5),B88+E88))</f>
        <v>86782.323336553396</v>
      </c>
      <c r="E88">
        <f t="shared" si="21"/>
        <v>57516.662601456243</v>
      </c>
      <c r="F88">
        <f t="shared" si="22"/>
        <v>29265.660735097154</v>
      </c>
      <c r="G88">
        <v>0</v>
      </c>
      <c r="H88">
        <f t="shared" si="23"/>
        <v>8090733.7653528433</v>
      </c>
      <c r="I88">
        <v>87</v>
      </c>
      <c r="J88">
        <f t="shared" si="38"/>
        <v>6810767.7110739229</v>
      </c>
      <c r="K88" s="78">
        <f>'Loan Prepayment'!$B$6</f>
        <v>8.5</v>
      </c>
      <c r="L88">
        <f>IF(J88&lt;=0,0,MIN(IF(AND('Loan Prepayment'!$E$15="Reduce EMI",O87&gt;0),-PMT(K88/1200,MAX(1,'Loan Prepayment'!$B$7*12-I88+1),J88),L87),J88+M88))</f>
        <v>72789.936877782937</v>
      </c>
      <c r="M88">
        <f t="shared" si="24"/>
        <v>48242.937953440283</v>
      </c>
      <c r="N88">
        <f t="shared" si="25"/>
        <v>24546.998924342653</v>
      </c>
      <c r="O88">
        <f>IF(J88&lt;=0,0,MIN(MAX(0,J88-N88),SUMIFS('Loan Prepayment'!$B$12:$B$16,'Loan Prepayment'!$A$12:$A$16,I88)+0))</f>
        <v>0</v>
      </c>
      <c r="P88">
        <f t="shared" si="26"/>
        <v>6786220.71214958</v>
      </c>
      <c r="Q88">
        <v>87</v>
      </c>
      <c r="R88">
        <f t="shared" si="39"/>
        <v>8119999.4260879401</v>
      </c>
      <c r="S88" s="78">
        <f>'Loan Prepayment'!$B$6</f>
        <v>8.5</v>
      </c>
      <c r="T88">
        <f>IF(R88&lt;=0,0,MIN(IF(AND('Loan Prepayment'!$E$15="Reduce EMI",W87&gt;0),-PMT(S88/1200,MAX(1,'Loan Prepayment'!$B$7*12-Q88+1),R88),T87),R88+U88))</f>
        <v>86782.323336553396</v>
      </c>
      <c r="U88">
        <f t="shared" si="27"/>
        <v>57516.662601456243</v>
      </c>
      <c r="V88">
        <f t="shared" si="28"/>
        <v>29265.660735097154</v>
      </c>
      <c r="W88">
        <f>IF(R88&lt;=0,0,MIN(MAX(0,R88-V88),0+IF(AND(Q88&gt;='Loan Prepayment'!$B$9,Q88&lt;='Loan Prepayment'!$E$16),'Loan Prepayment'!$B$8,0)))</f>
        <v>0</v>
      </c>
      <c r="X88">
        <f t="shared" si="29"/>
        <v>8090733.7653528433</v>
      </c>
      <c r="Y88">
        <v>87</v>
      </c>
      <c r="Z88">
        <f t="shared" si="40"/>
        <v>7920709.4641210856</v>
      </c>
      <c r="AA88">
        <f>IF(Y88&gt;='Loan Prepayment'!$E$11,'Loan Prepayment'!$E$12,'Loan Prepayment'!$B$6)</f>
        <v>7.5</v>
      </c>
      <c r="AB88">
        <f>IF(Z88&lt;=0,0,MIN(IF(Y88='Loan Prepayment'!$E$11,IF('Loan Prepayment'!$E$13="Keep tenure, recalculate EMI",-PMT(AA88/1200,MAX(1,'Loan Prepayment'!$B$7*12-Y88+1),Z88),AB87),AB87),Z88+AC88))</f>
        <v>86782.323336553396</v>
      </c>
      <c r="AC88">
        <f t="shared" si="30"/>
        <v>49504.434150756781</v>
      </c>
      <c r="AD88">
        <f t="shared" si="31"/>
        <v>37277.889185796615</v>
      </c>
      <c r="AE88">
        <f t="shared" si="32"/>
        <v>0</v>
      </c>
      <c r="AF88">
        <f t="shared" si="33"/>
        <v>7883431.5749352891</v>
      </c>
      <c r="AG88">
        <v>87</v>
      </c>
      <c r="AH88">
        <f t="shared" si="41"/>
        <v>6505074.4117172761</v>
      </c>
      <c r="AI88">
        <f>IF(AG88&gt;='Loan Prepayment'!$E$11,'Loan Prepayment'!$E$12,'Loan Prepayment'!$B$6)</f>
        <v>7.5</v>
      </c>
      <c r="AJ88">
        <f>IF(AH88&lt;=0,0,MIN(IF(AG88='Loan Prepayment'!$E$11,IF('Loan Prepayment'!$E$13="Keep tenure, recalculate EMI",-PMT(AI88/1200,MAX(1,'Loan Prepayment'!$B$7*12-AG88+1),AH88),AJ87),IF(AND('Loan Prepayment'!$E$15="Reduce EMI",AM87&gt;0),-PMT(AI88/1200,MAX(1,'Loan Prepayment'!$B$7*12-AG88+1),AH88),AJ87)),AH88+AK88))</f>
        <v>77713.634667410894</v>
      </c>
      <c r="AK88">
        <f t="shared" si="34"/>
        <v>40656.715073232976</v>
      </c>
      <c r="AL88">
        <f t="shared" si="35"/>
        <v>37056.919594177918</v>
      </c>
      <c r="AM88">
        <f>IF(AH88&lt;=0,0,MIN(MAX(0,AH88-AL88),SUMIFS('Loan Prepayment'!$B$12:$B$16,'Loan Prepayment'!$A$12:$A$16,AG88)+IF(AND(AG88&gt;='Loan Prepayment'!$B$9,AG88&lt;='Loan Prepayment'!$E$16),'Loan Prepayment'!$B$8,0)))</f>
        <v>0</v>
      </c>
      <c r="AN88">
        <f t="shared" si="36"/>
        <v>6468017.4921230981</v>
      </c>
    </row>
    <row r="89" spans="1:40" x14ac:dyDescent="0.35">
      <c r="A89">
        <v>88</v>
      </c>
      <c r="B89">
        <f t="shared" si="37"/>
        <v>8090733.7653528433</v>
      </c>
      <c r="C89" s="78">
        <f>'Loan Prepayment'!$B$6</f>
        <v>8.5</v>
      </c>
      <c r="D89">
        <f>IF(B89&lt;=0,0,MIN(-PMT('Loan Prepayment'!$B$6/1200,'Loan Prepayment'!$B$7*12,'Loan Prepayment'!$B$5),B89+E89))</f>
        <v>86782.323336553396</v>
      </c>
      <c r="E89">
        <f t="shared" si="21"/>
        <v>57309.364171249304</v>
      </c>
      <c r="F89">
        <f t="shared" si="22"/>
        <v>29472.959165304092</v>
      </c>
      <c r="G89">
        <v>0</v>
      </c>
      <c r="H89">
        <f t="shared" si="23"/>
        <v>8061260.8061875394</v>
      </c>
      <c r="I89">
        <v>88</v>
      </c>
      <c r="J89">
        <f t="shared" si="38"/>
        <v>6786220.71214958</v>
      </c>
      <c r="K89" s="78">
        <f>'Loan Prepayment'!$B$6</f>
        <v>8.5</v>
      </c>
      <c r="L89">
        <f>IF(J89&lt;=0,0,MIN(IF(AND('Loan Prepayment'!$E$15="Reduce EMI",O88&gt;0),-PMT(K89/1200,MAX(1,'Loan Prepayment'!$B$7*12-I89+1),J89),L88),J89+M89))</f>
        <v>72789.936877782937</v>
      </c>
      <c r="M89">
        <f t="shared" si="24"/>
        <v>48069.06337772619</v>
      </c>
      <c r="N89">
        <f t="shared" si="25"/>
        <v>24720.873500056747</v>
      </c>
      <c r="O89">
        <f>IF(J89&lt;=0,0,MIN(MAX(0,J89-N89),SUMIFS('Loan Prepayment'!$B$12:$B$16,'Loan Prepayment'!$A$12:$A$16,I89)+0))</f>
        <v>0</v>
      </c>
      <c r="P89">
        <f t="shared" si="26"/>
        <v>6761499.8386495234</v>
      </c>
      <c r="Q89">
        <v>88</v>
      </c>
      <c r="R89">
        <f t="shared" si="39"/>
        <v>8090733.7653528433</v>
      </c>
      <c r="S89" s="78">
        <f>'Loan Prepayment'!$B$6</f>
        <v>8.5</v>
      </c>
      <c r="T89">
        <f>IF(R89&lt;=0,0,MIN(IF(AND('Loan Prepayment'!$E$15="Reduce EMI",W88&gt;0),-PMT(S89/1200,MAX(1,'Loan Prepayment'!$B$7*12-Q89+1),R89),T88),R89+U89))</f>
        <v>86782.323336553396</v>
      </c>
      <c r="U89">
        <f t="shared" si="27"/>
        <v>57309.364171249304</v>
      </c>
      <c r="V89">
        <f t="shared" si="28"/>
        <v>29472.959165304092</v>
      </c>
      <c r="W89">
        <f>IF(R89&lt;=0,0,MIN(MAX(0,R89-V89),0+IF(AND(Q89&gt;='Loan Prepayment'!$B$9,Q89&lt;='Loan Prepayment'!$E$16),'Loan Prepayment'!$B$8,0)))</f>
        <v>0</v>
      </c>
      <c r="X89">
        <f t="shared" si="29"/>
        <v>8061260.8061875394</v>
      </c>
      <c r="Y89">
        <v>88</v>
      </c>
      <c r="Z89">
        <f t="shared" si="40"/>
        <v>7883431.5749352891</v>
      </c>
      <c r="AA89">
        <f>IF(Y89&gt;='Loan Prepayment'!$E$11,'Loan Prepayment'!$E$12,'Loan Prepayment'!$B$6)</f>
        <v>7.5</v>
      </c>
      <c r="AB89">
        <f>IF(Z89&lt;=0,0,MIN(IF(Y89='Loan Prepayment'!$E$11,IF('Loan Prepayment'!$E$13="Keep tenure, recalculate EMI",-PMT(AA89/1200,MAX(1,'Loan Prepayment'!$B$7*12-Y89+1),Z89),AB88),AB88),Z89+AC89))</f>
        <v>86782.323336553396</v>
      </c>
      <c r="AC89">
        <f t="shared" si="30"/>
        <v>49271.447343345557</v>
      </c>
      <c r="AD89">
        <f t="shared" si="31"/>
        <v>37510.875993207839</v>
      </c>
      <c r="AE89">
        <f t="shared" si="32"/>
        <v>0</v>
      </c>
      <c r="AF89">
        <f t="shared" si="33"/>
        <v>7845920.6989420811</v>
      </c>
      <c r="AG89">
        <v>88</v>
      </c>
      <c r="AH89">
        <f t="shared" si="41"/>
        <v>6468017.4921230981</v>
      </c>
      <c r="AI89">
        <f>IF(AG89&gt;='Loan Prepayment'!$E$11,'Loan Prepayment'!$E$12,'Loan Prepayment'!$B$6)</f>
        <v>7.5</v>
      </c>
      <c r="AJ89">
        <f>IF(AH89&lt;=0,0,MIN(IF(AG89='Loan Prepayment'!$E$11,IF('Loan Prepayment'!$E$13="Keep tenure, recalculate EMI",-PMT(AI89/1200,MAX(1,'Loan Prepayment'!$B$7*12-AG89+1),AH89),AJ88),IF(AND('Loan Prepayment'!$E$15="Reduce EMI",AM88&gt;0),-PMT(AI89/1200,MAX(1,'Loan Prepayment'!$B$7*12-AG89+1),AH89),AJ88)),AH89+AK89))</f>
        <v>77713.634667410894</v>
      </c>
      <c r="AK89">
        <f t="shared" si="34"/>
        <v>40425.109325769365</v>
      </c>
      <c r="AL89">
        <f t="shared" si="35"/>
        <v>37288.525341641529</v>
      </c>
      <c r="AM89">
        <f>IF(AH89&lt;=0,0,MIN(MAX(0,AH89-AL89),SUMIFS('Loan Prepayment'!$B$12:$B$16,'Loan Prepayment'!$A$12:$A$16,AG89)+IF(AND(AG89&gt;='Loan Prepayment'!$B$9,AG89&lt;='Loan Prepayment'!$E$16),'Loan Prepayment'!$B$8,0)))</f>
        <v>0</v>
      </c>
      <c r="AN89">
        <f t="shared" si="36"/>
        <v>6430728.966781457</v>
      </c>
    </row>
    <row r="90" spans="1:40" x14ac:dyDescent="0.35">
      <c r="A90">
        <v>89</v>
      </c>
      <c r="B90">
        <f t="shared" si="37"/>
        <v>8061260.8061875394</v>
      </c>
      <c r="C90" s="78">
        <f>'Loan Prepayment'!$B$6</f>
        <v>8.5</v>
      </c>
      <c r="D90">
        <f>IF(B90&lt;=0,0,MIN(-PMT('Loan Prepayment'!$B$6/1200,'Loan Prepayment'!$B$7*12,'Loan Prepayment'!$B$5),B90+E90))</f>
        <v>86782.323336553396</v>
      </c>
      <c r="E90">
        <f t="shared" si="21"/>
        <v>57100.597377161728</v>
      </c>
      <c r="F90">
        <f t="shared" si="22"/>
        <v>29681.725959391668</v>
      </c>
      <c r="G90">
        <v>0</v>
      </c>
      <c r="H90">
        <f t="shared" si="23"/>
        <v>8031579.080228148</v>
      </c>
      <c r="I90">
        <v>89</v>
      </c>
      <c r="J90">
        <f t="shared" si="38"/>
        <v>6761499.8386495234</v>
      </c>
      <c r="K90" s="78">
        <f>'Loan Prepayment'!$B$6</f>
        <v>8.5</v>
      </c>
      <c r="L90">
        <f>IF(J90&lt;=0,0,MIN(IF(AND('Loan Prepayment'!$E$15="Reduce EMI",O89&gt;0),-PMT(K90/1200,MAX(1,'Loan Prepayment'!$B$7*12-I90+1),J90),L89),J90+M90))</f>
        <v>72789.936877782937</v>
      </c>
      <c r="M90">
        <f t="shared" si="24"/>
        <v>47893.957190434128</v>
      </c>
      <c r="N90">
        <f t="shared" si="25"/>
        <v>24895.979687348809</v>
      </c>
      <c r="O90">
        <f>IF(J90&lt;=0,0,MIN(MAX(0,J90-N90),SUMIFS('Loan Prepayment'!$B$12:$B$16,'Loan Prepayment'!$A$12:$A$16,I90)+0))</f>
        <v>0</v>
      </c>
      <c r="P90">
        <f t="shared" si="26"/>
        <v>6736603.8589621745</v>
      </c>
      <c r="Q90">
        <v>89</v>
      </c>
      <c r="R90">
        <f t="shared" si="39"/>
        <v>8061260.8061875394</v>
      </c>
      <c r="S90" s="78">
        <f>'Loan Prepayment'!$B$6</f>
        <v>8.5</v>
      </c>
      <c r="T90">
        <f>IF(R90&lt;=0,0,MIN(IF(AND('Loan Prepayment'!$E$15="Reduce EMI",W89&gt;0),-PMT(S90/1200,MAX(1,'Loan Prepayment'!$B$7*12-Q90+1),R90),T89),R90+U90))</f>
        <v>86782.323336553396</v>
      </c>
      <c r="U90">
        <f t="shared" si="27"/>
        <v>57100.597377161728</v>
      </c>
      <c r="V90">
        <f t="shared" si="28"/>
        <v>29681.725959391668</v>
      </c>
      <c r="W90">
        <f>IF(R90&lt;=0,0,MIN(MAX(0,R90-V90),0+IF(AND(Q90&gt;='Loan Prepayment'!$B$9,Q90&lt;='Loan Prepayment'!$E$16),'Loan Prepayment'!$B$8,0)))</f>
        <v>0</v>
      </c>
      <c r="X90">
        <f t="shared" si="29"/>
        <v>8031579.080228148</v>
      </c>
      <c r="Y90">
        <v>89</v>
      </c>
      <c r="Z90">
        <f t="shared" si="40"/>
        <v>7845920.6989420811</v>
      </c>
      <c r="AA90">
        <f>IF(Y90&gt;='Loan Prepayment'!$E$11,'Loan Prepayment'!$E$12,'Loan Prepayment'!$B$6)</f>
        <v>7.5</v>
      </c>
      <c r="AB90">
        <f>IF(Z90&lt;=0,0,MIN(IF(Y90='Loan Prepayment'!$E$11,IF('Loan Prepayment'!$E$13="Keep tenure, recalculate EMI",-PMT(AA90/1200,MAX(1,'Loan Prepayment'!$B$7*12-Y90+1),Z90),AB89),AB89),Z90+AC90))</f>
        <v>86782.323336553396</v>
      </c>
      <c r="AC90">
        <f t="shared" si="30"/>
        <v>49037.004368388007</v>
      </c>
      <c r="AD90">
        <f t="shared" si="31"/>
        <v>37745.318968165389</v>
      </c>
      <c r="AE90">
        <f t="shared" si="32"/>
        <v>0</v>
      </c>
      <c r="AF90">
        <f t="shared" si="33"/>
        <v>7808175.3799739154</v>
      </c>
      <c r="AG90">
        <v>89</v>
      </c>
      <c r="AH90">
        <f t="shared" si="41"/>
        <v>6430728.966781457</v>
      </c>
      <c r="AI90">
        <f>IF(AG90&gt;='Loan Prepayment'!$E$11,'Loan Prepayment'!$E$12,'Loan Prepayment'!$B$6)</f>
        <v>7.5</v>
      </c>
      <c r="AJ90">
        <f>IF(AH90&lt;=0,0,MIN(IF(AG90='Loan Prepayment'!$E$11,IF('Loan Prepayment'!$E$13="Keep tenure, recalculate EMI",-PMT(AI90/1200,MAX(1,'Loan Prepayment'!$B$7*12-AG90+1),AH90),AJ89),IF(AND('Loan Prepayment'!$E$15="Reduce EMI",AM89&gt;0),-PMT(AI90/1200,MAX(1,'Loan Prepayment'!$B$7*12-AG90+1),AH90),AJ89)),AH90+AK90))</f>
        <v>77713.634667410894</v>
      </c>
      <c r="AK90">
        <f t="shared" si="34"/>
        <v>40192.056042384109</v>
      </c>
      <c r="AL90">
        <f t="shared" si="35"/>
        <v>37521.578625026785</v>
      </c>
      <c r="AM90">
        <f>IF(AH90&lt;=0,0,MIN(MAX(0,AH90-AL90),SUMIFS('Loan Prepayment'!$B$12:$B$16,'Loan Prepayment'!$A$12:$A$16,AG90)+IF(AND(AG90&gt;='Loan Prepayment'!$B$9,AG90&lt;='Loan Prepayment'!$E$16),'Loan Prepayment'!$B$8,0)))</f>
        <v>0</v>
      </c>
      <c r="AN90">
        <f t="shared" si="36"/>
        <v>6393207.3881564299</v>
      </c>
    </row>
    <row r="91" spans="1:40" x14ac:dyDescent="0.35">
      <c r="A91">
        <v>90</v>
      </c>
      <c r="B91">
        <f t="shared" si="37"/>
        <v>8031579.080228148</v>
      </c>
      <c r="C91" s="78">
        <f>'Loan Prepayment'!$B$6</f>
        <v>8.5</v>
      </c>
      <c r="D91">
        <f>IF(B91&lt;=0,0,MIN(-PMT('Loan Prepayment'!$B$6/1200,'Loan Prepayment'!$B$7*12,'Loan Prepayment'!$B$5),B91+E91))</f>
        <v>86782.323336553396</v>
      </c>
      <c r="E91">
        <f t="shared" si="21"/>
        <v>56890.351818282717</v>
      </c>
      <c r="F91">
        <f t="shared" si="22"/>
        <v>29891.971518270679</v>
      </c>
      <c r="G91">
        <v>0</v>
      </c>
      <c r="H91">
        <f t="shared" si="23"/>
        <v>8001687.1087098774</v>
      </c>
      <c r="I91">
        <v>90</v>
      </c>
      <c r="J91">
        <f t="shared" si="38"/>
        <v>6736603.8589621745</v>
      </c>
      <c r="K91" s="78">
        <f>'Loan Prepayment'!$B$6</f>
        <v>8.5</v>
      </c>
      <c r="L91">
        <f>IF(J91&lt;=0,0,MIN(IF(AND('Loan Prepayment'!$E$15="Reduce EMI",O90&gt;0),-PMT(K91/1200,MAX(1,'Loan Prepayment'!$B$7*12-I91+1),J91),L90),J91+M91))</f>
        <v>72789.936877782937</v>
      </c>
      <c r="M91">
        <f t="shared" si="24"/>
        <v>47717.61066764874</v>
      </c>
      <c r="N91">
        <f t="shared" si="25"/>
        <v>25072.326210134197</v>
      </c>
      <c r="O91">
        <f>IF(J91&lt;=0,0,MIN(MAX(0,J91-N91),SUMIFS('Loan Prepayment'!$B$12:$B$16,'Loan Prepayment'!$A$12:$A$16,I91)+0))</f>
        <v>0</v>
      </c>
      <c r="P91">
        <f t="shared" si="26"/>
        <v>6711531.5327520408</v>
      </c>
      <c r="Q91">
        <v>90</v>
      </c>
      <c r="R91">
        <f t="shared" si="39"/>
        <v>8031579.080228148</v>
      </c>
      <c r="S91" s="78">
        <f>'Loan Prepayment'!$B$6</f>
        <v>8.5</v>
      </c>
      <c r="T91">
        <f>IF(R91&lt;=0,0,MIN(IF(AND('Loan Prepayment'!$E$15="Reduce EMI",W90&gt;0),-PMT(S91/1200,MAX(1,'Loan Prepayment'!$B$7*12-Q91+1),R91),T90),R91+U91))</f>
        <v>86782.323336553396</v>
      </c>
      <c r="U91">
        <f t="shared" si="27"/>
        <v>56890.351818282717</v>
      </c>
      <c r="V91">
        <f t="shared" si="28"/>
        <v>29891.971518270679</v>
      </c>
      <c r="W91">
        <f>IF(R91&lt;=0,0,MIN(MAX(0,R91-V91),0+IF(AND(Q91&gt;='Loan Prepayment'!$B$9,Q91&lt;='Loan Prepayment'!$E$16),'Loan Prepayment'!$B$8,0)))</f>
        <v>0</v>
      </c>
      <c r="X91">
        <f t="shared" si="29"/>
        <v>8001687.1087098774</v>
      </c>
      <c r="Y91">
        <v>90</v>
      </c>
      <c r="Z91">
        <f t="shared" si="40"/>
        <v>7808175.3799739154</v>
      </c>
      <c r="AA91">
        <f>IF(Y91&gt;='Loan Prepayment'!$E$11,'Loan Prepayment'!$E$12,'Loan Prepayment'!$B$6)</f>
        <v>7.5</v>
      </c>
      <c r="AB91">
        <f>IF(Z91&lt;=0,0,MIN(IF(Y91='Loan Prepayment'!$E$11,IF('Loan Prepayment'!$E$13="Keep tenure, recalculate EMI",-PMT(AA91/1200,MAX(1,'Loan Prepayment'!$B$7*12-Y91+1),Z91),AB90),AB90),Z91+AC91))</f>
        <v>86782.323336553396</v>
      </c>
      <c r="AC91">
        <f t="shared" si="30"/>
        <v>48801.096124836971</v>
      </c>
      <c r="AD91">
        <f t="shared" si="31"/>
        <v>37981.227211716425</v>
      </c>
      <c r="AE91">
        <f t="shared" si="32"/>
        <v>0</v>
      </c>
      <c r="AF91">
        <f t="shared" si="33"/>
        <v>7770194.1527621988</v>
      </c>
      <c r="AG91">
        <v>90</v>
      </c>
      <c r="AH91">
        <f t="shared" si="41"/>
        <v>6393207.3881564299</v>
      </c>
      <c r="AI91">
        <f>IF(AG91&gt;='Loan Prepayment'!$E$11,'Loan Prepayment'!$E$12,'Loan Prepayment'!$B$6)</f>
        <v>7.5</v>
      </c>
      <c r="AJ91">
        <f>IF(AH91&lt;=0,0,MIN(IF(AG91='Loan Prepayment'!$E$11,IF('Loan Prepayment'!$E$13="Keep tenure, recalculate EMI",-PMT(AI91/1200,MAX(1,'Loan Prepayment'!$B$7*12-AG91+1),AH91),AJ90),IF(AND('Loan Prepayment'!$E$15="Reduce EMI",AM90&gt;0),-PMT(AI91/1200,MAX(1,'Loan Prepayment'!$B$7*12-AG91+1),AH91),AJ90)),AH91+AK91))</f>
        <v>77713.634667410894</v>
      </c>
      <c r="AK91">
        <f t="shared" si="34"/>
        <v>39957.546175977688</v>
      </c>
      <c r="AL91">
        <f t="shared" si="35"/>
        <v>37756.088491433205</v>
      </c>
      <c r="AM91">
        <f>IF(AH91&lt;=0,0,MIN(MAX(0,AH91-AL91),SUMIFS('Loan Prepayment'!$B$12:$B$16,'Loan Prepayment'!$A$12:$A$16,AG91)+IF(AND(AG91&gt;='Loan Prepayment'!$B$9,AG91&lt;='Loan Prepayment'!$E$16),'Loan Prepayment'!$B$8,0)))</f>
        <v>0</v>
      </c>
      <c r="AN91">
        <f t="shared" si="36"/>
        <v>6355451.2996649966</v>
      </c>
    </row>
    <row r="92" spans="1:40" x14ac:dyDescent="0.35">
      <c r="A92">
        <v>91</v>
      </c>
      <c r="B92">
        <f t="shared" si="37"/>
        <v>8001687.1087098774</v>
      </c>
      <c r="C92" s="78">
        <f>'Loan Prepayment'!$B$6</f>
        <v>8.5</v>
      </c>
      <c r="D92">
        <f>IF(B92&lt;=0,0,MIN(-PMT('Loan Prepayment'!$B$6/1200,'Loan Prepayment'!$B$7*12,'Loan Prepayment'!$B$5),B92+E92))</f>
        <v>86782.323336553396</v>
      </c>
      <c r="E92">
        <f t="shared" si="21"/>
        <v>56678.617020028294</v>
      </c>
      <c r="F92">
        <f t="shared" si="22"/>
        <v>30103.706316525102</v>
      </c>
      <c r="G92">
        <v>0</v>
      </c>
      <c r="H92">
        <f t="shared" si="23"/>
        <v>7971583.4023933522</v>
      </c>
      <c r="I92">
        <v>91</v>
      </c>
      <c r="J92">
        <f t="shared" si="38"/>
        <v>6711531.5327520408</v>
      </c>
      <c r="K92" s="78">
        <f>'Loan Prepayment'!$B$6</f>
        <v>8.5</v>
      </c>
      <c r="L92">
        <f>IF(J92&lt;=0,0,MIN(IF(AND('Loan Prepayment'!$E$15="Reduce EMI",O91&gt;0),-PMT(K92/1200,MAX(1,'Loan Prepayment'!$B$7*12-I92+1),J92),L91),J92+M92))</f>
        <v>72789.936877782937</v>
      </c>
      <c r="M92">
        <f t="shared" si="24"/>
        <v>47540.015023660286</v>
      </c>
      <c r="N92">
        <f t="shared" si="25"/>
        <v>25249.921854122651</v>
      </c>
      <c r="O92">
        <f>IF(J92&lt;=0,0,MIN(MAX(0,J92-N92),SUMIFS('Loan Prepayment'!$B$12:$B$16,'Loan Prepayment'!$A$12:$A$16,I92)+0))</f>
        <v>0</v>
      </c>
      <c r="P92">
        <f t="shared" si="26"/>
        <v>6686281.6108979182</v>
      </c>
      <c r="Q92">
        <v>91</v>
      </c>
      <c r="R92">
        <f t="shared" si="39"/>
        <v>8001687.1087098774</v>
      </c>
      <c r="S92" s="78">
        <f>'Loan Prepayment'!$B$6</f>
        <v>8.5</v>
      </c>
      <c r="T92">
        <f>IF(R92&lt;=0,0,MIN(IF(AND('Loan Prepayment'!$E$15="Reduce EMI",W91&gt;0),-PMT(S92/1200,MAX(1,'Loan Prepayment'!$B$7*12-Q92+1),R92),T91),R92+U92))</f>
        <v>86782.323336553396</v>
      </c>
      <c r="U92">
        <f t="shared" si="27"/>
        <v>56678.617020028294</v>
      </c>
      <c r="V92">
        <f t="shared" si="28"/>
        <v>30103.706316525102</v>
      </c>
      <c r="W92">
        <f>IF(R92&lt;=0,0,MIN(MAX(0,R92-V92),0+IF(AND(Q92&gt;='Loan Prepayment'!$B$9,Q92&lt;='Loan Prepayment'!$E$16),'Loan Prepayment'!$B$8,0)))</f>
        <v>0</v>
      </c>
      <c r="X92">
        <f t="shared" si="29"/>
        <v>7971583.4023933522</v>
      </c>
      <c r="Y92">
        <v>91</v>
      </c>
      <c r="Z92">
        <f t="shared" si="40"/>
        <v>7770194.1527621988</v>
      </c>
      <c r="AA92">
        <f>IF(Y92&gt;='Loan Prepayment'!$E$11,'Loan Prepayment'!$E$12,'Loan Prepayment'!$B$6)</f>
        <v>7.5</v>
      </c>
      <c r="AB92">
        <f>IF(Z92&lt;=0,0,MIN(IF(Y92='Loan Prepayment'!$E$11,IF('Loan Prepayment'!$E$13="Keep tenure, recalculate EMI",-PMT(AA92/1200,MAX(1,'Loan Prepayment'!$B$7*12-Y92+1),Z92),AB91),AB91),Z92+AC92))</f>
        <v>86782.323336553396</v>
      </c>
      <c r="AC92">
        <f t="shared" si="30"/>
        <v>48563.71345476374</v>
      </c>
      <c r="AD92">
        <f t="shared" si="31"/>
        <v>38218.609881789656</v>
      </c>
      <c r="AE92">
        <f t="shared" si="32"/>
        <v>0</v>
      </c>
      <c r="AF92">
        <f t="shared" si="33"/>
        <v>7731975.5428804094</v>
      </c>
      <c r="AG92">
        <v>91</v>
      </c>
      <c r="AH92">
        <f t="shared" si="41"/>
        <v>6355451.2996649966</v>
      </c>
      <c r="AI92">
        <f>IF(AG92&gt;='Loan Prepayment'!$E$11,'Loan Prepayment'!$E$12,'Loan Prepayment'!$B$6)</f>
        <v>7.5</v>
      </c>
      <c r="AJ92">
        <f>IF(AH92&lt;=0,0,MIN(IF(AG92='Loan Prepayment'!$E$11,IF('Loan Prepayment'!$E$13="Keep tenure, recalculate EMI",-PMT(AI92/1200,MAX(1,'Loan Prepayment'!$B$7*12-AG92+1),AH92),AJ91),IF(AND('Loan Prepayment'!$E$15="Reduce EMI",AM91&gt;0),-PMT(AI92/1200,MAX(1,'Loan Prepayment'!$B$7*12-AG92+1),AH92),AJ91)),AH92+AK92))</f>
        <v>77713.634667410894</v>
      </c>
      <c r="AK92">
        <f t="shared" si="34"/>
        <v>39721.570622906227</v>
      </c>
      <c r="AL92">
        <f t="shared" si="35"/>
        <v>37992.064044504667</v>
      </c>
      <c r="AM92">
        <f>IF(AH92&lt;=0,0,MIN(MAX(0,AH92-AL92),SUMIFS('Loan Prepayment'!$B$12:$B$16,'Loan Prepayment'!$A$12:$A$16,AG92)+IF(AND(AG92&gt;='Loan Prepayment'!$B$9,AG92&lt;='Loan Prepayment'!$E$16),'Loan Prepayment'!$B$8,0)))</f>
        <v>0</v>
      </c>
      <c r="AN92">
        <f t="shared" si="36"/>
        <v>6317459.2356204921</v>
      </c>
    </row>
    <row r="93" spans="1:40" x14ac:dyDescent="0.35">
      <c r="A93">
        <v>92</v>
      </c>
      <c r="B93">
        <f t="shared" si="37"/>
        <v>7971583.4023933522</v>
      </c>
      <c r="C93" s="78">
        <f>'Loan Prepayment'!$B$6</f>
        <v>8.5</v>
      </c>
      <c r="D93">
        <f>IF(B93&lt;=0,0,MIN(-PMT('Loan Prepayment'!$B$6/1200,'Loan Prepayment'!$B$7*12,'Loan Prepayment'!$B$5),B93+E93))</f>
        <v>86782.323336553396</v>
      </c>
      <c r="E93">
        <f t="shared" si="21"/>
        <v>56465.382433619576</v>
      </c>
      <c r="F93">
        <f t="shared" si="22"/>
        <v>30316.94090293382</v>
      </c>
      <c r="G93">
        <v>0</v>
      </c>
      <c r="H93">
        <f t="shared" si="23"/>
        <v>7941266.4614904188</v>
      </c>
      <c r="I93">
        <v>92</v>
      </c>
      <c r="J93">
        <f t="shared" si="38"/>
        <v>6686281.6108979182</v>
      </c>
      <c r="K93" s="78">
        <f>'Loan Prepayment'!$B$6</f>
        <v>8.5</v>
      </c>
      <c r="L93">
        <f>IF(J93&lt;=0,0,MIN(IF(AND('Loan Prepayment'!$E$15="Reduce EMI",O92&gt;0),-PMT(K93/1200,MAX(1,'Loan Prepayment'!$B$7*12-I93+1),J93),L92),J93+M93))</f>
        <v>72789.936877782937</v>
      </c>
      <c r="M93">
        <f t="shared" si="24"/>
        <v>47361.161410526918</v>
      </c>
      <c r="N93">
        <f t="shared" si="25"/>
        <v>25428.775467256019</v>
      </c>
      <c r="O93">
        <f>IF(J93&lt;=0,0,MIN(MAX(0,J93-N93),SUMIFS('Loan Prepayment'!$B$12:$B$16,'Loan Prepayment'!$A$12:$A$16,I93)+0))</f>
        <v>0</v>
      </c>
      <c r="P93">
        <f t="shared" si="26"/>
        <v>6660852.8354306621</v>
      </c>
      <c r="Q93">
        <v>92</v>
      </c>
      <c r="R93">
        <f t="shared" si="39"/>
        <v>7971583.4023933522</v>
      </c>
      <c r="S93" s="78">
        <f>'Loan Prepayment'!$B$6</f>
        <v>8.5</v>
      </c>
      <c r="T93">
        <f>IF(R93&lt;=0,0,MIN(IF(AND('Loan Prepayment'!$E$15="Reduce EMI",W92&gt;0),-PMT(S93/1200,MAX(1,'Loan Prepayment'!$B$7*12-Q93+1),R93),T92),R93+U93))</f>
        <v>86782.323336553396</v>
      </c>
      <c r="U93">
        <f t="shared" si="27"/>
        <v>56465.382433619576</v>
      </c>
      <c r="V93">
        <f t="shared" si="28"/>
        <v>30316.94090293382</v>
      </c>
      <c r="W93">
        <f>IF(R93&lt;=0,0,MIN(MAX(0,R93-V93),0+IF(AND(Q93&gt;='Loan Prepayment'!$B$9,Q93&lt;='Loan Prepayment'!$E$16),'Loan Prepayment'!$B$8,0)))</f>
        <v>0</v>
      </c>
      <c r="X93">
        <f t="shared" si="29"/>
        <v>7941266.4614904188</v>
      </c>
      <c r="Y93">
        <v>92</v>
      </c>
      <c r="Z93">
        <f t="shared" si="40"/>
        <v>7731975.5428804094</v>
      </c>
      <c r="AA93">
        <f>IF(Y93&gt;='Loan Prepayment'!$E$11,'Loan Prepayment'!$E$12,'Loan Prepayment'!$B$6)</f>
        <v>7.5</v>
      </c>
      <c r="AB93">
        <f>IF(Z93&lt;=0,0,MIN(IF(Y93='Loan Prepayment'!$E$11,IF('Loan Prepayment'!$E$13="Keep tenure, recalculate EMI",-PMT(AA93/1200,MAX(1,'Loan Prepayment'!$B$7*12-Y93+1),Z93),AB92),AB92),Z93+AC93))</f>
        <v>86782.323336553396</v>
      </c>
      <c r="AC93">
        <f t="shared" si="30"/>
        <v>48324.847143002553</v>
      </c>
      <c r="AD93">
        <f t="shared" si="31"/>
        <v>38457.476193550843</v>
      </c>
      <c r="AE93">
        <f t="shared" si="32"/>
        <v>0</v>
      </c>
      <c r="AF93">
        <f t="shared" si="33"/>
        <v>7693518.0666868584</v>
      </c>
      <c r="AG93">
        <v>92</v>
      </c>
      <c r="AH93">
        <f t="shared" si="41"/>
        <v>6317459.2356204921</v>
      </c>
      <c r="AI93">
        <f>IF(AG93&gt;='Loan Prepayment'!$E$11,'Loan Prepayment'!$E$12,'Loan Prepayment'!$B$6)</f>
        <v>7.5</v>
      </c>
      <c r="AJ93">
        <f>IF(AH93&lt;=0,0,MIN(IF(AG93='Loan Prepayment'!$E$11,IF('Loan Prepayment'!$E$13="Keep tenure, recalculate EMI",-PMT(AI93/1200,MAX(1,'Loan Prepayment'!$B$7*12-AG93+1),AH93),AJ92),IF(AND('Loan Prepayment'!$E$15="Reduce EMI",AM92&gt;0),-PMT(AI93/1200,MAX(1,'Loan Prepayment'!$B$7*12-AG93+1),AH93),AJ92)),AH93+AK93))</f>
        <v>77713.634667410894</v>
      </c>
      <c r="AK93">
        <f t="shared" si="34"/>
        <v>39484.120222628073</v>
      </c>
      <c r="AL93">
        <f t="shared" si="35"/>
        <v>38229.514444782821</v>
      </c>
      <c r="AM93">
        <f>IF(AH93&lt;=0,0,MIN(MAX(0,AH93-AL93),SUMIFS('Loan Prepayment'!$B$12:$B$16,'Loan Prepayment'!$A$12:$A$16,AG93)+IF(AND(AG93&gt;='Loan Prepayment'!$B$9,AG93&lt;='Loan Prepayment'!$E$16),'Loan Prepayment'!$B$8,0)))</f>
        <v>0</v>
      </c>
      <c r="AN93">
        <f t="shared" si="36"/>
        <v>6279229.7211757097</v>
      </c>
    </row>
    <row r="94" spans="1:40" x14ac:dyDescent="0.35">
      <c r="A94">
        <v>93</v>
      </c>
      <c r="B94">
        <f t="shared" si="37"/>
        <v>7941266.4614904188</v>
      </c>
      <c r="C94" s="78">
        <f>'Loan Prepayment'!$B$6</f>
        <v>8.5</v>
      </c>
      <c r="D94">
        <f>IF(B94&lt;=0,0,MIN(-PMT('Loan Prepayment'!$B$6/1200,'Loan Prepayment'!$B$7*12,'Loan Prepayment'!$B$5),B94+E94))</f>
        <v>86782.323336553396</v>
      </c>
      <c r="E94">
        <f t="shared" si="21"/>
        <v>56250.637435557132</v>
      </c>
      <c r="F94">
        <f t="shared" si="22"/>
        <v>30531.685900996265</v>
      </c>
      <c r="G94">
        <v>0</v>
      </c>
      <c r="H94">
        <f t="shared" si="23"/>
        <v>7910734.7755894223</v>
      </c>
      <c r="I94">
        <v>93</v>
      </c>
      <c r="J94">
        <f t="shared" si="38"/>
        <v>6660852.8354306621</v>
      </c>
      <c r="K94" s="78">
        <f>'Loan Prepayment'!$B$6</f>
        <v>8.5</v>
      </c>
      <c r="L94">
        <f>IF(J94&lt;=0,0,MIN(IF(AND('Loan Prepayment'!$E$15="Reduce EMI",O93&gt;0),-PMT(K94/1200,MAX(1,'Loan Prepayment'!$B$7*12-I94+1),J94),L93),J94+M94))</f>
        <v>72789.936877782937</v>
      </c>
      <c r="M94">
        <f t="shared" si="24"/>
        <v>47181.040917633858</v>
      </c>
      <c r="N94">
        <f t="shared" si="25"/>
        <v>25608.895960149079</v>
      </c>
      <c r="O94">
        <f>IF(J94&lt;=0,0,MIN(MAX(0,J94-N94),SUMIFS('Loan Prepayment'!$B$12:$B$16,'Loan Prepayment'!$A$12:$A$16,I94)+0))</f>
        <v>0</v>
      </c>
      <c r="P94">
        <f t="shared" si="26"/>
        <v>6635243.9394705128</v>
      </c>
      <c r="Q94">
        <v>93</v>
      </c>
      <c r="R94">
        <f t="shared" si="39"/>
        <v>7941266.4614904188</v>
      </c>
      <c r="S94" s="78">
        <f>'Loan Prepayment'!$B$6</f>
        <v>8.5</v>
      </c>
      <c r="T94">
        <f>IF(R94&lt;=0,0,MIN(IF(AND('Loan Prepayment'!$E$15="Reduce EMI",W93&gt;0),-PMT(S94/1200,MAX(1,'Loan Prepayment'!$B$7*12-Q94+1),R94),T93),R94+U94))</f>
        <v>86782.323336553396</v>
      </c>
      <c r="U94">
        <f t="shared" si="27"/>
        <v>56250.637435557132</v>
      </c>
      <c r="V94">
        <f t="shared" si="28"/>
        <v>30531.685900996265</v>
      </c>
      <c r="W94">
        <f>IF(R94&lt;=0,0,MIN(MAX(0,R94-V94),0+IF(AND(Q94&gt;='Loan Prepayment'!$B$9,Q94&lt;='Loan Prepayment'!$E$16),'Loan Prepayment'!$B$8,0)))</f>
        <v>0</v>
      </c>
      <c r="X94">
        <f t="shared" si="29"/>
        <v>7910734.7755894223</v>
      </c>
      <c r="Y94">
        <v>93</v>
      </c>
      <c r="Z94">
        <f t="shared" si="40"/>
        <v>7693518.0666868584</v>
      </c>
      <c r="AA94">
        <f>IF(Y94&gt;='Loan Prepayment'!$E$11,'Loan Prepayment'!$E$12,'Loan Prepayment'!$B$6)</f>
        <v>7.5</v>
      </c>
      <c r="AB94">
        <f>IF(Z94&lt;=0,0,MIN(IF(Y94='Loan Prepayment'!$E$11,IF('Loan Prepayment'!$E$13="Keep tenure, recalculate EMI",-PMT(AA94/1200,MAX(1,'Loan Prepayment'!$B$7*12-Y94+1),Z94),AB93),AB93),Z94+AC94))</f>
        <v>86782.323336553396</v>
      </c>
      <c r="AC94">
        <f t="shared" si="30"/>
        <v>48084.487916792867</v>
      </c>
      <c r="AD94">
        <f t="shared" si="31"/>
        <v>38697.835419760529</v>
      </c>
      <c r="AE94">
        <f t="shared" si="32"/>
        <v>0</v>
      </c>
      <c r="AF94">
        <f t="shared" si="33"/>
        <v>7654820.2312670983</v>
      </c>
      <c r="AG94">
        <v>93</v>
      </c>
      <c r="AH94">
        <f t="shared" si="41"/>
        <v>6279229.7211757097</v>
      </c>
      <c r="AI94">
        <f>IF(AG94&gt;='Loan Prepayment'!$E$11,'Loan Prepayment'!$E$12,'Loan Prepayment'!$B$6)</f>
        <v>7.5</v>
      </c>
      <c r="AJ94">
        <f>IF(AH94&lt;=0,0,MIN(IF(AG94='Loan Prepayment'!$E$11,IF('Loan Prepayment'!$E$13="Keep tenure, recalculate EMI",-PMT(AI94/1200,MAX(1,'Loan Prepayment'!$B$7*12-AG94+1),AH94),AJ93),IF(AND('Loan Prepayment'!$E$15="Reduce EMI",AM93&gt;0),-PMT(AI94/1200,MAX(1,'Loan Prepayment'!$B$7*12-AG94+1),AH94),AJ93)),AH94+AK94))</f>
        <v>77713.634667410894</v>
      </c>
      <c r="AK94">
        <f t="shared" si="34"/>
        <v>39245.185757348183</v>
      </c>
      <c r="AL94">
        <f t="shared" si="35"/>
        <v>38468.448910062711</v>
      </c>
      <c r="AM94">
        <f>IF(AH94&lt;=0,0,MIN(MAX(0,AH94-AL94),SUMIFS('Loan Prepayment'!$B$12:$B$16,'Loan Prepayment'!$A$12:$A$16,AG94)+IF(AND(AG94&gt;='Loan Prepayment'!$B$9,AG94&lt;='Loan Prepayment'!$E$16),'Loan Prepayment'!$B$8,0)))</f>
        <v>0</v>
      </c>
      <c r="AN94">
        <f t="shared" si="36"/>
        <v>6240761.2722656466</v>
      </c>
    </row>
    <row r="95" spans="1:40" x14ac:dyDescent="0.35">
      <c r="A95">
        <v>94</v>
      </c>
      <c r="B95">
        <f t="shared" si="37"/>
        <v>7910734.7755894223</v>
      </c>
      <c r="C95" s="78">
        <f>'Loan Prepayment'!$B$6</f>
        <v>8.5</v>
      </c>
      <c r="D95">
        <f>IF(B95&lt;=0,0,MIN(-PMT('Loan Prepayment'!$B$6/1200,'Loan Prepayment'!$B$7*12,'Loan Prepayment'!$B$5),B95+E95))</f>
        <v>86782.323336553396</v>
      </c>
      <c r="E95">
        <f t="shared" si="21"/>
        <v>56034.371327091743</v>
      </c>
      <c r="F95">
        <f t="shared" si="22"/>
        <v>30747.952009461653</v>
      </c>
      <c r="G95">
        <v>0</v>
      </c>
      <c r="H95">
        <f t="shared" si="23"/>
        <v>7879986.8235799605</v>
      </c>
      <c r="I95">
        <v>94</v>
      </c>
      <c r="J95">
        <f t="shared" si="38"/>
        <v>6635243.9394705128</v>
      </c>
      <c r="K95" s="78">
        <f>'Loan Prepayment'!$B$6</f>
        <v>8.5</v>
      </c>
      <c r="L95">
        <f>IF(J95&lt;=0,0,MIN(IF(AND('Loan Prepayment'!$E$15="Reduce EMI",O94&gt;0),-PMT(K95/1200,MAX(1,'Loan Prepayment'!$B$7*12-I95+1),J95),L94),J95+M95))</f>
        <v>72789.936877782937</v>
      </c>
      <c r="M95">
        <f t="shared" si="24"/>
        <v>46999.644571249468</v>
      </c>
      <c r="N95">
        <f t="shared" si="25"/>
        <v>25790.292306533469</v>
      </c>
      <c r="O95">
        <f>IF(J95&lt;=0,0,MIN(MAX(0,J95-N95),SUMIFS('Loan Prepayment'!$B$12:$B$16,'Loan Prepayment'!$A$12:$A$16,I95)+0))</f>
        <v>0</v>
      </c>
      <c r="P95">
        <f t="shared" si="26"/>
        <v>6609453.6471639797</v>
      </c>
      <c r="Q95">
        <v>94</v>
      </c>
      <c r="R95">
        <f t="shared" si="39"/>
        <v>7910734.7755894223</v>
      </c>
      <c r="S95" s="78">
        <f>'Loan Prepayment'!$B$6</f>
        <v>8.5</v>
      </c>
      <c r="T95">
        <f>IF(R95&lt;=0,0,MIN(IF(AND('Loan Prepayment'!$E$15="Reduce EMI",W94&gt;0),-PMT(S95/1200,MAX(1,'Loan Prepayment'!$B$7*12-Q95+1),R95),T94),R95+U95))</f>
        <v>86782.323336553396</v>
      </c>
      <c r="U95">
        <f t="shared" si="27"/>
        <v>56034.371327091743</v>
      </c>
      <c r="V95">
        <f t="shared" si="28"/>
        <v>30747.952009461653</v>
      </c>
      <c r="W95">
        <f>IF(R95&lt;=0,0,MIN(MAX(0,R95-V95),0+IF(AND(Q95&gt;='Loan Prepayment'!$B$9,Q95&lt;='Loan Prepayment'!$E$16),'Loan Prepayment'!$B$8,0)))</f>
        <v>0</v>
      </c>
      <c r="X95">
        <f t="shared" si="29"/>
        <v>7879986.8235799605</v>
      </c>
      <c r="Y95">
        <v>94</v>
      </c>
      <c r="Z95">
        <f t="shared" si="40"/>
        <v>7654820.2312670983</v>
      </c>
      <c r="AA95">
        <f>IF(Y95&gt;='Loan Prepayment'!$E$11,'Loan Prepayment'!$E$12,'Loan Prepayment'!$B$6)</f>
        <v>7.5</v>
      </c>
      <c r="AB95">
        <f>IF(Z95&lt;=0,0,MIN(IF(Y95='Loan Prepayment'!$E$11,IF('Loan Prepayment'!$E$13="Keep tenure, recalculate EMI",-PMT(AA95/1200,MAX(1,'Loan Prepayment'!$B$7*12-Y95+1),Z95),AB94),AB94),Z95+AC95))</f>
        <v>86782.323336553396</v>
      </c>
      <c r="AC95">
        <f t="shared" si="30"/>
        <v>47842.626445419366</v>
      </c>
      <c r="AD95">
        <f t="shared" si="31"/>
        <v>38939.69689113403</v>
      </c>
      <c r="AE95">
        <f t="shared" si="32"/>
        <v>0</v>
      </c>
      <c r="AF95">
        <f t="shared" si="33"/>
        <v>7615880.5343759647</v>
      </c>
      <c r="AG95">
        <v>94</v>
      </c>
      <c r="AH95">
        <f t="shared" si="41"/>
        <v>6240761.2722656466</v>
      </c>
      <c r="AI95">
        <f>IF(AG95&gt;='Loan Prepayment'!$E$11,'Loan Prepayment'!$E$12,'Loan Prepayment'!$B$6)</f>
        <v>7.5</v>
      </c>
      <c r="AJ95">
        <f>IF(AH95&lt;=0,0,MIN(IF(AG95='Loan Prepayment'!$E$11,IF('Loan Prepayment'!$E$13="Keep tenure, recalculate EMI",-PMT(AI95/1200,MAX(1,'Loan Prepayment'!$B$7*12-AG95+1),AH95),AJ94),IF(AND('Loan Prepayment'!$E$15="Reduce EMI",AM94&gt;0),-PMT(AI95/1200,MAX(1,'Loan Prepayment'!$B$7*12-AG95+1),AH95),AJ94)),AH95+AK95))</f>
        <v>77713.634667410894</v>
      </c>
      <c r="AK95">
        <f t="shared" si="34"/>
        <v>39004.757951660293</v>
      </c>
      <c r="AL95">
        <f t="shared" si="35"/>
        <v>38708.876715750601</v>
      </c>
      <c r="AM95">
        <f>IF(AH95&lt;=0,0,MIN(MAX(0,AH95-AL95),SUMIFS('Loan Prepayment'!$B$12:$B$16,'Loan Prepayment'!$A$12:$A$16,AG95)+IF(AND(AG95&gt;='Loan Prepayment'!$B$9,AG95&lt;='Loan Prepayment'!$E$16),'Loan Prepayment'!$B$8,0)))</f>
        <v>0</v>
      </c>
      <c r="AN95">
        <f t="shared" si="36"/>
        <v>6202052.3955498962</v>
      </c>
    </row>
    <row r="96" spans="1:40" x14ac:dyDescent="0.35">
      <c r="A96">
        <v>95</v>
      </c>
      <c r="B96">
        <f t="shared" si="37"/>
        <v>7879986.8235799605</v>
      </c>
      <c r="C96" s="78">
        <f>'Loan Prepayment'!$B$6</f>
        <v>8.5</v>
      </c>
      <c r="D96">
        <f>IF(B96&lt;=0,0,MIN(-PMT('Loan Prepayment'!$B$6/1200,'Loan Prepayment'!$B$7*12,'Loan Prepayment'!$B$5),B96+E96))</f>
        <v>86782.323336553396</v>
      </c>
      <c r="E96">
        <f t="shared" si="21"/>
        <v>55816.573333691391</v>
      </c>
      <c r="F96">
        <f t="shared" si="22"/>
        <v>30965.750002862005</v>
      </c>
      <c r="G96">
        <v>0</v>
      </c>
      <c r="H96">
        <f t="shared" si="23"/>
        <v>7849021.0735770985</v>
      </c>
      <c r="I96">
        <v>95</v>
      </c>
      <c r="J96">
        <f t="shared" si="38"/>
        <v>6609453.6471639797</v>
      </c>
      <c r="K96" s="78">
        <f>'Loan Prepayment'!$B$6</f>
        <v>8.5</v>
      </c>
      <c r="L96">
        <f>IF(J96&lt;=0,0,MIN(IF(AND('Loan Prepayment'!$E$15="Reduce EMI",O95&gt;0),-PMT(K96/1200,MAX(1,'Loan Prepayment'!$B$7*12-I96+1),J96),L95),J96+M96))</f>
        <v>72789.936877782937</v>
      </c>
      <c r="M96">
        <f t="shared" si="24"/>
        <v>46816.963334078195</v>
      </c>
      <c r="N96">
        <f t="shared" si="25"/>
        <v>25972.973543704742</v>
      </c>
      <c r="O96">
        <f>IF(J96&lt;=0,0,MIN(MAX(0,J96-N96),SUMIFS('Loan Prepayment'!$B$12:$B$16,'Loan Prepayment'!$A$12:$A$16,I96)+0))</f>
        <v>0</v>
      </c>
      <c r="P96">
        <f t="shared" si="26"/>
        <v>6583480.6736202752</v>
      </c>
      <c r="Q96">
        <v>95</v>
      </c>
      <c r="R96">
        <f t="shared" si="39"/>
        <v>7879986.8235799605</v>
      </c>
      <c r="S96" s="78">
        <f>'Loan Prepayment'!$B$6</f>
        <v>8.5</v>
      </c>
      <c r="T96">
        <f>IF(R96&lt;=0,0,MIN(IF(AND('Loan Prepayment'!$E$15="Reduce EMI",W95&gt;0),-PMT(S96/1200,MAX(1,'Loan Prepayment'!$B$7*12-Q96+1),R96),T95),R96+U96))</f>
        <v>86782.323336553396</v>
      </c>
      <c r="U96">
        <f t="shared" si="27"/>
        <v>55816.573333691391</v>
      </c>
      <c r="V96">
        <f t="shared" si="28"/>
        <v>30965.750002862005</v>
      </c>
      <c r="W96">
        <f>IF(R96&lt;=0,0,MIN(MAX(0,R96-V96),0+IF(AND(Q96&gt;='Loan Prepayment'!$B$9,Q96&lt;='Loan Prepayment'!$E$16),'Loan Prepayment'!$B$8,0)))</f>
        <v>0</v>
      </c>
      <c r="X96">
        <f t="shared" si="29"/>
        <v>7849021.0735770985</v>
      </c>
      <c r="Y96">
        <v>95</v>
      </c>
      <c r="Z96">
        <f t="shared" si="40"/>
        <v>7615880.5343759647</v>
      </c>
      <c r="AA96">
        <f>IF(Y96&gt;='Loan Prepayment'!$E$11,'Loan Prepayment'!$E$12,'Loan Prepayment'!$B$6)</f>
        <v>7.5</v>
      </c>
      <c r="AB96">
        <f>IF(Z96&lt;=0,0,MIN(IF(Y96='Loan Prepayment'!$E$11,IF('Loan Prepayment'!$E$13="Keep tenure, recalculate EMI",-PMT(AA96/1200,MAX(1,'Loan Prepayment'!$B$7*12-Y96+1),Z96),AB95),AB95),Z96+AC96))</f>
        <v>86782.323336553396</v>
      </c>
      <c r="AC96">
        <f t="shared" si="30"/>
        <v>47599.253339849776</v>
      </c>
      <c r="AD96">
        <f t="shared" si="31"/>
        <v>39183.06999670362</v>
      </c>
      <c r="AE96">
        <f t="shared" si="32"/>
        <v>0</v>
      </c>
      <c r="AF96">
        <f t="shared" si="33"/>
        <v>7576697.4643792612</v>
      </c>
      <c r="AG96">
        <v>95</v>
      </c>
      <c r="AH96">
        <f t="shared" si="41"/>
        <v>6202052.3955498962</v>
      </c>
      <c r="AI96">
        <f>IF(AG96&gt;='Loan Prepayment'!$E$11,'Loan Prepayment'!$E$12,'Loan Prepayment'!$B$6)</f>
        <v>7.5</v>
      </c>
      <c r="AJ96">
        <f>IF(AH96&lt;=0,0,MIN(IF(AG96='Loan Prepayment'!$E$11,IF('Loan Prepayment'!$E$13="Keep tenure, recalculate EMI",-PMT(AI96/1200,MAX(1,'Loan Prepayment'!$B$7*12-AG96+1),AH96),AJ95),IF(AND('Loan Prepayment'!$E$15="Reduce EMI",AM95&gt;0),-PMT(AI96/1200,MAX(1,'Loan Prepayment'!$B$7*12-AG96+1),AH96),AJ95)),AH96+AK96))</f>
        <v>77713.634667410894</v>
      </c>
      <c r="AK96">
        <f t="shared" si="34"/>
        <v>38762.827472186851</v>
      </c>
      <c r="AL96">
        <f t="shared" si="35"/>
        <v>38950.807195224043</v>
      </c>
      <c r="AM96">
        <f>IF(AH96&lt;=0,0,MIN(MAX(0,AH96-AL96),SUMIFS('Loan Prepayment'!$B$12:$B$16,'Loan Prepayment'!$A$12:$A$16,AG96)+IF(AND(AG96&gt;='Loan Prepayment'!$B$9,AG96&lt;='Loan Prepayment'!$E$16),'Loan Prepayment'!$B$8,0)))</f>
        <v>0</v>
      </c>
      <c r="AN96">
        <f t="shared" si="36"/>
        <v>6163101.5883546723</v>
      </c>
    </row>
    <row r="97" spans="1:40" x14ac:dyDescent="0.35">
      <c r="A97">
        <v>96</v>
      </c>
      <c r="B97">
        <f t="shared" si="37"/>
        <v>7849021.0735770985</v>
      </c>
      <c r="C97" s="78">
        <f>'Loan Prepayment'!$B$6</f>
        <v>8.5</v>
      </c>
      <c r="D97">
        <f>IF(B97&lt;=0,0,MIN(-PMT('Loan Prepayment'!$B$6/1200,'Loan Prepayment'!$B$7*12,'Loan Prepayment'!$B$5),B97+E97))</f>
        <v>86782.323336553396</v>
      </c>
      <c r="E97">
        <f t="shared" si="21"/>
        <v>55597.232604504454</v>
      </c>
      <c r="F97">
        <f t="shared" si="22"/>
        <v>31185.090732048942</v>
      </c>
      <c r="G97">
        <v>0</v>
      </c>
      <c r="H97">
        <f t="shared" si="23"/>
        <v>7817835.9828450494</v>
      </c>
      <c r="I97">
        <v>96</v>
      </c>
      <c r="J97">
        <f t="shared" si="38"/>
        <v>6583480.6736202752</v>
      </c>
      <c r="K97" s="78">
        <f>'Loan Prepayment'!$B$6</f>
        <v>8.5</v>
      </c>
      <c r="L97">
        <f>IF(J97&lt;=0,0,MIN(IF(AND('Loan Prepayment'!$E$15="Reduce EMI",O96&gt;0),-PMT(K97/1200,MAX(1,'Loan Prepayment'!$B$7*12-I97+1),J97),L96),J97+M97))</f>
        <v>72789.936877782937</v>
      </c>
      <c r="M97">
        <f t="shared" si="24"/>
        <v>46632.988104810283</v>
      </c>
      <c r="N97">
        <f t="shared" si="25"/>
        <v>26156.948772972653</v>
      </c>
      <c r="O97">
        <f>IF(J97&lt;=0,0,MIN(MAX(0,J97-N97),SUMIFS('Loan Prepayment'!$B$12:$B$16,'Loan Prepayment'!$A$12:$A$16,I97)+0))</f>
        <v>0</v>
      </c>
      <c r="P97">
        <f t="shared" si="26"/>
        <v>6557323.7248473028</v>
      </c>
      <c r="Q97">
        <v>96</v>
      </c>
      <c r="R97">
        <f t="shared" si="39"/>
        <v>7849021.0735770985</v>
      </c>
      <c r="S97" s="78">
        <f>'Loan Prepayment'!$B$6</f>
        <v>8.5</v>
      </c>
      <c r="T97">
        <f>IF(R97&lt;=0,0,MIN(IF(AND('Loan Prepayment'!$E$15="Reduce EMI",W96&gt;0),-PMT(S97/1200,MAX(1,'Loan Prepayment'!$B$7*12-Q97+1),R97),T96),R97+U97))</f>
        <v>86782.323336553396</v>
      </c>
      <c r="U97">
        <f t="shared" si="27"/>
        <v>55597.232604504454</v>
      </c>
      <c r="V97">
        <f t="shared" si="28"/>
        <v>31185.090732048942</v>
      </c>
      <c r="W97">
        <f>IF(R97&lt;=0,0,MIN(MAX(0,R97-V97),0+IF(AND(Q97&gt;='Loan Prepayment'!$B$9,Q97&lt;='Loan Prepayment'!$E$16),'Loan Prepayment'!$B$8,0)))</f>
        <v>0</v>
      </c>
      <c r="X97">
        <f t="shared" si="29"/>
        <v>7817835.9828450494</v>
      </c>
      <c r="Y97">
        <v>96</v>
      </c>
      <c r="Z97">
        <f t="shared" si="40"/>
        <v>7576697.4643792612</v>
      </c>
      <c r="AA97">
        <f>IF(Y97&gt;='Loan Prepayment'!$E$11,'Loan Prepayment'!$E$12,'Loan Prepayment'!$B$6)</f>
        <v>7.5</v>
      </c>
      <c r="AB97">
        <f>IF(Z97&lt;=0,0,MIN(IF(Y97='Loan Prepayment'!$E$11,IF('Loan Prepayment'!$E$13="Keep tenure, recalculate EMI",-PMT(AA97/1200,MAX(1,'Loan Prepayment'!$B$7*12-Y97+1),Z97),AB96),AB96),Z97+AC97))</f>
        <v>86782.323336553396</v>
      </c>
      <c r="AC97">
        <f t="shared" si="30"/>
        <v>47354.35915237038</v>
      </c>
      <c r="AD97">
        <f t="shared" si="31"/>
        <v>39427.964184183016</v>
      </c>
      <c r="AE97">
        <f t="shared" si="32"/>
        <v>0</v>
      </c>
      <c r="AF97">
        <f t="shared" si="33"/>
        <v>7537269.5001950786</v>
      </c>
      <c r="AG97">
        <v>96</v>
      </c>
      <c r="AH97">
        <f t="shared" si="41"/>
        <v>6163101.5883546723</v>
      </c>
      <c r="AI97">
        <f>IF(AG97&gt;='Loan Prepayment'!$E$11,'Loan Prepayment'!$E$12,'Loan Prepayment'!$B$6)</f>
        <v>7.5</v>
      </c>
      <c r="AJ97">
        <f>IF(AH97&lt;=0,0,MIN(IF(AG97='Loan Prepayment'!$E$11,IF('Loan Prepayment'!$E$13="Keep tenure, recalculate EMI",-PMT(AI97/1200,MAX(1,'Loan Prepayment'!$B$7*12-AG97+1),AH97),AJ96),IF(AND('Loan Prepayment'!$E$15="Reduce EMI",AM96&gt;0),-PMT(AI97/1200,MAX(1,'Loan Prepayment'!$B$7*12-AG97+1),AH97),AJ96)),AH97+AK97))</f>
        <v>77713.634667410894</v>
      </c>
      <c r="AK97">
        <f t="shared" si="34"/>
        <v>38519.384927216699</v>
      </c>
      <c r="AL97">
        <f t="shared" si="35"/>
        <v>39194.249740194195</v>
      </c>
      <c r="AM97">
        <f>IF(AH97&lt;=0,0,MIN(MAX(0,AH97-AL97),SUMIFS('Loan Prepayment'!$B$12:$B$16,'Loan Prepayment'!$A$12:$A$16,AG97)+IF(AND(AG97&gt;='Loan Prepayment'!$B$9,AG97&lt;='Loan Prepayment'!$E$16),'Loan Prepayment'!$B$8,0)))</f>
        <v>0</v>
      </c>
      <c r="AN97">
        <f t="shared" si="36"/>
        <v>6123907.3386144778</v>
      </c>
    </row>
    <row r="98" spans="1:40" x14ac:dyDescent="0.35">
      <c r="A98">
        <v>97</v>
      </c>
      <c r="B98">
        <f t="shared" si="37"/>
        <v>7817835.9828450494</v>
      </c>
      <c r="C98" s="78">
        <f>'Loan Prepayment'!$B$6</f>
        <v>8.5</v>
      </c>
      <c r="D98">
        <f>IF(B98&lt;=0,0,MIN(-PMT('Loan Prepayment'!$B$6/1200,'Loan Prepayment'!$B$7*12,'Loan Prepayment'!$B$5),B98+E98))</f>
        <v>86782.323336553396</v>
      </c>
      <c r="E98">
        <f t="shared" si="21"/>
        <v>55376.3382118191</v>
      </c>
      <c r="F98">
        <f t="shared" si="22"/>
        <v>31405.985124734296</v>
      </c>
      <c r="G98">
        <v>0</v>
      </c>
      <c r="H98">
        <f t="shared" si="23"/>
        <v>7786429.9977203151</v>
      </c>
      <c r="I98">
        <v>97</v>
      </c>
      <c r="J98">
        <f t="shared" si="38"/>
        <v>6557323.7248473028</v>
      </c>
      <c r="K98" s="78">
        <f>'Loan Prepayment'!$B$6</f>
        <v>8.5</v>
      </c>
      <c r="L98">
        <f>IF(J98&lt;=0,0,MIN(IF(AND('Loan Prepayment'!$E$15="Reduce EMI",O97&gt;0),-PMT(K98/1200,MAX(1,'Loan Prepayment'!$B$7*12-I98+1),J98),L97),J98+M98))</f>
        <v>72789.936877782937</v>
      </c>
      <c r="M98">
        <f t="shared" si="24"/>
        <v>46447.709717668396</v>
      </c>
      <c r="N98">
        <f t="shared" si="25"/>
        <v>26342.22716011454</v>
      </c>
      <c r="O98">
        <f>IF(J98&lt;=0,0,MIN(MAX(0,J98-N98),SUMIFS('Loan Prepayment'!$B$12:$B$16,'Loan Prepayment'!$A$12:$A$16,I98)+0))</f>
        <v>0</v>
      </c>
      <c r="P98">
        <f t="shared" si="26"/>
        <v>6530981.497687188</v>
      </c>
      <c r="Q98">
        <v>97</v>
      </c>
      <c r="R98">
        <f t="shared" si="39"/>
        <v>7817835.9828450494</v>
      </c>
      <c r="S98" s="78">
        <f>'Loan Prepayment'!$B$6</f>
        <v>8.5</v>
      </c>
      <c r="T98">
        <f>IF(R98&lt;=0,0,MIN(IF(AND('Loan Prepayment'!$E$15="Reduce EMI",W97&gt;0),-PMT(S98/1200,MAX(1,'Loan Prepayment'!$B$7*12-Q98+1),R98),T97),R98+U98))</f>
        <v>86782.323336553396</v>
      </c>
      <c r="U98">
        <f t="shared" si="27"/>
        <v>55376.3382118191</v>
      </c>
      <c r="V98">
        <f t="shared" si="28"/>
        <v>31405.985124734296</v>
      </c>
      <c r="W98">
        <f>IF(R98&lt;=0,0,MIN(MAX(0,R98-V98),0+IF(AND(Q98&gt;='Loan Prepayment'!$B$9,Q98&lt;='Loan Prepayment'!$E$16),'Loan Prepayment'!$B$8,0)))</f>
        <v>0</v>
      </c>
      <c r="X98">
        <f t="shared" si="29"/>
        <v>7786429.9977203151</v>
      </c>
      <c r="Y98">
        <v>97</v>
      </c>
      <c r="Z98">
        <f t="shared" si="40"/>
        <v>7537269.5001950786</v>
      </c>
      <c r="AA98">
        <f>IF(Y98&gt;='Loan Prepayment'!$E$11,'Loan Prepayment'!$E$12,'Loan Prepayment'!$B$6)</f>
        <v>7.5</v>
      </c>
      <c r="AB98">
        <f>IF(Z98&lt;=0,0,MIN(IF(Y98='Loan Prepayment'!$E$11,IF('Loan Prepayment'!$E$13="Keep tenure, recalculate EMI",-PMT(AA98/1200,MAX(1,'Loan Prepayment'!$B$7*12-Y98+1),Z98),AB97),AB97),Z98+AC98))</f>
        <v>86782.323336553396</v>
      </c>
      <c r="AC98">
        <f t="shared" si="30"/>
        <v>47107.934376219237</v>
      </c>
      <c r="AD98">
        <f t="shared" si="31"/>
        <v>39674.388960334159</v>
      </c>
      <c r="AE98">
        <f t="shared" si="32"/>
        <v>0</v>
      </c>
      <c r="AF98">
        <f t="shared" si="33"/>
        <v>7497595.1112347441</v>
      </c>
      <c r="AG98">
        <v>97</v>
      </c>
      <c r="AH98">
        <f t="shared" si="41"/>
        <v>6123907.3386144778</v>
      </c>
      <c r="AI98">
        <f>IF(AG98&gt;='Loan Prepayment'!$E$11,'Loan Prepayment'!$E$12,'Loan Prepayment'!$B$6)</f>
        <v>7.5</v>
      </c>
      <c r="AJ98">
        <f>IF(AH98&lt;=0,0,MIN(IF(AG98='Loan Prepayment'!$E$11,IF('Loan Prepayment'!$E$13="Keep tenure, recalculate EMI",-PMT(AI98/1200,MAX(1,'Loan Prepayment'!$B$7*12-AG98+1),AH98),AJ97),IF(AND('Loan Prepayment'!$E$15="Reduce EMI",AM97&gt;0),-PMT(AI98/1200,MAX(1,'Loan Prepayment'!$B$7*12-AG98+1),AH98),AJ97)),AH98+AK98))</f>
        <v>77713.634667410894</v>
      </c>
      <c r="AK98">
        <f t="shared" si="34"/>
        <v>38274.420866340486</v>
      </c>
      <c r="AL98">
        <f t="shared" si="35"/>
        <v>39439.213801070407</v>
      </c>
      <c r="AM98">
        <f>IF(AH98&lt;=0,0,MIN(MAX(0,AH98-AL98),SUMIFS('Loan Prepayment'!$B$12:$B$16,'Loan Prepayment'!$A$12:$A$16,AG98)+IF(AND(AG98&gt;='Loan Prepayment'!$B$9,AG98&lt;='Loan Prepayment'!$E$16),'Loan Prepayment'!$B$8,0)))</f>
        <v>0</v>
      </c>
      <c r="AN98">
        <f t="shared" si="36"/>
        <v>6084468.1248134077</v>
      </c>
    </row>
    <row r="99" spans="1:40" x14ac:dyDescent="0.35">
      <c r="A99">
        <v>98</v>
      </c>
      <c r="B99">
        <f t="shared" si="37"/>
        <v>7786429.9977203151</v>
      </c>
      <c r="C99" s="78">
        <f>'Loan Prepayment'!$B$6</f>
        <v>8.5</v>
      </c>
      <c r="D99">
        <f>IF(B99&lt;=0,0,MIN(-PMT('Loan Prepayment'!$B$6/1200,'Loan Prepayment'!$B$7*12,'Loan Prepayment'!$B$5),B99+E99))</f>
        <v>86782.323336553396</v>
      </c>
      <c r="E99">
        <f t="shared" si="21"/>
        <v>55153.8791505189</v>
      </c>
      <c r="F99">
        <f t="shared" si="22"/>
        <v>31628.444186034496</v>
      </c>
      <c r="G99">
        <v>0</v>
      </c>
      <c r="H99">
        <f t="shared" si="23"/>
        <v>7754801.5535342805</v>
      </c>
      <c r="I99">
        <v>98</v>
      </c>
      <c r="J99">
        <f t="shared" si="38"/>
        <v>6530981.497687188</v>
      </c>
      <c r="K99" s="78">
        <f>'Loan Prepayment'!$B$6</f>
        <v>8.5</v>
      </c>
      <c r="L99">
        <f>IF(J99&lt;=0,0,MIN(IF(AND('Loan Prepayment'!$E$15="Reduce EMI",O98&gt;0),-PMT(K99/1200,MAX(1,'Loan Prepayment'!$B$7*12-I99+1),J99),L98),J99+M99))</f>
        <v>72789.936877782937</v>
      </c>
      <c r="M99">
        <f t="shared" si="24"/>
        <v>46261.118941950917</v>
      </c>
      <c r="N99">
        <f t="shared" si="25"/>
        <v>26528.817935832019</v>
      </c>
      <c r="O99">
        <f>IF(J99&lt;=0,0,MIN(MAX(0,J99-N99),SUMIFS('Loan Prepayment'!$B$12:$B$16,'Loan Prepayment'!$A$12:$A$16,I99)+0))</f>
        <v>0</v>
      </c>
      <c r="P99">
        <f t="shared" si="26"/>
        <v>6504452.6797513561</v>
      </c>
      <c r="Q99">
        <v>98</v>
      </c>
      <c r="R99">
        <f t="shared" si="39"/>
        <v>7786429.9977203151</v>
      </c>
      <c r="S99" s="78">
        <f>'Loan Prepayment'!$B$6</f>
        <v>8.5</v>
      </c>
      <c r="T99">
        <f>IF(R99&lt;=0,0,MIN(IF(AND('Loan Prepayment'!$E$15="Reduce EMI",W98&gt;0),-PMT(S99/1200,MAX(1,'Loan Prepayment'!$B$7*12-Q99+1),R99),T98),R99+U99))</f>
        <v>86782.323336553396</v>
      </c>
      <c r="U99">
        <f t="shared" si="27"/>
        <v>55153.8791505189</v>
      </c>
      <c r="V99">
        <f t="shared" si="28"/>
        <v>31628.444186034496</v>
      </c>
      <c r="W99">
        <f>IF(R99&lt;=0,0,MIN(MAX(0,R99-V99),0+IF(AND(Q99&gt;='Loan Prepayment'!$B$9,Q99&lt;='Loan Prepayment'!$E$16),'Loan Prepayment'!$B$8,0)))</f>
        <v>0</v>
      </c>
      <c r="X99">
        <f t="shared" si="29"/>
        <v>7754801.5535342805</v>
      </c>
      <c r="Y99">
        <v>98</v>
      </c>
      <c r="Z99">
        <f t="shared" si="40"/>
        <v>7497595.1112347441</v>
      </c>
      <c r="AA99">
        <f>IF(Y99&gt;='Loan Prepayment'!$E$11,'Loan Prepayment'!$E$12,'Loan Prepayment'!$B$6)</f>
        <v>7.5</v>
      </c>
      <c r="AB99">
        <f>IF(Z99&lt;=0,0,MIN(IF(Y99='Loan Prepayment'!$E$11,IF('Loan Prepayment'!$E$13="Keep tenure, recalculate EMI",-PMT(AA99/1200,MAX(1,'Loan Prepayment'!$B$7*12-Y99+1),Z99),AB98),AB98),Z99+AC99))</f>
        <v>86782.323336553396</v>
      </c>
      <c r="AC99">
        <f t="shared" si="30"/>
        <v>46859.969445217153</v>
      </c>
      <c r="AD99">
        <f t="shared" si="31"/>
        <v>39922.353891336243</v>
      </c>
      <c r="AE99">
        <f t="shared" si="32"/>
        <v>0</v>
      </c>
      <c r="AF99">
        <f t="shared" si="33"/>
        <v>7457672.7573434077</v>
      </c>
      <c r="AG99">
        <v>98</v>
      </c>
      <c r="AH99">
        <f t="shared" si="41"/>
        <v>6084468.1248134077</v>
      </c>
      <c r="AI99">
        <f>IF(AG99&gt;='Loan Prepayment'!$E$11,'Loan Prepayment'!$E$12,'Loan Prepayment'!$B$6)</f>
        <v>7.5</v>
      </c>
      <c r="AJ99">
        <f>IF(AH99&lt;=0,0,MIN(IF(AG99='Loan Prepayment'!$E$11,IF('Loan Prepayment'!$E$13="Keep tenure, recalculate EMI",-PMT(AI99/1200,MAX(1,'Loan Prepayment'!$B$7*12-AG99+1),AH99),AJ98),IF(AND('Loan Prepayment'!$E$15="Reduce EMI",AM98&gt;0),-PMT(AI99/1200,MAX(1,'Loan Prepayment'!$B$7*12-AG99+1),AH99),AJ98)),AH99+AK99))</f>
        <v>77713.634667410894</v>
      </c>
      <c r="AK99">
        <f t="shared" si="34"/>
        <v>38027.925780083795</v>
      </c>
      <c r="AL99">
        <f t="shared" si="35"/>
        <v>39685.708887327099</v>
      </c>
      <c r="AM99">
        <f>IF(AH99&lt;=0,0,MIN(MAX(0,AH99-AL99),SUMIFS('Loan Prepayment'!$B$12:$B$16,'Loan Prepayment'!$A$12:$A$16,AG99)+IF(AND(AG99&gt;='Loan Prepayment'!$B$9,AG99&lt;='Loan Prepayment'!$E$16),'Loan Prepayment'!$B$8,0)))</f>
        <v>0</v>
      </c>
      <c r="AN99">
        <f t="shared" si="36"/>
        <v>6044782.4159260802</v>
      </c>
    </row>
    <row r="100" spans="1:40" x14ac:dyDescent="0.35">
      <c r="A100">
        <v>99</v>
      </c>
      <c r="B100">
        <f t="shared" si="37"/>
        <v>7754801.5535342805</v>
      </c>
      <c r="C100" s="78">
        <f>'Loan Prepayment'!$B$6</f>
        <v>8.5</v>
      </c>
      <c r="D100">
        <f>IF(B100&lt;=0,0,MIN(-PMT('Loan Prepayment'!$B$6/1200,'Loan Prepayment'!$B$7*12,'Loan Prepayment'!$B$5),B100+E100))</f>
        <v>86782.323336553396</v>
      </c>
      <c r="E100">
        <f t="shared" si="21"/>
        <v>54929.844337534487</v>
      </c>
      <c r="F100">
        <f t="shared" si="22"/>
        <v>31852.478999018909</v>
      </c>
      <c r="G100">
        <v>0</v>
      </c>
      <c r="H100">
        <f t="shared" si="23"/>
        <v>7722949.0745352618</v>
      </c>
      <c r="I100">
        <v>99</v>
      </c>
      <c r="J100">
        <f t="shared" si="38"/>
        <v>6504452.6797513561</v>
      </c>
      <c r="K100" s="78">
        <f>'Loan Prepayment'!$B$6</f>
        <v>8.5</v>
      </c>
      <c r="L100">
        <f>IF(J100&lt;=0,0,MIN(IF(AND('Loan Prepayment'!$E$15="Reduce EMI",O99&gt;0),-PMT(K100/1200,MAX(1,'Loan Prepayment'!$B$7*12-I100+1),J100),L99),J100+M100))</f>
        <v>72789.936877782937</v>
      </c>
      <c r="M100">
        <f t="shared" si="24"/>
        <v>46073.206481572102</v>
      </c>
      <c r="N100">
        <f t="shared" si="25"/>
        <v>26716.730396210834</v>
      </c>
      <c r="O100">
        <f>IF(J100&lt;=0,0,MIN(MAX(0,J100-N100),SUMIFS('Loan Prepayment'!$B$12:$B$16,'Loan Prepayment'!$A$12:$A$16,I100)+0))</f>
        <v>0</v>
      </c>
      <c r="P100">
        <f t="shared" si="26"/>
        <v>6477735.949355145</v>
      </c>
      <c r="Q100">
        <v>99</v>
      </c>
      <c r="R100">
        <f t="shared" si="39"/>
        <v>7754801.5535342805</v>
      </c>
      <c r="S100" s="78">
        <f>'Loan Prepayment'!$B$6</f>
        <v>8.5</v>
      </c>
      <c r="T100">
        <f>IF(R100&lt;=0,0,MIN(IF(AND('Loan Prepayment'!$E$15="Reduce EMI",W99&gt;0),-PMT(S100/1200,MAX(1,'Loan Prepayment'!$B$7*12-Q100+1),R100),T99),R100+U100))</f>
        <v>86782.323336553396</v>
      </c>
      <c r="U100">
        <f t="shared" si="27"/>
        <v>54929.844337534487</v>
      </c>
      <c r="V100">
        <f t="shared" si="28"/>
        <v>31852.478999018909</v>
      </c>
      <c r="W100">
        <f>IF(R100&lt;=0,0,MIN(MAX(0,R100-V100),0+IF(AND(Q100&gt;='Loan Prepayment'!$B$9,Q100&lt;='Loan Prepayment'!$E$16),'Loan Prepayment'!$B$8,0)))</f>
        <v>0</v>
      </c>
      <c r="X100">
        <f t="shared" si="29"/>
        <v>7722949.0745352618</v>
      </c>
      <c r="Y100">
        <v>99</v>
      </c>
      <c r="Z100">
        <f t="shared" si="40"/>
        <v>7457672.7573434077</v>
      </c>
      <c r="AA100">
        <f>IF(Y100&gt;='Loan Prepayment'!$E$11,'Loan Prepayment'!$E$12,'Loan Prepayment'!$B$6)</f>
        <v>7.5</v>
      </c>
      <c r="AB100">
        <f>IF(Z100&lt;=0,0,MIN(IF(Y100='Loan Prepayment'!$E$11,IF('Loan Prepayment'!$E$13="Keep tenure, recalculate EMI",-PMT(AA100/1200,MAX(1,'Loan Prepayment'!$B$7*12-Y100+1),Z100),AB99),AB99),Z100+AC100))</f>
        <v>86782.323336553396</v>
      </c>
      <c r="AC100">
        <f t="shared" si="30"/>
        <v>46610.454733396298</v>
      </c>
      <c r="AD100">
        <f t="shared" si="31"/>
        <v>40171.868603157098</v>
      </c>
      <c r="AE100">
        <f t="shared" si="32"/>
        <v>0</v>
      </c>
      <c r="AF100">
        <f t="shared" si="33"/>
        <v>7417500.8887402508</v>
      </c>
      <c r="AG100">
        <v>99</v>
      </c>
      <c r="AH100">
        <f t="shared" si="41"/>
        <v>6044782.4159260802</v>
      </c>
      <c r="AI100">
        <f>IF(AG100&gt;='Loan Prepayment'!$E$11,'Loan Prepayment'!$E$12,'Loan Prepayment'!$B$6)</f>
        <v>7.5</v>
      </c>
      <c r="AJ100">
        <f>IF(AH100&lt;=0,0,MIN(IF(AG100='Loan Prepayment'!$E$11,IF('Loan Prepayment'!$E$13="Keep tenure, recalculate EMI",-PMT(AI100/1200,MAX(1,'Loan Prepayment'!$B$7*12-AG100+1),AH100),AJ99),IF(AND('Loan Prepayment'!$E$15="Reduce EMI",AM99&gt;0),-PMT(AI100/1200,MAX(1,'Loan Prepayment'!$B$7*12-AG100+1),AH100),AJ99)),AH100+AK100))</f>
        <v>77713.634667410894</v>
      </c>
      <c r="AK100">
        <f t="shared" si="34"/>
        <v>37779.890099538003</v>
      </c>
      <c r="AL100">
        <f t="shared" si="35"/>
        <v>39933.744567872891</v>
      </c>
      <c r="AM100">
        <f>IF(AH100&lt;=0,0,MIN(MAX(0,AH100-AL100),SUMIFS('Loan Prepayment'!$B$12:$B$16,'Loan Prepayment'!$A$12:$A$16,AG100)+IF(AND(AG100&gt;='Loan Prepayment'!$B$9,AG100&lt;='Loan Prepayment'!$E$16),'Loan Prepayment'!$B$8,0)))</f>
        <v>0</v>
      </c>
      <c r="AN100">
        <f t="shared" si="36"/>
        <v>6004848.6713582072</v>
      </c>
    </row>
    <row r="101" spans="1:40" x14ac:dyDescent="0.35">
      <c r="A101">
        <v>100</v>
      </c>
      <c r="B101">
        <f t="shared" si="37"/>
        <v>7722949.0745352618</v>
      </c>
      <c r="C101" s="78">
        <f>'Loan Prepayment'!$B$6</f>
        <v>8.5</v>
      </c>
      <c r="D101">
        <f>IF(B101&lt;=0,0,MIN(-PMT('Loan Prepayment'!$B$6/1200,'Loan Prepayment'!$B$7*12,'Loan Prepayment'!$B$5),B101+E101))</f>
        <v>86782.323336553396</v>
      </c>
      <c r="E101">
        <f t="shared" si="21"/>
        <v>54704.222611291443</v>
      </c>
      <c r="F101">
        <f t="shared" si="22"/>
        <v>32078.100725261953</v>
      </c>
      <c r="G101">
        <v>0</v>
      </c>
      <c r="H101">
        <f t="shared" si="23"/>
        <v>7690870.9738100003</v>
      </c>
      <c r="I101">
        <v>100</v>
      </c>
      <c r="J101">
        <f t="shared" si="38"/>
        <v>6477735.949355145</v>
      </c>
      <c r="K101" s="78">
        <f>'Loan Prepayment'!$B$6</f>
        <v>8.5</v>
      </c>
      <c r="L101">
        <f>IF(J101&lt;=0,0,MIN(IF(AND('Loan Prepayment'!$E$15="Reduce EMI",O100&gt;0),-PMT(K101/1200,MAX(1,'Loan Prepayment'!$B$7*12-I101+1),J101),L100),J101+M101))</f>
        <v>72789.936877782937</v>
      </c>
      <c r="M101">
        <f t="shared" si="24"/>
        <v>45883.962974598944</v>
      </c>
      <c r="N101">
        <f t="shared" si="25"/>
        <v>26905.973903183993</v>
      </c>
      <c r="O101">
        <f>IF(J101&lt;=0,0,MIN(MAX(0,J101-N101),SUMIFS('Loan Prepayment'!$B$12:$B$16,'Loan Prepayment'!$A$12:$A$16,I101)+0))</f>
        <v>0</v>
      </c>
      <c r="P101">
        <f t="shared" si="26"/>
        <v>6450829.9754519612</v>
      </c>
      <c r="Q101">
        <v>100</v>
      </c>
      <c r="R101">
        <f t="shared" si="39"/>
        <v>7722949.0745352618</v>
      </c>
      <c r="S101" s="78">
        <f>'Loan Prepayment'!$B$6</f>
        <v>8.5</v>
      </c>
      <c r="T101">
        <f>IF(R101&lt;=0,0,MIN(IF(AND('Loan Prepayment'!$E$15="Reduce EMI",W100&gt;0),-PMT(S101/1200,MAX(1,'Loan Prepayment'!$B$7*12-Q101+1),R101),T100),R101+U101))</f>
        <v>86782.323336553396</v>
      </c>
      <c r="U101">
        <f t="shared" si="27"/>
        <v>54704.222611291443</v>
      </c>
      <c r="V101">
        <f t="shared" si="28"/>
        <v>32078.100725261953</v>
      </c>
      <c r="W101">
        <f>IF(R101&lt;=0,0,MIN(MAX(0,R101-V101),0+IF(AND(Q101&gt;='Loan Prepayment'!$B$9,Q101&lt;='Loan Prepayment'!$E$16),'Loan Prepayment'!$B$8,0)))</f>
        <v>0</v>
      </c>
      <c r="X101">
        <f t="shared" si="29"/>
        <v>7690870.9738100003</v>
      </c>
      <c r="Y101">
        <v>100</v>
      </c>
      <c r="Z101">
        <f t="shared" si="40"/>
        <v>7417500.8887402508</v>
      </c>
      <c r="AA101">
        <f>IF(Y101&gt;='Loan Prepayment'!$E$11,'Loan Prepayment'!$E$12,'Loan Prepayment'!$B$6)</f>
        <v>7.5</v>
      </c>
      <c r="AB101">
        <f>IF(Z101&lt;=0,0,MIN(IF(Y101='Loan Prepayment'!$E$11,IF('Loan Prepayment'!$E$13="Keep tenure, recalculate EMI",-PMT(AA101/1200,MAX(1,'Loan Prepayment'!$B$7*12-Y101+1),Z101),AB100),AB100),Z101+AC101))</f>
        <v>86782.323336553396</v>
      </c>
      <c r="AC101">
        <f t="shared" si="30"/>
        <v>46359.380554626565</v>
      </c>
      <c r="AD101">
        <f t="shared" si="31"/>
        <v>40422.942781926831</v>
      </c>
      <c r="AE101">
        <f t="shared" si="32"/>
        <v>0</v>
      </c>
      <c r="AF101">
        <f t="shared" si="33"/>
        <v>7377077.9459583238</v>
      </c>
      <c r="AG101">
        <v>100</v>
      </c>
      <c r="AH101">
        <f t="shared" si="41"/>
        <v>6004848.6713582072</v>
      </c>
      <c r="AI101">
        <f>IF(AG101&gt;='Loan Prepayment'!$E$11,'Loan Prepayment'!$E$12,'Loan Prepayment'!$B$6)</f>
        <v>7.5</v>
      </c>
      <c r="AJ101">
        <f>IF(AH101&lt;=0,0,MIN(IF(AG101='Loan Prepayment'!$E$11,IF('Loan Prepayment'!$E$13="Keep tenure, recalculate EMI",-PMT(AI101/1200,MAX(1,'Loan Prepayment'!$B$7*12-AG101+1),AH101),AJ100),IF(AND('Loan Prepayment'!$E$15="Reduce EMI",AM100&gt;0),-PMT(AI101/1200,MAX(1,'Loan Prepayment'!$B$7*12-AG101+1),AH101),AJ100)),AH101+AK101))</f>
        <v>77713.634667410894</v>
      </c>
      <c r="AK101">
        <f t="shared" si="34"/>
        <v>37530.304195988792</v>
      </c>
      <c r="AL101">
        <f t="shared" si="35"/>
        <v>40183.330471422101</v>
      </c>
      <c r="AM101">
        <f>IF(AH101&lt;=0,0,MIN(MAX(0,AH101-AL101),SUMIFS('Loan Prepayment'!$B$12:$B$16,'Loan Prepayment'!$A$12:$A$16,AG101)+IF(AND(AG101&gt;='Loan Prepayment'!$B$9,AG101&lt;='Loan Prepayment'!$E$16),'Loan Prepayment'!$B$8,0)))</f>
        <v>0</v>
      </c>
      <c r="AN101">
        <f t="shared" si="36"/>
        <v>5964665.3408867847</v>
      </c>
    </row>
    <row r="102" spans="1:40" x14ac:dyDescent="0.35">
      <c r="A102">
        <v>101</v>
      </c>
      <c r="B102">
        <f t="shared" si="37"/>
        <v>7690870.9738100003</v>
      </c>
      <c r="C102" s="78">
        <f>'Loan Prepayment'!$B$6</f>
        <v>8.5</v>
      </c>
      <c r="D102">
        <f>IF(B102&lt;=0,0,MIN(-PMT('Loan Prepayment'!$B$6/1200,'Loan Prepayment'!$B$7*12,'Loan Prepayment'!$B$5),B102+E102))</f>
        <v>86782.323336553396</v>
      </c>
      <c r="E102">
        <f t="shared" si="21"/>
        <v>54477.002731154171</v>
      </c>
      <c r="F102">
        <f t="shared" si="22"/>
        <v>32305.320605399225</v>
      </c>
      <c r="G102">
        <v>0</v>
      </c>
      <c r="H102">
        <f t="shared" si="23"/>
        <v>7658565.6532046013</v>
      </c>
      <c r="I102">
        <v>101</v>
      </c>
      <c r="J102">
        <f t="shared" si="38"/>
        <v>6450829.9754519612</v>
      </c>
      <c r="K102" s="78">
        <f>'Loan Prepayment'!$B$6</f>
        <v>8.5</v>
      </c>
      <c r="L102">
        <f>IF(J102&lt;=0,0,MIN(IF(AND('Loan Prepayment'!$E$15="Reduce EMI",O101&gt;0),-PMT(K102/1200,MAX(1,'Loan Prepayment'!$B$7*12-I102+1),J102),L101),J102+M102))</f>
        <v>72789.936877782937</v>
      </c>
      <c r="M102">
        <f t="shared" si="24"/>
        <v>45693.378992784725</v>
      </c>
      <c r="N102">
        <f t="shared" si="25"/>
        <v>27096.557884998212</v>
      </c>
      <c r="O102">
        <f>IF(J102&lt;=0,0,MIN(MAX(0,J102-N102),SUMIFS('Loan Prepayment'!$B$12:$B$16,'Loan Prepayment'!$A$12:$A$16,I102)+0))</f>
        <v>0</v>
      </c>
      <c r="P102">
        <f t="shared" si="26"/>
        <v>6423733.4175669625</v>
      </c>
      <c r="Q102">
        <v>101</v>
      </c>
      <c r="R102">
        <f t="shared" si="39"/>
        <v>7690870.9738100003</v>
      </c>
      <c r="S102" s="78">
        <f>'Loan Prepayment'!$B$6</f>
        <v>8.5</v>
      </c>
      <c r="T102">
        <f>IF(R102&lt;=0,0,MIN(IF(AND('Loan Prepayment'!$E$15="Reduce EMI",W101&gt;0),-PMT(S102/1200,MAX(1,'Loan Prepayment'!$B$7*12-Q102+1),R102),T101),R102+U102))</f>
        <v>86782.323336553396</v>
      </c>
      <c r="U102">
        <f t="shared" si="27"/>
        <v>54477.002731154171</v>
      </c>
      <c r="V102">
        <f t="shared" si="28"/>
        <v>32305.320605399225</v>
      </c>
      <c r="W102">
        <f>IF(R102&lt;=0,0,MIN(MAX(0,R102-V102),0+IF(AND(Q102&gt;='Loan Prepayment'!$B$9,Q102&lt;='Loan Prepayment'!$E$16),'Loan Prepayment'!$B$8,0)))</f>
        <v>0</v>
      </c>
      <c r="X102">
        <f t="shared" si="29"/>
        <v>7658565.6532046013</v>
      </c>
      <c r="Y102">
        <v>101</v>
      </c>
      <c r="Z102">
        <f t="shared" si="40"/>
        <v>7377077.9459583238</v>
      </c>
      <c r="AA102">
        <f>IF(Y102&gt;='Loan Prepayment'!$E$11,'Loan Prepayment'!$E$12,'Loan Prepayment'!$B$6)</f>
        <v>7.5</v>
      </c>
      <c r="AB102">
        <f>IF(Z102&lt;=0,0,MIN(IF(Y102='Loan Prepayment'!$E$11,IF('Loan Prepayment'!$E$13="Keep tenure, recalculate EMI",-PMT(AA102/1200,MAX(1,'Loan Prepayment'!$B$7*12-Y102+1),Z102),AB101),AB101),Z102+AC102))</f>
        <v>86782.323336553396</v>
      </c>
      <c r="AC102">
        <f t="shared" si="30"/>
        <v>46106.737162239529</v>
      </c>
      <c r="AD102">
        <f t="shared" si="31"/>
        <v>40675.586174313867</v>
      </c>
      <c r="AE102">
        <f t="shared" si="32"/>
        <v>0</v>
      </c>
      <c r="AF102">
        <f t="shared" si="33"/>
        <v>7336402.3597840099</v>
      </c>
      <c r="AG102">
        <v>101</v>
      </c>
      <c r="AH102">
        <f t="shared" si="41"/>
        <v>5964665.3408867847</v>
      </c>
      <c r="AI102">
        <f>IF(AG102&gt;='Loan Prepayment'!$E$11,'Loan Prepayment'!$E$12,'Loan Prepayment'!$B$6)</f>
        <v>7.5</v>
      </c>
      <c r="AJ102">
        <f>IF(AH102&lt;=0,0,MIN(IF(AG102='Loan Prepayment'!$E$11,IF('Loan Prepayment'!$E$13="Keep tenure, recalculate EMI",-PMT(AI102/1200,MAX(1,'Loan Prepayment'!$B$7*12-AG102+1),AH102),AJ101),IF(AND('Loan Prepayment'!$E$15="Reduce EMI",AM101&gt;0),-PMT(AI102/1200,MAX(1,'Loan Prepayment'!$B$7*12-AG102+1),AH102),AJ101)),AH102+AK102))</f>
        <v>77713.634667410894</v>
      </c>
      <c r="AK102">
        <f t="shared" si="34"/>
        <v>37279.158380542402</v>
      </c>
      <c r="AL102">
        <f t="shared" si="35"/>
        <v>40434.476286868492</v>
      </c>
      <c r="AM102">
        <f>IF(AH102&lt;=0,0,MIN(MAX(0,AH102-AL102),SUMIFS('Loan Prepayment'!$B$12:$B$16,'Loan Prepayment'!$A$12:$A$16,AG102)+IF(AND(AG102&gt;='Loan Prepayment'!$B$9,AG102&lt;='Loan Prepayment'!$E$16),'Loan Prepayment'!$B$8,0)))</f>
        <v>0</v>
      </c>
      <c r="AN102">
        <f t="shared" si="36"/>
        <v>5924230.8645999162</v>
      </c>
    </row>
    <row r="103" spans="1:40" x14ac:dyDescent="0.35">
      <c r="A103">
        <v>102</v>
      </c>
      <c r="B103">
        <f t="shared" si="37"/>
        <v>7658565.6532046013</v>
      </c>
      <c r="C103" s="78">
        <f>'Loan Prepayment'!$B$6</f>
        <v>8.5</v>
      </c>
      <c r="D103">
        <f>IF(B103&lt;=0,0,MIN(-PMT('Loan Prepayment'!$B$6/1200,'Loan Prepayment'!$B$7*12,'Loan Prepayment'!$B$5),B103+E103))</f>
        <v>86782.323336553396</v>
      </c>
      <c r="E103">
        <f t="shared" si="21"/>
        <v>54248.173376865925</v>
      </c>
      <c r="F103">
        <f t="shared" si="22"/>
        <v>32534.149959687471</v>
      </c>
      <c r="G103">
        <v>0</v>
      </c>
      <c r="H103">
        <f t="shared" si="23"/>
        <v>7626031.5032449141</v>
      </c>
      <c r="I103">
        <v>102</v>
      </c>
      <c r="J103">
        <f t="shared" si="38"/>
        <v>6423733.4175669625</v>
      </c>
      <c r="K103" s="78">
        <f>'Loan Prepayment'!$B$6</f>
        <v>8.5</v>
      </c>
      <c r="L103">
        <f>IF(J103&lt;=0,0,MIN(IF(AND('Loan Prepayment'!$E$15="Reduce EMI",O102&gt;0),-PMT(K103/1200,MAX(1,'Loan Prepayment'!$B$7*12-I103+1),J103),L102),J103+M103))</f>
        <v>72789.936877782937</v>
      </c>
      <c r="M103">
        <f t="shared" si="24"/>
        <v>45501.445041099316</v>
      </c>
      <c r="N103">
        <f t="shared" si="25"/>
        <v>27288.491836683621</v>
      </c>
      <c r="O103">
        <f>IF(J103&lt;=0,0,MIN(MAX(0,J103-N103),SUMIFS('Loan Prepayment'!$B$12:$B$16,'Loan Prepayment'!$A$12:$A$16,I103)+0))</f>
        <v>0</v>
      </c>
      <c r="P103">
        <f t="shared" si="26"/>
        <v>6396444.9257302787</v>
      </c>
      <c r="Q103">
        <v>102</v>
      </c>
      <c r="R103">
        <f t="shared" si="39"/>
        <v>7658565.6532046013</v>
      </c>
      <c r="S103" s="78">
        <f>'Loan Prepayment'!$B$6</f>
        <v>8.5</v>
      </c>
      <c r="T103">
        <f>IF(R103&lt;=0,0,MIN(IF(AND('Loan Prepayment'!$E$15="Reduce EMI",W102&gt;0),-PMT(S103/1200,MAX(1,'Loan Prepayment'!$B$7*12-Q103+1),R103),T102),R103+U103))</f>
        <v>86782.323336553396</v>
      </c>
      <c r="U103">
        <f t="shared" si="27"/>
        <v>54248.173376865925</v>
      </c>
      <c r="V103">
        <f t="shared" si="28"/>
        <v>32534.149959687471</v>
      </c>
      <c r="W103">
        <f>IF(R103&lt;=0,0,MIN(MAX(0,R103-V103),0+IF(AND(Q103&gt;='Loan Prepayment'!$B$9,Q103&lt;='Loan Prepayment'!$E$16),'Loan Prepayment'!$B$8,0)))</f>
        <v>0</v>
      </c>
      <c r="X103">
        <f t="shared" si="29"/>
        <v>7626031.5032449141</v>
      </c>
      <c r="Y103">
        <v>102</v>
      </c>
      <c r="Z103">
        <f t="shared" si="40"/>
        <v>7336402.3597840099</v>
      </c>
      <c r="AA103">
        <f>IF(Y103&gt;='Loan Prepayment'!$E$11,'Loan Prepayment'!$E$12,'Loan Prepayment'!$B$6)</f>
        <v>7.5</v>
      </c>
      <c r="AB103">
        <f>IF(Z103&lt;=0,0,MIN(IF(Y103='Loan Prepayment'!$E$11,IF('Loan Prepayment'!$E$13="Keep tenure, recalculate EMI",-PMT(AA103/1200,MAX(1,'Loan Prepayment'!$B$7*12-Y103+1),Z103),AB102),AB102),Z103+AC103))</f>
        <v>86782.323336553396</v>
      </c>
      <c r="AC103">
        <f t="shared" si="30"/>
        <v>45852.514748650065</v>
      </c>
      <c r="AD103">
        <f t="shared" si="31"/>
        <v>40929.808587903331</v>
      </c>
      <c r="AE103">
        <f t="shared" si="32"/>
        <v>0</v>
      </c>
      <c r="AF103">
        <f t="shared" si="33"/>
        <v>7295472.5511961067</v>
      </c>
      <c r="AG103">
        <v>102</v>
      </c>
      <c r="AH103">
        <f t="shared" si="41"/>
        <v>5924230.8645999162</v>
      </c>
      <c r="AI103">
        <f>IF(AG103&gt;='Loan Prepayment'!$E$11,'Loan Prepayment'!$E$12,'Loan Prepayment'!$B$6)</f>
        <v>7.5</v>
      </c>
      <c r="AJ103">
        <f>IF(AH103&lt;=0,0,MIN(IF(AG103='Loan Prepayment'!$E$11,IF('Loan Prepayment'!$E$13="Keep tenure, recalculate EMI",-PMT(AI103/1200,MAX(1,'Loan Prepayment'!$B$7*12-AG103+1),AH103),AJ102),IF(AND('Loan Prepayment'!$E$15="Reduce EMI",AM102&gt;0),-PMT(AI103/1200,MAX(1,'Loan Prepayment'!$B$7*12-AG103+1),AH103),AJ102)),AH103+AK103))</f>
        <v>77713.634667410894</v>
      </c>
      <c r="AK103">
        <f t="shared" si="34"/>
        <v>37026.442903749477</v>
      </c>
      <c r="AL103">
        <f t="shared" si="35"/>
        <v>40687.191763661416</v>
      </c>
      <c r="AM103">
        <f>IF(AH103&lt;=0,0,MIN(MAX(0,AH103-AL103),SUMIFS('Loan Prepayment'!$B$12:$B$16,'Loan Prepayment'!$A$12:$A$16,AG103)+IF(AND(AG103&gt;='Loan Prepayment'!$B$9,AG103&lt;='Loan Prepayment'!$E$16),'Loan Prepayment'!$B$8,0)))</f>
        <v>0</v>
      </c>
      <c r="AN103">
        <f t="shared" si="36"/>
        <v>5883543.6728362544</v>
      </c>
    </row>
    <row r="104" spans="1:40" x14ac:dyDescent="0.35">
      <c r="A104">
        <v>103</v>
      </c>
      <c r="B104">
        <f t="shared" si="37"/>
        <v>7626031.5032449141</v>
      </c>
      <c r="C104" s="78">
        <f>'Loan Prepayment'!$B$6</f>
        <v>8.5</v>
      </c>
      <c r="D104">
        <f>IF(B104&lt;=0,0,MIN(-PMT('Loan Prepayment'!$B$6/1200,'Loan Prepayment'!$B$7*12,'Loan Prepayment'!$B$5),B104+E104))</f>
        <v>86782.323336553396</v>
      </c>
      <c r="E104">
        <f t="shared" si="21"/>
        <v>54017.723147984805</v>
      </c>
      <c r="F104">
        <f t="shared" si="22"/>
        <v>32764.600188568591</v>
      </c>
      <c r="G104">
        <v>0</v>
      </c>
      <c r="H104">
        <f t="shared" si="23"/>
        <v>7593266.9030563459</v>
      </c>
      <c r="I104">
        <v>103</v>
      </c>
      <c r="J104">
        <f t="shared" si="38"/>
        <v>6396444.9257302787</v>
      </c>
      <c r="K104" s="78">
        <f>'Loan Prepayment'!$B$6</f>
        <v>8.5</v>
      </c>
      <c r="L104">
        <f>IF(J104&lt;=0,0,MIN(IF(AND('Loan Prepayment'!$E$15="Reduce EMI",O103&gt;0),-PMT(K104/1200,MAX(1,'Loan Prepayment'!$B$7*12-I104+1),J104),L103),J104+M104))</f>
        <v>72789.936877782937</v>
      </c>
      <c r="M104">
        <f t="shared" si="24"/>
        <v>45308.15155725614</v>
      </c>
      <c r="N104">
        <f t="shared" si="25"/>
        <v>27481.785320526797</v>
      </c>
      <c r="O104">
        <f>IF(J104&lt;=0,0,MIN(MAX(0,J104-N104),SUMIFS('Loan Prepayment'!$B$12:$B$16,'Loan Prepayment'!$A$12:$A$16,I104)+0))</f>
        <v>0</v>
      </c>
      <c r="P104">
        <f t="shared" si="26"/>
        <v>6368963.1404097518</v>
      </c>
      <c r="Q104">
        <v>103</v>
      </c>
      <c r="R104">
        <f t="shared" si="39"/>
        <v>7626031.5032449141</v>
      </c>
      <c r="S104" s="78">
        <f>'Loan Prepayment'!$B$6</f>
        <v>8.5</v>
      </c>
      <c r="T104">
        <f>IF(R104&lt;=0,0,MIN(IF(AND('Loan Prepayment'!$E$15="Reduce EMI",W103&gt;0),-PMT(S104/1200,MAX(1,'Loan Prepayment'!$B$7*12-Q104+1),R104),T103),R104+U104))</f>
        <v>86782.323336553396</v>
      </c>
      <c r="U104">
        <f t="shared" si="27"/>
        <v>54017.723147984805</v>
      </c>
      <c r="V104">
        <f t="shared" si="28"/>
        <v>32764.600188568591</v>
      </c>
      <c r="W104">
        <f>IF(R104&lt;=0,0,MIN(MAX(0,R104-V104),0+IF(AND(Q104&gt;='Loan Prepayment'!$B$9,Q104&lt;='Loan Prepayment'!$E$16),'Loan Prepayment'!$B$8,0)))</f>
        <v>0</v>
      </c>
      <c r="X104">
        <f t="shared" si="29"/>
        <v>7593266.9030563459</v>
      </c>
      <c r="Y104">
        <v>103</v>
      </c>
      <c r="Z104">
        <f t="shared" si="40"/>
        <v>7295472.5511961067</v>
      </c>
      <c r="AA104">
        <f>IF(Y104&gt;='Loan Prepayment'!$E$11,'Loan Prepayment'!$E$12,'Loan Prepayment'!$B$6)</f>
        <v>7.5</v>
      </c>
      <c r="AB104">
        <f>IF(Z104&lt;=0,0,MIN(IF(Y104='Loan Prepayment'!$E$11,IF('Loan Prepayment'!$E$13="Keep tenure, recalculate EMI",-PMT(AA104/1200,MAX(1,'Loan Prepayment'!$B$7*12-Y104+1),Z104),AB103),AB103),Z104+AC104))</f>
        <v>86782.323336553396</v>
      </c>
      <c r="AC104">
        <f t="shared" si="30"/>
        <v>45596.703444975661</v>
      </c>
      <c r="AD104">
        <f t="shared" si="31"/>
        <v>41185.619891577735</v>
      </c>
      <c r="AE104">
        <f t="shared" si="32"/>
        <v>0</v>
      </c>
      <c r="AF104">
        <f t="shared" si="33"/>
        <v>7254286.9313045293</v>
      </c>
      <c r="AG104">
        <v>103</v>
      </c>
      <c r="AH104">
        <f t="shared" si="41"/>
        <v>5883543.6728362544</v>
      </c>
      <c r="AI104">
        <f>IF(AG104&gt;='Loan Prepayment'!$E$11,'Loan Prepayment'!$E$12,'Loan Prepayment'!$B$6)</f>
        <v>7.5</v>
      </c>
      <c r="AJ104">
        <f>IF(AH104&lt;=0,0,MIN(IF(AG104='Loan Prepayment'!$E$11,IF('Loan Prepayment'!$E$13="Keep tenure, recalculate EMI",-PMT(AI104/1200,MAX(1,'Loan Prepayment'!$B$7*12-AG104+1),AH104),AJ103),IF(AND('Loan Prepayment'!$E$15="Reduce EMI",AM103&gt;0),-PMT(AI104/1200,MAX(1,'Loan Prepayment'!$B$7*12-AG104+1),AH104),AJ103)),AH104+AK104))</f>
        <v>77713.634667410894</v>
      </c>
      <c r="AK104">
        <f t="shared" si="34"/>
        <v>36772.147955226588</v>
      </c>
      <c r="AL104">
        <f t="shared" si="35"/>
        <v>40941.486712184305</v>
      </c>
      <c r="AM104">
        <f>IF(AH104&lt;=0,0,MIN(MAX(0,AH104-AL104),SUMIFS('Loan Prepayment'!$B$12:$B$16,'Loan Prepayment'!$A$12:$A$16,AG104)+IF(AND(AG104&gt;='Loan Prepayment'!$B$9,AG104&lt;='Loan Prepayment'!$E$16),'Loan Prepayment'!$B$8,0)))</f>
        <v>0</v>
      </c>
      <c r="AN104">
        <f t="shared" si="36"/>
        <v>5842602.1861240696</v>
      </c>
    </row>
    <row r="105" spans="1:40" x14ac:dyDescent="0.35">
      <c r="A105">
        <v>104</v>
      </c>
      <c r="B105">
        <f t="shared" si="37"/>
        <v>7593266.9030563459</v>
      </c>
      <c r="C105" s="78">
        <f>'Loan Prepayment'!$B$6</f>
        <v>8.5</v>
      </c>
      <c r="D105">
        <f>IF(B105&lt;=0,0,MIN(-PMT('Loan Prepayment'!$B$6/1200,'Loan Prepayment'!$B$7*12,'Loan Prepayment'!$B$5),B105+E105))</f>
        <v>86782.323336553396</v>
      </c>
      <c r="E105">
        <f t="shared" si="21"/>
        <v>53785.640563315785</v>
      </c>
      <c r="F105">
        <f t="shared" si="22"/>
        <v>32996.682773237611</v>
      </c>
      <c r="G105">
        <v>0</v>
      </c>
      <c r="H105">
        <f t="shared" si="23"/>
        <v>7560270.2202831078</v>
      </c>
      <c r="I105">
        <v>104</v>
      </c>
      <c r="J105">
        <f t="shared" si="38"/>
        <v>6368963.1404097518</v>
      </c>
      <c r="K105" s="78">
        <f>'Loan Prepayment'!$B$6</f>
        <v>8.5</v>
      </c>
      <c r="L105">
        <f>IF(J105&lt;=0,0,MIN(IF(AND('Loan Prepayment'!$E$15="Reduce EMI",O104&gt;0),-PMT(K105/1200,MAX(1,'Loan Prepayment'!$B$7*12-I105+1),J105),L104),J105+M105))</f>
        <v>72789.936877782937</v>
      </c>
      <c r="M105">
        <f t="shared" si="24"/>
        <v>45113.488911235741</v>
      </c>
      <c r="N105">
        <f t="shared" si="25"/>
        <v>27676.447966547195</v>
      </c>
      <c r="O105">
        <f>IF(J105&lt;=0,0,MIN(MAX(0,J105-N105),SUMIFS('Loan Prepayment'!$B$12:$B$16,'Loan Prepayment'!$A$12:$A$16,I105)+0))</f>
        <v>0</v>
      </c>
      <c r="P105">
        <f t="shared" si="26"/>
        <v>6341286.692443205</v>
      </c>
      <c r="Q105">
        <v>104</v>
      </c>
      <c r="R105">
        <f t="shared" si="39"/>
        <v>7593266.9030563459</v>
      </c>
      <c r="S105" s="78">
        <f>'Loan Prepayment'!$B$6</f>
        <v>8.5</v>
      </c>
      <c r="T105">
        <f>IF(R105&lt;=0,0,MIN(IF(AND('Loan Prepayment'!$E$15="Reduce EMI",W104&gt;0),-PMT(S105/1200,MAX(1,'Loan Prepayment'!$B$7*12-Q105+1),R105),T104),R105+U105))</f>
        <v>86782.323336553396</v>
      </c>
      <c r="U105">
        <f t="shared" si="27"/>
        <v>53785.640563315785</v>
      </c>
      <c r="V105">
        <f t="shared" si="28"/>
        <v>32996.682773237611</v>
      </c>
      <c r="W105">
        <f>IF(R105&lt;=0,0,MIN(MAX(0,R105-V105),0+IF(AND(Q105&gt;='Loan Prepayment'!$B$9,Q105&lt;='Loan Prepayment'!$E$16),'Loan Prepayment'!$B$8,0)))</f>
        <v>0</v>
      </c>
      <c r="X105">
        <f t="shared" si="29"/>
        <v>7560270.2202831078</v>
      </c>
      <c r="Y105">
        <v>104</v>
      </c>
      <c r="Z105">
        <f t="shared" si="40"/>
        <v>7254286.9313045293</v>
      </c>
      <c r="AA105">
        <f>IF(Y105&gt;='Loan Prepayment'!$E$11,'Loan Prepayment'!$E$12,'Loan Prepayment'!$B$6)</f>
        <v>7.5</v>
      </c>
      <c r="AB105">
        <f>IF(Z105&lt;=0,0,MIN(IF(Y105='Loan Prepayment'!$E$11,IF('Loan Prepayment'!$E$13="Keep tenure, recalculate EMI",-PMT(AA105/1200,MAX(1,'Loan Prepayment'!$B$7*12-Y105+1),Z105),AB104),AB104),Z105+AC105))</f>
        <v>86782.323336553396</v>
      </c>
      <c r="AC105">
        <f t="shared" si="30"/>
        <v>45339.293320653305</v>
      </c>
      <c r="AD105">
        <f t="shared" si="31"/>
        <v>41443.030015900091</v>
      </c>
      <c r="AE105">
        <f t="shared" si="32"/>
        <v>0</v>
      </c>
      <c r="AF105">
        <f t="shared" si="33"/>
        <v>7212843.9012886295</v>
      </c>
      <c r="AG105">
        <v>104</v>
      </c>
      <c r="AH105">
        <f t="shared" si="41"/>
        <v>5842602.1861240696</v>
      </c>
      <c r="AI105">
        <f>IF(AG105&gt;='Loan Prepayment'!$E$11,'Loan Prepayment'!$E$12,'Loan Prepayment'!$B$6)</f>
        <v>7.5</v>
      </c>
      <c r="AJ105">
        <f>IF(AH105&lt;=0,0,MIN(IF(AG105='Loan Prepayment'!$E$11,IF('Loan Prepayment'!$E$13="Keep tenure, recalculate EMI",-PMT(AI105/1200,MAX(1,'Loan Prepayment'!$B$7*12-AG105+1),AH105),AJ104),IF(AND('Loan Prepayment'!$E$15="Reduce EMI",AM104&gt;0),-PMT(AI105/1200,MAX(1,'Loan Prepayment'!$B$7*12-AG105+1),AH105),AJ104)),AH105+AK105))</f>
        <v>77713.634667410894</v>
      </c>
      <c r="AK105">
        <f t="shared" si="34"/>
        <v>36516.263663275437</v>
      </c>
      <c r="AL105">
        <f t="shared" si="35"/>
        <v>41197.371004135457</v>
      </c>
      <c r="AM105">
        <f>IF(AH105&lt;=0,0,MIN(MAX(0,AH105-AL105),SUMIFS('Loan Prepayment'!$B$12:$B$16,'Loan Prepayment'!$A$12:$A$16,AG105)+IF(AND(AG105&gt;='Loan Prepayment'!$B$9,AG105&lt;='Loan Prepayment'!$E$16),'Loan Prepayment'!$B$8,0)))</f>
        <v>0</v>
      </c>
      <c r="AN105">
        <f t="shared" si="36"/>
        <v>5801404.8151199343</v>
      </c>
    </row>
    <row r="106" spans="1:40" x14ac:dyDescent="0.35">
      <c r="A106">
        <v>105</v>
      </c>
      <c r="B106">
        <f t="shared" si="37"/>
        <v>7560270.2202831078</v>
      </c>
      <c r="C106" s="78">
        <f>'Loan Prepayment'!$B$6</f>
        <v>8.5</v>
      </c>
      <c r="D106">
        <f>IF(B106&lt;=0,0,MIN(-PMT('Loan Prepayment'!$B$6/1200,'Loan Prepayment'!$B$7*12,'Loan Prepayment'!$B$5),B106+E106))</f>
        <v>86782.323336553396</v>
      </c>
      <c r="E106">
        <f t="shared" si="21"/>
        <v>53551.914060338677</v>
      </c>
      <c r="F106">
        <f t="shared" si="22"/>
        <v>33230.409276214719</v>
      </c>
      <c r="G106">
        <v>0</v>
      </c>
      <c r="H106">
        <f t="shared" si="23"/>
        <v>7527039.8110068934</v>
      </c>
      <c r="I106">
        <v>105</v>
      </c>
      <c r="J106">
        <f t="shared" si="38"/>
        <v>6341286.692443205</v>
      </c>
      <c r="K106" s="78">
        <f>'Loan Prepayment'!$B$6</f>
        <v>8.5</v>
      </c>
      <c r="L106">
        <f>IF(J106&lt;=0,0,MIN(IF(AND('Loan Prepayment'!$E$15="Reduce EMI",O105&gt;0),-PMT(K106/1200,MAX(1,'Loan Prepayment'!$B$7*12-I106+1),J106),L105),J106+M106))</f>
        <v>72789.936877782937</v>
      </c>
      <c r="M106">
        <f t="shared" si="24"/>
        <v>44917.447404806037</v>
      </c>
      <c r="N106">
        <f t="shared" si="25"/>
        <v>27872.4894729769</v>
      </c>
      <c r="O106">
        <f>IF(J106&lt;=0,0,MIN(MAX(0,J106-N106),SUMIFS('Loan Prepayment'!$B$12:$B$16,'Loan Prepayment'!$A$12:$A$16,I106)+0))</f>
        <v>0</v>
      </c>
      <c r="P106">
        <f t="shared" si="26"/>
        <v>6313414.2029702282</v>
      </c>
      <c r="Q106">
        <v>105</v>
      </c>
      <c r="R106">
        <f t="shared" si="39"/>
        <v>7560270.2202831078</v>
      </c>
      <c r="S106" s="78">
        <f>'Loan Prepayment'!$B$6</f>
        <v>8.5</v>
      </c>
      <c r="T106">
        <f>IF(R106&lt;=0,0,MIN(IF(AND('Loan Prepayment'!$E$15="Reduce EMI",W105&gt;0),-PMT(S106/1200,MAX(1,'Loan Prepayment'!$B$7*12-Q106+1),R106),T105),R106+U106))</f>
        <v>86782.323336553396</v>
      </c>
      <c r="U106">
        <f t="shared" si="27"/>
        <v>53551.914060338677</v>
      </c>
      <c r="V106">
        <f t="shared" si="28"/>
        <v>33230.409276214719</v>
      </c>
      <c r="W106">
        <f>IF(R106&lt;=0,0,MIN(MAX(0,R106-V106),0+IF(AND(Q106&gt;='Loan Prepayment'!$B$9,Q106&lt;='Loan Prepayment'!$E$16),'Loan Prepayment'!$B$8,0)))</f>
        <v>0</v>
      </c>
      <c r="X106">
        <f t="shared" si="29"/>
        <v>7527039.8110068934</v>
      </c>
      <c r="Y106">
        <v>105</v>
      </c>
      <c r="Z106">
        <f t="shared" si="40"/>
        <v>7212843.9012886295</v>
      </c>
      <c r="AA106">
        <f>IF(Y106&gt;='Loan Prepayment'!$E$11,'Loan Prepayment'!$E$12,'Loan Prepayment'!$B$6)</f>
        <v>7.5</v>
      </c>
      <c r="AB106">
        <f>IF(Z106&lt;=0,0,MIN(IF(Y106='Loan Prepayment'!$E$11,IF('Loan Prepayment'!$E$13="Keep tenure, recalculate EMI",-PMT(AA106/1200,MAX(1,'Loan Prepayment'!$B$7*12-Y106+1),Z106),AB105),AB105),Z106+AC106))</f>
        <v>86782.323336553396</v>
      </c>
      <c r="AC106">
        <f t="shared" si="30"/>
        <v>45080.274383053933</v>
      </c>
      <c r="AD106">
        <f t="shared" si="31"/>
        <v>41702.048953499463</v>
      </c>
      <c r="AE106">
        <f t="shared" si="32"/>
        <v>0</v>
      </c>
      <c r="AF106">
        <f t="shared" si="33"/>
        <v>7171141.8523351299</v>
      </c>
      <c r="AG106">
        <v>105</v>
      </c>
      <c r="AH106">
        <f t="shared" si="41"/>
        <v>5801404.8151199343</v>
      </c>
      <c r="AI106">
        <f>IF(AG106&gt;='Loan Prepayment'!$E$11,'Loan Prepayment'!$E$12,'Loan Prepayment'!$B$6)</f>
        <v>7.5</v>
      </c>
      <c r="AJ106">
        <f>IF(AH106&lt;=0,0,MIN(IF(AG106='Loan Prepayment'!$E$11,IF('Loan Prepayment'!$E$13="Keep tenure, recalculate EMI",-PMT(AI106/1200,MAX(1,'Loan Prepayment'!$B$7*12-AG106+1),AH106),AJ105),IF(AND('Loan Prepayment'!$E$15="Reduce EMI",AM105&gt;0),-PMT(AI106/1200,MAX(1,'Loan Prepayment'!$B$7*12-AG106+1),AH106),AJ105)),AH106+AK106))</f>
        <v>77713.634667410894</v>
      </c>
      <c r="AK106">
        <f t="shared" si="34"/>
        <v>36258.780094499591</v>
      </c>
      <c r="AL106">
        <f t="shared" si="35"/>
        <v>41454.854572911303</v>
      </c>
      <c r="AM106">
        <f>IF(AH106&lt;=0,0,MIN(MAX(0,AH106-AL106),SUMIFS('Loan Prepayment'!$B$12:$B$16,'Loan Prepayment'!$A$12:$A$16,AG106)+IF(AND(AG106&gt;='Loan Prepayment'!$B$9,AG106&lt;='Loan Prepayment'!$E$16),'Loan Prepayment'!$B$8,0)))</f>
        <v>0</v>
      </c>
      <c r="AN106">
        <f t="shared" si="36"/>
        <v>5759949.9605470225</v>
      </c>
    </row>
    <row r="107" spans="1:40" x14ac:dyDescent="0.35">
      <c r="A107">
        <v>106</v>
      </c>
      <c r="B107">
        <f t="shared" si="37"/>
        <v>7527039.8110068934</v>
      </c>
      <c r="C107" s="78">
        <f>'Loan Prepayment'!$B$6</f>
        <v>8.5</v>
      </c>
      <c r="D107">
        <f>IF(B107&lt;=0,0,MIN(-PMT('Loan Prepayment'!$B$6/1200,'Loan Prepayment'!$B$7*12,'Loan Prepayment'!$B$5),B107+E107))</f>
        <v>86782.323336553396</v>
      </c>
      <c r="E107">
        <f t="shared" si="21"/>
        <v>53316.531994632162</v>
      </c>
      <c r="F107">
        <f t="shared" si="22"/>
        <v>33465.791341921235</v>
      </c>
      <c r="G107">
        <v>0</v>
      </c>
      <c r="H107">
        <f t="shared" si="23"/>
        <v>7493574.0196649721</v>
      </c>
      <c r="I107">
        <v>106</v>
      </c>
      <c r="J107">
        <f t="shared" si="38"/>
        <v>6313414.2029702282</v>
      </c>
      <c r="K107" s="78">
        <f>'Loan Prepayment'!$B$6</f>
        <v>8.5</v>
      </c>
      <c r="L107">
        <f>IF(J107&lt;=0,0,MIN(IF(AND('Loan Prepayment'!$E$15="Reduce EMI",O106&gt;0),-PMT(K107/1200,MAX(1,'Loan Prepayment'!$B$7*12-I107+1),J107),L106),J107+M107))</f>
        <v>72789.936877782937</v>
      </c>
      <c r="M107">
        <f t="shared" si="24"/>
        <v>44720.017271039113</v>
      </c>
      <c r="N107">
        <f t="shared" si="25"/>
        <v>28069.919606743824</v>
      </c>
      <c r="O107">
        <f>IF(J107&lt;=0,0,MIN(MAX(0,J107-N107),SUMIFS('Loan Prepayment'!$B$12:$B$16,'Loan Prepayment'!$A$12:$A$16,I107)+0))</f>
        <v>0</v>
      </c>
      <c r="P107">
        <f t="shared" si="26"/>
        <v>6285344.2833634848</v>
      </c>
      <c r="Q107">
        <v>106</v>
      </c>
      <c r="R107">
        <f t="shared" si="39"/>
        <v>7527039.8110068934</v>
      </c>
      <c r="S107" s="78">
        <f>'Loan Prepayment'!$B$6</f>
        <v>8.5</v>
      </c>
      <c r="T107">
        <f>IF(R107&lt;=0,0,MIN(IF(AND('Loan Prepayment'!$E$15="Reduce EMI",W106&gt;0),-PMT(S107/1200,MAX(1,'Loan Prepayment'!$B$7*12-Q107+1),R107),T106),R107+U107))</f>
        <v>86782.323336553396</v>
      </c>
      <c r="U107">
        <f t="shared" si="27"/>
        <v>53316.531994632162</v>
      </c>
      <c r="V107">
        <f t="shared" si="28"/>
        <v>33465.791341921235</v>
      </c>
      <c r="W107">
        <f>IF(R107&lt;=0,0,MIN(MAX(0,R107-V107),0+IF(AND(Q107&gt;='Loan Prepayment'!$B$9,Q107&lt;='Loan Prepayment'!$E$16),'Loan Prepayment'!$B$8,0)))</f>
        <v>0</v>
      </c>
      <c r="X107">
        <f t="shared" si="29"/>
        <v>7493574.0196649721</v>
      </c>
      <c r="Y107">
        <v>106</v>
      </c>
      <c r="Z107">
        <f t="shared" si="40"/>
        <v>7171141.8523351299</v>
      </c>
      <c r="AA107">
        <f>IF(Y107&gt;='Loan Prepayment'!$E$11,'Loan Prepayment'!$E$12,'Loan Prepayment'!$B$6)</f>
        <v>7.5</v>
      </c>
      <c r="AB107">
        <f>IF(Z107&lt;=0,0,MIN(IF(Y107='Loan Prepayment'!$E$11,IF('Loan Prepayment'!$E$13="Keep tenure, recalculate EMI",-PMT(AA107/1200,MAX(1,'Loan Prepayment'!$B$7*12-Y107+1),Z107),AB106),AB106),Z107+AC107))</f>
        <v>86782.323336553396</v>
      </c>
      <c r="AC107">
        <f t="shared" si="30"/>
        <v>44819.636577094563</v>
      </c>
      <c r="AD107">
        <f t="shared" si="31"/>
        <v>41962.686759458833</v>
      </c>
      <c r="AE107">
        <f t="shared" si="32"/>
        <v>0</v>
      </c>
      <c r="AF107">
        <f t="shared" si="33"/>
        <v>7129179.165575671</v>
      </c>
      <c r="AG107">
        <v>106</v>
      </c>
      <c r="AH107">
        <f t="shared" si="41"/>
        <v>5759949.9605470225</v>
      </c>
      <c r="AI107">
        <f>IF(AG107&gt;='Loan Prepayment'!$E$11,'Loan Prepayment'!$E$12,'Loan Prepayment'!$B$6)</f>
        <v>7.5</v>
      </c>
      <c r="AJ107">
        <f>IF(AH107&lt;=0,0,MIN(IF(AG107='Loan Prepayment'!$E$11,IF('Loan Prepayment'!$E$13="Keep tenure, recalculate EMI",-PMT(AI107/1200,MAX(1,'Loan Prepayment'!$B$7*12-AG107+1),AH107),AJ106),IF(AND('Loan Prepayment'!$E$15="Reduce EMI",AM106&gt;0),-PMT(AI107/1200,MAX(1,'Loan Prepayment'!$B$7*12-AG107+1),AH107),AJ106)),AH107+AK107))</f>
        <v>77713.634667410894</v>
      </c>
      <c r="AK107">
        <f t="shared" si="34"/>
        <v>35999.687253418888</v>
      </c>
      <c r="AL107">
        <f t="shared" si="35"/>
        <v>41713.947413992006</v>
      </c>
      <c r="AM107">
        <f>IF(AH107&lt;=0,0,MIN(MAX(0,AH107-AL107),SUMIFS('Loan Prepayment'!$B$12:$B$16,'Loan Prepayment'!$A$12:$A$16,AG107)+IF(AND(AG107&gt;='Loan Prepayment'!$B$9,AG107&lt;='Loan Prepayment'!$E$16),'Loan Prepayment'!$B$8,0)))</f>
        <v>0</v>
      </c>
      <c r="AN107">
        <f t="shared" si="36"/>
        <v>5718236.0131330304</v>
      </c>
    </row>
    <row r="108" spans="1:40" x14ac:dyDescent="0.35">
      <c r="A108">
        <v>107</v>
      </c>
      <c r="B108">
        <f t="shared" si="37"/>
        <v>7493574.0196649721</v>
      </c>
      <c r="C108" s="78">
        <f>'Loan Prepayment'!$B$6</f>
        <v>8.5</v>
      </c>
      <c r="D108">
        <f>IF(B108&lt;=0,0,MIN(-PMT('Loan Prepayment'!$B$6/1200,'Loan Prepayment'!$B$7*12,'Loan Prepayment'!$B$5),B108+E108))</f>
        <v>86782.323336553396</v>
      </c>
      <c r="E108">
        <f t="shared" si="21"/>
        <v>53079.48263929355</v>
      </c>
      <c r="F108">
        <f t="shared" si="22"/>
        <v>33702.840697259846</v>
      </c>
      <c r="G108">
        <v>0</v>
      </c>
      <c r="H108">
        <f t="shared" si="23"/>
        <v>7459871.1789677124</v>
      </c>
      <c r="I108">
        <v>107</v>
      </c>
      <c r="J108">
        <f t="shared" si="38"/>
        <v>6285344.2833634848</v>
      </c>
      <c r="K108" s="78">
        <f>'Loan Prepayment'!$B$6</f>
        <v>8.5</v>
      </c>
      <c r="L108">
        <f>IF(J108&lt;=0,0,MIN(IF(AND('Loan Prepayment'!$E$15="Reduce EMI",O107&gt;0),-PMT(K108/1200,MAX(1,'Loan Prepayment'!$B$7*12-I108+1),J108),L107),J108+M108))</f>
        <v>72789.936877782937</v>
      </c>
      <c r="M108">
        <f t="shared" si="24"/>
        <v>44521.188673824683</v>
      </c>
      <c r="N108">
        <f t="shared" si="25"/>
        <v>28268.748203958254</v>
      </c>
      <c r="O108">
        <f>IF(J108&lt;=0,0,MIN(MAX(0,J108-N108),SUMIFS('Loan Prepayment'!$B$12:$B$16,'Loan Prepayment'!$A$12:$A$16,I108)+0))</f>
        <v>0</v>
      </c>
      <c r="P108">
        <f t="shared" si="26"/>
        <v>6257075.5351595264</v>
      </c>
      <c r="Q108">
        <v>107</v>
      </c>
      <c r="R108">
        <f t="shared" si="39"/>
        <v>7493574.0196649721</v>
      </c>
      <c r="S108" s="78">
        <f>'Loan Prepayment'!$B$6</f>
        <v>8.5</v>
      </c>
      <c r="T108">
        <f>IF(R108&lt;=0,0,MIN(IF(AND('Loan Prepayment'!$E$15="Reduce EMI",W107&gt;0),-PMT(S108/1200,MAX(1,'Loan Prepayment'!$B$7*12-Q108+1),R108),T107),R108+U108))</f>
        <v>86782.323336553396</v>
      </c>
      <c r="U108">
        <f t="shared" si="27"/>
        <v>53079.48263929355</v>
      </c>
      <c r="V108">
        <f t="shared" si="28"/>
        <v>33702.840697259846</v>
      </c>
      <c r="W108">
        <f>IF(R108&lt;=0,0,MIN(MAX(0,R108-V108),0+IF(AND(Q108&gt;='Loan Prepayment'!$B$9,Q108&lt;='Loan Prepayment'!$E$16),'Loan Prepayment'!$B$8,0)))</f>
        <v>0</v>
      </c>
      <c r="X108">
        <f t="shared" si="29"/>
        <v>7459871.1789677124</v>
      </c>
      <c r="Y108">
        <v>107</v>
      </c>
      <c r="Z108">
        <f t="shared" si="40"/>
        <v>7129179.165575671</v>
      </c>
      <c r="AA108">
        <f>IF(Y108&gt;='Loan Prepayment'!$E$11,'Loan Prepayment'!$E$12,'Loan Prepayment'!$B$6)</f>
        <v>7.5</v>
      </c>
      <c r="AB108">
        <f>IF(Z108&lt;=0,0,MIN(IF(Y108='Loan Prepayment'!$E$11,IF('Loan Prepayment'!$E$13="Keep tenure, recalculate EMI",-PMT(AA108/1200,MAX(1,'Loan Prepayment'!$B$7*12-Y108+1),Z108),AB107),AB107),Z108+AC108))</f>
        <v>86782.323336553396</v>
      </c>
      <c r="AC108">
        <f t="shared" si="30"/>
        <v>44557.369784847942</v>
      </c>
      <c r="AD108">
        <f t="shared" si="31"/>
        <v>42224.953551705454</v>
      </c>
      <c r="AE108">
        <f t="shared" si="32"/>
        <v>0</v>
      </c>
      <c r="AF108">
        <f t="shared" si="33"/>
        <v>7086954.212023966</v>
      </c>
      <c r="AG108">
        <v>107</v>
      </c>
      <c r="AH108">
        <f t="shared" si="41"/>
        <v>5718236.0131330304</v>
      </c>
      <c r="AI108">
        <f>IF(AG108&gt;='Loan Prepayment'!$E$11,'Loan Prepayment'!$E$12,'Loan Prepayment'!$B$6)</f>
        <v>7.5</v>
      </c>
      <c r="AJ108">
        <f>IF(AH108&lt;=0,0,MIN(IF(AG108='Loan Prepayment'!$E$11,IF('Loan Prepayment'!$E$13="Keep tenure, recalculate EMI",-PMT(AI108/1200,MAX(1,'Loan Prepayment'!$B$7*12-AG108+1),AH108),AJ107),IF(AND('Loan Prepayment'!$E$15="Reduce EMI",AM107&gt;0),-PMT(AI108/1200,MAX(1,'Loan Prepayment'!$B$7*12-AG108+1),AH108),AJ107)),AH108+AK108))</f>
        <v>77713.634667410894</v>
      </c>
      <c r="AK108">
        <f t="shared" si="34"/>
        <v>35738.975082081437</v>
      </c>
      <c r="AL108">
        <f t="shared" si="35"/>
        <v>41974.659585329457</v>
      </c>
      <c r="AM108">
        <f>IF(AH108&lt;=0,0,MIN(MAX(0,AH108-AL108),SUMIFS('Loan Prepayment'!$B$12:$B$16,'Loan Prepayment'!$A$12:$A$16,AG108)+IF(AND(AG108&gt;='Loan Prepayment'!$B$9,AG108&lt;='Loan Prepayment'!$E$16),'Loan Prepayment'!$B$8,0)))</f>
        <v>0</v>
      </c>
      <c r="AN108">
        <f t="shared" si="36"/>
        <v>5676261.3535477007</v>
      </c>
    </row>
    <row r="109" spans="1:40" x14ac:dyDescent="0.35">
      <c r="A109">
        <v>108</v>
      </c>
      <c r="B109">
        <f t="shared" si="37"/>
        <v>7459871.1789677124</v>
      </c>
      <c r="C109" s="78">
        <f>'Loan Prepayment'!$B$6</f>
        <v>8.5</v>
      </c>
      <c r="D109">
        <f>IF(B109&lt;=0,0,MIN(-PMT('Loan Prepayment'!$B$6/1200,'Loan Prepayment'!$B$7*12,'Loan Prepayment'!$B$5),B109+E109))</f>
        <v>86782.323336553396</v>
      </c>
      <c r="E109">
        <f t="shared" si="21"/>
        <v>52840.754184354628</v>
      </c>
      <c r="F109">
        <f t="shared" si="22"/>
        <v>33941.569152198768</v>
      </c>
      <c r="G109">
        <v>0</v>
      </c>
      <c r="H109">
        <f t="shared" si="23"/>
        <v>7425929.6098155137</v>
      </c>
      <c r="I109">
        <v>108</v>
      </c>
      <c r="J109">
        <f t="shared" si="38"/>
        <v>6257075.5351595264</v>
      </c>
      <c r="K109" s="78">
        <f>'Loan Prepayment'!$B$6</f>
        <v>8.5</v>
      </c>
      <c r="L109">
        <f>IF(J109&lt;=0,0,MIN(IF(AND('Loan Prepayment'!$E$15="Reduce EMI",O108&gt;0),-PMT(K109/1200,MAX(1,'Loan Prepayment'!$B$7*12-I109+1),J109),L108),J109+M109))</f>
        <v>72789.936877782937</v>
      </c>
      <c r="M109">
        <f t="shared" si="24"/>
        <v>44320.95170737998</v>
      </c>
      <c r="N109">
        <f t="shared" si="25"/>
        <v>28468.985170402957</v>
      </c>
      <c r="O109">
        <f>IF(J109&lt;=0,0,MIN(MAX(0,J109-N109),SUMIFS('Loan Prepayment'!$B$12:$B$16,'Loan Prepayment'!$A$12:$A$16,I109)+0))</f>
        <v>0</v>
      </c>
      <c r="P109">
        <f t="shared" si="26"/>
        <v>6228606.5499891238</v>
      </c>
      <c r="Q109">
        <v>108</v>
      </c>
      <c r="R109">
        <f t="shared" si="39"/>
        <v>7459871.1789677124</v>
      </c>
      <c r="S109" s="78">
        <f>'Loan Prepayment'!$B$6</f>
        <v>8.5</v>
      </c>
      <c r="T109">
        <f>IF(R109&lt;=0,0,MIN(IF(AND('Loan Prepayment'!$E$15="Reduce EMI",W108&gt;0),-PMT(S109/1200,MAX(1,'Loan Prepayment'!$B$7*12-Q109+1),R109),T108),R109+U109))</f>
        <v>86782.323336553396</v>
      </c>
      <c r="U109">
        <f t="shared" si="27"/>
        <v>52840.754184354628</v>
      </c>
      <c r="V109">
        <f t="shared" si="28"/>
        <v>33941.569152198768</v>
      </c>
      <c r="W109">
        <f>IF(R109&lt;=0,0,MIN(MAX(0,R109-V109),0+IF(AND(Q109&gt;='Loan Prepayment'!$B$9,Q109&lt;='Loan Prepayment'!$E$16),'Loan Prepayment'!$B$8,0)))</f>
        <v>0</v>
      </c>
      <c r="X109">
        <f t="shared" si="29"/>
        <v>7425929.6098155137</v>
      </c>
      <c r="Y109">
        <v>108</v>
      </c>
      <c r="Z109">
        <f t="shared" si="40"/>
        <v>7086954.212023966</v>
      </c>
      <c r="AA109">
        <f>IF(Y109&gt;='Loan Prepayment'!$E$11,'Loan Prepayment'!$E$12,'Loan Prepayment'!$B$6)</f>
        <v>7.5</v>
      </c>
      <c r="AB109">
        <f>IF(Z109&lt;=0,0,MIN(IF(Y109='Loan Prepayment'!$E$11,IF('Loan Prepayment'!$E$13="Keep tenure, recalculate EMI",-PMT(AA109/1200,MAX(1,'Loan Prepayment'!$B$7*12-Y109+1),Z109),AB108),AB108),Z109+AC109))</f>
        <v>86782.323336553396</v>
      </c>
      <c r="AC109">
        <f t="shared" si="30"/>
        <v>44293.463825149782</v>
      </c>
      <c r="AD109">
        <f t="shared" si="31"/>
        <v>42488.859511403614</v>
      </c>
      <c r="AE109">
        <f t="shared" si="32"/>
        <v>0</v>
      </c>
      <c r="AF109">
        <f t="shared" si="33"/>
        <v>7044465.3525125626</v>
      </c>
      <c r="AG109">
        <v>108</v>
      </c>
      <c r="AH109">
        <f t="shared" si="41"/>
        <v>5676261.3535477007</v>
      </c>
      <c r="AI109">
        <f>IF(AG109&gt;='Loan Prepayment'!$E$11,'Loan Prepayment'!$E$12,'Loan Prepayment'!$B$6)</f>
        <v>7.5</v>
      </c>
      <c r="AJ109">
        <f>IF(AH109&lt;=0,0,MIN(IF(AG109='Loan Prepayment'!$E$11,IF('Loan Prepayment'!$E$13="Keep tenure, recalculate EMI",-PMT(AI109/1200,MAX(1,'Loan Prepayment'!$B$7*12-AG109+1),AH109),AJ108),IF(AND('Loan Prepayment'!$E$15="Reduce EMI",AM108&gt;0),-PMT(AI109/1200,MAX(1,'Loan Prepayment'!$B$7*12-AG109+1),AH109),AJ108)),AH109+AK109))</f>
        <v>77713.634667410894</v>
      </c>
      <c r="AK109">
        <f t="shared" si="34"/>
        <v>35476.633459673125</v>
      </c>
      <c r="AL109">
        <f t="shared" si="35"/>
        <v>42237.001207737769</v>
      </c>
      <c r="AM109">
        <f>IF(AH109&lt;=0,0,MIN(MAX(0,AH109-AL109),SUMIFS('Loan Prepayment'!$B$12:$B$16,'Loan Prepayment'!$A$12:$A$16,AG109)+IF(AND(AG109&gt;='Loan Prepayment'!$B$9,AG109&lt;='Loan Prepayment'!$E$16),'Loan Prepayment'!$B$8,0)))</f>
        <v>0</v>
      </c>
      <c r="AN109">
        <f t="shared" si="36"/>
        <v>5634024.3523399625</v>
      </c>
    </row>
    <row r="110" spans="1:40" x14ac:dyDescent="0.35">
      <c r="A110">
        <v>109</v>
      </c>
      <c r="B110">
        <f t="shared" si="37"/>
        <v>7425929.6098155137</v>
      </c>
      <c r="C110" s="78">
        <f>'Loan Prepayment'!$B$6</f>
        <v>8.5</v>
      </c>
      <c r="D110">
        <f>IF(B110&lt;=0,0,MIN(-PMT('Loan Prepayment'!$B$6/1200,'Loan Prepayment'!$B$7*12,'Loan Prepayment'!$B$5),B110+E110))</f>
        <v>86782.323336553396</v>
      </c>
      <c r="E110">
        <f t="shared" si="21"/>
        <v>52600.334736193217</v>
      </c>
      <c r="F110">
        <f t="shared" si="22"/>
        <v>34181.988600360179</v>
      </c>
      <c r="G110">
        <v>0</v>
      </c>
      <c r="H110">
        <f t="shared" si="23"/>
        <v>7391747.6212151535</v>
      </c>
      <c r="I110">
        <v>109</v>
      </c>
      <c r="J110">
        <f t="shared" si="38"/>
        <v>6228606.5499891238</v>
      </c>
      <c r="K110" s="78">
        <f>'Loan Prepayment'!$B$6</f>
        <v>8.5</v>
      </c>
      <c r="L110">
        <f>IF(J110&lt;=0,0,MIN(IF(AND('Loan Prepayment'!$E$15="Reduce EMI",O109&gt;0),-PMT(K110/1200,MAX(1,'Loan Prepayment'!$B$7*12-I110+1),J110),L109),J110+M110))</f>
        <v>72789.936877782937</v>
      </c>
      <c r="M110">
        <f t="shared" si="24"/>
        <v>44119.29639575629</v>
      </c>
      <c r="N110">
        <f t="shared" si="25"/>
        <v>28670.640482026647</v>
      </c>
      <c r="O110">
        <f>IF(J110&lt;=0,0,MIN(MAX(0,J110-N110),SUMIFS('Loan Prepayment'!$B$12:$B$16,'Loan Prepayment'!$A$12:$A$16,I110)+0))</f>
        <v>0</v>
      </c>
      <c r="P110">
        <f t="shared" si="26"/>
        <v>6199935.9095070967</v>
      </c>
      <c r="Q110">
        <v>109</v>
      </c>
      <c r="R110">
        <f t="shared" si="39"/>
        <v>7425929.6098155137</v>
      </c>
      <c r="S110" s="78">
        <f>'Loan Prepayment'!$B$6</f>
        <v>8.5</v>
      </c>
      <c r="T110">
        <f>IF(R110&lt;=0,0,MIN(IF(AND('Loan Prepayment'!$E$15="Reduce EMI",W109&gt;0),-PMT(S110/1200,MAX(1,'Loan Prepayment'!$B$7*12-Q110+1),R110),T109),R110+U110))</f>
        <v>86782.323336553396</v>
      </c>
      <c r="U110">
        <f t="shared" si="27"/>
        <v>52600.334736193217</v>
      </c>
      <c r="V110">
        <f t="shared" si="28"/>
        <v>34181.988600360179</v>
      </c>
      <c r="W110">
        <f>IF(R110&lt;=0,0,MIN(MAX(0,R110-V110),0+IF(AND(Q110&gt;='Loan Prepayment'!$B$9,Q110&lt;='Loan Prepayment'!$E$16),'Loan Prepayment'!$B$8,0)))</f>
        <v>0</v>
      </c>
      <c r="X110">
        <f t="shared" si="29"/>
        <v>7391747.6212151535</v>
      </c>
      <c r="Y110">
        <v>109</v>
      </c>
      <c r="Z110">
        <f t="shared" si="40"/>
        <v>7044465.3525125626</v>
      </c>
      <c r="AA110">
        <f>IF(Y110&gt;='Loan Prepayment'!$E$11,'Loan Prepayment'!$E$12,'Loan Prepayment'!$B$6)</f>
        <v>7.5</v>
      </c>
      <c r="AB110">
        <f>IF(Z110&lt;=0,0,MIN(IF(Y110='Loan Prepayment'!$E$11,IF('Loan Prepayment'!$E$13="Keep tenure, recalculate EMI",-PMT(AA110/1200,MAX(1,'Loan Prepayment'!$B$7*12-Y110+1),Z110),AB109),AB109),Z110+AC110))</f>
        <v>86782.323336553396</v>
      </c>
      <c r="AC110">
        <f t="shared" si="30"/>
        <v>44027.908453203512</v>
      </c>
      <c r="AD110">
        <f t="shared" si="31"/>
        <v>42754.414883349884</v>
      </c>
      <c r="AE110">
        <f t="shared" si="32"/>
        <v>0</v>
      </c>
      <c r="AF110">
        <f t="shared" si="33"/>
        <v>7001710.9376292126</v>
      </c>
      <c r="AG110">
        <v>109</v>
      </c>
      <c r="AH110">
        <f t="shared" si="41"/>
        <v>5634024.3523399625</v>
      </c>
      <c r="AI110">
        <f>IF(AG110&gt;='Loan Prepayment'!$E$11,'Loan Prepayment'!$E$12,'Loan Prepayment'!$B$6)</f>
        <v>7.5</v>
      </c>
      <c r="AJ110">
        <f>IF(AH110&lt;=0,0,MIN(IF(AG110='Loan Prepayment'!$E$11,IF('Loan Prepayment'!$E$13="Keep tenure, recalculate EMI",-PMT(AI110/1200,MAX(1,'Loan Prepayment'!$B$7*12-AG110+1),AH110),AJ109),IF(AND('Loan Prepayment'!$E$15="Reduce EMI",AM109&gt;0),-PMT(AI110/1200,MAX(1,'Loan Prepayment'!$B$7*12-AG110+1),AH110),AJ109)),AH110+AK110))</f>
        <v>77713.634667410894</v>
      </c>
      <c r="AK110">
        <f t="shared" si="34"/>
        <v>35212.652202124766</v>
      </c>
      <c r="AL110">
        <f t="shared" si="35"/>
        <v>42500.982465286128</v>
      </c>
      <c r="AM110">
        <f>IF(AH110&lt;=0,0,MIN(MAX(0,AH110-AL110),SUMIFS('Loan Prepayment'!$B$12:$B$16,'Loan Prepayment'!$A$12:$A$16,AG110)+IF(AND(AG110&gt;='Loan Prepayment'!$B$9,AG110&lt;='Loan Prepayment'!$E$16),'Loan Prepayment'!$B$8,0)))</f>
        <v>0</v>
      </c>
      <c r="AN110">
        <f t="shared" si="36"/>
        <v>5591523.3698746767</v>
      </c>
    </row>
    <row r="111" spans="1:40" x14ac:dyDescent="0.35">
      <c r="A111">
        <v>110</v>
      </c>
      <c r="B111">
        <f t="shared" si="37"/>
        <v>7391747.6212151535</v>
      </c>
      <c r="C111" s="78">
        <f>'Loan Prepayment'!$B$6</f>
        <v>8.5</v>
      </c>
      <c r="D111">
        <f>IF(B111&lt;=0,0,MIN(-PMT('Loan Prepayment'!$B$6/1200,'Loan Prepayment'!$B$7*12,'Loan Prepayment'!$B$5),B111+E111))</f>
        <v>86782.323336553396</v>
      </c>
      <c r="E111">
        <f t="shared" si="21"/>
        <v>52358.21231694067</v>
      </c>
      <c r="F111">
        <f t="shared" si="22"/>
        <v>34424.111019612727</v>
      </c>
      <c r="G111">
        <v>0</v>
      </c>
      <c r="H111">
        <f t="shared" si="23"/>
        <v>7357323.5101955412</v>
      </c>
      <c r="I111">
        <v>110</v>
      </c>
      <c r="J111">
        <f t="shared" si="38"/>
        <v>6199935.9095070967</v>
      </c>
      <c r="K111" s="78">
        <f>'Loan Prepayment'!$B$6</f>
        <v>8.5</v>
      </c>
      <c r="L111">
        <f>IF(J111&lt;=0,0,MIN(IF(AND('Loan Prepayment'!$E$15="Reduce EMI",O110&gt;0),-PMT(K111/1200,MAX(1,'Loan Prepayment'!$B$7*12-I111+1),J111),L110),J111+M111))</f>
        <v>72789.936877782937</v>
      </c>
      <c r="M111">
        <f t="shared" si="24"/>
        <v>43916.212692341935</v>
      </c>
      <c r="N111">
        <f t="shared" si="25"/>
        <v>28873.724185441002</v>
      </c>
      <c r="O111">
        <f>IF(J111&lt;=0,0,MIN(MAX(0,J111-N111),SUMIFS('Loan Prepayment'!$B$12:$B$16,'Loan Prepayment'!$A$12:$A$16,I111)+0))</f>
        <v>0</v>
      </c>
      <c r="P111">
        <f t="shared" si="26"/>
        <v>6171062.1853216561</v>
      </c>
      <c r="Q111">
        <v>110</v>
      </c>
      <c r="R111">
        <f t="shared" si="39"/>
        <v>7391747.6212151535</v>
      </c>
      <c r="S111" s="78">
        <f>'Loan Prepayment'!$B$6</f>
        <v>8.5</v>
      </c>
      <c r="T111">
        <f>IF(R111&lt;=0,0,MIN(IF(AND('Loan Prepayment'!$E$15="Reduce EMI",W110&gt;0),-PMT(S111/1200,MAX(1,'Loan Prepayment'!$B$7*12-Q111+1),R111),T110),R111+U111))</f>
        <v>86782.323336553396</v>
      </c>
      <c r="U111">
        <f t="shared" si="27"/>
        <v>52358.21231694067</v>
      </c>
      <c r="V111">
        <f t="shared" si="28"/>
        <v>34424.111019612727</v>
      </c>
      <c r="W111">
        <f>IF(R111&lt;=0,0,MIN(MAX(0,R111-V111),0+IF(AND(Q111&gt;='Loan Prepayment'!$B$9,Q111&lt;='Loan Prepayment'!$E$16),'Loan Prepayment'!$B$8,0)))</f>
        <v>0</v>
      </c>
      <c r="X111">
        <f t="shared" si="29"/>
        <v>7357323.5101955412</v>
      </c>
      <c r="Y111">
        <v>110</v>
      </c>
      <c r="Z111">
        <f t="shared" si="40"/>
        <v>7001710.9376292126</v>
      </c>
      <c r="AA111">
        <f>IF(Y111&gt;='Loan Prepayment'!$E$11,'Loan Prepayment'!$E$12,'Loan Prepayment'!$B$6)</f>
        <v>7.5</v>
      </c>
      <c r="AB111">
        <f>IF(Z111&lt;=0,0,MIN(IF(Y111='Loan Prepayment'!$E$11,IF('Loan Prepayment'!$E$13="Keep tenure, recalculate EMI",-PMT(AA111/1200,MAX(1,'Loan Prepayment'!$B$7*12-Y111+1),Z111),AB110),AB110),Z111+AC111))</f>
        <v>86782.323336553396</v>
      </c>
      <c r="AC111">
        <f t="shared" si="30"/>
        <v>43760.69336018258</v>
      </c>
      <c r="AD111">
        <f t="shared" si="31"/>
        <v>43021.629976370816</v>
      </c>
      <c r="AE111">
        <f t="shared" si="32"/>
        <v>0</v>
      </c>
      <c r="AF111">
        <f t="shared" si="33"/>
        <v>6958689.3076528423</v>
      </c>
      <c r="AG111">
        <v>110</v>
      </c>
      <c r="AH111">
        <f t="shared" si="41"/>
        <v>5591523.3698746767</v>
      </c>
      <c r="AI111">
        <f>IF(AG111&gt;='Loan Prepayment'!$E$11,'Loan Prepayment'!$E$12,'Loan Prepayment'!$B$6)</f>
        <v>7.5</v>
      </c>
      <c r="AJ111">
        <f>IF(AH111&lt;=0,0,MIN(IF(AG111='Loan Prepayment'!$E$11,IF('Loan Prepayment'!$E$13="Keep tenure, recalculate EMI",-PMT(AI111/1200,MAX(1,'Loan Prepayment'!$B$7*12-AG111+1),AH111),AJ110),IF(AND('Loan Prepayment'!$E$15="Reduce EMI",AM110&gt;0),-PMT(AI111/1200,MAX(1,'Loan Prepayment'!$B$7*12-AG111+1),AH111),AJ110)),AH111+AK111))</f>
        <v>77713.634667410894</v>
      </c>
      <c r="AK111">
        <f t="shared" si="34"/>
        <v>34947.021061716732</v>
      </c>
      <c r="AL111">
        <f t="shared" si="35"/>
        <v>42766.613605694161</v>
      </c>
      <c r="AM111">
        <f>IF(AH111&lt;=0,0,MIN(MAX(0,AH111-AL111),SUMIFS('Loan Prepayment'!$B$12:$B$16,'Loan Prepayment'!$A$12:$A$16,AG111)+IF(AND(AG111&gt;='Loan Prepayment'!$B$9,AG111&lt;='Loan Prepayment'!$E$16),'Loan Prepayment'!$B$8,0)))</f>
        <v>0</v>
      </c>
      <c r="AN111">
        <f t="shared" si="36"/>
        <v>5548756.7562689828</v>
      </c>
    </row>
    <row r="112" spans="1:40" x14ac:dyDescent="0.35">
      <c r="A112">
        <v>111</v>
      </c>
      <c r="B112">
        <f t="shared" si="37"/>
        <v>7357323.5101955412</v>
      </c>
      <c r="C112" s="78">
        <f>'Loan Prepayment'!$B$6</f>
        <v>8.5</v>
      </c>
      <c r="D112">
        <f>IF(B112&lt;=0,0,MIN(-PMT('Loan Prepayment'!$B$6/1200,'Loan Prepayment'!$B$7*12,'Loan Prepayment'!$B$5),B112+E112))</f>
        <v>86782.323336553396</v>
      </c>
      <c r="E112">
        <f t="shared" si="21"/>
        <v>52114.374863885081</v>
      </c>
      <c r="F112">
        <f t="shared" si="22"/>
        <v>34667.948472668315</v>
      </c>
      <c r="G112">
        <v>0</v>
      </c>
      <c r="H112">
        <f t="shared" si="23"/>
        <v>7322655.5617228728</v>
      </c>
      <c r="I112">
        <v>111</v>
      </c>
      <c r="J112">
        <f t="shared" si="38"/>
        <v>6171062.1853216561</v>
      </c>
      <c r="K112" s="78">
        <f>'Loan Prepayment'!$B$6</f>
        <v>8.5</v>
      </c>
      <c r="L112">
        <f>IF(J112&lt;=0,0,MIN(IF(AND('Loan Prepayment'!$E$15="Reduce EMI",O111&gt;0),-PMT(K112/1200,MAX(1,'Loan Prepayment'!$B$7*12-I112+1),J112),L111),J112+M112))</f>
        <v>72789.936877782937</v>
      </c>
      <c r="M112">
        <f t="shared" si="24"/>
        <v>43711.690479361729</v>
      </c>
      <c r="N112">
        <f t="shared" si="25"/>
        <v>29078.246398421208</v>
      </c>
      <c r="O112">
        <f>IF(J112&lt;=0,0,MIN(MAX(0,J112-N112),SUMIFS('Loan Prepayment'!$B$12:$B$16,'Loan Prepayment'!$A$12:$A$16,I112)+0))</f>
        <v>0</v>
      </c>
      <c r="P112">
        <f t="shared" si="26"/>
        <v>6141983.9389232351</v>
      </c>
      <c r="Q112">
        <v>111</v>
      </c>
      <c r="R112">
        <f t="shared" si="39"/>
        <v>7357323.5101955412</v>
      </c>
      <c r="S112" s="78">
        <f>'Loan Prepayment'!$B$6</f>
        <v>8.5</v>
      </c>
      <c r="T112">
        <f>IF(R112&lt;=0,0,MIN(IF(AND('Loan Prepayment'!$E$15="Reduce EMI",W111&gt;0),-PMT(S112/1200,MAX(1,'Loan Prepayment'!$B$7*12-Q112+1),R112),T111),R112+U112))</f>
        <v>86782.323336553396</v>
      </c>
      <c r="U112">
        <f t="shared" si="27"/>
        <v>52114.374863885081</v>
      </c>
      <c r="V112">
        <f t="shared" si="28"/>
        <v>34667.948472668315</v>
      </c>
      <c r="W112">
        <f>IF(R112&lt;=0,0,MIN(MAX(0,R112-V112),0+IF(AND(Q112&gt;='Loan Prepayment'!$B$9,Q112&lt;='Loan Prepayment'!$E$16),'Loan Prepayment'!$B$8,0)))</f>
        <v>0</v>
      </c>
      <c r="X112">
        <f t="shared" si="29"/>
        <v>7322655.5617228728</v>
      </c>
      <c r="Y112">
        <v>111</v>
      </c>
      <c r="Z112">
        <f t="shared" si="40"/>
        <v>6958689.3076528423</v>
      </c>
      <c r="AA112">
        <f>IF(Y112&gt;='Loan Prepayment'!$E$11,'Loan Prepayment'!$E$12,'Loan Prepayment'!$B$6)</f>
        <v>7.5</v>
      </c>
      <c r="AB112">
        <f>IF(Z112&lt;=0,0,MIN(IF(Y112='Loan Prepayment'!$E$11,IF('Loan Prepayment'!$E$13="Keep tenure, recalculate EMI",-PMT(AA112/1200,MAX(1,'Loan Prepayment'!$B$7*12-Y112+1),Z112),AB111),AB111),Z112+AC112))</f>
        <v>86782.323336553396</v>
      </c>
      <c r="AC112">
        <f t="shared" si="30"/>
        <v>43491.808172830264</v>
      </c>
      <c r="AD112">
        <f t="shared" si="31"/>
        <v>43290.515163723132</v>
      </c>
      <c r="AE112">
        <f t="shared" si="32"/>
        <v>0</v>
      </c>
      <c r="AF112">
        <f t="shared" si="33"/>
        <v>6915398.7924891189</v>
      </c>
      <c r="AG112">
        <v>111</v>
      </c>
      <c r="AH112">
        <f t="shared" si="41"/>
        <v>5548756.7562689828</v>
      </c>
      <c r="AI112">
        <f>IF(AG112&gt;='Loan Prepayment'!$E$11,'Loan Prepayment'!$E$12,'Loan Prepayment'!$B$6)</f>
        <v>7.5</v>
      </c>
      <c r="AJ112">
        <f>IF(AH112&lt;=0,0,MIN(IF(AG112='Loan Prepayment'!$E$11,IF('Loan Prepayment'!$E$13="Keep tenure, recalculate EMI",-PMT(AI112/1200,MAX(1,'Loan Prepayment'!$B$7*12-AG112+1),AH112),AJ111),IF(AND('Loan Prepayment'!$E$15="Reduce EMI",AM111&gt;0),-PMT(AI112/1200,MAX(1,'Loan Prepayment'!$B$7*12-AG112+1),AH112),AJ111)),AH112+AK112))</f>
        <v>77713.634667410894</v>
      </c>
      <c r="AK112">
        <f t="shared" si="34"/>
        <v>34679.729726681144</v>
      </c>
      <c r="AL112">
        <f t="shared" si="35"/>
        <v>43033.90494072975</v>
      </c>
      <c r="AM112">
        <f>IF(AH112&lt;=0,0,MIN(MAX(0,AH112-AL112),SUMIFS('Loan Prepayment'!$B$12:$B$16,'Loan Prepayment'!$A$12:$A$16,AG112)+IF(AND(AG112&gt;='Loan Prepayment'!$B$9,AG112&lt;='Loan Prepayment'!$E$16),'Loan Prepayment'!$B$8,0)))</f>
        <v>0</v>
      </c>
      <c r="AN112">
        <f t="shared" si="36"/>
        <v>5505722.8513282528</v>
      </c>
    </row>
    <row r="113" spans="1:40" x14ac:dyDescent="0.35">
      <c r="A113">
        <v>112</v>
      </c>
      <c r="B113">
        <f t="shared" si="37"/>
        <v>7322655.5617228728</v>
      </c>
      <c r="C113" s="78">
        <f>'Loan Prepayment'!$B$6</f>
        <v>8.5</v>
      </c>
      <c r="D113">
        <f>IF(B113&lt;=0,0,MIN(-PMT('Loan Prepayment'!$B$6/1200,'Loan Prepayment'!$B$7*12,'Loan Prepayment'!$B$5),B113+E113))</f>
        <v>86782.323336553396</v>
      </c>
      <c r="E113">
        <f t="shared" si="21"/>
        <v>51868.810228870352</v>
      </c>
      <c r="F113">
        <f t="shared" si="22"/>
        <v>34913.513107683044</v>
      </c>
      <c r="G113">
        <v>0</v>
      </c>
      <c r="H113">
        <f t="shared" si="23"/>
        <v>7287742.0486151893</v>
      </c>
      <c r="I113">
        <v>112</v>
      </c>
      <c r="J113">
        <f t="shared" si="38"/>
        <v>6141983.9389232351</v>
      </c>
      <c r="K113" s="78">
        <f>'Loan Prepayment'!$B$6</f>
        <v>8.5</v>
      </c>
      <c r="L113">
        <f>IF(J113&lt;=0,0,MIN(IF(AND('Loan Prepayment'!$E$15="Reduce EMI",O112&gt;0),-PMT(K113/1200,MAX(1,'Loan Prepayment'!$B$7*12-I113+1),J113),L112),J113+M113))</f>
        <v>72789.936877782937</v>
      </c>
      <c r="M113">
        <f t="shared" si="24"/>
        <v>43505.719567372915</v>
      </c>
      <c r="N113">
        <f t="shared" si="25"/>
        <v>29284.217310410022</v>
      </c>
      <c r="O113">
        <f>IF(J113&lt;=0,0,MIN(MAX(0,J113-N113),SUMIFS('Loan Prepayment'!$B$12:$B$16,'Loan Prepayment'!$A$12:$A$16,I113)+0))</f>
        <v>0</v>
      </c>
      <c r="P113">
        <f t="shared" si="26"/>
        <v>6112699.7216128251</v>
      </c>
      <c r="Q113">
        <v>112</v>
      </c>
      <c r="R113">
        <f t="shared" si="39"/>
        <v>7322655.5617228728</v>
      </c>
      <c r="S113" s="78">
        <f>'Loan Prepayment'!$B$6</f>
        <v>8.5</v>
      </c>
      <c r="T113">
        <f>IF(R113&lt;=0,0,MIN(IF(AND('Loan Prepayment'!$E$15="Reduce EMI",W112&gt;0),-PMT(S113/1200,MAX(1,'Loan Prepayment'!$B$7*12-Q113+1),R113),T112),R113+U113))</f>
        <v>86782.323336553396</v>
      </c>
      <c r="U113">
        <f t="shared" si="27"/>
        <v>51868.810228870352</v>
      </c>
      <c r="V113">
        <f t="shared" si="28"/>
        <v>34913.513107683044</v>
      </c>
      <c r="W113">
        <f>IF(R113&lt;=0,0,MIN(MAX(0,R113-V113),0+IF(AND(Q113&gt;='Loan Prepayment'!$B$9,Q113&lt;='Loan Prepayment'!$E$16),'Loan Prepayment'!$B$8,0)))</f>
        <v>0</v>
      </c>
      <c r="X113">
        <f t="shared" si="29"/>
        <v>7287742.0486151893</v>
      </c>
      <c r="Y113">
        <v>112</v>
      </c>
      <c r="Z113">
        <f t="shared" si="40"/>
        <v>6915398.7924891189</v>
      </c>
      <c r="AA113">
        <f>IF(Y113&gt;='Loan Prepayment'!$E$11,'Loan Prepayment'!$E$12,'Loan Prepayment'!$B$6)</f>
        <v>7.5</v>
      </c>
      <c r="AB113">
        <f>IF(Z113&lt;=0,0,MIN(IF(Y113='Loan Prepayment'!$E$11,IF('Loan Prepayment'!$E$13="Keep tenure, recalculate EMI",-PMT(AA113/1200,MAX(1,'Loan Prepayment'!$B$7*12-Y113+1),Z113),AB112),AB112),Z113+AC113))</f>
        <v>86782.323336553396</v>
      </c>
      <c r="AC113">
        <f t="shared" si="30"/>
        <v>43221.242453056999</v>
      </c>
      <c r="AD113">
        <f t="shared" si="31"/>
        <v>43561.080883496397</v>
      </c>
      <c r="AE113">
        <f t="shared" si="32"/>
        <v>0</v>
      </c>
      <c r="AF113">
        <f t="shared" si="33"/>
        <v>6871837.7116056224</v>
      </c>
      <c r="AG113">
        <v>112</v>
      </c>
      <c r="AH113">
        <f t="shared" si="41"/>
        <v>5505722.8513282528</v>
      </c>
      <c r="AI113">
        <f>IF(AG113&gt;='Loan Prepayment'!$E$11,'Loan Prepayment'!$E$12,'Loan Prepayment'!$B$6)</f>
        <v>7.5</v>
      </c>
      <c r="AJ113">
        <f>IF(AH113&lt;=0,0,MIN(IF(AG113='Loan Prepayment'!$E$11,IF('Loan Prepayment'!$E$13="Keep tenure, recalculate EMI",-PMT(AI113/1200,MAX(1,'Loan Prepayment'!$B$7*12-AG113+1),AH113),AJ112),IF(AND('Loan Prepayment'!$E$15="Reduce EMI",AM112&gt;0),-PMT(AI113/1200,MAX(1,'Loan Prepayment'!$B$7*12-AG113+1),AH113),AJ112)),AH113+AK113))</f>
        <v>77713.634667410894</v>
      </c>
      <c r="AK113">
        <f t="shared" si="34"/>
        <v>34410.767820801579</v>
      </c>
      <c r="AL113">
        <f t="shared" si="35"/>
        <v>43302.866846609315</v>
      </c>
      <c r="AM113">
        <f>IF(AH113&lt;=0,0,MIN(MAX(0,AH113-AL113),SUMIFS('Loan Prepayment'!$B$12:$B$16,'Loan Prepayment'!$A$12:$A$16,AG113)+IF(AND(AG113&gt;='Loan Prepayment'!$B$9,AG113&lt;='Loan Prepayment'!$E$16),'Loan Prepayment'!$B$8,0)))</f>
        <v>0</v>
      </c>
      <c r="AN113">
        <f t="shared" si="36"/>
        <v>5462419.9844816439</v>
      </c>
    </row>
    <row r="114" spans="1:40" x14ac:dyDescent="0.35">
      <c r="A114">
        <v>113</v>
      </c>
      <c r="B114">
        <f t="shared" si="37"/>
        <v>7287742.0486151893</v>
      </c>
      <c r="C114" s="78">
        <f>'Loan Prepayment'!$B$6</f>
        <v>8.5</v>
      </c>
      <c r="D114">
        <f>IF(B114&lt;=0,0,MIN(-PMT('Loan Prepayment'!$B$6/1200,'Loan Prepayment'!$B$7*12,'Loan Prepayment'!$B$5),B114+E114))</f>
        <v>86782.323336553396</v>
      </c>
      <c r="E114">
        <f t="shared" si="21"/>
        <v>51621.506177690921</v>
      </c>
      <c r="F114">
        <f t="shared" si="22"/>
        <v>35160.817158862475</v>
      </c>
      <c r="G114">
        <v>0</v>
      </c>
      <c r="H114">
        <f t="shared" si="23"/>
        <v>7252581.2314563273</v>
      </c>
      <c r="I114">
        <v>113</v>
      </c>
      <c r="J114">
        <f t="shared" si="38"/>
        <v>6112699.7216128251</v>
      </c>
      <c r="K114" s="78">
        <f>'Loan Prepayment'!$B$6</f>
        <v>8.5</v>
      </c>
      <c r="L114">
        <f>IF(J114&lt;=0,0,MIN(IF(AND('Loan Prepayment'!$E$15="Reduce EMI",O113&gt;0),-PMT(K114/1200,MAX(1,'Loan Prepayment'!$B$7*12-I114+1),J114),L113),J114+M114))</f>
        <v>72789.936877782937</v>
      </c>
      <c r="M114">
        <f t="shared" si="24"/>
        <v>43298.289694757514</v>
      </c>
      <c r="N114">
        <f t="shared" si="25"/>
        <v>29491.647183025423</v>
      </c>
      <c r="O114">
        <f>IF(J114&lt;=0,0,MIN(MAX(0,J114-N114),SUMIFS('Loan Prepayment'!$B$12:$B$16,'Loan Prepayment'!$A$12:$A$16,I114)+0))</f>
        <v>0</v>
      </c>
      <c r="P114">
        <f t="shared" si="26"/>
        <v>6083208.0744297998</v>
      </c>
      <c r="Q114">
        <v>113</v>
      </c>
      <c r="R114">
        <f t="shared" si="39"/>
        <v>7287742.0486151893</v>
      </c>
      <c r="S114" s="78">
        <f>'Loan Prepayment'!$B$6</f>
        <v>8.5</v>
      </c>
      <c r="T114">
        <f>IF(R114&lt;=0,0,MIN(IF(AND('Loan Prepayment'!$E$15="Reduce EMI",W113&gt;0),-PMT(S114/1200,MAX(1,'Loan Prepayment'!$B$7*12-Q114+1),R114),T113),R114+U114))</f>
        <v>86782.323336553396</v>
      </c>
      <c r="U114">
        <f t="shared" si="27"/>
        <v>51621.506177690921</v>
      </c>
      <c r="V114">
        <f t="shared" si="28"/>
        <v>35160.817158862475</v>
      </c>
      <c r="W114">
        <f>IF(R114&lt;=0,0,MIN(MAX(0,R114-V114),0+IF(AND(Q114&gt;='Loan Prepayment'!$B$9,Q114&lt;='Loan Prepayment'!$E$16),'Loan Prepayment'!$B$8,0)))</f>
        <v>0</v>
      </c>
      <c r="X114">
        <f t="shared" si="29"/>
        <v>7252581.2314563273</v>
      </c>
      <c r="Y114">
        <v>113</v>
      </c>
      <c r="Z114">
        <f t="shared" si="40"/>
        <v>6871837.7116056224</v>
      </c>
      <c r="AA114">
        <f>IF(Y114&gt;='Loan Prepayment'!$E$11,'Loan Prepayment'!$E$12,'Loan Prepayment'!$B$6)</f>
        <v>7.5</v>
      </c>
      <c r="AB114">
        <f>IF(Z114&lt;=0,0,MIN(IF(Y114='Loan Prepayment'!$E$11,IF('Loan Prepayment'!$E$13="Keep tenure, recalculate EMI",-PMT(AA114/1200,MAX(1,'Loan Prepayment'!$B$7*12-Y114+1),Z114),AB113),AB113),Z114+AC114))</f>
        <v>86782.323336553396</v>
      </c>
      <c r="AC114">
        <f t="shared" si="30"/>
        <v>42948.985697535143</v>
      </c>
      <c r="AD114">
        <f t="shared" si="31"/>
        <v>43833.337639018253</v>
      </c>
      <c r="AE114">
        <f t="shared" si="32"/>
        <v>0</v>
      </c>
      <c r="AF114">
        <f t="shared" si="33"/>
        <v>6828004.3739666045</v>
      </c>
      <c r="AG114">
        <v>113</v>
      </c>
      <c r="AH114">
        <f t="shared" si="41"/>
        <v>5462419.9844816439</v>
      </c>
      <c r="AI114">
        <f>IF(AG114&gt;='Loan Prepayment'!$E$11,'Loan Prepayment'!$E$12,'Loan Prepayment'!$B$6)</f>
        <v>7.5</v>
      </c>
      <c r="AJ114">
        <f>IF(AH114&lt;=0,0,MIN(IF(AG114='Loan Prepayment'!$E$11,IF('Loan Prepayment'!$E$13="Keep tenure, recalculate EMI",-PMT(AI114/1200,MAX(1,'Loan Prepayment'!$B$7*12-AG114+1),AH114),AJ113),IF(AND('Loan Prepayment'!$E$15="Reduce EMI",AM113&gt;0),-PMT(AI114/1200,MAX(1,'Loan Prepayment'!$B$7*12-AG114+1),AH114),AJ113)),AH114+AK114))</f>
        <v>77713.634667410894</v>
      </c>
      <c r="AK114">
        <f t="shared" si="34"/>
        <v>34140.12490301027</v>
      </c>
      <c r="AL114">
        <f t="shared" si="35"/>
        <v>43573.509764400624</v>
      </c>
      <c r="AM114">
        <f>IF(AH114&lt;=0,0,MIN(MAX(0,AH114-AL114),SUMIFS('Loan Prepayment'!$B$12:$B$16,'Loan Prepayment'!$A$12:$A$16,AG114)+IF(AND(AG114&gt;='Loan Prepayment'!$B$9,AG114&lt;='Loan Prepayment'!$E$16),'Loan Prepayment'!$B$8,0)))</f>
        <v>0</v>
      </c>
      <c r="AN114">
        <f t="shared" si="36"/>
        <v>5418846.4747172436</v>
      </c>
    </row>
    <row r="115" spans="1:40" x14ac:dyDescent="0.35">
      <c r="A115">
        <v>114</v>
      </c>
      <c r="B115">
        <f t="shared" si="37"/>
        <v>7252581.2314563273</v>
      </c>
      <c r="C115" s="78">
        <f>'Loan Prepayment'!$B$6</f>
        <v>8.5</v>
      </c>
      <c r="D115">
        <f>IF(B115&lt;=0,0,MIN(-PMT('Loan Prepayment'!$B$6/1200,'Loan Prepayment'!$B$7*12,'Loan Prepayment'!$B$5),B115+E115))</f>
        <v>86782.323336553396</v>
      </c>
      <c r="E115">
        <f t="shared" si="21"/>
        <v>51372.450389482314</v>
      </c>
      <c r="F115">
        <f t="shared" si="22"/>
        <v>35409.872947071082</v>
      </c>
      <c r="G115">
        <v>0</v>
      </c>
      <c r="H115">
        <f t="shared" si="23"/>
        <v>7217171.3585092565</v>
      </c>
      <c r="I115">
        <v>114</v>
      </c>
      <c r="J115">
        <f t="shared" si="38"/>
        <v>6083208.0744297998</v>
      </c>
      <c r="K115" s="78">
        <f>'Loan Prepayment'!$B$6</f>
        <v>8.5</v>
      </c>
      <c r="L115">
        <f>IF(J115&lt;=0,0,MIN(IF(AND('Loan Prepayment'!$E$15="Reduce EMI",O114&gt;0),-PMT(K115/1200,MAX(1,'Loan Prepayment'!$B$7*12-I115+1),J115),L114),J115+M115))</f>
        <v>72789.936877782937</v>
      </c>
      <c r="M115">
        <f t="shared" si="24"/>
        <v>43089.390527211079</v>
      </c>
      <c r="N115">
        <f t="shared" si="25"/>
        <v>29700.546350571858</v>
      </c>
      <c r="O115">
        <f>IF(J115&lt;=0,0,MIN(MAX(0,J115-N115),SUMIFS('Loan Prepayment'!$B$12:$B$16,'Loan Prepayment'!$A$12:$A$16,I115)+0))</f>
        <v>0</v>
      </c>
      <c r="P115">
        <f t="shared" si="26"/>
        <v>6053507.5280792275</v>
      </c>
      <c r="Q115">
        <v>114</v>
      </c>
      <c r="R115">
        <f t="shared" si="39"/>
        <v>7252581.2314563273</v>
      </c>
      <c r="S115" s="78">
        <f>'Loan Prepayment'!$B$6</f>
        <v>8.5</v>
      </c>
      <c r="T115">
        <f>IF(R115&lt;=0,0,MIN(IF(AND('Loan Prepayment'!$E$15="Reduce EMI",W114&gt;0),-PMT(S115/1200,MAX(1,'Loan Prepayment'!$B$7*12-Q115+1),R115),T114),R115+U115))</f>
        <v>86782.323336553396</v>
      </c>
      <c r="U115">
        <f t="shared" si="27"/>
        <v>51372.450389482314</v>
      </c>
      <c r="V115">
        <f t="shared" si="28"/>
        <v>35409.872947071082</v>
      </c>
      <c r="W115">
        <f>IF(R115&lt;=0,0,MIN(MAX(0,R115-V115),0+IF(AND(Q115&gt;='Loan Prepayment'!$B$9,Q115&lt;='Loan Prepayment'!$E$16),'Loan Prepayment'!$B$8,0)))</f>
        <v>0</v>
      </c>
      <c r="X115">
        <f t="shared" si="29"/>
        <v>7217171.3585092565</v>
      </c>
      <c r="Y115">
        <v>114</v>
      </c>
      <c r="Z115">
        <f t="shared" si="40"/>
        <v>6828004.3739666045</v>
      </c>
      <c r="AA115">
        <f>IF(Y115&gt;='Loan Prepayment'!$E$11,'Loan Prepayment'!$E$12,'Loan Prepayment'!$B$6)</f>
        <v>7.5</v>
      </c>
      <c r="AB115">
        <f>IF(Z115&lt;=0,0,MIN(IF(Y115='Loan Prepayment'!$E$11,IF('Loan Prepayment'!$E$13="Keep tenure, recalculate EMI",-PMT(AA115/1200,MAX(1,'Loan Prepayment'!$B$7*12-Y115+1),Z115),AB114),AB114),Z115+AC115))</f>
        <v>86782.323336553396</v>
      </c>
      <c r="AC115">
        <f t="shared" si="30"/>
        <v>42675.027337291278</v>
      </c>
      <c r="AD115">
        <f t="shared" si="31"/>
        <v>44107.295999262118</v>
      </c>
      <c r="AE115">
        <f t="shared" si="32"/>
        <v>0</v>
      </c>
      <c r="AF115">
        <f t="shared" si="33"/>
        <v>6783897.077967342</v>
      </c>
      <c r="AG115">
        <v>114</v>
      </c>
      <c r="AH115">
        <f t="shared" si="41"/>
        <v>5418846.4747172436</v>
      </c>
      <c r="AI115">
        <f>IF(AG115&gt;='Loan Prepayment'!$E$11,'Loan Prepayment'!$E$12,'Loan Prepayment'!$B$6)</f>
        <v>7.5</v>
      </c>
      <c r="AJ115">
        <f>IF(AH115&lt;=0,0,MIN(IF(AG115='Loan Prepayment'!$E$11,IF('Loan Prepayment'!$E$13="Keep tenure, recalculate EMI",-PMT(AI115/1200,MAX(1,'Loan Prepayment'!$B$7*12-AG115+1),AH115),AJ114),IF(AND('Loan Prepayment'!$E$15="Reduce EMI",AM114&gt;0),-PMT(AI115/1200,MAX(1,'Loan Prepayment'!$B$7*12-AG115+1),AH115),AJ114)),AH115+AK115))</f>
        <v>77713.634667410894</v>
      </c>
      <c r="AK115">
        <f t="shared" si="34"/>
        <v>33867.790466982769</v>
      </c>
      <c r="AL115">
        <f t="shared" si="35"/>
        <v>43845.844200428124</v>
      </c>
      <c r="AM115">
        <f>IF(AH115&lt;=0,0,MIN(MAX(0,AH115-AL115),SUMIFS('Loan Prepayment'!$B$12:$B$16,'Loan Prepayment'!$A$12:$A$16,AG115)+IF(AND(AG115&gt;='Loan Prepayment'!$B$9,AG115&lt;='Loan Prepayment'!$E$16),'Loan Prepayment'!$B$8,0)))</f>
        <v>0</v>
      </c>
      <c r="AN115">
        <f t="shared" si="36"/>
        <v>5375000.630516815</v>
      </c>
    </row>
    <row r="116" spans="1:40" x14ac:dyDescent="0.35">
      <c r="A116">
        <v>115</v>
      </c>
      <c r="B116">
        <f t="shared" si="37"/>
        <v>7217171.3585092565</v>
      </c>
      <c r="C116" s="78">
        <f>'Loan Prepayment'!$B$6</f>
        <v>8.5</v>
      </c>
      <c r="D116">
        <f>IF(B116&lt;=0,0,MIN(-PMT('Loan Prepayment'!$B$6/1200,'Loan Prepayment'!$B$7*12,'Loan Prepayment'!$B$5),B116+E116))</f>
        <v>86782.323336553396</v>
      </c>
      <c r="E116">
        <f t="shared" si="21"/>
        <v>51121.630456107232</v>
      </c>
      <c r="F116">
        <f t="shared" si="22"/>
        <v>35660.692880446164</v>
      </c>
      <c r="G116">
        <v>0</v>
      </c>
      <c r="H116">
        <f t="shared" si="23"/>
        <v>7181510.6656288104</v>
      </c>
      <c r="I116">
        <v>115</v>
      </c>
      <c r="J116">
        <f t="shared" si="38"/>
        <v>6053507.5280792275</v>
      </c>
      <c r="K116" s="78">
        <f>'Loan Prepayment'!$B$6</f>
        <v>8.5</v>
      </c>
      <c r="L116">
        <f>IF(J116&lt;=0,0,MIN(IF(AND('Loan Prepayment'!$E$15="Reduce EMI",O115&gt;0),-PMT(K116/1200,MAX(1,'Loan Prepayment'!$B$7*12-I116+1),J116),L115),J116+M116))</f>
        <v>72789.936877782937</v>
      </c>
      <c r="M116">
        <f t="shared" si="24"/>
        <v>42879.011657227864</v>
      </c>
      <c r="N116">
        <f t="shared" si="25"/>
        <v>29910.925220555073</v>
      </c>
      <c r="O116">
        <f>IF(J116&lt;=0,0,MIN(MAX(0,J116-N116),SUMIFS('Loan Prepayment'!$B$12:$B$16,'Loan Prepayment'!$A$12:$A$16,I116)+0))</f>
        <v>0</v>
      </c>
      <c r="P116">
        <f t="shared" si="26"/>
        <v>6023596.6028586728</v>
      </c>
      <c r="Q116">
        <v>115</v>
      </c>
      <c r="R116">
        <f t="shared" si="39"/>
        <v>7217171.3585092565</v>
      </c>
      <c r="S116" s="78">
        <f>'Loan Prepayment'!$B$6</f>
        <v>8.5</v>
      </c>
      <c r="T116">
        <f>IF(R116&lt;=0,0,MIN(IF(AND('Loan Prepayment'!$E$15="Reduce EMI",W115&gt;0),-PMT(S116/1200,MAX(1,'Loan Prepayment'!$B$7*12-Q116+1),R116),T115),R116+U116))</f>
        <v>86782.323336553396</v>
      </c>
      <c r="U116">
        <f t="shared" si="27"/>
        <v>51121.630456107232</v>
      </c>
      <c r="V116">
        <f t="shared" si="28"/>
        <v>35660.692880446164</v>
      </c>
      <c r="W116">
        <f>IF(R116&lt;=0,0,MIN(MAX(0,R116-V116),0+IF(AND(Q116&gt;='Loan Prepayment'!$B$9,Q116&lt;='Loan Prepayment'!$E$16),'Loan Prepayment'!$B$8,0)))</f>
        <v>0</v>
      </c>
      <c r="X116">
        <f t="shared" si="29"/>
        <v>7181510.6656288104</v>
      </c>
      <c r="Y116">
        <v>115</v>
      </c>
      <c r="Z116">
        <f t="shared" si="40"/>
        <v>6783897.077967342</v>
      </c>
      <c r="AA116">
        <f>IF(Y116&gt;='Loan Prepayment'!$E$11,'Loan Prepayment'!$E$12,'Loan Prepayment'!$B$6)</f>
        <v>7.5</v>
      </c>
      <c r="AB116">
        <f>IF(Z116&lt;=0,0,MIN(IF(Y116='Loan Prepayment'!$E$11,IF('Loan Prepayment'!$E$13="Keep tenure, recalculate EMI",-PMT(AA116/1200,MAX(1,'Loan Prepayment'!$B$7*12-Y116+1),Z116),AB115),AB115),Z116+AC116))</f>
        <v>86782.323336553396</v>
      </c>
      <c r="AC116">
        <f t="shared" si="30"/>
        <v>42399.356737295886</v>
      </c>
      <c r="AD116">
        <f t="shared" si="31"/>
        <v>44382.96659925751</v>
      </c>
      <c r="AE116">
        <f t="shared" si="32"/>
        <v>0</v>
      </c>
      <c r="AF116">
        <f t="shared" si="33"/>
        <v>6739514.1113680843</v>
      </c>
      <c r="AG116">
        <v>115</v>
      </c>
      <c r="AH116">
        <f t="shared" si="41"/>
        <v>5375000.630516815</v>
      </c>
      <c r="AI116">
        <f>IF(AG116&gt;='Loan Prepayment'!$E$11,'Loan Prepayment'!$E$12,'Loan Prepayment'!$B$6)</f>
        <v>7.5</v>
      </c>
      <c r="AJ116">
        <f>IF(AH116&lt;=0,0,MIN(IF(AG116='Loan Prepayment'!$E$11,IF('Loan Prepayment'!$E$13="Keep tenure, recalculate EMI",-PMT(AI116/1200,MAX(1,'Loan Prepayment'!$B$7*12-AG116+1),AH116),AJ115),IF(AND('Loan Prepayment'!$E$15="Reduce EMI",AM115&gt;0),-PMT(AI116/1200,MAX(1,'Loan Prepayment'!$B$7*12-AG116+1),AH116),AJ115)),AH116+AK116))</f>
        <v>77713.634667410894</v>
      </c>
      <c r="AK116">
        <f t="shared" si="34"/>
        <v>33593.753940730094</v>
      </c>
      <c r="AL116">
        <f t="shared" si="35"/>
        <v>44119.8807266808</v>
      </c>
      <c r="AM116">
        <f>IF(AH116&lt;=0,0,MIN(MAX(0,AH116-AL116),SUMIFS('Loan Prepayment'!$B$12:$B$16,'Loan Prepayment'!$A$12:$A$16,AG116)+IF(AND(AG116&gt;='Loan Prepayment'!$B$9,AG116&lt;='Loan Prepayment'!$E$16),'Loan Prepayment'!$B$8,0)))</f>
        <v>0</v>
      </c>
      <c r="AN116">
        <f t="shared" si="36"/>
        <v>5330880.7497901339</v>
      </c>
    </row>
    <row r="117" spans="1:40" x14ac:dyDescent="0.35">
      <c r="A117">
        <v>116</v>
      </c>
      <c r="B117">
        <f t="shared" si="37"/>
        <v>7181510.6656288104</v>
      </c>
      <c r="C117" s="78">
        <f>'Loan Prepayment'!$B$6</f>
        <v>8.5</v>
      </c>
      <c r="D117">
        <f>IF(B117&lt;=0,0,MIN(-PMT('Loan Prepayment'!$B$6/1200,'Loan Prepayment'!$B$7*12,'Loan Prepayment'!$B$5),B117+E117))</f>
        <v>86782.323336553396</v>
      </c>
      <c r="E117">
        <f t="shared" si="21"/>
        <v>50869.033881537405</v>
      </c>
      <c r="F117">
        <f t="shared" si="22"/>
        <v>35913.289455015991</v>
      </c>
      <c r="G117">
        <v>0</v>
      </c>
      <c r="H117">
        <f t="shared" si="23"/>
        <v>7145597.3761737943</v>
      </c>
      <c r="I117">
        <v>116</v>
      </c>
      <c r="J117">
        <f t="shared" si="38"/>
        <v>6023596.6028586728</v>
      </c>
      <c r="K117" s="78">
        <f>'Loan Prepayment'!$B$6</f>
        <v>8.5</v>
      </c>
      <c r="L117">
        <f>IF(J117&lt;=0,0,MIN(IF(AND('Loan Prepayment'!$E$15="Reduce EMI",O116&gt;0),-PMT(K117/1200,MAX(1,'Loan Prepayment'!$B$7*12-I117+1),J117),L116),J117+M117))</f>
        <v>72789.936877782937</v>
      </c>
      <c r="M117">
        <f t="shared" si="24"/>
        <v>42667.142603582266</v>
      </c>
      <c r="N117">
        <f t="shared" si="25"/>
        <v>30122.794274200671</v>
      </c>
      <c r="O117">
        <f>IF(J117&lt;=0,0,MIN(MAX(0,J117-N117),SUMIFS('Loan Prepayment'!$B$12:$B$16,'Loan Prepayment'!$A$12:$A$16,I117)+0))</f>
        <v>0</v>
      </c>
      <c r="P117">
        <f t="shared" si="26"/>
        <v>5993473.8085844722</v>
      </c>
      <c r="Q117">
        <v>116</v>
      </c>
      <c r="R117">
        <f t="shared" si="39"/>
        <v>7181510.6656288104</v>
      </c>
      <c r="S117" s="78">
        <f>'Loan Prepayment'!$B$6</f>
        <v>8.5</v>
      </c>
      <c r="T117">
        <f>IF(R117&lt;=0,0,MIN(IF(AND('Loan Prepayment'!$E$15="Reduce EMI",W116&gt;0),-PMT(S117/1200,MAX(1,'Loan Prepayment'!$B$7*12-Q117+1),R117),T116),R117+U117))</f>
        <v>86782.323336553396</v>
      </c>
      <c r="U117">
        <f t="shared" si="27"/>
        <v>50869.033881537405</v>
      </c>
      <c r="V117">
        <f t="shared" si="28"/>
        <v>35913.289455015991</v>
      </c>
      <c r="W117">
        <f>IF(R117&lt;=0,0,MIN(MAX(0,R117-V117),0+IF(AND(Q117&gt;='Loan Prepayment'!$B$9,Q117&lt;='Loan Prepayment'!$E$16),'Loan Prepayment'!$B$8,0)))</f>
        <v>0</v>
      </c>
      <c r="X117">
        <f t="shared" si="29"/>
        <v>7145597.3761737943</v>
      </c>
      <c r="Y117">
        <v>116</v>
      </c>
      <c r="Z117">
        <f t="shared" si="40"/>
        <v>6739514.1113680843</v>
      </c>
      <c r="AA117">
        <f>IF(Y117&gt;='Loan Prepayment'!$E$11,'Loan Prepayment'!$E$12,'Loan Prepayment'!$B$6)</f>
        <v>7.5</v>
      </c>
      <c r="AB117">
        <f>IF(Z117&lt;=0,0,MIN(IF(Y117='Loan Prepayment'!$E$11,IF('Loan Prepayment'!$E$13="Keep tenure, recalculate EMI",-PMT(AA117/1200,MAX(1,'Loan Prepayment'!$B$7*12-Y117+1),Z117),AB116),AB116),Z117+AC117))</f>
        <v>86782.323336553396</v>
      </c>
      <c r="AC117">
        <f t="shared" si="30"/>
        <v>42121.963196050521</v>
      </c>
      <c r="AD117">
        <f t="shared" si="31"/>
        <v>44660.360140502875</v>
      </c>
      <c r="AE117">
        <f t="shared" si="32"/>
        <v>0</v>
      </c>
      <c r="AF117">
        <f t="shared" si="33"/>
        <v>6694853.7512275819</v>
      </c>
      <c r="AG117">
        <v>116</v>
      </c>
      <c r="AH117">
        <f t="shared" si="41"/>
        <v>5330880.7497901339</v>
      </c>
      <c r="AI117">
        <f>IF(AG117&gt;='Loan Prepayment'!$E$11,'Loan Prepayment'!$E$12,'Loan Prepayment'!$B$6)</f>
        <v>7.5</v>
      </c>
      <c r="AJ117">
        <f>IF(AH117&lt;=0,0,MIN(IF(AG117='Loan Prepayment'!$E$11,IF('Loan Prepayment'!$E$13="Keep tenure, recalculate EMI",-PMT(AI117/1200,MAX(1,'Loan Prepayment'!$B$7*12-AG117+1),AH117),AJ116),IF(AND('Loan Prepayment'!$E$15="Reduce EMI",AM116&gt;0),-PMT(AI117/1200,MAX(1,'Loan Prepayment'!$B$7*12-AG117+1),AH117),AJ116)),AH117+AK117))</f>
        <v>77713.634667410894</v>
      </c>
      <c r="AK117">
        <f t="shared" si="34"/>
        <v>33318.004686188338</v>
      </c>
      <c r="AL117">
        <f t="shared" si="35"/>
        <v>44395.629981222555</v>
      </c>
      <c r="AM117">
        <f>IF(AH117&lt;=0,0,MIN(MAX(0,AH117-AL117),SUMIFS('Loan Prepayment'!$B$12:$B$16,'Loan Prepayment'!$A$12:$A$16,AG117)+IF(AND(AG117&gt;='Loan Prepayment'!$B$9,AG117&lt;='Loan Prepayment'!$E$16),'Loan Prepayment'!$B$8,0)))</f>
        <v>0</v>
      </c>
      <c r="AN117">
        <f t="shared" si="36"/>
        <v>5286485.1198089113</v>
      </c>
    </row>
    <row r="118" spans="1:40" x14ac:dyDescent="0.35">
      <c r="A118">
        <v>117</v>
      </c>
      <c r="B118">
        <f t="shared" si="37"/>
        <v>7145597.3761737943</v>
      </c>
      <c r="C118" s="78">
        <f>'Loan Prepayment'!$B$6</f>
        <v>8.5</v>
      </c>
      <c r="D118">
        <f>IF(B118&lt;=0,0,MIN(-PMT('Loan Prepayment'!$B$6/1200,'Loan Prepayment'!$B$7*12,'Loan Prepayment'!$B$5),B118+E118))</f>
        <v>86782.323336553396</v>
      </c>
      <c r="E118">
        <f t="shared" si="21"/>
        <v>50614.64808123104</v>
      </c>
      <c r="F118">
        <f t="shared" si="22"/>
        <v>36167.675255322356</v>
      </c>
      <c r="G118">
        <v>0</v>
      </c>
      <c r="H118">
        <f t="shared" si="23"/>
        <v>7109429.7009184724</v>
      </c>
      <c r="I118">
        <v>117</v>
      </c>
      <c r="J118">
        <f t="shared" si="38"/>
        <v>5993473.8085844722</v>
      </c>
      <c r="K118" s="78">
        <f>'Loan Prepayment'!$B$6</f>
        <v>8.5</v>
      </c>
      <c r="L118">
        <f>IF(J118&lt;=0,0,MIN(IF(AND('Loan Prepayment'!$E$15="Reduce EMI",O117&gt;0),-PMT(K118/1200,MAX(1,'Loan Prepayment'!$B$7*12-I118+1),J118),L117),J118+M118))</f>
        <v>72789.936877782937</v>
      </c>
      <c r="M118">
        <f t="shared" si="24"/>
        <v>42453.772810806673</v>
      </c>
      <c r="N118">
        <f t="shared" si="25"/>
        <v>30336.164066976264</v>
      </c>
      <c r="O118">
        <f>IF(J118&lt;=0,0,MIN(MAX(0,J118-N118),SUMIFS('Loan Prepayment'!$B$12:$B$16,'Loan Prepayment'!$A$12:$A$16,I118)+0))</f>
        <v>0</v>
      </c>
      <c r="P118">
        <f t="shared" si="26"/>
        <v>5963137.6445174962</v>
      </c>
      <c r="Q118">
        <v>117</v>
      </c>
      <c r="R118">
        <f t="shared" si="39"/>
        <v>7145597.3761737943</v>
      </c>
      <c r="S118" s="78">
        <f>'Loan Prepayment'!$B$6</f>
        <v>8.5</v>
      </c>
      <c r="T118">
        <f>IF(R118&lt;=0,0,MIN(IF(AND('Loan Prepayment'!$E$15="Reduce EMI",W117&gt;0),-PMT(S118/1200,MAX(1,'Loan Prepayment'!$B$7*12-Q118+1),R118),T117),R118+U118))</f>
        <v>86782.323336553396</v>
      </c>
      <c r="U118">
        <f t="shared" si="27"/>
        <v>50614.64808123104</v>
      </c>
      <c r="V118">
        <f t="shared" si="28"/>
        <v>36167.675255322356</v>
      </c>
      <c r="W118">
        <f>IF(R118&lt;=0,0,MIN(MAX(0,R118-V118),0+IF(AND(Q118&gt;='Loan Prepayment'!$B$9,Q118&lt;='Loan Prepayment'!$E$16),'Loan Prepayment'!$B$8,0)))</f>
        <v>0</v>
      </c>
      <c r="X118">
        <f t="shared" si="29"/>
        <v>7109429.7009184724</v>
      </c>
      <c r="Y118">
        <v>117</v>
      </c>
      <c r="Z118">
        <f t="shared" si="40"/>
        <v>6694853.7512275819</v>
      </c>
      <c r="AA118">
        <f>IF(Y118&gt;='Loan Prepayment'!$E$11,'Loan Prepayment'!$E$12,'Loan Prepayment'!$B$6)</f>
        <v>7.5</v>
      </c>
      <c r="AB118">
        <f>IF(Z118&lt;=0,0,MIN(IF(Y118='Loan Prepayment'!$E$11,IF('Loan Prepayment'!$E$13="Keep tenure, recalculate EMI",-PMT(AA118/1200,MAX(1,'Loan Prepayment'!$B$7*12-Y118+1),Z118),AB117),AB117),Z118+AC118))</f>
        <v>86782.323336553396</v>
      </c>
      <c r="AC118">
        <f t="shared" si="30"/>
        <v>41842.835945172381</v>
      </c>
      <c r="AD118">
        <f t="shared" si="31"/>
        <v>44939.487391381015</v>
      </c>
      <c r="AE118">
        <f t="shared" si="32"/>
        <v>0</v>
      </c>
      <c r="AF118">
        <f t="shared" si="33"/>
        <v>6649914.2638362013</v>
      </c>
      <c r="AG118">
        <v>117</v>
      </c>
      <c r="AH118">
        <f t="shared" si="41"/>
        <v>5286485.1198089113</v>
      </c>
      <c r="AI118">
        <f>IF(AG118&gt;='Loan Prepayment'!$E$11,'Loan Prepayment'!$E$12,'Loan Prepayment'!$B$6)</f>
        <v>7.5</v>
      </c>
      <c r="AJ118">
        <f>IF(AH118&lt;=0,0,MIN(IF(AG118='Loan Prepayment'!$E$11,IF('Loan Prepayment'!$E$13="Keep tenure, recalculate EMI",-PMT(AI118/1200,MAX(1,'Loan Prepayment'!$B$7*12-AG118+1),AH118),AJ117),IF(AND('Loan Prepayment'!$E$15="Reduce EMI",AM117&gt;0),-PMT(AI118/1200,MAX(1,'Loan Prepayment'!$B$7*12-AG118+1),AH118),AJ117)),AH118+AK118))</f>
        <v>77713.634667410894</v>
      </c>
      <c r="AK118">
        <f t="shared" si="34"/>
        <v>33040.531998805694</v>
      </c>
      <c r="AL118">
        <f t="shared" si="35"/>
        <v>44673.102668605199</v>
      </c>
      <c r="AM118">
        <f>IF(AH118&lt;=0,0,MIN(MAX(0,AH118-AL118),SUMIFS('Loan Prepayment'!$B$12:$B$16,'Loan Prepayment'!$A$12:$A$16,AG118)+IF(AND(AG118&gt;='Loan Prepayment'!$B$9,AG118&lt;='Loan Prepayment'!$E$16),'Loan Prepayment'!$B$8,0)))</f>
        <v>0</v>
      </c>
      <c r="AN118">
        <f t="shared" si="36"/>
        <v>5241812.0171403065</v>
      </c>
    </row>
    <row r="119" spans="1:40" x14ac:dyDescent="0.35">
      <c r="A119">
        <v>118</v>
      </c>
      <c r="B119">
        <f t="shared" si="37"/>
        <v>7109429.7009184724</v>
      </c>
      <c r="C119" s="78">
        <f>'Loan Prepayment'!$B$6</f>
        <v>8.5</v>
      </c>
      <c r="D119">
        <f>IF(B119&lt;=0,0,MIN(-PMT('Loan Prepayment'!$B$6/1200,'Loan Prepayment'!$B$7*12,'Loan Prepayment'!$B$5),B119+E119))</f>
        <v>86782.323336553396</v>
      </c>
      <c r="E119">
        <f t="shared" si="21"/>
        <v>50358.460381505844</v>
      </c>
      <c r="F119">
        <f t="shared" si="22"/>
        <v>36423.862955047553</v>
      </c>
      <c r="G119">
        <v>0</v>
      </c>
      <c r="H119">
        <f t="shared" si="23"/>
        <v>7073005.8379634246</v>
      </c>
      <c r="I119">
        <v>118</v>
      </c>
      <c r="J119">
        <f t="shared" si="38"/>
        <v>5963137.6445174962</v>
      </c>
      <c r="K119" s="78">
        <f>'Loan Prepayment'!$B$6</f>
        <v>8.5</v>
      </c>
      <c r="L119">
        <f>IF(J119&lt;=0,0,MIN(IF(AND('Loan Prepayment'!$E$15="Reduce EMI",O118&gt;0),-PMT(K119/1200,MAX(1,'Loan Prepayment'!$B$7*12-I119+1),J119),L118),J119+M119))</f>
        <v>72789.936877782937</v>
      </c>
      <c r="M119">
        <f t="shared" si="24"/>
        <v>42238.891648665602</v>
      </c>
      <c r="N119">
        <f t="shared" si="25"/>
        <v>30551.045229117335</v>
      </c>
      <c r="O119">
        <f>IF(J119&lt;=0,0,MIN(MAX(0,J119-N119),SUMIFS('Loan Prepayment'!$B$12:$B$16,'Loan Prepayment'!$A$12:$A$16,I119)+0))</f>
        <v>0</v>
      </c>
      <c r="P119">
        <f t="shared" si="26"/>
        <v>5932586.5992883788</v>
      </c>
      <c r="Q119">
        <v>118</v>
      </c>
      <c r="R119">
        <f t="shared" si="39"/>
        <v>7109429.7009184724</v>
      </c>
      <c r="S119" s="78">
        <f>'Loan Prepayment'!$B$6</f>
        <v>8.5</v>
      </c>
      <c r="T119">
        <f>IF(R119&lt;=0,0,MIN(IF(AND('Loan Prepayment'!$E$15="Reduce EMI",W118&gt;0),-PMT(S119/1200,MAX(1,'Loan Prepayment'!$B$7*12-Q119+1),R119),T118),R119+U119))</f>
        <v>86782.323336553396</v>
      </c>
      <c r="U119">
        <f t="shared" si="27"/>
        <v>50358.460381505844</v>
      </c>
      <c r="V119">
        <f t="shared" si="28"/>
        <v>36423.862955047553</v>
      </c>
      <c r="W119">
        <f>IF(R119&lt;=0,0,MIN(MAX(0,R119-V119),0+IF(AND(Q119&gt;='Loan Prepayment'!$B$9,Q119&lt;='Loan Prepayment'!$E$16),'Loan Prepayment'!$B$8,0)))</f>
        <v>0</v>
      </c>
      <c r="X119">
        <f t="shared" si="29"/>
        <v>7073005.8379634246</v>
      </c>
      <c r="Y119">
        <v>118</v>
      </c>
      <c r="Z119">
        <f t="shared" si="40"/>
        <v>6649914.2638362013</v>
      </c>
      <c r="AA119">
        <f>IF(Y119&gt;='Loan Prepayment'!$E$11,'Loan Prepayment'!$E$12,'Loan Prepayment'!$B$6)</f>
        <v>7.5</v>
      </c>
      <c r="AB119">
        <f>IF(Z119&lt;=0,0,MIN(IF(Y119='Loan Prepayment'!$E$11,IF('Loan Prepayment'!$E$13="Keep tenure, recalculate EMI",-PMT(AA119/1200,MAX(1,'Loan Prepayment'!$B$7*12-Y119+1),Z119),AB118),AB118),Z119+AC119))</f>
        <v>86782.323336553396</v>
      </c>
      <c r="AC119">
        <f t="shared" si="30"/>
        <v>41561.964148976258</v>
      </c>
      <c r="AD119">
        <f t="shared" si="31"/>
        <v>45220.359187577138</v>
      </c>
      <c r="AE119">
        <f t="shared" si="32"/>
        <v>0</v>
      </c>
      <c r="AF119">
        <f t="shared" si="33"/>
        <v>6604693.9046486244</v>
      </c>
      <c r="AG119">
        <v>118</v>
      </c>
      <c r="AH119">
        <f t="shared" si="41"/>
        <v>5241812.0171403065</v>
      </c>
      <c r="AI119">
        <f>IF(AG119&gt;='Loan Prepayment'!$E$11,'Loan Prepayment'!$E$12,'Loan Prepayment'!$B$6)</f>
        <v>7.5</v>
      </c>
      <c r="AJ119">
        <f>IF(AH119&lt;=0,0,MIN(IF(AG119='Loan Prepayment'!$E$11,IF('Loan Prepayment'!$E$13="Keep tenure, recalculate EMI",-PMT(AI119/1200,MAX(1,'Loan Prepayment'!$B$7*12-AG119+1),AH119),AJ118),IF(AND('Loan Prepayment'!$E$15="Reduce EMI",AM118&gt;0),-PMT(AI119/1200,MAX(1,'Loan Prepayment'!$B$7*12-AG119+1),AH119),AJ118)),AH119+AK119))</f>
        <v>77713.634667410894</v>
      </c>
      <c r="AK119">
        <f t="shared" si="34"/>
        <v>32761.325107126919</v>
      </c>
      <c r="AL119">
        <f t="shared" si="35"/>
        <v>44952.309560283975</v>
      </c>
      <c r="AM119">
        <f>IF(AH119&lt;=0,0,MIN(MAX(0,AH119-AL119),SUMIFS('Loan Prepayment'!$B$12:$B$16,'Loan Prepayment'!$A$12:$A$16,AG119)+IF(AND(AG119&gt;='Loan Prepayment'!$B$9,AG119&lt;='Loan Prepayment'!$E$16),'Loan Prepayment'!$B$8,0)))</f>
        <v>0</v>
      </c>
      <c r="AN119">
        <f t="shared" si="36"/>
        <v>5196859.7075800225</v>
      </c>
    </row>
    <row r="120" spans="1:40" x14ac:dyDescent="0.35">
      <c r="A120">
        <v>119</v>
      </c>
      <c r="B120">
        <f t="shared" si="37"/>
        <v>7073005.8379634246</v>
      </c>
      <c r="C120" s="78">
        <f>'Loan Prepayment'!$B$6</f>
        <v>8.5</v>
      </c>
      <c r="D120">
        <f>IF(B120&lt;=0,0,MIN(-PMT('Loan Prepayment'!$B$6/1200,'Loan Prepayment'!$B$7*12,'Loan Prepayment'!$B$5),B120+E120))</f>
        <v>86782.323336553396</v>
      </c>
      <c r="E120">
        <f t="shared" si="21"/>
        <v>50100.458018907593</v>
      </c>
      <c r="F120">
        <f t="shared" si="22"/>
        <v>36681.865317645803</v>
      </c>
      <c r="G120">
        <v>0</v>
      </c>
      <c r="H120">
        <f t="shared" si="23"/>
        <v>7036323.9726457791</v>
      </c>
      <c r="I120">
        <v>119</v>
      </c>
      <c r="J120">
        <f t="shared" si="38"/>
        <v>5932586.5992883788</v>
      </c>
      <c r="K120" s="78">
        <f>'Loan Prepayment'!$B$6</f>
        <v>8.5</v>
      </c>
      <c r="L120">
        <f>IF(J120&lt;=0,0,MIN(IF(AND('Loan Prepayment'!$E$15="Reduce EMI",O119&gt;0),-PMT(K120/1200,MAX(1,'Loan Prepayment'!$B$7*12-I120+1),J120),L119),J120+M120))</f>
        <v>72789.936877782937</v>
      </c>
      <c r="M120">
        <f t="shared" si="24"/>
        <v>42022.488411626015</v>
      </c>
      <c r="N120">
        <f t="shared" si="25"/>
        <v>30767.448466156922</v>
      </c>
      <c r="O120">
        <f>IF(J120&lt;=0,0,MIN(MAX(0,J120-N120),SUMIFS('Loan Prepayment'!$B$12:$B$16,'Loan Prepayment'!$A$12:$A$16,I120)+0))</f>
        <v>0</v>
      </c>
      <c r="P120">
        <f t="shared" si="26"/>
        <v>5901819.1508222222</v>
      </c>
      <c r="Q120">
        <v>119</v>
      </c>
      <c r="R120">
        <f t="shared" si="39"/>
        <v>7073005.8379634246</v>
      </c>
      <c r="S120" s="78">
        <f>'Loan Prepayment'!$B$6</f>
        <v>8.5</v>
      </c>
      <c r="T120">
        <f>IF(R120&lt;=0,0,MIN(IF(AND('Loan Prepayment'!$E$15="Reduce EMI",W119&gt;0),-PMT(S120/1200,MAX(1,'Loan Prepayment'!$B$7*12-Q120+1),R120),T119),R120+U120))</f>
        <v>86782.323336553396</v>
      </c>
      <c r="U120">
        <f t="shared" si="27"/>
        <v>50100.458018907593</v>
      </c>
      <c r="V120">
        <f t="shared" si="28"/>
        <v>36681.865317645803</v>
      </c>
      <c r="W120">
        <f>IF(R120&lt;=0,0,MIN(MAX(0,R120-V120),0+IF(AND(Q120&gt;='Loan Prepayment'!$B$9,Q120&lt;='Loan Prepayment'!$E$16),'Loan Prepayment'!$B$8,0)))</f>
        <v>0</v>
      </c>
      <c r="X120">
        <f t="shared" si="29"/>
        <v>7036323.9726457791</v>
      </c>
      <c r="Y120">
        <v>119</v>
      </c>
      <c r="Z120">
        <f t="shared" si="40"/>
        <v>6604693.9046486244</v>
      </c>
      <c r="AA120">
        <f>IF(Y120&gt;='Loan Prepayment'!$E$11,'Loan Prepayment'!$E$12,'Loan Prepayment'!$B$6)</f>
        <v>7.5</v>
      </c>
      <c r="AB120">
        <f>IF(Z120&lt;=0,0,MIN(IF(Y120='Loan Prepayment'!$E$11,IF('Loan Prepayment'!$E$13="Keep tenure, recalculate EMI",-PMT(AA120/1200,MAX(1,'Loan Prepayment'!$B$7*12-Y120+1),Z120),AB119),AB119),Z120+AC120))</f>
        <v>86782.323336553396</v>
      </c>
      <c r="AC120">
        <f t="shared" si="30"/>
        <v>41279.336904053896</v>
      </c>
      <c r="AD120">
        <f t="shared" si="31"/>
        <v>45502.9864324995</v>
      </c>
      <c r="AE120">
        <f t="shared" si="32"/>
        <v>0</v>
      </c>
      <c r="AF120">
        <f t="shared" si="33"/>
        <v>6559190.9182161251</v>
      </c>
      <c r="AG120">
        <v>119</v>
      </c>
      <c r="AH120">
        <f t="shared" si="41"/>
        <v>5196859.7075800225</v>
      </c>
      <c r="AI120">
        <f>IF(AG120&gt;='Loan Prepayment'!$E$11,'Loan Prepayment'!$E$12,'Loan Prepayment'!$B$6)</f>
        <v>7.5</v>
      </c>
      <c r="AJ120">
        <f>IF(AH120&lt;=0,0,MIN(IF(AG120='Loan Prepayment'!$E$11,IF('Loan Prepayment'!$E$13="Keep tenure, recalculate EMI",-PMT(AI120/1200,MAX(1,'Loan Prepayment'!$B$7*12-AG120+1),AH120),AJ119),IF(AND('Loan Prepayment'!$E$15="Reduce EMI",AM119&gt;0),-PMT(AI120/1200,MAX(1,'Loan Prepayment'!$B$7*12-AG120+1),AH120),AJ119)),AH120+AK120))</f>
        <v>77713.634667410894</v>
      </c>
      <c r="AK120">
        <f t="shared" si="34"/>
        <v>32480.373172375137</v>
      </c>
      <c r="AL120">
        <f t="shared" si="35"/>
        <v>45233.261495035753</v>
      </c>
      <c r="AM120">
        <f>IF(AH120&lt;=0,0,MIN(MAX(0,AH120-AL120),SUMIFS('Loan Prepayment'!$B$12:$B$16,'Loan Prepayment'!$A$12:$A$16,AG120)+IF(AND(AG120&gt;='Loan Prepayment'!$B$9,AG120&lt;='Loan Prepayment'!$E$16),'Loan Prepayment'!$B$8,0)))</f>
        <v>0</v>
      </c>
      <c r="AN120">
        <f t="shared" si="36"/>
        <v>5151626.4460849864</v>
      </c>
    </row>
    <row r="121" spans="1:40" x14ac:dyDescent="0.35">
      <c r="A121">
        <v>120</v>
      </c>
      <c r="B121">
        <f t="shared" si="37"/>
        <v>7036323.9726457791</v>
      </c>
      <c r="C121" s="78">
        <f>'Loan Prepayment'!$B$6</f>
        <v>8.5</v>
      </c>
      <c r="D121">
        <f>IF(B121&lt;=0,0,MIN(-PMT('Loan Prepayment'!$B$6/1200,'Loan Prepayment'!$B$7*12,'Loan Prepayment'!$B$5),B121+E121))</f>
        <v>86782.323336553396</v>
      </c>
      <c r="E121">
        <f t="shared" si="21"/>
        <v>49840.62813957427</v>
      </c>
      <c r="F121">
        <f t="shared" si="22"/>
        <v>36941.695196979126</v>
      </c>
      <c r="G121">
        <v>0</v>
      </c>
      <c r="H121">
        <f t="shared" si="23"/>
        <v>6999382.2774488004</v>
      </c>
      <c r="I121">
        <v>120</v>
      </c>
      <c r="J121">
        <f t="shared" si="38"/>
        <v>5901819.1508222222</v>
      </c>
      <c r="K121" s="78">
        <f>'Loan Prepayment'!$B$6</f>
        <v>8.5</v>
      </c>
      <c r="L121">
        <f>IF(J121&lt;=0,0,MIN(IF(AND('Loan Prepayment'!$E$15="Reduce EMI",O120&gt;0),-PMT(K121/1200,MAX(1,'Loan Prepayment'!$B$7*12-I121+1),J121),L120),J121+M121))</f>
        <v>72789.936877782937</v>
      </c>
      <c r="M121">
        <f t="shared" si="24"/>
        <v>41804.552318324073</v>
      </c>
      <c r="N121">
        <f t="shared" si="25"/>
        <v>30985.384559458864</v>
      </c>
      <c r="O121">
        <f>IF(J121&lt;=0,0,MIN(MAX(0,J121-N121),SUMIFS('Loan Prepayment'!$B$12:$B$16,'Loan Prepayment'!$A$12:$A$16,I121)+0))</f>
        <v>0</v>
      </c>
      <c r="P121">
        <f t="shared" si="26"/>
        <v>5870833.7662627632</v>
      </c>
      <c r="Q121">
        <v>120</v>
      </c>
      <c r="R121">
        <f t="shared" si="39"/>
        <v>7036323.9726457791</v>
      </c>
      <c r="S121" s="78">
        <f>'Loan Prepayment'!$B$6</f>
        <v>8.5</v>
      </c>
      <c r="T121">
        <f>IF(R121&lt;=0,0,MIN(IF(AND('Loan Prepayment'!$E$15="Reduce EMI",W120&gt;0),-PMT(S121/1200,MAX(1,'Loan Prepayment'!$B$7*12-Q121+1),R121),T120),R121+U121))</f>
        <v>86782.323336553396</v>
      </c>
      <c r="U121">
        <f t="shared" si="27"/>
        <v>49840.62813957427</v>
      </c>
      <c r="V121">
        <f t="shared" si="28"/>
        <v>36941.695196979126</v>
      </c>
      <c r="W121">
        <f>IF(R121&lt;=0,0,MIN(MAX(0,R121-V121),0+IF(AND(Q121&gt;='Loan Prepayment'!$B$9,Q121&lt;='Loan Prepayment'!$E$16),'Loan Prepayment'!$B$8,0)))</f>
        <v>0</v>
      </c>
      <c r="X121">
        <f t="shared" si="29"/>
        <v>6999382.2774488004</v>
      </c>
      <c r="Y121">
        <v>120</v>
      </c>
      <c r="Z121">
        <f t="shared" si="40"/>
        <v>6559190.9182161251</v>
      </c>
      <c r="AA121">
        <f>IF(Y121&gt;='Loan Prepayment'!$E$11,'Loan Prepayment'!$E$12,'Loan Prepayment'!$B$6)</f>
        <v>7.5</v>
      </c>
      <c r="AB121">
        <f>IF(Z121&lt;=0,0,MIN(IF(Y121='Loan Prepayment'!$E$11,IF('Loan Prepayment'!$E$13="Keep tenure, recalculate EMI",-PMT(AA121/1200,MAX(1,'Loan Prepayment'!$B$7*12-Y121+1),Z121),AB120),AB120),Z121+AC121))</f>
        <v>86782.323336553396</v>
      </c>
      <c r="AC121">
        <f t="shared" si="30"/>
        <v>40994.943238850785</v>
      </c>
      <c r="AD121">
        <f t="shared" si="31"/>
        <v>45787.380097702611</v>
      </c>
      <c r="AE121">
        <f t="shared" si="32"/>
        <v>0</v>
      </c>
      <c r="AF121">
        <f t="shared" si="33"/>
        <v>6513403.538118422</v>
      </c>
      <c r="AG121">
        <v>120</v>
      </c>
      <c r="AH121">
        <f t="shared" si="41"/>
        <v>5151626.4460849864</v>
      </c>
      <c r="AI121">
        <f>IF(AG121&gt;='Loan Prepayment'!$E$11,'Loan Prepayment'!$E$12,'Loan Prepayment'!$B$6)</f>
        <v>7.5</v>
      </c>
      <c r="AJ121">
        <f>IF(AH121&lt;=0,0,MIN(IF(AG121='Loan Prepayment'!$E$11,IF('Loan Prepayment'!$E$13="Keep tenure, recalculate EMI",-PMT(AI121/1200,MAX(1,'Loan Prepayment'!$B$7*12-AG121+1),AH121),AJ120),IF(AND('Loan Prepayment'!$E$15="Reduce EMI",AM120&gt;0),-PMT(AI121/1200,MAX(1,'Loan Prepayment'!$B$7*12-AG121+1),AH121),AJ120)),AH121+AK121))</f>
        <v>77713.634667410894</v>
      </c>
      <c r="AK121">
        <f t="shared" si="34"/>
        <v>32197.665288031163</v>
      </c>
      <c r="AL121">
        <f t="shared" si="35"/>
        <v>45515.969379379734</v>
      </c>
      <c r="AM121">
        <f>IF(AH121&lt;=0,0,MIN(MAX(0,AH121-AL121),SUMIFS('Loan Prepayment'!$B$12:$B$16,'Loan Prepayment'!$A$12:$A$16,AG121)+IF(AND(AG121&gt;='Loan Prepayment'!$B$9,AG121&lt;='Loan Prepayment'!$E$16),'Loan Prepayment'!$B$8,0)))</f>
        <v>0</v>
      </c>
      <c r="AN121">
        <f t="shared" si="36"/>
        <v>5106110.476705607</v>
      </c>
    </row>
    <row r="122" spans="1:40" x14ac:dyDescent="0.35">
      <c r="A122">
        <v>121</v>
      </c>
      <c r="B122">
        <f t="shared" si="37"/>
        <v>6999382.2774488004</v>
      </c>
      <c r="C122" s="78">
        <f>'Loan Prepayment'!$B$6</f>
        <v>8.5</v>
      </c>
      <c r="D122">
        <f>IF(B122&lt;=0,0,MIN(-PMT('Loan Prepayment'!$B$6/1200,'Loan Prepayment'!$B$7*12,'Loan Prepayment'!$B$5),B122+E122))</f>
        <v>86782.323336553396</v>
      </c>
      <c r="E122">
        <f t="shared" si="21"/>
        <v>49578.957798595671</v>
      </c>
      <c r="F122">
        <f t="shared" si="22"/>
        <v>37203.365537957725</v>
      </c>
      <c r="G122">
        <v>0</v>
      </c>
      <c r="H122">
        <f t="shared" si="23"/>
        <v>6962178.9119108431</v>
      </c>
      <c r="I122">
        <v>121</v>
      </c>
      <c r="J122">
        <f t="shared" si="38"/>
        <v>5870833.7662627632</v>
      </c>
      <c r="K122" s="78">
        <f>'Loan Prepayment'!$B$6</f>
        <v>8.5</v>
      </c>
      <c r="L122">
        <f>IF(J122&lt;=0,0,MIN(IF(AND('Loan Prepayment'!$E$15="Reduce EMI",O121&gt;0),-PMT(K122/1200,MAX(1,'Loan Prepayment'!$B$7*12-I122+1),J122),L121),J122+M122))</f>
        <v>72789.936877782937</v>
      </c>
      <c r="M122">
        <f t="shared" si="24"/>
        <v>41585.072511027909</v>
      </c>
      <c r="N122">
        <f t="shared" si="25"/>
        <v>31204.864366755028</v>
      </c>
      <c r="O122">
        <f>IF(J122&lt;=0,0,MIN(MAX(0,J122-N122),SUMIFS('Loan Prepayment'!$B$12:$B$16,'Loan Prepayment'!$A$12:$A$16,I122)+0))</f>
        <v>0</v>
      </c>
      <c r="P122">
        <f t="shared" si="26"/>
        <v>5839628.9018960083</v>
      </c>
      <c r="Q122">
        <v>121</v>
      </c>
      <c r="R122">
        <f t="shared" si="39"/>
        <v>6999382.2774488004</v>
      </c>
      <c r="S122" s="78">
        <f>'Loan Prepayment'!$B$6</f>
        <v>8.5</v>
      </c>
      <c r="T122">
        <f>IF(R122&lt;=0,0,MIN(IF(AND('Loan Prepayment'!$E$15="Reduce EMI",W121&gt;0),-PMT(S122/1200,MAX(1,'Loan Prepayment'!$B$7*12-Q122+1),R122),T121),R122+U122))</f>
        <v>86782.323336553396</v>
      </c>
      <c r="U122">
        <f t="shared" si="27"/>
        <v>49578.957798595671</v>
      </c>
      <c r="V122">
        <f t="shared" si="28"/>
        <v>37203.365537957725</v>
      </c>
      <c r="W122">
        <f>IF(R122&lt;=0,0,MIN(MAX(0,R122-V122),0+IF(AND(Q122&gt;='Loan Prepayment'!$B$9,Q122&lt;='Loan Prepayment'!$E$16),'Loan Prepayment'!$B$8,0)))</f>
        <v>0</v>
      </c>
      <c r="X122">
        <f t="shared" si="29"/>
        <v>6962178.9119108431</v>
      </c>
      <c r="Y122">
        <v>121</v>
      </c>
      <c r="Z122">
        <f t="shared" si="40"/>
        <v>6513403.538118422</v>
      </c>
      <c r="AA122">
        <f>IF(Y122&gt;='Loan Prepayment'!$E$11,'Loan Prepayment'!$E$12,'Loan Prepayment'!$B$6)</f>
        <v>7.5</v>
      </c>
      <c r="AB122">
        <f>IF(Z122&lt;=0,0,MIN(IF(Y122='Loan Prepayment'!$E$11,IF('Loan Prepayment'!$E$13="Keep tenure, recalculate EMI",-PMT(AA122/1200,MAX(1,'Loan Prepayment'!$B$7*12-Y122+1),Z122),AB121),AB121),Z122+AC122))</f>
        <v>86782.323336553396</v>
      </c>
      <c r="AC122">
        <f t="shared" si="30"/>
        <v>40708.772113240135</v>
      </c>
      <c r="AD122">
        <f t="shared" si="31"/>
        <v>46073.551223313261</v>
      </c>
      <c r="AE122">
        <f t="shared" si="32"/>
        <v>0</v>
      </c>
      <c r="AF122">
        <f t="shared" si="33"/>
        <v>6467329.9868951086</v>
      </c>
      <c r="AG122">
        <v>121</v>
      </c>
      <c r="AH122">
        <f t="shared" si="41"/>
        <v>5106110.476705607</v>
      </c>
      <c r="AI122">
        <f>IF(AG122&gt;='Loan Prepayment'!$E$11,'Loan Prepayment'!$E$12,'Loan Prepayment'!$B$6)</f>
        <v>7.5</v>
      </c>
      <c r="AJ122">
        <f>IF(AH122&lt;=0,0,MIN(IF(AG122='Loan Prepayment'!$E$11,IF('Loan Prepayment'!$E$13="Keep tenure, recalculate EMI",-PMT(AI122/1200,MAX(1,'Loan Prepayment'!$B$7*12-AG122+1),AH122),AJ121),IF(AND('Loan Prepayment'!$E$15="Reduce EMI",AM121&gt;0),-PMT(AI122/1200,MAX(1,'Loan Prepayment'!$B$7*12-AG122+1),AH122),AJ121)),AH122+AK122))</f>
        <v>77713.634667410894</v>
      </c>
      <c r="AK122">
        <f t="shared" si="34"/>
        <v>31913.190479410041</v>
      </c>
      <c r="AL122">
        <f t="shared" si="35"/>
        <v>45800.444188000853</v>
      </c>
      <c r="AM122">
        <f>IF(AH122&lt;=0,0,MIN(MAX(0,AH122-AL122),SUMIFS('Loan Prepayment'!$B$12:$B$16,'Loan Prepayment'!$A$12:$A$16,AG122)+IF(AND(AG122&gt;='Loan Prepayment'!$B$9,AG122&lt;='Loan Prepayment'!$E$16),'Loan Prepayment'!$B$8,0)))</f>
        <v>0</v>
      </c>
      <c r="AN122">
        <f t="shared" si="36"/>
        <v>5060310.0325176064</v>
      </c>
    </row>
    <row r="123" spans="1:40" x14ac:dyDescent="0.35">
      <c r="A123">
        <v>122</v>
      </c>
      <c r="B123">
        <f t="shared" si="37"/>
        <v>6962178.9119108431</v>
      </c>
      <c r="C123" s="78">
        <f>'Loan Prepayment'!$B$6</f>
        <v>8.5</v>
      </c>
      <c r="D123">
        <f>IF(B123&lt;=0,0,MIN(-PMT('Loan Prepayment'!$B$6/1200,'Loan Prepayment'!$B$7*12,'Loan Prepayment'!$B$5),B123+E123))</f>
        <v>86782.323336553396</v>
      </c>
      <c r="E123">
        <f t="shared" si="21"/>
        <v>49315.433959368471</v>
      </c>
      <c r="F123">
        <f t="shared" si="22"/>
        <v>37466.889377184925</v>
      </c>
      <c r="G123">
        <v>0</v>
      </c>
      <c r="H123">
        <f t="shared" si="23"/>
        <v>6924712.022533658</v>
      </c>
      <c r="I123">
        <v>122</v>
      </c>
      <c r="J123">
        <f t="shared" si="38"/>
        <v>5839628.9018960083</v>
      </c>
      <c r="K123" s="78">
        <f>'Loan Prepayment'!$B$6</f>
        <v>8.5</v>
      </c>
      <c r="L123">
        <f>IF(J123&lt;=0,0,MIN(IF(AND('Loan Prepayment'!$E$15="Reduce EMI",O122&gt;0),-PMT(K123/1200,MAX(1,'Loan Prepayment'!$B$7*12-I123+1),J123),L122),J123+M123))</f>
        <v>72789.936877782937</v>
      </c>
      <c r="M123">
        <f t="shared" si="24"/>
        <v>41364.038055096731</v>
      </c>
      <c r="N123">
        <f t="shared" si="25"/>
        <v>31425.898822686206</v>
      </c>
      <c r="O123">
        <f>IF(J123&lt;=0,0,MIN(MAX(0,J123-N123),SUMIFS('Loan Prepayment'!$B$12:$B$16,'Loan Prepayment'!$A$12:$A$16,I123)+0))</f>
        <v>0</v>
      </c>
      <c r="P123">
        <f t="shared" si="26"/>
        <v>5808203.0030733217</v>
      </c>
      <c r="Q123">
        <v>122</v>
      </c>
      <c r="R123">
        <f t="shared" si="39"/>
        <v>6962178.9119108431</v>
      </c>
      <c r="S123" s="78">
        <f>'Loan Prepayment'!$B$6</f>
        <v>8.5</v>
      </c>
      <c r="T123">
        <f>IF(R123&lt;=0,0,MIN(IF(AND('Loan Prepayment'!$E$15="Reduce EMI",W122&gt;0),-PMT(S123/1200,MAX(1,'Loan Prepayment'!$B$7*12-Q123+1),R123),T122),R123+U123))</f>
        <v>86782.323336553396</v>
      </c>
      <c r="U123">
        <f t="shared" si="27"/>
        <v>49315.433959368471</v>
      </c>
      <c r="V123">
        <f t="shared" si="28"/>
        <v>37466.889377184925</v>
      </c>
      <c r="W123">
        <f>IF(R123&lt;=0,0,MIN(MAX(0,R123-V123),0+IF(AND(Q123&gt;='Loan Prepayment'!$B$9,Q123&lt;='Loan Prepayment'!$E$16),'Loan Prepayment'!$B$8,0)))</f>
        <v>0</v>
      </c>
      <c r="X123">
        <f t="shared" si="29"/>
        <v>6924712.022533658</v>
      </c>
      <c r="Y123">
        <v>122</v>
      </c>
      <c r="Z123">
        <f t="shared" si="40"/>
        <v>6467329.9868951086</v>
      </c>
      <c r="AA123">
        <f>IF(Y123&gt;='Loan Prepayment'!$E$11,'Loan Prepayment'!$E$12,'Loan Prepayment'!$B$6)</f>
        <v>7.5</v>
      </c>
      <c r="AB123">
        <f>IF(Z123&lt;=0,0,MIN(IF(Y123='Loan Prepayment'!$E$11,IF('Loan Prepayment'!$E$13="Keep tenure, recalculate EMI",-PMT(AA123/1200,MAX(1,'Loan Prepayment'!$B$7*12-Y123+1),Z123),AB122),AB122),Z123+AC123))</f>
        <v>86782.323336553396</v>
      </c>
      <c r="AC123">
        <f t="shared" si="30"/>
        <v>40420.812418094429</v>
      </c>
      <c r="AD123">
        <f t="shared" si="31"/>
        <v>46361.510918458967</v>
      </c>
      <c r="AE123">
        <f t="shared" si="32"/>
        <v>0</v>
      </c>
      <c r="AF123">
        <f t="shared" si="33"/>
        <v>6420968.4759766497</v>
      </c>
      <c r="AG123">
        <v>122</v>
      </c>
      <c r="AH123">
        <f t="shared" si="41"/>
        <v>5060310.0325176064</v>
      </c>
      <c r="AI123">
        <f>IF(AG123&gt;='Loan Prepayment'!$E$11,'Loan Prepayment'!$E$12,'Loan Prepayment'!$B$6)</f>
        <v>7.5</v>
      </c>
      <c r="AJ123">
        <f>IF(AH123&lt;=0,0,MIN(IF(AG123='Loan Prepayment'!$E$11,IF('Loan Prepayment'!$E$13="Keep tenure, recalculate EMI",-PMT(AI123/1200,MAX(1,'Loan Prepayment'!$B$7*12-AG123+1),AH123),AJ122),IF(AND('Loan Prepayment'!$E$15="Reduce EMI",AM122&gt;0),-PMT(AI123/1200,MAX(1,'Loan Prepayment'!$B$7*12-AG123+1),AH123),AJ122)),AH123+AK123))</f>
        <v>77713.634667410894</v>
      </c>
      <c r="AK123">
        <f t="shared" si="34"/>
        <v>31626.937703235038</v>
      </c>
      <c r="AL123">
        <f t="shared" si="35"/>
        <v>46086.696964175855</v>
      </c>
      <c r="AM123">
        <f>IF(AH123&lt;=0,0,MIN(MAX(0,AH123-AL123),SUMIFS('Loan Prepayment'!$B$12:$B$16,'Loan Prepayment'!$A$12:$A$16,AG123)+IF(AND(AG123&gt;='Loan Prepayment'!$B$9,AG123&lt;='Loan Prepayment'!$E$16),'Loan Prepayment'!$B$8,0)))</f>
        <v>0</v>
      </c>
      <c r="AN123">
        <f t="shared" si="36"/>
        <v>5014223.335553431</v>
      </c>
    </row>
    <row r="124" spans="1:40" x14ac:dyDescent="0.35">
      <c r="A124">
        <v>123</v>
      </c>
      <c r="B124">
        <f t="shared" si="37"/>
        <v>6924712.022533658</v>
      </c>
      <c r="C124" s="78">
        <f>'Loan Prepayment'!$B$6</f>
        <v>8.5</v>
      </c>
      <c r="D124">
        <f>IF(B124&lt;=0,0,MIN(-PMT('Loan Prepayment'!$B$6/1200,'Loan Prepayment'!$B$7*12,'Loan Prepayment'!$B$5),B124+E124))</f>
        <v>86782.323336553396</v>
      </c>
      <c r="E124">
        <f t="shared" si="21"/>
        <v>49050.043492946745</v>
      </c>
      <c r="F124">
        <f t="shared" si="22"/>
        <v>37732.279843606651</v>
      </c>
      <c r="G124">
        <v>0</v>
      </c>
      <c r="H124">
        <f t="shared" si="23"/>
        <v>6886979.742690051</v>
      </c>
      <c r="I124">
        <v>123</v>
      </c>
      <c r="J124">
        <f t="shared" si="38"/>
        <v>5808203.0030733217</v>
      </c>
      <c r="K124" s="78">
        <f>'Loan Prepayment'!$B$6</f>
        <v>8.5</v>
      </c>
      <c r="L124">
        <f>IF(J124&lt;=0,0,MIN(IF(AND('Loan Prepayment'!$E$15="Reduce EMI",O123&gt;0),-PMT(K124/1200,MAX(1,'Loan Prepayment'!$B$7*12-I124+1),J124),L123),J124+M124))</f>
        <v>72789.936877782937</v>
      </c>
      <c r="M124">
        <f t="shared" si="24"/>
        <v>41141.437938436029</v>
      </c>
      <c r="N124">
        <f t="shared" si="25"/>
        <v>31648.498939346908</v>
      </c>
      <c r="O124">
        <f>IF(J124&lt;=0,0,MIN(MAX(0,J124-N124),SUMIFS('Loan Prepayment'!$B$12:$B$16,'Loan Prepayment'!$A$12:$A$16,I124)+0))</f>
        <v>0</v>
      </c>
      <c r="P124">
        <f t="shared" si="26"/>
        <v>5776554.5041339751</v>
      </c>
      <c r="Q124">
        <v>123</v>
      </c>
      <c r="R124">
        <f t="shared" si="39"/>
        <v>6924712.022533658</v>
      </c>
      <c r="S124" s="78">
        <f>'Loan Prepayment'!$B$6</f>
        <v>8.5</v>
      </c>
      <c r="T124">
        <f>IF(R124&lt;=0,0,MIN(IF(AND('Loan Prepayment'!$E$15="Reduce EMI",W123&gt;0),-PMT(S124/1200,MAX(1,'Loan Prepayment'!$B$7*12-Q124+1),R124),T123),R124+U124))</f>
        <v>86782.323336553396</v>
      </c>
      <c r="U124">
        <f t="shared" si="27"/>
        <v>49050.043492946745</v>
      </c>
      <c r="V124">
        <f t="shared" si="28"/>
        <v>37732.279843606651</v>
      </c>
      <c r="W124">
        <f>IF(R124&lt;=0,0,MIN(MAX(0,R124-V124),0+IF(AND(Q124&gt;='Loan Prepayment'!$B$9,Q124&lt;='Loan Prepayment'!$E$16),'Loan Prepayment'!$B$8,0)))</f>
        <v>0</v>
      </c>
      <c r="X124">
        <f t="shared" si="29"/>
        <v>6886979.742690051</v>
      </c>
      <c r="Y124">
        <v>123</v>
      </c>
      <c r="Z124">
        <f t="shared" si="40"/>
        <v>6420968.4759766497</v>
      </c>
      <c r="AA124">
        <f>IF(Y124&gt;='Loan Prepayment'!$E$11,'Loan Prepayment'!$E$12,'Loan Prepayment'!$B$6)</f>
        <v>7.5</v>
      </c>
      <c r="AB124">
        <f>IF(Z124&lt;=0,0,MIN(IF(Y124='Loan Prepayment'!$E$11,IF('Loan Prepayment'!$E$13="Keep tenure, recalculate EMI",-PMT(AA124/1200,MAX(1,'Loan Prepayment'!$B$7*12-Y124+1),Z124),AB123),AB123),Z124+AC124))</f>
        <v>86782.323336553396</v>
      </c>
      <c r="AC124">
        <f t="shared" si="30"/>
        <v>40131.052974854065</v>
      </c>
      <c r="AD124">
        <f t="shared" si="31"/>
        <v>46651.270361699331</v>
      </c>
      <c r="AE124">
        <f t="shared" si="32"/>
        <v>0</v>
      </c>
      <c r="AF124">
        <f t="shared" si="33"/>
        <v>6374317.2056149505</v>
      </c>
      <c r="AG124">
        <v>123</v>
      </c>
      <c r="AH124">
        <f t="shared" si="41"/>
        <v>5014223.335553431</v>
      </c>
      <c r="AI124">
        <f>IF(AG124&gt;='Loan Prepayment'!$E$11,'Loan Prepayment'!$E$12,'Loan Prepayment'!$B$6)</f>
        <v>7.5</v>
      </c>
      <c r="AJ124">
        <f>IF(AH124&lt;=0,0,MIN(IF(AG124='Loan Prepayment'!$E$11,IF('Loan Prepayment'!$E$13="Keep tenure, recalculate EMI",-PMT(AI124/1200,MAX(1,'Loan Prepayment'!$B$7*12-AG124+1),AH124),AJ123),IF(AND('Loan Prepayment'!$E$15="Reduce EMI",AM123&gt;0),-PMT(AI124/1200,MAX(1,'Loan Prepayment'!$B$7*12-AG124+1),AH124),AJ123)),AH124+AK124))</f>
        <v>77713.634667410894</v>
      </c>
      <c r="AK124">
        <f t="shared" si="34"/>
        <v>31338.89584720894</v>
      </c>
      <c r="AL124">
        <f t="shared" si="35"/>
        <v>46374.73882020195</v>
      </c>
      <c r="AM124">
        <f>IF(AH124&lt;=0,0,MIN(MAX(0,AH124-AL124),SUMIFS('Loan Prepayment'!$B$12:$B$16,'Loan Prepayment'!$A$12:$A$16,AG124)+IF(AND(AG124&gt;='Loan Prepayment'!$B$9,AG124&lt;='Loan Prepayment'!$E$16),'Loan Prepayment'!$B$8,0)))</f>
        <v>0</v>
      </c>
      <c r="AN124">
        <f t="shared" si="36"/>
        <v>4967848.5967332292</v>
      </c>
    </row>
    <row r="125" spans="1:40" x14ac:dyDescent="0.35">
      <c r="A125">
        <v>124</v>
      </c>
      <c r="B125">
        <f t="shared" si="37"/>
        <v>6886979.742690051</v>
      </c>
      <c r="C125" s="78">
        <f>'Loan Prepayment'!$B$6</f>
        <v>8.5</v>
      </c>
      <c r="D125">
        <f>IF(B125&lt;=0,0,MIN(-PMT('Loan Prepayment'!$B$6/1200,'Loan Prepayment'!$B$7*12,'Loan Prepayment'!$B$5),B125+E125))</f>
        <v>86782.323336553396</v>
      </c>
      <c r="E125">
        <f t="shared" si="21"/>
        <v>48782.773177387862</v>
      </c>
      <c r="F125">
        <f t="shared" si="22"/>
        <v>37999.550159165534</v>
      </c>
      <c r="G125">
        <v>0</v>
      </c>
      <c r="H125">
        <f t="shared" si="23"/>
        <v>6848980.1925308853</v>
      </c>
      <c r="I125">
        <v>124</v>
      </c>
      <c r="J125">
        <f t="shared" si="38"/>
        <v>5776554.5041339751</v>
      </c>
      <c r="K125" s="78">
        <f>'Loan Prepayment'!$B$6</f>
        <v>8.5</v>
      </c>
      <c r="L125">
        <f>IF(J125&lt;=0,0,MIN(IF(AND('Loan Prepayment'!$E$15="Reduce EMI",O124&gt;0),-PMT(K125/1200,MAX(1,'Loan Prepayment'!$B$7*12-I125+1),J125),L124),J125+M125))</f>
        <v>72789.936877782937</v>
      </c>
      <c r="M125">
        <f t="shared" si="24"/>
        <v>40917.261070948989</v>
      </c>
      <c r="N125">
        <f t="shared" si="25"/>
        <v>31872.675806833948</v>
      </c>
      <c r="O125">
        <f>IF(J125&lt;=0,0,MIN(MAX(0,J125-N125),SUMIFS('Loan Prepayment'!$B$12:$B$16,'Loan Prepayment'!$A$12:$A$16,I125)+0))</f>
        <v>0</v>
      </c>
      <c r="P125">
        <f t="shared" si="26"/>
        <v>5744681.8283271408</v>
      </c>
      <c r="Q125">
        <v>124</v>
      </c>
      <c r="R125">
        <f t="shared" si="39"/>
        <v>6886979.742690051</v>
      </c>
      <c r="S125" s="78">
        <f>'Loan Prepayment'!$B$6</f>
        <v>8.5</v>
      </c>
      <c r="T125">
        <f>IF(R125&lt;=0,0,MIN(IF(AND('Loan Prepayment'!$E$15="Reduce EMI",W124&gt;0),-PMT(S125/1200,MAX(1,'Loan Prepayment'!$B$7*12-Q125+1),R125),T124),R125+U125))</f>
        <v>86782.323336553396</v>
      </c>
      <c r="U125">
        <f t="shared" si="27"/>
        <v>48782.773177387862</v>
      </c>
      <c r="V125">
        <f t="shared" si="28"/>
        <v>37999.550159165534</v>
      </c>
      <c r="W125">
        <f>IF(R125&lt;=0,0,MIN(MAX(0,R125-V125),0+IF(AND(Q125&gt;='Loan Prepayment'!$B$9,Q125&lt;='Loan Prepayment'!$E$16),'Loan Prepayment'!$B$8,0)))</f>
        <v>0</v>
      </c>
      <c r="X125">
        <f t="shared" si="29"/>
        <v>6848980.1925308853</v>
      </c>
      <c r="Y125">
        <v>124</v>
      </c>
      <c r="Z125">
        <f t="shared" si="40"/>
        <v>6374317.2056149505</v>
      </c>
      <c r="AA125">
        <f>IF(Y125&gt;='Loan Prepayment'!$E$11,'Loan Prepayment'!$E$12,'Loan Prepayment'!$B$6)</f>
        <v>7.5</v>
      </c>
      <c r="AB125">
        <f>IF(Z125&lt;=0,0,MIN(IF(Y125='Loan Prepayment'!$E$11,IF('Loan Prepayment'!$E$13="Keep tenure, recalculate EMI",-PMT(AA125/1200,MAX(1,'Loan Prepayment'!$B$7*12-Y125+1),Z125),AB124),AB124),Z125+AC125))</f>
        <v>86782.323336553396</v>
      </c>
      <c r="AC125">
        <f t="shared" si="30"/>
        <v>39839.482535093441</v>
      </c>
      <c r="AD125">
        <f t="shared" si="31"/>
        <v>46942.840801459955</v>
      </c>
      <c r="AE125">
        <f t="shared" si="32"/>
        <v>0</v>
      </c>
      <c r="AF125">
        <f t="shared" si="33"/>
        <v>6327374.3648134908</v>
      </c>
      <c r="AG125">
        <v>124</v>
      </c>
      <c r="AH125">
        <f t="shared" si="41"/>
        <v>4967848.5967332292</v>
      </c>
      <c r="AI125">
        <f>IF(AG125&gt;='Loan Prepayment'!$E$11,'Loan Prepayment'!$E$12,'Loan Prepayment'!$B$6)</f>
        <v>7.5</v>
      </c>
      <c r="AJ125">
        <f>IF(AH125&lt;=0,0,MIN(IF(AG125='Loan Prepayment'!$E$11,IF('Loan Prepayment'!$E$13="Keep tenure, recalculate EMI",-PMT(AI125/1200,MAX(1,'Loan Prepayment'!$B$7*12-AG125+1),AH125),AJ124),IF(AND('Loan Prepayment'!$E$15="Reduce EMI",AM124&gt;0),-PMT(AI125/1200,MAX(1,'Loan Prepayment'!$B$7*12-AG125+1),AH125),AJ124)),AH125+AK125))</f>
        <v>77713.634667410894</v>
      </c>
      <c r="AK125">
        <f t="shared" si="34"/>
        <v>31049.053729582683</v>
      </c>
      <c r="AL125">
        <f t="shared" si="35"/>
        <v>46664.580937828214</v>
      </c>
      <c r="AM125">
        <f>IF(AH125&lt;=0,0,MIN(MAX(0,AH125-AL125),SUMIFS('Loan Prepayment'!$B$12:$B$16,'Loan Prepayment'!$A$12:$A$16,AG125)+IF(AND(AG125&gt;='Loan Prepayment'!$B$9,AG125&lt;='Loan Prepayment'!$E$16),'Loan Prepayment'!$B$8,0)))</f>
        <v>0</v>
      </c>
      <c r="AN125">
        <f t="shared" si="36"/>
        <v>4921184.0157954013</v>
      </c>
    </row>
    <row r="126" spans="1:40" x14ac:dyDescent="0.35">
      <c r="A126">
        <v>125</v>
      </c>
      <c r="B126">
        <f t="shared" si="37"/>
        <v>6848980.1925308853</v>
      </c>
      <c r="C126" s="78">
        <f>'Loan Prepayment'!$B$6</f>
        <v>8.5</v>
      </c>
      <c r="D126">
        <f>IF(B126&lt;=0,0,MIN(-PMT('Loan Prepayment'!$B$6/1200,'Loan Prepayment'!$B$7*12,'Loan Prepayment'!$B$5),B126+E126))</f>
        <v>86782.323336553396</v>
      </c>
      <c r="E126">
        <f t="shared" si="21"/>
        <v>48513.609697093772</v>
      </c>
      <c r="F126">
        <f t="shared" si="22"/>
        <v>38268.713639459624</v>
      </c>
      <c r="G126">
        <v>0</v>
      </c>
      <c r="H126">
        <f t="shared" si="23"/>
        <v>6810711.4788914258</v>
      </c>
      <c r="I126">
        <v>125</v>
      </c>
      <c r="J126">
        <f t="shared" si="38"/>
        <v>5744681.8283271408</v>
      </c>
      <c r="K126" s="78">
        <f>'Loan Prepayment'!$B$6</f>
        <v>8.5</v>
      </c>
      <c r="L126">
        <f>IF(J126&lt;=0,0,MIN(IF(AND('Loan Prepayment'!$E$15="Reduce EMI",O125&gt;0),-PMT(K126/1200,MAX(1,'Loan Prepayment'!$B$7*12-I126+1),J126),L125),J126+M126))</f>
        <v>72789.936877782937</v>
      </c>
      <c r="M126">
        <f t="shared" si="24"/>
        <v>40691.496283983914</v>
      </c>
      <c r="N126">
        <f t="shared" si="25"/>
        <v>32098.440593799023</v>
      </c>
      <c r="O126">
        <f>IF(J126&lt;=0,0,MIN(MAX(0,J126-N126),SUMIFS('Loan Prepayment'!$B$12:$B$16,'Loan Prepayment'!$A$12:$A$16,I126)+0))</f>
        <v>0</v>
      </c>
      <c r="P126">
        <f t="shared" si="26"/>
        <v>5712583.3877333421</v>
      </c>
      <c r="Q126">
        <v>125</v>
      </c>
      <c r="R126">
        <f t="shared" si="39"/>
        <v>6848980.1925308853</v>
      </c>
      <c r="S126" s="78">
        <f>'Loan Prepayment'!$B$6</f>
        <v>8.5</v>
      </c>
      <c r="T126">
        <f>IF(R126&lt;=0,0,MIN(IF(AND('Loan Prepayment'!$E$15="Reduce EMI",W125&gt;0),-PMT(S126/1200,MAX(1,'Loan Prepayment'!$B$7*12-Q126+1),R126),T125),R126+U126))</f>
        <v>86782.323336553396</v>
      </c>
      <c r="U126">
        <f t="shared" si="27"/>
        <v>48513.609697093772</v>
      </c>
      <c r="V126">
        <f t="shared" si="28"/>
        <v>38268.713639459624</v>
      </c>
      <c r="W126">
        <f>IF(R126&lt;=0,0,MIN(MAX(0,R126-V126),0+IF(AND(Q126&gt;='Loan Prepayment'!$B$9,Q126&lt;='Loan Prepayment'!$E$16),'Loan Prepayment'!$B$8,0)))</f>
        <v>0</v>
      </c>
      <c r="X126">
        <f t="shared" si="29"/>
        <v>6810711.4788914258</v>
      </c>
      <c r="Y126">
        <v>125</v>
      </c>
      <c r="Z126">
        <f t="shared" si="40"/>
        <v>6327374.3648134908</v>
      </c>
      <c r="AA126">
        <f>IF(Y126&gt;='Loan Prepayment'!$E$11,'Loan Prepayment'!$E$12,'Loan Prepayment'!$B$6)</f>
        <v>7.5</v>
      </c>
      <c r="AB126">
        <f>IF(Z126&lt;=0,0,MIN(IF(Y126='Loan Prepayment'!$E$11,IF('Loan Prepayment'!$E$13="Keep tenure, recalculate EMI",-PMT(AA126/1200,MAX(1,'Loan Prepayment'!$B$7*12-Y126+1),Z126),AB125),AB125),Z126+AC126))</f>
        <v>86782.323336553396</v>
      </c>
      <c r="AC126">
        <f t="shared" si="30"/>
        <v>39546.089780084316</v>
      </c>
      <c r="AD126">
        <f t="shared" si="31"/>
        <v>47236.23355646908</v>
      </c>
      <c r="AE126">
        <f t="shared" si="32"/>
        <v>0</v>
      </c>
      <c r="AF126">
        <f t="shared" si="33"/>
        <v>6280138.1312570218</v>
      </c>
      <c r="AG126">
        <v>125</v>
      </c>
      <c r="AH126">
        <f t="shared" si="41"/>
        <v>4921184.0157954013</v>
      </c>
      <c r="AI126">
        <f>IF(AG126&gt;='Loan Prepayment'!$E$11,'Loan Prepayment'!$E$12,'Loan Prepayment'!$B$6)</f>
        <v>7.5</v>
      </c>
      <c r="AJ126">
        <f>IF(AH126&lt;=0,0,MIN(IF(AG126='Loan Prepayment'!$E$11,IF('Loan Prepayment'!$E$13="Keep tenure, recalculate EMI",-PMT(AI126/1200,MAX(1,'Loan Prepayment'!$B$7*12-AG126+1),AH126),AJ125),IF(AND('Loan Prepayment'!$E$15="Reduce EMI",AM125&gt;0),-PMT(AI126/1200,MAX(1,'Loan Prepayment'!$B$7*12-AG126+1),AH126),AJ125)),AH126+AK126))</f>
        <v>77713.634667410894</v>
      </c>
      <c r="AK126">
        <f t="shared" si="34"/>
        <v>30757.40009872126</v>
      </c>
      <c r="AL126">
        <f t="shared" si="35"/>
        <v>46956.23456868963</v>
      </c>
      <c r="AM126">
        <f>IF(AH126&lt;=0,0,MIN(MAX(0,AH126-AL126),SUMIFS('Loan Prepayment'!$B$12:$B$16,'Loan Prepayment'!$A$12:$A$16,AG126)+IF(AND(AG126&gt;='Loan Prepayment'!$B$9,AG126&lt;='Loan Prepayment'!$E$16),'Loan Prepayment'!$B$8,0)))</f>
        <v>0</v>
      </c>
      <c r="AN126">
        <f t="shared" si="36"/>
        <v>4874227.7812267113</v>
      </c>
    </row>
    <row r="127" spans="1:40" x14ac:dyDescent="0.35">
      <c r="A127">
        <v>126</v>
      </c>
      <c r="B127">
        <f t="shared" si="37"/>
        <v>6810711.4788914258</v>
      </c>
      <c r="C127" s="78">
        <f>'Loan Prepayment'!$B$6</f>
        <v>8.5</v>
      </c>
      <c r="D127">
        <f>IF(B127&lt;=0,0,MIN(-PMT('Loan Prepayment'!$B$6/1200,'Loan Prepayment'!$B$7*12,'Loan Prepayment'!$B$5),B127+E127))</f>
        <v>86782.323336553396</v>
      </c>
      <c r="E127">
        <f t="shared" si="21"/>
        <v>48242.539642147603</v>
      </c>
      <c r="F127">
        <f t="shared" si="22"/>
        <v>38539.783694405793</v>
      </c>
      <c r="G127">
        <v>0</v>
      </c>
      <c r="H127">
        <f t="shared" si="23"/>
        <v>6772171.6951970197</v>
      </c>
      <c r="I127">
        <v>126</v>
      </c>
      <c r="J127">
        <f t="shared" si="38"/>
        <v>5712583.3877333421</v>
      </c>
      <c r="K127" s="78">
        <f>'Loan Prepayment'!$B$6</f>
        <v>8.5</v>
      </c>
      <c r="L127">
        <f>IF(J127&lt;=0,0,MIN(IF(AND('Loan Prepayment'!$E$15="Reduce EMI",O126&gt;0),-PMT(K127/1200,MAX(1,'Loan Prepayment'!$B$7*12-I127+1),J127),L126),J127+M127))</f>
        <v>72789.936877782937</v>
      </c>
      <c r="M127">
        <f t="shared" si="24"/>
        <v>40464.132329777836</v>
      </c>
      <c r="N127">
        <f t="shared" si="25"/>
        <v>32325.804548005101</v>
      </c>
      <c r="O127">
        <f>IF(J127&lt;=0,0,MIN(MAX(0,J127-N127),SUMIFS('Loan Prepayment'!$B$12:$B$16,'Loan Prepayment'!$A$12:$A$16,I127)+0))</f>
        <v>0</v>
      </c>
      <c r="P127">
        <f t="shared" si="26"/>
        <v>5680257.5831853375</v>
      </c>
      <c r="Q127">
        <v>126</v>
      </c>
      <c r="R127">
        <f t="shared" si="39"/>
        <v>6810711.4788914258</v>
      </c>
      <c r="S127" s="78">
        <f>'Loan Prepayment'!$B$6</f>
        <v>8.5</v>
      </c>
      <c r="T127">
        <f>IF(R127&lt;=0,0,MIN(IF(AND('Loan Prepayment'!$E$15="Reduce EMI",W126&gt;0),-PMT(S127/1200,MAX(1,'Loan Prepayment'!$B$7*12-Q127+1),R127),T126),R127+U127))</f>
        <v>86782.323336553396</v>
      </c>
      <c r="U127">
        <f t="shared" si="27"/>
        <v>48242.539642147603</v>
      </c>
      <c r="V127">
        <f t="shared" si="28"/>
        <v>38539.783694405793</v>
      </c>
      <c r="W127">
        <f>IF(R127&lt;=0,0,MIN(MAX(0,R127-V127),0+IF(AND(Q127&gt;='Loan Prepayment'!$B$9,Q127&lt;='Loan Prepayment'!$E$16),'Loan Prepayment'!$B$8,0)))</f>
        <v>0</v>
      </c>
      <c r="X127">
        <f t="shared" si="29"/>
        <v>6772171.6951970197</v>
      </c>
      <c r="Y127">
        <v>126</v>
      </c>
      <c r="Z127">
        <f t="shared" si="40"/>
        <v>6280138.1312570218</v>
      </c>
      <c r="AA127">
        <f>IF(Y127&gt;='Loan Prepayment'!$E$11,'Loan Prepayment'!$E$12,'Loan Prepayment'!$B$6)</f>
        <v>7.5</v>
      </c>
      <c r="AB127">
        <f>IF(Z127&lt;=0,0,MIN(IF(Y127='Loan Prepayment'!$E$11,IF('Loan Prepayment'!$E$13="Keep tenure, recalculate EMI",-PMT(AA127/1200,MAX(1,'Loan Prepayment'!$B$7*12-Y127+1),Z127),AB126),AB126),Z127+AC127))</f>
        <v>86782.323336553396</v>
      </c>
      <c r="AC127">
        <f t="shared" si="30"/>
        <v>39250.86332035638</v>
      </c>
      <c r="AD127">
        <f t="shared" si="31"/>
        <v>47531.460016197016</v>
      </c>
      <c r="AE127">
        <f t="shared" si="32"/>
        <v>0</v>
      </c>
      <c r="AF127">
        <f t="shared" si="33"/>
        <v>6232606.6712408252</v>
      </c>
      <c r="AG127">
        <v>126</v>
      </c>
      <c r="AH127">
        <f t="shared" si="41"/>
        <v>4874227.7812267113</v>
      </c>
      <c r="AI127">
        <f>IF(AG127&gt;='Loan Prepayment'!$E$11,'Loan Prepayment'!$E$12,'Loan Prepayment'!$B$6)</f>
        <v>7.5</v>
      </c>
      <c r="AJ127">
        <f>IF(AH127&lt;=0,0,MIN(IF(AG127='Loan Prepayment'!$E$11,IF('Loan Prepayment'!$E$13="Keep tenure, recalculate EMI",-PMT(AI127/1200,MAX(1,'Loan Prepayment'!$B$7*12-AG127+1),AH127),AJ126),IF(AND('Loan Prepayment'!$E$15="Reduce EMI",AM126&gt;0),-PMT(AI127/1200,MAX(1,'Loan Prepayment'!$B$7*12-AG127+1),AH127),AJ126)),AH127+AK127))</f>
        <v>77713.634667410894</v>
      </c>
      <c r="AK127">
        <f t="shared" si="34"/>
        <v>30463.923632666945</v>
      </c>
      <c r="AL127">
        <f t="shared" si="35"/>
        <v>47249.711034743945</v>
      </c>
      <c r="AM127">
        <f>IF(AH127&lt;=0,0,MIN(MAX(0,AH127-AL127),SUMIFS('Loan Prepayment'!$B$12:$B$16,'Loan Prepayment'!$A$12:$A$16,AG127)+IF(AND(AG127&gt;='Loan Prepayment'!$B$9,AG127&lt;='Loan Prepayment'!$E$16),'Loan Prepayment'!$B$8,0)))</f>
        <v>0</v>
      </c>
      <c r="AN127">
        <f t="shared" si="36"/>
        <v>4826978.0701919673</v>
      </c>
    </row>
    <row r="128" spans="1:40" x14ac:dyDescent="0.35">
      <c r="A128">
        <v>127</v>
      </c>
      <c r="B128">
        <f t="shared" si="37"/>
        <v>6772171.6951970197</v>
      </c>
      <c r="C128" s="78">
        <f>'Loan Prepayment'!$B$6</f>
        <v>8.5</v>
      </c>
      <c r="D128">
        <f>IF(B128&lt;=0,0,MIN(-PMT('Loan Prepayment'!$B$6/1200,'Loan Prepayment'!$B$7*12,'Loan Prepayment'!$B$5),B128+E128))</f>
        <v>86782.323336553396</v>
      </c>
      <c r="E128">
        <f t="shared" si="21"/>
        <v>47969.549507645555</v>
      </c>
      <c r="F128">
        <f t="shared" si="22"/>
        <v>38812.773828907841</v>
      </c>
      <c r="G128">
        <v>0</v>
      </c>
      <c r="H128">
        <f t="shared" si="23"/>
        <v>6733358.9213681119</v>
      </c>
      <c r="I128">
        <v>127</v>
      </c>
      <c r="J128">
        <f t="shared" si="38"/>
        <v>5680257.5831853375</v>
      </c>
      <c r="K128" s="78">
        <f>'Loan Prepayment'!$B$6</f>
        <v>8.5</v>
      </c>
      <c r="L128">
        <f>IF(J128&lt;=0,0,MIN(IF(AND('Loan Prepayment'!$E$15="Reduce EMI",O127&gt;0),-PMT(K128/1200,MAX(1,'Loan Prepayment'!$B$7*12-I128+1),J128),L127),J128+M128))</f>
        <v>72789.936877782937</v>
      </c>
      <c r="M128">
        <f t="shared" si="24"/>
        <v>40235.157880896142</v>
      </c>
      <c r="N128">
        <f t="shared" si="25"/>
        <v>32554.778996886795</v>
      </c>
      <c r="O128">
        <f>IF(J128&lt;=0,0,MIN(MAX(0,J128-N128),SUMIFS('Loan Prepayment'!$B$12:$B$16,'Loan Prepayment'!$A$12:$A$16,I128)+0))</f>
        <v>0</v>
      </c>
      <c r="P128">
        <f t="shared" si="26"/>
        <v>5647702.8041884508</v>
      </c>
      <c r="Q128">
        <v>127</v>
      </c>
      <c r="R128">
        <f t="shared" si="39"/>
        <v>6772171.6951970197</v>
      </c>
      <c r="S128" s="78">
        <f>'Loan Prepayment'!$B$6</f>
        <v>8.5</v>
      </c>
      <c r="T128">
        <f>IF(R128&lt;=0,0,MIN(IF(AND('Loan Prepayment'!$E$15="Reduce EMI",W127&gt;0),-PMT(S128/1200,MAX(1,'Loan Prepayment'!$B$7*12-Q128+1),R128),T127),R128+U128))</f>
        <v>86782.323336553396</v>
      </c>
      <c r="U128">
        <f t="shared" si="27"/>
        <v>47969.549507645555</v>
      </c>
      <c r="V128">
        <f t="shared" si="28"/>
        <v>38812.773828907841</v>
      </c>
      <c r="W128">
        <f>IF(R128&lt;=0,0,MIN(MAX(0,R128-V128),0+IF(AND(Q128&gt;='Loan Prepayment'!$B$9,Q128&lt;='Loan Prepayment'!$E$16),'Loan Prepayment'!$B$8,0)))</f>
        <v>0</v>
      </c>
      <c r="X128">
        <f t="shared" si="29"/>
        <v>6733358.9213681119</v>
      </c>
      <c r="Y128">
        <v>127</v>
      </c>
      <c r="Z128">
        <f t="shared" si="40"/>
        <v>6232606.6712408252</v>
      </c>
      <c r="AA128">
        <f>IF(Y128&gt;='Loan Prepayment'!$E$11,'Loan Prepayment'!$E$12,'Loan Prepayment'!$B$6)</f>
        <v>7.5</v>
      </c>
      <c r="AB128">
        <f>IF(Z128&lt;=0,0,MIN(IF(Y128='Loan Prepayment'!$E$11,IF('Loan Prepayment'!$E$13="Keep tenure, recalculate EMI",-PMT(AA128/1200,MAX(1,'Loan Prepayment'!$B$7*12-Y128+1),Z128),AB127),AB127),Z128+AC128))</f>
        <v>86782.323336553396</v>
      </c>
      <c r="AC128">
        <f t="shared" si="30"/>
        <v>38953.79169525516</v>
      </c>
      <c r="AD128">
        <f t="shared" si="31"/>
        <v>47828.531641298236</v>
      </c>
      <c r="AE128">
        <f t="shared" si="32"/>
        <v>0</v>
      </c>
      <c r="AF128">
        <f t="shared" si="33"/>
        <v>6184778.1395995272</v>
      </c>
      <c r="AG128">
        <v>127</v>
      </c>
      <c r="AH128">
        <f t="shared" si="41"/>
        <v>4826978.0701919673</v>
      </c>
      <c r="AI128">
        <f>IF(AG128&gt;='Loan Prepayment'!$E$11,'Loan Prepayment'!$E$12,'Loan Prepayment'!$B$6)</f>
        <v>7.5</v>
      </c>
      <c r="AJ128">
        <f>IF(AH128&lt;=0,0,MIN(IF(AG128='Loan Prepayment'!$E$11,IF('Loan Prepayment'!$E$13="Keep tenure, recalculate EMI",-PMT(AI128/1200,MAX(1,'Loan Prepayment'!$B$7*12-AG128+1),AH128),AJ127),IF(AND('Loan Prepayment'!$E$15="Reduce EMI",AM127&gt;0),-PMT(AI128/1200,MAX(1,'Loan Prepayment'!$B$7*12-AG128+1),AH128),AJ127)),AH128+AK128))</f>
        <v>77713.634667410894</v>
      </c>
      <c r="AK128">
        <f t="shared" si="34"/>
        <v>30168.612938699796</v>
      </c>
      <c r="AL128">
        <f t="shared" si="35"/>
        <v>47545.021728711101</v>
      </c>
      <c r="AM128">
        <f>IF(AH128&lt;=0,0,MIN(MAX(0,AH128-AL128),SUMIFS('Loan Prepayment'!$B$12:$B$16,'Loan Prepayment'!$A$12:$A$16,AG128)+IF(AND(AG128&gt;='Loan Prepayment'!$B$9,AG128&lt;='Loan Prepayment'!$E$16),'Loan Prepayment'!$B$8,0)))</f>
        <v>0</v>
      </c>
      <c r="AN128">
        <f t="shared" si="36"/>
        <v>4779433.0484632561</v>
      </c>
    </row>
    <row r="129" spans="1:40" x14ac:dyDescent="0.35">
      <c r="A129">
        <v>128</v>
      </c>
      <c r="B129">
        <f t="shared" si="37"/>
        <v>6733358.9213681119</v>
      </c>
      <c r="C129" s="78">
        <f>'Loan Prepayment'!$B$6</f>
        <v>8.5</v>
      </c>
      <c r="D129">
        <f>IF(B129&lt;=0,0,MIN(-PMT('Loan Prepayment'!$B$6/1200,'Loan Prepayment'!$B$7*12,'Loan Prepayment'!$B$5),B129+E129))</f>
        <v>86782.323336553396</v>
      </c>
      <c r="E129">
        <f t="shared" si="21"/>
        <v>47694.625693024122</v>
      </c>
      <c r="F129">
        <f t="shared" si="22"/>
        <v>39087.697643529275</v>
      </c>
      <c r="G129">
        <v>0</v>
      </c>
      <c r="H129">
        <f t="shared" si="23"/>
        <v>6694271.2237245822</v>
      </c>
      <c r="I129">
        <v>128</v>
      </c>
      <c r="J129">
        <f t="shared" si="38"/>
        <v>5647702.8041884508</v>
      </c>
      <c r="K129" s="78">
        <f>'Loan Prepayment'!$B$6</f>
        <v>8.5</v>
      </c>
      <c r="L129">
        <f>IF(J129&lt;=0,0,MIN(IF(AND('Loan Prepayment'!$E$15="Reduce EMI",O128&gt;0),-PMT(K129/1200,MAX(1,'Loan Prepayment'!$B$7*12-I129+1),J129),L128),J129+M129))</f>
        <v>72789.936877782937</v>
      </c>
      <c r="M129">
        <f t="shared" si="24"/>
        <v>40004.561529668194</v>
      </c>
      <c r="N129">
        <f t="shared" si="25"/>
        <v>32785.375348114743</v>
      </c>
      <c r="O129">
        <f>IF(J129&lt;=0,0,MIN(MAX(0,J129-N129),SUMIFS('Loan Prepayment'!$B$12:$B$16,'Loan Prepayment'!$A$12:$A$16,I129)+0))</f>
        <v>0</v>
      </c>
      <c r="P129">
        <f t="shared" si="26"/>
        <v>5614917.4288403364</v>
      </c>
      <c r="Q129">
        <v>128</v>
      </c>
      <c r="R129">
        <f t="shared" si="39"/>
        <v>6733358.9213681119</v>
      </c>
      <c r="S129" s="78">
        <f>'Loan Prepayment'!$B$6</f>
        <v>8.5</v>
      </c>
      <c r="T129">
        <f>IF(R129&lt;=0,0,MIN(IF(AND('Loan Prepayment'!$E$15="Reduce EMI",W128&gt;0),-PMT(S129/1200,MAX(1,'Loan Prepayment'!$B$7*12-Q129+1),R129),T128),R129+U129))</f>
        <v>86782.323336553396</v>
      </c>
      <c r="U129">
        <f t="shared" si="27"/>
        <v>47694.625693024122</v>
      </c>
      <c r="V129">
        <f t="shared" si="28"/>
        <v>39087.697643529275</v>
      </c>
      <c r="W129">
        <f>IF(R129&lt;=0,0,MIN(MAX(0,R129-V129),0+IF(AND(Q129&gt;='Loan Prepayment'!$B$9,Q129&lt;='Loan Prepayment'!$E$16),'Loan Prepayment'!$B$8,0)))</f>
        <v>0</v>
      </c>
      <c r="X129">
        <f t="shared" si="29"/>
        <v>6694271.2237245822</v>
      </c>
      <c r="Y129">
        <v>128</v>
      </c>
      <c r="Z129">
        <f t="shared" si="40"/>
        <v>6184778.1395995272</v>
      </c>
      <c r="AA129">
        <f>IF(Y129&gt;='Loan Prepayment'!$E$11,'Loan Prepayment'!$E$12,'Loan Prepayment'!$B$6)</f>
        <v>7.5</v>
      </c>
      <c r="AB129">
        <f>IF(Z129&lt;=0,0,MIN(IF(Y129='Loan Prepayment'!$E$11,IF('Loan Prepayment'!$E$13="Keep tenure, recalculate EMI",-PMT(AA129/1200,MAX(1,'Loan Prepayment'!$B$7*12-Y129+1),Z129),AB128),AB128),Z129+AC129))</f>
        <v>86782.323336553396</v>
      </c>
      <c r="AC129">
        <f t="shared" si="30"/>
        <v>38654.863372497042</v>
      </c>
      <c r="AD129">
        <f t="shared" si="31"/>
        <v>48127.459964056354</v>
      </c>
      <c r="AE129">
        <f t="shared" si="32"/>
        <v>0</v>
      </c>
      <c r="AF129">
        <f t="shared" si="33"/>
        <v>6136650.6796354707</v>
      </c>
      <c r="AG129">
        <v>128</v>
      </c>
      <c r="AH129">
        <f t="shared" si="41"/>
        <v>4779433.0484632561</v>
      </c>
      <c r="AI129">
        <f>IF(AG129&gt;='Loan Prepayment'!$E$11,'Loan Prepayment'!$E$12,'Loan Prepayment'!$B$6)</f>
        <v>7.5</v>
      </c>
      <c r="AJ129">
        <f>IF(AH129&lt;=0,0,MIN(IF(AG129='Loan Prepayment'!$E$11,IF('Loan Prepayment'!$E$13="Keep tenure, recalculate EMI",-PMT(AI129/1200,MAX(1,'Loan Prepayment'!$B$7*12-AG129+1),AH129),AJ128),IF(AND('Loan Prepayment'!$E$15="Reduce EMI",AM128&gt;0),-PMT(AI129/1200,MAX(1,'Loan Prepayment'!$B$7*12-AG129+1),AH129),AJ128)),AH129+AK129))</f>
        <v>77713.634667410894</v>
      </c>
      <c r="AK129">
        <f t="shared" si="34"/>
        <v>29871.45655289535</v>
      </c>
      <c r="AL129">
        <f t="shared" si="35"/>
        <v>47842.17811451554</v>
      </c>
      <c r="AM129">
        <f>IF(AH129&lt;=0,0,MIN(MAX(0,AH129-AL129),SUMIFS('Loan Prepayment'!$B$12:$B$16,'Loan Prepayment'!$A$12:$A$16,AG129)+IF(AND(AG129&gt;='Loan Prepayment'!$B$9,AG129&lt;='Loan Prepayment'!$E$16),'Loan Prepayment'!$B$8,0)))</f>
        <v>0</v>
      </c>
      <c r="AN129">
        <f t="shared" si="36"/>
        <v>4731590.8703487404</v>
      </c>
    </row>
    <row r="130" spans="1:40" x14ac:dyDescent="0.35">
      <c r="A130">
        <v>129</v>
      </c>
      <c r="B130">
        <f t="shared" si="37"/>
        <v>6694271.2237245822</v>
      </c>
      <c r="C130" s="78">
        <f>'Loan Prepayment'!$B$6</f>
        <v>8.5</v>
      </c>
      <c r="D130">
        <f>IF(B130&lt;=0,0,MIN(-PMT('Loan Prepayment'!$B$6/1200,'Loan Prepayment'!$B$7*12,'Loan Prepayment'!$B$5),B130+E130))</f>
        <v>86782.323336553396</v>
      </c>
      <c r="E130">
        <f t="shared" ref="E130:E193" si="42">IF(B130&lt;=0,0,B130*C130/1200)</f>
        <v>47417.754501382464</v>
      </c>
      <c r="F130">
        <f t="shared" ref="F130:F193" si="43">MAX(0,D130-E130)</f>
        <v>39364.568835170932</v>
      </c>
      <c r="G130">
        <v>0</v>
      </c>
      <c r="H130">
        <f t="shared" ref="H130:H193" si="44">MAX(0,B130-F130-G130)</f>
        <v>6654906.6548894113</v>
      </c>
      <c r="I130">
        <v>129</v>
      </c>
      <c r="J130">
        <f t="shared" si="38"/>
        <v>5614917.4288403364</v>
      </c>
      <c r="K130" s="78">
        <f>'Loan Prepayment'!$B$6</f>
        <v>8.5</v>
      </c>
      <c r="L130">
        <f>IF(J130&lt;=0,0,MIN(IF(AND('Loan Prepayment'!$E$15="Reduce EMI",O129&gt;0),-PMT(K130/1200,MAX(1,'Loan Prepayment'!$B$7*12-I130+1),J130),L129),J130+M130))</f>
        <v>72789.936877782937</v>
      </c>
      <c r="M130">
        <f t="shared" ref="M130:M193" si="45">IF(J130&lt;=0,0,J130*K130/1200)</f>
        <v>39772.331787619049</v>
      </c>
      <c r="N130">
        <f t="shared" ref="N130:N193" si="46">MAX(0,L130-M130)</f>
        <v>33017.605090163888</v>
      </c>
      <c r="O130">
        <f>IF(J130&lt;=0,0,MIN(MAX(0,J130-N130),SUMIFS('Loan Prepayment'!$B$12:$B$16,'Loan Prepayment'!$A$12:$A$16,I130)+0))</f>
        <v>0</v>
      </c>
      <c r="P130">
        <f t="shared" ref="P130:P193" si="47">MAX(0,J130-N130-O130)</f>
        <v>5581899.8237501727</v>
      </c>
      <c r="Q130">
        <v>129</v>
      </c>
      <c r="R130">
        <f t="shared" si="39"/>
        <v>6694271.2237245822</v>
      </c>
      <c r="S130" s="78">
        <f>'Loan Prepayment'!$B$6</f>
        <v>8.5</v>
      </c>
      <c r="T130">
        <f>IF(R130&lt;=0,0,MIN(IF(AND('Loan Prepayment'!$E$15="Reduce EMI",W129&gt;0),-PMT(S130/1200,MAX(1,'Loan Prepayment'!$B$7*12-Q130+1),R130),T129),R130+U130))</f>
        <v>86782.323336553396</v>
      </c>
      <c r="U130">
        <f t="shared" ref="U130:U193" si="48">IF(R130&lt;=0,0,R130*S130/1200)</f>
        <v>47417.754501382464</v>
      </c>
      <c r="V130">
        <f t="shared" ref="V130:V193" si="49">MAX(0,T130-U130)</f>
        <v>39364.568835170932</v>
      </c>
      <c r="W130">
        <f>IF(R130&lt;=0,0,MIN(MAX(0,R130-V130),0+IF(AND(Q130&gt;='Loan Prepayment'!$B$9,Q130&lt;='Loan Prepayment'!$E$16),'Loan Prepayment'!$B$8,0)))</f>
        <v>0</v>
      </c>
      <c r="X130">
        <f t="shared" ref="X130:X193" si="50">MAX(0,R130-V130-W130)</f>
        <v>6654906.6548894113</v>
      </c>
      <c r="Y130">
        <v>129</v>
      </c>
      <c r="Z130">
        <f t="shared" si="40"/>
        <v>6136650.6796354707</v>
      </c>
      <c r="AA130">
        <f>IF(Y130&gt;='Loan Prepayment'!$E$11,'Loan Prepayment'!$E$12,'Loan Prepayment'!$B$6)</f>
        <v>7.5</v>
      </c>
      <c r="AB130">
        <f>IF(Z130&lt;=0,0,MIN(IF(Y130='Loan Prepayment'!$E$11,IF('Loan Prepayment'!$E$13="Keep tenure, recalculate EMI",-PMT(AA130/1200,MAX(1,'Loan Prepayment'!$B$7*12-Y130+1),Z130),AB129),AB129),Z130+AC130))</f>
        <v>86782.323336553396</v>
      </c>
      <c r="AC130">
        <f t="shared" ref="AC130:AC193" si="51">IF(Z130&lt;=0,0,Z130*AA130/1200)</f>
        <v>38354.066747721692</v>
      </c>
      <c r="AD130">
        <f t="shared" ref="AD130:AD193" si="52">MAX(0,AB130-AC130)</f>
        <v>48428.256588831704</v>
      </c>
      <c r="AE130">
        <f t="shared" ref="AE130:AE193" si="53">IF(Z130&lt;=0,0,MIN(MAX(0,Z130-AD130),0))</f>
        <v>0</v>
      </c>
      <c r="AF130">
        <f t="shared" ref="AF130:AF193" si="54">MAX(0,Z130-AD130-AE130)</f>
        <v>6088222.4230466392</v>
      </c>
      <c r="AG130">
        <v>129</v>
      </c>
      <c r="AH130">
        <f t="shared" si="41"/>
        <v>4731590.8703487404</v>
      </c>
      <c r="AI130">
        <f>IF(AG130&gt;='Loan Prepayment'!$E$11,'Loan Prepayment'!$E$12,'Loan Prepayment'!$B$6)</f>
        <v>7.5</v>
      </c>
      <c r="AJ130">
        <f>IF(AH130&lt;=0,0,MIN(IF(AG130='Loan Prepayment'!$E$11,IF('Loan Prepayment'!$E$13="Keep tenure, recalculate EMI",-PMT(AI130/1200,MAX(1,'Loan Prepayment'!$B$7*12-AG130+1),AH130),AJ129),IF(AND('Loan Prepayment'!$E$15="Reduce EMI",AM129&gt;0),-PMT(AI130/1200,MAX(1,'Loan Prepayment'!$B$7*12-AG130+1),AH130),AJ129)),AH130+AK130))</f>
        <v>77713.634667410894</v>
      </c>
      <c r="AK130">
        <f t="shared" ref="AK130:AK193" si="55">IF(AH130&lt;=0,0,AH130*AI130/1200)</f>
        <v>29572.442939679629</v>
      </c>
      <c r="AL130">
        <f t="shared" ref="AL130:AL193" si="56">MAX(0,AJ130-AK130)</f>
        <v>48141.19172773126</v>
      </c>
      <c r="AM130">
        <f>IF(AH130&lt;=0,0,MIN(MAX(0,AH130-AL130),SUMIFS('Loan Prepayment'!$B$12:$B$16,'Loan Prepayment'!$A$12:$A$16,AG130)+IF(AND(AG130&gt;='Loan Prepayment'!$B$9,AG130&lt;='Loan Prepayment'!$E$16),'Loan Prepayment'!$B$8,0)))</f>
        <v>0</v>
      </c>
      <c r="AN130">
        <f t="shared" ref="AN130:AN193" si="57">MAX(0,AH130-AL130-AM130)</f>
        <v>4683449.678621009</v>
      </c>
    </row>
    <row r="131" spans="1:40" x14ac:dyDescent="0.35">
      <c r="A131">
        <v>130</v>
      </c>
      <c r="B131">
        <f t="shared" ref="B131:B194" si="58">H130</f>
        <v>6654906.6548894113</v>
      </c>
      <c r="C131" s="78">
        <f>'Loan Prepayment'!$B$6</f>
        <v>8.5</v>
      </c>
      <c r="D131">
        <f>IF(B131&lt;=0,0,MIN(-PMT('Loan Prepayment'!$B$6/1200,'Loan Prepayment'!$B$7*12,'Loan Prepayment'!$B$5),B131+E131))</f>
        <v>86782.323336553396</v>
      </c>
      <c r="E131">
        <f t="shared" si="42"/>
        <v>47138.922138799993</v>
      </c>
      <c r="F131">
        <f t="shared" si="43"/>
        <v>39643.401197753403</v>
      </c>
      <c r="G131">
        <v>0</v>
      </c>
      <c r="H131">
        <f t="shared" si="44"/>
        <v>6615263.2536916574</v>
      </c>
      <c r="I131">
        <v>130</v>
      </c>
      <c r="J131">
        <f t="shared" ref="J131:J194" si="59">P130</f>
        <v>5581899.8237501727</v>
      </c>
      <c r="K131" s="78">
        <f>'Loan Prepayment'!$B$6</f>
        <v>8.5</v>
      </c>
      <c r="L131">
        <f>IF(J131&lt;=0,0,MIN(IF(AND('Loan Prepayment'!$E$15="Reduce EMI",O130&gt;0),-PMT(K131/1200,MAX(1,'Loan Prepayment'!$B$7*12-I131+1),J131),L130),J131+M131))</f>
        <v>72789.936877782937</v>
      </c>
      <c r="M131">
        <f t="shared" si="45"/>
        <v>39538.457084897054</v>
      </c>
      <c r="N131">
        <f t="shared" si="46"/>
        <v>33251.479792885882</v>
      </c>
      <c r="O131">
        <f>IF(J131&lt;=0,0,MIN(MAX(0,J131-N131),SUMIFS('Loan Prepayment'!$B$12:$B$16,'Loan Prepayment'!$A$12:$A$16,I131)+0))</f>
        <v>0</v>
      </c>
      <c r="P131">
        <f t="shared" si="47"/>
        <v>5548648.3439572873</v>
      </c>
      <c r="Q131">
        <v>130</v>
      </c>
      <c r="R131">
        <f t="shared" ref="R131:R194" si="60">X130</f>
        <v>6654906.6548894113</v>
      </c>
      <c r="S131" s="78">
        <f>'Loan Prepayment'!$B$6</f>
        <v>8.5</v>
      </c>
      <c r="T131">
        <f>IF(R131&lt;=0,0,MIN(IF(AND('Loan Prepayment'!$E$15="Reduce EMI",W130&gt;0),-PMT(S131/1200,MAX(1,'Loan Prepayment'!$B$7*12-Q131+1),R131),T130),R131+U131))</f>
        <v>86782.323336553396</v>
      </c>
      <c r="U131">
        <f t="shared" si="48"/>
        <v>47138.922138799993</v>
      </c>
      <c r="V131">
        <f t="shared" si="49"/>
        <v>39643.401197753403</v>
      </c>
      <c r="W131">
        <f>IF(R131&lt;=0,0,MIN(MAX(0,R131-V131),0+IF(AND(Q131&gt;='Loan Prepayment'!$B$9,Q131&lt;='Loan Prepayment'!$E$16),'Loan Prepayment'!$B$8,0)))</f>
        <v>0</v>
      </c>
      <c r="X131">
        <f t="shared" si="50"/>
        <v>6615263.2536916574</v>
      </c>
      <c r="Y131">
        <v>130</v>
      </c>
      <c r="Z131">
        <f t="shared" ref="Z131:Z194" si="61">AF130</f>
        <v>6088222.4230466392</v>
      </c>
      <c r="AA131">
        <f>IF(Y131&gt;='Loan Prepayment'!$E$11,'Loan Prepayment'!$E$12,'Loan Prepayment'!$B$6)</f>
        <v>7.5</v>
      </c>
      <c r="AB131">
        <f>IF(Z131&lt;=0,0,MIN(IF(Y131='Loan Prepayment'!$E$11,IF('Loan Prepayment'!$E$13="Keep tenure, recalculate EMI",-PMT(AA131/1200,MAX(1,'Loan Prepayment'!$B$7*12-Y131+1),Z131),AB130),AB130),Z131+AC131))</f>
        <v>86782.323336553396</v>
      </c>
      <c r="AC131">
        <f t="shared" si="51"/>
        <v>38051.390144041499</v>
      </c>
      <c r="AD131">
        <f t="shared" si="52"/>
        <v>48730.933192511897</v>
      </c>
      <c r="AE131">
        <f t="shared" si="53"/>
        <v>0</v>
      </c>
      <c r="AF131">
        <f t="shared" si="54"/>
        <v>6039491.4898541272</v>
      </c>
      <c r="AG131">
        <v>130</v>
      </c>
      <c r="AH131">
        <f t="shared" ref="AH131:AH194" si="62">AN130</f>
        <v>4683449.678621009</v>
      </c>
      <c r="AI131">
        <f>IF(AG131&gt;='Loan Prepayment'!$E$11,'Loan Prepayment'!$E$12,'Loan Prepayment'!$B$6)</f>
        <v>7.5</v>
      </c>
      <c r="AJ131">
        <f>IF(AH131&lt;=0,0,MIN(IF(AG131='Loan Prepayment'!$E$11,IF('Loan Prepayment'!$E$13="Keep tenure, recalculate EMI",-PMT(AI131/1200,MAX(1,'Loan Prepayment'!$B$7*12-AG131+1),AH131),AJ130),IF(AND('Loan Prepayment'!$E$15="Reduce EMI",AM130&gt;0),-PMT(AI131/1200,MAX(1,'Loan Prepayment'!$B$7*12-AG131+1),AH131),AJ130)),AH131+AK131))</f>
        <v>77713.634667410894</v>
      </c>
      <c r="AK131">
        <f t="shared" si="55"/>
        <v>29271.560491381308</v>
      </c>
      <c r="AL131">
        <f t="shared" si="56"/>
        <v>48442.074176029586</v>
      </c>
      <c r="AM131">
        <f>IF(AH131&lt;=0,0,MIN(MAX(0,AH131-AL131),SUMIFS('Loan Prepayment'!$B$12:$B$16,'Loan Prepayment'!$A$12:$A$16,AG131)+IF(AND(AG131&gt;='Loan Prepayment'!$B$9,AG131&lt;='Loan Prepayment'!$E$16),'Loan Prepayment'!$B$8,0)))</f>
        <v>0</v>
      </c>
      <c r="AN131">
        <f t="shared" si="57"/>
        <v>4635007.6044449797</v>
      </c>
    </row>
    <row r="132" spans="1:40" x14ac:dyDescent="0.35">
      <c r="A132">
        <v>131</v>
      </c>
      <c r="B132">
        <f t="shared" si="58"/>
        <v>6615263.2536916574</v>
      </c>
      <c r="C132" s="78">
        <f>'Loan Prepayment'!$B$6</f>
        <v>8.5</v>
      </c>
      <c r="D132">
        <f>IF(B132&lt;=0,0,MIN(-PMT('Loan Prepayment'!$B$6/1200,'Loan Prepayment'!$B$7*12,'Loan Prepayment'!$B$5),B132+E132))</f>
        <v>86782.323336553396</v>
      </c>
      <c r="E132">
        <f t="shared" si="42"/>
        <v>46858.114713649244</v>
      </c>
      <c r="F132">
        <f t="shared" si="43"/>
        <v>39924.208622904152</v>
      </c>
      <c r="G132">
        <v>0</v>
      </c>
      <c r="H132">
        <f t="shared" si="44"/>
        <v>6575339.045068753</v>
      </c>
      <c r="I132">
        <v>131</v>
      </c>
      <c r="J132">
        <f t="shared" si="59"/>
        <v>5548648.3439572873</v>
      </c>
      <c r="K132" s="78">
        <f>'Loan Prepayment'!$B$6</f>
        <v>8.5</v>
      </c>
      <c r="L132">
        <f>IF(J132&lt;=0,0,MIN(IF(AND('Loan Prepayment'!$E$15="Reduce EMI",O131&gt;0),-PMT(K132/1200,MAX(1,'Loan Prepayment'!$B$7*12-I132+1),J132),L131),J132+M132))</f>
        <v>72789.936877782937</v>
      </c>
      <c r="M132">
        <f t="shared" si="45"/>
        <v>39302.925769697453</v>
      </c>
      <c r="N132">
        <f t="shared" si="46"/>
        <v>33487.011108085484</v>
      </c>
      <c r="O132">
        <f>IF(J132&lt;=0,0,MIN(MAX(0,J132-N132),SUMIFS('Loan Prepayment'!$B$12:$B$16,'Loan Prepayment'!$A$12:$A$16,I132)+0))</f>
        <v>0</v>
      </c>
      <c r="P132">
        <f t="shared" si="47"/>
        <v>5515161.3328492017</v>
      </c>
      <c r="Q132">
        <v>131</v>
      </c>
      <c r="R132">
        <f t="shared" si="60"/>
        <v>6615263.2536916574</v>
      </c>
      <c r="S132" s="78">
        <f>'Loan Prepayment'!$B$6</f>
        <v>8.5</v>
      </c>
      <c r="T132">
        <f>IF(R132&lt;=0,0,MIN(IF(AND('Loan Prepayment'!$E$15="Reduce EMI",W131&gt;0),-PMT(S132/1200,MAX(1,'Loan Prepayment'!$B$7*12-Q132+1),R132),T131),R132+U132))</f>
        <v>86782.323336553396</v>
      </c>
      <c r="U132">
        <f t="shared" si="48"/>
        <v>46858.114713649244</v>
      </c>
      <c r="V132">
        <f t="shared" si="49"/>
        <v>39924.208622904152</v>
      </c>
      <c r="W132">
        <f>IF(R132&lt;=0,0,MIN(MAX(0,R132-V132),0+IF(AND(Q132&gt;='Loan Prepayment'!$B$9,Q132&lt;='Loan Prepayment'!$E$16),'Loan Prepayment'!$B$8,0)))</f>
        <v>0</v>
      </c>
      <c r="X132">
        <f t="shared" si="50"/>
        <v>6575339.045068753</v>
      </c>
      <c r="Y132">
        <v>131</v>
      </c>
      <c r="Z132">
        <f t="shared" si="61"/>
        <v>6039491.4898541272</v>
      </c>
      <c r="AA132">
        <f>IF(Y132&gt;='Loan Prepayment'!$E$11,'Loan Prepayment'!$E$12,'Loan Prepayment'!$B$6)</f>
        <v>7.5</v>
      </c>
      <c r="AB132">
        <f>IF(Z132&lt;=0,0,MIN(IF(Y132='Loan Prepayment'!$E$11,IF('Loan Prepayment'!$E$13="Keep tenure, recalculate EMI",-PMT(AA132/1200,MAX(1,'Loan Prepayment'!$B$7*12-Y132+1),Z132),AB131),AB131),Z132+AC132))</f>
        <v>86782.323336553396</v>
      </c>
      <c r="AC132">
        <f t="shared" si="51"/>
        <v>37746.821811588292</v>
      </c>
      <c r="AD132">
        <f t="shared" si="52"/>
        <v>49035.501524965104</v>
      </c>
      <c r="AE132">
        <f t="shared" si="53"/>
        <v>0</v>
      </c>
      <c r="AF132">
        <f t="shared" si="54"/>
        <v>5990455.9883291619</v>
      </c>
      <c r="AG132">
        <v>131</v>
      </c>
      <c r="AH132">
        <f t="shared" si="62"/>
        <v>4635007.6044449797</v>
      </c>
      <c r="AI132">
        <f>IF(AG132&gt;='Loan Prepayment'!$E$11,'Loan Prepayment'!$E$12,'Loan Prepayment'!$B$6)</f>
        <v>7.5</v>
      </c>
      <c r="AJ132">
        <f>IF(AH132&lt;=0,0,MIN(IF(AG132='Loan Prepayment'!$E$11,IF('Loan Prepayment'!$E$13="Keep tenure, recalculate EMI",-PMT(AI132/1200,MAX(1,'Loan Prepayment'!$B$7*12-AG132+1),AH132),AJ131),IF(AND('Loan Prepayment'!$E$15="Reduce EMI",AM131&gt;0),-PMT(AI132/1200,MAX(1,'Loan Prepayment'!$B$7*12-AG132+1),AH132),AJ131)),AH132+AK132))</f>
        <v>77713.634667410894</v>
      </c>
      <c r="AK132">
        <f t="shared" si="55"/>
        <v>28968.797527781124</v>
      </c>
      <c r="AL132">
        <f t="shared" si="56"/>
        <v>48744.837139629773</v>
      </c>
      <c r="AM132">
        <f>IF(AH132&lt;=0,0,MIN(MAX(0,AH132-AL132),SUMIFS('Loan Prepayment'!$B$12:$B$16,'Loan Prepayment'!$A$12:$A$16,AG132)+IF(AND(AG132&gt;='Loan Prepayment'!$B$9,AG132&lt;='Loan Prepayment'!$E$16),'Loan Prepayment'!$B$8,0)))</f>
        <v>0</v>
      </c>
      <c r="AN132">
        <f t="shared" si="57"/>
        <v>4586262.7673053499</v>
      </c>
    </row>
    <row r="133" spans="1:40" x14ac:dyDescent="0.35">
      <c r="A133">
        <v>132</v>
      </c>
      <c r="B133">
        <f t="shared" si="58"/>
        <v>6575339.045068753</v>
      </c>
      <c r="C133" s="78">
        <f>'Loan Prepayment'!$B$6</f>
        <v>8.5</v>
      </c>
      <c r="D133">
        <f>IF(B133&lt;=0,0,MIN(-PMT('Loan Prepayment'!$B$6/1200,'Loan Prepayment'!$B$7*12,'Loan Prepayment'!$B$5),B133+E133))</f>
        <v>86782.323336553396</v>
      </c>
      <c r="E133">
        <f t="shared" si="42"/>
        <v>46575.318235903665</v>
      </c>
      <c r="F133">
        <f t="shared" si="43"/>
        <v>40207.005100649731</v>
      </c>
      <c r="G133">
        <v>0</v>
      </c>
      <c r="H133">
        <f t="shared" si="44"/>
        <v>6535132.0399681032</v>
      </c>
      <c r="I133">
        <v>132</v>
      </c>
      <c r="J133">
        <f t="shared" si="59"/>
        <v>5515161.3328492017</v>
      </c>
      <c r="K133" s="78">
        <f>'Loan Prepayment'!$B$6</f>
        <v>8.5</v>
      </c>
      <c r="L133">
        <f>IF(J133&lt;=0,0,MIN(IF(AND('Loan Prepayment'!$E$15="Reduce EMI",O132&gt;0),-PMT(K133/1200,MAX(1,'Loan Prepayment'!$B$7*12-I133+1),J133),L132),J133+M133))</f>
        <v>72789.936877782937</v>
      </c>
      <c r="M133">
        <f t="shared" si="45"/>
        <v>39065.726107681847</v>
      </c>
      <c r="N133">
        <f t="shared" si="46"/>
        <v>33724.21077010109</v>
      </c>
      <c r="O133">
        <f>IF(J133&lt;=0,0,MIN(MAX(0,J133-N133),SUMIFS('Loan Prepayment'!$B$12:$B$16,'Loan Prepayment'!$A$12:$A$16,I133)+0))</f>
        <v>0</v>
      </c>
      <c r="P133">
        <f t="shared" si="47"/>
        <v>5481437.1220791005</v>
      </c>
      <c r="Q133">
        <v>132</v>
      </c>
      <c r="R133">
        <f t="shared" si="60"/>
        <v>6575339.045068753</v>
      </c>
      <c r="S133" s="78">
        <f>'Loan Prepayment'!$B$6</f>
        <v>8.5</v>
      </c>
      <c r="T133">
        <f>IF(R133&lt;=0,0,MIN(IF(AND('Loan Prepayment'!$E$15="Reduce EMI",W132&gt;0),-PMT(S133/1200,MAX(1,'Loan Prepayment'!$B$7*12-Q133+1),R133),T132),R133+U133))</f>
        <v>86782.323336553396</v>
      </c>
      <c r="U133">
        <f t="shared" si="48"/>
        <v>46575.318235903665</v>
      </c>
      <c r="V133">
        <f t="shared" si="49"/>
        <v>40207.005100649731</v>
      </c>
      <c r="W133">
        <f>IF(R133&lt;=0,0,MIN(MAX(0,R133-V133),0+IF(AND(Q133&gt;='Loan Prepayment'!$B$9,Q133&lt;='Loan Prepayment'!$E$16),'Loan Prepayment'!$B$8,0)))</f>
        <v>0</v>
      </c>
      <c r="X133">
        <f t="shared" si="50"/>
        <v>6535132.0399681032</v>
      </c>
      <c r="Y133">
        <v>132</v>
      </c>
      <c r="Z133">
        <f t="shared" si="61"/>
        <v>5990455.9883291619</v>
      </c>
      <c r="AA133">
        <f>IF(Y133&gt;='Loan Prepayment'!$E$11,'Loan Prepayment'!$E$12,'Loan Prepayment'!$B$6)</f>
        <v>7.5</v>
      </c>
      <c r="AB133">
        <f>IF(Z133&lt;=0,0,MIN(IF(Y133='Loan Prepayment'!$E$11,IF('Loan Prepayment'!$E$13="Keep tenure, recalculate EMI",-PMT(AA133/1200,MAX(1,'Loan Prepayment'!$B$7*12-Y133+1),Z133),AB132),AB132),Z133+AC133))</f>
        <v>86782.323336553396</v>
      </c>
      <c r="AC133">
        <f t="shared" si="51"/>
        <v>37440.349927057265</v>
      </c>
      <c r="AD133">
        <f t="shared" si="52"/>
        <v>49341.973409496131</v>
      </c>
      <c r="AE133">
        <f t="shared" si="53"/>
        <v>0</v>
      </c>
      <c r="AF133">
        <f t="shared" si="54"/>
        <v>5941114.0149196656</v>
      </c>
      <c r="AG133">
        <v>132</v>
      </c>
      <c r="AH133">
        <f t="shared" si="62"/>
        <v>4586262.7673053499</v>
      </c>
      <c r="AI133">
        <f>IF(AG133&gt;='Loan Prepayment'!$E$11,'Loan Prepayment'!$E$12,'Loan Prepayment'!$B$6)</f>
        <v>7.5</v>
      </c>
      <c r="AJ133">
        <f>IF(AH133&lt;=0,0,MIN(IF(AG133='Loan Prepayment'!$E$11,IF('Loan Prepayment'!$E$13="Keep tenure, recalculate EMI",-PMT(AI133/1200,MAX(1,'Loan Prepayment'!$B$7*12-AG133+1),AH133),AJ132),IF(AND('Loan Prepayment'!$E$15="Reduce EMI",AM132&gt;0),-PMT(AI133/1200,MAX(1,'Loan Prepayment'!$B$7*12-AG133+1),AH133),AJ132)),AH133+AK133))</f>
        <v>77713.634667410894</v>
      </c>
      <c r="AK133">
        <f t="shared" si="55"/>
        <v>28664.142295658439</v>
      </c>
      <c r="AL133">
        <f t="shared" si="56"/>
        <v>49049.492371752451</v>
      </c>
      <c r="AM133">
        <f>IF(AH133&lt;=0,0,MIN(MAX(0,AH133-AL133),SUMIFS('Loan Prepayment'!$B$12:$B$16,'Loan Prepayment'!$A$12:$A$16,AG133)+IF(AND(AG133&gt;='Loan Prepayment'!$B$9,AG133&lt;='Loan Prepayment'!$E$16),'Loan Prepayment'!$B$8,0)))</f>
        <v>0</v>
      </c>
      <c r="AN133">
        <f t="shared" si="57"/>
        <v>4537213.2749335971</v>
      </c>
    </row>
    <row r="134" spans="1:40" x14ac:dyDescent="0.35">
      <c r="A134">
        <v>133</v>
      </c>
      <c r="B134">
        <f t="shared" si="58"/>
        <v>6535132.0399681032</v>
      </c>
      <c r="C134" s="78">
        <f>'Loan Prepayment'!$B$6</f>
        <v>8.5</v>
      </c>
      <c r="D134">
        <f>IF(B134&lt;=0,0,MIN(-PMT('Loan Prepayment'!$B$6/1200,'Loan Prepayment'!$B$7*12,'Loan Prepayment'!$B$5),B134+E134))</f>
        <v>86782.323336553396</v>
      </c>
      <c r="E134">
        <f t="shared" si="42"/>
        <v>46290.518616440728</v>
      </c>
      <c r="F134">
        <f t="shared" si="43"/>
        <v>40491.804720112668</v>
      </c>
      <c r="G134">
        <v>0</v>
      </c>
      <c r="H134">
        <f t="shared" si="44"/>
        <v>6494640.2352479901</v>
      </c>
      <c r="I134">
        <v>133</v>
      </c>
      <c r="J134">
        <f t="shared" si="59"/>
        <v>5481437.1220791005</v>
      </c>
      <c r="K134" s="78">
        <f>'Loan Prepayment'!$B$6</f>
        <v>8.5</v>
      </c>
      <c r="L134">
        <f>IF(J134&lt;=0,0,MIN(IF(AND('Loan Prepayment'!$E$15="Reduce EMI",O133&gt;0),-PMT(K134/1200,MAX(1,'Loan Prepayment'!$B$7*12-I134+1),J134),L133),J134+M134))</f>
        <v>72789.936877782937</v>
      </c>
      <c r="M134">
        <f t="shared" si="45"/>
        <v>38826.846281393628</v>
      </c>
      <c r="N134">
        <f t="shared" si="46"/>
        <v>33963.090596389309</v>
      </c>
      <c r="O134">
        <f>IF(J134&lt;=0,0,MIN(MAX(0,J134-N134),SUMIFS('Loan Prepayment'!$B$12:$B$16,'Loan Prepayment'!$A$12:$A$16,I134)+0))</f>
        <v>0</v>
      </c>
      <c r="P134">
        <f t="shared" si="47"/>
        <v>5447474.0314827114</v>
      </c>
      <c r="Q134">
        <v>133</v>
      </c>
      <c r="R134">
        <f t="shared" si="60"/>
        <v>6535132.0399681032</v>
      </c>
      <c r="S134" s="78">
        <f>'Loan Prepayment'!$B$6</f>
        <v>8.5</v>
      </c>
      <c r="T134">
        <f>IF(R134&lt;=0,0,MIN(IF(AND('Loan Prepayment'!$E$15="Reduce EMI",W133&gt;0),-PMT(S134/1200,MAX(1,'Loan Prepayment'!$B$7*12-Q134+1),R134),T133),R134+U134))</f>
        <v>86782.323336553396</v>
      </c>
      <c r="U134">
        <f t="shared" si="48"/>
        <v>46290.518616440728</v>
      </c>
      <c r="V134">
        <f t="shared" si="49"/>
        <v>40491.804720112668</v>
      </c>
      <c r="W134">
        <f>IF(R134&lt;=0,0,MIN(MAX(0,R134-V134),0+IF(AND(Q134&gt;='Loan Prepayment'!$B$9,Q134&lt;='Loan Prepayment'!$E$16),'Loan Prepayment'!$B$8,0)))</f>
        <v>0</v>
      </c>
      <c r="X134">
        <f t="shared" si="50"/>
        <v>6494640.2352479901</v>
      </c>
      <c r="Y134">
        <v>133</v>
      </c>
      <c r="Z134">
        <f t="shared" si="61"/>
        <v>5941114.0149196656</v>
      </c>
      <c r="AA134">
        <f>IF(Y134&gt;='Loan Prepayment'!$E$11,'Loan Prepayment'!$E$12,'Loan Prepayment'!$B$6)</f>
        <v>7.5</v>
      </c>
      <c r="AB134">
        <f>IF(Z134&lt;=0,0,MIN(IF(Y134='Loan Prepayment'!$E$11,IF('Loan Prepayment'!$E$13="Keep tenure, recalculate EMI",-PMT(AA134/1200,MAX(1,'Loan Prepayment'!$B$7*12-Y134+1),Z134),AB133),AB133),Z134+AC134))</f>
        <v>86782.323336553396</v>
      </c>
      <c r="AC134">
        <f t="shared" si="51"/>
        <v>37131.96259324791</v>
      </c>
      <c r="AD134">
        <f t="shared" si="52"/>
        <v>49650.360743305486</v>
      </c>
      <c r="AE134">
        <f t="shared" si="53"/>
        <v>0</v>
      </c>
      <c r="AF134">
        <f t="shared" si="54"/>
        <v>5891463.65417636</v>
      </c>
      <c r="AG134">
        <v>133</v>
      </c>
      <c r="AH134">
        <f t="shared" si="62"/>
        <v>4537213.2749335971</v>
      </c>
      <c r="AI134">
        <f>IF(AG134&gt;='Loan Prepayment'!$E$11,'Loan Prepayment'!$E$12,'Loan Prepayment'!$B$6)</f>
        <v>7.5</v>
      </c>
      <c r="AJ134">
        <f>IF(AH134&lt;=0,0,MIN(IF(AG134='Loan Prepayment'!$E$11,IF('Loan Prepayment'!$E$13="Keep tenure, recalculate EMI",-PMT(AI134/1200,MAX(1,'Loan Prepayment'!$B$7*12-AG134+1),AH134),AJ133),IF(AND('Loan Prepayment'!$E$15="Reduce EMI",AM133&gt;0),-PMT(AI134/1200,MAX(1,'Loan Prepayment'!$B$7*12-AG134+1),AH134),AJ133)),AH134+AK134))</f>
        <v>77713.634667410894</v>
      </c>
      <c r="AK134">
        <f t="shared" si="55"/>
        <v>28357.582968334984</v>
      </c>
      <c r="AL134">
        <f t="shared" si="56"/>
        <v>49356.051699075906</v>
      </c>
      <c r="AM134">
        <f>IF(AH134&lt;=0,0,MIN(MAX(0,AH134-AL134),SUMIFS('Loan Prepayment'!$B$12:$B$16,'Loan Prepayment'!$A$12:$A$16,AG134)+IF(AND(AG134&gt;='Loan Prepayment'!$B$9,AG134&lt;='Loan Prepayment'!$E$16),'Loan Prepayment'!$B$8,0)))</f>
        <v>0</v>
      </c>
      <c r="AN134">
        <f t="shared" si="57"/>
        <v>4487857.2232345212</v>
      </c>
    </row>
    <row r="135" spans="1:40" x14ac:dyDescent="0.35">
      <c r="A135">
        <v>134</v>
      </c>
      <c r="B135">
        <f t="shared" si="58"/>
        <v>6494640.2352479901</v>
      </c>
      <c r="C135" s="78">
        <f>'Loan Prepayment'!$B$6</f>
        <v>8.5</v>
      </c>
      <c r="D135">
        <f>IF(B135&lt;=0,0,MIN(-PMT('Loan Prepayment'!$B$6/1200,'Loan Prepayment'!$B$7*12,'Loan Prepayment'!$B$5),B135+E135))</f>
        <v>86782.323336553396</v>
      </c>
      <c r="E135">
        <f t="shared" si="42"/>
        <v>46003.701666339926</v>
      </c>
      <c r="F135">
        <f t="shared" si="43"/>
        <v>40778.62167021347</v>
      </c>
      <c r="G135">
        <v>0</v>
      </c>
      <c r="H135">
        <f t="shared" si="44"/>
        <v>6453861.6135777766</v>
      </c>
      <c r="I135">
        <v>134</v>
      </c>
      <c r="J135">
        <f t="shared" si="59"/>
        <v>5447474.0314827114</v>
      </c>
      <c r="K135" s="78">
        <f>'Loan Prepayment'!$B$6</f>
        <v>8.5</v>
      </c>
      <c r="L135">
        <f>IF(J135&lt;=0,0,MIN(IF(AND('Loan Prepayment'!$E$15="Reduce EMI",O134&gt;0),-PMT(K135/1200,MAX(1,'Loan Prepayment'!$B$7*12-I135+1),J135),L134),J135+M135))</f>
        <v>72789.936877782937</v>
      </c>
      <c r="M135">
        <f t="shared" si="45"/>
        <v>38586.274389669205</v>
      </c>
      <c r="N135">
        <f t="shared" si="46"/>
        <v>34203.662488113732</v>
      </c>
      <c r="O135">
        <f>IF(J135&lt;=0,0,MIN(MAX(0,J135-N135),SUMIFS('Loan Prepayment'!$B$12:$B$16,'Loan Prepayment'!$A$12:$A$16,I135)+0))</f>
        <v>0</v>
      </c>
      <c r="P135">
        <f t="shared" si="47"/>
        <v>5413270.3689945973</v>
      </c>
      <c r="Q135">
        <v>134</v>
      </c>
      <c r="R135">
        <f t="shared" si="60"/>
        <v>6494640.2352479901</v>
      </c>
      <c r="S135" s="78">
        <f>'Loan Prepayment'!$B$6</f>
        <v>8.5</v>
      </c>
      <c r="T135">
        <f>IF(R135&lt;=0,0,MIN(IF(AND('Loan Prepayment'!$E$15="Reduce EMI",W134&gt;0),-PMT(S135/1200,MAX(1,'Loan Prepayment'!$B$7*12-Q135+1),R135),T134),R135+U135))</f>
        <v>86782.323336553396</v>
      </c>
      <c r="U135">
        <f t="shared" si="48"/>
        <v>46003.701666339926</v>
      </c>
      <c r="V135">
        <f t="shared" si="49"/>
        <v>40778.62167021347</v>
      </c>
      <c r="W135">
        <f>IF(R135&lt;=0,0,MIN(MAX(0,R135-V135),0+IF(AND(Q135&gt;='Loan Prepayment'!$B$9,Q135&lt;='Loan Prepayment'!$E$16),'Loan Prepayment'!$B$8,0)))</f>
        <v>0</v>
      </c>
      <c r="X135">
        <f t="shared" si="50"/>
        <v>6453861.6135777766</v>
      </c>
      <c r="Y135">
        <v>134</v>
      </c>
      <c r="Z135">
        <f t="shared" si="61"/>
        <v>5891463.65417636</v>
      </c>
      <c r="AA135">
        <f>IF(Y135&gt;='Loan Prepayment'!$E$11,'Loan Prepayment'!$E$12,'Loan Prepayment'!$B$6)</f>
        <v>7.5</v>
      </c>
      <c r="AB135">
        <f>IF(Z135&lt;=0,0,MIN(IF(Y135='Loan Prepayment'!$E$11,IF('Loan Prepayment'!$E$13="Keep tenure, recalculate EMI",-PMT(AA135/1200,MAX(1,'Loan Prepayment'!$B$7*12-Y135+1),Z135),AB134),AB134),Z135+AC135))</f>
        <v>86782.323336553396</v>
      </c>
      <c r="AC135">
        <f t="shared" si="51"/>
        <v>36821.64783860225</v>
      </c>
      <c r="AD135">
        <f t="shared" si="52"/>
        <v>49960.675497951146</v>
      </c>
      <c r="AE135">
        <f t="shared" si="53"/>
        <v>0</v>
      </c>
      <c r="AF135">
        <f t="shared" si="54"/>
        <v>5841502.978678409</v>
      </c>
      <c r="AG135">
        <v>134</v>
      </c>
      <c r="AH135">
        <f t="shared" si="62"/>
        <v>4487857.2232345212</v>
      </c>
      <c r="AI135">
        <f>IF(AG135&gt;='Loan Prepayment'!$E$11,'Loan Prepayment'!$E$12,'Loan Prepayment'!$B$6)</f>
        <v>7.5</v>
      </c>
      <c r="AJ135">
        <f>IF(AH135&lt;=0,0,MIN(IF(AG135='Loan Prepayment'!$E$11,IF('Loan Prepayment'!$E$13="Keep tenure, recalculate EMI",-PMT(AI135/1200,MAX(1,'Loan Prepayment'!$B$7*12-AG135+1),AH135),AJ134),IF(AND('Loan Prepayment'!$E$15="Reduce EMI",AM134&gt;0),-PMT(AI135/1200,MAX(1,'Loan Prepayment'!$B$7*12-AG135+1),AH135),AJ134)),AH135+AK135))</f>
        <v>77713.634667410894</v>
      </c>
      <c r="AK135">
        <f t="shared" si="55"/>
        <v>28049.107645215758</v>
      </c>
      <c r="AL135">
        <f t="shared" si="56"/>
        <v>49664.527022195136</v>
      </c>
      <c r="AM135">
        <f>IF(AH135&lt;=0,0,MIN(MAX(0,AH135-AL135),SUMIFS('Loan Prepayment'!$B$12:$B$16,'Loan Prepayment'!$A$12:$A$16,AG135)+IF(AND(AG135&gt;='Loan Prepayment'!$B$9,AG135&lt;='Loan Prepayment'!$E$16),'Loan Prepayment'!$B$8,0)))</f>
        <v>0</v>
      </c>
      <c r="AN135">
        <f t="shared" si="57"/>
        <v>4438192.6962123262</v>
      </c>
    </row>
    <row r="136" spans="1:40" x14ac:dyDescent="0.35">
      <c r="A136">
        <v>135</v>
      </c>
      <c r="B136">
        <f t="shared" si="58"/>
        <v>6453861.6135777766</v>
      </c>
      <c r="C136" s="78">
        <f>'Loan Prepayment'!$B$6</f>
        <v>8.5</v>
      </c>
      <c r="D136">
        <f>IF(B136&lt;=0,0,MIN(-PMT('Loan Prepayment'!$B$6/1200,'Loan Prepayment'!$B$7*12,'Loan Prepayment'!$B$5),B136+E136))</f>
        <v>86782.323336553396</v>
      </c>
      <c r="E136">
        <f t="shared" si="42"/>
        <v>45714.853096175917</v>
      </c>
      <c r="F136">
        <f t="shared" si="43"/>
        <v>41067.470240377479</v>
      </c>
      <c r="G136">
        <v>0</v>
      </c>
      <c r="H136">
        <f t="shared" si="44"/>
        <v>6412794.1433373988</v>
      </c>
      <c r="I136">
        <v>135</v>
      </c>
      <c r="J136">
        <f t="shared" si="59"/>
        <v>5413270.3689945973</v>
      </c>
      <c r="K136" s="78">
        <f>'Loan Prepayment'!$B$6</f>
        <v>8.5</v>
      </c>
      <c r="L136">
        <f>IF(J136&lt;=0,0,MIN(IF(AND('Loan Prepayment'!$E$15="Reduce EMI",O135&gt;0),-PMT(K136/1200,MAX(1,'Loan Prepayment'!$B$7*12-I136+1),J136),L135),J136+M136))</f>
        <v>72789.936877782937</v>
      </c>
      <c r="M136">
        <f t="shared" si="45"/>
        <v>38343.998447045065</v>
      </c>
      <c r="N136">
        <f t="shared" si="46"/>
        <v>34445.938430737871</v>
      </c>
      <c r="O136">
        <f>IF(J136&lt;=0,0,MIN(MAX(0,J136-N136),SUMIFS('Loan Prepayment'!$B$12:$B$16,'Loan Prepayment'!$A$12:$A$16,I136)+0))</f>
        <v>0</v>
      </c>
      <c r="P136">
        <f t="shared" si="47"/>
        <v>5378824.4305638596</v>
      </c>
      <c r="Q136">
        <v>135</v>
      </c>
      <c r="R136">
        <f t="shared" si="60"/>
        <v>6453861.6135777766</v>
      </c>
      <c r="S136" s="78">
        <f>'Loan Prepayment'!$B$6</f>
        <v>8.5</v>
      </c>
      <c r="T136">
        <f>IF(R136&lt;=0,0,MIN(IF(AND('Loan Prepayment'!$E$15="Reduce EMI",W135&gt;0),-PMT(S136/1200,MAX(1,'Loan Prepayment'!$B$7*12-Q136+1),R136),T135),R136+U136))</f>
        <v>86782.323336553396</v>
      </c>
      <c r="U136">
        <f t="shared" si="48"/>
        <v>45714.853096175917</v>
      </c>
      <c r="V136">
        <f t="shared" si="49"/>
        <v>41067.470240377479</v>
      </c>
      <c r="W136">
        <f>IF(R136&lt;=0,0,MIN(MAX(0,R136-V136),0+IF(AND(Q136&gt;='Loan Prepayment'!$B$9,Q136&lt;='Loan Prepayment'!$E$16),'Loan Prepayment'!$B$8,0)))</f>
        <v>0</v>
      </c>
      <c r="X136">
        <f t="shared" si="50"/>
        <v>6412794.1433373988</v>
      </c>
      <c r="Y136">
        <v>135</v>
      </c>
      <c r="Z136">
        <f t="shared" si="61"/>
        <v>5841502.978678409</v>
      </c>
      <c r="AA136">
        <f>IF(Y136&gt;='Loan Prepayment'!$E$11,'Loan Prepayment'!$E$12,'Loan Prepayment'!$B$6)</f>
        <v>7.5</v>
      </c>
      <c r="AB136">
        <f>IF(Z136&lt;=0,0,MIN(IF(Y136='Loan Prepayment'!$E$11,IF('Loan Prepayment'!$E$13="Keep tenure, recalculate EMI",-PMT(AA136/1200,MAX(1,'Loan Prepayment'!$B$7*12-Y136+1),Z136),AB135),AB135),Z136+AC136))</f>
        <v>86782.323336553396</v>
      </c>
      <c r="AC136">
        <f t="shared" si="51"/>
        <v>36509.393616740061</v>
      </c>
      <c r="AD136">
        <f t="shared" si="52"/>
        <v>50272.929719813335</v>
      </c>
      <c r="AE136">
        <f t="shared" si="53"/>
        <v>0</v>
      </c>
      <c r="AF136">
        <f t="shared" si="54"/>
        <v>5791230.0489585958</v>
      </c>
      <c r="AG136">
        <v>135</v>
      </c>
      <c r="AH136">
        <f t="shared" si="62"/>
        <v>4438192.6962123262</v>
      </c>
      <c r="AI136">
        <f>IF(AG136&gt;='Loan Prepayment'!$E$11,'Loan Prepayment'!$E$12,'Loan Prepayment'!$B$6)</f>
        <v>7.5</v>
      </c>
      <c r="AJ136">
        <f>IF(AH136&lt;=0,0,MIN(IF(AG136='Loan Prepayment'!$E$11,IF('Loan Prepayment'!$E$13="Keep tenure, recalculate EMI",-PMT(AI136/1200,MAX(1,'Loan Prepayment'!$B$7*12-AG136+1),AH136),AJ135),IF(AND('Loan Prepayment'!$E$15="Reduce EMI",AM135&gt;0),-PMT(AI136/1200,MAX(1,'Loan Prepayment'!$B$7*12-AG136+1),AH136),AJ135)),AH136+AK136))</f>
        <v>77713.634667410894</v>
      </c>
      <c r="AK136">
        <f t="shared" si="55"/>
        <v>27738.704351327036</v>
      </c>
      <c r="AL136">
        <f t="shared" si="56"/>
        <v>49974.930316083861</v>
      </c>
      <c r="AM136">
        <f>IF(AH136&lt;=0,0,MIN(MAX(0,AH136-AL136),SUMIFS('Loan Prepayment'!$B$12:$B$16,'Loan Prepayment'!$A$12:$A$16,AG136)+IF(AND(AG136&gt;='Loan Prepayment'!$B$9,AG136&lt;='Loan Prepayment'!$E$16),'Loan Prepayment'!$B$8,0)))</f>
        <v>0</v>
      </c>
      <c r="AN136">
        <f t="shared" si="57"/>
        <v>4388217.7658962421</v>
      </c>
    </row>
    <row r="137" spans="1:40" x14ac:dyDescent="0.35">
      <c r="A137">
        <v>136</v>
      </c>
      <c r="B137">
        <f t="shared" si="58"/>
        <v>6412794.1433373988</v>
      </c>
      <c r="C137" s="78">
        <f>'Loan Prepayment'!$B$6</f>
        <v>8.5</v>
      </c>
      <c r="D137">
        <f>IF(B137&lt;=0,0,MIN(-PMT('Loan Prepayment'!$B$6/1200,'Loan Prepayment'!$B$7*12,'Loan Prepayment'!$B$5),B137+E137))</f>
        <v>86782.323336553396</v>
      </c>
      <c r="E137">
        <f t="shared" si="42"/>
        <v>45423.958515306578</v>
      </c>
      <c r="F137">
        <f t="shared" si="43"/>
        <v>41358.364821246818</v>
      </c>
      <c r="G137">
        <v>0</v>
      </c>
      <c r="H137">
        <f t="shared" si="44"/>
        <v>6371435.7785161519</v>
      </c>
      <c r="I137">
        <v>136</v>
      </c>
      <c r="J137">
        <f t="shared" si="59"/>
        <v>5378824.4305638596</v>
      </c>
      <c r="K137" s="78">
        <f>'Loan Prepayment'!$B$6</f>
        <v>8.5</v>
      </c>
      <c r="L137">
        <f>IF(J137&lt;=0,0,MIN(IF(AND('Loan Prepayment'!$E$15="Reduce EMI",O136&gt;0),-PMT(K137/1200,MAX(1,'Loan Prepayment'!$B$7*12-I137+1),J137),L136),J137+M137))</f>
        <v>72789.936877782937</v>
      </c>
      <c r="M137">
        <f t="shared" si="45"/>
        <v>38100.006383160675</v>
      </c>
      <c r="N137">
        <f t="shared" si="46"/>
        <v>34689.930494622262</v>
      </c>
      <c r="O137">
        <f>IF(J137&lt;=0,0,MIN(MAX(0,J137-N137),SUMIFS('Loan Prepayment'!$B$12:$B$16,'Loan Prepayment'!$A$12:$A$16,I137)+0))</f>
        <v>0</v>
      </c>
      <c r="P137">
        <f t="shared" si="47"/>
        <v>5344134.5000692373</v>
      </c>
      <c r="Q137">
        <v>136</v>
      </c>
      <c r="R137">
        <f t="shared" si="60"/>
        <v>6412794.1433373988</v>
      </c>
      <c r="S137" s="78">
        <f>'Loan Prepayment'!$B$6</f>
        <v>8.5</v>
      </c>
      <c r="T137">
        <f>IF(R137&lt;=0,0,MIN(IF(AND('Loan Prepayment'!$E$15="Reduce EMI",W136&gt;0),-PMT(S137/1200,MAX(1,'Loan Prepayment'!$B$7*12-Q137+1),R137),T136),R137+U137))</f>
        <v>86782.323336553396</v>
      </c>
      <c r="U137">
        <f t="shared" si="48"/>
        <v>45423.958515306578</v>
      </c>
      <c r="V137">
        <f t="shared" si="49"/>
        <v>41358.364821246818</v>
      </c>
      <c r="W137">
        <f>IF(R137&lt;=0,0,MIN(MAX(0,R137-V137),0+IF(AND(Q137&gt;='Loan Prepayment'!$B$9,Q137&lt;='Loan Prepayment'!$E$16),'Loan Prepayment'!$B$8,0)))</f>
        <v>0</v>
      </c>
      <c r="X137">
        <f t="shared" si="50"/>
        <v>6371435.7785161519</v>
      </c>
      <c r="Y137">
        <v>136</v>
      </c>
      <c r="Z137">
        <f t="shared" si="61"/>
        <v>5791230.0489585958</v>
      </c>
      <c r="AA137">
        <f>IF(Y137&gt;='Loan Prepayment'!$E$11,'Loan Prepayment'!$E$12,'Loan Prepayment'!$B$6)</f>
        <v>7.5</v>
      </c>
      <c r="AB137">
        <f>IF(Z137&lt;=0,0,MIN(IF(Y137='Loan Prepayment'!$E$11,IF('Loan Prepayment'!$E$13="Keep tenure, recalculate EMI",-PMT(AA137/1200,MAX(1,'Loan Prepayment'!$B$7*12-Y137+1),Z137),AB136),AB136),Z137+AC137))</f>
        <v>86782.323336553396</v>
      </c>
      <c r="AC137">
        <f t="shared" si="51"/>
        <v>36195.18780599122</v>
      </c>
      <c r="AD137">
        <f t="shared" si="52"/>
        <v>50587.135530562176</v>
      </c>
      <c r="AE137">
        <f t="shared" si="53"/>
        <v>0</v>
      </c>
      <c r="AF137">
        <f t="shared" si="54"/>
        <v>5740642.9134280337</v>
      </c>
      <c r="AG137">
        <v>136</v>
      </c>
      <c r="AH137">
        <f t="shared" si="62"/>
        <v>4388217.7658962421</v>
      </c>
      <c r="AI137">
        <f>IF(AG137&gt;='Loan Prepayment'!$E$11,'Loan Prepayment'!$E$12,'Loan Prepayment'!$B$6)</f>
        <v>7.5</v>
      </c>
      <c r="AJ137">
        <f>IF(AH137&lt;=0,0,MIN(IF(AG137='Loan Prepayment'!$E$11,IF('Loan Prepayment'!$E$13="Keep tenure, recalculate EMI",-PMT(AI137/1200,MAX(1,'Loan Prepayment'!$B$7*12-AG137+1),AH137),AJ136),IF(AND('Loan Prepayment'!$E$15="Reduce EMI",AM136&gt;0),-PMT(AI137/1200,MAX(1,'Loan Prepayment'!$B$7*12-AG137+1),AH137),AJ136)),AH137+AK137))</f>
        <v>77713.634667410894</v>
      </c>
      <c r="AK137">
        <f t="shared" si="55"/>
        <v>27426.361036851511</v>
      </c>
      <c r="AL137">
        <f t="shared" si="56"/>
        <v>50287.273630559386</v>
      </c>
      <c r="AM137">
        <f>IF(AH137&lt;=0,0,MIN(MAX(0,AH137-AL137),SUMIFS('Loan Prepayment'!$B$12:$B$16,'Loan Prepayment'!$A$12:$A$16,AG137)+IF(AND(AG137&gt;='Loan Prepayment'!$B$9,AG137&lt;='Loan Prepayment'!$E$16),'Loan Prepayment'!$B$8,0)))</f>
        <v>0</v>
      </c>
      <c r="AN137">
        <f t="shared" si="57"/>
        <v>4337930.4922656827</v>
      </c>
    </row>
    <row r="138" spans="1:40" x14ac:dyDescent="0.35">
      <c r="A138">
        <v>137</v>
      </c>
      <c r="B138">
        <f t="shared" si="58"/>
        <v>6371435.7785161519</v>
      </c>
      <c r="C138" s="78">
        <f>'Loan Prepayment'!$B$6</f>
        <v>8.5</v>
      </c>
      <c r="D138">
        <f>IF(B138&lt;=0,0,MIN(-PMT('Loan Prepayment'!$B$6/1200,'Loan Prepayment'!$B$7*12,'Loan Prepayment'!$B$5),B138+E138))</f>
        <v>86782.323336553396</v>
      </c>
      <c r="E138">
        <f t="shared" si="42"/>
        <v>45131.003431156081</v>
      </c>
      <c r="F138">
        <f t="shared" si="43"/>
        <v>41651.319905397315</v>
      </c>
      <c r="G138">
        <v>0</v>
      </c>
      <c r="H138">
        <f t="shared" si="44"/>
        <v>6329784.4586107545</v>
      </c>
      <c r="I138">
        <v>137</v>
      </c>
      <c r="J138">
        <f t="shared" si="59"/>
        <v>5344134.5000692373</v>
      </c>
      <c r="K138" s="78">
        <f>'Loan Prepayment'!$B$6</f>
        <v>8.5</v>
      </c>
      <c r="L138">
        <f>IF(J138&lt;=0,0,MIN(IF(AND('Loan Prepayment'!$E$15="Reduce EMI",O137&gt;0),-PMT(K138/1200,MAX(1,'Loan Prepayment'!$B$7*12-I138+1),J138),L137),J138+M138))</f>
        <v>72789.936877782937</v>
      </c>
      <c r="M138">
        <f t="shared" si="45"/>
        <v>37854.286042157095</v>
      </c>
      <c r="N138">
        <f t="shared" si="46"/>
        <v>34935.650835625842</v>
      </c>
      <c r="O138">
        <f>IF(J138&lt;=0,0,MIN(MAX(0,J138-N138),SUMIFS('Loan Prepayment'!$B$12:$B$16,'Loan Prepayment'!$A$12:$A$16,I138)+0))</f>
        <v>0</v>
      </c>
      <c r="P138">
        <f t="shared" si="47"/>
        <v>5309198.8492336115</v>
      </c>
      <c r="Q138">
        <v>137</v>
      </c>
      <c r="R138">
        <f t="shared" si="60"/>
        <v>6371435.7785161519</v>
      </c>
      <c r="S138" s="78">
        <f>'Loan Prepayment'!$B$6</f>
        <v>8.5</v>
      </c>
      <c r="T138">
        <f>IF(R138&lt;=0,0,MIN(IF(AND('Loan Prepayment'!$E$15="Reduce EMI",W137&gt;0),-PMT(S138/1200,MAX(1,'Loan Prepayment'!$B$7*12-Q138+1),R138),T137),R138+U138))</f>
        <v>86782.323336553396</v>
      </c>
      <c r="U138">
        <f t="shared" si="48"/>
        <v>45131.003431156081</v>
      </c>
      <c r="V138">
        <f t="shared" si="49"/>
        <v>41651.319905397315</v>
      </c>
      <c r="W138">
        <f>IF(R138&lt;=0,0,MIN(MAX(0,R138-V138),0+IF(AND(Q138&gt;='Loan Prepayment'!$B$9,Q138&lt;='Loan Prepayment'!$E$16),'Loan Prepayment'!$B$8,0)))</f>
        <v>0</v>
      </c>
      <c r="X138">
        <f t="shared" si="50"/>
        <v>6329784.4586107545</v>
      </c>
      <c r="Y138">
        <v>137</v>
      </c>
      <c r="Z138">
        <f t="shared" si="61"/>
        <v>5740642.9134280337</v>
      </c>
      <c r="AA138">
        <f>IF(Y138&gt;='Loan Prepayment'!$E$11,'Loan Prepayment'!$E$12,'Loan Prepayment'!$B$6)</f>
        <v>7.5</v>
      </c>
      <c r="AB138">
        <f>IF(Z138&lt;=0,0,MIN(IF(Y138='Loan Prepayment'!$E$11,IF('Loan Prepayment'!$E$13="Keep tenure, recalculate EMI",-PMT(AA138/1200,MAX(1,'Loan Prepayment'!$B$7*12-Y138+1),Z138),AB137),AB137),Z138+AC138))</f>
        <v>86782.323336553396</v>
      </c>
      <c r="AC138">
        <f t="shared" si="51"/>
        <v>35879.018208925212</v>
      </c>
      <c r="AD138">
        <f t="shared" si="52"/>
        <v>50903.305127628184</v>
      </c>
      <c r="AE138">
        <f t="shared" si="53"/>
        <v>0</v>
      </c>
      <c r="AF138">
        <f t="shared" si="54"/>
        <v>5689739.6083004056</v>
      </c>
      <c r="AG138">
        <v>137</v>
      </c>
      <c r="AH138">
        <f t="shared" si="62"/>
        <v>4337930.4922656827</v>
      </c>
      <c r="AI138">
        <f>IF(AG138&gt;='Loan Prepayment'!$E$11,'Loan Prepayment'!$E$12,'Loan Prepayment'!$B$6)</f>
        <v>7.5</v>
      </c>
      <c r="AJ138">
        <f>IF(AH138&lt;=0,0,MIN(IF(AG138='Loan Prepayment'!$E$11,IF('Loan Prepayment'!$E$13="Keep tenure, recalculate EMI",-PMT(AI138/1200,MAX(1,'Loan Prepayment'!$B$7*12-AG138+1),AH138),AJ137),IF(AND('Loan Prepayment'!$E$15="Reduce EMI",AM137&gt;0),-PMT(AI138/1200,MAX(1,'Loan Prepayment'!$B$7*12-AG138+1),AH138),AJ137)),AH138+AK138))</f>
        <v>77713.634667410894</v>
      </c>
      <c r="AK138">
        <f t="shared" si="55"/>
        <v>27112.065576660516</v>
      </c>
      <c r="AL138">
        <f t="shared" si="56"/>
        <v>50601.569090750374</v>
      </c>
      <c r="AM138">
        <f>IF(AH138&lt;=0,0,MIN(MAX(0,AH138-AL138),SUMIFS('Loan Prepayment'!$B$12:$B$16,'Loan Prepayment'!$A$12:$A$16,AG138)+IF(AND(AG138&gt;='Loan Prepayment'!$B$9,AG138&lt;='Loan Prepayment'!$E$16),'Loan Prepayment'!$B$8,0)))</f>
        <v>0</v>
      </c>
      <c r="AN138">
        <f t="shared" si="57"/>
        <v>4287328.9231749326</v>
      </c>
    </row>
    <row r="139" spans="1:40" x14ac:dyDescent="0.35">
      <c r="A139">
        <v>138</v>
      </c>
      <c r="B139">
        <f t="shared" si="58"/>
        <v>6329784.4586107545</v>
      </c>
      <c r="C139" s="78">
        <f>'Loan Prepayment'!$B$6</f>
        <v>8.5</v>
      </c>
      <c r="D139">
        <f>IF(B139&lt;=0,0,MIN(-PMT('Loan Prepayment'!$B$6/1200,'Loan Prepayment'!$B$7*12,'Loan Prepayment'!$B$5),B139+E139))</f>
        <v>86782.323336553396</v>
      </c>
      <c r="E139">
        <f t="shared" si="42"/>
        <v>44835.973248492846</v>
      </c>
      <c r="F139">
        <f t="shared" si="43"/>
        <v>41946.35008806055</v>
      </c>
      <c r="G139">
        <v>0</v>
      </c>
      <c r="H139">
        <f t="shared" si="44"/>
        <v>6287838.1085226936</v>
      </c>
      <c r="I139">
        <v>138</v>
      </c>
      <c r="J139">
        <f t="shared" si="59"/>
        <v>5309198.8492336115</v>
      </c>
      <c r="K139" s="78">
        <f>'Loan Prepayment'!$B$6</f>
        <v>8.5</v>
      </c>
      <c r="L139">
        <f>IF(J139&lt;=0,0,MIN(IF(AND('Loan Prepayment'!$E$15="Reduce EMI",O138&gt;0),-PMT(K139/1200,MAX(1,'Loan Prepayment'!$B$7*12-I139+1),J139),L138),J139+M139))</f>
        <v>72789.936877782937</v>
      </c>
      <c r="M139">
        <f t="shared" si="45"/>
        <v>37606.825182071414</v>
      </c>
      <c r="N139">
        <f t="shared" si="46"/>
        <v>35183.111695711523</v>
      </c>
      <c r="O139">
        <f>IF(J139&lt;=0,0,MIN(MAX(0,J139-N139),SUMIFS('Loan Prepayment'!$B$12:$B$16,'Loan Prepayment'!$A$12:$A$16,I139)+0))</f>
        <v>0</v>
      </c>
      <c r="P139">
        <f t="shared" si="47"/>
        <v>5274015.7375379</v>
      </c>
      <c r="Q139">
        <v>138</v>
      </c>
      <c r="R139">
        <f t="shared" si="60"/>
        <v>6329784.4586107545</v>
      </c>
      <c r="S139" s="78">
        <f>'Loan Prepayment'!$B$6</f>
        <v>8.5</v>
      </c>
      <c r="T139">
        <f>IF(R139&lt;=0,0,MIN(IF(AND('Loan Prepayment'!$E$15="Reduce EMI",W138&gt;0),-PMT(S139/1200,MAX(1,'Loan Prepayment'!$B$7*12-Q139+1),R139),T138),R139+U139))</f>
        <v>86782.323336553396</v>
      </c>
      <c r="U139">
        <f t="shared" si="48"/>
        <v>44835.973248492846</v>
      </c>
      <c r="V139">
        <f t="shared" si="49"/>
        <v>41946.35008806055</v>
      </c>
      <c r="W139">
        <f>IF(R139&lt;=0,0,MIN(MAX(0,R139-V139),0+IF(AND(Q139&gt;='Loan Prepayment'!$B$9,Q139&lt;='Loan Prepayment'!$E$16),'Loan Prepayment'!$B$8,0)))</f>
        <v>0</v>
      </c>
      <c r="X139">
        <f t="shared" si="50"/>
        <v>6287838.1085226936</v>
      </c>
      <c r="Y139">
        <v>138</v>
      </c>
      <c r="Z139">
        <f t="shared" si="61"/>
        <v>5689739.6083004056</v>
      </c>
      <c r="AA139">
        <f>IF(Y139&gt;='Loan Prepayment'!$E$11,'Loan Prepayment'!$E$12,'Loan Prepayment'!$B$6)</f>
        <v>7.5</v>
      </c>
      <c r="AB139">
        <f>IF(Z139&lt;=0,0,MIN(IF(Y139='Loan Prepayment'!$E$11,IF('Loan Prepayment'!$E$13="Keep tenure, recalculate EMI",-PMT(AA139/1200,MAX(1,'Loan Prepayment'!$B$7*12-Y139+1),Z139),AB138),AB138),Z139+AC139))</f>
        <v>86782.323336553396</v>
      </c>
      <c r="AC139">
        <f t="shared" si="51"/>
        <v>35560.872551877539</v>
      </c>
      <c r="AD139">
        <f t="shared" si="52"/>
        <v>51221.450784675857</v>
      </c>
      <c r="AE139">
        <f t="shared" si="53"/>
        <v>0</v>
      </c>
      <c r="AF139">
        <f t="shared" si="54"/>
        <v>5638518.1575157298</v>
      </c>
      <c r="AG139">
        <v>138</v>
      </c>
      <c r="AH139">
        <f t="shared" si="62"/>
        <v>4287328.9231749326</v>
      </c>
      <c r="AI139">
        <f>IF(AG139&gt;='Loan Prepayment'!$E$11,'Loan Prepayment'!$E$12,'Loan Prepayment'!$B$6)</f>
        <v>7.5</v>
      </c>
      <c r="AJ139">
        <f>IF(AH139&lt;=0,0,MIN(IF(AG139='Loan Prepayment'!$E$11,IF('Loan Prepayment'!$E$13="Keep tenure, recalculate EMI",-PMT(AI139/1200,MAX(1,'Loan Prepayment'!$B$7*12-AG139+1),AH139),AJ138),IF(AND('Loan Prepayment'!$E$15="Reduce EMI",AM138&gt;0),-PMT(AI139/1200,MAX(1,'Loan Prepayment'!$B$7*12-AG139+1),AH139),AJ138)),AH139+AK139))</f>
        <v>77713.634667410894</v>
      </c>
      <c r="AK139">
        <f t="shared" si="55"/>
        <v>26795.805769843329</v>
      </c>
      <c r="AL139">
        <f t="shared" si="56"/>
        <v>50917.828897567568</v>
      </c>
      <c r="AM139">
        <f>IF(AH139&lt;=0,0,MIN(MAX(0,AH139-AL139),SUMIFS('Loan Prepayment'!$B$12:$B$16,'Loan Prepayment'!$A$12:$A$16,AG139)+IF(AND(AG139&gt;='Loan Prepayment'!$B$9,AG139&lt;='Loan Prepayment'!$E$16),'Loan Prepayment'!$B$8,0)))</f>
        <v>0</v>
      </c>
      <c r="AN139">
        <f t="shared" si="57"/>
        <v>4236411.0942773651</v>
      </c>
    </row>
    <row r="140" spans="1:40" x14ac:dyDescent="0.35">
      <c r="A140">
        <v>139</v>
      </c>
      <c r="B140">
        <f t="shared" si="58"/>
        <v>6287838.1085226936</v>
      </c>
      <c r="C140" s="78">
        <f>'Loan Prepayment'!$B$6</f>
        <v>8.5</v>
      </c>
      <c r="D140">
        <f>IF(B140&lt;=0,0,MIN(-PMT('Loan Prepayment'!$B$6/1200,'Loan Prepayment'!$B$7*12,'Loan Prepayment'!$B$5),B140+E140))</f>
        <v>86782.323336553396</v>
      </c>
      <c r="E140">
        <f t="shared" si="42"/>
        <v>44538.853268702413</v>
      </c>
      <c r="F140">
        <f t="shared" si="43"/>
        <v>42243.470067850983</v>
      </c>
      <c r="G140">
        <v>0</v>
      </c>
      <c r="H140">
        <f t="shared" si="44"/>
        <v>6245594.6384548424</v>
      </c>
      <c r="I140">
        <v>139</v>
      </c>
      <c r="J140">
        <f t="shared" si="59"/>
        <v>5274015.7375379</v>
      </c>
      <c r="K140" s="78">
        <f>'Loan Prepayment'!$B$6</f>
        <v>8.5</v>
      </c>
      <c r="L140">
        <f>IF(J140&lt;=0,0,MIN(IF(AND('Loan Prepayment'!$E$15="Reduce EMI",O139&gt;0),-PMT(K140/1200,MAX(1,'Loan Prepayment'!$B$7*12-I140+1),J140),L139),J140+M140))</f>
        <v>72789.936877782937</v>
      </c>
      <c r="M140">
        <f t="shared" si="45"/>
        <v>37357.611474226796</v>
      </c>
      <c r="N140">
        <f t="shared" si="46"/>
        <v>35432.32540355614</v>
      </c>
      <c r="O140">
        <f>IF(J140&lt;=0,0,MIN(MAX(0,J140-N140),SUMIFS('Loan Prepayment'!$B$12:$B$16,'Loan Prepayment'!$A$12:$A$16,I140)+0))</f>
        <v>0</v>
      </c>
      <c r="P140">
        <f t="shared" si="47"/>
        <v>5238583.4121343438</v>
      </c>
      <c r="Q140">
        <v>139</v>
      </c>
      <c r="R140">
        <f t="shared" si="60"/>
        <v>6287838.1085226936</v>
      </c>
      <c r="S140" s="78">
        <f>'Loan Prepayment'!$B$6</f>
        <v>8.5</v>
      </c>
      <c r="T140">
        <f>IF(R140&lt;=0,0,MIN(IF(AND('Loan Prepayment'!$E$15="Reduce EMI",W139&gt;0),-PMT(S140/1200,MAX(1,'Loan Prepayment'!$B$7*12-Q140+1),R140),T139),R140+U140))</f>
        <v>86782.323336553396</v>
      </c>
      <c r="U140">
        <f t="shared" si="48"/>
        <v>44538.853268702413</v>
      </c>
      <c r="V140">
        <f t="shared" si="49"/>
        <v>42243.470067850983</v>
      </c>
      <c r="W140">
        <f>IF(R140&lt;=0,0,MIN(MAX(0,R140-V140),0+IF(AND(Q140&gt;='Loan Prepayment'!$B$9,Q140&lt;='Loan Prepayment'!$E$16),'Loan Prepayment'!$B$8,0)))</f>
        <v>0</v>
      </c>
      <c r="X140">
        <f t="shared" si="50"/>
        <v>6245594.6384548424</v>
      </c>
      <c r="Y140">
        <v>139</v>
      </c>
      <c r="Z140">
        <f t="shared" si="61"/>
        <v>5638518.1575157298</v>
      </c>
      <c r="AA140">
        <f>IF(Y140&gt;='Loan Prepayment'!$E$11,'Loan Prepayment'!$E$12,'Loan Prepayment'!$B$6)</f>
        <v>7.5</v>
      </c>
      <c r="AB140">
        <f>IF(Z140&lt;=0,0,MIN(IF(Y140='Loan Prepayment'!$E$11,IF('Loan Prepayment'!$E$13="Keep tenure, recalculate EMI",-PMT(AA140/1200,MAX(1,'Loan Prepayment'!$B$7*12-Y140+1),Z140),AB139),AB139),Z140+AC140))</f>
        <v>86782.323336553396</v>
      </c>
      <c r="AC140">
        <f t="shared" si="51"/>
        <v>35240.73848447331</v>
      </c>
      <c r="AD140">
        <f t="shared" si="52"/>
        <v>51541.584852080086</v>
      </c>
      <c r="AE140">
        <f t="shared" si="53"/>
        <v>0</v>
      </c>
      <c r="AF140">
        <f t="shared" si="54"/>
        <v>5586976.5726636499</v>
      </c>
      <c r="AG140">
        <v>139</v>
      </c>
      <c r="AH140">
        <f t="shared" si="62"/>
        <v>4236411.0942773651</v>
      </c>
      <c r="AI140">
        <f>IF(AG140&gt;='Loan Prepayment'!$E$11,'Loan Prepayment'!$E$12,'Loan Prepayment'!$B$6)</f>
        <v>7.5</v>
      </c>
      <c r="AJ140">
        <f>IF(AH140&lt;=0,0,MIN(IF(AG140='Loan Prepayment'!$E$11,IF('Loan Prepayment'!$E$13="Keep tenure, recalculate EMI",-PMT(AI140/1200,MAX(1,'Loan Prepayment'!$B$7*12-AG140+1),AH140),AJ139),IF(AND('Loan Prepayment'!$E$15="Reduce EMI",AM139&gt;0),-PMT(AI140/1200,MAX(1,'Loan Prepayment'!$B$7*12-AG140+1),AH140),AJ139)),AH140+AK140))</f>
        <v>77713.634667410894</v>
      </c>
      <c r="AK140">
        <f t="shared" si="55"/>
        <v>26477.569339233531</v>
      </c>
      <c r="AL140">
        <f t="shared" si="56"/>
        <v>51236.065328177363</v>
      </c>
      <c r="AM140">
        <f>IF(AH140&lt;=0,0,MIN(MAX(0,AH140-AL140),SUMIFS('Loan Prepayment'!$B$12:$B$16,'Loan Prepayment'!$A$12:$A$16,AG140)+IF(AND(AG140&gt;='Loan Prepayment'!$B$9,AG140&lt;='Loan Prepayment'!$E$16),'Loan Prepayment'!$B$8,0)))</f>
        <v>0</v>
      </c>
      <c r="AN140">
        <f t="shared" si="57"/>
        <v>4185175.0289491876</v>
      </c>
    </row>
    <row r="141" spans="1:40" x14ac:dyDescent="0.35">
      <c r="A141">
        <v>140</v>
      </c>
      <c r="B141">
        <f t="shared" si="58"/>
        <v>6245594.6384548424</v>
      </c>
      <c r="C141" s="78">
        <f>'Loan Prepayment'!$B$6</f>
        <v>8.5</v>
      </c>
      <c r="D141">
        <f>IF(B141&lt;=0,0,MIN(-PMT('Loan Prepayment'!$B$6/1200,'Loan Prepayment'!$B$7*12,'Loan Prepayment'!$B$5),B141+E141))</f>
        <v>86782.323336553396</v>
      </c>
      <c r="E141">
        <f t="shared" si="42"/>
        <v>44239.628689055135</v>
      </c>
      <c r="F141">
        <f t="shared" si="43"/>
        <v>42542.694647498261</v>
      </c>
      <c r="G141">
        <v>0</v>
      </c>
      <c r="H141">
        <f t="shared" si="44"/>
        <v>6203051.943807344</v>
      </c>
      <c r="I141">
        <v>140</v>
      </c>
      <c r="J141">
        <f t="shared" si="59"/>
        <v>5238583.4121343438</v>
      </c>
      <c r="K141" s="78">
        <f>'Loan Prepayment'!$B$6</f>
        <v>8.5</v>
      </c>
      <c r="L141">
        <f>IF(J141&lt;=0,0,MIN(IF(AND('Loan Prepayment'!$E$15="Reduce EMI",O140&gt;0),-PMT(K141/1200,MAX(1,'Loan Prepayment'!$B$7*12-I141+1),J141),L140),J141+M141))</f>
        <v>72789.936877782937</v>
      </c>
      <c r="M141">
        <f t="shared" si="45"/>
        <v>37106.632502618268</v>
      </c>
      <c r="N141">
        <f t="shared" si="46"/>
        <v>35683.304375164669</v>
      </c>
      <c r="O141">
        <f>IF(J141&lt;=0,0,MIN(MAX(0,J141-N141),SUMIFS('Loan Prepayment'!$B$12:$B$16,'Loan Prepayment'!$A$12:$A$16,I141)+0))</f>
        <v>0</v>
      </c>
      <c r="P141">
        <f t="shared" si="47"/>
        <v>5202900.1077591795</v>
      </c>
      <c r="Q141">
        <v>140</v>
      </c>
      <c r="R141">
        <f t="shared" si="60"/>
        <v>6245594.6384548424</v>
      </c>
      <c r="S141" s="78">
        <f>'Loan Prepayment'!$B$6</f>
        <v>8.5</v>
      </c>
      <c r="T141">
        <f>IF(R141&lt;=0,0,MIN(IF(AND('Loan Prepayment'!$E$15="Reduce EMI",W140&gt;0),-PMT(S141/1200,MAX(1,'Loan Prepayment'!$B$7*12-Q141+1),R141),T140),R141+U141))</f>
        <v>86782.323336553396</v>
      </c>
      <c r="U141">
        <f t="shared" si="48"/>
        <v>44239.628689055135</v>
      </c>
      <c r="V141">
        <f t="shared" si="49"/>
        <v>42542.694647498261</v>
      </c>
      <c r="W141">
        <f>IF(R141&lt;=0,0,MIN(MAX(0,R141-V141),0+IF(AND(Q141&gt;='Loan Prepayment'!$B$9,Q141&lt;='Loan Prepayment'!$E$16),'Loan Prepayment'!$B$8,0)))</f>
        <v>0</v>
      </c>
      <c r="X141">
        <f t="shared" si="50"/>
        <v>6203051.943807344</v>
      </c>
      <c r="Y141">
        <v>140</v>
      </c>
      <c r="Z141">
        <f t="shared" si="61"/>
        <v>5586976.5726636499</v>
      </c>
      <c r="AA141">
        <f>IF(Y141&gt;='Loan Prepayment'!$E$11,'Loan Prepayment'!$E$12,'Loan Prepayment'!$B$6)</f>
        <v>7.5</v>
      </c>
      <c r="AB141">
        <f>IF(Z141&lt;=0,0,MIN(IF(Y141='Loan Prepayment'!$E$11,IF('Loan Prepayment'!$E$13="Keep tenure, recalculate EMI",-PMT(AA141/1200,MAX(1,'Loan Prepayment'!$B$7*12-Y141+1),Z141),AB140),AB140),Z141+AC141))</f>
        <v>86782.323336553396</v>
      </c>
      <c r="AC141">
        <f t="shared" si="51"/>
        <v>34918.603579147813</v>
      </c>
      <c r="AD141">
        <f t="shared" si="52"/>
        <v>51863.719757405583</v>
      </c>
      <c r="AE141">
        <f t="shared" si="53"/>
        <v>0</v>
      </c>
      <c r="AF141">
        <f t="shared" si="54"/>
        <v>5535112.8529062439</v>
      </c>
      <c r="AG141">
        <v>140</v>
      </c>
      <c r="AH141">
        <f t="shared" si="62"/>
        <v>4185175.0289491876</v>
      </c>
      <c r="AI141">
        <f>IF(AG141&gt;='Loan Prepayment'!$E$11,'Loan Prepayment'!$E$12,'Loan Prepayment'!$B$6)</f>
        <v>7.5</v>
      </c>
      <c r="AJ141">
        <f>IF(AH141&lt;=0,0,MIN(IF(AG141='Loan Prepayment'!$E$11,IF('Loan Prepayment'!$E$13="Keep tenure, recalculate EMI",-PMT(AI141/1200,MAX(1,'Loan Prepayment'!$B$7*12-AG141+1),AH141),AJ140),IF(AND('Loan Prepayment'!$E$15="Reduce EMI",AM140&gt;0),-PMT(AI141/1200,MAX(1,'Loan Prepayment'!$B$7*12-AG141+1),AH141),AJ140)),AH141+AK141))</f>
        <v>77713.634667410894</v>
      </c>
      <c r="AK141">
        <f t="shared" si="55"/>
        <v>26157.343930932424</v>
      </c>
      <c r="AL141">
        <f t="shared" si="56"/>
        <v>51556.29073647847</v>
      </c>
      <c r="AM141">
        <f>IF(AH141&lt;=0,0,MIN(MAX(0,AH141-AL141),SUMIFS('Loan Prepayment'!$B$12:$B$16,'Loan Prepayment'!$A$12:$A$16,AG141)+IF(AND(AG141&gt;='Loan Prepayment'!$B$9,AG141&lt;='Loan Prepayment'!$E$16),'Loan Prepayment'!$B$8,0)))</f>
        <v>0</v>
      </c>
      <c r="AN141">
        <f t="shared" si="57"/>
        <v>4133618.7382127093</v>
      </c>
    </row>
    <row r="142" spans="1:40" x14ac:dyDescent="0.35">
      <c r="A142">
        <v>141</v>
      </c>
      <c r="B142">
        <f t="shared" si="58"/>
        <v>6203051.943807344</v>
      </c>
      <c r="C142" s="78">
        <f>'Loan Prepayment'!$B$6</f>
        <v>8.5</v>
      </c>
      <c r="D142">
        <f>IF(B142&lt;=0,0,MIN(-PMT('Loan Prepayment'!$B$6/1200,'Loan Prepayment'!$B$7*12,'Loan Prepayment'!$B$5),B142+E142))</f>
        <v>86782.323336553396</v>
      </c>
      <c r="E142">
        <f t="shared" si="42"/>
        <v>43938.284601968691</v>
      </c>
      <c r="F142">
        <f t="shared" si="43"/>
        <v>42844.038734584705</v>
      </c>
      <c r="G142">
        <v>0</v>
      </c>
      <c r="H142">
        <f t="shared" si="44"/>
        <v>6160207.9050727589</v>
      </c>
      <c r="I142">
        <v>141</v>
      </c>
      <c r="J142">
        <f t="shared" si="59"/>
        <v>5202900.1077591795</v>
      </c>
      <c r="K142" s="78">
        <f>'Loan Prepayment'!$B$6</f>
        <v>8.5</v>
      </c>
      <c r="L142">
        <f>IF(J142&lt;=0,0,MIN(IF(AND('Loan Prepayment'!$E$15="Reduce EMI",O141&gt;0),-PMT(K142/1200,MAX(1,'Loan Prepayment'!$B$7*12-I142+1),J142),L141),J142+M142))</f>
        <v>72789.936877782937</v>
      </c>
      <c r="M142">
        <f t="shared" si="45"/>
        <v>36853.875763294185</v>
      </c>
      <c r="N142">
        <f t="shared" si="46"/>
        <v>35936.061114488752</v>
      </c>
      <c r="O142">
        <f>IF(J142&lt;=0,0,MIN(MAX(0,J142-N142),SUMIFS('Loan Prepayment'!$B$12:$B$16,'Loan Prepayment'!$A$12:$A$16,I142)+0))</f>
        <v>0</v>
      </c>
      <c r="P142">
        <f t="shared" si="47"/>
        <v>5166964.0466446904</v>
      </c>
      <c r="Q142">
        <v>141</v>
      </c>
      <c r="R142">
        <f t="shared" si="60"/>
        <v>6203051.943807344</v>
      </c>
      <c r="S142" s="78">
        <f>'Loan Prepayment'!$B$6</f>
        <v>8.5</v>
      </c>
      <c r="T142">
        <f>IF(R142&lt;=0,0,MIN(IF(AND('Loan Prepayment'!$E$15="Reduce EMI",W141&gt;0),-PMT(S142/1200,MAX(1,'Loan Prepayment'!$B$7*12-Q142+1),R142),T141),R142+U142))</f>
        <v>86782.323336553396</v>
      </c>
      <c r="U142">
        <f t="shared" si="48"/>
        <v>43938.284601968691</v>
      </c>
      <c r="V142">
        <f t="shared" si="49"/>
        <v>42844.038734584705</v>
      </c>
      <c r="W142">
        <f>IF(R142&lt;=0,0,MIN(MAX(0,R142-V142),0+IF(AND(Q142&gt;='Loan Prepayment'!$B$9,Q142&lt;='Loan Prepayment'!$E$16),'Loan Prepayment'!$B$8,0)))</f>
        <v>0</v>
      </c>
      <c r="X142">
        <f t="shared" si="50"/>
        <v>6160207.9050727589</v>
      </c>
      <c r="Y142">
        <v>141</v>
      </c>
      <c r="Z142">
        <f t="shared" si="61"/>
        <v>5535112.8529062439</v>
      </c>
      <c r="AA142">
        <f>IF(Y142&gt;='Loan Prepayment'!$E$11,'Loan Prepayment'!$E$12,'Loan Prepayment'!$B$6)</f>
        <v>7.5</v>
      </c>
      <c r="AB142">
        <f>IF(Z142&lt;=0,0,MIN(IF(Y142='Loan Prepayment'!$E$11,IF('Loan Prepayment'!$E$13="Keep tenure, recalculate EMI",-PMT(AA142/1200,MAX(1,'Loan Prepayment'!$B$7*12-Y142+1),Z142),AB141),AB141),Z142+AC142))</f>
        <v>86782.323336553396</v>
      </c>
      <c r="AC142">
        <f t="shared" si="51"/>
        <v>34594.455330664023</v>
      </c>
      <c r="AD142">
        <f t="shared" si="52"/>
        <v>52187.868005889373</v>
      </c>
      <c r="AE142">
        <f t="shared" si="53"/>
        <v>0</v>
      </c>
      <c r="AF142">
        <f t="shared" si="54"/>
        <v>5482924.9849003544</v>
      </c>
      <c r="AG142">
        <v>141</v>
      </c>
      <c r="AH142">
        <f t="shared" si="62"/>
        <v>4133618.7382127093</v>
      </c>
      <c r="AI142">
        <f>IF(AG142&gt;='Loan Prepayment'!$E$11,'Loan Prepayment'!$E$12,'Loan Prepayment'!$B$6)</f>
        <v>7.5</v>
      </c>
      <c r="AJ142">
        <f>IF(AH142&lt;=0,0,MIN(IF(AG142='Loan Prepayment'!$E$11,IF('Loan Prepayment'!$E$13="Keep tenure, recalculate EMI",-PMT(AI142/1200,MAX(1,'Loan Prepayment'!$B$7*12-AG142+1),AH142),AJ141),IF(AND('Loan Prepayment'!$E$15="Reduce EMI",AM141&gt;0),-PMT(AI142/1200,MAX(1,'Loan Prepayment'!$B$7*12-AG142+1),AH142),AJ141)),AH142+AK142))</f>
        <v>77713.634667410894</v>
      </c>
      <c r="AK142">
        <f t="shared" si="55"/>
        <v>25835.11711382943</v>
      </c>
      <c r="AL142">
        <f t="shared" si="56"/>
        <v>51878.517553581463</v>
      </c>
      <c r="AM142">
        <f>IF(AH142&lt;=0,0,MIN(MAX(0,AH142-AL142),SUMIFS('Loan Prepayment'!$B$12:$B$16,'Loan Prepayment'!$A$12:$A$16,AG142)+IF(AND(AG142&gt;='Loan Prepayment'!$B$9,AG142&lt;='Loan Prepayment'!$E$16),'Loan Prepayment'!$B$8,0)))</f>
        <v>0</v>
      </c>
      <c r="AN142">
        <f t="shared" si="57"/>
        <v>4081740.2206591279</v>
      </c>
    </row>
    <row r="143" spans="1:40" x14ac:dyDescent="0.35">
      <c r="A143">
        <v>142</v>
      </c>
      <c r="B143">
        <f t="shared" si="58"/>
        <v>6160207.9050727589</v>
      </c>
      <c r="C143" s="78">
        <f>'Loan Prepayment'!$B$6</f>
        <v>8.5</v>
      </c>
      <c r="D143">
        <f>IF(B143&lt;=0,0,MIN(-PMT('Loan Prepayment'!$B$6/1200,'Loan Prepayment'!$B$7*12,'Loan Prepayment'!$B$5),B143+E143))</f>
        <v>86782.323336553396</v>
      </c>
      <c r="E143">
        <f t="shared" si="42"/>
        <v>43634.805994265378</v>
      </c>
      <c r="F143">
        <f t="shared" si="43"/>
        <v>43147.517342288018</v>
      </c>
      <c r="G143">
        <v>0</v>
      </c>
      <c r="H143">
        <f t="shared" si="44"/>
        <v>6117060.3877304709</v>
      </c>
      <c r="I143">
        <v>142</v>
      </c>
      <c r="J143">
        <f t="shared" si="59"/>
        <v>5166964.0466446904</v>
      </c>
      <c r="K143" s="78">
        <f>'Loan Prepayment'!$B$6</f>
        <v>8.5</v>
      </c>
      <c r="L143">
        <f>IF(J143&lt;=0,0,MIN(IF(AND('Loan Prepayment'!$E$15="Reduce EMI",O142&gt;0),-PMT(K143/1200,MAX(1,'Loan Prepayment'!$B$7*12-I143+1),J143),L142),J143+M143))</f>
        <v>72789.936877782937</v>
      </c>
      <c r="M143">
        <f t="shared" si="45"/>
        <v>36599.32866373322</v>
      </c>
      <c r="N143">
        <f t="shared" si="46"/>
        <v>36190.608214049716</v>
      </c>
      <c r="O143">
        <f>IF(J143&lt;=0,0,MIN(MAX(0,J143-N143),SUMIFS('Loan Prepayment'!$B$12:$B$16,'Loan Prepayment'!$A$12:$A$16,I143)+0))</f>
        <v>0</v>
      </c>
      <c r="P143">
        <f t="shared" si="47"/>
        <v>5130773.4384306408</v>
      </c>
      <c r="Q143">
        <v>142</v>
      </c>
      <c r="R143">
        <f t="shared" si="60"/>
        <v>6160207.9050727589</v>
      </c>
      <c r="S143" s="78">
        <f>'Loan Prepayment'!$B$6</f>
        <v>8.5</v>
      </c>
      <c r="T143">
        <f>IF(R143&lt;=0,0,MIN(IF(AND('Loan Prepayment'!$E$15="Reduce EMI",W142&gt;0),-PMT(S143/1200,MAX(1,'Loan Prepayment'!$B$7*12-Q143+1),R143),T142),R143+U143))</f>
        <v>86782.323336553396</v>
      </c>
      <c r="U143">
        <f t="shared" si="48"/>
        <v>43634.805994265378</v>
      </c>
      <c r="V143">
        <f t="shared" si="49"/>
        <v>43147.517342288018</v>
      </c>
      <c r="W143">
        <f>IF(R143&lt;=0,0,MIN(MAX(0,R143-V143),0+IF(AND(Q143&gt;='Loan Prepayment'!$B$9,Q143&lt;='Loan Prepayment'!$E$16),'Loan Prepayment'!$B$8,0)))</f>
        <v>0</v>
      </c>
      <c r="X143">
        <f t="shared" si="50"/>
        <v>6117060.3877304709</v>
      </c>
      <c r="Y143">
        <v>142</v>
      </c>
      <c r="Z143">
        <f t="shared" si="61"/>
        <v>5482924.9849003544</v>
      </c>
      <c r="AA143">
        <f>IF(Y143&gt;='Loan Prepayment'!$E$11,'Loan Prepayment'!$E$12,'Loan Prepayment'!$B$6)</f>
        <v>7.5</v>
      </c>
      <c r="AB143">
        <f>IF(Z143&lt;=0,0,MIN(IF(Y143='Loan Prepayment'!$E$11,IF('Loan Prepayment'!$E$13="Keep tenure, recalculate EMI",-PMT(AA143/1200,MAX(1,'Loan Prepayment'!$B$7*12-Y143+1),Z143),AB142),AB142),Z143+AC143))</f>
        <v>86782.323336553396</v>
      </c>
      <c r="AC143">
        <f t="shared" si="51"/>
        <v>34268.281155627214</v>
      </c>
      <c r="AD143">
        <f t="shared" si="52"/>
        <v>52514.042180926182</v>
      </c>
      <c r="AE143">
        <f t="shared" si="53"/>
        <v>0</v>
      </c>
      <c r="AF143">
        <f t="shared" si="54"/>
        <v>5430410.9427194279</v>
      </c>
      <c r="AG143">
        <v>142</v>
      </c>
      <c r="AH143">
        <f t="shared" si="62"/>
        <v>4081740.2206591279</v>
      </c>
      <c r="AI143">
        <f>IF(AG143&gt;='Loan Prepayment'!$E$11,'Loan Prepayment'!$E$12,'Loan Prepayment'!$B$6)</f>
        <v>7.5</v>
      </c>
      <c r="AJ143">
        <f>IF(AH143&lt;=0,0,MIN(IF(AG143='Loan Prepayment'!$E$11,IF('Loan Prepayment'!$E$13="Keep tenure, recalculate EMI",-PMT(AI143/1200,MAX(1,'Loan Prepayment'!$B$7*12-AG143+1),AH143),AJ142),IF(AND('Loan Prepayment'!$E$15="Reduce EMI",AM142&gt;0),-PMT(AI143/1200,MAX(1,'Loan Prepayment'!$B$7*12-AG143+1),AH143),AJ142)),AH143+AK143))</f>
        <v>77713.634667410894</v>
      </c>
      <c r="AK143">
        <f t="shared" si="55"/>
        <v>25510.876379119549</v>
      </c>
      <c r="AL143">
        <f t="shared" si="56"/>
        <v>52202.758288291341</v>
      </c>
      <c r="AM143">
        <f>IF(AH143&lt;=0,0,MIN(MAX(0,AH143-AL143),SUMIFS('Loan Prepayment'!$B$12:$B$16,'Loan Prepayment'!$A$12:$A$16,AG143)+IF(AND(AG143&gt;='Loan Prepayment'!$B$9,AG143&lt;='Loan Prepayment'!$E$16),'Loan Prepayment'!$B$8,0)))</f>
        <v>0</v>
      </c>
      <c r="AN143">
        <f t="shared" si="57"/>
        <v>4029537.4623708366</v>
      </c>
    </row>
    <row r="144" spans="1:40" x14ac:dyDescent="0.35">
      <c r="A144">
        <v>143</v>
      </c>
      <c r="B144">
        <f t="shared" si="58"/>
        <v>6117060.3877304709</v>
      </c>
      <c r="C144" s="78">
        <f>'Loan Prepayment'!$B$6</f>
        <v>8.5</v>
      </c>
      <c r="D144">
        <f>IF(B144&lt;=0,0,MIN(-PMT('Loan Prepayment'!$B$6/1200,'Loan Prepayment'!$B$7*12,'Loan Prepayment'!$B$5),B144+E144))</f>
        <v>86782.323336553396</v>
      </c>
      <c r="E144">
        <f t="shared" si="42"/>
        <v>43329.177746424168</v>
      </c>
      <c r="F144">
        <f t="shared" si="43"/>
        <v>43453.145590129228</v>
      </c>
      <c r="G144">
        <v>0</v>
      </c>
      <c r="H144">
        <f t="shared" si="44"/>
        <v>6073607.2421403416</v>
      </c>
      <c r="I144">
        <v>143</v>
      </c>
      <c r="J144">
        <f t="shared" si="59"/>
        <v>5130773.4384306408</v>
      </c>
      <c r="K144" s="78">
        <f>'Loan Prepayment'!$B$6</f>
        <v>8.5</v>
      </c>
      <c r="L144">
        <f>IF(J144&lt;=0,0,MIN(IF(AND('Loan Prepayment'!$E$15="Reduce EMI",O143&gt;0),-PMT(K144/1200,MAX(1,'Loan Prepayment'!$B$7*12-I144+1),J144),L143),J144+M144))</f>
        <v>72789.936877782937</v>
      </c>
      <c r="M144">
        <f t="shared" si="45"/>
        <v>36342.978522217039</v>
      </c>
      <c r="N144">
        <f t="shared" si="46"/>
        <v>36446.958355565897</v>
      </c>
      <c r="O144">
        <f>IF(J144&lt;=0,0,MIN(MAX(0,J144-N144),SUMIFS('Loan Prepayment'!$B$12:$B$16,'Loan Prepayment'!$A$12:$A$16,I144)+0))</f>
        <v>0</v>
      </c>
      <c r="P144">
        <f t="shared" si="47"/>
        <v>5094326.4800750753</v>
      </c>
      <c r="Q144">
        <v>143</v>
      </c>
      <c r="R144">
        <f t="shared" si="60"/>
        <v>6117060.3877304709</v>
      </c>
      <c r="S144" s="78">
        <f>'Loan Prepayment'!$B$6</f>
        <v>8.5</v>
      </c>
      <c r="T144">
        <f>IF(R144&lt;=0,0,MIN(IF(AND('Loan Prepayment'!$E$15="Reduce EMI",W143&gt;0),-PMT(S144/1200,MAX(1,'Loan Prepayment'!$B$7*12-Q144+1),R144),T143),R144+U144))</f>
        <v>86782.323336553396</v>
      </c>
      <c r="U144">
        <f t="shared" si="48"/>
        <v>43329.177746424168</v>
      </c>
      <c r="V144">
        <f t="shared" si="49"/>
        <v>43453.145590129228</v>
      </c>
      <c r="W144">
        <f>IF(R144&lt;=0,0,MIN(MAX(0,R144-V144),0+IF(AND(Q144&gt;='Loan Prepayment'!$B$9,Q144&lt;='Loan Prepayment'!$E$16),'Loan Prepayment'!$B$8,0)))</f>
        <v>0</v>
      </c>
      <c r="X144">
        <f t="shared" si="50"/>
        <v>6073607.2421403416</v>
      </c>
      <c r="Y144">
        <v>143</v>
      </c>
      <c r="Z144">
        <f t="shared" si="61"/>
        <v>5430410.9427194279</v>
      </c>
      <c r="AA144">
        <f>IF(Y144&gt;='Loan Prepayment'!$E$11,'Loan Prepayment'!$E$12,'Loan Prepayment'!$B$6)</f>
        <v>7.5</v>
      </c>
      <c r="AB144">
        <f>IF(Z144&lt;=0,0,MIN(IF(Y144='Loan Prepayment'!$E$11,IF('Loan Prepayment'!$E$13="Keep tenure, recalculate EMI",-PMT(AA144/1200,MAX(1,'Loan Prepayment'!$B$7*12-Y144+1),Z144),AB143),AB143),Z144+AC144))</f>
        <v>86782.323336553396</v>
      </c>
      <c r="AC144">
        <f t="shared" si="51"/>
        <v>33940.068391996421</v>
      </c>
      <c r="AD144">
        <f t="shared" si="52"/>
        <v>52842.254944556975</v>
      </c>
      <c r="AE144">
        <f t="shared" si="53"/>
        <v>0</v>
      </c>
      <c r="AF144">
        <f t="shared" si="54"/>
        <v>5377568.6877748705</v>
      </c>
      <c r="AG144">
        <v>143</v>
      </c>
      <c r="AH144">
        <f t="shared" si="62"/>
        <v>4029537.4623708366</v>
      </c>
      <c r="AI144">
        <f>IF(AG144&gt;='Loan Prepayment'!$E$11,'Loan Prepayment'!$E$12,'Loan Prepayment'!$B$6)</f>
        <v>7.5</v>
      </c>
      <c r="AJ144">
        <f>IF(AH144&lt;=0,0,MIN(IF(AG144='Loan Prepayment'!$E$11,IF('Loan Prepayment'!$E$13="Keep tenure, recalculate EMI",-PMT(AI144/1200,MAX(1,'Loan Prepayment'!$B$7*12-AG144+1),AH144),AJ143),IF(AND('Loan Prepayment'!$E$15="Reduce EMI",AM143&gt;0),-PMT(AI144/1200,MAX(1,'Loan Prepayment'!$B$7*12-AG144+1),AH144),AJ143)),AH144+AK144))</f>
        <v>77713.634667410894</v>
      </c>
      <c r="AK144">
        <f t="shared" si="55"/>
        <v>25184.60913981773</v>
      </c>
      <c r="AL144">
        <f t="shared" si="56"/>
        <v>52529.025527593163</v>
      </c>
      <c r="AM144">
        <f>IF(AH144&lt;=0,0,MIN(MAX(0,AH144-AL144),SUMIFS('Loan Prepayment'!$B$12:$B$16,'Loan Prepayment'!$A$12:$A$16,AG144)+IF(AND(AG144&gt;='Loan Prepayment'!$B$9,AG144&lt;='Loan Prepayment'!$E$16),'Loan Prepayment'!$B$8,0)))</f>
        <v>0</v>
      </c>
      <c r="AN144">
        <f t="shared" si="57"/>
        <v>3977008.4368432434</v>
      </c>
    </row>
    <row r="145" spans="1:40" x14ac:dyDescent="0.35">
      <c r="A145">
        <v>144</v>
      </c>
      <c r="B145">
        <f t="shared" si="58"/>
        <v>6073607.2421403416</v>
      </c>
      <c r="C145" s="78">
        <f>'Loan Prepayment'!$B$6</f>
        <v>8.5</v>
      </c>
      <c r="D145">
        <f>IF(B145&lt;=0,0,MIN(-PMT('Loan Prepayment'!$B$6/1200,'Loan Prepayment'!$B$7*12,'Loan Prepayment'!$B$5),B145+E145))</f>
        <v>86782.323336553396</v>
      </c>
      <c r="E145">
        <f t="shared" si="42"/>
        <v>43021.384631827415</v>
      </c>
      <c r="F145">
        <f t="shared" si="43"/>
        <v>43760.938704725981</v>
      </c>
      <c r="G145">
        <v>0</v>
      </c>
      <c r="H145">
        <f t="shared" si="44"/>
        <v>6029846.3034356153</v>
      </c>
      <c r="I145">
        <v>144</v>
      </c>
      <c r="J145">
        <f t="shared" si="59"/>
        <v>5094326.4800750753</v>
      </c>
      <c r="K145" s="78">
        <f>'Loan Prepayment'!$B$6</f>
        <v>8.5</v>
      </c>
      <c r="L145">
        <f>IF(J145&lt;=0,0,MIN(IF(AND('Loan Prepayment'!$E$15="Reduce EMI",O144&gt;0),-PMT(K145/1200,MAX(1,'Loan Prepayment'!$B$7*12-I145+1),J145),L144),J145+M145))</f>
        <v>72789.936877782937</v>
      </c>
      <c r="M145">
        <f t="shared" si="45"/>
        <v>36084.812567198453</v>
      </c>
      <c r="N145">
        <f t="shared" si="46"/>
        <v>36705.124310584484</v>
      </c>
      <c r="O145">
        <f>IF(J145&lt;=0,0,MIN(MAX(0,J145-N145),SUMIFS('Loan Prepayment'!$B$12:$B$16,'Loan Prepayment'!$A$12:$A$16,I145)+0))</f>
        <v>0</v>
      </c>
      <c r="P145">
        <f t="shared" si="47"/>
        <v>5057621.3557644906</v>
      </c>
      <c r="Q145">
        <v>144</v>
      </c>
      <c r="R145">
        <f t="shared" si="60"/>
        <v>6073607.2421403416</v>
      </c>
      <c r="S145" s="78">
        <f>'Loan Prepayment'!$B$6</f>
        <v>8.5</v>
      </c>
      <c r="T145">
        <f>IF(R145&lt;=0,0,MIN(IF(AND('Loan Prepayment'!$E$15="Reduce EMI",W144&gt;0),-PMT(S145/1200,MAX(1,'Loan Prepayment'!$B$7*12-Q145+1),R145),T144),R145+U145))</f>
        <v>86782.323336553396</v>
      </c>
      <c r="U145">
        <f t="shared" si="48"/>
        <v>43021.384631827415</v>
      </c>
      <c r="V145">
        <f t="shared" si="49"/>
        <v>43760.938704725981</v>
      </c>
      <c r="W145">
        <f>IF(R145&lt;=0,0,MIN(MAX(0,R145-V145),0+IF(AND(Q145&gt;='Loan Prepayment'!$B$9,Q145&lt;='Loan Prepayment'!$E$16),'Loan Prepayment'!$B$8,0)))</f>
        <v>0</v>
      </c>
      <c r="X145">
        <f t="shared" si="50"/>
        <v>6029846.3034356153</v>
      </c>
      <c r="Y145">
        <v>144</v>
      </c>
      <c r="Z145">
        <f t="shared" si="61"/>
        <v>5377568.6877748705</v>
      </c>
      <c r="AA145">
        <f>IF(Y145&gt;='Loan Prepayment'!$E$11,'Loan Prepayment'!$E$12,'Loan Prepayment'!$B$6)</f>
        <v>7.5</v>
      </c>
      <c r="AB145">
        <f>IF(Z145&lt;=0,0,MIN(IF(Y145='Loan Prepayment'!$E$11,IF('Loan Prepayment'!$E$13="Keep tenure, recalculate EMI",-PMT(AA145/1200,MAX(1,'Loan Prepayment'!$B$7*12-Y145+1),Z145),AB144),AB144),Z145+AC145))</f>
        <v>86782.323336553396</v>
      </c>
      <c r="AC145">
        <f t="shared" si="51"/>
        <v>33609.804298592942</v>
      </c>
      <c r="AD145">
        <f t="shared" si="52"/>
        <v>53172.519037960454</v>
      </c>
      <c r="AE145">
        <f t="shared" si="53"/>
        <v>0</v>
      </c>
      <c r="AF145">
        <f t="shared" si="54"/>
        <v>5324396.1687369104</v>
      </c>
      <c r="AG145">
        <v>144</v>
      </c>
      <c r="AH145">
        <f t="shared" si="62"/>
        <v>3977008.4368432434</v>
      </c>
      <c r="AI145">
        <f>IF(AG145&gt;='Loan Prepayment'!$E$11,'Loan Prepayment'!$E$12,'Loan Prepayment'!$B$6)</f>
        <v>7.5</v>
      </c>
      <c r="AJ145">
        <f>IF(AH145&lt;=0,0,MIN(IF(AG145='Loan Prepayment'!$E$11,IF('Loan Prepayment'!$E$13="Keep tenure, recalculate EMI",-PMT(AI145/1200,MAX(1,'Loan Prepayment'!$B$7*12-AG145+1),AH145),AJ144),IF(AND('Loan Prepayment'!$E$15="Reduce EMI",AM144&gt;0),-PMT(AI145/1200,MAX(1,'Loan Prepayment'!$B$7*12-AG145+1),AH145),AJ144)),AH145+AK145))</f>
        <v>77713.634667410894</v>
      </c>
      <c r="AK145">
        <f t="shared" si="55"/>
        <v>24856.302730270269</v>
      </c>
      <c r="AL145">
        <f t="shared" si="56"/>
        <v>52857.331937140625</v>
      </c>
      <c r="AM145">
        <f>IF(AH145&lt;=0,0,MIN(MAX(0,AH145-AL145),SUMIFS('Loan Prepayment'!$B$12:$B$16,'Loan Prepayment'!$A$12:$A$16,AG145)+IF(AND(AG145&gt;='Loan Prepayment'!$B$9,AG145&lt;='Loan Prepayment'!$E$16),'Loan Prepayment'!$B$8,0)))</f>
        <v>0</v>
      </c>
      <c r="AN145">
        <f t="shared" si="57"/>
        <v>3924151.1049061026</v>
      </c>
    </row>
    <row r="146" spans="1:40" x14ac:dyDescent="0.35">
      <c r="A146">
        <v>145</v>
      </c>
      <c r="B146">
        <f t="shared" si="58"/>
        <v>6029846.3034356153</v>
      </c>
      <c r="C146" s="78">
        <f>'Loan Prepayment'!$B$6</f>
        <v>8.5</v>
      </c>
      <c r="D146">
        <f>IF(B146&lt;=0,0,MIN(-PMT('Loan Prepayment'!$B$6/1200,'Loan Prepayment'!$B$7*12,'Loan Prepayment'!$B$5),B146+E146))</f>
        <v>86782.323336553396</v>
      </c>
      <c r="E146">
        <f t="shared" si="42"/>
        <v>42711.411316002275</v>
      </c>
      <c r="F146">
        <f t="shared" si="43"/>
        <v>44070.912020551121</v>
      </c>
      <c r="G146">
        <v>0</v>
      </c>
      <c r="H146">
        <f t="shared" si="44"/>
        <v>5985775.3914150642</v>
      </c>
      <c r="I146">
        <v>145</v>
      </c>
      <c r="J146">
        <f t="shared" si="59"/>
        <v>5057621.3557644906</v>
      </c>
      <c r="K146" s="78">
        <f>'Loan Prepayment'!$B$6</f>
        <v>8.5</v>
      </c>
      <c r="L146">
        <f>IF(J146&lt;=0,0,MIN(IF(AND('Loan Prepayment'!$E$15="Reduce EMI",O145&gt;0),-PMT(K146/1200,MAX(1,'Loan Prepayment'!$B$7*12-I146+1),J146),L145),J146+M146))</f>
        <v>72789.936877782937</v>
      </c>
      <c r="M146">
        <f t="shared" si="45"/>
        <v>35824.817936665146</v>
      </c>
      <c r="N146">
        <f t="shared" si="46"/>
        <v>36965.118941117791</v>
      </c>
      <c r="O146">
        <f>IF(J146&lt;=0,0,MIN(MAX(0,J146-N146),SUMIFS('Loan Prepayment'!$B$12:$B$16,'Loan Prepayment'!$A$12:$A$16,I146)+0))</f>
        <v>0</v>
      </c>
      <c r="P146">
        <f t="shared" si="47"/>
        <v>5020656.2368233725</v>
      </c>
      <c r="Q146">
        <v>145</v>
      </c>
      <c r="R146">
        <f t="shared" si="60"/>
        <v>6029846.3034356153</v>
      </c>
      <c r="S146" s="78">
        <f>'Loan Prepayment'!$B$6</f>
        <v>8.5</v>
      </c>
      <c r="T146">
        <f>IF(R146&lt;=0,0,MIN(IF(AND('Loan Prepayment'!$E$15="Reduce EMI",W145&gt;0),-PMT(S146/1200,MAX(1,'Loan Prepayment'!$B$7*12-Q146+1),R146),T145),R146+U146))</f>
        <v>86782.323336553396</v>
      </c>
      <c r="U146">
        <f t="shared" si="48"/>
        <v>42711.411316002275</v>
      </c>
      <c r="V146">
        <f t="shared" si="49"/>
        <v>44070.912020551121</v>
      </c>
      <c r="W146">
        <f>IF(R146&lt;=0,0,MIN(MAX(0,R146-V146),0+IF(AND(Q146&gt;='Loan Prepayment'!$B$9,Q146&lt;='Loan Prepayment'!$E$16),'Loan Prepayment'!$B$8,0)))</f>
        <v>0</v>
      </c>
      <c r="X146">
        <f t="shared" si="50"/>
        <v>5985775.3914150642</v>
      </c>
      <c r="Y146">
        <v>145</v>
      </c>
      <c r="Z146">
        <f t="shared" si="61"/>
        <v>5324396.1687369104</v>
      </c>
      <c r="AA146">
        <f>IF(Y146&gt;='Loan Prepayment'!$E$11,'Loan Prepayment'!$E$12,'Loan Prepayment'!$B$6)</f>
        <v>7.5</v>
      </c>
      <c r="AB146">
        <f>IF(Z146&lt;=0,0,MIN(IF(Y146='Loan Prepayment'!$E$11,IF('Loan Prepayment'!$E$13="Keep tenure, recalculate EMI",-PMT(AA146/1200,MAX(1,'Loan Prepayment'!$B$7*12-Y146+1),Z146),AB145),AB145),Z146+AC146))</f>
        <v>86782.323336553396</v>
      </c>
      <c r="AC146">
        <f t="shared" si="51"/>
        <v>33277.476054605693</v>
      </c>
      <c r="AD146">
        <f t="shared" si="52"/>
        <v>53504.847281947703</v>
      </c>
      <c r="AE146">
        <f t="shared" si="53"/>
        <v>0</v>
      </c>
      <c r="AF146">
        <f t="shared" si="54"/>
        <v>5270891.3214549627</v>
      </c>
      <c r="AG146">
        <v>145</v>
      </c>
      <c r="AH146">
        <f t="shared" si="62"/>
        <v>3924151.1049061026</v>
      </c>
      <c r="AI146">
        <f>IF(AG146&gt;='Loan Prepayment'!$E$11,'Loan Prepayment'!$E$12,'Loan Prepayment'!$B$6)</f>
        <v>7.5</v>
      </c>
      <c r="AJ146">
        <f>IF(AH146&lt;=0,0,MIN(IF(AG146='Loan Prepayment'!$E$11,IF('Loan Prepayment'!$E$13="Keep tenure, recalculate EMI",-PMT(AI146/1200,MAX(1,'Loan Prepayment'!$B$7*12-AG146+1),AH146),AJ145),IF(AND('Loan Prepayment'!$E$15="Reduce EMI",AM145&gt;0),-PMT(AI146/1200,MAX(1,'Loan Prepayment'!$B$7*12-AG146+1),AH146),AJ145)),AH146+AK146))</f>
        <v>77713.634667410894</v>
      </c>
      <c r="AK146">
        <f t="shared" si="55"/>
        <v>24525.94440566314</v>
      </c>
      <c r="AL146">
        <f t="shared" si="56"/>
        <v>53187.690261747754</v>
      </c>
      <c r="AM146">
        <f>IF(AH146&lt;=0,0,MIN(MAX(0,AH146-AL146),SUMIFS('Loan Prepayment'!$B$12:$B$16,'Loan Prepayment'!$A$12:$A$16,AG146)+IF(AND(AG146&gt;='Loan Prepayment'!$B$9,AG146&lt;='Loan Prepayment'!$E$16),'Loan Prepayment'!$B$8,0)))</f>
        <v>0</v>
      </c>
      <c r="AN146">
        <f t="shared" si="57"/>
        <v>3870963.414644355</v>
      </c>
    </row>
    <row r="147" spans="1:40" x14ac:dyDescent="0.35">
      <c r="A147">
        <v>146</v>
      </c>
      <c r="B147">
        <f t="shared" si="58"/>
        <v>5985775.3914150642</v>
      </c>
      <c r="C147" s="78">
        <f>'Loan Prepayment'!$B$6</f>
        <v>8.5</v>
      </c>
      <c r="D147">
        <f>IF(B147&lt;=0,0,MIN(-PMT('Loan Prepayment'!$B$6/1200,'Loan Prepayment'!$B$7*12,'Loan Prepayment'!$B$5),B147+E147))</f>
        <v>86782.323336553396</v>
      </c>
      <c r="E147">
        <f t="shared" si="42"/>
        <v>42399.242355856702</v>
      </c>
      <c r="F147">
        <f t="shared" si="43"/>
        <v>44383.080980696694</v>
      </c>
      <c r="G147">
        <v>0</v>
      </c>
      <c r="H147">
        <f t="shared" si="44"/>
        <v>5941392.3104343675</v>
      </c>
      <c r="I147">
        <v>146</v>
      </c>
      <c r="J147">
        <f t="shared" si="59"/>
        <v>5020656.2368233725</v>
      </c>
      <c r="K147" s="78">
        <f>'Loan Prepayment'!$B$6</f>
        <v>8.5</v>
      </c>
      <c r="L147">
        <f>IF(J147&lt;=0,0,MIN(IF(AND('Loan Prepayment'!$E$15="Reduce EMI",O146&gt;0),-PMT(K147/1200,MAX(1,'Loan Prepayment'!$B$7*12-I147+1),J147),L146),J147+M147))</f>
        <v>72789.936877782937</v>
      </c>
      <c r="M147">
        <f t="shared" si="45"/>
        <v>35562.981677498894</v>
      </c>
      <c r="N147">
        <f t="shared" si="46"/>
        <v>37226.955200284043</v>
      </c>
      <c r="O147">
        <f>IF(J147&lt;=0,0,MIN(MAX(0,J147-N147),SUMIFS('Loan Prepayment'!$B$12:$B$16,'Loan Prepayment'!$A$12:$A$16,I147)+0))</f>
        <v>0</v>
      </c>
      <c r="P147">
        <f t="shared" si="47"/>
        <v>4983429.2816230888</v>
      </c>
      <c r="Q147">
        <v>146</v>
      </c>
      <c r="R147">
        <f t="shared" si="60"/>
        <v>5985775.3914150642</v>
      </c>
      <c r="S147" s="78">
        <f>'Loan Prepayment'!$B$6</f>
        <v>8.5</v>
      </c>
      <c r="T147">
        <f>IF(R147&lt;=0,0,MIN(IF(AND('Loan Prepayment'!$E$15="Reduce EMI",W146&gt;0),-PMT(S147/1200,MAX(1,'Loan Prepayment'!$B$7*12-Q147+1),R147),T146),R147+U147))</f>
        <v>86782.323336553396</v>
      </c>
      <c r="U147">
        <f t="shared" si="48"/>
        <v>42399.242355856702</v>
      </c>
      <c r="V147">
        <f t="shared" si="49"/>
        <v>44383.080980696694</v>
      </c>
      <c r="W147">
        <f>IF(R147&lt;=0,0,MIN(MAX(0,R147-V147),0+IF(AND(Q147&gt;='Loan Prepayment'!$B$9,Q147&lt;='Loan Prepayment'!$E$16),'Loan Prepayment'!$B$8,0)))</f>
        <v>0</v>
      </c>
      <c r="X147">
        <f t="shared" si="50"/>
        <v>5941392.3104343675</v>
      </c>
      <c r="Y147">
        <v>146</v>
      </c>
      <c r="Z147">
        <f t="shared" si="61"/>
        <v>5270891.3214549627</v>
      </c>
      <c r="AA147">
        <f>IF(Y147&gt;='Loan Prepayment'!$E$11,'Loan Prepayment'!$E$12,'Loan Prepayment'!$B$6)</f>
        <v>7.5</v>
      </c>
      <c r="AB147">
        <f>IF(Z147&lt;=0,0,MIN(IF(Y147='Loan Prepayment'!$E$11,IF('Loan Prepayment'!$E$13="Keep tenure, recalculate EMI",-PMT(AA147/1200,MAX(1,'Loan Prepayment'!$B$7*12-Y147+1),Z147),AB146),AB146),Z147+AC147))</f>
        <v>86782.323336553396</v>
      </c>
      <c r="AC147">
        <f t="shared" si="51"/>
        <v>32943.07075909352</v>
      </c>
      <c r="AD147">
        <f t="shared" si="52"/>
        <v>53839.252577459876</v>
      </c>
      <c r="AE147">
        <f t="shared" si="53"/>
        <v>0</v>
      </c>
      <c r="AF147">
        <f t="shared" si="54"/>
        <v>5217052.0688775033</v>
      </c>
      <c r="AG147">
        <v>146</v>
      </c>
      <c r="AH147">
        <f t="shared" si="62"/>
        <v>3870963.414644355</v>
      </c>
      <c r="AI147">
        <f>IF(AG147&gt;='Loan Prepayment'!$E$11,'Loan Prepayment'!$E$12,'Loan Prepayment'!$B$6)</f>
        <v>7.5</v>
      </c>
      <c r="AJ147">
        <f>IF(AH147&lt;=0,0,MIN(IF(AG147='Loan Prepayment'!$E$11,IF('Loan Prepayment'!$E$13="Keep tenure, recalculate EMI",-PMT(AI147/1200,MAX(1,'Loan Prepayment'!$B$7*12-AG147+1),AH147),AJ146),IF(AND('Loan Prepayment'!$E$15="Reduce EMI",AM146&gt;0),-PMT(AI147/1200,MAX(1,'Loan Prepayment'!$B$7*12-AG147+1),AH147),AJ146)),AH147+AK147))</f>
        <v>77713.634667410894</v>
      </c>
      <c r="AK147">
        <f t="shared" si="55"/>
        <v>24193.521341527219</v>
      </c>
      <c r="AL147">
        <f t="shared" si="56"/>
        <v>53520.113325883678</v>
      </c>
      <c r="AM147">
        <f>IF(AH147&lt;=0,0,MIN(MAX(0,AH147-AL147),SUMIFS('Loan Prepayment'!$B$12:$B$16,'Loan Prepayment'!$A$12:$A$16,AG147)+IF(AND(AG147&gt;='Loan Prepayment'!$B$9,AG147&lt;='Loan Prepayment'!$E$16),'Loan Prepayment'!$B$8,0)))</f>
        <v>0</v>
      </c>
      <c r="AN147">
        <f t="shared" si="57"/>
        <v>3817443.3013184713</v>
      </c>
    </row>
    <row r="148" spans="1:40" x14ac:dyDescent="0.35">
      <c r="A148">
        <v>147</v>
      </c>
      <c r="B148">
        <f t="shared" si="58"/>
        <v>5941392.3104343675</v>
      </c>
      <c r="C148" s="78">
        <f>'Loan Prepayment'!$B$6</f>
        <v>8.5</v>
      </c>
      <c r="D148">
        <f>IF(B148&lt;=0,0,MIN(-PMT('Loan Prepayment'!$B$6/1200,'Loan Prepayment'!$B$7*12,'Loan Prepayment'!$B$5),B148+E148))</f>
        <v>86782.323336553396</v>
      </c>
      <c r="E148">
        <f t="shared" si="42"/>
        <v>42084.862198910101</v>
      </c>
      <c r="F148">
        <f t="shared" si="43"/>
        <v>44697.461137643295</v>
      </c>
      <c r="G148">
        <v>0</v>
      </c>
      <c r="H148">
        <f t="shared" si="44"/>
        <v>5896694.8492967244</v>
      </c>
      <c r="I148">
        <v>147</v>
      </c>
      <c r="J148">
        <f t="shared" si="59"/>
        <v>4983429.2816230888</v>
      </c>
      <c r="K148" s="78">
        <f>'Loan Prepayment'!$B$6</f>
        <v>8.5</v>
      </c>
      <c r="L148">
        <f>IF(J148&lt;=0,0,MIN(IF(AND('Loan Prepayment'!$E$15="Reduce EMI",O147&gt;0),-PMT(K148/1200,MAX(1,'Loan Prepayment'!$B$7*12-I148+1),J148),L147),J148+M148))</f>
        <v>72789.936877782937</v>
      </c>
      <c r="M148">
        <f t="shared" si="45"/>
        <v>35299.290744830214</v>
      </c>
      <c r="N148">
        <f t="shared" si="46"/>
        <v>37490.646132952723</v>
      </c>
      <c r="O148">
        <f>IF(J148&lt;=0,0,MIN(MAX(0,J148-N148),SUMIFS('Loan Prepayment'!$B$12:$B$16,'Loan Prepayment'!$A$12:$A$16,I148)+0))</f>
        <v>0</v>
      </c>
      <c r="P148">
        <f t="shared" si="47"/>
        <v>4945938.6354901362</v>
      </c>
      <c r="Q148">
        <v>147</v>
      </c>
      <c r="R148">
        <f t="shared" si="60"/>
        <v>5941392.3104343675</v>
      </c>
      <c r="S148" s="78">
        <f>'Loan Prepayment'!$B$6</f>
        <v>8.5</v>
      </c>
      <c r="T148">
        <f>IF(R148&lt;=0,0,MIN(IF(AND('Loan Prepayment'!$E$15="Reduce EMI",W147&gt;0),-PMT(S148/1200,MAX(1,'Loan Prepayment'!$B$7*12-Q148+1),R148),T147),R148+U148))</f>
        <v>86782.323336553396</v>
      </c>
      <c r="U148">
        <f t="shared" si="48"/>
        <v>42084.862198910101</v>
      </c>
      <c r="V148">
        <f t="shared" si="49"/>
        <v>44697.461137643295</v>
      </c>
      <c r="W148">
        <f>IF(R148&lt;=0,0,MIN(MAX(0,R148-V148),0+IF(AND(Q148&gt;='Loan Prepayment'!$B$9,Q148&lt;='Loan Prepayment'!$E$16),'Loan Prepayment'!$B$8,0)))</f>
        <v>0</v>
      </c>
      <c r="X148">
        <f t="shared" si="50"/>
        <v>5896694.8492967244</v>
      </c>
      <c r="Y148">
        <v>147</v>
      </c>
      <c r="Z148">
        <f t="shared" si="61"/>
        <v>5217052.0688775033</v>
      </c>
      <c r="AA148">
        <f>IF(Y148&gt;='Loan Prepayment'!$E$11,'Loan Prepayment'!$E$12,'Loan Prepayment'!$B$6)</f>
        <v>7.5</v>
      </c>
      <c r="AB148">
        <f>IF(Z148&lt;=0,0,MIN(IF(Y148='Loan Prepayment'!$E$11,IF('Loan Prepayment'!$E$13="Keep tenure, recalculate EMI",-PMT(AA148/1200,MAX(1,'Loan Prepayment'!$B$7*12-Y148+1),Z148),AB147),AB147),Z148+AC148))</f>
        <v>86782.323336553396</v>
      </c>
      <c r="AC148">
        <f t="shared" si="51"/>
        <v>32606.575430484394</v>
      </c>
      <c r="AD148">
        <f t="shared" si="52"/>
        <v>54175.747906069002</v>
      </c>
      <c r="AE148">
        <f t="shared" si="53"/>
        <v>0</v>
      </c>
      <c r="AF148">
        <f t="shared" si="54"/>
        <v>5162876.320971434</v>
      </c>
      <c r="AG148">
        <v>147</v>
      </c>
      <c r="AH148">
        <f t="shared" si="62"/>
        <v>3817443.3013184713</v>
      </c>
      <c r="AI148">
        <f>IF(AG148&gt;='Loan Prepayment'!$E$11,'Loan Prepayment'!$E$12,'Loan Prepayment'!$B$6)</f>
        <v>7.5</v>
      </c>
      <c r="AJ148">
        <f>IF(AH148&lt;=0,0,MIN(IF(AG148='Loan Prepayment'!$E$11,IF('Loan Prepayment'!$E$13="Keep tenure, recalculate EMI",-PMT(AI148/1200,MAX(1,'Loan Prepayment'!$B$7*12-AG148+1),AH148),AJ147),IF(AND('Loan Prepayment'!$E$15="Reduce EMI",AM147&gt;0),-PMT(AI148/1200,MAX(1,'Loan Prepayment'!$B$7*12-AG148+1),AH148),AJ147)),AH148+AK148))</f>
        <v>77713.634667410894</v>
      </c>
      <c r="AK148">
        <f t="shared" si="55"/>
        <v>23859.020633240445</v>
      </c>
      <c r="AL148">
        <f t="shared" si="56"/>
        <v>53854.614034170445</v>
      </c>
      <c r="AM148">
        <f>IF(AH148&lt;=0,0,MIN(MAX(0,AH148-AL148),SUMIFS('Loan Prepayment'!$B$12:$B$16,'Loan Prepayment'!$A$12:$A$16,AG148)+IF(AND(AG148&gt;='Loan Prepayment'!$B$9,AG148&lt;='Loan Prepayment'!$E$16),'Loan Prepayment'!$B$8,0)))</f>
        <v>0</v>
      </c>
      <c r="AN148">
        <f t="shared" si="57"/>
        <v>3763588.687284301</v>
      </c>
    </row>
    <row r="149" spans="1:40" x14ac:dyDescent="0.35">
      <c r="A149">
        <v>148</v>
      </c>
      <c r="B149">
        <f t="shared" si="58"/>
        <v>5896694.8492967244</v>
      </c>
      <c r="C149" s="78">
        <f>'Loan Prepayment'!$B$6</f>
        <v>8.5</v>
      </c>
      <c r="D149">
        <f>IF(B149&lt;=0,0,MIN(-PMT('Loan Prepayment'!$B$6/1200,'Loan Prepayment'!$B$7*12,'Loan Prepayment'!$B$5),B149+E149))</f>
        <v>86782.323336553396</v>
      </c>
      <c r="E149">
        <f t="shared" si="42"/>
        <v>41768.255182518464</v>
      </c>
      <c r="F149">
        <f t="shared" si="43"/>
        <v>45014.068154034932</v>
      </c>
      <c r="G149">
        <v>0</v>
      </c>
      <c r="H149">
        <f t="shared" si="44"/>
        <v>5851680.7811426893</v>
      </c>
      <c r="I149">
        <v>148</v>
      </c>
      <c r="J149">
        <f t="shared" si="59"/>
        <v>4945938.6354901362</v>
      </c>
      <c r="K149" s="78">
        <f>'Loan Prepayment'!$B$6</f>
        <v>8.5</v>
      </c>
      <c r="L149">
        <f>IF(J149&lt;=0,0,MIN(IF(AND('Loan Prepayment'!$E$15="Reduce EMI",O148&gt;0),-PMT(K149/1200,MAX(1,'Loan Prepayment'!$B$7*12-I149+1),J149),L148),J149+M149))</f>
        <v>72789.936877782937</v>
      </c>
      <c r="M149">
        <f t="shared" si="45"/>
        <v>35033.732001388467</v>
      </c>
      <c r="N149">
        <f t="shared" si="46"/>
        <v>37756.204876394469</v>
      </c>
      <c r="O149">
        <f>IF(J149&lt;=0,0,MIN(MAX(0,J149-N149),SUMIFS('Loan Prepayment'!$B$12:$B$16,'Loan Prepayment'!$A$12:$A$16,I149)+0))</f>
        <v>0</v>
      </c>
      <c r="P149">
        <f t="shared" si="47"/>
        <v>4908182.4306137422</v>
      </c>
      <c r="Q149">
        <v>148</v>
      </c>
      <c r="R149">
        <f t="shared" si="60"/>
        <v>5896694.8492967244</v>
      </c>
      <c r="S149" s="78">
        <f>'Loan Prepayment'!$B$6</f>
        <v>8.5</v>
      </c>
      <c r="T149">
        <f>IF(R149&lt;=0,0,MIN(IF(AND('Loan Prepayment'!$E$15="Reduce EMI",W148&gt;0),-PMT(S149/1200,MAX(1,'Loan Prepayment'!$B$7*12-Q149+1),R149),T148),R149+U149))</f>
        <v>86782.323336553396</v>
      </c>
      <c r="U149">
        <f t="shared" si="48"/>
        <v>41768.255182518464</v>
      </c>
      <c r="V149">
        <f t="shared" si="49"/>
        <v>45014.068154034932</v>
      </c>
      <c r="W149">
        <f>IF(R149&lt;=0,0,MIN(MAX(0,R149-V149),0+IF(AND(Q149&gt;='Loan Prepayment'!$B$9,Q149&lt;='Loan Prepayment'!$E$16),'Loan Prepayment'!$B$8,0)))</f>
        <v>0</v>
      </c>
      <c r="X149">
        <f t="shared" si="50"/>
        <v>5851680.7811426893</v>
      </c>
      <c r="Y149">
        <v>148</v>
      </c>
      <c r="Z149">
        <f t="shared" si="61"/>
        <v>5162876.320971434</v>
      </c>
      <c r="AA149">
        <f>IF(Y149&gt;='Loan Prepayment'!$E$11,'Loan Prepayment'!$E$12,'Loan Prepayment'!$B$6)</f>
        <v>7.5</v>
      </c>
      <c r="AB149">
        <f>IF(Z149&lt;=0,0,MIN(IF(Y149='Loan Prepayment'!$E$11,IF('Loan Prepayment'!$E$13="Keep tenure, recalculate EMI",-PMT(AA149/1200,MAX(1,'Loan Prepayment'!$B$7*12-Y149+1),Z149),AB148),AB148),Z149+AC149))</f>
        <v>86782.323336553396</v>
      </c>
      <c r="AC149">
        <f t="shared" si="51"/>
        <v>32267.977006071465</v>
      </c>
      <c r="AD149">
        <f t="shared" si="52"/>
        <v>54514.346330481931</v>
      </c>
      <c r="AE149">
        <f t="shared" si="53"/>
        <v>0</v>
      </c>
      <c r="AF149">
        <f t="shared" si="54"/>
        <v>5108361.9746409524</v>
      </c>
      <c r="AG149">
        <v>148</v>
      </c>
      <c r="AH149">
        <f t="shared" si="62"/>
        <v>3763588.687284301</v>
      </c>
      <c r="AI149">
        <f>IF(AG149&gt;='Loan Prepayment'!$E$11,'Loan Prepayment'!$E$12,'Loan Prepayment'!$B$6)</f>
        <v>7.5</v>
      </c>
      <c r="AJ149">
        <f>IF(AH149&lt;=0,0,MIN(IF(AG149='Loan Prepayment'!$E$11,IF('Loan Prepayment'!$E$13="Keep tenure, recalculate EMI",-PMT(AI149/1200,MAX(1,'Loan Prepayment'!$B$7*12-AG149+1),AH149),AJ148),IF(AND('Loan Prepayment'!$E$15="Reduce EMI",AM148&gt;0),-PMT(AI149/1200,MAX(1,'Loan Prepayment'!$B$7*12-AG149+1),AH149),AJ148)),AH149+AK149))</f>
        <v>77713.634667410894</v>
      </c>
      <c r="AK149">
        <f t="shared" si="55"/>
        <v>23522.429295526883</v>
      </c>
      <c r="AL149">
        <f t="shared" si="56"/>
        <v>54191.205371884011</v>
      </c>
      <c r="AM149">
        <f>IF(AH149&lt;=0,0,MIN(MAX(0,AH149-AL149),SUMIFS('Loan Prepayment'!$B$12:$B$16,'Loan Prepayment'!$A$12:$A$16,AG149)+IF(AND(AG149&gt;='Loan Prepayment'!$B$9,AG149&lt;='Loan Prepayment'!$E$16),'Loan Prepayment'!$B$8,0)))</f>
        <v>0</v>
      </c>
      <c r="AN149">
        <f t="shared" si="57"/>
        <v>3709397.4819124169</v>
      </c>
    </row>
    <row r="150" spans="1:40" x14ac:dyDescent="0.35">
      <c r="A150">
        <v>149</v>
      </c>
      <c r="B150">
        <f t="shared" si="58"/>
        <v>5851680.7811426893</v>
      </c>
      <c r="C150" s="78">
        <f>'Loan Prepayment'!$B$6</f>
        <v>8.5</v>
      </c>
      <c r="D150">
        <f>IF(B150&lt;=0,0,MIN(-PMT('Loan Prepayment'!$B$6/1200,'Loan Prepayment'!$B$7*12,'Loan Prepayment'!$B$5),B150+E150))</f>
        <v>86782.323336553396</v>
      </c>
      <c r="E150">
        <f t="shared" si="42"/>
        <v>41449.405533094046</v>
      </c>
      <c r="F150">
        <f t="shared" si="43"/>
        <v>45332.91780345935</v>
      </c>
      <c r="G150">
        <v>0</v>
      </c>
      <c r="H150">
        <f t="shared" si="44"/>
        <v>5806347.8633392295</v>
      </c>
      <c r="I150">
        <v>149</v>
      </c>
      <c r="J150">
        <f t="shared" si="59"/>
        <v>4908182.4306137422</v>
      </c>
      <c r="K150" s="78">
        <f>'Loan Prepayment'!$B$6</f>
        <v>8.5</v>
      </c>
      <c r="L150">
        <f>IF(J150&lt;=0,0,MIN(IF(AND('Loan Prepayment'!$E$15="Reduce EMI",O149&gt;0),-PMT(K150/1200,MAX(1,'Loan Prepayment'!$B$7*12-I150+1),J150),L149),J150+M150))</f>
        <v>72789.936877782937</v>
      </c>
      <c r="M150">
        <f t="shared" si="45"/>
        <v>34766.292216847338</v>
      </c>
      <c r="N150">
        <f t="shared" si="46"/>
        <v>38023.644660935599</v>
      </c>
      <c r="O150">
        <f>IF(J150&lt;=0,0,MIN(MAX(0,J150-N150),SUMIFS('Loan Prepayment'!$B$12:$B$16,'Loan Prepayment'!$A$12:$A$16,I150)+0))</f>
        <v>0</v>
      </c>
      <c r="P150">
        <f t="shared" si="47"/>
        <v>4870158.7859528065</v>
      </c>
      <c r="Q150">
        <v>149</v>
      </c>
      <c r="R150">
        <f t="shared" si="60"/>
        <v>5851680.7811426893</v>
      </c>
      <c r="S150" s="78">
        <f>'Loan Prepayment'!$B$6</f>
        <v>8.5</v>
      </c>
      <c r="T150">
        <f>IF(R150&lt;=0,0,MIN(IF(AND('Loan Prepayment'!$E$15="Reduce EMI",W149&gt;0),-PMT(S150/1200,MAX(1,'Loan Prepayment'!$B$7*12-Q150+1),R150),T149),R150+U150))</f>
        <v>86782.323336553396</v>
      </c>
      <c r="U150">
        <f t="shared" si="48"/>
        <v>41449.405533094046</v>
      </c>
      <c r="V150">
        <f t="shared" si="49"/>
        <v>45332.91780345935</v>
      </c>
      <c r="W150">
        <f>IF(R150&lt;=0,0,MIN(MAX(0,R150-V150),0+IF(AND(Q150&gt;='Loan Prepayment'!$B$9,Q150&lt;='Loan Prepayment'!$E$16),'Loan Prepayment'!$B$8,0)))</f>
        <v>0</v>
      </c>
      <c r="X150">
        <f t="shared" si="50"/>
        <v>5806347.8633392295</v>
      </c>
      <c r="Y150">
        <v>149</v>
      </c>
      <c r="Z150">
        <f t="shared" si="61"/>
        <v>5108361.9746409524</v>
      </c>
      <c r="AA150">
        <f>IF(Y150&gt;='Loan Prepayment'!$E$11,'Loan Prepayment'!$E$12,'Loan Prepayment'!$B$6)</f>
        <v>7.5</v>
      </c>
      <c r="AB150">
        <f>IF(Z150&lt;=0,0,MIN(IF(Y150='Loan Prepayment'!$E$11,IF('Loan Prepayment'!$E$13="Keep tenure, recalculate EMI",-PMT(AA150/1200,MAX(1,'Loan Prepayment'!$B$7*12-Y150+1),Z150),AB149),AB149),Z150+AC150))</f>
        <v>86782.323336553396</v>
      </c>
      <c r="AC150">
        <f t="shared" si="51"/>
        <v>31927.262341505953</v>
      </c>
      <c r="AD150">
        <f t="shared" si="52"/>
        <v>54855.060995047446</v>
      </c>
      <c r="AE150">
        <f t="shared" si="53"/>
        <v>0</v>
      </c>
      <c r="AF150">
        <f t="shared" si="54"/>
        <v>5053506.9136459045</v>
      </c>
      <c r="AG150">
        <v>149</v>
      </c>
      <c r="AH150">
        <f t="shared" si="62"/>
        <v>3709397.4819124169</v>
      </c>
      <c r="AI150">
        <f>IF(AG150&gt;='Loan Prepayment'!$E$11,'Loan Prepayment'!$E$12,'Loan Prepayment'!$B$6)</f>
        <v>7.5</v>
      </c>
      <c r="AJ150">
        <f>IF(AH150&lt;=0,0,MIN(IF(AG150='Loan Prepayment'!$E$11,IF('Loan Prepayment'!$E$13="Keep tenure, recalculate EMI",-PMT(AI150/1200,MAX(1,'Loan Prepayment'!$B$7*12-AG150+1),AH150),AJ149),IF(AND('Loan Prepayment'!$E$15="Reduce EMI",AM149&gt;0),-PMT(AI150/1200,MAX(1,'Loan Prepayment'!$B$7*12-AG150+1),AH150),AJ149)),AH150+AK150))</f>
        <v>77713.634667410894</v>
      </c>
      <c r="AK150">
        <f t="shared" si="55"/>
        <v>23183.734261952606</v>
      </c>
      <c r="AL150">
        <f t="shared" si="56"/>
        <v>54529.900405458291</v>
      </c>
      <c r="AM150">
        <f>IF(AH150&lt;=0,0,MIN(MAX(0,AH150-AL150),SUMIFS('Loan Prepayment'!$B$12:$B$16,'Loan Prepayment'!$A$12:$A$16,AG150)+IF(AND(AG150&gt;='Loan Prepayment'!$B$9,AG150&lt;='Loan Prepayment'!$E$16),'Loan Prepayment'!$B$8,0)))</f>
        <v>0</v>
      </c>
      <c r="AN150">
        <f t="shared" si="57"/>
        <v>3654867.5815069587</v>
      </c>
    </row>
    <row r="151" spans="1:40" x14ac:dyDescent="0.35">
      <c r="A151">
        <v>150</v>
      </c>
      <c r="B151">
        <f t="shared" si="58"/>
        <v>5806347.8633392295</v>
      </c>
      <c r="C151" s="78">
        <f>'Loan Prepayment'!$B$6</f>
        <v>8.5</v>
      </c>
      <c r="D151">
        <f>IF(B151&lt;=0,0,MIN(-PMT('Loan Prepayment'!$B$6/1200,'Loan Prepayment'!$B$7*12,'Loan Prepayment'!$B$5),B151+E151))</f>
        <v>86782.323336553396</v>
      </c>
      <c r="E151">
        <f t="shared" si="42"/>
        <v>41128.297365319544</v>
      </c>
      <c r="F151">
        <f t="shared" si="43"/>
        <v>45654.025971233852</v>
      </c>
      <c r="G151">
        <v>0</v>
      </c>
      <c r="H151">
        <f t="shared" si="44"/>
        <v>5760693.8373679956</v>
      </c>
      <c r="I151">
        <v>150</v>
      </c>
      <c r="J151">
        <f t="shared" si="59"/>
        <v>4870158.7859528065</v>
      </c>
      <c r="K151" s="78">
        <f>'Loan Prepayment'!$B$6</f>
        <v>8.5</v>
      </c>
      <c r="L151">
        <f>IF(J151&lt;=0,0,MIN(IF(AND('Loan Prepayment'!$E$15="Reduce EMI",O150&gt;0),-PMT(K151/1200,MAX(1,'Loan Prepayment'!$B$7*12-I151+1),J151),L150),J151+M151))</f>
        <v>72789.936877782937</v>
      </c>
      <c r="M151">
        <f t="shared" si="45"/>
        <v>34496.95806716571</v>
      </c>
      <c r="N151">
        <f t="shared" si="46"/>
        <v>38292.978810617227</v>
      </c>
      <c r="O151">
        <f>IF(J151&lt;=0,0,MIN(MAX(0,J151-N151),SUMIFS('Loan Prepayment'!$B$12:$B$16,'Loan Prepayment'!$A$12:$A$16,I151)+0))</f>
        <v>0</v>
      </c>
      <c r="P151">
        <f t="shared" si="47"/>
        <v>4831865.8071421897</v>
      </c>
      <c r="Q151">
        <v>150</v>
      </c>
      <c r="R151">
        <f t="shared" si="60"/>
        <v>5806347.8633392295</v>
      </c>
      <c r="S151" s="78">
        <f>'Loan Prepayment'!$B$6</f>
        <v>8.5</v>
      </c>
      <c r="T151">
        <f>IF(R151&lt;=0,0,MIN(IF(AND('Loan Prepayment'!$E$15="Reduce EMI",W150&gt;0),-PMT(S151/1200,MAX(1,'Loan Prepayment'!$B$7*12-Q151+1),R151),T150),R151+U151))</f>
        <v>86782.323336553396</v>
      </c>
      <c r="U151">
        <f t="shared" si="48"/>
        <v>41128.297365319544</v>
      </c>
      <c r="V151">
        <f t="shared" si="49"/>
        <v>45654.025971233852</v>
      </c>
      <c r="W151">
        <f>IF(R151&lt;=0,0,MIN(MAX(0,R151-V151),0+IF(AND(Q151&gt;='Loan Prepayment'!$B$9,Q151&lt;='Loan Prepayment'!$E$16),'Loan Prepayment'!$B$8,0)))</f>
        <v>0</v>
      </c>
      <c r="X151">
        <f t="shared" si="50"/>
        <v>5760693.8373679956</v>
      </c>
      <c r="Y151">
        <v>150</v>
      </c>
      <c r="Z151">
        <f t="shared" si="61"/>
        <v>5053506.9136459045</v>
      </c>
      <c r="AA151">
        <f>IF(Y151&gt;='Loan Prepayment'!$E$11,'Loan Prepayment'!$E$12,'Loan Prepayment'!$B$6)</f>
        <v>7.5</v>
      </c>
      <c r="AB151">
        <f>IF(Z151&lt;=0,0,MIN(IF(Y151='Loan Prepayment'!$E$11,IF('Loan Prepayment'!$E$13="Keep tenure, recalculate EMI",-PMT(AA151/1200,MAX(1,'Loan Prepayment'!$B$7*12-Y151+1),Z151),AB150),AB150),Z151+AC151))</f>
        <v>86782.323336553396</v>
      </c>
      <c r="AC151">
        <f t="shared" si="51"/>
        <v>31584.418210286902</v>
      </c>
      <c r="AD151">
        <f t="shared" si="52"/>
        <v>55197.905126266494</v>
      </c>
      <c r="AE151">
        <f t="shared" si="53"/>
        <v>0</v>
      </c>
      <c r="AF151">
        <f t="shared" si="54"/>
        <v>4998309.0085196383</v>
      </c>
      <c r="AG151">
        <v>150</v>
      </c>
      <c r="AH151">
        <f t="shared" si="62"/>
        <v>3654867.5815069587</v>
      </c>
      <c r="AI151">
        <f>IF(AG151&gt;='Loan Prepayment'!$E$11,'Loan Prepayment'!$E$12,'Loan Prepayment'!$B$6)</f>
        <v>7.5</v>
      </c>
      <c r="AJ151">
        <f>IF(AH151&lt;=0,0,MIN(IF(AG151='Loan Prepayment'!$E$11,IF('Loan Prepayment'!$E$13="Keep tenure, recalculate EMI",-PMT(AI151/1200,MAX(1,'Loan Prepayment'!$B$7*12-AG151+1),AH151),AJ150),IF(AND('Loan Prepayment'!$E$15="Reduce EMI",AM150&gt;0),-PMT(AI151/1200,MAX(1,'Loan Prepayment'!$B$7*12-AG151+1),AH151),AJ150)),AH151+AK151))</f>
        <v>77713.634667410894</v>
      </c>
      <c r="AK151">
        <f t="shared" si="55"/>
        <v>22842.922384418493</v>
      </c>
      <c r="AL151">
        <f t="shared" si="56"/>
        <v>54870.712282992405</v>
      </c>
      <c r="AM151">
        <f>IF(AH151&lt;=0,0,MIN(MAX(0,AH151-AL151),SUMIFS('Loan Prepayment'!$B$12:$B$16,'Loan Prepayment'!$A$12:$A$16,AG151)+IF(AND(AG151&gt;='Loan Prepayment'!$B$9,AG151&lt;='Loan Prepayment'!$E$16),'Loan Prepayment'!$B$8,0)))</f>
        <v>0</v>
      </c>
      <c r="AN151">
        <f t="shared" si="57"/>
        <v>3599996.8692239663</v>
      </c>
    </row>
    <row r="152" spans="1:40" x14ac:dyDescent="0.35">
      <c r="A152">
        <v>151</v>
      </c>
      <c r="B152">
        <f t="shared" si="58"/>
        <v>5760693.8373679956</v>
      </c>
      <c r="C152" s="78">
        <f>'Loan Prepayment'!$B$6</f>
        <v>8.5</v>
      </c>
      <c r="D152">
        <f>IF(B152&lt;=0,0,MIN(-PMT('Loan Prepayment'!$B$6/1200,'Loan Prepayment'!$B$7*12,'Loan Prepayment'!$B$5),B152+E152))</f>
        <v>86782.323336553396</v>
      </c>
      <c r="E152">
        <f t="shared" si="42"/>
        <v>40804.914681356633</v>
      </c>
      <c r="F152">
        <f t="shared" si="43"/>
        <v>45977.408655196763</v>
      </c>
      <c r="G152">
        <v>0</v>
      </c>
      <c r="H152">
        <f t="shared" si="44"/>
        <v>5714716.4287127992</v>
      </c>
      <c r="I152">
        <v>151</v>
      </c>
      <c r="J152">
        <f t="shared" si="59"/>
        <v>4831865.8071421897</v>
      </c>
      <c r="K152" s="78">
        <f>'Loan Prepayment'!$B$6</f>
        <v>8.5</v>
      </c>
      <c r="L152">
        <f>IF(J152&lt;=0,0,MIN(IF(AND('Loan Prepayment'!$E$15="Reduce EMI",O151&gt;0),-PMT(K152/1200,MAX(1,'Loan Prepayment'!$B$7*12-I152+1),J152),L151),J152+M152))</f>
        <v>72789.936877782937</v>
      </c>
      <c r="M152">
        <f t="shared" si="45"/>
        <v>34225.716133923845</v>
      </c>
      <c r="N152">
        <f t="shared" si="46"/>
        <v>38564.220743859092</v>
      </c>
      <c r="O152">
        <f>IF(J152&lt;=0,0,MIN(MAX(0,J152-N152),SUMIFS('Loan Prepayment'!$B$12:$B$16,'Loan Prepayment'!$A$12:$A$16,I152)+0))</f>
        <v>0</v>
      </c>
      <c r="P152">
        <f t="shared" si="47"/>
        <v>4793301.5863983305</v>
      </c>
      <c r="Q152">
        <v>151</v>
      </c>
      <c r="R152">
        <f t="shared" si="60"/>
        <v>5760693.8373679956</v>
      </c>
      <c r="S152" s="78">
        <f>'Loan Prepayment'!$B$6</f>
        <v>8.5</v>
      </c>
      <c r="T152">
        <f>IF(R152&lt;=0,0,MIN(IF(AND('Loan Prepayment'!$E$15="Reduce EMI",W151&gt;0),-PMT(S152/1200,MAX(1,'Loan Prepayment'!$B$7*12-Q152+1),R152),T151),R152+U152))</f>
        <v>86782.323336553396</v>
      </c>
      <c r="U152">
        <f t="shared" si="48"/>
        <v>40804.914681356633</v>
      </c>
      <c r="V152">
        <f t="shared" si="49"/>
        <v>45977.408655196763</v>
      </c>
      <c r="W152">
        <f>IF(R152&lt;=0,0,MIN(MAX(0,R152-V152),0+IF(AND(Q152&gt;='Loan Prepayment'!$B$9,Q152&lt;='Loan Prepayment'!$E$16),'Loan Prepayment'!$B$8,0)))</f>
        <v>0</v>
      </c>
      <c r="X152">
        <f t="shared" si="50"/>
        <v>5714716.4287127992</v>
      </c>
      <c r="Y152">
        <v>151</v>
      </c>
      <c r="Z152">
        <f t="shared" si="61"/>
        <v>4998309.0085196383</v>
      </c>
      <c r="AA152">
        <f>IF(Y152&gt;='Loan Prepayment'!$E$11,'Loan Prepayment'!$E$12,'Loan Prepayment'!$B$6)</f>
        <v>7.5</v>
      </c>
      <c r="AB152">
        <f>IF(Z152&lt;=0,0,MIN(IF(Y152='Loan Prepayment'!$E$11,IF('Loan Prepayment'!$E$13="Keep tenure, recalculate EMI",-PMT(AA152/1200,MAX(1,'Loan Prepayment'!$B$7*12-Y152+1),Z152),AB151),AB151),Z152+AC152))</f>
        <v>86782.323336553396</v>
      </c>
      <c r="AC152">
        <f t="shared" si="51"/>
        <v>31239.43130324774</v>
      </c>
      <c r="AD152">
        <f t="shared" si="52"/>
        <v>55542.892033305659</v>
      </c>
      <c r="AE152">
        <f t="shared" si="53"/>
        <v>0</v>
      </c>
      <c r="AF152">
        <f t="shared" si="54"/>
        <v>4942766.1164863324</v>
      </c>
      <c r="AG152">
        <v>151</v>
      </c>
      <c r="AH152">
        <f t="shared" si="62"/>
        <v>3599996.8692239663</v>
      </c>
      <c r="AI152">
        <f>IF(AG152&gt;='Loan Prepayment'!$E$11,'Loan Prepayment'!$E$12,'Loan Prepayment'!$B$6)</f>
        <v>7.5</v>
      </c>
      <c r="AJ152">
        <f>IF(AH152&lt;=0,0,MIN(IF(AG152='Loan Prepayment'!$E$11,IF('Loan Prepayment'!$E$13="Keep tenure, recalculate EMI",-PMT(AI152/1200,MAX(1,'Loan Prepayment'!$B$7*12-AG152+1),AH152),AJ151),IF(AND('Loan Prepayment'!$E$15="Reduce EMI",AM151&gt;0),-PMT(AI152/1200,MAX(1,'Loan Prepayment'!$B$7*12-AG152+1),AH152),AJ151)),AH152+AK152))</f>
        <v>77713.634667410894</v>
      </c>
      <c r="AK152">
        <f t="shared" si="55"/>
        <v>22499.980432649787</v>
      </c>
      <c r="AL152">
        <f t="shared" si="56"/>
        <v>55213.65423476111</v>
      </c>
      <c r="AM152">
        <f>IF(AH152&lt;=0,0,MIN(MAX(0,AH152-AL152),SUMIFS('Loan Prepayment'!$B$12:$B$16,'Loan Prepayment'!$A$12:$A$16,AG152)+IF(AND(AG152&gt;='Loan Prepayment'!$B$9,AG152&lt;='Loan Prepayment'!$E$16),'Loan Prepayment'!$B$8,0)))</f>
        <v>0</v>
      </c>
      <c r="AN152">
        <f t="shared" si="57"/>
        <v>3544783.2149892054</v>
      </c>
    </row>
    <row r="153" spans="1:40" x14ac:dyDescent="0.35">
      <c r="A153">
        <v>152</v>
      </c>
      <c r="B153">
        <f t="shared" si="58"/>
        <v>5714716.4287127992</v>
      </c>
      <c r="C153" s="78">
        <f>'Loan Prepayment'!$B$6</f>
        <v>8.5</v>
      </c>
      <c r="D153">
        <f>IF(B153&lt;=0,0,MIN(-PMT('Loan Prepayment'!$B$6/1200,'Loan Prepayment'!$B$7*12,'Loan Prepayment'!$B$5),B153+E153))</f>
        <v>86782.323336553396</v>
      </c>
      <c r="E153">
        <f t="shared" si="42"/>
        <v>40479.241370048992</v>
      </c>
      <c r="F153">
        <f t="shared" si="43"/>
        <v>46303.081966504404</v>
      </c>
      <c r="G153">
        <v>0</v>
      </c>
      <c r="H153">
        <f t="shared" si="44"/>
        <v>5668413.3467462948</v>
      </c>
      <c r="I153">
        <v>152</v>
      </c>
      <c r="J153">
        <f t="shared" si="59"/>
        <v>4793301.5863983305</v>
      </c>
      <c r="K153" s="78">
        <f>'Loan Prepayment'!$B$6</f>
        <v>8.5</v>
      </c>
      <c r="L153">
        <f>IF(J153&lt;=0,0,MIN(IF(AND('Loan Prepayment'!$E$15="Reduce EMI",O152&gt;0),-PMT(K153/1200,MAX(1,'Loan Prepayment'!$B$7*12-I153+1),J153),L152),J153+M153))</f>
        <v>72789.936877782937</v>
      </c>
      <c r="M153">
        <f t="shared" si="45"/>
        <v>33952.55290365484</v>
      </c>
      <c r="N153">
        <f t="shared" si="46"/>
        <v>38837.383974128097</v>
      </c>
      <c r="O153">
        <f>IF(J153&lt;=0,0,MIN(MAX(0,J153-N153),SUMIFS('Loan Prepayment'!$B$12:$B$16,'Loan Prepayment'!$A$12:$A$16,I153)+0))</f>
        <v>0</v>
      </c>
      <c r="P153">
        <f t="shared" si="47"/>
        <v>4754464.2024242021</v>
      </c>
      <c r="Q153">
        <v>152</v>
      </c>
      <c r="R153">
        <f t="shared" si="60"/>
        <v>5714716.4287127992</v>
      </c>
      <c r="S153" s="78">
        <f>'Loan Prepayment'!$B$6</f>
        <v>8.5</v>
      </c>
      <c r="T153">
        <f>IF(R153&lt;=0,0,MIN(IF(AND('Loan Prepayment'!$E$15="Reduce EMI",W152&gt;0),-PMT(S153/1200,MAX(1,'Loan Prepayment'!$B$7*12-Q153+1),R153),T152),R153+U153))</f>
        <v>86782.323336553396</v>
      </c>
      <c r="U153">
        <f t="shared" si="48"/>
        <v>40479.241370048992</v>
      </c>
      <c r="V153">
        <f t="shared" si="49"/>
        <v>46303.081966504404</v>
      </c>
      <c r="W153">
        <f>IF(R153&lt;=0,0,MIN(MAX(0,R153-V153),0+IF(AND(Q153&gt;='Loan Prepayment'!$B$9,Q153&lt;='Loan Prepayment'!$E$16),'Loan Prepayment'!$B$8,0)))</f>
        <v>0</v>
      </c>
      <c r="X153">
        <f t="shared" si="50"/>
        <v>5668413.3467462948</v>
      </c>
      <c r="Y153">
        <v>152</v>
      </c>
      <c r="Z153">
        <f t="shared" si="61"/>
        <v>4942766.1164863324</v>
      </c>
      <c r="AA153">
        <f>IF(Y153&gt;='Loan Prepayment'!$E$11,'Loan Prepayment'!$E$12,'Loan Prepayment'!$B$6)</f>
        <v>7.5</v>
      </c>
      <c r="AB153">
        <f>IF(Z153&lt;=0,0,MIN(IF(Y153='Loan Prepayment'!$E$11,IF('Loan Prepayment'!$E$13="Keep tenure, recalculate EMI",-PMT(AA153/1200,MAX(1,'Loan Prepayment'!$B$7*12-Y153+1),Z153),AB152),AB152),Z153+AC153))</f>
        <v>86782.323336553396</v>
      </c>
      <c r="AC153">
        <f t="shared" si="51"/>
        <v>30892.288228039579</v>
      </c>
      <c r="AD153">
        <f t="shared" si="52"/>
        <v>55890.035108513817</v>
      </c>
      <c r="AE153">
        <f t="shared" si="53"/>
        <v>0</v>
      </c>
      <c r="AF153">
        <f t="shared" si="54"/>
        <v>4886876.0813778182</v>
      </c>
      <c r="AG153">
        <v>152</v>
      </c>
      <c r="AH153">
        <f t="shared" si="62"/>
        <v>3544783.2149892054</v>
      </c>
      <c r="AI153">
        <f>IF(AG153&gt;='Loan Prepayment'!$E$11,'Loan Prepayment'!$E$12,'Loan Prepayment'!$B$6)</f>
        <v>7.5</v>
      </c>
      <c r="AJ153">
        <f>IF(AH153&lt;=0,0,MIN(IF(AG153='Loan Prepayment'!$E$11,IF('Loan Prepayment'!$E$13="Keep tenure, recalculate EMI",-PMT(AI153/1200,MAX(1,'Loan Prepayment'!$B$7*12-AG153+1),AH153),AJ152),IF(AND('Loan Prepayment'!$E$15="Reduce EMI",AM152&gt;0),-PMT(AI153/1200,MAX(1,'Loan Prepayment'!$B$7*12-AG153+1),AH153),AJ152)),AH153+AK153))</f>
        <v>77713.634667410894</v>
      </c>
      <c r="AK153">
        <f t="shared" si="55"/>
        <v>22154.895093682531</v>
      </c>
      <c r="AL153">
        <f t="shared" si="56"/>
        <v>55558.739573728366</v>
      </c>
      <c r="AM153">
        <f>IF(AH153&lt;=0,0,MIN(MAX(0,AH153-AL153),SUMIFS('Loan Prepayment'!$B$12:$B$16,'Loan Prepayment'!$A$12:$A$16,AG153)+IF(AND(AG153&gt;='Loan Prepayment'!$B$9,AG153&lt;='Loan Prepayment'!$E$16),'Loan Prepayment'!$B$8,0)))</f>
        <v>0</v>
      </c>
      <c r="AN153">
        <f t="shared" si="57"/>
        <v>3489224.4754154771</v>
      </c>
    </row>
    <row r="154" spans="1:40" x14ac:dyDescent="0.35">
      <c r="A154">
        <v>153</v>
      </c>
      <c r="B154">
        <f t="shared" si="58"/>
        <v>5668413.3467462948</v>
      </c>
      <c r="C154" s="78">
        <f>'Loan Prepayment'!$B$6</f>
        <v>8.5</v>
      </c>
      <c r="D154">
        <f>IF(B154&lt;=0,0,MIN(-PMT('Loan Prepayment'!$B$6/1200,'Loan Prepayment'!$B$7*12,'Loan Prepayment'!$B$5),B154+E154))</f>
        <v>86782.323336553396</v>
      </c>
      <c r="E154">
        <f t="shared" si="42"/>
        <v>40151.26120611959</v>
      </c>
      <c r="F154">
        <f t="shared" si="43"/>
        <v>46631.062130433806</v>
      </c>
      <c r="G154">
        <v>0</v>
      </c>
      <c r="H154">
        <f t="shared" si="44"/>
        <v>5621782.2846158613</v>
      </c>
      <c r="I154">
        <v>153</v>
      </c>
      <c r="J154">
        <f t="shared" si="59"/>
        <v>4754464.2024242021</v>
      </c>
      <c r="K154" s="78">
        <f>'Loan Prepayment'!$B$6</f>
        <v>8.5</v>
      </c>
      <c r="L154">
        <f>IF(J154&lt;=0,0,MIN(IF(AND('Loan Prepayment'!$E$15="Reduce EMI",O153&gt;0),-PMT(K154/1200,MAX(1,'Loan Prepayment'!$B$7*12-I154+1),J154),L153),J154+M154))</f>
        <v>72789.936877782937</v>
      </c>
      <c r="M154">
        <f t="shared" si="45"/>
        <v>33677.454767171432</v>
      </c>
      <c r="N154">
        <f t="shared" si="46"/>
        <v>39112.482110611505</v>
      </c>
      <c r="O154">
        <f>IF(J154&lt;=0,0,MIN(MAX(0,J154-N154),SUMIFS('Loan Prepayment'!$B$12:$B$16,'Loan Prepayment'!$A$12:$A$16,I154)+0))</f>
        <v>0</v>
      </c>
      <c r="P154">
        <f t="shared" si="47"/>
        <v>4715351.720313591</v>
      </c>
      <c r="Q154">
        <v>153</v>
      </c>
      <c r="R154">
        <f t="shared" si="60"/>
        <v>5668413.3467462948</v>
      </c>
      <c r="S154" s="78">
        <f>'Loan Prepayment'!$B$6</f>
        <v>8.5</v>
      </c>
      <c r="T154">
        <f>IF(R154&lt;=0,0,MIN(IF(AND('Loan Prepayment'!$E$15="Reduce EMI",W153&gt;0),-PMT(S154/1200,MAX(1,'Loan Prepayment'!$B$7*12-Q154+1),R154),T153),R154+U154))</f>
        <v>86782.323336553396</v>
      </c>
      <c r="U154">
        <f t="shared" si="48"/>
        <v>40151.26120611959</v>
      </c>
      <c r="V154">
        <f t="shared" si="49"/>
        <v>46631.062130433806</v>
      </c>
      <c r="W154">
        <f>IF(R154&lt;=0,0,MIN(MAX(0,R154-V154),0+IF(AND(Q154&gt;='Loan Prepayment'!$B$9,Q154&lt;='Loan Prepayment'!$E$16),'Loan Prepayment'!$B$8,0)))</f>
        <v>0</v>
      </c>
      <c r="X154">
        <f t="shared" si="50"/>
        <v>5621782.2846158613</v>
      </c>
      <c r="Y154">
        <v>153</v>
      </c>
      <c r="Z154">
        <f t="shared" si="61"/>
        <v>4886876.0813778182</v>
      </c>
      <c r="AA154">
        <f>IF(Y154&gt;='Loan Prepayment'!$E$11,'Loan Prepayment'!$E$12,'Loan Prepayment'!$B$6)</f>
        <v>7.5</v>
      </c>
      <c r="AB154">
        <f>IF(Z154&lt;=0,0,MIN(IF(Y154='Loan Prepayment'!$E$11,IF('Loan Prepayment'!$E$13="Keep tenure, recalculate EMI",-PMT(AA154/1200,MAX(1,'Loan Prepayment'!$B$7*12-Y154+1),Z154),AB153),AB153),Z154+AC154))</f>
        <v>86782.323336553396</v>
      </c>
      <c r="AC154">
        <f t="shared" si="51"/>
        <v>30542.975508611362</v>
      </c>
      <c r="AD154">
        <f t="shared" si="52"/>
        <v>56239.347827942038</v>
      </c>
      <c r="AE154">
        <f t="shared" si="53"/>
        <v>0</v>
      </c>
      <c r="AF154">
        <f t="shared" si="54"/>
        <v>4830636.7335498761</v>
      </c>
      <c r="AG154">
        <v>153</v>
      </c>
      <c r="AH154">
        <f t="shared" si="62"/>
        <v>3489224.4754154771</v>
      </c>
      <c r="AI154">
        <f>IF(AG154&gt;='Loan Prepayment'!$E$11,'Loan Prepayment'!$E$12,'Loan Prepayment'!$B$6)</f>
        <v>7.5</v>
      </c>
      <c r="AJ154">
        <f>IF(AH154&lt;=0,0,MIN(IF(AG154='Loan Prepayment'!$E$11,IF('Loan Prepayment'!$E$13="Keep tenure, recalculate EMI",-PMT(AI154/1200,MAX(1,'Loan Prepayment'!$B$7*12-AG154+1),AH154),AJ153),IF(AND('Loan Prepayment'!$E$15="Reduce EMI",AM153&gt;0),-PMT(AI154/1200,MAX(1,'Loan Prepayment'!$B$7*12-AG154+1),AH154),AJ153)),AH154+AK154))</f>
        <v>77713.634667410894</v>
      </c>
      <c r="AK154">
        <f t="shared" si="55"/>
        <v>21807.652971346732</v>
      </c>
      <c r="AL154">
        <f t="shared" si="56"/>
        <v>55905.981696064162</v>
      </c>
      <c r="AM154">
        <f>IF(AH154&lt;=0,0,MIN(MAX(0,AH154-AL154),SUMIFS('Loan Prepayment'!$B$12:$B$16,'Loan Prepayment'!$A$12:$A$16,AG154)+IF(AND(AG154&gt;='Loan Prepayment'!$B$9,AG154&lt;='Loan Prepayment'!$E$16),'Loan Prepayment'!$B$8,0)))</f>
        <v>0</v>
      </c>
      <c r="AN154">
        <f t="shared" si="57"/>
        <v>3433318.4937194129</v>
      </c>
    </row>
    <row r="155" spans="1:40" x14ac:dyDescent="0.35">
      <c r="A155">
        <v>154</v>
      </c>
      <c r="B155">
        <f t="shared" si="58"/>
        <v>5621782.2846158613</v>
      </c>
      <c r="C155" s="78">
        <f>'Loan Prepayment'!$B$6</f>
        <v>8.5</v>
      </c>
      <c r="D155">
        <f>IF(B155&lt;=0,0,MIN(-PMT('Loan Prepayment'!$B$6/1200,'Loan Prepayment'!$B$7*12,'Loan Prepayment'!$B$5),B155+E155))</f>
        <v>86782.323336553396</v>
      </c>
      <c r="E155">
        <f t="shared" si="42"/>
        <v>39820.957849362348</v>
      </c>
      <c r="F155">
        <f t="shared" si="43"/>
        <v>46961.365487191048</v>
      </c>
      <c r="G155">
        <v>0</v>
      </c>
      <c r="H155">
        <f t="shared" si="44"/>
        <v>5574820.9191286704</v>
      </c>
      <c r="I155">
        <v>154</v>
      </c>
      <c r="J155">
        <f t="shared" si="59"/>
        <v>4715351.720313591</v>
      </c>
      <c r="K155" s="78">
        <f>'Loan Prepayment'!$B$6</f>
        <v>8.5</v>
      </c>
      <c r="L155">
        <f>IF(J155&lt;=0,0,MIN(IF(AND('Loan Prepayment'!$E$15="Reduce EMI",O154&gt;0),-PMT(K155/1200,MAX(1,'Loan Prepayment'!$B$7*12-I155+1),J155),L154),J155+M155))</f>
        <v>72789.936877782937</v>
      </c>
      <c r="M155">
        <f t="shared" si="45"/>
        <v>33400.408018887938</v>
      </c>
      <c r="N155">
        <f t="shared" si="46"/>
        <v>39389.528858894999</v>
      </c>
      <c r="O155">
        <f>IF(J155&lt;=0,0,MIN(MAX(0,J155-N155),SUMIFS('Loan Prepayment'!$B$12:$B$16,'Loan Prepayment'!$A$12:$A$16,I155)+0))</f>
        <v>0</v>
      </c>
      <c r="P155">
        <f t="shared" si="47"/>
        <v>4675962.1914546955</v>
      </c>
      <c r="Q155">
        <v>154</v>
      </c>
      <c r="R155">
        <f t="shared" si="60"/>
        <v>5621782.2846158613</v>
      </c>
      <c r="S155" s="78">
        <f>'Loan Prepayment'!$B$6</f>
        <v>8.5</v>
      </c>
      <c r="T155">
        <f>IF(R155&lt;=0,0,MIN(IF(AND('Loan Prepayment'!$E$15="Reduce EMI",W154&gt;0),-PMT(S155/1200,MAX(1,'Loan Prepayment'!$B$7*12-Q155+1),R155),T154),R155+U155))</f>
        <v>86782.323336553396</v>
      </c>
      <c r="U155">
        <f t="shared" si="48"/>
        <v>39820.957849362348</v>
      </c>
      <c r="V155">
        <f t="shared" si="49"/>
        <v>46961.365487191048</v>
      </c>
      <c r="W155">
        <f>IF(R155&lt;=0,0,MIN(MAX(0,R155-V155),0+IF(AND(Q155&gt;='Loan Prepayment'!$B$9,Q155&lt;='Loan Prepayment'!$E$16),'Loan Prepayment'!$B$8,0)))</f>
        <v>0</v>
      </c>
      <c r="X155">
        <f t="shared" si="50"/>
        <v>5574820.9191286704</v>
      </c>
      <c r="Y155">
        <v>154</v>
      </c>
      <c r="Z155">
        <f t="shared" si="61"/>
        <v>4830636.7335498761</v>
      </c>
      <c r="AA155">
        <f>IF(Y155&gt;='Loan Prepayment'!$E$11,'Loan Prepayment'!$E$12,'Loan Prepayment'!$B$6)</f>
        <v>7.5</v>
      </c>
      <c r="AB155">
        <f>IF(Z155&lt;=0,0,MIN(IF(Y155='Loan Prepayment'!$E$11,IF('Loan Prepayment'!$E$13="Keep tenure, recalculate EMI",-PMT(AA155/1200,MAX(1,'Loan Prepayment'!$B$7*12-Y155+1),Z155),AB154),AB154),Z155+AC155))</f>
        <v>86782.323336553396</v>
      </c>
      <c r="AC155">
        <f t="shared" si="51"/>
        <v>30191.479584686724</v>
      </c>
      <c r="AD155">
        <f t="shared" si="52"/>
        <v>56590.843751866676</v>
      </c>
      <c r="AE155">
        <f t="shared" si="53"/>
        <v>0</v>
      </c>
      <c r="AF155">
        <f t="shared" si="54"/>
        <v>4774045.8897980098</v>
      </c>
      <c r="AG155">
        <v>154</v>
      </c>
      <c r="AH155">
        <f t="shared" si="62"/>
        <v>3433318.4937194129</v>
      </c>
      <c r="AI155">
        <f>IF(AG155&gt;='Loan Prepayment'!$E$11,'Loan Prepayment'!$E$12,'Loan Prepayment'!$B$6)</f>
        <v>7.5</v>
      </c>
      <c r="AJ155">
        <f>IF(AH155&lt;=0,0,MIN(IF(AG155='Loan Prepayment'!$E$11,IF('Loan Prepayment'!$E$13="Keep tenure, recalculate EMI",-PMT(AI155/1200,MAX(1,'Loan Prepayment'!$B$7*12-AG155+1),AH155),AJ154),IF(AND('Loan Prepayment'!$E$15="Reduce EMI",AM154&gt;0),-PMT(AI155/1200,MAX(1,'Loan Prepayment'!$B$7*12-AG155+1),AH155),AJ154)),AH155+AK155))</f>
        <v>77713.634667410894</v>
      </c>
      <c r="AK155">
        <f t="shared" si="55"/>
        <v>21458.240585746331</v>
      </c>
      <c r="AL155">
        <f t="shared" si="56"/>
        <v>56255.394081664563</v>
      </c>
      <c r="AM155">
        <f>IF(AH155&lt;=0,0,MIN(MAX(0,AH155-AL155),SUMIFS('Loan Prepayment'!$B$12:$B$16,'Loan Prepayment'!$A$12:$A$16,AG155)+IF(AND(AG155&gt;='Loan Prepayment'!$B$9,AG155&lt;='Loan Prepayment'!$E$16),'Loan Prepayment'!$B$8,0)))</f>
        <v>0</v>
      </c>
      <c r="AN155">
        <f t="shared" si="57"/>
        <v>3377063.0996377482</v>
      </c>
    </row>
    <row r="156" spans="1:40" x14ac:dyDescent="0.35">
      <c r="A156">
        <v>155</v>
      </c>
      <c r="B156">
        <f t="shared" si="58"/>
        <v>5574820.9191286704</v>
      </c>
      <c r="C156" s="78">
        <f>'Loan Prepayment'!$B$6</f>
        <v>8.5</v>
      </c>
      <c r="D156">
        <f>IF(B156&lt;=0,0,MIN(-PMT('Loan Prepayment'!$B$6/1200,'Loan Prepayment'!$B$7*12,'Loan Prepayment'!$B$5),B156+E156))</f>
        <v>86782.323336553396</v>
      </c>
      <c r="E156">
        <f t="shared" si="42"/>
        <v>39488.314843828084</v>
      </c>
      <c r="F156">
        <f t="shared" si="43"/>
        <v>47294.008492725312</v>
      </c>
      <c r="G156">
        <v>0</v>
      </c>
      <c r="H156">
        <f t="shared" si="44"/>
        <v>5527526.9106359454</v>
      </c>
      <c r="I156">
        <v>155</v>
      </c>
      <c r="J156">
        <f t="shared" si="59"/>
        <v>4675962.1914546955</v>
      </c>
      <c r="K156" s="78">
        <f>'Loan Prepayment'!$B$6</f>
        <v>8.5</v>
      </c>
      <c r="L156">
        <f>IF(J156&lt;=0,0,MIN(IF(AND('Loan Prepayment'!$E$15="Reduce EMI",O155&gt;0),-PMT(K156/1200,MAX(1,'Loan Prepayment'!$B$7*12-I156+1),J156),L155),J156+M156))</f>
        <v>72789.936877782937</v>
      </c>
      <c r="M156">
        <f t="shared" si="45"/>
        <v>33121.398856137428</v>
      </c>
      <c r="N156">
        <f t="shared" si="46"/>
        <v>39668.538021645509</v>
      </c>
      <c r="O156">
        <f>IF(J156&lt;=0,0,MIN(MAX(0,J156-N156),SUMIFS('Loan Prepayment'!$B$12:$B$16,'Loan Prepayment'!$A$12:$A$16,I156)+0))</f>
        <v>0</v>
      </c>
      <c r="P156">
        <f t="shared" si="47"/>
        <v>4636293.65343305</v>
      </c>
      <c r="Q156">
        <v>155</v>
      </c>
      <c r="R156">
        <f t="shared" si="60"/>
        <v>5574820.9191286704</v>
      </c>
      <c r="S156" s="78">
        <f>'Loan Prepayment'!$B$6</f>
        <v>8.5</v>
      </c>
      <c r="T156">
        <f>IF(R156&lt;=0,0,MIN(IF(AND('Loan Prepayment'!$E$15="Reduce EMI",W155&gt;0),-PMT(S156/1200,MAX(1,'Loan Prepayment'!$B$7*12-Q156+1),R156),T155),R156+U156))</f>
        <v>86782.323336553396</v>
      </c>
      <c r="U156">
        <f t="shared" si="48"/>
        <v>39488.314843828084</v>
      </c>
      <c r="V156">
        <f t="shared" si="49"/>
        <v>47294.008492725312</v>
      </c>
      <c r="W156">
        <f>IF(R156&lt;=0,0,MIN(MAX(0,R156-V156),0+IF(AND(Q156&gt;='Loan Prepayment'!$B$9,Q156&lt;='Loan Prepayment'!$E$16),'Loan Prepayment'!$B$8,0)))</f>
        <v>0</v>
      </c>
      <c r="X156">
        <f t="shared" si="50"/>
        <v>5527526.9106359454</v>
      </c>
      <c r="Y156">
        <v>155</v>
      </c>
      <c r="Z156">
        <f t="shared" si="61"/>
        <v>4774045.8897980098</v>
      </c>
      <c r="AA156">
        <f>IF(Y156&gt;='Loan Prepayment'!$E$11,'Loan Prepayment'!$E$12,'Loan Prepayment'!$B$6)</f>
        <v>7.5</v>
      </c>
      <c r="AB156">
        <f>IF(Z156&lt;=0,0,MIN(IF(Y156='Loan Prepayment'!$E$11,IF('Loan Prepayment'!$E$13="Keep tenure, recalculate EMI",-PMT(AA156/1200,MAX(1,'Loan Prepayment'!$B$7*12-Y156+1),Z156),AB155),AB155),Z156+AC156))</f>
        <v>86782.323336553396</v>
      </c>
      <c r="AC156">
        <f t="shared" si="51"/>
        <v>29837.786811237558</v>
      </c>
      <c r="AD156">
        <f t="shared" si="52"/>
        <v>56944.536525315838</v>
      </c>
      <c r="AE156">
        <f t="shared" si="53"/>
        <v>0</v>
      </c>
      <c r="AF156">
        <f t="shared" si="54"/>
        <v>4717101.3532726942</v>
      </c>
      <c r="AG156">
        <v>155</v>
      </c>
      <c r="AH156">
        <f t="shared" si="62"/>
        <v>3377063.0996377482</v>
      </c>
      <c r="AI156">
        <f>IF(AG156&gt;='Loan Prepayment'!$E$11,'Loan Prepayment'!$E$12,'Loan Prepayment'!$B$6)</f>
        <v>7.5</v>
      </c>
      <c r="AJ156">
        <f>IF(AH156&lt;=0,0,MIN(IF(AG156='Loan Prepayment'!$E$11,IF('Loan Prepayment'!$E$13="Keep tenure, recalculate EMI",-PMT(AI156/1200,MAX(1,'Loan Prepayment'!$B$7*12-AG156+1),AH156),AJ155),IF(AND('Loan Prepayment'!$E$15="Reduce EMI",AM155&gt;0),-PMT(AI156/1200,MAX(1,'Loan Prepayment'!$B$7*12-AG156+1),AH156),AJ155)),AH156+AK156))</f>
        <v>77713.634667410894</v>
      </c>
      <c r="AK156">
        <f t="shared" si="55"/>
        <v>21106.644372735926</v>
      </c>
      <c r="AL156">
        <f t="shared" si="56"/>
        <v>56606.990294674964</v>
      </c>
      <c r="AM156">
        <f>IF(AH156&lt;=0,0,MIN(MAX(0,AH156-AL156),SUMIFS('Loan Prepayment'!$B$12:$B$16,'Loan Prepayment'!$A$12:$A$16,AG156)+IF(AND(AG156&gt;='Loan Prepayment'!$B$9,AG156&lt;='Loan Prepayment'!$E$16),'Loan Prepayment'!$B$8,0)))</f>
        <v>0</v>
      </c>
      <c r="AN156">
        <f t="shared" si="57"/>
        <v>3320456.1093430733</v>
      </c>
    </row>
    <row r="157" spans="1:40" x14ac:dyDescent="0.35">
      <c r="A157">
        <v>156</v>
      </c>
      <c r="B157">
        <f t="shared" si="58"/>
        <v>5527526.9106359454</v>
      </c>
      <c r="C157" s="78">
        <f>'Loan Prepayment'!$B$6</f>
        <v>8.5</v>
      </c>
      <c r="D157">
        <f>IF(B157&lt;=0,0,MIN(-PMT('Loan Prepayment'!$B$6/1200,'Loan Prepayment'!$B$7*12,'Loan Prepayment'!$B$5),B157+E157))</f>
        <v>86782.323336553396</v>
      </c>
      <c r="E157">
        <f t="shared" si="42"/>
        <v>39153.315617004613</v>
      </c>
      <c r="F157">
        <f t="shared" si="43"/>
        <v>47629.007719548783</v>
      </c>
      <c r="G157">
        <v>0</v>
      </c>
      <c r="H157">
        <f t="shared" si="44"/>
        <v>5479897.902916397</v>
      </c>
      <c r="I157">
        <v>156</v>
      </c>
      <c r="J157">
        <f t="shared" si="59"/>
        <v>4636293.65343305</v>
      </c>
      <c r="K157" s="78">
        <f>'Loan Prepayment'!$B$6</f>
        <v>8.5</v>
      </c>
      <c r="L157">
        <f>IF(J157&lt;=0,0,MIN(IF(AND('Loan Prepayment'!$E$15="Reduce EMI",O156&gt;0),-PMT(K157/1200,MAX(1,'Loan Prepayment'!$B$7*12-I157+1),J157),L156),J157+M157))</f>
        <v>72789.936877782937</v>
      </c>
      <c r="M157">
        <f t="shared" si="45"/>
        <v>32840.413378484103</v>
      </c>
      <c r="N157">
        <f t="shared" si="46"/>
        <v>39949.523499298833</v>
      </c>
      <c r="O157">
        <f>IF(J157&lt;=0,0,MIN(MAX(0,J157-N157),SUMIFS('Loan Prepayment'!$B$12:$B$16,'Loan Prepayment'!$A$12:$A$16,I157)+0))</f>
        <v>0</v>
      </c>
      <c r="P157">
        <f t="shared" si="47"/>
        <v>4596344.1299337512</v>
      </c>
      <c r="Q157">
        <v>156</v>
      </c>
      <c r="R157">
        <f t="shared" si="60"/>
        <v>5527526.9106359454</v>
      </c>
      <c r="S157" s="78">
        <f>'Loan Prepayment'!$B$6</f>
        <v>8.5</v>
      </c>
      <c r="T157">
        <f>IF(R157&lt;=0,0,MIN(IF(AND('Loan Prepayment'!$E$15="Reduce EMI",W156&gt;0),-PMT(S157/1200,MAX(1,'Loan Prepayment'!$B$7*12-Q157+1),R157),T156),R157+U157))</f>
        <v>86782.323336553396</v>
      </c>
      <c r="U157">
        <f t="shared" si="48"/>
        <v>39153.315617004613</v>
      </c>
      <c r="V157">
        <f t="shared" si="49"/>
        <v>47629.007719548783</v>
      </c>
      <c r="W157">
        <f>IF(R157&lt;=0,0,MIN(MAX(0,R157-V157),0+IF(AND(Q157&gt;='Loan Prepayment'!$B$9,Q157&lt;='Loan Prepayment'!$E$16),'Loan Prepayment'!$B$8,0)))</f>
        <v>0</v>
      </c>
      <c r="X157">
        <f t="shared" si="50"/>
        <v>5479897.902916397</v>
      </c>
      <c r="Y157">
        <v>156</v>
      </c>
      <c r="Z157">
        <f t="shared" si="61"/>
        <v>4717101.3532726942</v>
      </c>
      <c r="AA157">
        <f>IF(Y157&gt;='Loan Prepayment'!$E$11,'Loan Prepayment'!$E$12,'Loan Prepayment'!$B$6)</f>
        <v>7.5</v>
      </c>
      <c r="AB157">
        <f>IF(Z157&lt;=0,0,MIN(IF(Y157='Loan Prepayment'!$E$11,IF('Loan Prepayment'!$E$13="Keep tenure, recalculate EMI",-PMT(AA157/1200,MAX(1,'Loan Prepayment'!$B$7*12-Y157+1),Z157),AB156),AB156),Z157+AC157))</f>
        <v>86782.323336553396</v>
      </c>
      <c r="AC157">
        <f t="shared" si="51"/>
        <v>29481.88345795434</v>
      </c>
      <c r="AD157">
        <f t="shared" si="52"/>
        <v>57300.439878599056</v>
      </c>
      <c r="AE157">
        <f t="shared" si="53"/>
        <v>0</v>
      </c>
      <c r="AF157">
        <f t="shared" si="54"/>
        <v>4659800.9133940954</v>
      </c>
      <c r="AG157">
        <v>156</v>
      </c>
      <c r="AH157">
        <f t="shared" si="62"/>
        <v>3320456.1093430733</v>
      </c>
      <c r="AI157">
        <f>IF(AG157&gt;='Loan Prepayment'!$E$11,'Loan Prepayment'!$E$12,'Loan Prepayment'!$B$6)</f>
        <v>7.5</v>
      </c>
      <c r="AJ157">
        <f>IF(AH157&lt;=0,0,MIN(IF(AG157='Loan Prepayment'!$E$11,IF('Loan Prepayment'!$E$13="Keep tenure, recalculate EMI",-PMT(AI157/1200,MAX(1,'Loan Prepayment'!$B$7*12-AG157+1),AH157),AJ156),IF(AND('Loan Prepayment'!$E$15="Reduce EMI",AM156&gt;0),-PMT(AI157/1200,MAX(1,'Loan Prepayment'!$B$7*12-AG157+1),AH157),AJ156)),AH157+AK157))</f>
        <v>77713.634667410894</v>
      </c>
      <c r="AK157">
        <f t="shared" si="55"/>
        <v>20752.850683394208</v>
      </c>
      <c r="AL157">
        <f t="shared" si="56"/>
        <v>56960.783984016685</v>
      </c>
      <c r="AM157">
        <f>IF(AH157&lt;=0,0,MIN(MAX(0,AH157-AL157),SUMIFS('Loan Prepayment'!$B$12:$B$16,'Loan Prepayment'!$A$12:$A$16,AG157)+IF(AND(AG157&gt;='Loan Prepayment'!$B$9,AG157&lt;='Loan Prepayment'!$E$16),'Loan Prepayment'!$B$8,0)))</f>
        <v>0</v>
      </c>
      <c r="AN157">
        <f t="shared" si="57"/>
        <v>3263495.3253590567</v>
      </c>
    </row>
    <row r="158" spans="1:40" x14ac:dyDescent="0.35">
      <c r="A158">
        <v>157</v>
      </c>
      <c r="B158">
        <f t="shared" si="58"/>
        <v>5479897.902916397</v>
      </c>
      <c r="C158" s="78">
        <f>'Loan Prepayment'!$B$6</f>
        <v>8.5</v>
      </c>
      <c r="D158">
        <f>IF(B158&lt;=0,0,MIN(-PMT('Loan Prepayment'!$B$6/1200,'Loan Prepayment'!$B$7*12,'Loan Prepayment'!$B$5),B158+E158))</f>
        <v>86782.323336553396</v>
      </c>
      <c r="E158">
        <f t="shared" si="42"/>
        <v>38815.943478991147</v>
      </c>
      <c r="F158">
        <f t="shared" si="43"/>
        <v>47966.37985756225</v>
      </c>
      <c r="G158">
        <v>0</v>
      </c>
      <c r="H158">
        <f t="shared" si="44"/>
        <v>5431931.5230588345</v>
      </c>
      <c r="I158">
        <v>157</v>
      </c>
      <c r="J158">
        <f t="shared" si="59"/>
        <v>4596344.1299337512</v>
      </c>
      <c r="K158" s="78">
        <f>'Loan Prepayment'!$B$6</f>
        <v>8.5</v>
      </c>
      <c r="L158">
        <f>IF(J158&lt;=0,0,MIN(IF(AND('Loan Prepayment'!$E$15="Reduce EMI",O157&gt;0),-PMT(K158/1200,MAX(1,'Loan Prepayment'!$B$7*12-I158+1),J158),L157),J158+M158))</f>
        <v>72789.936877782937</v>
      </c>
      <c r="M158">
        <f t="shared" si="45"/>
        <v>32557.437587030734</v>
      </c>
      <c r="N158">
        <f t="shared" si="46"/>
        <v>40232.499290752203</v>
      </c>
      <c r="O158">
        <f>IF(J158&lt;=0,0,MIN(MAX(0,J158-N158),SUMIFS('Loan Prepayment'!$B$12:$B$16,'Loan Prepayment'!$A$12:$A$16,I158)+0))</f>
        <v>0</v>
      </c>
      <c r="P158">
        <f t="shared" si="47"/>
        <v>4556111.630642999</v>
      </c>
      <c r="Q158">
        <v>157</v>
      </c>
      <c r="R158">
        <f t="shared" si="60"/>
        <v>5479897.902916397</v>
      </c>
      <c r="S158" s="78">
        <f>'Loan Prepayment'!$B$6</f>
        <v>8.5</v>
      </c>
      <c r="T158">
        <f>IF(R158&lt;=0,0,MIN(IF(AND('Loan Prepayment'!$E$15="Reduce EMI",W157&gt;0),-PMT(S158/1200,MAX(1,'Loan Prepayment'!$B$7*12-Q158+1),R158),T157),R158+U158))</f>
        <v>86782.323336553396</v>
      </c>
      <c r="U158">
        <f t="shared" si="48"/>
        <v>38815.943478991147</v>
      </c>
      <c r="V158">
        <f t="shared" si="49"/>
        <v>47966.37985756225</v>
      </c>
      <c r="W158">
        <f>IF(R158&lt;=0,0,MIN(MAX(0,R158-V158),0+IF(AND(Q158&gt;='Loan Prepayment'!$B$9,Q158&lt;='Loan Prepayment'!$E$16),'Loan Prepayment'!$B$8,0)))</f>
        <v>0</v>
      </c>
      <c r="X158">
        <f t="shared" si="50"/>
        <v>5431931.5230588345</v>
      </c>
      <c r="Y158">
        <v>157</v>
      </c>
      <c r="Z158">
        <f t="shared" si="61"/>
        <v>4659800.9133940954</v>
      </c>
      <c r="AA158">
        <f>IF(Y158&gt;='Loan Prepayment'!$E$11,'Loan Prepayment'!$E$12,'Loan Prepayment'!$B$6)</f>
        <v>7.5</v>
      </c>
      <c r="AB158">
        <f>IF(Z158&lt;=0,0,MIN(IF(Y158='Loan Prepayment'!$E$11,IF('Loan Prepayment'!$E$13="Keep tenure, recalculate EMI",-PMT(AA158/1200,MAX(1,'Loan Prepayment'!$B$7*12-Y158+1),Z158),AB157),AB157),Z158+AC158))</f>
        <v>86782.323336553396</v>
      </c>
      <c r="AC158">
        <f t="shared" si="51"/>
        <v>29123.755708713095</v>
      </c>
      <c r="AD158">
        <f t="shared" si="52"/>
        <v>57658.567627840297</v>
      </c>
      <c r="AE158">
        <f t="shared" si="53"/>
        <v>0</v>
      </c>
      <c r="AF158">
        <f t="shared" si="54"/>
        <v>4602142.3457662547</v>
      </c>
      <c r="AG158">
        <v>157</v>
      </c>
      <c r="AH158">
        <f t="shared" si="62"/>
        <v>3263495.3253590567</v>
      </c>
      <c r="AI158">
        <f>IF(AG158&gt;='Loan Prepayment'!$E$11,'Loan Prepayment'!$E$12,'Loan Prepayment'!$B$6)</f>
        <v>7.5</v>
      </c>
      <c r="AJ158">
        <f>IF(AH158&lt;=0,0,MIN(IF(AG158='Loan Prepayment'!$E$11,IF('Loan Prepayment'!$E$13="Keep tenure, recalculate EMI",-PMT(AI158/1200,MAX(1,'Loan Prepayment'!$B$7*12-AG158+1),AH158),AJ157),IF(AND('Loan Prepayment'!$E$15="Reduce EMI",AM157&gt;0),-PMT(AI158/1200,MAX(1,'Loan Prepayment'!$B$7*12-AG158+1),AH158),AJ157)),AH158+AK158))</f>
        <v>77713.634667410894</v>
      </c>
      <c r="AK158">
        <f t="shared" si="55"/>
        <v>20396.845783494107</v>
      </c>
      <c r="AL158">
        <f t="shared" si="56"/>
        <v>57316.788883916786</v>
      </c>
      <c r="AM158">
        <f>IF(AH158&lt;=0,0,MIN(MAX(0,AH158-AL158),SUMIFS('Loan Prepayment'!$B$12:$B$16,'Loan Prepayment'!$A$12:$A$16,AG158)+IF(AND(AG158&gt;='Loan Prepayment'!$B$9,AG158&lt;='Loan Prepayment'!$E$16),'Loan Prepayment'!$B$8,0)))</f>
        <v>0</v>
      </c>
      <c r="AN158">
        <f t="shared" si="57"/>
        <v>3206178.5364751401</v>
      </c>
    </row>
    <row r="159" spans="1:40" x14ac:dyDescent="0.35">
      <c r="A159">
        <v>158</v>
      </c>
      <c r="B159">
        <f t="shared" si="58"/>
        <v>5431931.5230588345</v>
      </c>
      <c r="C159" s="78">
        <f>'Loan Prepayment'!$B$6</f>
        <v>8.5</v>
      </c>
      <c r="D159">
        <f>IF(B159&lt;=0,0,MIN(-PMT('Loan Prepayment'!$B$6/1200,'Loan Prepayment'!$B$7*12,'Loan Prepayment'!$B$5),B159+E159))</f>
        <v>86782.323336553396</v>
      </c>
      <c r="E159">
        <f t="shared" si="42"/>
        <v>38476.181621666743</v>
      </c>
      <c r="F159">
        <f t="shared" si="43"/>
        <v>48306.141714886653</v>
      </c>
      <c r="G159">
        <v>0</v>
      </c>
      <c r="H159">
        <f t="shared" si="44"/>
        <v>5383625.3813439477</v>
      </c>
      <c r="I159">
        <v>158</v>
      </c>
      <c r="J159">
        <f t="shared" si="59"/>
        <v>4556111.630642999</v>
      </c>
      <c r="K159" s="78">
        <f>'Loan Prepayment'!$B$6</f>
        <v>8.5</v>
      </c>
      <c r="L159">
        <f>IF(J159&lt;=0,0,MIN(IF(AND('Loan Prepayment'!$E$15="Reduce EMI",O158&gt;0),-PMT(K159/1200,MAX(1,'Loan Prepayment'!$B$7*12-I159+1),J159),L158),J159+M159))</f>
        <v>72789.936877782937</v>
      </c>
      <c r="M159">
        <f t="shared" si="45"/>
        <v>32272.457383721241</v>
      </c>
      <c r="N159">
        <f t="shared" si="46"/>
        <v>40517.479494061699</v>
      </c>
      <c r="O159">
        <f>IF(J159&lt;=0,0,MIN(MAX(0,J159-N159),SUMIFS('Loan Prepayment'!$B$12:$B$16,'Loan Prepayment'!$A$12:$A$16,I159)+0))</f>
        <v>0</v>
      </c>
      <c r="P159">
        <f t="shared" si="47"/>
        <v>4515594.1511489376</v>
      </c>
      <c r="Q159">
        <v>158</v>
      </c>
      <c r="R159">
        <f t="shared" si="60"/>
        <v>5431931.5230588345</v>
      </c>
      <c r="S159" s="78">
        <f>'Loan Prepayment'!$B$6</f>
        <v>8.5</v>
      </c>
      <c r="T159">
        <f>IF(R159&lt;=0,0,MIN(IF(AND('Loan Prepayment'!$E$15="Reduce EMI",W158&gt;0),-PMT(S159/1200,MAX(1,'Loan Prepayment'!$B$7*12-Q159+1),R159),T158),R159+U159))</f>
        <v>86782.323336553396</v>
      </c>
      <c r="U159">
        <f t="shared" si="48"/>
        <v>38476.181621666743</v>
      </c>
      <c r="V159">
        <f t="shared" si="49"/>
        <v>48306.141714886653</v>
      </c>
      <c r="W159">
        <f>IF(R159&lt;=0,0,MIN(MAX(0,R159-V159),0+IF(AND(Q159&gt;='Loan Prepayment'!$B$9,Q159&lt;='Loan Prepayment'!$E$16),'Loan Prepayment'!$B$8,0)))</f>
        <v>0</v>
      </c>
      <c r="X159">
        <f t="shared" si="50"/>
        <v>5383625.3813439477</v>
      </c>
      <c r="Y159">
        <v>158</v>
      </c>
      <c r="Z159">
        <f t="shared" si="61"/>
        <v>4602142.3457662547</v>
      </c>
      <c r="AA159">
        <f>IF(Y159&gt;='Loan Prepayment'!$E$11,'Loan Prepayment'!$E$12,'Loan Prepayment'!$B$6)</f>
        <v>7.5</v>
      </c>
      <c r="AB159">
        <f>IF(Z159&lt;=0,0,MIN(IF(Y159='Loan Prepayment'!$E$11,IF('Loan Prepayment'!$E$13="Keep tenure, recalculate EMI",-PMT(AA159/1200,MAX(1,'Loan Prepayment'!$B$7*12-Y159+1),Z159),AB158),AB158),Z159+AC159))</f>
        <v>86782.323336553396</v>
      </c>
      <c r="AC159">
        <f t="shared" si="51"/>
        <v>28763.389661039088</v>
      </c>
      <c r="AD159">
        <f t="shared" si="52"/>
        <v>58018.933675514309</v>
      </c>
      <c r="AE159">
        <f t="shared" si="53"/>
        <v>0</v>
      </c>
      <c r="AF159">
        <f t="shared" si="54"/>
        <v>4544123.4120907402</v>
      </c>
      <c r="AG159">
        <v>158</v>
      </c>
      <c r="AH159">
        <f t="shared" si="62"/>
        <v>3206178.5364751401</v>
      </c>
      <c r="AI159">
        <f>IF(AG159&gt;='Loan Prepayment'!$E$11,'Loan Prepayment'!$E$12,'Loan Prepayment'!$B$6)</f>
        <v>7.5</v>
      </c>
      <c r="AJ159">
        <f>IF(AH159&lt;=0,0,MIN(IF(AG159='Loan Prepayment'!$E$11,IF('Loan Prepayment'!$E$13="Keep tenure, recalculate EMI",-PMT(AI159/1200,MAX(1,'Loan Prepayment'!$B$7*12-AG159+1),AH159),AJ158),IF(AND('Loan Prepayment'!$E$15="Reduce EMI",AM158&gt;0),-PMT(AI159/1200,MAX(1,'Loan Prepayment'!$B$7*12-AG159+1),AH159),AJ158)),AH159+AK159))</f>
        <v>77713.634667410894</v>
      </c>
      <c r="AK159">
        <f t="shared" si="55"/>
        <v>20038.615852969626</v>
      </c>
      <c r="AL159">
        <f t="shared" si="56"/>
        <v>57675.018814441268</v>
      </c>
      <c r="AM159">
        <f>IF(AH159&lt;=0,0,MIN(MAX(0,AH159-AL159),SUMIFS('Loan Prepayment'!$B$12:$B$16,'Loan Prepayment'!$A$12:$A$16,AG159)+IF(AND(AG159&gt;='Loan Prepayment'!$B$9,AG159&lt;='Loan Prepayment'!$E$16),'Loan Prepayment'!$B$8,0)))</f>
        <v>0</v>
      </c>
      <c r="AN159">
        <f t="shared" si="57"/>
        <v>3148503.5176606989</v>
      </c>
    </row>
    <row r="160" spans="1:40" x14ac:dyDescent="0.35">
      <c r="A160">
        <v>159</v>
      </c>
      <c r="B160">
        <f t="shared" si="58"/>
        <v>5383625.3813439477</v>
      </c>
      <c r="C160" s="78">
        <f>'Loan Prepayment'!$B$6</f>
        <v>8.5</v>
      </c>
      <c r="D160">
        <f>IF(B160&lt;=0,0,MIN(-PMT('Loan Prepayment'!$B$6/1200,'Loan Prepayment'!$B$7*12,'Loan Prepayment'!$B$5),B160+E160))</f>
        <v>86782.323336553396</v>
      </c>
      <c r="E160">
        <f t="shared" si="42"/>
        <v>38134.013117852963</v>
      </c>
      <c r="F160">
        <f t="shared" si="43"/>
        <v>48648.310218700433</v>
      </c>
      <c r="G160">
        <v>0</v>
      </c>
      <c r="H160">
        <f t="shared" si="44"/>
        <v>5334977.0711252475</v>
      </c>
      <c r="I160">
        <v>159</v>
      </c>
      <c r="J160">
        <f t="shared" si="59"/>
        <v>4515594.1511489376</v>
      </c>
      <c r="K160" s="78">
        <f>'Loan Prepayment'!$B$6</f>
        <v>8.5</v>
      </c>
      <c r="L160">
        <f>IF(J160&lt;=0,0,MIN(IF(AND('Loan Prepayment'!$E$15="Reduce EMI",O159&gt;0),-PMT(K160/1200,MAX(1,'Loan Prepayment'!$B$7*12-I160+1),J160),L159),J160+M160))</f>
        <v>72789.936877782937</v>
      </c>
      <c r="M160">
        <f t="shared" si="45"/>
        <v>31985.458570638311</v>
      </c>
      <c r="N160">
        <f t="shared" si="46"/>
        <v>40804.478307144629</v>
      </c>
      <c r="O160">
        <f>IF(J160&lt;=0,0,MIN(MAX(0,J160-N160),SUMIFS('Loan Prepayment'!$B$12:$B$16,'Loan Prepayment'!$A$12:$A$16,I160)+0))</f>
        <v>0</v>
      </c>
      <c r="P160">
        <f t="shared" si="47"/>
        <v>4474789.6728417929</v>
      </c>
      <c r="Q160">
        <v>159</v>
      </c>
      <c r="R160">
        <f t="shared" si="60"/>
        <v>5383625.3813439477</v>
      </c>
      <c r="S160" s="78">
        <f>'Loan Prepayment'!$B$6</f>
        <v>8.5</v>
      </c>
      <c r="T160">
        <f>IF(R160&lt;=0,0,MIN(IF(AND('Loan Prepayment'!$E$15="Reduce EMI",W159&gt;0),-PMT(S160/1200,MAX(1,'Loan Prepayment'!$B$7*12-Q160+1),R160),T159),R160+U160))</f>
        <v>86782.323336553396</v>
      </c>
      <c r="U160">
        <f t="shared" si="48"/>
        <v>38134.013117852963</v>
      </c>
      <c r="V160">
        <f t="shared" si="49"/>
        <v>48648.310218700433</v>
      </c>
      <c r="W160">
        <f>IF(R160&lt;=0,0,MIN(MAX(0,R160-V160),0+IF(AND(Q160&gt;='Loan Prepayment'!$B$9,Q160&lt;='Loan Prepayment'!$E$16),'Loan Prepayment'!$B$8,0)))</f>
        <v>0</v>
      </c>
      <c r="X160">
        <f t="shared" si="50"/>
        <v>5334977.0711252475</v>
      </c>
      <c r="Y160">
        <v>159</v>
      </c>
      <c r="Z160">
        <f t="shared" si="61"/>
        <v>4544123.4120907402</v>
      </c>
      <c r="AA160">
        <f>IF(Y160&gt;='Loan Prepayment'!$E$11,'Loan Prepayment'!$E$12,'Loan Prepayment'!$B$6)</f>
        <v>7.5</v>
      </c>
      <c r="AB160">
        <f>IF(Z160&lt;=0,0,MIN(IF(Y160='Loan Prepayment'!$E$11,IF('Loan Prepayment'!$E$13="Keep tenure, recalculate EMI",-PMT(AA160/1200,MAX(1,'Loan Prepayment'!$B$7*12-Y160+1),Z160),AB159),AB159),Z160+AC160))</f>
        <v>86782.323336553396</v>
      </c>
      <c r="AC160">
        <f t="shared" si="51"/>
        <v>28400.77132556713</v>
      </c>
      <c r="AD160">
        <f t="shared" si="52"/>
        <v>58381.55201098627</v>
      </c>
      <c r="AE160">
        <f t="shared" si="53"/>
        <v>0</v>
      </c>
      <c r="AF160">
        <f t="shared" si="54"/>
        <v>4485741.8600797541</v>
      </c>
      <c r="AG160">
        <v>159</v>
      </c>
      <c r="AH160">
        <f t="shared" si="62"/>
        <v>3148503.5176606989</v>
      </c>
      <c r="AI160">
        <f>IF(AG160&gt;='Loan Prepayment'!$E$11,'Loan Prepayment'!$E$12,'Loan Prepayment'!$B$6)</f>
        <v>7.5</v>
      </c>
      <c r="AJ160">
        <f>IF(AH160&lt;=0,0,MIN(IF(AG160='Loan Prepayment'!$E$11,IF('Loan Prepayment'!$E$13="Keep tenure, recalculate EMI",-PMT(AI160/1200,MAX(1,'Loan Prepayment'!$B$7*12-AG160+1),AH160),AJ159),IF(AND('Loan Prepayment'!$E$15="Reduce EMI",AM159&gt;0),-PMT(AI160/1200,MAX(1,'Loan Prepayment'!$B$7*12-AG160+1),AH160),AJ159)),AH160+AK160))</f>
        <v>77713.634667410894</v>
      </c>
      <c r="AK160">
        <f t="shared" si="55"/>
        <v>19678.146985379368</v>
      </c>
      <c r="AL160">
        <f t="shared" si="56"/>
        <v>58035.487682031526</v>
      </c>
      <c r="AM160">
        <f>IF(AH160&lt;=0,0,MIN(MAX(0,AH160-AL160),SUMIFS('Loan Prepayment'!$B$12:$B$16,'Loan Prepayment'!$A$12:$A$16,AG160)+IF(AND(AG160&gt;='Loan Prepayment'!$B$9,AG160&lt;='Loan Prepayment'!$E$16),'Loan Prepayment'!$B$8,0)))</f>
        <v>0</v>
      </c>
      <c r="AN160">
        <f t="shared" si="57"/>
        <v>3090468.0299786674</v>
      </c>
    </row>
    <row r="161" spans="1:40" x14ac:dyDescent="0.35">
      <c r="A161">
        <v>160</v>
      </c>
      <c r="B161">
        <f t="shared" si="58"/>
        <v>5334977.0711252475</v>
      </c>
      <c r="C161" s="78">
        <f>'Loan Prepayment'!$B$6</f>
        <v>8.5</v>
      </c>
      <c r="D161">
        <f>IF(B161&lt;=0,0,MIN(-PMT('Loan Prepayment'!$B$6/1200,'Loan Prepayment'!$B$7*12,'Loan Prepayment'!$B$5),B161+E161))</f>
        <v>86782.323336553396</v>
      </c>
      <c r="E161">
        <f t="shared" si="42"/>
        <v>37789.420920470504</v>
      </c>
      <c r="F161">
        <f t="shared" si="43"/>
        <v>48992.902416082892</v>
      </c>
      <c r="G161">
        <v>0</v>
      </c>
      <c r="H161">
        <f t="shared" si="44"/>
        <v>5285984.1687091645</v>
      </c>
      <c r="I161">
        <v>160</v>
      </c>
      <c r="J161">
        <f t="shared" si="59"/>
        <v>4474789.6728417929</v>
      </c>
      <c r="K161" s="78">
        <f>'Loan Prepayment'!$B$6</f>
        <v>8.5</v>
      </c>
      <c r="L161">
        <f>IF(J161&lt;=0,0,MIN(IF(AND('Loan Prepayment'!$E$15="Reduce EMI",O160&gt;0),-PMT(K161/1200,MAX(1,'Loan Prepayment'!$B$7*12-I161+1),J161),L160),J161+M161))</f>
        <v>72789.936877782937</v>
      </c>
      <c r="M161">
        <f t="shared" si="45"/>
        <v>31696.426849296029</v>
      </c>
      <c r="N161">
        <f t="shared" si="46"/>
        <v>41093.510028486911</v>
      </c>
      <c r="O161">
        <f>IF(J161&lt;=0,0,MIN(MAX(0,J161-N161),SUMIFS('Loan Prepayment'!$B$12:$B$16,'Loan Prepayment'!$A$12:$A$16,I161)+0))</f>
        <v>0</v>
      </c>
      <c r="P161">
        <f t="shared" si="47"/>
        <v>4433696.1628133059</v>
      </c>
      <c r="Q161">
        <v>160</v>
      </c>
      <c r="R161">
        <f t="shared" si="60"/>
        <v>5334977.0711252475</v>
      </c>
      <c r="S161" s="78">
        <f>'Loan Prepayment'!$B$6</f>
        <v>8.5</v>
      </c>
      <c r="T161">
        <f>IF(R161&lt;=0,0,MIN(IF(AND('Loan Prepayment'!$E$15="Reduce EMI",W160&gt;0),-PMT(S161/1200,MAX(1,'Loan Prepayment'!$B$7*12-Q161+1),R161),T160),R161+U161))</f>
        <v>86782.323336553396</v>
      </c>
      <c r="U161">
        <f t="shared" si="48"/>
        <v>37789.420920470504</v>
      </c>
      <c r="V161">
        <f t="shared" si="49"/>
        <v>48992.902416082892</v>
      </c>
      <c r="W161">
        <f>IF(R161&lt;=0,0,MIN(MAX(0,R161-V161),0+IF(AND(Q161&gt;='Loan Prepayment'!$B$9,Q161&lt;='Loan Prepayment'!$E$16),'Loan Prepayment'!$B$8,0)))</f>
        <v>0</v>
      </c>
      <c r="X161">
        <f t="shared" si="50"/>
        <v>5285984.1687091645</v>
      </c>
      <c r="Y161">
        <v>160</v>
      </c>
      <c r="Z161">
        <f t="shared" si="61"/>
        <v>4485741.8600797541</v>
      </c>
      <c r="AA161">
        <f>IF(Y161&gt;='Loan Prepayment'!$E$11,'Loan Prepayment'!$E$12,'Loan Prepayment'!$B$6)</f>
        <v>7.5</v>
      </c>
      <c r="AB161">
        <f>IF(Z161&lt;=0,0,MIN(IF(Y161='Loan Prepayment'!$E$11,IF('Loan Prepayment'!$E$13="Keep tenure, recalculate EMI",-PMT(AA161/1200,MAX(1,'Loan Prepayment'!$B$7*12-Y161+1),Z161),AB160),AB160),Z161+AC161))</f>
        <v>86782.323336553396</v>
      </c>
      <c r="AC161">
        <f t="shared" si="51"/>
        <v>28035.886625498464</v>
      </c>
      <c r="AD161">
        <f t="shared" si="52"/>
        <v>58746.436711054936</v>
      </c>
      <c r="AE161">
        <f t="shared" si="53"/>
        <v>0</v>
      </c>
      <c r="AF161">
        <f t="shared" si="54"/>
        <v>4426995.4233686989</v>
      </c>
      <c r="AG161">
        <v>160</v>
      </c>
      <c r="AH161">
        <f t="shared" si="62"/>
        <v>3090468.0299786674</v>
      </c>
      <c r="AI161">
        <f>IF(AG161&gt;='Loan Prepayment'!$E$11,'Loan Prepayment'!$E$12,'Loan Prepayment'!$B$6)</f>
        <v>7.5</v>
      </c>
      <c r="AJ161">
        <f>IF(AH161&lt;=0,0,MIN(IF(AG161='Loan Prepayment'!$E$11,IF('Loan Prepayment'!$E$13="Keep tenure, recalculate EMI",-PMT(AI161/1200,MAX(1,'Loan Prepayment'!$B$7*12-AG161+1),AH161),AJ160),IF(AND('Loan Prepayment'!$E$15="Reduce EMI",AM160&gt;0),-PMT(AI161/1200,MAX(1,'Loan Prepayment'!$B$7*12-AG161+1),AH161),AJ160)),AH161+AK161))</f>
        <v>77713.634667410894</v>
      </c>
      <c r="AK161">
        <f t="shared" si="55"/>
        <v>19315.425187366669</v>
      </c>
      <c r="AL161">
        <f t="shared" si="56"/>
        <v>58398.209480044228</v>
      </c>
      <c r="AM161">
        <f>IF(AH161&lt;=0,0,MIN(MAX(0,AH161-AL161),SUMIFS('Loan Prepayment'!$B$12:$B$16,'Loan Prepayment'!$A$12:$A$16,AG161)+IF(AND(AG161&gt;='Loan Prepayment'!$B$9,AG161&lt;='Loan Prepayment'!$E$16),'Loan Prepayment'!$B$8,0)))</f>
        <v>0</v>
      </c>
      <c r="AN161">
        <f t="shared" si="57"/>
        <v>3032069.820498623</v>
      </c>
    </row>
    <row r="162" spans="1:40" x14ac:dyDescent="0.35">
      <c r="A162">
        <v>161</v>
      </c>
      <c r="B162">
        <f t="shared" si="58"/>
        <v>5285984.1687091645</v>
      </c>
      <c r="C162" s="78">
        <f>'Loan Prepayment'!$B$6</f>
        <v>8.5</v>
      </c>
      <c r="D162">
        <f>IF(B162&lt;=0,0,MIN(-PMT('Loan Prepayment'!$B$6/1200,'Loan Prepayment'!$B$7*12,'Loan Prepayment'!$B$5),B162+E162))</f>
        <v>86782.323336553396</v>
      </c>
      <c r="E162">
        <f t="shared" si="42"/>
        <v>37442.387861689909</v>
      </c>
      <c r="F162">
        <f t="shared" si="43"/>
        <v>49339.935474863487</v>
      </c>
      <c r="G162">
        <v>0</v>
      </c>
      <c r="H162">
        <f t="shared" si="44"/>
        <v>5236644.2332343012</v>
      </c>
      <c r="I162">
        <v>161</v>
      </c>
      <c r="J162">
        <f t="shared" si="59"/>
        <v>4433696.1628133059</v>
      </c>
      <c r="K162" s="78">
        <f>'Loan Prepayment'!$B$6</f>
        <v>8.5</v>
      </c>
      <c r="L162">
        <f>IF(J162&lt;=0,0,MIN(IF(AND('Loan Prepayment'!$E$15="Reduce EMI",O161&gt;0),-PMT(K162/1200,MAX(1,'Loan Prepayment'!$B$7*12-I162+1),J162),L161),J162+M162))</f>
        <v>72789.936877782937</v>
      </c>
      <c r="M162">
        <f t="shared" si="45"/>
        <v>31405.347819927581</v>
      </c>
      <c r="N162">
        <f t="shared" si="46"/>
        <v>41384.589057855352</v>
      </c>
      <c r="O162">
        <f>IF(J162&lt;=0,0,MIN(MAX(0,J162-N162),SUMIFS('Loan Prepayment'!$B$12:$B$16,'Loan Prepayment'!$A$12:$A$16,I162)+0))</f>
        <v>0</v>
      </c>
      <c r="P162">
        <f t="shared" si="47"/>
        <v>4392311.5737554505</v>
      </c>
      <c r="Q162">
        <v>161</v>
      </c>
      <c r="R162">
        <f t="shared" si="60"/>
        <v>5285984.1687091645</v>
      </c>
      <c r="S162" s="78">
        <f>'Loan Prepayment'!$B$6</f>
        <v>8.5</v>
      </c>
      <c r="T162">
        <f>IF(R162&lt;=0,0,MIN(IF(AND('Loan Prepayment'!$E$15="Reduce EMI",W161&gt;0),-PMT(S162/1200,MAX(1,'Loan Prepayment'!$B$7*12-Q162+1),R162),T161),R162+U162))</f>
        <v>86782.323336553396</v>
      </c>
      <c r="U162">
        <f t="shared" si="48"/>
        <v>37442.387861689909</v>
      </c>
      <c r="V162">
        <f t="shared" si="49"/>
        <v>49339.935474863487</v>
      </c>
      <c r="W162">
        <f>IF(R162&lt;=0,0,MIN(MAX(0,R162-V162),0+IF(AND(Q162&gt;='Loan Prepayment'!$B$9,Q162&lt;='Loan Prepayment'!$E$16),'Loan Prepayment'!$B$8,0)))</f>
        <v>0</v>
      </c>
      <c r="X162">
        <f t="shared" si="50"/>
        <v>5236644.2332343012</v>
      </c>
      <c r="Y162">
        <v>161</v>
      </c>
      <c r="Z162">
        <f t="shared" si="61"/>
        <v>4426995.4233686989</v>
      </c>
      <c r="AA162">
        <f>IF(Y162&gt;='Loan Prepayment'!$E$11,'Loan Prepayment'!$E$12,'Loan Prepayment'!$B$6)</f>
        <v>7.5</v>
      </c>
      <c r="AB162">
        <f>IF(Z162&lt;=0,0,MIN(IF(Y162='Loan Prepayment'!$E$11,IF('Loan Prepayment'!$E$13="Keep tenure, recalculate EMI",-PMT(AA162/1200,MAX(1,'Loan Prepayment'!$B$7*12-Y162+1),Z162),AB161),AB161),Z162+AC162))</f>
        <v>86782.323336553396</v>
      </c>
      <c r="AC162">
        <f t="shared" si="51"/>
        <v>27668.721396054367</v>
      </c>
      <c r="AD162">
        <f t="shared" si="52"/>
        <v>59113.601940499029</v>
      </c>
      <c r="AE162">
        <f t="shared" si="53"/>
        <v>0</v>
      </c>
      <c r="AF162">
        <f t="shared" si="54"/>
        <v>4367881.8214282002</v>
      </c>
      <c r="AG162">
        <v>161</v>
      </c>
      <c r="AH162">
        <f t="shared" si="62"/>
        <v>3032069.820498623</v>
      </c>
      <c r="AI162">
        <f>IF(AG162&gt;='Loan Prepayment'!$E$11,'Loan Prepayment'!$E$12,'Loan Prepayment'!$B$6)</f>
        <v>7.5</v>
      </c>
      <c r="AJ162">
        <f>IF(AH162&lt;=0,0,MIN(IF(AG162='Loan Prepayment'!$E$11,IF('Loan Prepayment'!$E$13="Keep tenure, recalculate EMI",-PMT(AI162/1200,MAX(1,'Loan Prepayment'!$B$7*12-AG162+1),AH162),AJ161),IF(AND('Loan Prepayment'!$E$15="Reduce EMI",AM161&gt;0),-PMT(AI162/1200,MAX(1,'Loan Prepayment'!$B$7*12-AG162+1),AH162),AJ161)),AH162+AK162))</f>
        <v>77713.634667410894</v>
      </c>
      <c r="AK162">
        <f t="shared" si="55"/>
        <v>18950.436378116392</v>
      </c>
      <c r="AL162">
        <f t="shared" si="56"/>
        <v>58763.198289294502</v>
      </c>
      <c r="AM162">
        <f>IF(AH162&lt;=0,0,MIN(MAX(0,AH162-AL162),SUMIFS('Loan Prepayment'!$B$12:$B$16,'Loan Prepayment'!$A$12:$A$16,AG162)+IF(AND(AG162&gt;='Loan Prepayment'!$B$9,AG162&lt;='Loan Prepayment'!$E$16),'Loan Prepayment'!$B$8,0)))</f>
        <v>0</v>
      </c>
      <c r="AN162">
        <f t="shared" si="57"/>
        <v>2973306.6222093282</v>
      </c>
    </row>
    <row r="163" spans="1:40" x14ac:dyDescent="0.35">
      <c r="A163">
        <v>162</v>
      </c>
      <c r="B163">
        <f t="shared" si="58"/>
        <v>5236644.2332343012</v>
      </c>
      <c r="C163" s="78">
        <f>'Loan Prepayment'!$B$6</f>
        <v>8.5</v>
      </c>
      <c r="D163">
        <f>IF(B163&lt;=0,0,MIN(-PMT('Loan Prepayment'!$B$6/1200,'Loan Prepayment'!$B$7*12,'Loan Prepayment'!$B$5),B163+E163))</f>
        <v>86782.323336553396</v>
      </c>
      <c r="E163">
        <f t="shared" si="42"/>
        <v>37092.896652076299</v>
      </c>
      <c r="F163">
        <f t="shared" si="43"/>
        <v>49689.426684477097</v>
      </c>
      <c r="G163">
        <v>0</v>
      </c>
      <c r="H163">
        <f t="shared" si="44"/>
        <v>5186954.8065498238</v>
      </c>
      <c r="I163">
        <v>162</v>
      </c>
      <c r="J163">
        <f t="shared" si="59"/>
        <v>4392311.5737554505</v>
      </c>
      <c r="K163" s="78">
        <f>'Loan Prepayment'!$B$6</f>
        <v>8.5</v>
      </c>
      <c r="L163">
        <f>IF(J163&lt;=0,0,MIN(IF(AND('Loan Prepayment'!$E$15="Reduce EMI",O162&gt;0),-PMT(K163/1200,MAX(1,'Loan Prepayment'!$B$7*12-I163+1),J163),L162),J163+M163))</f>
        <v>72789.936877782937</v>
      </c>
      <c r="M163">
        <f t="shared" si="45"/>
        <v>31112.206980767773</v>
      </c>
      <c r="N163">
        <f t="shared" si="46"/>
        <v>41677.729897015161</v>
      </c>
      <c r="O163">
        <f>IF(J163&lt;=0,0,MIN(MAX(0,J163-N163),SUMIFS('Loan Prepayment'!$B$12:$B$16,'Loan Prepayment'!$A$12:$A$16,I163)+0))</f>
        <v>0</v>
      </c>
      <c r="P163">
        <f t="shared" si="47"/>
        <v>4350633.8438584358</v>
      </c>
      <c r="Q163">
        <v>162</v>
      </c>
      <c r="R163">
        <f t="shared" si="60"/>
        <v>5236644.2332343012</v>
      </c>
      <c r="S163" s="78">
        <f>'Loan Prepayment'!$B$6</f>
        <v>8.5</v>
      </c>
      <c r="T163">
        <f>IF(R163&lt;=0,0,MIN(IF(AND('Loan Prepayment'!$E$15="Reduce EMI",W162&gt;0),-PMT(S163/1200,MAX(1,'Loan Prepayment'!$B$7*12-Q163+1),R163),T162),R163+U163))</f>
        <v>86782.323336553396</v>
      </c>
      <c r="U163">
        <f t="shared" si="48"/>
        <v>37092.896652076299</v>
      </c>
      <c r="V163">
        <f t="shared" si="49"/>
        <v>49689.426684477097</v>
      </c>
      <c r="W163">
        <f>IF(R163&lt;=0,0,MIN(MAX(0,R163-V163),0+IF(AND(Q163&gt;='Loan Prepayment'!$B$9,Q163&lt;='Loan Prepayment'!$E$16),'Loan Prepayment'!$B$8,0)))</f>
        <v>0</v>
      </c>
      <c r="X163">
        <f t="shared" si="50"/>
        <v>5186954.8065498238</v>
      </c>
      <c r="Y163">
        <v>162</v>
      </c>
      <c r="Z163">
        <f t="shared" si="61"/>
        <v>4367881.8214282002</v>
      </c>
      <c r="AA163">
        <f>IF(Y163&gt;='Loan Prepayment'!$E$11,'Loan Prepayment'!$E$12,'Loan Prepayment'!$B$6)</f>
        <v>7.5</v>
      </c>
      <c r="AB163">
        <f>IF(Z163&lt;=0,0,MIN(IF(Y163='Loan Prepayment'!$E$11,IF('Loan Prepayment'!$E$13="Keep tenure, recalculate EMI",-PMT(AA163/1200,MAX(1,'Loan Prepayment'!$B$7*12-Y163+1),Z163),AB162),AB162),Z163+AC163))</f>
        <v>86782.323336553396</v>
      </c>
      <c r="AC163">
        <f t="shared" si="51"/>
        <v>27299.261383926252</v>
      </c>
      <c r="AD163">
        <f t="shared" si="52"/>
        <v>59483.061952627148</v>
      </c>
      <c r="AE163">
        <f t="shared" si="53"/>
        <v>0</v>
      </c>
      <c r="AF163">
        <f t="shared" si="54"/>
        <v>4308398.759475573</v>
      </c>
      <c r="AG163">
        <v>162</v>
      </c>
      <c r="AH163">
        <f t="shared" si="62"/>
        <v>2973306.6222093282</v>
      </c>
      <c r="AI163">
        <f>IF(AG163&gt;='Loan Prepayment'!$E$11,'Loan Prepayment'!$E$12,'Loan Prepayment'!$B$6)</f>
        <v>7.5</v>
      </c>
      <c r="AJ163">
        <f>IF(AH163&lt;=0,0,MIN(IF(AG163='Loan Prepayment'!$E$11,IF('Loan Prepayment'!$E$13="Keep tenure, recalculate EMI",-PMT(AI163/1200,MAX(1,'Loan Prepayment'!$B$7*12-AG163+1),AH163),AJ162),IF(AND('Loan Prepayment'!$E$15="Reduce EMI",AM162&gt;0),-PMT(AI163/1200,MAX(1,'Loan Prepayment'!$B$7*12-AG163+1),AH163),AJ162)),AH163+AK163))</f>
        <v>77713.634667410894</v>
      </c>
      <c r="AK163">
        <f t="shared" si="55"/>
        <v>18583.166388808302</v>
      </c>
      <c r="AL163">
        <f t="shared" si="56"/>
        <v>59130.468278602595</v>
      </c>
      <c r="AM163">
        <f>IF(AH163&lt;=0,0,MIN(MAX(0,AH163-AL163),SUMIFS('Loan Prepayment'!$B$12:$B$16,'Loan Prepayment'!$A$12:$A$16,AG163)+IF(AND(AG163&gt;='Loan Prepayment'!$B$9,AG163&lt;='Loan Prepayment'!$E$16),'Loan Prepayment'!$B$8,0)))</f>
        <v>0</v>
      </c>
      <c r="AN163">
        <f t="shared" si="57"/>
        <v>2914176.1539307255</v>
      </c>
    </row>
    <row r="164" spans="1:40" x14ac:dyDescent="0.35">
      <c r="A164">
        <v>163</v>
      </c>
      <c r="B164">
        <f t="shared" si="58"/>
        <v>5186954.8065498238</v>
      </c>
      <c r="C164" s="78">
        <f>'Loan Prepayment'!$B$6</f>
        <v>8.5</v>
      </c>
      <c r="D164">
        <f>IF(B164&lt;=0,0,MIN(-PMT('Loan Prepayment'!$B$6/1200,'Loan Prepayment'!$B$7*12,'Loan Prepayment'!$B$5),B164+E164))</f>
        <v>86782.323336553396</v>
      </c>
      <c r="E164">
        <f t="shared" si="42"/>
        <v>36740.929879727919</v>
      </c>
      <c r="F164">
        <f t="shared" si="43"/>
        <v>50041.393456825477</v>
      </c>
      <c r="G164">
        <v>0</v>
      </c>
      <c r="H164">
        <f t="shared" si="44"/>
        <v>5136913.4130929988</v>
      </c>
      <c r="I164">
        <v>163</v>
      </c>
      <c r="J164">
        <f t="shared" si="59"/>
        <v>4350633.8438584358</v>
      </c>
      <c r="K164" s="78">
        <f>'Loan Prepayment'!$B$6</f>
        <v>8.5</v>
      </c>
      <c r="L164">
        <f>IF(J164&lt;=0,0,MIN(IF(AND('Loan Prepayment'!$E$15="Reduce EMI",O163&gt;0),-PMT(K164/1200,MAX(1,'Loan Prepayment'!$B$7*12-I164+1),J164),L163),J164+M164))</f>
        <v>72789.936877782937</v>
      </c>
      <c r="M164">
        <f t="shared" si="45"/>
        <v>30816.989727330587</v>
      </c>
      <c r="N164">
        <f t="shared" si="46"/>
        <v>41972.947150452354</v>
      </c>
      <c r="O164">
        <f>IF(J164&lt;=0,0,MIN(MAX(0,J164-N164),SUMIFS('Loan Prepayment'!$B$12:$B$16,'Loan Prepayment'!$A$12:$A$16,I164)+0))</f>
        <v>0</v>
      </c>
      <c r="P164">
        <f t="shared" si="47"/>
        <v>4308660.8967079837</v>
      </c>
      <c r="Q164">
        <v>163</v>
      </c>
      <c r="R164">
        <f t="shared" si="60"/>
        <v>5186954.8065498238</v>
      </c>
      <c r="S164" s="78">
        <f>'Loan Prepayment'!$B$6</f>
        <v>8.5</v>
      </c>
      <c r="T164">
        <f>IF(R164&lt;=0,0,MIN(IF(AND('Loan Prepayment'!$E$15="Reduce EMI",W163&gt;0),-PMT(S164/1200,MAX(1,'Loan Prepayment'!$B$7*12-Q164+1),R164),T163),R164+U164))</f>
        <v>86782.323336553396</v>
      </c>
      <c r="U164">
        <f t="shared" si="48"/>
        <v>36740.929879727919</v>
      </c>
      <c r="V164">
        <f t="shared" si="49"/>
        <v>50041.393456825477</v>
      </c>
      <c r="W164">
        <f>IF(R164&lt;=0,0,MIN(MAX(0,R164-V164),0+IF(AND(Q164&gt;='Loan Prepayment'!$B$9,Q164&lt;='Loan Prepayment'!$E$16),'Loan Prepayment'!$B$8,0)))</f>
        <v>0</v>
      </c>
      <c r="X164">
        <f t="shared" si="50"/>
        <v>5136913.4130929988</v>
      </c>
      <c r="Y164">
        <v>163</v>
      </c>
      <c r="Z164">
        <f t="shared" si="61"/>
        <v>4308398.759475573</v>
      </c>
      <c r="AA164">
        <f>IF(Y164&gt;='Loan Prepayment'!$E$11,'Loan Prepayment'!$E$12,'Loan Prepayment'!$B$6)</f>
        <v>7.5</v>
      </c>
      <c r="AB164">
        <f>IF(Z164&lt;=0,0,MIN(IF(Y164='Loan Prepayment'!$E$11,IF('Loan Prepayment'!$E$13="Keep tenure, recalculate EMI",-PMT(AA164/1200,MAX(1,'Loan Prepayment'!$B$7*12-Y164+1),Z164),AB163),AB163),Z164+AC164))</f>
        <v>86782.323336553396</v>
      </c>
      <c r="AC164">
        <f t="shared" si="51"/>
        <v>26927.49224672233</v>
      </c>
      <c r="AD164">
        <f t="shared" si="52"/>
        <v>59854.831089831066</v>
      </c>
      <c r="AE164">
        <f t="shared" si="53"/>
        <v>0</v>
      </c>
      <c r="AF164">
        <f t="shared" si="54"/>
        <v>4248543.928385742</v>
      </c>
      <c r="AG164">
        <v>163</v>
      </c>
      <c r="AH164">
        <f t="shared" si="62"/>
        <v>2914176.1539307255</v>
      </c>
      <c r="AI164">
        <f>IF(AG164&gt;='Loan Prepayment'!$E$11,'Loan Prepayment'!$E$12,'Loan Prepayment'!$B$6)</f>
        <v>7.5</v>
      </c>
      <c r="AJ164">
        <f>IF(AH164&lt;=0,0,MIN(IF(AG164='Loan Prepayment'!$E$11,IF('Loan Prepayment'!$E$13="Keep tenure, recalculate EMI",-PMT(AI164/1200,MAX(1,'Loan Prepayment'!$B$7*12-AG164+1),AH164),AJ163),IF(AND('Loan Prepayment'!$E$15="Reduce EMI",AM163&gt;0),-PMT(AI164/1200,MAX(1,'Loan Prepayment'!$B$7*12-AG164+1),AH164),AJ163)),AH164+AK164))</f>
        <v>77713.634667410894</v>
      </c>
      <c r="AK164">
        <f t="shared" si="55"/>
        <v>18213.600962067034</v>
      </c>
      <c r="AL164">
        <f t="shared" si="56"/>
        <v>59500.033705343856</v>
      </c>
      <c r="AM164">
        <f>IF(AH164&lt;=0,0,MIN(MAX(0,AH164-AL164),SUMIFS('Loan Prepayment'!$B$12:$B$16,'Loan Prepayment'!$A$12:$A$16,AG164)+IF(AND(AG164&gt;='Loan Prepayment'!$B$9,AG164&lt;='Loan Prepayment'!$E$16),'Loan Prepayment'!$B$8,0)))</f>
        <v>0</v>
      </c>
      <c r="AN164">
        <f t="shared" si="57"/>
        <v>2854676.1202253816</v>
      </c>
    </row>
    <row r="165" spans="1:40" x14ac:dyDescent="0.35">
      <c r="A165">
        <v>164</v>
      </c>
      <c r="B165">
        <f t="shared" si="58"/>
        <v>5136913.4130929988</v>
      </c>
      <c r="C165" s="78">
        <f>'Loan Prepayment'!$B$6</f>
        <v>8.5</v>
      </c>
      <c r="D165">
        <f>IF(B165&lt;=0,0,MIN(-PMT('Loan Prepayment'!$B$6/1200,'Loan Prepayment'!$B$7*12,'Loan Prepayment'!$B$5),B165+E165))</f>
        <v>86782.323336553396</v>
      </c>
      <c r="E165">
        <f t="shared" si="42"/>
        <v>36386.470009408746</v>
      </c>
      <c r="F165">
        <f t="shared" si="43"/>
        <v>50395.85332714465</v>
      </c>
      <c r="G165">
        <v>0</v>
      </c>
      <c r="H165">
        <f t="shared" si="44"/>
        <v>5086517.5597658539</v>
      </c>
      <c r="I165">
        <v>164</v>
      </c>
      <c r="J165">
        <f t="shared" si="59"/>
        <v>4308660.8967079837</v>
      </c>
      <c r="K165" s="78">
        <f>'Loan Prepayment'!$B$6</f>
        <v>8.5</v>
      </c>
      <c r="L165">
        <f>IF(J165&lt;=0,0,MIN(IF(AND('Loan Prepayment'!$E$15="Reduce EMI",O164&gt;0),-PMT(K165/1200,MAX(1,'Loan Prepayment'!$B$7*12-I165+1),J165),L164),J165+M165))</f>
        <v>72789.936877782937</v>
      </c>
      <c r="M165">
        <f t="shared" si="45"/>
        <v>30519.681351681549</v>
      </c>
      <c r="N165">
        <f t="shared" si="46"/>
        <v>42270.255526101391</v>
      </c>
      <c r="O165">
        <f>IF(J165&lt;=0,0,MIN(MAX(0,J165-N165),SUMIFS('Loan Prepayment'!$B$12:$B$16,'Loan Prepayment'!$A$12:$A$16,I165)+0))</f>
        <v>0</v>
      </c>
      <c r="P165">
        <f t="shared" si="47"/>
        <v>4266390.6411818825</v>
      </c>
      <c r="Q165">
        <v>164</v>
      </c>
      <c r="R165">
        <f t="shared" si="60"/>
        <v>5136913.4130929988</v>
      </c>
      <c r="S165" s="78">
        <f>'Loan Prepayment'!$B$6</f>
        <v>8.5</v>
      </c>
      <c r="T165">
        <f>IF(R165&lt;=0,0,MIN(IF(AND('Loan Prepayment'!$E$15="Reduce EMI",W164&gt;0),-PMT(S165/1200,MAX(1,'Loan Prepayment'!$B$7*12-Q165+1),R165),T164),R165+U165))</f>
        <v>86782.323336553396</v>
      </c>
      <c r="U165">
        <f t="shared" si="48"/>
        <v>36386.470009408746</v>
      </c>
      <c r="V165">
        <f t="shared" si="49"/>
        <v>50395.85332714465</v>
      </c>
      <c r="W165">
        <f>IF(R165&lt;=0,0,MIN(MAX(0,R165-V165),0+IF(AND(Q165&gt;='Loan Prepayment'!$B$9,Q165&lt;='Loan Prepayment'!$E$16),'Loan Prepayment'!$B$8,0)))</f>
        <v>0</v>
      </c>
      <c r="X165">
        <f t="shared" si="50"/>
        <v>5086517.5597658539</v>
      </c>
      <c r="Y165">
        <v>164</v>
      </c>
      <c r="Z165">
        <f t="shared" si="61"/>
        <v>4248543.928385742</v>
      </c>
      <c r="AA165">
        <f>IF(Y165&gt;='Loan Prepayment'!$E$11,'Loan Prepayment'!$E$12,'Loan Prepayment'!$B$6)</f>
        <v>7.5</v>
      </c>
      <c r="AB165">
        <f>IF(Z165&lt;=0,0,MIN(IF(Y165='Loan Prepayment'!$E$11,IF('Loan Prepayment'!$E$13="Keep tenure, recalculate EMI",-PMT(AA165/1200,MAX(1,'Loan Prepayment'!$B$7*12-Y165+1),Z165),AB164),AB164),Z165+AC165))</f>
        <v>86782.323336553396</v>
      </c>
      <c r="AC165">
        <f t="shared" si="51"/>
        <v>26553.399552410887</v>
      </c>
      <c r="AD165">
        <f t="shared" si="52"/>
        <v>60228.923784142506</v>
      </c>
      <c r="AE165">
        <f t="shared" si="53"/>
        <v>0</v>
      </c>
      <c r="AF165">
        <f t="shared" si="54"/>
        <v>4188315.0046015996</v>
      </c>
      <c r="AG165">
        <v>164</v>
      </c>
      <c r="AH165">
        <f t="shared" si="62"/>
        <v>2854676.1202253816</v>
      </c>
      <c r="AI165">
        <f>IF(AG165&gt;='Loan Prepayment'!$E$11,'Loan Prepayment'!$E$12,'Loan Prepayment'!$B$6)</f>
        <v>7.5</v>
      </c>
      <c r="AJ165">
        <f>IF(AH165&lt;=0,0,MIN(IF(AG165='Loan Prepayment'!$E$11,IF('Loan Prepayment'!$E$13="Keep tenure, recalculate EMI",-PMT(AI165/1200,MAX(1,'Loan Prepayment'!$B$7*12-AG165+1),AH165),AJ164),IF(AND('Loan Prepayment'!$E$15="Reduce EMI",AM164&gt;0),-PMT(AI165/1200,MAX(1,'Loan Prepayment'!$B$7*12-AG165+1),AH165),AJ164)),AH165+AK165))</f>
        <v>77713.634667410894</v>
      </c>
      <c r="AK165">
        <f t="shared" si="55"/>
        <v>17841.725751408634</v>
      </c>
      <c r="AL165">
        <f t="shared" si="56"/>
        <v>59871.908916002256</v>
      </c>
      <c r="AM165">
        <f>IF(AH165&lt;=0,0,MIN(MAX(0,AH165-AL165),SUMIFS('Loan Prepayment'!$B$12:$B$16,'Loan Prepayment'!$A$12:$A$16,AG165)+IF(AND(AG165&gt;='Loan Prepayment'!$B$9,AG165&lt;='Loan Prepayment'!$E$16),'Loan Prepayment'!$B$8,0)))</f>
        <v>0</v>
      </c>
      <c r="AN165">
        <f t="shared" si="57"/>
        <v>2794804.2113093794</v>
      </c>
    </row>
    <row r="166" spans="1:40" x14ac:dyDescent="0.35">
      <c r="A166">
        <v>165</v>
      </c>
      <c r="B166">
        <f t="shared" si="58"/>
        <v>5086517.5597658539</v>
      </c>
      <c r="C166" s="78">
        <f>'Loan Prepayment'!$B$6</f>
        <v>8.5</v>
      </c>
      <c r="D166">
        <f>IF(B166&lt;=0,0,MIN(-PMT('Loan Prepayment'!$B$6/1200,'Loan Prepayment'!$B$7*12,'Loan Prepayment'!$B$5),B166+E166))</f>
        <v>86782.323336553396</v>
      </c>
      <c r="E166">
        <f t="shared" si="42"/>
        <v>36029.499381674803</v>
      </c>
      <c r="F166">
        <f t="shared" si="43"/>
        <v>50752.823954878593</v>
      </c>
      <c r="G166">
        <v>0</v>
      </c>
      <c r="H166">
        <f t="shared" si="44"/>
        <v>5035764.7358109755</v>
      </c>
      <c r="I166">
        <v>165</v>
      </c>
      <c r="J166">
        <f t="shared" si="59"/>
        <v>4266390.6411818825</v>
      </c>
      <c r="K166" s="78">
        <f>'Loan Prepayment'!$B$6</f>
        <v>8.5</v>
      </c>
      <c r="L166">
        <f>IF(J166&lt;=0,0,MIN(IF(AND('Loan Prepayment'!$E$15="Reduce EMI",O165&gt;0),-PMT(K166/1200,MAX(1,'Loan Prepayment'!$B$7*12-I166+1),J166),L165),J166+M166))</f>
        <v>72789.936877782937</v>
      </c>
      <c r="M166">
        <f t="shared" si="45"/>
        <v>30220.267041705003</v>
      </c>
      <c r="N166">
        <f t="shared" si="46"/>
        <v>42569.669836077934</v>
      </c>
      <c r="O166">
        <f>IF(J166&lt;=0,0,MIN(MAX(0,J166-N166),SUMIFS('Loan Prepayment'!$B$12:$B$16,'Loan Prepayment'!$A$12:$A$16,I166)+0))</f>
        <v>0</v>
      </c>
      <c r="P166">
        <f t="shared" si="47"/>
        <v>4223820.9713458046</v>
      </c>
      <c r="Q166">
        <v>165</v>
      </c>
      <c r="R166">
        <f t="shared" si="60"/>
        <v>5086517.5597658539</v>
      </c>
      <c r="S166" s="78">
        <f>'Loan Prepayment'!$B$6</f>
        <v>8.5</v>
      </c>
      <c r="T166">
        <f>IF(R166&lt;=0,0,MIN(IF(AND('Loan Prepayment'!$E$15="Reduce EMI",W165&gt;0),-PMT(S166/1200,MAX(1,'Loan Prepayment'!$B$7*12-Q166+1),R166),T165),R166+U166))</f>
        <v>86782.323336553396</v>
      </c>
      <c r="U166">
        <f t="shared" si="48"/>
        <v>36029.499381674803</v>
      </c>
      <c r="V166">
        <f t="shared" si="49"/>
        <v>50752.823954878593</v>
      </c>
      <c r="W166">
        <f>IF(R166&lt;=0,0,MIN(MAX(0,R166-V166),0+IF(AND(Q166&gt;='Loan Prepayment'!$B$9,Q166&lt;='Loan Prepayment'!$E$16),'Loan Prepayment'!$B$8,0)))</f>
        <v>0</v>
      </c>
      <c r="X166">
        <f t="shared" si="50"/>
        <v>5035764.7358109755</v>
      </c>
      <c r="Y166">
        <v>165</v>
      </c>
      <c r="Z166">
        <f t="shared" si="61"/>
        <v>4188315.0046015996</v>
      </c>
      <c r="AA166">
        <f>IF(Y166&gt;='Loan Prepayment'!$E$11,'Loan Prepayment'!$E$12,'Loan Prepayment'!$B$6)</f>
        <v>7.5</v>
      </c>
      <c r="AB166">
        <f>IF(Z166&lt;=0,0,MIN(IF(Y166='Loan Prepayment'!$E$11,IF('Loan Prepayment'!$E$13="Keep tenure, recalculate EMI",-PMT(AA166/1200,MAX(1,'Loan Prepayment'!$B$7*12-Y166+1),Z166),AB165),AB165),Z166+AC166))</f>
        <v>86782.323336553396</v>
      </c>
      <c r="AC166">
        <f t="shared" si="51"/>
        <v>26176.968778759998</v>
      </c>
      <c r="AD166">
        <f t="shared" si="52"/>
        <v>60605.354557793398</v>
      </c>
      <c r="AE166">
        <f t="shared" si="53"/>
        <v>0</v>
      </c>
      <c r="AF166">
        <f t="shared" si="54"/>
        <v>4127709.6500438061</v>
      </c>
      <c r="AG166">
        <v>165</v>
      </c>
      <c r="AH166">
        <f t="shared" si="62"/>
        <v>2794804.2113093794</v>
      </c>
      <c r="AI166">
        <f>IF(AG166&gt;='Loan Prepayment'!$E$11,'Loan Prepayment'!$E$12,'Loan Prepayment'!$B$6)</f>
        <v>7.5</v>
      </c>
      <c r="AJ166">
        <f>IF(AH166&lt;=0,0,MIN(IF(AG166='Loan Prepayment'!$E$11,IF('Loan Prepayment'!$E$13="Keep tenure, recalculate EMI",-PMT(AI166/1200,MAX(1,'Loan Prepayment'!$B$7*12-AG166+1),AH166),AJ165),IF(AND('Loan Prepayment'!$E$15="Reduce EMI",AM165&gt;0),-PMT(AI166/1200,MAX(1,'Loan Prepayment'!$B$7*12-AG166+1),AH166),AJ165)),AH166+AK166))</f>
        <v>77713.634667410894</v>
      </c>
      <c r="AK166">
        <f t="shared" si="55"/>
        <v>17467.526320683621</v>
      </c>
      <c r="AL166">
        <f t="shared" si="56"/>
        <v>60246.108346727269</v>
      </c>
      <c r="AM166">
        <f>IF(AH166&lt;=0,0,MIN(MAX(0,AH166-AL166),SUMIFS('Loan Prepayment'!$B$12:$B$16,'Loan Prepayment'!$A$12:$A$16,AG166)+IF(AND(AG166&gt;='Loan Prepayment'!$B$9,AG166&lt;='Loan Prepayment'!$E$16),'Loan Prepayment'!$B$8,0)))</f>
        <v>0</v>
      </c>
      <c r="AN166">
        <f t="shared" si="57"/>
        <v>2734558.1029626522</v>
      </c>
    </row>
    <row r="167" spans="1:40" x14ac:dyDescent="0.35">
      <c r="A167">
        <v>166</v>
      </c>
      <c r="B167">
        <f t="shared" si="58"/>
        <v>5035764.7358109755</v>
      </c>
      <c r="C167" s="78">
        <f>'Loan Prepayment'!$B$6</f>
        <v>8.5</v>
      </c>
      <c r="D167">
        <f>IF(B167&lt;=0,0,MIN(-PMT('Loan Prepayment'!$B$6/1200,'Loan Prepayment'!$B$7*12,'Loan Prepayment'!$B$5),B167+E167))</f>
        <v>86782.323336553396</v>
      </c>
      <c r="E167">
        <f t="shared" si="42"/>
        <v>35670.000211994411</v>
      </c>
      <c r="F167">
        <f t="shared" si="43"/>
        <v>51112.323124558985</v>
      </c>
      <c r="G167">
        <v>0</v>
      </c>
      <c r="H167">
        <f t="shared" si="44"/>
        <v>4984652.4126864169</v>
      </c>
      <c r="I167">
        <v>166</v>
      </c>
      <c r="J167">
        <f t="shared" si="59"/>
        <v>4223820.9713458046</v>
      </c>
      <c r="K167" s="78">
        <f>'Loan Prepayment'!$B$6</f>
        <v>8.5</v>
      </c>
      <c r="L167">
        <f>IF(J167&lt;=0,0,MIN(IF(AND('Loan Prepayment'!$E$15="Reduce EMI",O166&gt;0),-PMT(K167/1200,MAX(1,'Loan Prepayment'!$B$7*12-I167+1),J167),L166),J167+M167))</f>
        <v>72789.936877782937</v>
      </c>
      <c r="M167">
        <f t="shared" si="45"/>
        <v>29918.731880366118</v>
      </c>
      <c r="N167">
        <f t="shared" si="46"/>
        <v>42871.204997416819</v>
      </c>
      <c r="O167">
        <f>IF(J167&lt;=0,0,MIN(MAX(0,J167-N167),SUMIFS('Loan Prepayment'!$B$12:$B$16,'Loan Prepayment'!$A$12:$A$16,I167)+0))</f>
        <v>0</v>
      </c>
      <c r="P167">
        <f t="shared" si="47"/>
        <v>4180949.766348388</v>
      </c>
      <c r="Q167">
        <v>166</v>
      </c>
      <c r="R167">
        <f t="shared" si="60"/>
        <v>5035764.7358109755</v>
      </c>
      <c r="S167" s="78">
        <f>'Loan Prepayment'!$B$6</f>
        <v>8.5</v>
      </c>
      <c r="T167">
        <f>IF(R167&lt;=0,0,MIN(IF(AND('Loan Prepayment'!$E$15="Reduce EMI",W166&gt;0),-PMT(S167/1200,MAX(1,'Loan Prepayment'!$B$7*12-Q167+1),R167),T166),R167+U167))</f>
        <v>86782.323336553396</v>
      </c>
      <c r="U167">
        <f t="shared" si="48"/>
        <v>35670.000211994411</v>
      </c>
      <c r="V167">
        <f t="shared" si="49"/>
        <v>51112.323124558985</v>
      </c>
      <c r="W167">
        <f>IF(R167&lt;=0,0,MIN(MAX(0,R167-V167),0+IF(AND(Q167&gt;='Loan Prepayment'!$B$9,Q167&lt;='Loan Prepayment'!$E$16),'Loan Prepayment'!$B$8,0)))</f>
        <v>0</v>
      </c>
      <c r="X167">
        <f t="shared" si="50"/>
        <v>4984652.4126864169</v>
      </c>
      <c r="Y167">
        <v>166</v>
      </c>
      <c r="Z167">
        <f t="shared" si="61"/>
        <v>4127709.6500438061</v>
      </c>
      <c r="AA167">
        <f>IF(Y167&gt;='Loan Prepayment'!$E$11,'Loan Prepayment'!$E$12,'Loan Prepayment'!$B$6)</f>
        <v>7.5</v>
      </c>
      <c r="AB167">
        <f>IF(Z167&lt;=0,0,MIN(IF(Y167='Loan Prepayment'!$E$11,IF('Loan Prepayment'!$E$13="Keep tenure, recalculate EMI",-PMT(AA167/1200,MAX(1,'Loan Prepayment'!$B$7*12-Y167+1),Z167),AB166),AB166),Z167+AC167))</f>
        <v>86782.323336553396</v>
      </c>
      <c r="AC167">
        <f t="shared" si="51"/>
        <v>25798.185312773789</v>
      </c>
      <c r="AD167">
        <f t="shared" si="52"/>
        <v>60984.138023779611</v>
      </c>
      <c r="AE167">
        <f t="shared" si="53"/>
        <v>0</v>
      </c>
      <c r="AF167">
        <f t="shared" si="54"/>
        <v>4066725.5120200263</v>
      </c>
      <c r="AG167">
        <v>166</v>
      </c>
      <c r="AH167">
        <f t="shared" si="62"/>
        <v>2734558.1029626522</v>
      </c>
      <c r="AI167">
        <f>IF(AG167&gt;='Loan Prepayment'!$E$11,'Loan Prepayment'!$E$12,'Loan Prepayment'!$B$6)</f>
        <v>7.5</v>
      </c>
      <c r="AJ167">
        <f>IF(AH167&lt;=0,0,MIN(IF(AG167='Loan Prepayment'!$E$11,IF('Loan Prepayment'!$E$13="Keep tenure, recalculate EMI",-PMT(AI167/1200,MAX(1,'Loan Prepayment'!$B$7*12-AG167+1),AH167),AJ166),IF(AND('Loan Prepayment'!$E$15="Reduce EMI",AM166&gt;0),-PMT(AI167/1200,MAX(1,'Loan Prepayment'!$B$7*12-AG167+1),AH167),AJ166)),AH167+AK167))</f>
        <v>77713.634667410894</v>
      </c>
      <c r="AK167">
        <f t="shared" si="55"/>
        <v>17090.988143516577</v>
      </c>
      <c r="AL167">
        <f t="shared" si="56"/>
        <v>60622.64652389432</v>
      </c>
      <c r="AM167">
        <f>IF(AH167&lt;=0,0,MIN(MAX(0,AH167-AL167),SUMIFS('Loan Prepayment'!$B$12:$B$16,'Loan Prepayment'!$A$12:$A$16,AG167)+IF(AND(AG167&gt;='Loan Prepayment'!$B$9,AG167&lt;='Loan Prepayment'!$E$16),'Loan Prepayment'!$B$8,0)))</f>
        <v>0</v>
      </c>
      <c r="AN167">
        <f t="shared" si="57"/>
        <v>2673935.4564387579</v>
      </c>
    </row>
    <row r="168" spans="1:40" x14ac:dyDescent="0.35">
      <c r="A168">
        <v>167</v>
      </c>
      <c r="B168">
        <f t="shared" si="58"/>
        <v>4984652.4126864169</v>
      </c>
      <c r="C168" s="78">
        <f>'Loan Prepayment'!$B$6</f>
        <v>8.5</v>
      </c>
      <c r="D168">
        <f>IF(B168&lt;=0,0,MIN(-PMT('Loan Prepayment'!$B$6/1200,'Loan Prepayment'!$B$7*12,'Loan Prepayment'!$B$5),B168+E168))</f>
        <v>86782.323336553396</v>
      </c>
      <c r="E168">
        <f t="shared" si="42"/>
        <v>35307.954589862122</v>
      </c>
      <c r="F168">
        <f t="shared" si="43"/>
        <v>51474.368746691274</v>
      </c>
      <c r="G168">
        <v>0</v>
      </c>
      <c r="H168">
        <f t="shared" si="44"/>
        <v>4933178.0439397255</v>
      </c>
      <c r="I168">
        <v>167</v>
      </c>
      <c r="J168">
        <f t="shared" si="59"/>
        <v>4180949.766348388</v>
      </c>
      <c r="K168" s="78">
        <f>'Loan Prepayment'!$B$6</f>
        <v>8.5</v>
      </c>
      <c r="L168">
        <f>IF(J168&lt;=0,0,MIN(IF(AND('Loan Prepayment'!$E$15="Reduce EMI",O167&gt;0),-PMT(K168/1200,MAX(1,'Loan Prepayment'!$B$7*12-I168+1),J168),L167),J168+M168))</f>
        <v>72789.936877782937</v>
      </c>
      <c r="M168">
        <f t="shared" si="45"/>
        <v>29615.060844967749</v>
      </c>
      <c r="N168">
        <f t="shared" si="46"/>
        <v>43174.876032815184</v>
      </c>
      <c r="O168">
        <f>IF(J168&lt;=0,0,MIN(MAX(0,J168-N168),SUMIFS('Loan Prepayment'!$B$12:$B$16,'Loan Prepayment'!$A$12:$A$16,I168)+0))</f>
        <v>0</v>
      </c>
      <c r="P168">
        <f t="shared" si="47"/>
        <v>4137774.8903155727</v>
      </c>
      <c r="Q168">
        <v>167</v>
      </c>
      <c r="R168">
        <f t="shared" si="60"/>
        <v>4984652.4126864169</v>
      </c>
      <c r="S168" s="78">
        <f>'Loan Prepayment'!$B$6</f>
        <v>8.5</v>
      </c>
      <c r="T168">
        <f>IF(R168&lt;=0,0,MIN(IF(AND('Loan Prepayment'!$E$15="Reduce EMI",W167&gt;0),-PMT(S168/1200,MAX(1,'Loan Prepayment'!$B$7*12-Q168+1),R168),T167),R168+U168))</f>
        <v>86782.323336553396</v>
      </c>
      <c r="U168">
        <f t="shared" si="48"/>
        <v>35307.954589862122</v>
      </c>
      <c r="V168">
        <f t="shared" si="49"/>
        <v>51474.368746691274</v>
      </c>
      <c r="W168">
        <f>IF(R168&lt;=0,0,MIN(MAX(0,R168-V168),0+IF(AND(Q168&gt;='Loan Prepayment'!$B$9,Q168&lt;='Loan Prepayment'!$E$16),'Loan Prepayment'!$B$8,0)))</f>
        <v>0</v>
      </c>
      <c r="X168">
        <f t="shared" si="50"/>
        <v>4933178.0439397255</v>
      </c>
      <c r="Y168">
        <v>167</v>
      </c>
      <c r="Z168">
        <f t="shared" si="61"/>
        <v>4066725.5120200263</v>
      </c>
      <c r="AA168">
        <f>IF(Y168&gt;='Loan Prepayment'!$E$11,'Loan Prepayment'!$E$12,'Loan Prepayment'!$B$6)</f>
        <v>7.5</v>
      </c>
      <c r="AB168">
        <f>IF(Z168&lt;=0,0,MIN(IF(Y168='Loan Prepayment'!$E$11,IF('Loan Prepayment'!$E$13="Keep tenure, recalculate EMI",-PMT(AA168/1200,MAX(1,'Loan Prepayment'!$B$7*12-Y168+1),Z168),AB167),AB167),Z168+AC168))</f>
        <v>86782.323336553396</v>
      </c>
      <c r="AC168">
        <f t="shared" si="51"/>
        <v>25417.034450125164</v>
      </c>
      <c r="AD168">
        <f t="shared" si="52"/>
        <v>61365.288886428229</v>
      </c>
      <c r="AE168">
        <f t="shared" si="53"/>
        <v>0</v>
      </c>
      <c r="AF168">
        <f t="shared" si="54"/>
        <v>4005360.223133598</v>
      </c>
      <c r="AG168">
        <v>167</v>
      </c>
      <c r="AH168">
        <f t="shared" si="62"/>
        <v>2673935.4564387579</v>
      </c>
      <c r="AI168">
        <f>IF(AG168&gt;='Loan Prepayment'!$E$11,'Loan Prepayment'!$E$12,'Loan Prepayment'!$B$6)</f>
        <v>7.5</v>
      </c>
      <c r="AJ168">
        <f>IF(AH168&lt;=0,0,MIN(IF(AG168='Loan Prepayment'!$E$11,IF('Loan Prepayment'!$E$13="Keep tenure, recalculate EMI",-PMT(AI168/1200,MAX(1,'Loan Prepayment'!$B$7*12-AG168+1),AH168),AJ167),IF(AND('Loan Prepayment'!$E$15="Reduce EMI",AM167&gt;0),-PMT(AI168/1200,MAX(1,'Loan Prepayment'!$B$7*12-AG168+1),AH168),AJ167)),AH168+AK168))</f>
        <v>77713.634667410894</v>
      </c>
      <c r="AK168">
        <f t="shared" si="55"/>
        <v>16712.096602742236</v>
      </c>
      <c r="AL168">
        <f t="shared" si="56"/>
        <v>61001.538064668654</v>
      </c>
      <c r="AM168">
        <f>IF(AH168&lt;=0,0,MIN(MAX(0,AH168-AL168),SUMIFS('Loan Prepayment'!$B$12:$B$16,'Loan Prepayment'!$A$12:$A$16,AG168)+IF(AND(AG168&gt;='Loan Prepayment'!$B$9,AG168&lt;='Loan Prepayment'!$E$16),'Loan Prepayment'!$B$8,0)))</f>
        <v>0</v>
      </c>
      <c r="AN168">
        <f t="shared" si="57"/>
        <v>2612933.9183740895</v>
      </c>
    </row>
    <row r="169" spans="1:40" x14ac:dyDescent="0.35">
      <c r="A169">
        <v>168</v>
      </c>
      <c r="B169">
        <f t="shared" si="58"/>
        <v>4933178.0439397255</v>
      </c>
      <c r="C169" s="78">
        <f>'Loan Prepayment'!$B$6</f>
        <v>8.5</v>
      </c>
      <c r="D169">
        <f>IF(B169&lt;=0,0,MIN(-PMT('Loan Prepayment'!$B$6/1200,'Loan Prepayment'!$B$7*12,'Loan Prepayment'!$B$5),B169+E169))</f>
        <v>86782.323336553396</v>
      </c>
      <c r="E169">
        <f t="shared" si="42"/>
        <v>34943.344477906387</v>
      </c>
      <c r="F169">
        <f t="shared" si="43"/>
        <v>51838.978858647009</v>
      </c>
      <c r="G169">
        <v>0</v>
      </c>
      <c r="H169">
        <f t="shared" si="44"/>
        <v>4881339.0650810786</v>
      </c>
      <c r="I169">
        <v>168</v>
      </c>
      <c r="J169">
        <f t="shared" si="59"/>
        <v>4137774.8903155727</v>
      </c>
      <c r="K169" s="78">
        <f>'Loan Prepayment'!$B$6</f>
        <v>8.5</v>
      </c>
      <c r="L169">
        <f>IF(J169&lt;=0,0,MIN(IF(AND('Loan Prepayment'!$E$15="Reduce EMI",O168&gt;0),-PMT(K169/1200,MAX(1,'Loan Prepayment'!$B$7*12-I169+1),J169),L168),J169+M169))</f>
        <v>72789.936877782937</v>
      </c>
      <c r="M169">
        <f t="shared" si="45"/>
        <v>29309.238806401976</v>
      </c>
      <c r="N169">
        <f t="shared" si="46"/>
        <v>43480.698071380961</v>
      </c>
      <c r="O169">
        <f>IF(J169&lt;=0,0,MIN(MAX(0,J169-N169),SUMIFS('Loan Prepayment'!$B$12:$B$16,'Loan Prepayment'!$A$12:$A$16,I169)+0))</f>
        <v>0</v>
      </c>
      <c r="P169">
        <f t="shared" si="47"/>
        <v>4094294.1922441917</v>
      </c>
      <c r="Q169">
        <v>168</v>
      </c>
      <c r="R169">
        <f t="shared" si="60"/>
        <v>4933178.0439397255</v>
      </c>
      <c r="S169" s="78">
        <f>'Loan Prepayment'!$B$6</f>
        <v>8.5</v>
      </c>
      <c r="T169">
        <f>IF(R169&lt;=0,0,MIN(IF(AND('Loan Prepayment'!$E$15="Reduce EMI",W168&gt;0),-PMT(S169/1200,MAX(1,'Loan Prepayment'!$B$7*12-Q169+1),R169),T168),R169+U169))</f>
        <v>86782.323336553396</v>
      </c>
      <c r="U169">
        <f t="shared" si="48"/>
        <v>34943.344477906387</v>
      </c>
      <c r="V169">
        <f t="shared" si="49"/>
        <v>51838.978858647009</v>
      </c>
      <c r="W169">
        <f>IF(R169&lt;=0,0,MIN(MAX(0,R169-V169),0+IF(AND(Q169&gt;='Loan Prepayment'!$B$9,Q169&lt;='Loan Prepayment'!$E$16),'Loan Prepayment'!$B$8,0)))</f>
        <v>0</v>
      </c>
      <c r="X169">
        <f t="shared" si="50"/>
        <v>4881339.0650810786</v>
      </c>
      <c r="Y169">
        <v>168</v>
      </c>
      <c r="Z169">
        <f t="shared" si="61"/>
        <v>4005360.223133598</v>
      </c>
      <c r="AA169">
        <f>IF(Y169&gt;='Loan Prepayment'!$E$11,'Loan Prepayment'!$E$12,'Loan Prepayment'!$B$6)</f>
        <v>7.5</v>
      </c>
      <c r="AB169">
        <f>IF(Z169&lt;=0,0,MIN(IF(Y169='Loan Prepayment'!$E$11,IF('Loan Prepayment'!$E$13="Keep tenure, recalculate EMI",-PMT(AA169/1200,MAX(1,'Loan Prepayment'!$B$7*12-Y169+1),Z169),AB168),AB168),Z169+AC169))</f>
        <v>86782.323336553396</v>
      </c>
      <c r="AC169">
        <f t="shared" si="51"/>
        <v>25033.501394584986</v>
      </c>
      <c r="AD169">
        <f t="shared" si="52"/>
        <v>61748.82194196841</v>
      </c>
      <c r="AE169">
        <f t="shared" si="53"/>
        <v>0</v>
      </c>
      <c r="AF169">
        <f t="shared" si="54"/>
        <v>3943611.4011916295</v>
      </c>
      <c r="AG169">
        <v>168</v>
      </c>
      <c r="AH169">
        <f t="shared" si="62"/>
        <v>2612933.9183740895</v>
      </c>
      <c r="AI169">
        <f>IF(AG169&gt;='Loan Prepayment'!$E$11,'Loan Prepayment'!$E$12,'Loan Prepayment'!$B$6)</f>
        <v>7.5</v>
      </c>
      <c r="AJ169">
        <f>IF(AH169&lt;=0,0,MIN(IF(AG169='Loan Prepayment'!$E$11,IF('Loan Prepayment'!$E$13="Keep tenure, recalculate EMI",-PMT(AI169/1200,MAX(1,'Loan Prepayment'!$B$7*12-AG169+1),AH169),AJ168),IF(AND('Loan Prepayment'!$E$15="Reduce EMI",AM168&gt;0),-PMT(AI169/1200,MAX(1,'Loan Prepayment'!$B$7*12-AG169+1),AH169),AJ168)),AH169+AK169))</f>
        <v>77713.634667410894</v>
      </c>
      <c r="AK169">
        <f t="shared" si="55"/>
        <v>16330.836989838059</v>
      </c>
      <c r="AL169">
        <f t="shared" si="56"/>
        <v>61382.797677572831</v>
      </c>
      <c r="AM169">
        <f>IF(AH169&lt;=0,0,MIN(MAX(0,AH169-AL169),SUMIFS('Loan Prepayment'!$B$12:$B$16,'Loan Prepayment'!$A$12:$A$16,AG169)+IF(AND(AG169&gt;='Loan Prepayment'!$B$9,AG169&lt;='Loan Prepayment'!$E$16),'Loan Prepayment'!$B$8,0)))</f>
        <v>0</v>
      </c>
      <c r="AN169">
        <f t="shared" si="57"/>
        <v>2551551.1206965167</v>
      </c>
    </row>
    <row r="170" spans="1:40" x14ac:dyDescent="0.35">
      <c r="A170">
        <v>169</v>
      </c>
      <c r="B170">
        <f t="shared" si="58"/>
        <v>4881339.0650810786</v>
      </c>
      <c r="C170" s="78">
        <f>'Loan Prepayment'!$B$6</f>
        <v>8.5</v>
      </c>
      <c r="D170">
        <f>IF(B170&lt;=0,0,MIN(-PMT('Loan Prepayment'!$B$6/1200,'Loan Prepayment'!$B$7*12,'Loan Prepayment'!$B$5),B170+E170))</f>
        <v>86782.323336553396</v>
      </c>
      <c r="E170">
        <f t="shared" si="42"/>
        <v>34576.151710990969</v>
      </c>
      <c r="F170">
        <f t="shared" si="43"/>
        <v>52206.171625562427</v>
      </c>
      <c r="G170">
        <v>0</v>
      </c>
      <c r="H170">
        <f t="shared" si="44"/>
        <v>4829132.8934555165</v>
      </c>
      <c r="I170">
        <v>169</v>
      </c>
      <c r="J170">
        <f t="shared" si="59"/>
        <v>4094294.1922441917</v>
      </c>
      <c r="K170" s="78">
        <f>'Loan Prepayment'!$B$6</f>
        <v>8.5</v>
      </c>
      <c r="L170">
        <f>IF(J170&lt;=0,0,MIN(IF(AND('Loan Prepayment'!$E$15="Reduce EMI",O169&gt;0),-PMT(K170/1200,MAX(1,'Loan Prepayment'!$B$7*12-I170+1),J170),L169),J170+M170))</f>
        <v>72789.936877782937</v>
      </c>
      <c r="M170">
        <f t="shared" si="45"/>
        <v>29001.250528396355</v>
      </c>
      <c r="N170">
        <f t="shared" si="46"/>
        <v>43788.686349386582</v>
      </c>
      <c r="O170">
        <f>IF(J170&lt;=0,0,MIN(MAX(0,J170-N170),SUMIFS('Loan Prepayment'!$B$12:$B$16,'Loan Prepayment'!$A$12:$A$16,I170)+0))</f>
        <v>0</v>
      </c>
      <c r="P170">
        <f t="shared" si="47"/>
        <v>4050505.5058948053</v>
      </c>
      <c r="Q170">
        <v>169</v>
      </c>
      <c r="R170">
        <f t="shared" si="60"/>
        <v>4881339.0650810786</v>
      </c>
      <c r="S170" s="78">
        <f>'Loan Prepayment'!$B$6</f>
        <v>8.5</v>
      </c>
      <c r="T170">
        <f>IF(R170&lt;=0,0,MIN(IF(AND('Loan Prepayment'!$E$15="Reduce EMI",W169&gt;0),-PMT(S170/1200,MAX(1,'Loan Prepayment'!$B$7*12-Q170+1),R170),T169),R170+U170))</f>
        <v>86782.323336553396</v>
      </c>
      <c r="U170">
        <f t="shared" si="48"/>
        <v>34576.151710990969</v>
      </c>
      <c r="V170">
        <f t="shared" si="49"/>
        <v>52206.171625562427</v>
      </c>
      <c r="W170">
        <f>IF(R170&lt;=0,0,MIN(MAX(0,R170-V170),0+IF(AND(Q170&gt;='Loan Prepayment'!$B$9,Q170&lt;='Loan Prepayment'!$E$16),'Loan Prepayment'!$B$8,0)))</f>
        <v>0</v>
      </c>
      <c r="X170">
        <f t="shared" si="50"/>
        <v>4829132.8934555165</v>
      </c>
      <c r="Y170">
        <v>169</v>
      </c>
      <c r="Z170">
        <f t="shared" si="61"/>
        <v>3943611.4011916295</v>
      </c>
      <c r="AA170">
        <f>IF(Y170&gt;='Loan Prepayment'!$E$11,'Loan Prepayment'!$E$12,'Loan Prepayment'!$B$6)</f>
        <v>7.5</v>
      </c>
      <c r="AB170">
        <f>IF(Z170&lt;=0,0,MIN(IF(Y170='Loan Prepayment'!$E$11,IF('Loan Prepayment'!$E$13="Keep tenure, recalculate EMI",-PMT(AA170/1200,MAX(1,'Loan Prepayment'!$B$7*12-Y170+1),Z170),AB169),AB169),Z170+AC170))</f>
        <v>86782.323336553396</v>
      </c>
      <c r="AC170">
        <f t="shared" si="51"/>
        <v>24647.571257447686</v>
      </c>
      <c r="AD170">
        <f t="shared" si="52"/>
        <v>62134.75207910571</v>
      </c>
      <c r="AE170">
        <f t="shared" si="53"/>
        <v>0</v>
      </c>
      <c r="AF170">
        <f t="shared" si="54"/>
        <v>3881476.6491125235</v>
      </c>
      <c r="AG170">
        <v>169</v>
      </c>
      <c r="AH170">
        <f t="shared" si="62"/>
        <v>2551551.1206965167</v>
      </c>
      <c r="AI170">
        <f>IF(AG170&gt;='Loan Prepayment'!$E$11,'Loan Prepayment'!$E$12,'Loan Prepayment'!$B$6)</f>
        <v>7.5</v>
      </c>
      <c r="AJ170">
        <f>IF(AH170&lt;=0,0,MIN(IF(AG170='Loan Prepayment'!$E$11,IF('Loan Prepayment'!$E$13="Keep tenure, recalculate EMI",-PMT(AI170/1200,MAX(1,'Loan Prepayment'!$B$7*12-AG170+1),AH170),AJ169),IF(AND('Loan Prepayment'!$E$15="Reduce EMI",AM169&gt;0),-PMT(AI170/1200,MAX(1,'Loan Prepayment'!$B$7*12-AG170+1),AH170),AJ169)),AH170+AK170))</f>
        <v>77713.634667410894</v>
      </c>
      <c r="AK170">
        <f t="shared" si="55"/>
        <v>15947.194504353231</v>
      </c>
      <c r="AL170">
        <f t="shared" si="56"/>
        <v>61766.440163057661</v>
      </c>
      <c r="AM170">
        <f>IF(AH170&lt;=0,0,MIN(MAX(0,AH170-AL170),SUMIFS('Loan Prepayment'!$B$12:$B$16,'Loan Prepayment'!$A$12:$A$16,AG170)+IF(AND(AG170&gt;='Loan Prepayment'!$B$9,AG170&lt;='Loan Prepayment'!$E$16),'Loan Prepayment'!$B$8,0)))</f>
        <v>0</v>
      </c>
      <c r="AN170">
        <f t="shared" si="57"/>
        <v>2489784.6805334589</v>
      </c>
    </row>
    <row r="171" spans="1:40" x14ac:dyDescent="0.35">
      <c r="A171">
        <v>170</v>
      </c>
      <c r="B171">
        <f t="shared" si="58"/>
        <v>4829132.8934555165</v>
      </c>
      <c r="C171" s="78">
        <f>'Loan Prepayment'!$B$6</f>
        <v>8.5</v>
      </c>
      <c r="D171">
        <f>IF(B171&lt;=0,0,MIN(-PMT('Loan Prepayment'!$B$6/1200,'Loan Prepayment'!$B$7*12,'Loan Prepayment'!$B$5),B171+E171))</f>
        <v>86782.323336553396</v>
      </c>
      <c r="E171">
        <f t="shared" si="42"/>
        <v>34206.357995309911</v>
      </c>
      <c r="F171">
        <f t="shared" si="43"/>
        <v>52575.965341243485</v>
      </c>
      <c r="G171">
        <v>0</v>
      </c>
      <c r="H171">
        <f t="shared" si="44"/>
        <v>4776556.9281142727</v>
      </c>
      <c r="I171">
        <v>170</v>
      </c>
      <c r="J171">
        <f t="shared" si="59"/>
        <v>4050505.5058948053</v>
      </c>
      <c r="K171" s="78">
        <f>'Loan Prepayment'!$B$6</f>
        <v>8.5</v>
      </c>
      <c r="L171">
        <f>IF(J171&lt;=0,0,MIN(IF(AND('Loan Prepayment'!$E$15="Reduce EMI",O170&gt;0),-PMT(K171/1200,MAX(1,'Loan Prepayment'!$B$7*12-I171+1),J171),L170),J171+M171))</f>
        <v>72789.936877782937</v>
      </c>
      <c r="M171">
        <f t="shared" si="45"/>
        <v>28691.080666754871</v>
      </c>
      <c r="N171">
        <f t="shared" si="46"/>
        <v>44098.856211028062</v>
      </c>
      <c r="O171">
        <f>IF(J171&lt;=0,0,MIN(MAX(0,J171-N171),SUMIFS('Loan Prepayment'!$B$12:$B$16,'Loan Prepayment'!$A$12:$A$16,I171)+0))</f>
        <v>0</v>
      </c>
      <c r="P171">
        <f t="shared" si="47"/>
        <v>4006406.6496837772</v>
      </c>
      <c r="Q171">
        <v>170</v>
      </c>
      <c r="R171">
        <f t="shared" si="60"/>
        <v>4829132.8934555165</v>
      </c>
      <c r="S171" s="78">
        <f>'Loan Prepayment'!$B$6</f>
        <v>8.5</v>
      </c>
      <c r="T171">
        <f>IF(R171&lt;=0,0,MIN(IF(AND('Loan Prepayment'!$E$15="Reduce EMI",W170&gt;0),-PMT(S171/1200,MAX(1,'Loan Prepayment'!$B$7*12-Q171+1),R171),T170),R171+U171))</f>
        <v>86782.323336553396</v>
      </c>
      <c r="U171">
        <f t="shared" si="48"/>
        <v>34206.357995309911</v>
      </c>
      <c r="V171">
        <f t="shared" si="49"/>
        <v>52575.965341243485</v>
      </c>
      <c r="W171">
        <f>IF(R171&lt;=0,0,MIN(MAX(0,R171-V171),0+IF(AND(Q171&gt;='Loan Prepayment'!$B$9,Q171&lt;='Loan Prepayment'!$E$16),'Loan Prepayment'!$B$8,0)))</f>
        <v>0</v>
      </c>
      <c r="X171">
        <f t="shared" si="50"/>
        <v>4776556.9281142727</v>
      </c>
      <c r="Y171">
        <v>170</v>
      </c>
      <c r="Z171">
        <f t="shared" si="61"/>
        <v>3881476.6491125235</v>
      </c>
      <c r="AA171">
        <f>IF(Y171&gt;='Loan Prepayment'!$E$11,'Loan Prepayment'!$E$12,'Loan Prepayment'!$B$6)</f>
        <v>7.5</v>
      </c>
      <c r="AB171">
        <f>IF(Z171&lt;=0,0,MIN(IF(Y171='Loan Prepayment'!$E$11,IF('Loan Prepayment'!$E$13="Keep tenure, recalculate EMI",-PMT(AA171/1200,MAX(1,'Loan Prepayment'!$B$7*12-Y171+1),Z171),AB170),AB170),Z171+AC171))</f>
        <v>86782.323336553396</v>
      </c>
      <c r="AC171">
        <f t="shared" si="51"/>
        <v>24259.229056953274</v>
      </c>
      <c r="AD171">
        <f t="shared" si="52"/>
        <v>62523.094279600118</v>
      </c>
      <c r="AE171">
        <f t="shared" si="53"/>
        <v>0</v>
      </c>
      <c r="AF171">
        <f t="shared" si="54"/>
        <v>3818953.5548329232</v>
      </c>
      <c r="AG171">
        <v>170</v>
      </c>
      <c r="AH171">
        <f t="shared" si="62"/>
        <v>2489784.6805334589</v>
      </c>
      <c r="AI171">
        <f>IF(AG171&gt;='Loan Prepayment'!$E$11,'Loan Prepayment'!$E$12,'Loan Prepayment'!$B$6)</f>
        <v>7.5</v>
      </c>
      <c r="AJ171">
        <f>IF(AH171&lt;=0,0,MIN(IF(AG171='Loan Prepayment'!$E$11,IF('Loan Prepayment'!$E$13="Keep tenure, recalculate EMI",-PMT(AI171/1200,MAX(1,'Loan Prepayment'!$B$7*12-AG171+1),AH171),AJ170),IF(AND('Loan Prepayment'!$E$15="Reduce EMI",AM170&gt;0),-PMT(AI171/1200,MAX(1,'Loan Prepayment'!$B$7*12-AG171+1),AH171),AJ170)),AH171+AK171))</f>
        <v>77713.634667410894</v>
      </c>
      <c r="AK171">
        <f t="shared" si="55"/>
        <v>15561.154253334118</v>
      </c>
      <c r="AL171">
        <f t="shared" si="56"/>
        <v>62152.480414076774</v>
      </c>
      <c r="AM171">
        <f>IF(AH171&lt;=0,0,MIN(MAX(0,AH171-AL171),SUMIFS('Loan Prepayment'!$B$12:$B$16,'Loan Prepayment'!$A$12:$A$16,AG171)+IF(AND(AG171&gt;='Loan Prepayment'!$B$9,AG171&lt;='Loan Prepayment'!$E$16),'Loan Prepayment'!$B$8,0)))</f>
        <v>0</v>
      </c>
      <c r="AN171">
        <f t="shared" si="57"/>
        <v>2427632.2001193822</v>
      </c>
    </row>
    <row r="172" spans="1:40" x14ac:dyDescent="0.35">
      <c r="A172">
        <v>171</v>
      </c>
      <c r="B172">
        <f t="shared" si="58"/>
        <v>4776556.9281142727</v>
      </c>
      <c r="C172" s="78">
        <f>'Loan Prepayment'!$B$6</f>
        <v>8.5</v>
      </c>
      <c r="D172">
        <f>IF(B172&lt;=0,0,MIN(-PMT('Loan Prepayment'!$B$6/1200,'Loan Prepayment'!$B$7*12,'Loan Prepayment'!$B$5),B172+E172))</f>
        <v>86782.323336553396</v>
      </c>
      <c r="E172">
        <f t="shared" si="42"/>
        <v>33833.944907476092</v>
      </c>
      <c r="F172">
        <f t="shared" si="43"/>
        <v>52948.378429077304</v>
      </c>
      <c r="G172">
        <v>0</v>
      </c>
      <c r="H172">
        <f t="shared" si="44"/>
        <v>4723608.5496851951</v>
      </c>
      <c r="I172">
        <v>171</v>
      </c>
      <c r="J172">
        <f t="shared" si="59"/>
        <v>4006406.6496837772</v>
      </c>
      <c r="K172" s="78">
        <f>'Loan Prepayment'!$B$6</f>
        <v>8.5</v>
      </c>
      <c r="L172">
        <f>IF(J172&lt;=0,0,MIN(IF(AND('Loan Prepayment'!$E$15="Reduce EMI",O171&gt;0),-PMT(K172/1200,MAX(1,'Loan Prepayment'!$B$7*12-I172+1),J172),L171),J172+M172))</f>
        <v>72789.936877782937</v>
      </c>
      <c r="M172">
        <f t="shared" si="45"/>
        <v>28378.713768593421</v>
      </c>
      <c r="N172">
        <f t="shared" si="46"/>
        <v>44411.223109189516</v>
      </c>
      <c r="O172">
        <f>IF(J172&lt;=0,0,MIN(MAX(0,J172-N172),SUMIFS('Loan Prepayment'!$B$12:$B$16,'Loan Prepayment'!$A$12:$A$16,I172)+0))</f>
        <v>0</v>
      </c>
      <c r="P172">
        <f t="shared" si="47"/>
        <v>3961995.4265745878</v>
      </c>
      <c r="Q172">
        <v>171</v>
      </c>
      <c r="R172">
        <f t="shared" si="60"/>
        <v>4776556.9281142727</v>
      </c>
      <c r="S172" s="78">
        <f>'Loan Prepayment'!$B$6</f>
        <v>8.5</v>
      </c>
      <c r="T172">
        <f>IF(R172&lt;=0,0,MIN(IF(AND('Loan Prepayment'!$E$15="Reduce EMI",W171&gt;0),-PMT(S172/1200,MAX(1,'Loan Prepayment'!$B$7*12-Q172+1),R172),T171),R172+U172))</f>
        <v>86782.323336553396</v>
      </c>
      <c r="U172">
        <f t="shared" si="48"/>
        <v>33833.944907476092</v>
      </c>
      <c r="V172">
        <f t="shared" si="49"/>
        <v>52948.378429077304</v>
      </c>
      <c r="W172">
        <f>IF(R172&lt;=0,0,MIN(MAX(0,R172-V172),0+IF(AND(Q172&gt;='Loan Prepayment'!$B$9,Q172&lt;='Loan Prepayment'!$E$16),'Loan Prepayment'!$B$8,0)))</f>
        <v>0</v>
      </c>
      <c r="X172">
        <f t="shared" si="50"/>
        <v>4723608.5496851951</v>
      </c>
      <c r="Y172">
        <v>171</v>
      </c>
      <c r="Z172">
        <f t="shared" si="61"/>
        <v>3818953.5548329232</v>
      </c>
      <c r="AA172">
        <f>IF(Y172&gt;='Loan Prepayment'!$E$11,'Loan Prepayment'!$E$12,'Loan Prepayment'!$B$6)</f>
        <v>7.5</v>
      </c>
      <c r="AB172">
        <f>IF(Z172&lt;=0,0,MIN(IF(Y172='Loan Prepayment'!$E$11,IF('Loan Prepayment'!$E$13="Keep tenure, recalculate EMI",-PMT(AA172/1200,MAX(1,'Loan Prepayment'!$B$7*12-Y172+1),Z172),AB171),AB171),Z172+AC172))</f>
        <v>86782.323336553396</v>
      </c>
      <c r="AC172">
        <f t="shared" si="51"/>
        <v>23868.459717705773</v>
      </c>
      <c r="AD172">
        <f t="shared" si="52"/>
        <v>62913.863618847623</v>
      </c>
      <c r="AE172">
        <f t="shared" si="53"/>
        <v>0</v>
      </c>
      <c r="AF172">
        <f t="shared" si="54"/>
        <v>3756039.6912140758</v>
      </c>
      <c r="AG172">
        <v>171</v>
      </c>
      <c r="AH172">
        <f t="shared" si="62"/>
        <v>2427632.2001193822</v>
      </c>
      <c r="AI172">
        <f>IF(AG172&gt;='Loan Prepayment'!$E$11,'Loan Prepayment'!$E$12,'Loan Prepayment'!$B$6)</f>
        <v>7.5</v>
      </c>
      <c r="AJ172">
        <f>IF(AH172&lt;=0,0,MIN(IF(AG172='Loan Prepayment'!$E$11,IF('Loan Prepayment'!$E$13="Keep tenure, recalculate EMI",-PMT(AI172/1200,MAX(1,'Loan Prepayment'!$B$7*12-AG172+1),AH172),AJ171),IF(AND('Loan Prepayment'!$E$15="Reduce EMI",AM171&gt;0),-PMT(AI172/1200,MAX(1,'Loan Prepayment'!$B$7*12-AG172+1),AH172),AJ171)),AH172+AK172))</f>
        <v>77713.634667410894</v>
      </c>
      <c r="AK172">
        <f t="shared" si="55"/>
        <v>15172.701250746139</v>
      </c>
      <c r="AL172">
        <f t="shared" si="56"/>
        <v>62540.933416664753</v>
      </c>
      <c r="AM172">
        <f>IF(AH172&lt;=0,0,MIN(MAX(0,AH172-AL172),SUMIFS('Loan Prepayment'!$B$12:$B$16,'Loan Prepayment'!$A$12:$A$16,AG172)+IF(AND(AG172&gt;='Loan Prepayment'!$B$9,AG172&lt;='Loan Prepayment'!$E$16),'Loan Prepayment'!$B$8,0)))</f>
        <v>0</v>
      </c>
      <c r="AN172">
        <f t="shared" si="57"/>
        <v>2365091.2667027176</v>
      </c>
    </row>
    <row r="173" spans="1:40" x14ac:dyDescent="0.35">
      <c r="A173">
        <v>172</v>
      </c>
      <c r="B173">
        <f t="shared" si="58"/>
        <v>4723608.5496851951</v>
      </c>
      <c r="C173" s="78">
        <f>'Loan Prepayment'!$B$6</f>
        <v>8.5</v>
      </c>
      <c r="D173">
        <f>IF(B173&lt;=0,0,MIN(-PMT('Loan Prepayment'!$B$6/1200,'Loan Prepayment'!$B$7*12,'Loan Prepayment'!$B$5),B173+E173))</f>
        <v>86782.323336553396</v>
      </c>
      <c r="E173">
        <f t="shared" si="42"/>
        <v>33458.893893603468</v>
      </c>
      <c r="F173">
        <f t="shared" si="43"/>
        <v>53323.429442949928</v>
      </c>
      <c r="G173">
        <v>0</v>
      </c>
      <c r="H173">
        <f t="shared" si="44"/>
        <v>4670285.1202422455</v>
      </c>
      <c r="I173">
        <v>172</v>
      </c>
      <c r="J173">
        <f t="shared" si="59"/>
        <v>3961995.4265745878</v>
      </c>
      <c r="K173" s="78">
        <f>'Loan Prepayment'!$B$6</f>
        <v>8.5</v>
      </c>
      <c r="L173">
        <f>IF(J173&lt;=0,0,MIN(IF(AND('Loan Prepayment'!$E$15="Reduce EMI",O172&gt;0),-PMT(K173/1200,MAX(1,'Loan Prepayment'!$B$7*12-I173+1),J173),L172),J173+M173))</f>
        <v>72789.936877782937</v>
      </c>
      <c r="M173">
        <f t="shared" si="45"/>
        <v>28064.134271569998</v>
      </c>
      <c r="N173">
        <f t="shared" si="46"/>
        <v>44725.802606212936</v>
      </c>
      <c r="O173">
        <f>IF(J173&lt;=0,0,MIN(MAX(0,J173-N173),SUMIFS('Loan Prepayment'!$B$12:$B$16,'Loan Prepayment'!$A$12:$A$16,I173)+0))</f>
        <v>0</v>
      </c>
      <c r="P173">
        <f t="shared" si="47"/>
        <v>3917269.6239683749</v>
      </c>
      <c r="Q173">
        <v>172</v>
      </c>
      <c r="R173">
        <f t="shared" si="60"/>
        <v>4723608.5496851951</v>
      </c>
      <c r="S173" s="78">
        <f>'Loan Prepayment'!$B$6</f>
        <v>8.5</v>
      </c>
      <c r="T173">
        <f>IF(R173&lt;=0,0,MIN(IF(AND('Loan Prepayment'!$E$15="Reduce EMI",W172&gt;0),-PMT(S173/1200,MAX(1,'Loan Prepayment'!$B$7*12-Q173+1),R173),T172),R173+U173))</f>
        <v>86782.323336553396</v>
      </c>
      <c r="U173">
        <f t="shared" si="48"/>
        <v>33458.893893603468</v>
      </c>
      <c r="V173">
        <f t="shared" si="49"/>
        <v>53323.429442949928</v>
      </c>
      <c r="W173">
        <f>IF(R173&lt;=0,0,MIN(MAX(0,R173-V173),0+IF(AND(Q173&gt;='Loan Prepayment'!$B$9,Q173&lt;='Loan Prepayment'!$E$16),'Loan Prepayment'!$B$8,0)))</f>
        <v>0</v>
      </c>
      <c r="X173">
        <f t="shared" si="50"/>
        <v>4670285.1202422455</v>
      </c>
      <c r="Y173">
        <v>172</v>
      </c>
      <c r="Z173">
        <f t="shared" si="61"/>
        <v>3756039.6912140758</v>
      </c>
      <c r="AA173">
        <f>IF(Y173&gt;='Loan Prepayment'!$E$11,'Loan Prepayment'!$E$12,'Loan Prepayment'!$B$6)</f>
        <v>7.5</v>
      </c>
      <c r="AB173">
        <f>IF(Z173&lt;=0,0,MIN(IF(Y173='Loan Prepayment'!$E$11,IF('Loan Prepayment'!$E$13="Keep tenure, recalculate EMI",-PMT(AA173/1200,MAX(1,'Loan Prepayment'!$B$7*12-Y173+1),Z173),AB172),AB172),Z173+AC173))</f>
        <v>86782.323336553396</v>
      </c>
      <c r="AC173">
        <f t="shared" si="51"/>
        <v>23475.248070087971</v>
      </c>
      <c r="AD173">
        <f t="shared" si="52"/>
        <v>63307.075266465428</v>
      </c>
      <c r="AE173">
        <f t="shared" si="53"/>
        <v>0</v>
      </c>
      <c r="AF173">
        <f t="shared" si="54"/>
        <v>3692732.6159476102</v>
      </c>
      <c r="AG173">
        <v>172</v>
      </c>
      <c r="AH173">
        <f t="shared" si="62"/>
        <v>2365091.2667027176</v>
      </c>
      <c r="AI173">
        <f>IF(AG173&gt;='Loan Prepayment'!$E$11,'Loan Prepayment'!$E$12,'Loan Prepayment'!$B$6)</f>
        <v>7.5</v>
      </c>
      <c r="AJ173">
        <f>IF(AH173&lt;=0,0,MIN(IF(AG173='Loan Prepayment'!$E$11,IF('Loan Prepayment'!$E$13="Keep tenure, recalculate EMI",-PMT(AI173/1200,MAX(1,'Loan Prepayment'!$B$7*12-AG173+1),AH173),AJ172),IF(AND('Loan Prepayment'!$E$15="Reduce EMI",AM172&gt;0),-PMT(AI173/1200,MAX(1,'Loan Prepayment'!$B$7*12-AG173+1),AH173),AJ172)),AH173+AK173))</f>
        <v>77713.634667410894</v>
      </c>
      <c r="AK173">
        <f t="shared" si="55"/>
        <v>14781.820416891984</v>
      </c>
      <c r="AL173">
        <f t="shared" si="56"/>
        <v>62931.81425051891</v>
      </c>
      <c r="AM173">
        <f>IF(AH173&lt;=0,0,MIN(MAX(0,AH173-AL173),SUMIFS('Loan Prepayment'!$B$12:$B$16,'Loan Prepayment'!$A$12:$A$16,AG173)+IF(AND(AG173&gt;='Loan Prepayment'!$B$9,AG173&lt;='Loan Prepayment'!$E$16),'Loan Prepayment'!$B$8,0)))</f>
        <v>0</v>
      </c>
      <c r="AN173">
        <f t="shared" si="57"/>
        <v>2302159.4524521986</v>
      </c>
    </row>
    <row r="174" spans="1:40" x14ac:dyDescent="0.35">
      <c r="A174">
        <v>173</v>
      </c>
      <c r="B174">
        <f t="shared" si="58"/>
        <v>4670285.1202422455</v>
      </c>
      <c r="C174" s="78">
        <f>'Loan Prepayment'!$B$6</f>
        <v>8.5</v>
      </c>
      <c r="D174">
        <f>IF(B174&lt;=0,0,MIN(-PMT('Loan Prepayment'!$B$6/1200,'Loan Prepayment'!$B$7*12,'Loan Prepayment'!$B$5),B174+E174))</f>
        <v>86782.323336553396</v>
      </c>
      <c r="E174">
        <f t="shared" si="42"/>
        <v>33081.186268382568</v>
      </c>
      <c r="F174">
        <f t="shared" si="43"/>
        <v>53701.137068170829</v>
      </c>
      <c r="G174">
        <v>0</v>
      </c>
      <c r="H174">
        <f t="shared" si="44"/>
        <v>4616583.9831740744</v>
      </c>
      <c r="I174">
        <v>173</v>
      </c>
      <c r="J174">
        <f t="shared" si="59"/>
        <v>3917269.6239683749</v>
      </c>
      <c r="K174" s="78">
        <f>'Loan Prepayment'!$B$6</f>
        <v>8.5</v>
      </c>
      <c r="L174">
        <f>IF(J174&lt;=0,0,MIN(IF(AND('Loan Prepayment'!$E$15="Reduce EMI",O173&gt;0),-PMT(K174/1200,MAX(1,'Loan Prepayment'!$B$7*12-I174+1),J174),L173),J174+M174))</f>
        <v>72789.936877782937</v>
      </c>
      <c r="M174">
        <f t="shared" si="45"/>
        <v>27747.326503109325</v>
      </c>
      <c r="N174">
        <f t="shared" si="46"/>
        <v>45042.610374673612</v>
      </c>
      <c r="O174">
        <f>IF(J174&lt;=0,0,MIN(MAX(0,J174-N174),SUMIFS('Loan Prepayment'!$B$12:$B$16,'Loan Prepayment'!$A$12:$A$16,I174)+0))</f>
        <v>0</v>
      </c>
      <c r="P174">
        <f t="shared" si="47"/>
        <v>3872227.0135937012</v>
      </c>
      <c r="Q174">
        <v>173</v>
      </c>
      <c r="R174">
        <f t="shared" si="60"/>
        <v>4670285.1202422455</v>
      </c>
      <c r="S174" s="78">
        <f>'Loan Prepayment'!$B$6</f>
        <v>8.5</v>
      </c>
      <c r="T174">
        <f>IF(R174&lt;=0,0,MIN(IF(AND('Loan Prepayment'!$E$15="Reduce EMI",W173&gt;0),-PMT(S174/1200,MAX(1,'Loan Prepayment'!$B$7*12-Q174+1),R174),T173),R174+U174))</f>
        <v>86782.323336553396</v>
      </c>
      <c r="U174">
        <f t="shared" si="48"/>
        <v>33081.186268382568</v>
      </c>
      <c r="V174">
        <f t="shared" si="49"/>
        <v>53701.137068170829</v>
      </c>
      <c r="W174">
        <f>IF(R174&lt;=0,0,MIN(MAX(0,R174-V174),0+IF(AND(Q174&gt;='Loan Prepayment'!$B$9,Q174&lt;='Loan Prepayment'!$E$16),'Loan Prepayment'!$B$8,0)))</f>
        <v>0</v>
      </c>
      <c r="X174">
        <f t="shared" si="50"/>
        <v>4616583.9831740744</v>
      </c>
      <c r="Y174">
        <v>173</v>
      </c>
      <c r="Z174">
        <f t="shared" si="61"/>
        <v>3692732.6159476102</v>
      </c>
      <c r="AA174">
        <f>IF(Y174&gt;='Loan Prepayment'!$E$11,'Loan Prepayment'!$E$12,'Loan Prepayment'!$B$6)</f>
        <v>7.5</v>
      </c>
      <c r="AB174">
        <f>IF(Z174&lt;=0,0,MIN(IF(Y174='Loan Prepayment'!$E$11,IF('Loan Prepayment'!$E$13="Keep tenure, recalculate EMI",-PMT(AA174/1200,MAX(1,'Loan Prepayment'!$B$7*12-Y174+1),Z174),AB173),AB173),Z174+AC174))</f>
        <v>86782.323336553396</v>
      </c>
      <c r="AC174">
        <f t="shared" si="51"/>
        <v>23079.578849672562</v>
      </c>
      <c r="AD174">
        <f t="shared" si="52"/>
        <v>63702.744486880838</v>
      </c>
      <c r="AE174">
        <f t="shared" si="53"/>
        <v>0</v>
      </c>
      <c r="AF174">
        <f t="shared" si="54"/>
        <v>3629029.8714607293</v>
      </c>
      <c r="AG174">
        <v>173</v>
      </c>
      <c r="AH174">
        <f t="shared" si="62"/>
        <v>2302159.4524521986</v>
      </c>
      <c r="AI174">
        <f>IF(AG174&gt;='Loan Prepayment'!$E$11,'Loan Prepayment'!$E$12,'Loan Prepayment'!$B$6)</f>
        <v>7.5</v>
      </c>
      <c r="AJ174">
        <f>IF(AH174&lt;=0,0,MIN(IF(AG174='Loan Prepayment'!$E$11,IF('Loan Prepayment'!$E$13="Keep tenure, recalculate EMI",-PMT(AI174/1200,MAX(1,'Loan Prepayment'!$B$7*12-AG174+1),AH174),AJ173),IF(AND('Loan Prepayment'!$E$15="Reduce EMI",AM173&gt;0),-PMT(AI174/1200,MAX(1,'Loan Prepayment'!$B$7*12-AG174+1),AH174),AJ173)),AH174+AK174))</f>
        <v>77713.634667410894</v>
      </c>
      <c r="AK174">
        <f t="shared" si="55"/>
        <v>14388.496577826241</v>
      </c>
      <c r="AL174">
        <f t="shared" si="56"/>
        <v>63325.138089584652</v>
      </c>
      <c r="AM174">
        <f>IF(AH174&lt;=0,0,MIN(MAX(0,AH174-AL174),SUMIFS('Loan Prepayment'!$B$12:$B$16,'Loan Prepayment'!$A$12:$A$16,AG174)+IF(AND(AG174&gt;='Loan Prepayment'!$B$9,AG174&lt;='Loan Prepayment'!$E$16),'Loan Prepayment'!$B$8,0)))</f>
        <v>0</v>
      </c>
      <c r="AN174">
        <f t="shared" si="57"/>
        <v>2238834.3143626139</v>
      </c>
    </row>
    <row r="175" spans="1:40" x14ac:dyDescent="0.35">
      <c r="A175">
        <v>174</v>
      </c>
      <c r="B175">
        <f t="shared" si="58"/>
        <v>4616583.9831740744</v>
      </c>
      <c r="C175" s="78">
        <f>'Loan Prepayment'!$B$6</f>
        <v>8.5</v>
      </c>
      <c r="D175">
        <f>IF(B175&lt;=0,0,MIN(-PMT('Loan Prepayment'!$B$6/1200,'Loan Prepayment'!$B$7*12,'Loan Prepayment'!$B$5),B175+E175))</f>
        <v>86782.323336553396</v>
      </c>
      <c r="E175">
        <f t="shared" si="42"/>
        <v>32700.803214149691</v>
      </c>
      <c r="F175">
        <f t="shared" si="43"/>
        <v>54081.520122403701</v>
      </c>
      <c r="G175">
        <v>0</v>
      </c>
      <c r="H175">
        <f t="shared" si="44"/>
        <v>4562502.4630516712</v>
      </c>
      <c r="I175">
        <v>174</v>
      </c>
      <c r="J175">
        <f t="shared" si="59"/>
        <v>3872227.0135937012</v>
      </c>
      <c r="K175" s="78">
        <f>'Loan Prepayment'!$B$6</f>
        <v>8.5</v>
      </c>
      <c r="L175">
        <f>IF(J175&lt;=0,0,MIN(IF(AND('Loan Prepayment'!$E$15="Reduce EMI",O174&gt;0),-PMT(K175/1200,MAX(1,'Loan Prepayment'!$B$7*12-I175+1),J175),L174),J175+M175))</f>
        <v>72789.936877782937</v>
      </c>
      <c r="M175">
        <f t="shared" si="45"/>
        <v>27428.274679622053</v>
      </c>
      <c r="N175">
        <f t="shared" si="46"/>
        <v>45361.662198160884</v>
      </c>
      <c r="O175">
        <f>IF(J175&lt;=0,0,MIN(MAX(0,J175-N175),SUMIFS('Loan Prepayment'!$B$12:$B$16,'Loan Prepayment'!$A$12:$A$16,I175)+0))</f>
        <v>0</v>
      </c>
      <c r="P175">
        <f t="shared" si="47"/>
        <v>3826865.3513955404</v>
      </c>
      <c r="Q175">
        <v>174</v>
      </c>
      <c r="R175">
        <f t="shared" si="60"/>
        <v>4616583.9831740744</v>
      </c>
      <c r="S175" s="78">
        <f>'Loan Prepayment'!$B$6</f>
        <v>8.5</v>
      </c>
      <c r="T175">
        <f>IF(R175&lt;=0,0,MIN(IF(AND('Loan Prepayment'!$E$15="Reduce EMI",W174&gt;0),-PMT(S175/1200,MAX(1,'Loan Prepayment'!$B$7*12-Q175+1),R175),T174),R175+U175))</f>
        <v>86782.323336553396</v>
      </c>
      <c r="U175">
        <f t="shared" si="48"/>
        <v>32700.803214149691</v>
      </c>
      <c r="V175">
        <f t="shared" si="49"/>
        <v>54081.520122403701</v>
      </c>
      <c r="W175">
        <f>IF(R175&lt;=0,0,MIN(MAX(0,R175-V175),0+IF(AND(Q175&gt;='Loan Prepayment'!$B$9,Q175&lt;='Loan Prepayment'!$E$16),'Loan Prepayment'!$B$8,0)))</f>
        <v>0</v>
      </c>
      <c r="X175">
        <f t="shared" si="50"/>
        <v>4562502.4630516712</v>
      </c>
      <c r="Y175">
        <v>174</v>
      </c>
      <c r="Z175">
        <f t="shared" si="61"/>
        <v>3629029.8714607293</v>
      </c>
      <c r="AA175">
        <f>IF(Y175&gt;='Loan Prepayment'!$E$11,'Loan Prepayment'!$E$12,'Loan Prepayment'!$B$6)</f>
        <v>7.5</v>
      </c>
      <c r="AB175">
        <f>IF(Z175&lt;=0,0,MIN(IF(Y175='Loan Prepayment'!$E$11,IF('Loan Prepayment'!$E$13="Keep tenure, recalculate EMI",-PMT(AA175/1200,MAX(1,'Loan Prepayment'!$B$7*12-Y175+1),Z175),AB174),AB174),Z175+AC175))</f>
        <v>86782.323336553396</v>
      </c>
      <c r="AC175">
        <f t="shared" si="51"/>
        <v>22681.43669662956</v>
      </c>
      <c r="AD175">
        <f t="shared" si="52"/>
        <v>64100.886639923832</v>
      </c>
      <c r="AE175">
        <f t="shared" si="53"/>
        <v>0</v>
      </c>
      <c r="AF175">
        <f t="shared" si="54"/>
        <v>3564928.9848208055</v>
      </c>
      <c r="AG175">
        <v>174</v>
      </c>
      <c r="AH175">
        <f t="shared" si="62"/>
        <v>2238834.3143626139</v>
      </c>
      <c r="AI175">
        <f>IF(AG175&gt;='Loan Prepayment'!$E$11,'Loan Prepayment'!$E$12,'Loan Prepayment'!$B$6)</f>
        <v>7.5</v>
      </c>
      <c r="AJ175">
        <f>IF(AH175&lt;=0,0,MIN(IF(AG175='Loan Prepayment'!$E$11,IF('Loan Prepayment'!$E$13="Keep tenure, recalculate EMI",-PMT(AI175/1200,MAX(1,'Loan Prepayment'!$B$7*12-AG175+1),AH175),AJ174),IF(AND('Loan Prepayment'!$E$15="Reduce EMI",AM174&gt;0),-PMT(AI175/1200,MAX(1,'Loan Prepayment'!$B$7*12-AG175+1),AH175),AJ174)),AH175+AK175))</f>
        <v>77713.634667410894</v>
      </c>
      <c r="AK175">
        <f t="shared" si="55"/>
        <v>13992.714464766337</v>
      </c>
      <c r="AL175">
        <f t="shared" si="56"/>
        <v>63720.920202644556</v>
      </c>
      <c r="AM175">
        <f>IF(AH175&lt;=0,0,MIN(MAX(0,AH175-AL175),SUMIFS('Loan Prepayment'!$B$12:$B$16,'Loan Prepayment'!$A$12:$A$16,AG175)+IF(AND(AG175&gt;='Loan Prepayment'!$B$9,AG175&lt;='Loan Prepayment'!$E$16),'Loan Prepayment'!$B$8,0)))</f>
        <v>0</v>
      </c>
      <c r="AN175">
        <f t="shared" si="57"/>
        <v>2175113.3941599694</v>
      </c>
    </row>
    <row r="176" spans="1:40" x14ac:dyDescent="0.35">
      <c r="A176">
        <v>175</v>
      </c>
      <c r="B176">
        <f t="shared" si="58"/>
        <v>4562502.4630516712</v>
      </c>
      <c r="C176" s="78">
        <f>'Loan Prepayment'!$B$6</f>
        <v>8.5</v>
      </c>
      <c r="D176">
        <f>IF(B176&lt;=0,0,MIN(-PMT('Loan Prepayment'!$B$6/1200,'Loan Prepayment'!$B$7*12,'Loan Prepayment'!$B$5),B176+E176))</f>
        <v>86782.323336553396</v>
      </c>
      <c r="E176">
        <f t="shared" si="42"/>
        <v>32317.725779949338</v>
      </c>
      <c r="F176">
        <f t="shared" si="43"/>
        <v>54464.597556604058</v>
      </c>
      <c r="G176">
        <v>0</v>
      </c>
      <c r="H176">
        <f t="shared" si="44"/>
        <v>4508037.8654950671</v>
      </c>
      <c r="I176">
        <v>175</v>
      </c>
      <c r="J176">
        <f t="shared" si="59"/>
        <v>3826865.3513955404</v>
      </c>
      <c r="K176" s="78">
        <f>'Loan Prepayment'!$B$6</f>
        <v>8.5</v>
      </c>
      <c r="L176">
        <f>IF(J176&lt;=0,0,MIN(IF(AND('Loan Prepayment'!$E$15="Reduce EMI",O175&gt;0),-PMT(K176/1200,MAX(1,'Loan Prepayment'!$B$7*12-I176+1),J176),L175),J176+M176))</f>
        <v>72789.936877782937</v>
      </c>
      <c r="M176">
        <f t="shared" si="45"/>
        <v>27106.96290571841</v>
      </c>
      <c r="N176">
        <f t="shared" si="46"/>
        <v>45682.97397206453</v>
      </c>
      <c r="O176">
        <f>IF(J176&lt;=0,0,MIN(MAX(0,J176-N176),SUMIFS('Loan Prepayment'!$B$12:$B$16,'Loan Prepayment'!$A$12:$A$16,I176)+0))</f>
        <v>0</v>
      </c>
      <c r="P176">
        <f t="shared" si="47"/>
        <v>3781182.377423476</v>
      </c>
      <c r="Q176">
        <v>175</v>
      </c>
      <c r="R176">
        <f t="shared" si="60"/>
        <v>4562502.4630516712</v>
      </c>
      <c r="S176" s="78">
        <f>'Loan Prepayment'!$B$6</f>
        <v>8.5</v>
      </c>
      <c r="T176">
        <f>IF(R176&lt;=0,0,MIN(IF(AND('Loan Prepayment'!$E$15="Reduce EMI",W175&gt;0),-PMT(S176/1200,MAX(1,'Loan Prepayment'!$B$7*12-Q176+1),R176),T175),R176+U176))</f>
        <v>86782.323336553396</v>
      </c>
      <c r="U176">
        <f t="shared" si="48"/>
        <v>32317.725779949338</v>
      </c>
      <c r="V176">
        <f t="shared" si="49"/>
        <v>54464.597556604058</v>
      </c>
      <c r="W176">
        <f>IF(R176&lt;=0,0,MIN(MAX(0,R176-V176),0+IF(AND(Q176&gt;='Loan Prepayment'!$B$9,Q176&lt;='Loan Prepayment'!$E$16),'Loan Prepayment'!$B$8,0)))</f>
        <v>0</v>
      </c>
      <c r="X176">
        <f t="shared" si="50"/>
        <v>4508037.8654950671</v>
      </c>
      <c r="Y176">
        <v>175</v>
      </c>
      <c r="Z176">
        <f t="shared" si="61"/>
        <v>3564928.9848208055</v>
      </c>
      <c r="AA176">
        <f>IF(Y176&gt;='Loan Prepayment'!$E$11,'Loan Prepayment'!$E$12,'Loan Prepayment'!$B$6)</f>
        <v>7.5</v>
      </c>
      <c r="AB176">
        <f>IF(Z176&lt;=0,0,MIN(IF(Y176='Loan Prepayment'!$E$11,IF('Loan Prepayment'!$E$13="Keep tenure, recalculate EMI",-PMT(AA176/1200,MAX(1,'Loan Prepayment'!$B$7*12-Y176+1),Z176),AB175),AB175),Z176+AC176))</f>
        <v>86782.323336553396</v>
      </c>
      <c r="AC176">
        <f t="shared" si="51"/>
        <v>22280.806155130034</v>
      </c>
      <c r="AD176">
        <f t="shared" si="52"/>
        <v>64501.517181423362</v>
      </c>
      <c r="AE176">
        <f t="shared" si="53"/>
        <v>0</v>
      </c>
      <c r="AF176">
        <f t="shared" si="54"/>
        <v>3500427.467639382</v>
      </c>
      <c r="AG176">
        <v>175</v>
      </c>
      <c r="AH176">
        <f t="shared" si="62"/>
        <v>2175113.3941599694</v>
      </c>
      <c r="AI176">
        <f>IF(AG176&gt;='Loan Prepayment'!$E$11,'Loan Prepayment'!$E$12,'Loan Prepayment'!$B$6)</f>
        <v>7.5</v>
      </c>
      <c r="AJ176">
        <f>IF(AH176&lt;=0,0,MIN(IF(AG176='Loan Prepayment'!$E$11,IF('Loan Prepayment'!$E$13="Keep tenure, recalculate EMI",-PMT(AI176/1200,MAX(1,'Loan Prepayment'!$B$7*12-AG176+1),AH176),AJ175),IF(AND('Loan Prepayment'!$E$15="Reduce EMI",AM175&gt;0),-PMT(AI176/1200,MAX(1,'Loan Prepayment'!$B$7*12-AG176+1),AH176),AJ175)),AH176+AK176))</f>
        <v>77713.634667410894</v>
      </c>
      <c r="AK176">
        <f t="shared" si="55"/>
        <v>13594.458713499809</v>
      </c>
      <c r="AL176">
        <f t="shared" si="56"/>
        <v>64119.175953911086</v>
      </c>
      <c r="AM176">
        <f>IF(AH176&lt;=0,0,MIN(MAX(0,AH176-AL176),SUMIFS('Loan Prepayment'!$B$12:$B$16,'Loan Prepayment'!$A$12:$A$16,AG176)+IF(AND(AG176&gt;='Loan Prepayment'!$B$9,AG176&lt;='Loan Prepayment'!$E$16),'Loan Prepayment'!$B$8,0)))</f>
        <v>0</v>
      </c>
      <c r="AN176">
        <f t="shared" si="57"/>
        <v>2110994.2182060583</v>
      </c>
    </row>
    <row r="177" spans="1:40" x14ac:dyDescent="0.35">
      <c r="A177">
        <v>176</v>
      </c>
      <c r="B177">
        <f t="shared" si="58"/>
        <v>4508037.8654950671</v>
      </c>
      <c r="C177" s="78">
        <f>'Loan Prepayment'!$B$6</f>
        <v>8.5</v>
      </c>
      <c r="D177">
        <f>IF(B177&lt;=0,0,MIN(-PMT('Loan Prepayment'!$B$6/1200,'Loan Prepayment'!$B$7*12,'Loan Prepayment'!$B$5),B177+E177))</f>
        <v>86782.323336553396</v>
      </c>
      <c r="E177">
        <f t="shared" si="42"/>
        <v>31931.934880590059</v>
      </c>
      <c r="F177">
        <f t="shared" si="43"/>
        <v>54850.388455963337</v>
      </c>
      <c r="G177">
        <v>0</v>
      </c>
      <c r="H177">
        <f t="shared" si="44"/>
        <v>4453187.4770391034</v>
      </c>
      <c r="I177">
        <v>176</v>
      </c>
      <c r="J177">
        <f t="shared" si="59"/>
        <v>3781182.377423476</v>
      </c>
      <c r="K177" s="78">
        <f>'Loan Prepayment'!$B$6</f>
        <v>8.5</v>
      </c>
      <c r="L177">
        <f>IF(J177&lt;=0,0,MIN(IF(AND('Loan Prepayment'!$E$15="Reduce EMI",O176&gt;0),-PMT(K177/1200,MAX(1,'Loan Prepayment'!$B$7*12-I177+1),J177),L176),J177+M177))</f>
        <v>72789.936877782937</v>
      </c>
      <c r="M177">
        <f t="shared" si="45"/>
        <v>26783.375173416287</v>
      </c>
      <c r="N177">
        <f t="shared" si="46"/>
        <v>46006.56170436665</v>
      </c>
      <c r="O177">
        <f>IF(J177&lt;=0,0,MIN(MAX(0,J177-N177),SUMIFS('Loan Prepayment'!$B$12:$B$16,'Loan Prepayment'!$A$12:$A$16,I177)+0))</f>
        <v>0</v>
      </c>
      <c r="P177">
        <f t="shared" si="47"/>
        <v>3735175.8157191095</v>
      </c>
      <c r="Q177">
        <v>176</v>
      </c>
      <c r="R177">
        <f t="shared" si="60"/>
        <v>4508037.8654950671</v>
      </c>
      <c r="S177" s="78">
        <f>'Loan Prepayment'!$B$6</f>
        <v>8.5</v>
      </c>
      <c r="T177">
        <f>IF(R177&lt;=0,0,MIN(IF(AND('Loan Prepayment'!$E$15="Reduce EMI",W176&gt;0),-PMT(S177/1200,MAX(1,'Loan Prepayment'!$B$7*12-Q177+1),R177),T176),R177+U177))</f>
        <v>86782.323336553396</v>
      </c>
      <c r="U177">
        <f t="shared" si="48"/>
        <v>31931.934880590059</v>
      </c>
      <c r="V177">
        <f t="shared" si="49"/>
        <v>54850.388455963337</v>
      </c>
      <c r="W177">
        <f>IF(R177&lt;=0,0,MIN(MAX(0,R177-V177),0+IF(AND(Q177&gt;='Loan Prepayment'!$B$9,Q177&lt;='Loan Prepayment'!$E$16),'Loan Prepayment'!$B$8,0)))</f>
        <v>0</v>
      </c>
      <c r="X177">
        <f t="shared" si="50"/>
        <v>4453187.4770391034</v>
      </c>
      <c r="Y177">
        <v>176</v>
      </c>
      <c r="Z177">
        <f t="shared" si="61"/>
        <v>3500427.467639382</v>
      </c>
      <c r="AA177">
        <f>IF(Y177&gt;='Loan Prepayment'!$E$11,'Loan Prepayment'!$E$12,'Loan Prepayment'!$B$6)</f>
        <v>7.5</v>
      </c>
      <c r="AB177">
        <f>IF(Z177&lt;=0,0,MIN(IF(Y177='Loan Prepayment'!$E$11,IF('Loan Prepayment'!$E$13="Keep tenure, recalculate EMI",-PMT(AA177/1200,MAX(1,'Loan Prepayment'!$B$7*12-Y177+1),Z177),AB176),AB176),Z177+AC177))</f>
        <v>86782.323336553396</v>
      </c>
      <c r="AC177">
        <f t="shared" si="51"/>
        <v>21877.671672746139</v>
      </c>
      <c r="AD177">
        <f t="shared" si="52"/>
        <v>64904.651663807257</v>
      </c>
      <c r="AE177">
        <f t="shared" si="53"/>
        <v>0</v>
      </c>
      <c r="AF177">
        <f t="shared" si="54"/>
        <v>3435522.8159755748</v>
      </c>
      <c r="AG177">
        <v>176</v>
      </c>
      <c r="AH177">
        <f t="shared" si="62"/>
        <v>2110994.2182060583</v>
      </c>
      <c r="AI177">
        <f>IF(AG177&gt;='Loan Prepayment'!$E$11,'Loan Prepayment'!$E$12,'Loan Prepayment'!$B$6)</f>
        <v>7.5</v>
      </c>
      <c r="AJ177">
        <f>IF(AH177&lt;=0,0,MIN(IF(AG177='Loan Prepayment'!$E$11,IF('Loan Prepayment'!$E$13="Keep tenure, recalculate EMI",-PMT(AI177/1200,MAX(1,'Loan Prepayment'!$B$7*12-AG177+1),AH177),AJ176),IF(AND('Loan Prepayment'!$E$15="Reduce EMI",AM176&gt;0),-PMT(AI177/1200,MAX(1,'Loan Prepayment'!$B$7*12-AG177+1),AH177),AJ176)),AH177+AK177))</f>
        <v>77713.634667410894</v>
      </c>
      <c r="AK177">
        <f t="shared" si="55"/>
        <v>13193.713863787863</v>
      </c>
      <c r="AL177">
        <f t="shared" si="56"/>
        <v>64519.920803623027</v>
      </c>
      <c r="AM177">
        <f>IF(AH177&lt;=0,0,MIN(MAX(0,AH177-AL177),SUMIFS('Loan Prepayment'!$B$12:$B$16,'Loan Prepayment'!$A$12:$A$16,AG177)+IF(AND(AG177&gt;='Loan Prepayment'!$B$9,AG177&lt;='Loan Prepayment'!$E$16),'Loan Prepayment'!$B$8,0)))</f>
        <v>0</v>
      </c>
      <c r="AN177">
        <f t="shared" si="57"/>
        <v>2046474.2974024352</v>
      </c>
    </row>
    <row r="178" spans="1:40" x14ac:dyDescent="0.35">
      <c r="A178">
        <v>177</v>
      </c>
      <c r="B178">
        <f t="shared" si="58"/>
        <v>4453187.4770391034</v>
      </c>
      <c r="C178" s="78">
        <f>'Loan Prepayment'!$B$6</f>
        <v>8.5</v>
      </c>
      <c r="D178">
        <f>IF(B178&lt;=0,0,MIN(-PMT('Loan Prepayment'!$B$6/1200,'Loan Prepayment'!$B$7*12,'Loan Prepayment'!$B$5),B178+E178))</f>
        <v>86782.323336553396</v>
      </c>
      <c r="E178">
        <f t="shared" si="42"/>
        <v>31543.411295693648</v>
      </c>
      <c r="F178">
        <f t="shared" si="43"/>
        <v>55238.912040859752</v>
      </c>
      <c r="G178">
        <v>0</v>
      </c>
      <c r="H178">
        <f t="shared" si="44"/>
        <v>4397948.5649982439</v>
      </c>
      <c r="I178">
        <v>177</v>
      </c>
      <c r="J178">
        <f t="shared" si="59"/>
        <v>3735175.8157191095</v>
      </c>
      <c r="K178" s="78">
        <f>'Loan Prepayment'!$B$6</f>
        <v>8.5</v>
      </c>
      <c r="L178">
        <f>IF(J178&lt;=0,0,MIN(IF(AND('Loan Prepayment'!$E$15="Reduce EMI",O177&gt;0),-PMT(K178/1200,MAX(1,'Loan Prepayment'!$B$7*12-I178+1),J178),L177),J178+M178))</f>
        <v>72789.936877782937</v>
      </c>
      <c r="M178">
        <f t="shared" si="45"/>
        <v>26457.495361343692</v>
      </c>
      <c r="N178">
        <f t="shared" si="46"/>
        <v>46332.441516439241</v>
      </c>
      <c r="O178">
        <f>IF(J178&lt;=0,0,MIN(MAX(0,J178-N178),SUMIFS('Loan Prepayment'!$B$12:$B$16,'Loan Prepayment'!$A$12:$A$16,I178)+0))</f>
        <v>0</v>
      </c>
      <c r="P178">
        <f t="shared" si="47"/>
        <v>3688843.3742026701</v>
      </c>
      <c r="Q178">
        <v>177</v>
      </c>
      <c r="R178">
        <f t="shared" si="60"/>
        <v>4453187.4770391034</v>
      </c>
      <c r="S178" s="78">
        <f>'Loan Prepayment'!$B$6</f>
        <v>8.5</v>
      </c>
      <c r="T178">
        <f>IF(R178&lt;=0,0,MIN(IF(AND('Loan Prepayment'!$E$15="Reduce EMI",W177&gt;0),-PMT(S178/1200,MAX(1,'Loan Prepayment'!$B$7*12-Q178+1),R178),T177),R178+U178))</f>
        <v>86782.323336553396</v>
      </c>
      <c r="U178">
        <f t="shared" si="48"/>
        <v>31543.411295693648</v>
      </c>
      <c r="V178">
        <f t="shared" si="49"/>
        <v>55238.912040859752</v>
      </c>
      <c r="W178">
        <f>IF(R178&lt;=0,0,MIN(MAX(0,R178-V178),0+IF(AND(Q178&gt;='Loan Prepayment'!$B$9,Q178&lt;='Loan Prepayment'!$E$16),'Loan Prepayment'!$B$8,0)))</f>
        <v>0</v>
      </c>
      <c r="X178">
        <f t="shared" si="50"/>
        <v>4397948.5649982439</v>
      </c>
      <c r="Y178">
        <v>177</v>
      </c>
      <c r="Z178">
        <f t="shared" si="61"/>
        <v>3435522.8159755748</v>
      </c>
      <c r="AA178">
        <f>IF(Y178&gt;='Loan Prepayment'!$E$11,'Loan Prepayment'!$E$12,'Loan Prepayment'!$B$6)</f>
        <v>7.5</v>
      </c>
      <c r="AB178">
        <f>IF(Z178&lt;=0,0,MIN(IF(Y178='Loan Prepayment'!$E$11,IF('Loan Prepayment'!$E$13="Keep tenure, recalculate EMI",-PMT(AA178/1200,MAX(1,'Loan Prepayment'!$B$7*12-Y178+1),Z178),AB177),AB177),Z178+AC178))</f>
        <v>86782.323336553396</v>
      </c>
      <c r="AC178">
        <f t="shared" si="51"/>
        <v>21472.017599847342</v>
      </c>
      <c r="AD178">
        <f t="shared" si="52"/>
        <v>65310.305736706054</v>
      </c>
      <c r="AE178">
        <f t="shared" si="53"/>
        <v>0</v>
      </c>
      <c r="AF178">
        <f t="shared" si="54"/>
        <v>3370212.5102388687</v>
      </c>
      <c r="AG178">
        <v>177</v>
      </c>
      <c r="AH178">
        <f t="shared" si="62"/>
        <v>2046474.2974024352</v>
      </c>
      <c r="AI178">
        <f>IF(AG178&gt;='Loan Prepayment'!$E$11,'Loan Prepayment'!$E$12,'Loan Prepayment'!$B$6)</f>
        <v>7.5</v>
      </c>
      <c r="AJ178">
        <f>IF(AH178&lt;=0,0,MIN(IF(AG178='Loan Prepayment'!$E$11,IF('Loan Prepayment'!$E$13="Keep tenure, recalculate EMI",-PMT(AI178/1200,MAX(1,'Loan Prepayment'!$B$7*12-AG178+1),AH178),AJ177),IF(AND('Loan Prepayment'!$E$15="Reduce EMI",AM177&gt;0),-PMT(AI178/1200,MAX(1,'Loan Prepayment'!$B$7*12-AG178+1),AH178),AJ177)),AH178+AK178))</f>
        <v>77713.634667410894</v>
      </c>
      <c r="AK178">
        <f t="shared" si="55"/>
        <v>12790.464358765221</v>
      </c>
      <c r="AL178">
        <f t="shared" si="56"/>
        <v>64923.170308645669</v>
      </c>
      <c r="AM178">
        <f>IF(AH178&lt;=0,0,MIN(MAX(0,AH178-AL178),SUMIFS('Loan Prepayment'!$B$12:$B$16,'Loan Prepayment'!$A$12:$A$16,AG178)+IF(AND(AG178&gt;='Loan Prepayment'!$B$9,AG178&lt;='Loan Prepayment'!$E$16),'Loan Prepayment'!$B$8,0)))</f>
        <v>0</v>
      </c>
      <c r="AN178">
        <f t="shared" si="57"/>
        <v>1981551.1270937896</v>
      </c>
    </row>
    <row r="179" spans="1:40" x14ac:dyDescent="0.35">
      <c r="A179">
        <v>178</v>
      </c>
      <c r="B179">
        <f t="shared" si="58"/>
        <v>4397948.5649982439</v>
      </c>
      <c r="C179" s="78">
        <f>'Loan Prepayment'!$B$6</f>
        <v>8.5</v>
      </c>
      <c r="D179">
        <f>IF(B179&lt;=0,0,MIN(-PMT('Loan Prepayment'!$B$6/1200,'Loan Prepayment'!$B$7*12,'Loan Prepayment'!$B$5),B179+E179))</f>
        <v>86782.323336553396</v>
      </c>
      <c r="E179">
        <f t="shared" si="42"/>
        <v>31152.135668737559</v>
      </c>
      <c r="F179">
        <f t="shared" si="43"/>
        <v>55630.187667815837</v>
      </c>
      <c r="G179">
        <v>0</v>
      </c>
      <c r="H179">
        <f t="shared" si="44"/>
        <v>4342318.377330428</v>
      </c>
      <c r="I179">
        <v>178</v>
      </c>
      <c r="J179">
        <f t="shared" si="59"/>
        <v>3688843.3742026701</v>
      </c>
      <c r="K179" s="78">
        <f>'Loan Prepayment'!$B$6</f>
        <v>8.5</v>
      </c>
      <c r="L179">
        <f>IF(J179&lt;=0,0,MIN(IF(AND('Loan Prepayment'!$E$15="Reduce EMI",O178&gt;0),-PMT(K179/1200,MAX(1,'Loan Prepayment'!$B$7*12-I179+1),J179),L178),J179+M179))</f>
        <v>72789.936877782937</v>
      </c>
      <c r="M179">
        <f t="shared" si="45"/>
        <v>26129.307233935579</v>
      </c>
      <c r="N179">
        <f t="shared" si="46"/>
        <v>46660.629643847358</v>
      </c>
      <c r="O179">
        <f>IF(J179&lt;=0,0,MIN(MAX(0,J179-N179),SUMIFS('Loan Prepayment'!$B$12:$B$16,'Loan Prepayment'!$A$12:$A$16,I179)+0))</f>
        <v>0</v>
      </c>
      <c r="P179">
        <f t="shared" si="47"/>
        <v>3642182.7445588228</v>
      </c>
      <c r="Q179">
        <v>178</v>
      </c>
      <c r="R179">
        <f t="shared" si="60"/>
        <v>4397948.5649982439</v>
      </c>
      <c r="S179" s="78">
        <f>'Loan Prepayment'!$B$6</f>
        <v>8.5</v>
      </c>
      <c r="T179">
        <f>IF(R179&lt;=0,0,MIN(IF(AND('Loan Prepayment'!$E$15="Reduce EMI",W178&gt;0),-PMT(S179/1200,MAX(1,'Loan Prepayment'!$B$7*12-Q179+1),R179),T178),R179+U179))</f>
        <v>86782.323336553396</v>
      </c>
      <c r="U179">
        <f t="shared" si="48"/>
        <v>31152.135668737559</v>
      </c>
      <c r="V179">
        <f t="shared" si="49"/>
        <v>55630.187667815837</v>
      </c>
      <c r="W179">
        <f>IF(R179&lt;=0,0,MIN(MAX(0,R179-V179),0+IF(AND(Q179&gt;='Loan Prepayment'!$B$9,Q179&lt;='Loan Prepayment'!$E$16),'Loan Prepayment'!$B$8,0)))</f>
        <v>0</v>
      </c>
      <c r="X179">
        <f t="shared" si="50"/>
        <v>4342318.377330428</v>
      </c>
      <c r="Y179">
        <v>178</v>
      </c>
      <c r="Z179">
        <f t="shared" si="61"/>
        <v>3370212.5102388687</v>
      </c>
      <c r="AA179">
        <f>IF(Y179&gt;='Loan Prepayment'!$E$11,'Loan Prepayment'!$E$12,'Loan Prepayment'!$B$6)</f>
        <v>7.5</v>
      </c>
      <c r="AB179">
        <f>IF(Z179&lt;=0,0,MIN(IF(Y179='Loan Prepayment'!$E$11,IF('Loan Prepayment'!$E$13="Keep tenure, recalculate EMI",-PMT(AA179/1200,MAX(1,'Loan Prepayment'!$B$7*12-Y179+1),Z179),AB178),AB178),Z179+AC179))</f>
        <v>86782.323336553396</v>
      </c>
      <c r="AC179">
        <f t="shared" si="51"/>
        <v>21063.828188992928</v>
      </c>
      <c r="AD179">
        <f t="shared" si="52"/>
        <v>65718.495147560461</v>
      </c>
      <c r="AE179">
        <f t="shared" si="53"/>
        <v>0</v>
      </c>
      <c r="AF179">
        <f t="shared" si="54"/>
        <v>3304494.0150913084</v>
      </c>
      <c r="AG179">
        <v>178</v>
      </c>
      <c r="AH179">
        <f t="shared" si="62"/>
        <v>1981551.1270937896</v>
      </c>
      <c r="AI179">
        <f>IF(AG179&gt;='Loan Prepayment'!$E$11,'Loan Prepayment'!$E$12,'Loan Prepayment'!$B$6)</f>
        <v>7.5</v>
      </c>
      <c r="AJ179">
        <f>IF(AH179&lt;=0,0,MIN(IF(AG179='Loan Prepayment'!$E$11,IF('Loan Prepayment'!$E$13="Keep tenure, recalculate EMI",-PMT(AI179/1200,MAX(1,'Loan Prepayment'!$B$7*12-AG179+1),AH179),AJ178),IF(AND('Loan Prepayment'!$E$15="Reduce EMI",AM178&gt;0),-PMT(AI179/1200,MAX(1,'Loan Prepayment'!$B$7*12-AG179+1),AH179),AJ178)),AH179+AK179))</f>
        <v>77713.634667410894</v>
      </c>
      <c r="AK179">
        <f t="shared" si="55"/>
        <v>12384.694544336186</v>
      </c>
      <c r="AL179">
        <f t="shared" si="56"/>
        <v>65328.94012307471</v>
      </c>
      <c r="AM179">
        <f>IF(AH179&lt;=0,0,MIN(MAX(0,AH179-AL179),SUMIFS('Loan Prepayment'!$B$12:$B$16,'Loan Prepayment'!$A$12:$A$16,AG179)+IF(AND(AG179&gt;='Loan Prepayment'!$B$9,AG179&lt;='Loan Prepayment'!$E$16),'Loan Prepayment'!$B$8,0)))</f>
        <v>0</v>
      </c>
      <c r="AN179">
        <f t="shared" si="57"/>
        <v>1916222.1869707149</v>
      </c>
    </row>
    <row r="180" spans="1:40" x14ac:dyDescent="0.35">
      <c r="A180">
        <v>179</v>
      </c>
      <c r="B180">
        <f t="shared" si="58"/>
        <v>4342318.377330428</v>
      </c>
      <c r="C180" s="78">
        <f>'Loan Prepayment'!$B$6</f>
        <v>8.5</v>
      </c>
      <c r="D180">
        <f>IF(B180&lt;=0,0,MIN(-PMT('Loan Prepayment'!$B$6/1200,'Loan Prepayment'!$B$7*12,'Loan Prepayment'!$B$5),B180+E180))</f>
        <v>86782.323336553396</v>
      </c>
      <c r="E180">
        <f t="shared" si="42"/>
        <v>30758.088506090528</v>
      </c>
      <c r="F180">
        <f t="shared" si="43"/>
        <v>56024.234830462869</v>
      </c>
      <c r="G180">
        <v>0</v>
      </c>
      <c r="H180">
        <f t="shared" si="44"/>
        <v>4286294.1424999647</v>
      </c>
      <c r="I180">
        <v>179</v>
      </c>
      <c r="J180">
        <f t="shared" si="59"/>
        <v>3642182.7445588228</v>
      </c>
      <c r="K180" s="78">
        <f>'Loan Prepayment'!$B$6</f>
        <v>8.5</v>
      </c>
      <c r="L180">
        <f>IF(J180&lt;=0,0,MIN(IF(AND('Loan Prepayment'!$E$15="Reduce EMI",O179&gt;0),-PMT(K180/1200,MAX(1,'Loan Prepayment'!$B$7*12-I180+1),J180),L179),J180+M180))</f>
        <v>72789.936877782937</v>
      </c>
      <c r="M180">
        <f t="shared" si="45"/>
        <v>25798.794440624995</v>
      </c>
      <c r="N180">
        <f t="shared" si="46"/>
        <v>46991.142437157941</v>
      </c>
      <c r="O180">
        <f>IF(J180&lt;=0,0,MIN(MAX(0,J180-N180),SUMIFS('Loan Prepayment'!$B$12:$B$16,'Loan Prepayment'!$A$12:$A$16,I180)+0))</f>
        <v>0</v>
      </c>
      <c r="P180">
        <f t="shared" si="47"/>
        <v>3595191.6021216647</v>
      </c>
      <c r="Q180">
        <v>179</v>
      </c>
      <c r="R180">
        <f t="shared" si="60"/>
        <v>4342318.377330428</v>
      </c>
      <c r="S180" s="78">
        <f>'Loan Prepayment'!$B$6</f>
        <v>8.5</v>
      </c>
      <c r="T180">
        <f>IF(R180&lt;=0,0,MIN(IF(AND('Loan Prepayment'!$E$15="Reduce EMI",W179&gt;0),-PMT(S180/1200,MAX(1,'Loan Prepayment'!$B$7*12-Q180+1),R180),T179),R180+U180))</f>
        <v>86782.323336553396</v>
      </c>
      <c r="U180">
        <f t="shared" si="48"/>
        <v>30758.088506090528</v>
      </c>
      <c r="V180">
        <f t="shared" si="49"/>
        <v>56024.234830462869</v>
      </c>
      <c r="W180">
        <f>IF(R180&lt;=0,0,MIN(MAX(0,R180-V180),0+IF(AND(Q180&gt;='Loan Prepayment'!$B$9,Q180&lt;='Loan Prepayment'!$E$16),'Loan Prepayment'!$B$8,0)))</f>
        <v>0</v>
      </c>
      <c r="X180">
        <f t="shared" si="50"/>
        <v>4286294.1424999647</v>
      </c>
      <c r="Y180">
        <v>179</v>
      </c>
      <c r="Z180">
        <f t="shared" si="61"/>
        <v>3304494.0150913084</v>
      </c>
      <c r="AA180">
        <f>IF(Y180&gt;='Loan Prepayment'!$E$11,'Loan Prepayment'!$E$12,'Loan Prepayment'!$B$6)</f>
        <v>7.5</v>
      </c>
      <c r="AB180">
        <f>IF(Z180&lt;=0,0,MIN(IF(Y180='Loan Prepayment'!$E$11,IF('Loan Prepayment'!$E$13="Keep tenure, recalculate EMI",-PMT(AA180/1200,MAX(1,'Loan Prepayment'!$B$7*12-Y180+1),Z180),AB179),AB179),Z180+AC180))</f>
        <v>86782.323336553396</v>
      </c>
      <c r="AC180">
        <f t="shared" si="51"/>
        <v>20653.087594320677</v>
      </c>
      <c r="AD180">
        <f t="shared" si="52"/>
        <v>66129.235742232719</v>
      </c>
      <c r="AE180">
        <f t="shared" si="53"/>
        <v>0</v>
      </c>
      <c r="AF180">
        <f t="shared" si="54"/>
        <v>3238364.7793490756</v>
      </c>
      <c r="AG180">
        <v>179</v>
      </c>
      <c r="AH180">
        <f t="shared" si="62"/>
        <v>1916222.1869707149</v>
      </c>
      <c r="AI180">
        <f>IF(AG180&gt;='Loan Prepayment'!$E$11,'Loan Prepayment'!$E$12,'Loan Prepayment'!$B$6)</f>
        <v>7.5</v>
      </c>
      <c r="AJ180">
        <f>IF(AH180&lt;=0,0,MIN(IF(AG180='Loan Prepayment'!$E$11,IF('Loan Prepayment'!$E$13="Keep tenure, recalculate EMI",-PMT(AI180/1200,MAX(1,'Loan Prepayment'!$B$7*12-AG180+1),AH180),AJ179),IF(AND('Loan Prepayment'!$E$15="Reduce EMI",AM179&gt;0),-PMT(AI180/1200,MAX(1,'Loan Prepayment'!$B$7*12-AG180+1),AH180),AJ179)),AH180+AK180))</f>
        <v>77713.634667410894</v>
      </c>
      <c r="AK180">
        <f t="shared" si="55"/>
        <v>11976.388668566969</v>
      </c>
      <c r="AL180">
        <f t="shared" si="56"/>
        <v>65737.245998843922</v>
      </c>
      <c r="AM180">
        <f>IF(AH180&lt;=0,0,MIN(MAX(0,AH180-AL180),SUMIFS('Loan Prepayment'!$B$12:$B$16,'Loan Prepayment'!$A$12:$A$16,AG180)+IF(AND(AG180&gt;='Loan Prepayment'!$B$9,AG180&lt;='Loan Prepayment'!$E$16),'Loan Prepayment'!$B$8,0)))</f>
        <v>0</v>
      </c>
      <c r="AN180">
        <f t="shared" si="57"/>
        <v>1850484.9409718709</v>
      </c>
    </row>
    <row r="181" spans="1:40" x14ac:dyDescent="0.35">
      <c r="A181">
        <v>180</v>
      </c>
      <c r="B181">
        <f t="shared" si="58"/>
        <v>4286294.1424999647</v>
      </c>
      <c r="C181" s="78">
        <f>'Loan Prepayment'!$B$6</f>
        <v>8.5</v>
      </c>
      <c r="D181">
        <f>IF(B181&lt;=0,0,MIN(-PMT('Loan Prepayment'!$B$6/1200,'Loan Prepayment'!$B$7*12,'Loan Prepayment'!$B$5),B181+E181))</f>
        <v>86782.323336553396</v>
      </c>
      <c r="E181">
        <f t="shared" si="42"/>
        <v>30361.25017604142</v>
      </c>
      <c r="F181">
        <f t="shared" si="43"/>
        <v>56421.07316051198</v>
      </c>
      <c r="G181">
        <v>0</v>
      </c>
      <c r="H181">
        <f t="shared" si="44"/>
        <v>4229873.0693394523</v>
      </c>
      <c r="I181">
        <v>180</v>
      </c>
      <c r="J181">
        <f t="shared" si="59"/>
        <v>3595191.6021216647</v>
      </c>
      <c r="K181" s="78">
        <f>'Loan Prepayment'!$B$6</f>
        <v>8.5</v>
      </c>
      <c r="L181">
        <f>IF(J181&lt;=0,0,MIN(IF(AND('Loan Prepayment'!$E$15="Reduce EMI",O180&gt;0),-PMT(K181/1200,MAX(1,'Loan Prepayment'!$B$7*12-I181+1),J181),L180),J181+M181))</f>
        <v>72789.936877782937</v>
      </c>
      <c r="M181">
        <f t="shared" si="45"/>
        <v>25465.940515028458</v>
      </c>
      <c r="N181">
        <f t="shared" si="46"/>
        <v>47323.996362754478</v>
      </c>
      <c r="O181">
        <f>IF(J181&lt;=0,0,MIN(MAX(0,J181-N181),SUMIFS('Loan Prepayment'!$B$12:$B$16,'Loan Prepayment'!$A$12:$A$16,I181)+0))</f>
        <v>0</v>
      </c>
      <c r="P181">
        <f t="shared" si="47"/>
        <v>3547867.6057589101</v>
      </c>
      <c r="Q181">
        <v>180</v>
      </c>
      <c r="R181">
        <f t="shared" si="60"/>
        <v>4286294.1424999647</v>
      </c>
      <c r="S181" s="78">
        <f>'Loan Prepayment'!$B$6</f>
        <v>8.5</v>
      </c>
      <c r="T181">
        <f>IF(R181&lt;=0,0,MIN(IF(AND('Loan Prepayment'!$E$15="Reduce EMI",W180&gt;0),-PMT(S181/1200,MAX(1,'Loan Prepayment'!$B$7*12-Q181+1),R181),T180),R181+U181))</f>
        <v>86782.323336553396</v>
      </c>
      <c r="U181">
        <f t="shared" si="48"/>
        <v>30361.25017604142</v>
      </c>
      <c r="V181">
        <f t="shared" si="49"/>
        <v>56421.07316051198</v>
      </c>
      <c r="W181">
        <f>IF(R181&lt;=0,0,MIN(MAX(0,R181-V181),0+IF(AND(Q181&gt;='Loan Prepayment'!$B$9,Q181&lt;='Loan Prepayment'!$E$16),'Loan Prepayment'!$B$8,0)))</f>
        <v>0</v>
      </c>
      <c r="X181">
        <f t="shared" si="50"/>
        <v>4229873.0693394523</v>
      </c>
      <c r="Y181">
        <v>180</v>
      </c>
      <c r="Z181">
        <f t="shared" si="61"/>
        <v>3238364.7793490756</v>
      </c>
      <c r="AA181">
        <f>IF(Y181&gt;='Loan Prepayment'!$E$11,'Loan Prepayment'!$E$12,'Loan Prepayment'!$B$6)</f>
        <v>7.5</v>
      </c>
      <c r="AB181">
        <f>IF(Z181&lt;=0,0,MIN(IF(Y181='Loan Prepayment'!$E$11,IF('Loan Prepayment'!$E$13="Keep tenure, recalculate EMI",-PMT(AA181/1200,MAX(1,'Loan Prepayment'!$B$7*12-Y181+1),Z181),AB180),AB180),Z181+AC181))</f>
        <v>86782.323336553396</v>
      </c>
      <c r="AC181">
        <f t="shared" si="51"/>
        <v>20239.779870931725</v>
      </c>
      <c r="AD181">
        <f t="shared" si="52"/>
        <v>66542.543465621668</v>
      </c>
      <c r="AE181">
        <f t="shared" si="53"/>
        <v>0</v>
      </c>
      <c r="AF181">
        <f t="shared" si="54"/>
        <v>3171822.2358834539</v>
      </c>
      <c r="AG181">
        <v>180</v>
      </c>
      <c r="AH181">
        <f t="shared" si="62"/>
        <v>1850484.9409718709</v>
      </c>
      <c r="AI181">
        <f>IF(AG181&gt;='Loan Prepayment'!$E$11,'Loan Prepayment'!$E$12,'Loan Prepayment'!$B$6)</f>
        <v>7.5</v>
      </c>
      <c r="AJ181">
        <f>IF(AH181&lt;=0,0,MIN(IF(AG181='Loan Prepayment'!$E$11,IF('Loan Prepayment'!$E$13="Keep tenure, recalculate EMI",-PMT(AI181/1200,MAX(1,'Loan Prepayment'!$B$7*12-AG181+1),AH181),AJ180),IF(AND('Loan Prepayment'!$E$15="Reduce EMI",AM180&gt;0),-PMT(AI181/1200,MAX(1,'Loan Prepayment'!$B$7*12-AG181+1),AH181),AJ180)),AH181+AK181))</f>
        <v>77713.634667410894</v>
      </c>
      <c r="AK181">
        <f t="shared" si="55"/>
        <v>11565.530881074194</v>
      </c>
      <c r="AL181">
        <f t="shared" si="56"/>
        <v>66148.103786336695</v>
      </c>
      <c r="AM181">
        <f>IF(AH181&lt;=0,0,MIN(MAX(0,AH181-AL181),SUMIFS('Loan Prepayment'!$B$12:$B$16,'Loan Prepayment'!$A$12:$A$16,AG181)+IF(AND(AG181&gt;='Loan Prepayment'!$B$9,AG181&lt;='Loan Prepayment'!$E$16),'Loan Prepayment'!$B$8,0)))</f>
        <v>0</v>
      </c>
      <c r="AN181">
        <f t="shared" si="57"/>
        <v>1784336.8371855342</v>
      </c>
    </row>
    <row r="182" spans="1:40" x14ac:dyDescent="0.35">
      <c r="A182">
        <v>181</v>
      </c>
      <c r="B182">
        <f t="shared" si="58"/>
        <v>4229873.0693394523</v>
      </c>
      <c r="C182" s="78">
        <f>'Loan Prepayment'!$B$6</f>
        <v>8.5</v>
      </c>
      <c r="D182">
        <f>IF(B182&lt;=0,0,MIN(-PMT('Loan Prepayment'!$B$6/1200,'Loan Prepayment'!$B$7*12,'Loan Prepayment'!$B$5),B182+E182))</f>
        <v>86782.323336553396</v>
      </c>
      <c r="E182">
        <f t="shared" si="42"/>
        <v>29961.600907821121</v>
      </c>
      <c r="F182">
        <f t="shared" si="43"/>
        <v>56820.722428732275</v>
      </c>
      <c r="G182">
        <v>0</v>
      </c>
      <c r="H182">
        <f t="shared" si="44"/>
        <v>4173052.3469107202</v>
      </c>
      <c r="I182">
        <v>181</v>
      </c>
      <c r="J182">
        <f t="shared" si="59"/>
        <v>3547867.6057589101</v>
      </c>
      <c r="K182" s="78">
        <f>'Loan Prepayment'!$B$6</f>
        <v>8.5</v>
      </c>
      <c r="L182">
        <f>IF(J182&lt;=0,0,MIN(IF(AND('Loan Prepayment'!$E$15="Reduce EMI",O181&gt;0),-PMT(K182/1200,MAX(1,'Loan Prepayment'!$B$7*12-I182+1),J182),L181),J182+M182))</f>
        <v>72789.936877782937</v>
      </c>
      <c r="M182">
        <f t="shared" si="45"/>
        <v>25130.728874125612</v>
      </c>
      <c r="N182">
        <f t="shared" si="46"/>
        <v>47659.208003657324</v>
      </c>
      <c r="O182">
        <f>IF(J182&lt;=0,0,MIN(MAX(0,J182-N182),SUMIFS('Loan Prepayment'!$B$12:$B$16,'Loan Prepayment'!$A$12:$A$16,I182)+0))</f>
        <v>0</v>
      </c>
      <c r="P182">
        <f t="shared" si="47"/>
        <v>3500208.3977552527</v>
      </c>
      <c r="Q182">
        <v>181</v>
      </c>
      <c r="R182">
        <f t="shared" si="60"/>
        <v>4229873.0693394523</v>
      </c>
      <c r="S182" s="78">
        <f>'Loan Prepayment'!$B$6</f>
        <v>8.5</v>
      </c>
      <c r="T182">
        <f>IF(R182&lt;=0,0,MIN(IF(AND('Loan Prepayment'!$E$15="Reduce EMI",W181&gt;0),-PMT(S182/1200,MAX(1,'Loan Prepayment'!$B$7*12-Q182+1),R182),T181),R182+U182))</f>
        <v>86782.323336553396</v>
      </c>
      <c r="U182">
        <f t="shared" si="48"/>
        <v>29961.600907821121</v>
      </c>
      <c r="V182">
        <f t="shared" si="49"/>
        <v>56820.722428732275</v>
      </c>
      <c r="W182">
        <f>IF(R182&lt;=0,0,MIN(MAX(0,R182-V182),0+IF(AND(Q182&gt;='Loan Prepayment'!$B$9,Q182&lt;='Loan Prepayment'!$E$16),'Loan Prepayment'!$B$8,0)))</f>
        <v>0</v>
      </c>
      <c r="X182">
        <f t="shared" si="50"/>
        <v>4173052.3469107202</v>
      </c>
      <c r="Y182">
        <v>181</v>
      </c>
      <c r="Z182">
        <f t="shared" si="61"/>
        <v>3171822.2358834539</v>
      </c>
      <c r="AA182">
        <f>IF(Y182&gt;='Loan Prepayment'!$E$11,'Loan Prepayment'!$E$12,'Loan Prepayment'!$B$6)</f>
        <v>7.5</v>
      </c>
      <c r="AB182">
        <f>IF(Z182&lt;=0,0,MIN(IF(Y182='Loan Prepayment'!$E$11,IF('Loan Prepayment'!$E$13="Keep tenure, recalculate EMI",-PMT(AA182/1200,MAX(1,'Loan Prepayment'!$B$7*12-Y182+1),Z182),AB181),AB181),Z182+AC182))</f>
        <v>86782.323336553396</v>
      </c>
      <c r="AC182">
        <f t="shared" si="51"/>
        <v>19823.888974271587</v>
      </c>
      <c r="AD182">
        <f t="shared" si="52"/>
        <v>66958.434362281812</v>
      </c>
      <c r="AE182">
        <f t="shared" si="53"/>
        <v>0</v>
      </c>
      <c r="AF182">
        <f t="shared" si="54"/>
        <v>3104863.8015211718</v>
      </c>
      <c r="AG182">
        <v>181</v>
      </c>
      <c r="AH182">
        <f t="shared" si="62"/>
        <v>1784336.8371855342</v>
      </c>
      <c r="AI182">
        <f>IF(AG182&gt;='Loan Prepayment'!$E$11,'Loan Prepayment'!$E$12,'Loan Prepayment'!$B$6)</f>
        <v>7.5</v>
      </c>
      <c r="AJ182">
        <f>IF(AH182&lt;=0,0,MIN(IF(AG182='Loan Prepayment'!$E$11,IF('Loan Prepayment'!$E$13="Keep tenure, recalculate EMI",-PMT(AI182/1200,MAX(1,'Loan Prepayment'!$B$7*12-AG182+1),AH182),AJ181),IF(AND('Loan Prepayment'!$E$15="Reduce EMI",AM181&gt;0),-PMT(AI182/1200,MAX(1,'Loan Prepayment'!$B$7*12-AG182+1),AH182),AJ181)),AH182+AK182))</f>
        <v>77713.634667410894</v>
      </c>
      <c r="AK182">
        <f t="shared" si="55"/>
        <v>11152.105232409587</v>
      </c>
      <c r="AL182">
        <f t="shared" si="56"/>
        <v>66561.529435001314</v>
      </c>
      <c r="AM182">
        <f>IF(AH182&lt;=0,0,MIN(MAX(0,AH182-AL182),SUMIFS('Loan Prepayment'!$B$12:$B$16,'Loan Prepayment'!$A$12:$A$16,AG182)+IF(AND(AG182&gt;='Loan Prepayment'!$B$9,AG182&lt;='Loan Prepayment'!$E$16),'Loan Prepayment'!$B$8,0)))</f>
        <v>0</v>
      </c>
      <c r="AN182">
        <f t="shared" si="57"/>
        <v>1717775.3077505329</v>
      </c>
    </row>
    <row r="183" spans="1:40" x14ac:dyDescent="0.35">
      <c r="A183">
        <v>182</v>
      </c>
      <c r="B183">
        <f t="shared" si="58"/>
        <v>4173052.3469107202</v>
      </c>
      <c r="C183" s="78">
        <f>'Loan Prepayment'!$B$6</f>
        <v>8.5</v>
      </c>
      <c r="D183">
        <f>IF(B183&lt;=0,0,MIN(-PMT('Loan Prepayment'!$B$6/1200,'Loan Prepayment'!$B$7*12,'Loan Prepayment'!$B$5),B183+E183))</f>
        <v>86782.323336553396</v>
      </c>
      <c r="E183">
        <f t="shared" si="42"/>
        <v>29559.120790617602</v>
      </c>
      <c r="F183">
        <f t="shared" si="43"/>
        <v>57223.202545935797</v>
      </c>
      <c r="G183">
        <v>0</v>
      </c>
      <c r="H183">
        <f t="shared" si="44"/>
        <v>4115829.1443647845</v>
      </c>
      <c r="I183">
        <v>182</v>
      </c>
      <c r="J183">
        <f t="shared" si="59"/>
        <v>3500208.3977552527</v>
      </c>
      <c r="K183" s="78">
        <f>'Loan Prepayment'!$B$6</f>
        <v>8.5</v>
      </c>
      <c r="L183">
        <f>IF(J183&lt;=0,0,MIN(IF(AND('Loan Prepayment'!$E$15="Reduce EMI",O182&gt;0),-PMT(K183/1200,MAX(1,'Loan Prepayment'!$B$7*12-I183+1),J183),L182),J183+M183))</f>
        <v>72789.936877782937</v>
      </c>
      <c r="M183">
        <f t="shared" si="45"/>
        <v>24793.142817433039</v>
      </c>
      <c r="N183">
        <f t="shared" si="46"/>
        <v>47996.794060349901</v>
      </c>
      <c r="O183">
        <f>IF(J183&lt;=0,0,MIN(MAX(0,J183-N183),SUMIFS('Loan Prepayment'!$B$12:$B$16,'Loan Prepayment'!$A$12:$A$16,I183)+0))</f>
        <v>0</v>
      </c>
      <c r="P183">
        <f t="shared" si="47"/>
        <v>3452211.6036949027</v>
      </c>
      <c r="Q183">
        <v>182</v>
      </c>
      <c r="R183">
        <f t="shared" si="60"/>
        <v>4173052.3469107202</v>
      </c>
      <c r="S183" s="78">
        <f>'Loan Prepayment'!$B$6</f>
        <v>8.5</v>
      </c>
      <c r="T183">
        <f>IF(R183&lt;=0,0,MIN(IF(AND('Loan Prepayment'!$E$15="Reduce EMI",W182&gt;0),-PMT(S183/1200,MAX(1,'Loan Prepayment'!$B$7*12-Q183+1),R183),T182),R183+U183))</f>
        <v>86782.323336553396</v>
      </c>
      <c r="U183">
        <f t="shared" si="48"/>
        <v>29559.120790617602</v>
      </c>
      <c r="V183">
        <f t="shared" si="49"/>
        <v>57223.202545935797</v>
      </c>
      <c r="W183">
        <f>IF(R183&lt;=0,0,MIN(MAX(0,R183-V183),0+IF(AND(Q183&gt;='Loan Prepayment'!$B$9,Q183&lt;='Loan Prepayment'!$E$16),'Loan Prepayment'!$B$8,0)))</f>
        <v>0</v>
      </c>
      <c r="X183">
        <f t="shared" si="50"/>
        <v>4115829.1443647845</v>
      </c>
      <c r="Y183">
        <v>182</v>
      </c>
      <c r="Z183">
        <f t="shared" si="61"/>
        <v>3104863.8015211718</v>
      </c>
      <c r="AA183">
        <f>IF(Y183&gt;='Loan Prepayment'!$E$11,'Loan Prepayment'!$E$12,'Loan Prepayment'!$B$6)</f>
        <v>7.5</v>
      </c>
      <c r="AB183">
        <f>IF(Z183&lt;=0,0,MIN(IF(Y183='Loan Prepayment'!$E$11,IF('Loan Prepayment'!$E$13="Keep tenure, recalculate EMI",-PMT(AA183/1200,MAX(1,'Loan Prepayment'!$B$7*12-Y183+1),Z183),AB182),AB182),Z183+AC183))</f>
        <v>86782.323336553396</v>
      </c>
      <c r="AC183">
        <f t="shared" si="51"/>
        <v>19405.398759507323</v>
      </c>
      <c r="AD183">
        <f t="shared" si="52"/>
        <v>67376.924577046069</v>
      </c>
      <c r="AE183">
        <f t="shared" si="53"/>
        <v>0</v>
      </c>
      <c r="AF183">
        <f t="shared" si="54"/>
        <v>3037486.8769441256</v>
      </c>
      <c r="AG183">
        <v>182</v>
      </c>
      <c r="AH183">
        <f t="shared" si="62"/>
        <v>1717775.3077505329</v>
      </c>
      <c r="AI183">
        <f>IF(AG183&gt;='Loan Prepayment'!$E$11,'Loan Prepayment'!$E$12,'Loan Prepayment'!$B$6)</f>
        <v>7.5</v>
      </c>
      <c r="AJ183">
        <f>IF(AH183&lt;=0,0,MIN(IF(AG183='Loan Prepayment'!$E$11,IF('Loan Prepayment'!$E$13="Keep tenure, recalculate EMI",-PMT(AI183/1200,MAX(1,'Loan Prepayment'!$B$7*12-AG183+1),AH183),AJ182),IF(AND('Loan Prepayment'!$E$15="Reduce EMI",AM182&gt;0),-PMT(AI183/1200,MAX(1,'Loan Prepayment'!$B$7*12-AG183+1),AH183),AJ182)),AH183+AK183))</f>
        <v>77713.634667410894</v>
      </c>
      <c r="AK183">
        <f t="shared" si="55"/>
        <v>10736.09567344083</v>
      </c>
      <c r="AL183">
        <f t="shared" si="56"/>
        <v>66977.538993970069</v>
      </c>
      <c r="AM183">
        <f>IF(AH183&lt;=0,0,MIN(MAX(0,AH183-AL183),SUMIFS('Loan Prepayment'!$B$12:$B$16,'Loan Prepayment'!$A$12:$A$16,AG183)+IF(AND(AG183&gt;='Loan Prepayment'!$B$9,AG183&lt;='Loan Prepayment'!$E$16),'Loan Prepayment'!$B$8,0)))</f>
        <v>0</v>
      </c>
      <c r="AN183">
        <f t="shared" si="57"/>
        <v>1650797.7687565628</v>
      </c>
    </row>
    <row r="184" spans="1:40" x14ac:dyDescent="0.35">
      <c r="A184">
        <v>183</v>
      </c>
      <c r="B184">
        <f t="shared" si="58"/>
        <v>4115829.1443647845</v>
      </c>
      <c r="C184" s="78">
        <f>'Loan Prepayment'!$B$6</f>
        <v>8.5</v>
      </c>
      <c r="D184">
        <f>IF(B184&lt;=0,0,MIN(-PMT('Loan Prepayment'!$B$6/1200,'Loan Prepayment'!$B$7*12,'Loan Prepayment'!$B$5),B184+E184))</f>
        <v>86782.323336553396</v>
      </c>
      <c r="E184">
        <f t="shared" si="42"/>
        <v>29153.789772583892</v>
      </c>
      <c r="F184">
        <f t="shared" si="43"/>
        <v>57628.533563969504</v>
      </c>
      <c r="G184">
        <v>0</v>
      </c>
      <c r="H184">
        <f t="shared" si="44"/>
        <v>4058200.6108008148</v>
      </c>
      <c r="I184">
        <v>183</v>
      </c>
      <c r="J184">
        <f t="shared" si="59"/>
        <v>3452211.6036949027</v>
      </c>
      <c r="K184" s="78">
        <f>'Loan Prepayment'!$B$6</f>
        <v>8.5</v>
      </c>
      <c r="L184">
        <f>IF(J184&lt;=0,0,MIN(IF(AND('Loan Prepayment'!$E$15="Reduce EMI",O183&gt;0),-PMT(K184/1200,MAX(1,'Loan Prepayment'!$B$7*12-I184+1),J184),L183),J184+M184))</f>
        <v>72789.936877782937</v>
      </c>
      <c r="M184">
        <f t="shared" si="45"/>
        <v>24453.165526172226</v>
      </c>
      <c r="N184">
        <f t="shared" si="46"/>
        <v>48336.771351610711</v>
      </c>
      <c r="O184">
        <f>IF(J184&lt;=0,0,MIN(MAX(0,J184-N184),SUMIFS('Loan Prepayment'!$B$12:$B$16,'Loan Prepayment'!$A$12:$A$16,I184)+0))</f>
        <v>0</v>
      </c>
      <c r="P184">
        <f t="shared" si="47"/>
        <v>3403874.832343292</v>
      </c>
      <c r="Q184">
        <v>183</v>
      </c>
      <c r="R184">
        <f t="shared" si="60"/>
        <v>4115829.1443647845</v>
      </c>
      <c r="S184" s="78">
        <f>'Loan Prepayment'!$B$6</f>
        <v>8.5</v>
      </c>
      <c r="T184">
        <f>IF(R184&lt;=0,0,MIN(IF(AND('Loan Prepayment'!$E$15="Reduce EMI",W183&gt;0),-PMT(S184/1200,MAX(1,'Loan Prepayment'!$B$7*12-Q184+1),R184),T183),R184+U184))</f>
        <v>86782.323336553396</v>
      </c>
      <c r="U184">
        <f t="shared" si="48"/>
        <v>29153.789772583892</v>
      </c>
      <c r="V184">
        <f t="shared" si="49"/>
        <v>57628.533563969504</v>
      </c>
      <c r="W184">
        <f>IF(R184&lt;=0,0,MIN(MAX(0,R184-V184),0+IF(AND(Q184&gt;='Loan Prepayment'!$B$9,Q184&lt;='Loan Prepayment'!$E$16),'Loan Prepayment'!$B$8,0)))</f>
        <v>0</v>
      </c>
      <c r="X184">
        <f t="shared" si="50"/>
        <v>4058200.6108008148</v>
      </c>
      <c r="Y184">
        <v>183</v>
      </c>
      <c r="Z184">
        <f t="shared" si="61"/>
        <v>3037486.8769441256</v>
      </c>
      <c r="AA184">
        <f>IF(Y184&gt;='Loan Prepayment'!$E$11,'Loan Prepayment'!$E$12,'Loan Prepayment'!$B$6)</f>
        <v>7.5</v>
      </c>
      <c r="AB184">
        <f>IF(Z184&lt;=0,0,MIN(IF(Y184='Loan Prepayment'!$E$11,IF('Loan Prepayment'!$E$13="Keep tenure, recalculate EMI",-PMT(AA184/1200,MAX(1,'Loan Prepayment'!$B$7*12-Y184+1),Z184),AB183),AB183),Z184+AC184))</f>
        <v>86782.323336553396</v>
      </c>
      <c r="AC184">
        <f t="shared" si="51"/>
        <v>18984.292980900787</v>
      </c>
      <c r="AD184">
        <f t="shared" si="52"/>
        <v>67798.030355652605</v>
      </c>
      <c r="AE184">
        <f t="shared" si="53"/>
        <v>0</v>
      </c>
      <c r="AF184">
        <f t="shared" si="54"/>
        <v>2969688.8465884728</v>
      </c>
      <c r="AG184">
        <v>183</v>
      </c>
      <c r="AH184">
        <f t="shared" si="62"/>
        <v>1650797.7687565628</v>
      </c>
      <c r="AI184">
        <f>IF(AG184&gt;='Loan Prepayment'!$E$11,'Loan Prepayment'!$E$12,'Loan Prepayment'!$B$6)</f>
        <v>7.5</v>
      </c>
      <c r="AJ184">
        <f>IF(AH184&lt;=0,0,MIN(IF(AG184='Loan Prepayment'!$E$11,IF('Loan Prepayment'!$E$13="Keep tenure, recalculate EMI",-PMT(AI184/1200,MAX(1,'Loan Prepayment'!$B$7*12-AG184+1),AH184),AJ183),IF(AND('Loan Prepayment'!$E$15="Reduce EMI",AM183&gt;0),-PMT(AI184/1200,MAX(1,'Loan Prepayment'!$B$7*12-AG184+1),AH184),AJ183)),AH184+AK184))</f>
        <v>77713.634667410894</v>
      </c>
      <c r="AK184">
        <f t="shared" si="55"/>
        <v>10317.486054728519</v>
      </c>
      <c r="AL184">
        <f t="shared" si="56"/>
        <v>67396.148612682373</v>
      </c>
      <c r="AM184">
        <f>IF(AH184&lt;=0,0,MIN(MAX(0,AH184-AL184),SUMIFS('Loan Prepayment'!$B$12:$B$16,'Loan Prepayment'!$A$12:$A$16,AG184)+IF(AND(AG184&gt;='Loan Prepayment'!$B$9,AG184&lt;='Loan Prepayment'!$E$16),'Loan Prepayment'!$B$8,0)))</f>
        <v>0</v>
      </c>
      <c r="AN184">
        <f t="shared" si="57"/>
        <v>1583401.6201438804</v>
      </c>
    </row>
    <row r="185" spans="1:40" x14ac:dyDescent="0.35">
      <c r="A185">
        <v>184</v>
      </c>
      <c r="B185">
        <f t="shared" si="58"/>
        <v>4058200.6108008148</v>
      </c>
      <c r="C185" s="78">
        <f>'Loan Prepayment'!$B$6</f>
        <v>8.5</v>
      </c>
      <c r="D185">
        <f>IF(B185&lt;=0,0,MIN(-PMT('Loan Prepayment'!$B$6/1200,'Loan Prepayment'!$B$7*12,'Loan Prepayment'!$B$5),B185+E185))</f>
        <v>86782.323336553396</v>
      </c>
      <c r="E185">
        <f t="shared" si="42"/>
        <v>28745.587659839108</v>
      </c>
      <c r="F185">
        <f t="shared" si="43"/>
        <v>58036.735676714292</v>
      </c>
      <c r="G185">
        <v>0</v>
      </c>
      <c r="H185">
        <f t="shared" si="44"/>
        <v>4000163.8751241006</v>
      </c>
      <c r="I185">
        <v>184</v>
      </c>
      <c r="J185">
        <f t="shared" si="59"/>
        <v>3403874.832343292</v>
      </c>
      <c r="K185" s="78">
        <f>'Loan Prepayment'!$B$6</f>
        <v>8.5</v>
      </c>
      <c r="L185">
        <f>IF(J185&lt;=0,0,MIN(IF(AND('Loan Prepayment'!$E$15="Reduce EMI",O184&gt;0),-PMT(K185/1200,MAX(1,'Loan Prepayment'!$B$7*12-I185+1),J185),L184),J185+M185))</f>
        <v>72789.936877782937</v>
      </c>
      <c r="M185">
        <f t="shared" si="45"/>
        <v>24110.780062431651</v>
      </c>
      <c r="N185">
        <f t="shared" si="46"/>
        <v>48679.156815351285</v>
      </c>
      <c r="O185">
        <f>IF(J185&lt;=0,0,MIN(MAX(0,J185-N185),SUMIFS('Loan Prepayment'!$B$12:$B$16,'Loan Prepayment'!$A$12:$A$16,I185)+0))</f>
        <v>0</v>
      </c>
      <c r="P185">
        <f t="shared" si="47"/>
        <v>3355195.6755279405</v>
      </c>
      <c r="Q185">
        <v>184</v>
      </c>
      <c r="R185">
        <f t="shared" si="60"/>
        <v>4058200.6108008148</v>
      </c>
      <c r="S185" s="78">
        <f>'Loan Prepayment'!$B$6</f>
        <v>8.5</v>
      </c>
      <c r="T185">
        <f>IF(R185&lt;=0,0,MIN(IF(AND('Loan Prepayment'!$E$15="Reduce EMI",W184&gt;0),-PMT(S185/1200,MAX(1,'Loan Prepayment'!$B$7*12-Q185+1),R185),T184),R185+U185))</f>
        <v>86782.323336553396</v>
      </c>
      <c r="U185">
        <f t="shared" si="48"/>
        <v>28745.587659839108</v>
      </c>
      <c r="V185">
        <f t="shared" si="49"/>
        <v>58036.735676714292</v>
      </c>
      <c r="W185">
        <f>IF(R185&lt;=0,0,MIN(MAX(0,R185-V185),0+IF(AND(Q185&gt;='Loan Prepayment'!$B$9,Q185&lt;='Loan Prepayment'!$E$16),'Loan Prepayment'!$B$8,0)))</f>
        <v>0</v>
      </c>
      <c r="X185">
        <f t="shared" si="50"/>
        <v>4000163.8751241006</v>
      </c>
      <c r="Y185">
        <v>184</v>
      </c>
      <c r="Z185">
        <f t="shared" si="61"/>
        <v>2969688.8465884728</v>
      </c>
      <c r="AA185">
        <f>IF(Y185&gt;='Loan Prepayment'!$E$11,'Loan Prepayment'!$E$12,'Loan Prepayment'!$B$6)</f>
        <v>7.5</v>
      </c>
      <c r="AB185">
        <f>IF(Z185&lt;=0,0,MIN(IF(Y185='Loan Prepayment'!$E$11,IF('Loan Prepayment'!$E$13="Keep tenure, recalculate EMI",-PMT(AA185/1200,MAX(1,'Loan Prepayment'!$B$7*12-Y185+1),Z185),AB184),AB184),Z185+AC185))</f>
        <v>86782.323336553396</v>
      </c>
      <c r="AC185">
        <f t="shared" si="51"/>
        <v>18560.555291177956</v>
      </c>
      <c r="AD185">
        <f t="shared" si="52"/>
        <v>68221.768045375444</v>
      </c>
      <c r="AE185">
        <f t="shared" si="53"/>
        <v>0</v>
      </c>
      <c r="AF185">
        <f t="shared" si="54"/>
        <v>2901467.0785430972</v>
      </c>
      <c r="AG185">
        <v>184</v>
      </c>
      <c r="AH185">
        <f t="shared" si="62"/>
        <v>1583401.6201438804</v>
      </c>
      <c r="AI185">
        <f>IF(AG185&gt;='Loan Prepayment'!$E$11,'Loan Prepayment'!$E$12,'Loan Prepayment'!$B$6)</f>
        <v>7.5</v>
      </c>
      <c r="AJ185">
        <f>IF(AH185&lt;=0,0,MIN(IF(AG185='Loan Prepayment'!$E$11,IF('Loan Prepayment'!$E$13="Keep tenure, recalculate EMI",-PMT(AI185/1200,MAX(1,'Loan Prepayment'!$B$7*12-AG185+1),AH185),AJ184),IF(AND('Loan Prepayment'!$E$15="Reduce EMI",AM184&gt;0),-PMT(AI185/1200,MAX(1,'Loan Prepayment'!$B$7*12-AG185+1),AH185),AJ184)),AH185+AK185))</f>
        <v>77713.634667410894</v>
      </c>
      <c r="AK185">
        <f t="shared" si="55"/>
        <v>9896.2601258992527</v>
      </c>
      <c r="AL185">
        <f t="shared" si="56"/>
        <v>67817.374541511643</v>
      </c>
      <c r="AM185">
        <f>IF(AH185&lt;=0,0,MIN(MAX(0,AH185-AL185),SUMIFS('Loan Prepayment'!$B$12:$B$16,'Loan Prepayment'!$A$12:$A$16,AG185)+IF(AND(AG185&gt;='Loan Prepayment'!$B$9,AG185&lt;='Loan Prepayment'!$E$16),'Loan Prepayment'!$B$8,0)))</f>
        <v>0</v>
      </c>
      <c r="AN185">
        <f t="shared" si="57"/>
        <v>1515584.2456023688</v>
      </c>
    </row>
    <row r="186" spans="1:40" x14ac:dyDescent="0.35">
      <c r="A186">
        <v>185</v>
      </c>
      <c r="B186">
        <f t="shared" si="58"/>
        <v>4000163.8751241006</v>
      </c>
      <c r="C186" s="78">
        <f>'Loan Prepayment'!$B$6</f>
        <v>8.5</v>
      </c>
      <c r="D186">
        <f>IF(B186&lt;=0,0,MIN(-PMT('Loan Prepayment'!$B$6/1200,'Loan Prepayment'!$B$7*12,'Loan Prepayment'!$B$5),B186+E186))</f>
        <v>86782.323336553396</v>
      </c>
      <c r="E186">
        <f t="shared" si="42"/>
        <v>28334.494115462378</v>
      </c>
      <c r="F186">
        <f t="shared" si="43"/>
        <v>58447.829221091015</v>
      </c>
      <c r="G186">
        <v>0</v>
      </c>
      <c r="H186">
        <f t="shared" si="44"/>
        <v>3941716.0459030094</v>
      </c>
      <c r="I186">
        <v>185</v>
      </c>
      <c r="J186">
        <f t="shared" si="59"/>
        <v>3355195.6755279405</v>
      </c>
      <c r="K186" s="78">
        <f>'Loan Prepayment'!$B$6</f>
        <v>8.5</v>
      </c>
      <c r="L186">
        <f>IF(J186&lt;=0,0,MIN(IF(AND('Loan Prepayment'!$E$15="Reduce EMI",O185&gt;0),-PMT(K186/1200,MAX(1,'Loan Prepayment'!$B$7*12-I186+1),J186),L185),J186+M186))</f>
        <v>72789.936877782937</v>
      </c>
      <c r="M186">
        <f t="shared" si="45"/>
        <v>23765.969368322912</v>
      </c>
      <c r="N186">
        <f t="shared" si="46"/>
        <v>49023.967509460024</v>
      </c>
      <c r="O186">
        <f>IF(J186&lt;=0,0,MIN(MAX(0,J186-N186),SUMIFS('Loan Prepayment'!$B$12:$B$16,'Loan Prepayment'!$A$12:$A$16,I186)+0))</f>
        <v>0</v>
      </c>
      <c r="P186">
        <f t="shared" si="47"/>
        <v>3306171.7080184803</v>
      </c>
      <c r="Q186">
        <v>185</v>
      </c>
      <c r="R186">
        <f t="shared" si="60"/>
        <v>4000163.8751241006</v>
      </c>
      <c r="S186" s="78">
        <f>'Loan Prepayment'!$B$6</f>
        <v>8.5</v>
      </c>
      <c r="T186">
        <f>IF(R186&lt;=0,0,MIN(IF(AND('Loan Prepayment'!$E$15="Reduce EMI",W185&gt;0),-PMT(S186/1200,MAX(1,'Loan Prepayment'!$B$7*12-Q186+1),R186),T185),R186+U186))</f>
        <v>86782.323336553396</v>
      </c>
      <c r="U186">
        <f t="shared" si="48"/>
        <v>28334.494115462378</v>
      </c>
      <c r="V186">
        <f t="shared" si="49"/>
        <v>58447.829221091015</v>
      </c>
      <c r="W186">
        <f>IF(R186&lt;=0,0,MIN(MAX(0,R186-V186),0+IF(AND(Q186&gt;='Loan Prepayment'!$B$9,Q186&lt;='Loan Prepayment'!$E$16),'Loan Prepayment'!$B$8,0)))</f>
        <v>0</v>
      </c>
      <c r="X186">
        <f t="shared" si="50"/>
        <v>3941716.0459030094</v>
      </c>
      <c r="Y186">
        <v>185</v>
      </c>
      <c r="Z186">
        <f t="shared" si="61"/>
        <v>2901467.0785430972</v>
      </c>
      <c r="AA186">
        <f>IF(Y186&gt;='Loan Prepayment'!$E$11,'Loan Prepayment'!$E$12,'Loan Prepayment'!$B$6)</f>
        <v>7.5</v>
      </c>
      <c r="AB186">
        <f>IF(Z186&lt;=0,0,MIN(IF(Y186='Loan Prepayment'!$E$11,IF('Loan Prepayment'!$E$13="Keep tenure, recalculate EMI",-PMT(AA186/1200,MAX(1,'Loan Prepayment'!$B$7*12-Y186+1),Z186),AB185),AB185),Z186+AC186))</f>
        <v>86782.323336553396</v>
      </c>
      <c r="AC186">
        <f t="shared" si="51"/>
        <v>18134.169240894356</v>
      </c>
      <c r="AD186">
        <f t="shared" si="52"/>
        <v>68648.154095659032</v>
      </c>
      <c r="AE186">
        <f t="shared" si="53"/>
        <v>0</v>
      </c>
      <c r="AF186">
        <f t="shared" si="54"/>
        <v>2832818.9244474382</v>
      </c>
      <c r="AG186">
        <v>185</v>
      </c>
      <c r="AH186">
        <f t="shared" si="62"/>
        <v>1515584.2456023688</v>
      </c>
      <c r="AI186">
        <f>IF(AG186&gt;='Loan Prepayment'!$E$11,'Loan Prepayment'!$E$12,'Loan Prepayment'!$B$6)</f>
        <v>7.5</v>
      </c>
      <c r="AJ186">
        <f>IF(AH186&lt;=0,0,MIN(IF(AG186='Loan Prepayment'!$E$11,IF('Loan Prepayment'!$E$13="Keep tenure, recalculate EMI",-PMT(AI186/1200,MAX(1,'Loan Prepayment'!$B$7*12-AG186+1),AH186),AJ185),IF(AND('Loan Prepayment'!$E$15="Reduce EMI",AM185&gt;0),-PMT(AI186/1200,MAX(1,'Loan Prepayment'!$B$7*12-AG186+1),AH186),AJ185)),AH186+AK186))</f>
        <v>77713.634667410894</v>
      </c>
      <c r="AK186">
        <f t="shared" si="55"/>
        <v>9472.4015350148056</v>
      </c>
      <c r="AL186">
        <f t="shared" si="56"/>
        <v>68241.233132396083</v>
      </c>
      <c r="AM186">
        <f>IF(AH186&lt;=0,0,MIN(MAX(0,AH186-AL186),SUMIFS('Loan Prepayment'!$B$12:$B$16,'Loan Prepayment'!$A$12:$A$16,AG186)+IF(AND(AG186&gt;='Loan Prepayment'!$B$9,AG186&lt;='Loan Prepayment'!$E$16),'Loan Prepayment'!$B$8,0)))</f>
        <v>0</v>
      </c>
      <c r="AN186">
        <f t="shared" si="57"/>
        <v>1447343.0124699727</v>
      </c>
    </row>
    <row r="187" spans="1:40" x14ac:dyDescent="0.35">
      <c r="A187">
        <v>186</v>
      </c>
      <c r="B187">
        <f t="shared" si="58"/>
        <v>3941716.0459030094</v>
      </c>
      <c r="C187" s="78">
        <f>'Loan Prepayment'!$B$6</f>
        <v>8.5</v>
      </c>
      <c r="D187">
        <f>IF(B187&lt;=0,0,MIN(-PMT('Loan Prepayment'!$B$6/1200,'Loan Prepayment'!$B$7*12,'Loan Prepayment'!$B$5),B187+E187))</f>
        <v>86782.323336553396</v>
      </c>
      <c r="E187">
        <f t="shared" si="42"/>
        <v>27920.488658479651</v>
      </c>
      <c r="F187">
        <f t="shared" si="43"/>
        <v>58861.834678073748</v>
      </c>
      <c r="G187">
        <v>0</v>
      </c>
      <c r="H187">
        <f t="shared" si="44"/>
        <v>3882854.2112249355</v>
      </c>
      <c r="I187">
        <v>186</v>
      </c>
      <c r="J187">
        <f t="shared" si="59"/>
        <v>3306171.7080184803</v>
      </c>
      <c r="K187" s="78">
        <f>'Loan Prepayment'!$B$6</f>
        <v>8.5</v>
      </c>
      <c r="L187">
        <f>IF(J187&lt;=0,0,MIN(IF(AND('Loan Prepayment'!$E$15="Reduce EMI",O186&gt;0),-PMT(K187/1200,MAX(1,'Loan Prepayment'!$B$7*12-I187+1),J187),L186),J187+M187))</f>
        <v>72789.936877782937</v>
      </c>
      <c r="M187">
        <f t="shared" si="45"/>
        <v>23418.716265130905</v>
      </c>
      <c r="N187">
        <f t="shared" si="46"/>
        <v>49371.220612652032</v>
      </c>
      <c r="O187">
        <f>IF(J187&lt;=0,0,MIN(MAX(0,J187-N187),SUMIFS('Loan Prepayment'!$B$12:$B$16,'Loan Prepayment'!$A$12:$A$16,I187)+0))</f>
        <v>0</v>
      </c>
      <c r="P187">
        <f t="shared" si="47"/>
        <v>3256800.4874058282</v>
      </c>
      <c r="Q187">
        <v>186</v>
      </c>
      <c r="R187">
        <f t="shared" si="60"/>
        <v>3941716.0459030094</v>
      </c>
      <c r="S187" s="78">
        <f>'Loan Prepayment'!$B$6</f>
        <v>8.5</v>
      </c>
      <c r="T187">
        <f>IF(R187&lt;=0,0,MIN(IF(AND('Loan Prepayment'!$E$15="Reduce EMI",W186&gt;0),-PMT(S187/1200,MAX(1,'Loan Prepayment'!$B$7*12-Q187+1),R187),T186),R187+U187))</f>
        <v>86782.323336553396</v>
      </c>
      <c r="U187">
        <f t="shared" si="48"/>
        <v>27920.488658479651</v>
      </c>
      <c r="V187">
        <f t="shared" si="49"/>
        <v>58861.834678073748</v>
      </c>
      <c r="W187">
        <f>IF(R187&lt;=0,0,MIN(MAX(0,R187-V187),0+IF(AND(Q187&gt;='Loan Prepayment'!$B$9,Q187&lt;='Loan Prepayment'!$E$16),'Loan Prepayment'!$B$8,0)))</f>
        <v>0</v>
      </c>
      <c r="X187">
        <f t="shared" si="50"/>
        <v>3882854.2112249355</v>
      </c>
      <c r="Y187">
        <v>186</v>
      </c>
      <c r="Z187">
        <f t="shared" si="61"/>
        <v>2832818.9244474382</v>
      </c>
      <c r="AA187">
        <f>IF(Y187&gt;='Loan Prepayment'!$E$11,'Loan Prepayment'!$E$12,'Loan Prepayment'!$B$6)</f>
        <v>7.5</v>
      </c>
      <c r="AB187">
        <f>IF(Z187&lt;=0,0,MIN(IF(Y187='Loan Prepayment'!$E$11,IF('Loan Prepayment'!$E$13="Keep tenure, recalculate EMI",-PMT(AA187/1200,MAX(1,'Loan Prepayment'!$B$7*12-Y187+1),Z187),AB186),AB186),Z187+AC187))</f>
        <v>86782.323336553396</v>
      </c>
      <c r="AC187">
        <f t="shared" si="51"/>
        <v>17705.11827779649</v>
      </c>
      <c r="AD187">
        <f t="shared" si="52"/>
        <v>69077.20505875691</v>
      </c>
      <c r="AE187">
        <f t="shared" si="53"/>
        <v>0</v>
      </c>
      <c r="AF187">
        <f t="shared" si="54"/>
        <v>2763741.7193886815</v>
      </c>
      <c r="AG187">
        <v>186</v>
      </c>
      <c r="AH187">
        <f t="shared" si="62"/>
        <v>1447343.0124699727</v>
      </c>
      <c r="AI187">
        <f>IF(AG187&gt;='Loan Prepayment'!$E$11,'Loan Prepayment'!$E$12,'Loan Prepayment'!$B$6)</f>
        <v>7.5</v>
      </c>
      <c r="AJ187">
        <f>IF(AH187&lt;=0,0,MIN(IF(AG187='Loan Prepayment'!$E$11,IF('Loan Prepayment'!$E$13="Keep tenure, recalculate EMI",-PMT(AI187/1200,MAX(1,'Loan Prepayment'!$B$7*12-AG187+1),AH187),AJ186),IF(AND('Loan Prepayment'!$E$15="Reduce EMI",AM186&gt;0),-PMT(AI187/1200,MAX(1,'Loan Prepayment'!$B$7*12-AG187+1),AH187),AJ186)),AH187+AK187))</f>
        <v>77713.634667410894</v>
      </c>
      <c r="AK187">
        <f t="shared" si="55"/>
        <v>9045.8938279373288</v>
      </c>
      <c r="AL187">
        <f t="shared" si="56"/>
        <v>68667.740839473568</v>
      </c>
      <c r="AM187">
        <f>IF(AH187&lt;=0,0,MIN(MAX(0,AH187-AL187),SUMIFS('Loan Prepayment'!$B$12:$B$16,'Loan Prepayment'!$A$12:$A$16,AG187)+IF(AND(AG187&gt;='Loan Prepayment'!$B$9,AG187&lt;='Loan Prepayment'!$E$16),'Loan Prepayment'!$B$8,0)))</f>
        <v>0</v>
      </c>
      <c r="AN187">
        <f t="shared" si="57"/>
        <v>1378675.271630499</v>
      </c>
    </row>
    <row r="188" spans="1:40" x14ac:dyDescent="0.35">
      <c r="A188">
        <v>187</v>
      </c>
      <c r="B188">
        <f t="shared" si="58"/>
        <v>3882854.2112249355</v>
      </c>
      <c r="C188" s="78">
        <f>'Loan Prepayment'!$B$6</f>
        <v>8.5</v>
      </c>
      <c r="D188">
        <f>IF(B188&lt;=0,0,MIN(-PMT('Loan Prepayment'!$B$6/1200,'Loan Prepayment'!$B$7*12,'Loan Prepayment'!$B$5),B188+E188))</f>
        <v>86782.323336553396</v>
      </c>
      <c r="E188">
        <f t="shared" si="42"/>
        <v>27503.550662843292</v>
      </c>
      <c r="F188">
        <f t="shared" si="43"/>
        <v>59278.772673710104</v>
      </c>
      <c r="G188">
        <v>0</v>
      </c>
      <c r="H188">
        <f t="shared" si="44"/>
        <v>3823575.4385512252</v>
      </c>
      <c r="I188">
        <v>187</v>
      </c>
      <c r="J188">
        <f t="shared" si="59"/>
        <v>3256800.4874058282</v>
      </c>
      <c r="K188" s="78">
        <f>'Loan Prepayment'!$B$6</f>
        <v>8.5</v>
      </c>
      <c r="L188">
        <f>IF(J188&lt;=0,0,MIN(IF(AND('Loan Prepayment'!$E$15="Reduce EMI",O187&gt;0),-PMT(K188/1200,MAX(1,'Loan Prepayment'!$B$7*12-I188+1),J188),L187),J188+M188))</f>
        <v>72789.936877782937</v>
      </c>
      <c r="M188">
        <f t="shared" si="45"/>
        <v>23069.00345245795</v>
      </c>
      <c r="N188">
        <f t="shared" si="46"/>
        <v>49720.933425324984</v>
      </c>
      <c r="O188">
        <f>IF(J188&lt;=0,0,MIN(MAX(0,J188-N188),SUMIFS('Loan Prepayment'!$B$12:$B$16,'Loan Prepayment'!$A$12:$A$16,I188)+0))</f>
        <v>0</v>
      </c>
      <c r="P188">
        <f t="shared" si="47"/>
        <v>3207079.5539805032</v>
      </c>
      <c r="Q188">
        <v>187</v>
      </c>
      <c r="R188">
        <f t="shared" si="60"/>
        <v>3882854.2112249355</v>
      </c>
      <c r="S188" s="78">
        <f>'Loan Prepayment'!$B$6</f>
        <v>8.5</v>
      </c>
      <c r="T188">
        <f>IF(R188&lt;=0,0,MIN(IF(AND('Loan Prepayment'!$E$15="Reduce EMI",W187&gt;0),-PMT(S188/1200,MAX(1,'Loan Prepayment'!$B$7*12-Q188+1),R188),T187),R188+U188))</f>
        <v>86782.323336553396</v>
      </c>
      <c r="U188">
        <f t="shared" si="48"/>
        <v>27503.550662843292</v>
      </c>
      <c r="V188">
        <f t="shared" si="49"/>
        <v>59278.772673710104</v>
      </c>
      <c r="W188">
        <f>IF(R188&lt;=0,0,MIN(MAX(0,R188-V188),0+IF(AND(Q188&gt;='Loan Prepayment'!$B$9,Q188&lt;='Loan Prepayment'!$E$16),'Loan Prepayment'!$B$8,0)))</f>
        <v>0</v>
      </c>
      <c r="X188">
        <f t="shared" si="50"/>
        <v>3823575.4385512252</v>
      </c>
      <c r="Y188">
        <v>187</v>
      </c>
      <c r="Z188">
        <f t="shared" si="61"/>
        <v>2763741.7193886815</v>
      </c>
      <c r="AA188">
        <f>IF(Y188&gt;='Loan Prepayment'!$E$11,'Loan Prepayment'!$E$12,'Loan Prepayment'!$B$6)</f>
        <v>7.5</v>
      </c>
      <c r="AB188">
        <f>IF(Z188&lt;=0,0,MIN(IF(Y188='Loan Prepayment'!$E$11,IF('Loan Prepayment'!$E$13="Keep tenure, recalculate EMI",-PMT(AA188/1200,MAX(1,'Loan Prepayment'!$B$7*12-Y188+1),Z188),AB187),AB187),Z188+AC188))</f>
        <v>86782.323336553396</v>
      </c>
      <c r="AC188">
        <f t="shared" si="51"/>
        <v>17273.385746179261</v>
      </c>
      <c r="AD188">
        <f t="shared" si="52"/>
        <v>69508.937590374131</v>
      </c>
      <c r="AE188">
        <f t="shared" si="53"/>
        <v>0</v>
      </c>
      <c r="AF188">
        <f t="shared" si="54"/>
        <v>2694232.7817983073</v>
      </c>
      <c r="AG188">
        <v>187</v>
      </c>
      <c r="AH188">
        <f t="shared" si="62"/>
        <v>1378675.271630499</v>
      </c>
      <c r="AI188">
        <f>IF(AG188&gt;='Loan Prepayment'!$E$11,'Loan Prepayment'!$E$12,'Loan Prepayment'!$B$6)</f>
        <v>7.5</v>
      </c>
      <c r="AJ188">
        <f>IF(AH188&lt;=0,0,MIN(IF(AG188='Loan Prepayment'!$E$11,IF('Loan Prepayment'!$E$13="Keep tenure, recalculate EMI",-PMT(AI188/1200,MAX(1,'Loan Prepayment'!$B$7*12-AG188+1),AH188),AJ187),IF(AND('Loan Prepayment'!$E$15="Reduce EMI",AM187&gt;0),-PMT(AI188/1200,MAX(1,'Loan Prepayment'!$B$7*12-AG188+1),AH188),AJ187)),AH188+AK188))</f>
        <v>77713.634667410894</v>
      </c>
      <c r="AK188">
        <f t="shared" si="55"/>
        <v>8616.720447690619</v>
      </c>
      <c r="AL188">
        <f t="shared" si="56"/>
        <v>69096.914219720275</v>
      </c>
      <c r="AM188">
        <f>IF(AH188&lt;=0,0,MIN(MAX(0,AH188-AL188),SUMIFS('Loan Prepayment'!$B$12:$B$16,'Loan Prepayment'!$A$12:$A$16,AG188)+IF(AND(AG188&gt;='Loan Prepayment'!$B$9,AG188&lt;='Loan Prepayment'!$E$16),'Loan Prepayment'!$B$8,0)))</f>
        <v>0</v>
      </c>
      <c r="AN188">
        <f t="shared" si="57"/>
        <v>1309578.3574107788</v>
      </c>
    </row>
    <row r="189" spans="1:40" x14ac:dyDescent="0.35">
      <c r="A189">
        <v>188</v>
      </c>
      <c r="B189">
        <f t="shared" si="58"/>
        <v>3823575.4385512252</v>
      </c>
      <c r="C189" s="78">
        <f>'Loan Prepayment'!$B$6</f>
        <v>8.5</v>
      </c>
      <c r="D189">
        <f>IF(B189&lt;=0,0,MIN(-PMT('Loan Prepayment'!$B$6/1200,'Loan Prepayment'!$B$7*12,'Loan Prepayment'!$B$5),B189+E189))</f>
        <v>86782.323336553396</v>
      </c>
      <c r="E189">
        <f t="shared" si="42"/>
        <v>27083.659356404511</v>
      </c>
      <c r="F189">
        <f t="shared" si="43"/>
        <v>59698.663980148885</v>
      </c>
      <c r="G189">
        <v>0</v>
      </c>
      <c r="H189">
        <f t="shared" si="44"/>
        <v>3763876.7745710765</v>
      </c>
      <c r="I189">
        <v>188</v>
      </c>
      <c r="J189">
        <f t="shared" si="59"/>
        <v>3207079.5539805032</v>
      </c>
      <c r="K189" s="78">
        <f>'Loan Prepayment'!$B$6</f>
        <v>8.5</v>
      </c>
      <c r="L189">
        <f>IF(J189&lt;=0,0,MIN(IF(AND('Loan Prepayment'!$E$15="Reduce EMI",O188&gt;0),-PMT(K189/1200,MAX(1,'Loan Prepayment'!$B$7*12-I189+1),J189),L188),J189+M189))</f>
        <v>72789.936877782937</v>
      </c>
      <c r="M189">
        <f t="shared" si="45"/>
        <v>22716.813507361898</v>
      </c>
      <c r="N189">
        <f t="shared" si="46"/>
        <v>50073.123370421039</v>
      </c>
      <c r="O189">
        <f>IF(J189&lt;=0,0,MIN(MAX(0,J189-N189),SUMIFS('Loan Prepayment'!$B$12:$B$16,'Loan Prepayment'!$A$12:$A$16,I189)+0))</f>
        <v>0</v>
      </c>
      <c r="P189">
        <f t="shared" si="47"/>
        <v>3157006.4306100821</v>
      </c>
      <c r="Q189">
        <v>188</v>
      </c>
      <c r="R189">
        <f t="shared" si="60"/>
        <v>3823575.4385512252</v>
      </c>
      <c r="S189" s="78">
        <f>'Loan Prepayment'!$B$6</f>
        <v>8.5</v>
      </c>
      <c r="T189">
        <f>IF(R189&lt;=0,0,MIN(IF(AND('Loan Prepayment'!$E$15="Reduce EMI",W188&gt;0),-PMT(S189/1200,MAX(1,'Loan Prepayment'!$B$7*12-Q189+1),R189),T188),R189+U189))</f>
        <v>86782.323336553396</v>
      </c>
      <c r="U189">
        <f t="shared" si="48"/>
        <v>27083.659356404511</v>
      </c>
      <c r="V189">
        <f t="shared" si="49"/>
        <v>59698.663980148885</v>
      </c>
      <c r="W189">
        <f>IF(R189&lt;=0,0,MIN(MAX(0,R189-V189),0+IF(AND(Q189&gt;='Loan Prepayment'!$B$9,Q189&lt;='Loan Prepayment'!$E$16),'Loan Prepayment'!$B$8,0)))</f>
        <v>0</v>
      </c>
      <c r="X189">
        <f t="shared" si="50"/>
        <v>3763876.7745710765</v>
      </c>
      <c r="Y189">
        <v>188</v>
      </c>
      <c r="Z189">
        <f t="shared" si="61"/>
        <v>2694232.7817983073</v>
      </c>
      <c r="AA189">
        <f>IF(Y189&gt;='Loan Prepayment'!$E$11,'Loan Prepayment'!$E$12,'Loan Prepayment'!$B$6)</f>
        <v>7.5</v>
      </c>
      <c r="AB189">
        <f>IF(Z189&lt;=0,0,MIN(IF(Y189='Loan Prepayment'!$E$11,IF('Loan Prepayment'!$E$13="Keep tenure, recalculate EMI",-PMT(AA189/1200,MAX(1,'Loan Prepayment'!$B$7*12-Y189+1),Z189),AB188),AB188),Z189+AC189))</f>
        <v>86782.323336553396</v>
      </c>
      <c r="AC189">
        <f t="shared" si="51"/>
        <v>16838.954886239419</v>
      </c>
      <c r="AD189">
        <f t="shared" si="52"/>
        <v>69943.368450313981</v>
      </c>
      <c r="AE189">
        <f t="shared" si="53"/>
        <v>0</v>
      </c>
      <c r="AF189">
        <f t="shared" si="54"/>
        <v>2624289.4133479935</v>
      </c>
      <c r="AG189">
        <v>188</v>
      </c>
      <c r="AH189">
        <f t="shared" si="62"/>
        <v>1309578.3574107788</v>
      </c>
      <c r="AI189">
        <f>IF(AG189&gt;='Loan Prepayment'!$E$11,'Loan Prepayment'!$E$12,'Loan Prepayment'!$B$6)</f>
        <v>7.5</v>
      </c>
      <c r="AJ189">
        <f>IF(AH189&lt;=0,0,MIN(IF(AG189='Loan Prepayment'!$E$11,IF('Loan Prepayment'!$E$13="Keep tenure, recalculate EMI",-PMT(AI189/1200,MAX(1,'Loan Prepayment'!$B$7*12-AG189+1),AH189),AJ188),IF(AND('Loan Prepayment'!$E$15="Reduce EMI",AM188&gt;0),-PMT(AI189/1200,MAX(1,'Loan Prepayment'!$B$7*12-AG189+1),AH189),AJ188)),AH189+AK189))</f>
        <v>77713.634667410894</v>
      </c>
      <c r="AK189">
        <f t="shared" si="55"/>
        <v>8184.8647338173678</v>
      </c>
      <c r="AL189">
        <f t="shared" si="56"/>
        <v>69528.769933593532</v>
      </c>
      <c r="AM189">
        <f>IF(AH189&lt;=0,0,MIN(MAX(0,AH189-AL189),SUMIFS('Loan Prepayment'!$B$12:$B$16,'Loan Prepayment'!$A$12:$A$16,AG189)+IF(AND(AG189&gt;='Loan Prepayment'!$B$9,AG189&lt;='Loan Prepayment'!$E$16),'Loan Prepayment'!$B$8,0)))</f>
        <v>0</v>
      </c>
      <c r="AN189">
        <f t="shared" si="57"/>
        <v>1240049.5874771853</v>
      </c>
    </row>
    <row r="190" spans="1:40" x14ac:dyDescent="0.35">
      <c r="A190">
        <v>189</v>
      </c>
      <c r="B190">
        <f t="shared" si="58"/>
        <v>3763876.7745710765</v>
      </c>
      <c r="C190" s="78">
        <f>'Loan Prepayment'!$B$6</f>
        <v>8.5</v>
      </c>
      <c r="D190">
        <f>IF(B190&lt;=0,0,MIN(-PMT('Loan Prepayment'!$B$6/1200,'Loan Prepayment'!$B$7*12,'Loan Prepayment'!$B$5),B190+E190))</f>
        <v>86782.323336553396</v>
      </c>
      <c r="E190">
        <f t="shared" si="42"/>
        <v>26660.793819878458</v>
      </c>
      <c r="F190">
        <f t="shared" si="43"/>
        <v>60121.529516674942</v>
      </c>
      <c r="G190">
        <v>0</v>
      </c>
      <c r="H190">
        <f t="shared" si="44"/>
        <v>3703755.2450544015</v>
      </c>
      <c r="I190">
        <v>189</v>
      </c>
      <c r="J190">
        <f t="shared" si="59"/>
        <v>3157006.4306100821</v>
      </c>
      <c r="K190" s="78">
        <f>'Loan Prepayment'!$B$6</f>
        <v>8.5</v>
      </c>
      <c r="L190">
        <f>IF(J190&lt;=0,0,MIN(IF(AND('Loan Prepayment'!$E$15="Reduce EMI",O189&gt;0),-PMT(K190/1200,MAX(1,'Loan Prepayment'!$B$7*12-I190+1),J190),L189),J190+M190))</f>
        <v>72789.936877782937</v>
      </c>
      <c r="M190">
        <f t="shared" si="45"/>
        <v>22362.128883488083</v>
      </c>
      <c r="N190">
        <f t="shared" si="46"/>
        <v>50427.807994294853</v>
      </c>
      <c r="O190">
        <f>IF(J190&lt;=0,0,MIN(MAX(0,J190-N190),SUMIFS('Loan Prepayment'!$B$12:$B$16,'Loan Prepayment'!$A$12:$A$16,I190)+0))</f>
        <v>0</v>
      </c>
      <c r="P190">
        <f t="shared" si="47"/>
        <v>3106578.6226157872</v>
      </c>
      <c r="Q190">
        <v>189</v>
      </c>
      <c r="R190">
        <f t="shared" si="60"/>
        <v>3763876.7745710765</v>
      </c>
      <c r="S190" s="78">
        <f>'Loan Prepayment'!$B$6</f>
        <v>8.5</v>
      </c>
      <c r="T190">
        <f>IF(R190&lt;=0,0,MIN(IF(AND('Loan Prepayment'!$E$15="Reduce EMI",W189&gt;0),-PMT(S190/1200,MAX(1,'Loan Prepayment'!$B$7*12-Q190+1),R190),T189),R190+U190))</f>
        <v>86782.323336553396</v>
      </c>
      <c r="U190">
        <f t="shared" si="48"/>
        <v>26660.793819878458</v>
      </c>
      <c r="V190">
        <f t="shared" si="49"/>
        <v>60121.529516674942</v>
      </c>
      <c r="W190">
        <f>IF(R190&lt;=0,0,MIN(MAX(0,R190-V190),0+IF(AND(Q190&gt;='Loan Prepayment'!$B$9,Q190&lt;='Loan Prepayment'!$E$16),'Loan Prepayment'!$B$8,0)))</f>
        <v>0</v>
      </c>
      <c r="X190">
        <f t="shared" si="50"/>
        <v>3703755.2450544015</v>
      </c>
      <c r="Y190">
        <v>189</v>
      </c>
      <c r="Z190">
        <f t="shared" si="61"/>
        <v>2624289.4133479935</v>
      </c>
      <c r="AA190">
        <f>IF(Y190&gt;='Loan Prepayment'!$E$11,'Loan Prepayment'!$E$12,'Loan Prepayment'!$B$6)</f>
        <v>7.5</v>
      </c>
      <c r="AB190">
        <f>IF(Z190&lt;=0,0,MIN(IF(Y190='Loan Prepayment'!$E$11,IF('Loan Prepayment'!$E$13="Keep tenure, recalculate EMI",-PMT(AA190/1200,MAX(1,'Loan Prepayment'!$B$7*12-Y190+1),Z190),AB189),AB189),Z190+AC190))</f>
        <v>86782.323336553396</v>
      </c>
      <c r="AC190">
        <f t="shared" si="51"/>
        <v>16401.808833424959</v>
      </c>
      <c r="AD190">
        <f t="shared" si="52"/>
        <v>70380.514503128434</v>
      </c>
      <c r="AE190">
        <f t="shared" si="53"/>
        <v>0</v>
      </c>
      <c r="AF190">
        <f t="shared" si="54"/>
        <v>2553908.8988448652</v>
      </c>
      <c r="AG190">
        <v>189</v>
      </c>
      <c r="AH190">
        <f t="shared" si="62"/>
        <v>1240049.5874771853</v>
      </c>
      <c r="AI190">
        <f>IF(AG190&gt;='Loan Prepayment'!$E$11,'Loan Prepayment'!$E$12,'Loan Prepayment'!$B$6)</f>
        <v>7.5</v>
      </c>
      <c r="AJ190">
        <f>IF(AH190&lt;=0,0,MIN(IF(AG190='Loan Prepayment'!$E$11,IF('Loan Prepayment'!$E$13="Keep tenure, recalculate EMI",-PMT(AI190/1200,MAX(1,'Loan Prepayment'!$B$7*12-AG190+1),AH190),AJ189),IF(AND('Loan Prepayment'!$E$15="Reduce EMI",AM189&gt;0),-PMT(AI190/1200,MAX(1,'Loan Prepayment'!$B$7*12-AG190+1),AH190),AJ189)),AH190+AK190))</f>
        <v>77713.634667410894</v>
      </c>
      <c r="AK190">
        <f t="shared" si="55"/>
        <v>7750.3099217324079</v>
      </c>
      <c r="AL190">
        <f t="shared" si="56"/>
        <v>69963.324745678488</v>
      </c>
      <c r="AM190">
        <f>IF(AH190&lt;=0,0,MIN(MAX(0,AH190-AL190),SUMIFS('Loan Prepayment'!$B$12:$B$16,'Loan Prepayment'!$A$12:$A$16,AG190)+IF(AND(AG190&gt;='Loan Prepayment'!$B$9,AG190&lt;='Loan Prepayment'!$E$16),'Loan Prepayment'!$B$8,0)))</f>
        <v>0</v>
      </c>
      <c r="AN190">
        <f t="shared" si="57"/>
        <v>1170086.2627315067</v>
      </c>
    </row>
    <row r="191" spans="1:40" x14ac:dyDescent="0.35">
      <c r="A191">
        <v>190</v>
      </c>
      <c r="B191">
        <f t="shared" si="58"/>
        <v>3703755.2450544015</v>
      </c>
      <c r="C191" s="78">
        <f>'Loan Prepayment'!$B$6</f>
        <v>8.5</v>
      </c>
      <c r="D191">
        <f>IF(B191&lt;=0,0,MIN(-PMT('Loan Prepayment'!$B$6/1200,'Loan Prepayment'!$B$7*12,'Loan Prepayment'!$B$5),B191+E191))</f>
        <v>86782.323336553396</v>
      </c>
      <c r="E191">
        <f t="shared" si="42"/>
        <v>26234.93298580201</v>
      </c>
      <c r="F191">
        <f t="shared" si="43"/>
        <v>60547.39035075139</v>
      </c>
      <c r="G191">
        <v>0</v>
      </c>
      <c r="H191">
        <f t="shared" si="44"/>
        <v>3643207.8547036499</v>
      </c>
      <c r="I191">
        <v>190</v>
      </c>
      <c r="J191">
        <f t="shared" si="59"/>
        <v>3106578.6226157872</v>
      </c>
      <c r="K191" s="78">
        <f>'Loan Prepayment'!$B$6</f>
        <v>8.5</v>
      </c>
      <c r="L191">
        <f>IF(J191&lt;=0,0,MIN(IF(AND('Loan Prepayment'!$E$15="Reduce EMI",O190&gt;0),-PMT(K191/1200,MAX(1,'Loan Prepayment'!$B$7*12-I191+1),J191),L190),J191+M191))</f>
        <v>72789.936877782937</v>
      </c>
      <c r="M191">
        <f t="shared" si="45"/>
        <v>22004.931910195159</v>
      </c>
      <c r="N191">
        <f t="shared" si="46"/>
        <v>50785.004967587782</v>
      </c>
      <c r="O191">
        <f>IF(J191&lt;=0,0,MIN(MAX(0,J191-N191),SUMIFS('Loan Prepayment'!$B$12:$B$16,'Loan Prepayment'!$A$12:$A$16,I191)+0))</f>
        <v>0</v>
      </c>
      <c r="P191">
        <f t="shared" si="47"/>
        <v>3055793.6176481992</v>
      </c>
      <c r="Q191">
        <v>190</v>
      </c>
      <c r="R191">
        <f t="shared" si="60"/>
        <v>3703755.2450544015</v>
      </c>
      <c r="S191" s="78">
        <f>'Loan Prepayment'!$B$6</f>
        <v>8.5</v>
      </c>
      <c r="T191">
        <f>IF(R191&lt;=0,0,MIN(IF(AND('Loan Prepayment'!$E$15="Reduce EMI",W190&gt;0),-PMT(S191/1200,MAX(1,'Loan Prepayment'!$B$7*12-Q191+1),R191),T190),R191+U191))</f>
        <v>86782.323336553396</v>
      </c>
      <c r="U191">
        <f t="shared" si="48"/>
        <v>26234.93298580201</v>
      </c>
      <c r="V191">
        <f t="shared" si="49"/>
        <v>60547.39035075139</v>
      </c>
      <c r="W191">
        <f>IF(R191&lt;=0,0,MIN(MAX(0,R191-V191),0+IF(AND(Q191&gt;='Loan Prepayment'!$B$9,Q191&lt;='Loan Prepayment'!$E$16),'Loan Prepayment'!$B$8,0)))</f>
        <v>0</v>
      </c>
      <c r="X191">
        <f t="shared" si="50"/>
        <v>3643207.8547036499</v>
      </c>
      <c r="Y191">
        <v>190</v>
      </c>
      <c r="Z191">
        <f t="shared" si="61"/>
        <v>2553908.8988448652</v>
      </c>
      <c r="AA191">
        <f>IF(Y191&gt;='Loan Prepayment'!$E$11,'Loan Prepayment'!$E$12,'Loan Prepayment'!$B$6)</f>
        <v>7.5</v>
      </c>
      <c r="AB191">
        <f>IF(Z191&lt;=0,0,MIN(IF(Y191='Loan Prepayment'!$E$11,IF('Loan Prepayment'!$E$13="Keep tenure, recalculate EMI",-PMT(AA191/1200,MAX(1,'Loan Prepayment'!$B$7*12-Y191+1),Z191),AB190),AB190),Z191+AC191))</f>
        <v>86782.323336553396</v>
      </c>
      <c r="AC191">
        <f t="shared" si="51"/>
        <v>15961.930617780406</v>
      </c>
      <c r="AD191">
        <f t="shared" si="52"/>
        <v>70820.392718772986</v>
      </c>
      <c r="AE191">
        <f t="shared" si="53"/>
        <v>0</v>
      </c>
      <c r="AF191">
        <f t="shared" si="54"/>
        <v>2483088.5061260923</v>
      </c>
      <c r="AG191">
        <v>190</v>
      </c>
      <c r="AH191">
        <f t="shared" si="62"/>
        <v>1170086.2627315067</v>
      </c>
      <c r="AI191">
        <f>IF(AG191&gt;='Loan Prepayment'!$E$11,'Loan Prepayment'!$E$12,'Loan Prepayment'!$B$6)</f>
        <v>7.5</v>
      </c>
      <c r="AJ191">
        <f>IF(AH191&lt;=0,0,MIN(IF(AG191='Loan Prepayment'!$E$11,IF('Loan Prepayment'!$E$13="Keep tenure, recalculate EMI",-PMT(AI191/1200,MAX(1,'Loan Prepayment'!$B$7*12-AG191+1),AH191),AJ190),IF(AND('Loan Prepayment'!$E$15="Reduce EMI",AM190&gt;0),-PMT(AI191/1200,MAX(1,'Loan Prepayment'!$B$7*12-AG191+1),AH191),AJ190)),AH191+AK191))</f>
        <v>77713.634667410894</v>
      </c>
      <c r="AK191">
        <f t="shared" si="55"/>
        <v>7313.039142071917</v>
      </c>
      <c r="AL191">
        <f t="shared" si="56"/>
        <v>70400.595525338984</v>
      </c>
      <c r="AM191">
        <f>IF(AH191&lt;=0,0,MIN(MAX(0,AH191-AL191),SUMIFS('Loan Prepayment'!$B$12:$B$16,'Loan Prepayment'!$A$12:$A$16,AG191)+IF(AND(AG191&gt;='Loan Prepayment'!$B$9,AG191&lt;='Loan Prepayment'!$E$16),'Loan Prepayment'!$B$8,0)))</f>
        <v>0</v>
      </c>
      <c r="AN191">
        <f t="shared" si="57"/>
        <v>1099685.6672061677</v>
      </c>
    </row>
    <row r="192" spans="1:40" x14ac:dyDescent="0.35">
      <c r="A192">
        <v>191</v>
      </c>
      <c r="B192">
        <f t="shared" si="58"/>
        <v>3643207.8547036499</v>
      </c>
      <c r="C192" s="78">
        <f>'Loan Prepayment'!$B$6</f>
        <v>8.5</v>
      </c>
      <c r="D192">
        <f>IF(B192&lt;=0,0,MIN(-PMT('Loan Prepayment'!$B$6/1200,'Loan Prepayment'!$B$7*12,'Loan Prepayment'!$B$5),B192+E192))</f>
        <v>86782.323336553396</v>
      </c>
      <c r="E192">
        <f t="shared" si="42"/>
        <v>25806.055637484187</v>
      </c>
      <c r="F192">
        <f t="shared" si="43"/>
        <v>60976.267699069213</v>
      </c>
      <c r="G192">
        <v>0</v>
      </c>
      <c r="H192">
        <f t="shared" si="44"/>
        <v>3582231.5870045805</v>
      </c>
      <c r="I192">
        <v>191</v>
      </c>
      <c r="J192">
        <f t="shared" si="59"/>
        <v>3055793.6176481992</v>
      </c>
      <c r="K192" s="78">
        <f>'Loan Prepayment'!$B$6</f>
        <v>8.5</v>
      </c>
      <c r="L192">
        <f>IF(J192&lt;=0,0,MIN(IF(AND('Loan Prepayment'!$E$15="Reduce EMI",O191&gt;0),-PMT(K192/1200,MAX(1,'Loan Prepayment'!$B$7*12-I192+1),J192),L191),J192+M192))</f>
        <v>72789.936877782937</v>
      </c>
      <c r="M192">
        <f t="shared" si="45"/>
        <v>21645.204791674743</v>
      </c>
      <c r="N192">
        <f t="shared" si="46"/>
        <v>51144.732086108197</v>
      </c>
      <c r="O192">
        <f>IF(J192&lt;=0,0,MIN(MAX(0,J192-N192),SUMIFS('Loan Prepayment'!$B$12:$B$16,'Loan Prepayment'!$A$12:$A$16,I192)+0))</f>
        <v>0</v>
      </c>
      <c r="P192">
        <f t="shared" si="47"/>
        <v>3004648.8855620911</v>
      </c>
      <c r="Q192">
        <v>191</v>
      </c>
      <c r="R192">
        <f t="shared" si="60"/>
        <v>3643207.8547036499</v>
      </c>
      <c r="S192" s="78">
        <f>'Loan Prepayment'!$B$6</f>
        <v>8.5</v>
      </c>
      <c r="T192">
        <f>IF(R192&lt;=0,0,MIN(IF(AND('Loan Prepayment'!$E$15="Reduce EMI",W191&gt;0),-PMT(S192/1200,MAX(1,'Loan Prepayment'!$B$7*12-Q192+1),R192),T191),R192+U192))</f>
        <v>86782.323336553396</v>
      </c>
      <c r="U192">
        <f t="shared" si="48"/>
        <v>25806.055637484187</v>
      </c>
      <c r="V192">
        <f t="shared" si="49"/>
        <v>60976.267699069213</v>
      </c>
      <c r="W192">
        <f>IF(R192&lt;=0,0,MIN(MAX(0,R192-V192),0+IF(AND(Q192&gt;='Loan Prepayment'!$B$9,Q192&lt;='Loan Prepayment'!$E$16),'Loan Prepayment'!$B$8,0)))</f>
        <v>0</v>
      </c>
      <c r="X192">
        <f t="shared" si="50"/>
        <v>3582231.5870045805</v>
      </c>
      <c r="Y192">
        <v>191</v>
      </c>
      <c r="Z192">
        <f t="shared" si="61"/>
        <v>2483088.5061260923</v>
      </c>
      <c r="AA192">
        <f>IF(Y192&gt;='Loan Prepayment'!$E$11,'Loan Prepayment'!$E$12,'Loan Prepayment'!$B$6)</f>
        <v>7.5</v>
      </c>
      <c r="AB192">
        <f>IF(Z192&lt;=0,0,MIN(IF(Y192='Loan Prepayment'!$E$11,IF('Loan Prepayment'!$E$13="Keep tenure, recalculate EMI",-PMT(AA192/1200,MAX(1,'Loan Prepayment'!$B$7*12-Y192+1),Z192),AB191),AB191),Z192+AC192))</f>
        <v>86782.323336553396</v>
      </c>
      <c r="AC192">
        <f t="shared" si="51"/>
        <v>15519.303163288077</v>
      </c>
      <c r="AD192">
        <f t="shared" si="52"/>
        <v>71263.020173265322</v>
      </c>
      <c r="AE192">
        <f t="shared" si="53"/>
        <v>0</v>
      </c>
      <c r="AF192">
        <f t="shared" si="54"/>
        <v>2411825.4859528271</v>
      </c>
      <c r="AG192">
        <v>191</v>
      </c>
      <c r="AH192">
        <f t="shared" si="62"/>
        <v>1099685.6672061677</v>
      </c>
      <c r="AI192">
        <f>IF(AG192&gt;='Loan Prepayment'!$E$11,'Loan Prepayment'!$E$12,'Loan Prepayment'!$B$6)</f>
        <v>7.5</v>
      </c>
      <c r="AJ192">
        <f>IF(AH192&lt;=0,0,MIN(IF(AG192='Loan Prepayment'!$E$11,IF('Loan Prepayment'!$E$13="Keep tenure, recalculate EMI",-PMT(AI192/1200,MAX(1,'Loan Prepayment'!$B$7*12-AG192+1),AH192),AJ191),IF(AND('Loan Prepayment'!$E$15="Reduce EMI",AM191&gt;0),-PMT(AI192/1200,MAX(1,'Loan Prepayment'!$B$7*12-AG192+1),AH192),AJ191)),AH192+AK192))</f>
        <v>77713.634667410894</v>
      </c>
      <c r="AK192">
        <f t="shared" si="55"/>
        <v>6873.0354200385482</v>
      </c>
      <c r="AL192">
        <f t="shared" si="56"/>
        <v>70840.599247372345</v>
      </c>
      <c r="AM192">
        <f>IF(AH192&lt;=0,0,MIN(MAX(0,AH192-AL192),SUMIFS('Loan Prepayment'!$B$12:$B$16,'Loan Prepayment'!$A$12:$A$16,AG192)+IF(AND(AG192&gt;='Loan Prepayment'!$B$9,AG192&lt;='Loan Prepayment'!$E$16),'Loan Prepayment'!$B$8,0)))</f>
        <v>0</v>
      </c>
      <c r="AN192">
        <f t="shared" si="57"/>
        <v>1028845.0679587953</v>
      </c>
    </row>
    <row r="193" spans="1:40" x14ac:dyDescent="0.35">
      <c r="A193">
        <v>192</v>
      </c>
      <c r="B193">
        <f t="shared" si="58"/>
        <v>3582231.5870045805</v>
      </c>
      <c r="C193" s="78">
        <f>'Loan Prepayment'!$B$6</f>
        <v>8.5</v>
      </c>
      <c r="D193">
        <f>IF(B193&lt;=0,0,MIN(-PMT('Loan Prepayment'!$B$6/1200,'Loan Prepayment'!$B$7*12,'Loan Prepayment'!$B$5),B193+E193))</f>
        <v>86782.323336553396</v>
      </c>
      <c r="E193">
        <f t="shared" si="42"/>
        <v>25374.140407949111</v>
      </c>
      <c r="F193">
        <f t="shared" si="43"/>
        <v>61408.182928604285</v>
      </c>
      <c r="G193">
        <v>0</v>
      </c>
      <c r="H193">
        <f t="shared" si="44"/>
        <v>3520823.4040759765</v>
      </c>
      <c r="I193">
        <v>192</v>
      </c>
      <c r="J193">
        <f t="shared" si="59"/>
        <v>3004648.8855620911</v>
      </c>
      <c r="K193" s="78">
        <f>'Loan Prepayment'!$B$6</f>
        <v>8.5</v>
      </c>
      <c r="L193">
        <f>IF(J193&lt;=0,0,MIN(IF(AND('Loan Prepayment'!$E$15="Reduce EMI",O192&gt;0),-PMT(K193/1200,MAX(1,'Loan Prepayment'!$B$7*12-I193+1),J193),L192),J193+M193))</f>
        <v>72789.936877782937</v>
      </c>
      <c r="M193">
        <f t="shared" si="45"/>
        <v>21282.929606064812</v>
      </c>
      <c r="N193">
        <f t="shared" si="46"/>
        <v>51507.007271718125</v>
      </c>
      <c r="O193">
        <f>IF(J193&lt;=0,0,MIN(MAX(0,J193-N193),SUMIFS('Loan Prepayment'!$B$12:$B$16,'Loan Prepayment'!$A$12:$A$16,I193)+0))</f>
        <v>0</v>
      </c>
      <c r="P193">
        <f t="shared" si="47"/>
        <v>2953141.8782903729</v>
      </c>
      <c r="Q193">
        <v>192</v>
      </c>
      <c r="R193">
        <f t="shared" si="60"/>
        <v>3582231.5870045805</v>
      </c>
      <c r="S193" s="78">
        <f>'Loan Prepayment'!$B$6</f>
        <v>8.5</v>
      </c>
      <c r="T193">
        <f>IF(R193&lt;=0,0,MIN(IF(AND('Loan Prepayment'!$E$15="Reduce EMI",W192&gt;0),-PMT(S193/1200,MAX(1,'Loan Prepayment'!$B$7*12-Q193+1),R193),T192),R193+U193))</f>
        <v>86782.323336553396</v>
      </c>
      <c r="U193">
        <f t="shared" si="48"/>
        <v>25374.140407949111</v>
      </c>
      <c r="V193">
        <f t="shared" si="49"/>
        <v>61408.182928604285</v>
      </c>
      <c r="W193">
        <f>IF(R193&lt;=0,0,MIN(MAX(0,R193-V193),0+IF(AND(Q193&gt;='Loan Prepayment'!$B$9,Q193&lt;='Loan Prepayment'!$E$16),'Loan Prepayment'!$B$8,0)))</f>
        <v>0</v>
      </c>
      <c r="X193">
        <f t="shared" si="50"/>
        <v>3520823.4040759765</v>
      </c>
      <c r="Y193">
        <v>192</v>
      </c>
      <c r="Z193">
        <f t="shared" si="61"/>
        <v>2411825.4859528271</v>
      </c>
      <c r="AA193">
        <f>IF(Y193&gt;='Loan Prepayment'!$E$11,'Loan Prepayment'!$E$12,'Loan Prepayment'!$B$6)</f>
        <v>7.5</v>
      </c>
      <c r="AB193">
        <f>IF(Z193&lt;=0,0,MIN(IF(Y193='Loan Prepayment'!$E$11,IF('Loan Prepayment'!$E$13="Keep tenure, recalculate EMI",-PMT(AA193/1200,MAX(1,'Loan Prepayment'!$B$7*12-Y193+1),Z193),AB192),AB192),Z193+AC193))</f>
        <v>86782.323336553396</v>
      </c>
      <c r="AC193">
        <f t="shared" si="51"/>
        <v>15073.909287205171</v>
      </c>
      <c r="AD193">
        <f t="shared" si="52"/>
        <v>71708.414049348226</v>
      </c>
      <c r="AE193">
        <f t="shared" si="53"/>
        <v>0</v>
      </c>
      <c r="AF193">
        <f t="shared" si="54"/>
        <v>2340117.0719034788</v>
      </c>
      <c r="AG193">
        <v>192</v>
      </c>
      <c r="AH193">
        <f t="shared" si="62"/>
        <v>1028845.0679587953</v>
      </c>
      <c r="AI193">
        <f>IF(AG193&gt;='Loan Prepayment'!$E$11,'Loan Prepayment'!$E$12,'Loan Prepayment'!$B$6)</f>
        <v>7.5</v>
      </c>
      <c r="AJ193">
        <f>IF(AH193&lt;=0,0,MIN(IF(AG193='Loan Prepayment'!$E$11,IF('Loan Prepayment'!$E$13="Keep tenure, recalculate EMI",-PMT(AI193/1200,MAX(1,'Loan Prepayment'!$B$7*12-AG193+1),AH193),AJ192),IF(AND('Loan Prepayment'!$E$15="Reduce EMI",AM192&gt;0),-PMT(AI193/1200,MAX(1,'Loan Prepayment'!$B$7*12-AG193+1),AH193),AJ192)),AH193+AK193))</f>
        <v>77713.634667410894</v>
      </c>
      <c r="AK193">
        <f t="shared" si="55"/>
        <v>6430.2816747424713</v>
      </c>
      <c r="AL193">
        <f t="shared" si="56"/>
        <v>71283.352992668428</v>
      </c>
      <c r="AM193">
        <f>IF(AH193&lt;=0,0,MIN(MAX(0,AH193-AL193),SUMIFS('Loan Prepayment'!$B$12:$B$16,'Loan Prepayment'!$A$12:$A$16,AG193)+IF(AND(AG193&gt;='Loan Prepayment'!$B$9,AG193&lt;='Loan Prepayment'!$E$16),'Loan Prepayment'!$B$8,0)))</f>
        <v>0</v>
      </c>
      <c r="AN193">
        <f t="shared" si="57"/>
        <v>957561.71496612695</v>
      </c>
    </row>
    <row r="194" spans="1:40" x14ac:dyDescent="0.35">
      <c r="A194">
        <v>193</v>
      </c>
      <c r="B194">
        <f t="shared" si="58"/>
        <v>3520823.4040759765</v>
      </c>
      <c r="C194" s="78">
        <f>'Loan Prepayment'!$B$6</f>
        <v>8.5</v>
      </c>
      <c r="D194">
        <f>IF(B194&lt;=0,0,MIN(-PMT('Loan Prepayment'!$B$6/1200,'Loan Prepayment'!$B$7*12,'Loan Prepayment'!$B$5),B194+E194))</f>
        <v>86782.323336553396</v>
      </c>
      <c r="E194">
        <f t="shared" ref="E194:E257" si="63">IF(B194&lt;=0,0,B194*C194/1200)</f>
        <v>24939.165778871502</v>
      </c>
      <c r="F194">
        <f t="shared" ref="F194:F257" si="64">MAX(0,D194-E194)</f>
        <v>61843.157557681894</v>
      </c>
      <c r="G194">
        <v>0</v>
      </c>
      <c r="H194">
        <f t="shared" ref="H194:H257" si="65">MAX(0,B194-F194-G194)</f>
        <v>3458980.2465182948</v>
      </c>
      <c r="I194">
        <v>193</v>
      </c>
      <c r="J194">
        <f t="shared" si="59"/>
        <v>2953141.8782903729</v>
      </c>
      <c r="K194" s="78">
        <f>'Loan Prepayment'!$B$6</f>
        <v>8.5</v>
      </c>
      <c r="L194">
        <f>IF(J194&lt;=0,0,MIN(IF(AND('Loan Prepayment'!$E$15="Reduce EMI",O193&gt;0),-PMT(K194/1200,MAX(1,'Loan Prepayment'!$B$7*12-I194+1),J194),L193),J194+M194))</f>
        <v>72789.936877782937</v>
      </c>
      <c r="M194">
        <f t="shared" ref="M194:M257" si="66">IF(J194&lt;=0,0,J194*K194/1200)</f>
        <v>20918.088304556808</v>
      </c>
      <c r="N194">
        <f t="shared" ref="N194:N257" si="67">MAX(0,L194-M194)</f>
        <v>51871.848573226132</v>
      </c>
      <c r="O194">
        <f>IF(J194&lt;=0,0,MIN(MAX(0,J194-N194),SUMIFS('Loan Prepayment'!$B$12:$B$16,'Loan Prepayment'!$A$12:$A$16,I194)+0))</f>
        <v>0</v>
      </c>
      <c r="P194">
        <f t="shared" ref="P194:P257" si="68">MAX(0,J194-N194-O194)</f>
        <v>2901270.0297171469</v>
      </c>
      <c r="Q194">
        <v>193</v>
      </c>
      <c r="R194">
        <f t="shared" si="60"/>
        <v>3520823.4040759765</v>
      </c>
      <c r="S194" s="78">
        <f>'Loan Prepayment'!$B$6</f>
        <v>8.5</v>
      </c>
      <c r="T194">
        <f>IF(R194&lt;=0,0,MIN(IF(AND('Loan Prepayment'!$E$15="Reduce EMI",W193&gt;0),-PMT(S194/1200,MAX(1,'Loan Prepayment'!$B$7*12-Q194+1),R194),T193),R194+U194))</f>
        <v>86782.323336553396</v>
      </c>
      <c r="U194">
        <f t="shared" ref="U194:U257" si="69">IF(R194&lt;=0,0,R194*S194/1200)</f>
        <v>24939.165778871502</v>
      </c>
      <c r="V194">
        <f t="shared" ref="V194:V257" si="70">MAX(0,T194-U194)</f>
        <v>61843.157557681894</v>
      </c>
      <c r="W194">
        <f>IF(R194&lt;=0,0,MIN(MAX(0,R194-V194),0+IF(AND(Q194&gt;='Loan Prepayment'!$B$9,Q194&lt;='Loan Prepayment'!$E$16),'Loan Prepayment'!$B$8,0)))</f>
        <v>0</v>
      </c>
      <c r="X194">
        <f t="shared" ref="X194:X257" si="71">MAX(0,R194-V194-W194)</f>
        <v>3458980.2465182948</v>
      </c>
      <c r="Y194">
        <v>193</v>
      </c>
      <c r="Z194">
        <f t="shared" si="61"/>
        <v>2340117.0719034788</v>
      </c>
      <c r="AA194">
        <f>IF(Y194&gt;='Loan Prepayment'!$E$11,'Loan Prepayment'!$E$12,'Loan Prepayment'!$B$6)</f>
        <v>7.5</v>
      </c>
      <c r="AB194">
        <f>IF(Z194&lt;=0,0,MIN(IF(Y194='Loan Prepayment'!$E$11,IF('Loan Prepayment'!$E$13="Keep tenure, recalculate EMI",-PMT(AA194/1200,MAX(1,'Loan Prepayment'!$B$7*12-Y194+1),Z194),AB193),AB193),Z194+AC194))</f>
        <v>86782.323336553396</v>
      </c>
      <c r="AC194">
        <f t="shared" ref="AC194:AC257" si="72">IF(Z194&lt;=0,0,Z194*AA194/1200)</f>
        <v>14625.731699396742</v>
      </c>
      <c r="AD194">
        <f t="shared" ref="AD194:AD257" si="73">MAX(0,AB194-AC194)</f>
        <v>72156.591637156656</v>
      </c>
      <c r="AE194">
        <f t="shared" ref="AE194:AE257" si="74">IF(Z194&lt;=0,0,MIN(MAX(0,Z194-AD194),0))</f>
        <v>0</v>
      </c>
      <c r="AF194">
        <f t="shared" ref="AF194:AF257" si="75">MAX(0,Z194-AD194-AE194)</f>
        <v>2267960.4802663224</v>
      </c>
      <c r="AG194">
        <v>193</v>
      </c>
      <c r="AH194">
        <f t="shared" si="62"/>
        <v>957561.71496612695</v>
      </c>
      <c r="AI194">
        <f>IF(AG194&gt;='Loan Prepayment'!$E$11,'Loan Prepayment'!$E$12,'Loan Prepayment'!$B$6)</f>
        <v>7.5</v>
      </c>
      <c r="AJ194">
        <f>IF(AH194&lt;=0,0,MIN(IF(AG194='Loan Prepayment'!$E$11,IF('Loan Prepayment'!$E$13="Keep tenure, recalculate EMI",-PMT(AI194/1200,MAX(1,'Loan Prepayment'!$B$7*12-AG194+1),AH194),AJ193),IF(AND('Loan Prepayment'!$E$15="Reduce EMI",AM193&gt;0),-PMT(AI194/1200,MAX(1,'Loan Prepayment'!$B$7*12-AG194+1),AH194),AJ193)),AH194+AK194))</f>
        <v>77713.634667410894</v>
      </c>
      <c r="AK194">
        <f t="shared" ref="AK194:AK257" si="76">IF(AH194&lt;=0,0,AH194*AI194/1200)</f>
        <v>5984.7607185382931</v>
      </c>
      <c r="AL194">
        <f t="shared" ref="AL194:AL257" si="77">MAX(0,AJ194-AK194)</f>
        <v>71728.873948872599</v>
      </c>
      <c r="AM194">
        <f>IF(AH194&lt;=0,0,MIN(MAX(0,AH194-AL194),SUMIFS('Loan Prepayment'!$B$12:$B$16,'Loan Prepayment'!$A$12:$A$16,AG194)+IF(AND(AG194&gt;='Loan Prepayment'!$B$9,AG194&lt;='Loan Prepayment'!$E$16),'Loan Prepayment'!$B$8,0)))</f>
        <v>0</v>
      </c>
      <c r="AN194">
        <f t="shared" ref="AN194:AN257" si="78">MAX(0,AH194-AL194-AM194)</f>
        <v>885832.8410172544</v>
      </c>
    </row>
    <row r="195" spans="1:40" x14ac:dyDescent="0.35">
      <c r="A195">
        <v>194</v>
      </c>
      <c r="B195">
        <f t="shared" ref="B195:B258" si="79">H194</f>
        <v>3458980.2465182948</v>
      </c>
      <c r="C195" s="78">
        <f>'Loan Prepayment'!$B$6</f>
        <v>8.5</v>
      </c>
      <c r="D195">
        <f>IF(B195&lt;=0,0,MIN(-PMT('Loan Prepayment'!$B$6/1200,'Loan Prepayment'!$B$7*12,'Loan Prepayment'!$B$5),B195+E195))</f>
        <v>86782.323336553396</v>
      </c>
      <c r="E195">
        <f t="shared" si="63"/>
        <v>24501.110079504586</v>
      </c>
      <c r="F195">
        <f t="shared" si="64"/>
        <v>62281.21325704881</v>
      </c>
      <c r="G195">
        <v>0</v>
      </c>
      <c r="H195">
        <f t="shared" si="65"/>
        <v>3396699.033261246</v>
      </c>
      <c r="I195">
        <v>194</v>
      </c>
      <c r="J195">
        <f t="shared" ref="J195:J258" si="80">P194</f>
        <v>2901270.0297171469</v>
      </c>
      <c r="K195" s="78">
        <f>'Loan Prepayment'!$B$6</f>
        <v>8.5</v>
      </c>
      <c r="L195">
        <f>IF(J195&lt;=0,0,MIN(IF(AND('Loan Prepayment'!$E$15="Reduce EMI",O194&gt;0),-PMT(K195/1200,MAX(1,'Loan Prepayment'!$B$7*12-I195+1),J195),L194),J195+M195))</f>
        <v>72789.936877782937</v>
      </c>
      <c r="M195">
        <f t="shared" si="66"/>
        <v>20550.662710496457</v>
      </c>
      <c r="N195">
        <f t="shared" si="67"/>
        <v>52239.274167286479</v>
      </c>
      <c r="O195">
        <f>IF(J195&lt;=0,0,MIN(MAX(0,J195-N195),SUMIFS('Loan Prepayment'!$B$12:$B$16,'Loan Prepayment'!$A$12:$A$16,I195)+0))</f>
        <v>0</v>
      </c>
      <c r="P195">
        <f t="shared" si="68"/>
        <v>2849030.7555498602</v>
      </c>
      <c r="Q195">
        <v>194</v>
      </c>
      <c r="R195">
        <f t="shared" ref="R195:R258" si="81">X194</f>
        <v>3458980.2465182948</v>
      </c>
      <c r="S195" s="78">
        <f>'Loan Prepayment'!$B$6</f>
        <v>8.5</v>
      </c>
      <c r="T195">
        <f>IF(R195&lt;=0,0,MIN(IF(AND('Loan Prepayment'!$E$15="Reduce EMI",W194&gt;0),-PMT(S195/1200,MAX(1,'Loan Prepayment'!$B$7*12-Q195+1),R195),T194),R195+U195))</f>
        <v>86782.323336553396</v>
      </c>
      <c r="U195">
        <f t="shared" si="69"/>
        <v>24501.110079504586</v>
      </c>
      <c r="V195">
        <f t="shared" si="70"/>
        <v>62281.21325704881</v>
      </c>
      <c r="W195">
        <f>IF(R195&lt;=0,0,MIN(MAX(0,R195-V195),0+IF(AND(Q195&gt;='Loan Prepayment'!$B$9,Q195&lt;='Loan Prepayment'!$E$16),'Loan Prepayment'!$B$8,0)))</f>
        <v>0</v>
      </c>
      <c r="X195">
        <f t="shared" si="71"/>
        <v>3396699.033261246</v>
      </c>
      <c r="Y195">
        <v>194</v>
      </c>
      <c r="Z195">
        <f t="shared" ref="Z195:Z258" si="82">AF194</f>
        <v>2267960.4802663224</v>
      </c>
      <c r="AA195">
        <f>IF(Y195&gt;='Loan Prepayment'!$E$11,'Loan Prepayment'!$E$12,'Loan Prepayment'!$B$6)</f>
        <v>7.5</v>
      </c>
      <c r="AB195">
        <f>IF(Z195&lt;=0,0,MIN(IF(Y195='Loan Prepayment'!$E$11,IF('Loan Prepayment'!$E$13="Keep tenure, recalculate EMI",-PMT(AA195/1200,MAX(1,'Loan Prepayment'!$B$7*12-Y195+1),Z195),AB194),AB194),Z195+AC195))</f>
        <v>86782.323336553396</v>
      </c>
      <c r="AC195">
        <f t="shared" si="72"/>
        <v>14174.753001664514</v>
      </c>
      <c r="AD195">
        <f t="shared" si="73"/>
        <v>72607.570334888878</v>
      </c>
      <c r="AE195">
        <f t="shared" si="74"/>
        <v>0</v>
      </c>
      <c r="AF195">
        <f t="shared" si="75"/>
        <v>2195352.9099314334</v>
      </c>
      <c r="AG195">
        <v>194</v>
      </c>
      <c r="AH195">
        <f t="shared" ref="AH195:AH258" si="83">AN194</f>
        <v>885832.8410172544</v>
      </c>
      <c r="AI195">
        <f>IF(AG195&gt;='Loan Prepayment'!$E$11,'Loan Prepayment'!$E$12,'Loan Prepayment'!$B$6)</f>
        <v>7.5</v>
      </c>
      <c r="AJ195">
        <f>IF(AH195&lt;=0,0,MIN(IF(AG195='Loan Prepayment'!$E$11,IF('Loan Prepayment'!$E$13="Keep tenure, recalculate EMI",-PMT(AI195/1200,MAX(1,'Loan Prepayment'!$B$7*12-AG195+1),AH195),AJ194),IF(AND('Loan Prepayment'!$E$15="Reduce EMI",AM194&gt;0),-PMT(AI195/1200,MAX(1,'Loan Prepayment'!$B$7*12-AG195+1),AH195),AJ194)),AH195+AK195))</f>
        <v>77713.634667410894</v>
      </c>
      <c r="AK195">
        <f t="shared" si="76"/>
        <v>5536.45525635784</v>
      </c>
      <c r="AL195">
        <f t="shared" si="77"/>
        <v>72177.179411053046</v>
      </c>
      <c r="AM195">
        <f>IF(AH195&lt;=0,0,MIN(MAX(0,AH195-AL195),SUMIFS('Loan Prepayment'!$B$12:$B$16,'Loan Prepayment'!$A$12:$A$16,AG195)+IF(AND(AG195&gt;='Loan Prepayment'!$B$9,AG195&lt;='Loan Prepayment'!$E$16),'Loan Prepayment'!$B$8,0)))</f>
        <v>0</v>
      </c>
      <c r="AN195">
        <f t="shared" si="78"/>
        <v>813655.66160620132</v>
      </c>
    </row>
    <row r="196" spans="1:40" x14ac:dyDescent="0.35">
      <c r="A196">
        <v>195</v>
      </c>
      <c r="B196">
        <f t="shared" si="79"/>
        <v>3396699.033261246</v>
      </c>
      <c r="C196" s="78">
        <f>'Loan Prepayment'!$B$6</f>
        <v>8.5</v>
      </c>
      <c r="D196">
        <f>IF(B196&lt;=0,0,MIN(-PMT('Loan Prepayment'!$B$6/1200,'Loan Prepayment'!$B$7*12,'Loan Prepayment'!$B$5),B196+E196))</f>
        <v>86782.323336553396</v>
      </c>
      <c r="E196">
        <f t="shared" si="63"/>
        <v>24059.951485600493</v>
      </c>
      <c r="F196">
        <f t="shared" si="64"/>
        <v>62722.371850952899</v>
      </c>
      <c r="G196">
        <v>0</v>
      </c>
      <c r="H196">
        <f t="shared" si="65"/>
        <v>3333976.6614102931</v>
      </c>
      <c r="I196">
        <v>195</v>
      </c>
      <c r="J196">
        <f t="shared" si="80"/>
        <v>2849030.7555498602</v>
      </c>
      <c r="K196" s="78">
        <f>'Loan Prepayment'!$B$6</f>
        <v>8.5</v>
      </c>
      <c r="L196">
        <f>IF(J196&lt;=0,0,MIN(IF(AND('Loan Prepayment'!$E$15="Reduce EMI",O195&gt;0),-PMT(K196/1200,MAX(1,'Loan Prepayment'!$B$7*12-I196+1),J196),L195),J196+M196))</f>
        <v>72789.936877782937</v>
      </c>
      <c r="M196">
        <f t="shared" si="66"/>
        <v>20180.634518478179</v>
      </c>
      <c r="N196">
        <f t="shared" si="67"/>
        <v>52609.302359304755</v>
      </c>
      <c r="O196">
        <f>IF(J196&lt;=0,0,MIN(MAX(0,J196-N196),SUMIFS('Loan Prepayment'!$B$12:$B$16,'Loan Prepayment'!$A$12:$A$16,I196)+0))</f>
        <v>0</v>
      </c>
      <c r="P196">
        <f t="shared" si="68"/>
        <v>2796421.4531905553</v>
      </c>
      <c r="Q196">
        <v>195</v>
      </c>
      <c r="R196">
        <f t="shared" si="81"/>
        <v>3396699.033261246</v>
      </c>
      <c r="S196" s="78">
        <f>'Loan Prepayment'!$B$6</f>
        <v>8.5</v>
      </c>
      <c r="T196">
        <f>IF(R196&lt;=0,0,MIN(IF(AND('Loan Prepayment'!$E$15="Reduce EMI",W195&gt;0),-PMT(S196/1200,MAX(1,'Loan Prepayment'!$B$7*12-Q196+1),R196),T195),R196+U196))</f>
        <v>86782.323336553396</v>
      </c>
      <c r="U196">
        <f t="shared" si="69"/>
        <v>24059.951485600493</v>
      </c>
      <c r="V196">
        <f t="shared" si="70"/>
        <v>62722.371850952899</v>
      </c>
      <c r="W196">
        <f>IF(R196&lt;=0,0,MIN(MAX(0,R196-V196),0+IF(AND(Q196&gt;='Loan Prepayment'!$B$9,Q196&lt;='Loan Prepayment'!$E$16),'Loan Prepayment'!$B$8,0)))</f>
        <v>0</v>
      </c>
      <c r="X196">
        <f t="shared" si="71"/>
        <v>3333976.6614102931</v>
      </c>
      <c r="Y196">
        <v>195</v>
      </c>
      <c r="Z196">
        <f t="shared" si="82"/>
        <v>2195352.9099314334</v>
      </c>
      <c r="AA196">
        <f>IF(Y196&gt;='Loan Prepayment'!$E$11,'Loan Prepayment'!$E$12,'Loan Prepayment'!$B$6)</f>
        <v>7.5</v>
      </c>
      <c r="AB196">
        <f>IF(Z196&lt;=0,0,MIN(IF(Y196='Loan Prepayment'!$E$11,IF('Loan Prepayment'!$E$13="Keep tenure, recalculate EMI",-PMT(AA196/1200,MAX(1,'Loan Prepayment'!$B$7*12-Y196+1),Z196),AB195),AB195),Z196+AC196))</f>
        <v>86782.323336553396</v>
      </c>
      <c r="AC196">
        <f t="shared" si="72"/>
        <v>13720.955687071459</v>
      </c>
      <c r="AD196">
        <f t="shared" si="73"/>
        <v>73061.367649481937</v>
      </c>
      <c r="AE196">
        <f t="shared" si="74"/>
        <v>0</v>
      </c>
      <c r="AF196">
        <f t="shared" si="75"/>
        <v>2122291.5422819513</v>
      </c>
      <c r="AG196">
        <v>195</v>
      </c>
      <c r="AH196">
        <f t="shared" si="83"/>
        <v>813655.66160620132</v>
      </c>
      <c r="AI196">
        <f>IF(AG196&gt;='Loan Prepayment'!$E$11,'Loan Prepayment'!$E$12,'Loan Prepayment'!$B$6)</f>
        <v>7.5</v>
      </c>
      <c r="AJ196">
        <f>IF(AH196&lt;=0,0,MIN(IF(AG196='Loan Prepayment'!$E$11,IF('Loan Prepayment'!$E$13="Keep tenure, recalculate EMI",-PMT(AI196/1200,MAX(1,'Loan Prepayment'!$B$7*12-AG196+1),AH196),AJ195),IF(AND('Loan Prepayment'!$E$15="Reduce EMI",AM195&gt;0),-PMT(AI196/1200,MAX(1,'Loan Prepayment'!$B$7*12-AG196+1),AH196),AJ195)),AH196+AK196))</f>
        <v>77713.634667410894</v>
      </c>
      <c r="AK196">
        <f t="shared" si="76"/>
        <v>5085.3478850387582</v>
      </c>
      <c r="AL196">
        <f t="shared" si="77"/>
        <v>72628.286782372132</v>
      </c>
      <c r="AM196">
        <f>IF(AH196&lt;=0,0,MIN(MAX(0,AH196-AL196),SUMIFS('Loan Prepayment'!$B$12:$B$16,'Loan Prepayment'!$A$12:$A$16,AG196)+IF(AND(AG196&gt;='Loan Prepayment'!$B$9,AG196&lt;='Loan Prepayment'!$E$16),'Loan Prepayment'!$B$8,0)))</f>
        <v>0</v>
      </c>
      <c r="AN196">
        <f t="shared" si="78"/>
        <v>741027.37482382916</v>
      </c>
    </row>
    <row r="197" spans="1:40" x14ac:dyDescent="0.35">
      <c r="A197">
        <v>196</v>
      </c>
      <c r="B197">
        <f t="shared" si="79"/>
        <v>3333976.6614102931</v>
      </c>
      <c r="C197" s="78">
        <f>'Loan Prepayment'!$B$6</f>
        <v>8.5</v>
      </c>
      <c r="D197">
        <f>IF(B197&lt;=0,0,MIN(-PMT('Loan Prepayment'!$B$6/1200,'Loan Prepayment'!$B$7*12,'Loan Prepayment'!$B$5),B197+E197))</f>
        <v>86782.323336553396</v>
      </c>
      <c r="E197">
        <f t="shared" si="63"/>
        <v>23615.668018322911</v>
      </c>
      <c r="F197">
        <f t="shared" si="64"/>
        <v>63166.655318230485</v>
      </c>
      <c r="G197">
        <v>0</v>
      </c>
      <c r="H197">
        <f t="shared" si="65"/>
        <v>3270810.0060920627</v>
      </c>
      <c r="I197">
        <v>196</v>
      </c>
      <c r="J197">
        <f t="shared" si="80"/>
        <v>2796421.4531905553</v>
      </c>
      <c r="K197" s="78">
        <f>'Loan Prepayment'!$B$6</f>
        <v>8.5</v>
      </c>
      <c r="L197">
        <f>IF(J197&lt;=0,0,MIN(IF(AND('Loan Prepayment'!$E$15="Reduce EMI",O196&gt;0),-PMT(K197/1200,MAX(1,'Loan Prepayment'!$B$7*12-I197+1),J197),L196),J197+M197))</f>
        <v>72789.936877782937</v>
      </c>
      <c r="M197">
        <f t="shared" si="66"/>
        <v>19807.985293433103</v>
      </c>
      <c r="N197">
        <f t="shared" si="67"/>
        <v>52981.951584349838</v>
      </c>
      <c r="O197">
        <f>IF(J197&lt;=0,0,MIN(MAX(0,J197-N197),SUMIFS('Loan Prepayment'!$B$12:$B$16,'Loan Prepayment'!$A$12:$A$16,I197)+0))</f>
        <v>0</v>
      </c>
      <c r="P197">
        <f t="shared" si="68"/>
        <v>2743439.5016062055</v>
      </c>
      <c r="Q197">
        <v>196</v>
      </c>
      <c r="R197">
        <f t="shared" si="81"/>
        <v>3333976.6614102931</v>
      </c>
      <c r="S197" s="78">
        <f>'Loan Prepayment'!$B$6</f>
        <v>8.5</v>
      </c>
      <c r="T197">
        <f>IF(R197&lt;=0,0,MIN(IF(AND('Loan Prepayment'!$E$15="Reduce EMI",W196&gt;0),-PMT(S197/1200,MAX(1,'Loan Prepayment'!$B$7*12-Q197+1),R197),T196),R197+U197))</f>
        <v>86782.323336553396</v>
      </c>
      <c r="U197">
        <f t="shared" si="69"/>
        <v>23615.668018322911</v>
      </c>
      <c r="V197">
        <f t="shared" si="70"/>
        <v>63166.655318230485</v>
      </c>
      <c r="W197">
        <f>IF(R197&lt;=0,0,MIN(MAX(0,R197-V197),0+IF(AND(Q197&gt;='Loan Prepayment'!$B$9,Q197&lt;='Loan Prepayment'!$E$16),'Loan Prepayment'!$B$8,0)))</f>
        <v>0</v>
      </c>
      <c r="X197">
        <f t="shared" si="71"/>
        <v>3270810.0060920627</v>
      </c>
      <c r="Y197">
        <v>196</v>
      </c>
      <c r="Z197">
        <f t="shared" si="82"/>
        <v>2122291.5422819513</v>
      </c>
      <c r="AA197">
        <f>IF(Y197&gt;='Loan Prepayment'!$E$11,'Loan Prepayment'!$E$12,'Loan Prepayment'!$B$6)</f>
        <v>7.5</v>
      </c>
      <c r="AB197">
        <f>IF(Z197&lt;=0,0,MIN(IF(Y197='Loan Prepayment'!$E$11,IF('Loan Prepayment'!$E$13="Keep tenure, recalculate EMI",-PMT(AA197/1200,MAX(1,'Loan Prepayment'!$B$7*12-Y197+1),Z197),AB196),AB196),Z197+AC197))</f>
        <v>86782.323336553396</v>
      </c>
      <c r="AC197">
        <f t="shared" si="72"/>
        <v>13264.322139262194</v>
      </c>
      <c r="AD197">
        <f t="shared" si="73"/>
        <v>73518.001197291203</v>
      </c>
      <c r="AE197">
        <f t="shared" si="74"/>
        <v>0</v>
      </c>
      <c r="AF197">
        <f t="shared" si="75"/>
        <v>2048773.54108466</v>
      </c>
      <c r="AG197">
        <v>196</v>
      </c>
      <c r="AH197">
        <f t="shared" si="83"/>
        <v>741027.37482382916</v>
      </c>
      <c r="AI197">
        <f>IF(AG197&gt;='Loan Prepayment'!$E$11,'Loan Prepayment'!$E$12,'Loan Prepayment'!$B$6)</f>
        <v>7.5</v>
      </c>
      <c r="AJ197">
        <f>IF(AH197&lt;=0,0,MIN(IF(AG197='Loan Prepayment'!$E$11,IF('Loan Prepayment'!$E$13="Keep tenure, recalculate EMI",-PMT(AI197/1200,MAX(1,'Loan Prepayment'!$B$7*12-AG197+1),AH197),AJ196),IF(AND('Loan Prepayment'!$E$15="Reduce EMI",AM196&gt;0),-PMT(AI197/1200,MAX(1,'Loan Prepayment'!$B$7*12-AG197+1),AH197),AJ196)),AH197+AK197))</f>
        <v>77713.634667410894</v>
      </c>
      <c r="AK197">
        <f t="shared" si="76"/>
        <v>4631.4210926489322</v>
      </c>
      <c r="AL197">
        <f t="shared" si="77"/>
        <v>73082.213574761961</v>
      </c>
      <c r="AM197">
        <f>IF(AH197&lt;=0,0,MIN(MAX(0,AH197-AL197),SUMIFS('Loan Prepayment'!$B$12:$B$16,'Loan Prepayment'!$A$12:$A$16,AG197)+IF(AND(AG197&gt;='Loan Prepayment'!$B$9,AG197&lt;='Loan Prepayment'!$E$16),'Loan Prepayment'!$B$8,0)))</f>
        <v>0</v>
      </c>
      <c r="AN197">
        <f t="shared" si="78"/>
        <v>667945.16124906717</v>
      </c>
    </row>
    <row r="198" spans="1:40" x14ac:dyDescent="0.35">
      <c r="A198">
        <v>197</v>
      </c>
      <c r="B198">
        <f t="shared" si="79"/>
        <v>3270810.0060920627</v>
      </c>
      <c r="C198" s="78">
        <f>'Loan Prepayment'!$B$6</f>
        <v>8.5</v>
      </c>
      <c r="D198">
        <f>IF(B198&lt;=0,0,MIN(-PMT('Loan Prepayment'!$B$6/1200,'Loan Prepayment'!$B$7*12,'Loan Prepayment'!$B$5),B198+E198))</f>
        <v>86782.323336553396</v>
      </c>
      <c r="E198">
        <f t="shared" si="63"/>
        <v>23168.23754315211</v>
      </c>
      <c r="F198">
        <f t="shared" si="64"/>
        <v>63614.085793401289</v>
      </c>
      <c r="G198">
        <v>0</v>
      </c>
      <c r="H198">
        <f t="shared" si="65"/>
        <v>3207195.9202986616</v>
      </c>
      <c r="I198">
        <v>197</v>
      </c>
      <c r="J198">
        <f t="shared" si="80"/>
        <v>2743439.5016062055</v>
      </c>
      <c r="K198" s="78">
        <f>'Loan Prepayment'!$B$6</f>
        <v>8.5</v>
      </c>
      <c r="L198">
        <f>IF(J198&lt;=0,0,MIN(IF(AND('Loan Prepayment'!$E$15="Reduce EMI",O197&gt;0),-PMT(K198/1200,MAX(1,'Loan Prepayment'!$B$7*12-I198+1),J198),L197),J198+M198))</f>
        <v>72789.936877782937</v>
      </c>
      <c r="M198">
        <f t="shared" si="66"/>
        <v>19432.69646971062</v>
      </c>
      <c r="N198">
        <f t="shared" si="67"/>
        <v>53357.240408072321</v>
      </c>
      <c r="O198">
        <f>IF(J198&lt;=0,0,MIN(MAX(0,J198-N198),SUMIFS('Loan Prepayment'!$B$12:$B$16,'Loan Prepayment'!$A$12:$A$16,I198)+0))</f>
        <v>0</v>
      </c>
      <c r="P198">
        <f t="shared" si="68"/>
        <v>2690082.2611981332</v>
      </c>
      <c r="Q198">
        <v>197</v>
      </c>
      <c r="R198">
        <f t="shared" si="81"/>
        <v>3270810.0060920627</v>
      </c>
      <c r="S198" s="78">
        <f>'Loan Prepayment'!$B$6</f>
        <v>8.5</v>
      </c>
      <c r="T198">
        <f>IF(R198&lt;=0,0,MIN(IF(AND('Loan Prepayment'!$E$15="Reduce EMI",W197&gt;0),-PMT(S198/1200,MAX(1,'Loan Prepayment'!$B$7*12-Q198+1),R198),T197),R198+U198))</f>
        <v>86782.323336553396</v>
      </c>
      <c r="U198">
        <f t="shared" si="69"/>
        <v>23168.23754315211</v>
      </c>
      <c r="V198">
        <f t="shared" si="70"/>
        <v>63614.085793401289</v>
      </c>
      <c r="W198">
        <f>IF(R198&lt;=0,0,MIN(MAX(0,R198-V198),0+IF(AND(Q198&gt;='Loan Prepayment'!$B$9,Q198&lt;='Loan Prepayment'!$E$16),'Loan Prepayment'!$B$8,0)))</f>
        <v>0</v>
      </c>
      <c r="X198">
        <f t="shared" si="71"/>
        <v>3207195.9202986616</v>
      </c>
      <c r="Y198">
        <v>197</v>
      </c>
      <c r="Z198">
        <f t="shared" si="82"/>
        <v>2048773.54108466</v>
      </c>
      <c r="AA198">
        <f>IF(Y198&gt;='Loan Prepayment'!$E$11,'Loan Prepayment'!$E$12,'Loan Prepayment'!$B$6)</f>
        <v>7.5</v>
      </c>
      <c r="AB198">
        <f>IF(Z198&lt;=0,0,MIN(IF(Y198='Loan Prepayment'!$E$11,IF('Loan Prepayment'!$E$13="Keep tenure, recalculate EMI",-PMT(AA198/1200,MAX(1,'Loan Prepayment'!$B$7*12-Y198+1),Z198),AB197),AB197),Z198+AC198))</f>
        <v>86782.323336553396</v>
      </c>
      <c r="AC198">
        <f t="shared" si="72"/>
        <v>12804.834631779126</v>
      </c>
      <c r="AD198">
        <f t="shared" si="73"/>
        <v>73977.488704774267</v>
      </c>
      <c r="AE198">
        <f t="shared" si="74"/>
        <v>0</v>
      </c>
      <c r="AF198">
        <f t="shared" si="75"/>
        <v>1974796.0523798857</v>
      </c>
      <c r="AG198">
        <v>197</v>
      </c>
      <c r="AH198">
        <f t="shared" si="83"/>
        <v>667945.16124906717</v>
      </c>
      <c r="AI198">
        <f>IF(AG198&gt;='Loan Prepayment'!$E$11,'Loan Prepayment'!$E$12,'Loan Prepayment'!$B$6)</f>
        <v>7.5</v>
      </c>
      <c r="AJ198">
        <f>IF(AH198&lt;=0,0,MIN(IF(AG198='Loan Prepayment'!$E$11,IF('Loan Prepayment'!$E$13="Keep tenure, recalculate EMI",-PMT(AI198/1200,MAX(1,'Loan Prepayment'!$B$7*12-AG198+1),AH198),AJ197),IF(AND('Loan Prepayment'!$E$15="Reduce EMI",AM197&gt;0),-PMT(AI198/1200,MAX(1,'Loan Prepayment'!$B$7*12-AG198+1),AH198),AJ197)),AH198+AK198))</f>
        <v>77713.634667410894</v>
      </c>
      <c r="AK198">
        <f t="shared" si="76"/>
        <v>4174.6572578066698</v>
      </c>
      <c r="AL198">
        <f t="shared" si="77"/>
        <v>73538.977409604224</v>
      </c>
      <c r="AM198">
        <f>IF(AH198&lt;=0,0,MIN(MAX(0,AH198-AL198),SUMIFS('Loan Prepayment'!$B$12:$B$16,'Loan Prepayment'!$A$12:$A$16,AG198)+IF(AND(AG198&gt;='Loan Prepayment'!$B$9,AG198&lt;='Loan Prepayment'!$E$16),'Loan Prepayment'!$B$8,0)))</f>
        <v>0</v>
      </c>
      <c r="AN198">
        <f t="shared" si="78"/>
        <v>594406.18383946293</v>
      </c>
    </row>
    <row r="199" spans="1:40" x14ac:dyDescent="0.35">
      <c r="A199">
        <v>198</v>
      </c>
      <c r="B199">
        <f t="shared" si="79"/>
        <v>3207195.9202986616</v>
      </c>
      <c r="C199" s="78">
        <f>'Loan Prepayment'!$B$6</f>
        <v>8.5</v>
      </c>
      <c r="D199">
        <f>IF(B199&lt;=0,0,MIN(-PMT('Loan Prepayment'!$B$6/1200,'Loan Prepayment'!$B$7*12,'Loan Prepayment'!$B$5),B199+E199))</f>
        <v>86782.323336553396</v>
      </c>
      <c r="E199">
        <f t="shared" si="63"/>
        <v>22717.637768782184</v>
      </c>
      <c r="F199">
        <f t="shared" si="64"/>
        <v>64064.685567771216</v>
      </c>
      <c r="G199">
        <v>0</v>
      </c>
      <c r="H199">
        <f t="shared" si="65"/>
        <v>3143131.2347308905</v>
      </c>
      <c r="I199">
        <v>198</v>
      </c>
      <c r="J199">
        <f t="shared" si="80"/>
        <v>2690082.2611981332</v>
      </c>
      <c r="K199" s="78">
        <f>'Loan Prepayment'!$B$6</f>
        <v>8.5</v>
      </c>
      <c r="L199">
        <f>IF(J199&lt;=0,0,MIN(IF(AND('Loan Prepayment'!$E$15="Reduce EMI",O198&gt;0),-PMT(K199/1200,MAX(1,'Loan Prepayment'!$B$7*12-I199+1),J199),L198),J199+M199))</f>
        <v>72789.936877782937</v>
      </c>
      <c r="M199">
        <f t="shared" si="66"/>
        <v>19054.749350153445</v>
      </c>
      <c r="N199">
        <f t="shared" si="67"/>
        <v>53735.187527629489</v>
      </c>
      <c r="O199">
        <f>IF(J199&lt;=0,0,MIN(MAX(0,J199-N199),SUMIFS('Loan Prepayment'!$B$12:$B$16,'Loan Prepayment'!$A$12:$A$16,I199)+0))</f>
        <v>0</v>
      </c>
      <c r="P199">
        <f t="shared" si="68"/>
        <v>2636347.0736705037</v>
      </c>
      <c r="Q199">
        <v>198</v>
      </c>
      <c r="R199">
        <f t="shared" si="81"/>
        <v>3207195.9202986616</v>
      </c>
      <c r="S199" s="78">
        <f>'Loan Prepayment'!$B$6</f>
        <v>8.5</v>
      </c>
      <c r="T199">
        <f>IF(R199&lt;=0,0,MIN(IF(AND('Loan Prepayment'!$E$15="Reduce EMI",W198&gt;0),-PMT(S199/1200,MAX(1,'Loan Prepayment'!$B$7*12-Q199+1),R199),T198),R199+U199))</f>
        <v>86782.323336553396</v>
      </c>
      <c r="U199">
        <f t="shared" si="69"/>
        <v>22717.637768782184</v>
      </c>
      <c r="V199">
        <f t="shared" si="70"/>
        <v>64064.685567771216</v>
      </c>
      <c r="W199">
        <f>IF(R199&lt;=0,0,MIN(MAX(0,R199-V199),0+IF(AND(Q199&gt;='Loan Prepayment'!$B$9,Q199&lt;='Loan Prepayment'!$E$16),'Loan Prepayment'!$B$8,0)))</f>
        <v>0</v>
      </c>
      <c r="X199">
        <f t="shared" si="71"/>
        <v>3143131.2347308905</v>
      </c>
      <c r="Y199">
        <v>198</v>
      </c>
      <c r="Z199">
        <f t="shared" si="82"/>
        <v>1974796.0523798857</v>
      </c>
      <c r="AA199">
        <f>IF(Y199&gt;='Loan Prepayment'!$E$11,'Loan Prepayment'!$E$12,'Loan Prepayment'!$B$6)</f>
        <v>7.5</v>
      </c>
      <c r="AB199">
        <f>IF(Z199&lt;=0,0,MIN(IF(Y199='Loan Prepayment'!$E$11,IF('Loan Prepayment'!$E$13="Keep tenure, recalculate EMI",-PMT(AA199/1200,MAX(1,'Loan Prepayment'!$B$7*12-Y199+1),Z199),AB198),AB198),Z199+AC199))</f>
        <v>86782.323336553396</v>
      </c>
      <c r="AC199">
        <f t="shared" si="72"/>
        <v>12342.475327374286</v>
      </c>
      <c r="AD199">
        <f t="shared" si="73"/>
        <v>74439.848009179113</v>
      </c>
      <c r="AE199">
        <f t="shared" si="74"/>
        <v>0</v>
      </c>
      <c r="AF199">
        <f t="shared" si="75"/>
        <v>1900356.2043707066</v>
      </c>
      <c r="AG199">
        <v>198</v>
      </c>
      <c r="AH199">
        <f t="shared" si="83"/>
        <v>594406.18383946293</v>
      </c>
      <c r="AI199">
        <f>IF(AG199&gt;='Loan Prepayment'!$E$11,'Loan Prepayment'!$E$12,'Loan Prepayment'!$B$6)</f>
        <v>7.5</v>
      </c>
      <c r="AJ199">
        <f>IF(AH199&lt;=0,0,MIN(IF(AG199='Loan Prepayment'!$E$11,IF('Loan Prepayment'!$E$13="Keep tenure, recalculate EMI",-PMT(AI199/1200,MAX(1,'Loan Prepayment'!$B$7*12-AG199+1),AH199),AJ198),IF(AND('Loan Prepayment'!$E$15="Reduce EMI",AM198&gt;0),-PMT(AI199/1200,MAX(1,'Loan Prepayment'!$B$7*12-AG199+1),AH199),AJ198)),AH199+AK199))</f>
        <v>77713.634667410894</v>
      </c>
      <c r="AK199">
        <f t="shared" si="76"/>
        <v>3715.0386489966436</v>
      </c>
      <c r="AL199">
        <f t="shared" si="77"/>
        <v>73998.596018414246</v>
      </c>
      <c r="AM199">
        <f>IF(AH199&lt;=0,0,MIN(MAX(0,AH199-AL199),SUMIFS('Loan Prepayment'!$B$12:$B$16,'Loan Prepayment'!$A$12:$A$16,AG199)+IF(AND(AG199&gt;='Loan Prepayment'!$B$9,AG199&lt;='Loan Prepayment'!$E$16),'Loan Prepayment'!$B$8,0)))</f>
        <v>0</v>
      </c>
      <c r="AN199">
        <f t="shared" si="78"/>
        <v>520407.58782104868</v>
      </c>
    </row>
    <row r="200" spans="1:40" x14ac:dyDescent="0.35">
      <c r="A200">
        <v>199</v>
      </c>
      <c r="B200">
        <f t="shared" si="79"/>
        <v>3143131.2347308905</v>
      </c>
      <c r="C200" s="78">
        <f>'Loan Prepayment'!$B$6</f>
        <v>8.5</v>
      </c>
      <c r="D200">
        <f>IF(B200&lt;=0,0,MIN(-PMT('Loan Prepayment'!$B$6/1200,'Loan Prepayment'!$B$7*12,'Loan Prepayment'!$B$5),B200+E200))</f>
        <v>86782.323336553396</v>
      </c>
      <c r="E200">
        <f t="shared" si="63"/>
        <v>22263.846246010475</v>
      </c>
      <c r="F200">
        <f t="shared" si="64"/>
        <v>64518.477090542918</v>
      </c>
      <c r="G200">
        <v>0</v>
      </c>
      <c r="H200">
        <f t="shared" si="65"/>
        <v>3078612.7576403474</v>
      </c>
      <c r="I200">
        <v>199</v>
      </c>
      <c r="J200">
        <f t="shared" si="80"/>
        <v>2636347.0736705037</v>
      </c>
      <c r="K200" s="78">
        <f>'Loan Prepayment'!$B$6</f>
        <v>8.5</v>
      </c>
      <c r="L200">
        <f>IF(J200&lt;=0,0,MIN(IF(AND('Loan Prepayment'!$E$15="Reduce EMI",O199&gt;0),-PMT(K200/1200,MAX(1,'Loan Prepayment'!$B$7*12-I200+1),J200),L199),J200+M200))</f>
        <v>72789.936877782937</v>
      </c>
      <c r="M200">
        <f t="shared" si="66"/>
        <v>18674.125105166069</v>
      </c>
      <c r="N200">
        <f t="shared" si="67"/>
        <v>54115.811772616871</v>
      </c>
      <c r="O200">
        <f>IF(J200&lt;=0,0,MIN(MAX(0,J200-N200),SUMIFS('Loan Prepayment'!$B$12:$B$16,'Loan Prepayment'!$A$12:$A$16,I200)+0))</f>
        <v>0</v>
      </c>
      <c r="P200">
        <f t="shared" si="68"/>
        <v>2582231.2618978866</v>
      </c>
      <c r="Q200">
        <v>199</v>
      </c>
      <c r="R200">
        <f t="shared" si="81"/>
        <v>3143131.2347308905</v>
      </c>
      <c r="S200" s="78">
        <f>'Loan Prepayment'!$B$6</f>
        <v>8.5</v>
      </c>
      <c r="T200">
        <f>IF(R200&lt;=0,0,MIN(IF(AND('Loan Prepayment'!$E$15="Reduce EMI",W199&gt;0),-PMT(S200/1200,MAX(1,'Loan Prepayment'!$B$7*12-Q200+1),R200),T199),R200+U200))</f>
        <v>86782.323336553396</v>
      </c>
      <c r="U200">
        <f t="shared" si="69"/>
        <v>22263.846246010475</v>
      </c>
      <c r="V200">
        <f t="shared" si="70"/>
        <v>64518.477090542918</v>
      </c>
      <c r="W200">
        <f>IF(R200&lt;=0,0,MIN(MAX(0,R200-V200),0+IF(AND(Q200&gt;='Loan Prepayment'!$B$9,Q200&lt;='Loan Prepayment'!$E$16),'Loan Prepayment'!$B$8,0)))</f>
        <v>0</v>
      </c>
      <c r="X200">
        <f t="shared" si="71"/>
        <v>3078612.7576403474</v>
      </c>
      <c r="Y200">
        <v>199</v>
      </c>
      <c r="Z200">
        <f t="shared" si="82"/>
        <v>1900356.2043707066</v>
      </c>
      <c r="AA200">
        <f>IF(Y200&gt;='Loan Prepayment'!$E$11,'Loan Prepayment'!$E$12,'Loan Prepayment'!$B$6)</f>
        <v>7.5</v>
      </c>
      <c r="AB200">
        <f>IF(Z200&lt;=0,0,MIN(IF(Y200='Loan Prepayment'!$E$11,IF('Loan Prepayment'!$E$13="Keep tenure, recalculate EMI",-PMT(AA200/1200,MAX(1,'Loan Prepayment'!$B$7*12-Y200+1),Z200),AB199),AB199),Z200+AC200))</f>
        <v>86782.323336553396</v>
      </c>
      <c r="AC200">
        <f t="shared" si="72"/>
        <v>11877.226277316915</v>
      </c>
      <c r="AD200">
        <f t="shared" si="73"/>
        <v>74905.097059236476</v>
      </c>
      <c r="AE200">
        <f t="shared" si="74"/>
        <v>0</v>
      </c>
      <c r="AF200">
        <f t="shared" si="75"/>
        <v>1825451.1073114702</v>
      </c>
      <c r="AG200">
        <v>199</v>
      </c>
      <c r="AH200">
        <f t="shared" si="83"/>
        <v>520407.58782104868</v>
      </c>
      <c r="AI200">
        <f>IF(AG200&gt;='Loan Prepayment'!$E$11,'Loan Prepayment'!$E$12,'Loan Prepayment'!$B$6)</f>
        <v>7.5</v>
      </c>
      <c r="AJ200">
        <f>IF(AH200&lt;=0,0,MIN(IF(AG200='Loan Prepayment'!$E$11,IF('Loan Prepayment'!$E$13="Keep tenure, recalculate EMI",-PMT(AI200/1200,MAX(1,'Loan Prepayment'!$B$7*12-AG200+1),AH200),AJ199),IF(AND('Loan Prepayment'!$E$15="Reduce EMI",AM199&gt;0),-PMT(AI200/1200,MAX(1,'Loan Prepayment'!$B$7*12-AG200+1),AH200),AJ199)),AH200+AK200))</f>
        <v>77713.634667410894</v>
      </c>
      <c r="AK200">
        <f t="shared" si="76"/>
        <v>3252.5474238815541</v>
      </c>
      <c r="AL200">
        <f t="shared" si="77"/>
        <v>74461.087243529342</v>
      </c>
      <c r="AM200">
        <f>IF(AH200&lt;=0,0,MIN(MAX(0,AH200-AL200),SUMIFS('Loan Prepayment'!$B$12:$B$16,'Loan Prepayment'!$A$12:$A$16,AG200)+IF(AND(AG200&gt;='Loan Prepayment'!$B$9,AG200&lt;='Loan Prepayment'!$E$16),'Loan Prepayment'!$B$8,0)))</f>
        <v>0</v>
      </c>
      <c r="AN200">
        <f t="shared" si="78"/>
        <v>445946.50057751936</v>
      </c>
    </row>
    <row r="201" spans="1:40" x14ac:dyDescent="0.35">
      <c r="A201">
        <v>200</v>
      </c>
      <c r="B201">
        <f t="shared" si="79"/>
        <v>3078612.7576403474</v>
      </c>
      <c r="C201" s="78">
        <f>'Loan Prepayment'!$B$6</f>
        <v>8.5</v>
      </c>
      <c r="D201">
        <f>IF(B201&lt;=0,0,MIN(-PMT('Loan Prepayment'!$B$6/1200,'Loan Prepayment'!$B$7*12,'Loan Prepayment'!$B$5),B201+E201))</f>
        <v>86782.323336553396</v>
      </c>
      <c r="E201">
        <f t="shared" si="63"/>
        <v>21806.840366619126</v>
      </c>
      <c r="F201">
        <f t="shared" si="64"/>
        <v>64975.482969934266</v>
      </c>
      <c r="G201">
        <v>0</v>
      </c>
      <c r="H201">
        <f t="shared" si="65"/>
        <v>3013637.2746704132</v>
      </c>
      <c r="I201">
        <v>200</v>
      </c>
      <c r="J201">
        <f t="shared" si="80"/>
        <v>2582231.2618978866</v>
      </c>
      <c r="K201" s="78">
        <f>'Loan Prepayment'!$B$6</f>
        <v>8.5</v>
      </c>
      <c r="L201">
        <f>IF(J201&lt;=0,0,MIN(IF(AND('Loan Prepayment'!$E$15="Reduce EMI",O200&gt;0),-PMT(K201/1200,MAX(1,'Loan Prepayment'!$B$7*12-I201+1),J201),L200),J201+M201))</f>
        <v>72789.936877782937</v>
      </c>
      <c r="M201">
        <f t="shared" si="66"/>
        <v>18290.804771776697</v>
      </c>
      <c r="N201">
        <f t="shared" si="67"/>
        <v>54499.13210600624</v>
      </c>
      <c r="O201">
        <f>IF(J201&lt;=0,0,MIN(MAX(0,J201-N201),SUMIFS('Loan Prepayment'!$B$12:$B$16,'Loan Prepayment'!$A$12:$A$16,I201)+0))</f>
        <v>0</v>
      </c>
      <c r="P201">
        <f t="shared" si="68"/>
        <v>2527732.1297918805</v>
      </c>
      <c r="Q201">
        <v>200</v>
      </c>
      <c r="R201">
        <f t="shared" si="81"/>
        <v>3078612.7576403474</v>
      </c>
      <c r="S201" s="78">
        <f>'Loan Prepayment'!$B$6</f>
        <v>8.5</v>
      </c>
      <c r="T201">
        <f>IF(R201&lt;=0,0,MIN(IF(AND('Loan Prepayment'!$E$15="Reduce EMI",W200&gt;0),-PMT(S201/1200,MAX(1,'Loan Prepayment'!$B$7*12-Q201+1),R201),T200),R201+U201))</f>
        <v>86782.323336553396</v>
      </c>
      <c r="U201">
        <f t="shared" si="69"/>
        <v>21806.840366619126</v>
      </c>
      <c r="V201">
        <f t="shared" si="70"/>
        <v>64975.482969934266</v>
      </c>
      <c r="W201">
        <f>IF(R201&lt;=0,0,MIN(MAX(0,R201-V201),0+IF(AND(Q201&gt;='Loan Prepayment'!$B$9,Q201&lt;='Loan Prepayment'!$E$16),'Loan Prepayment'!$B$8,0)))</f>
        <v>0</v>
      </c>
      <c r="X201">
        <f t="shared" si="71"/>
        <v>3013637.2746704132</v>
      </c>
      <c r="Y201">
        <v>200</v>
      </c>
      <c r="Z201">
        <f t="shared" si="82"/>
        <v>1825451.1073114702</v>
      </c>
      <c r="AA201">
        <f>IF(Y201&gt;='Loan Prepayment'!$E$11,'Loan Prepayment'!$E$12,'Loan Prepayment'!$B$6)</f>
        <v>7.5</v>
      </c>
      <c r="AB201">
        <f>IF(Z201&lt;=0,0,MIN(IF(Y201='Loan Prepayment'!$E$11,IF('Loan Prepayment'!$E$13="Keep tenure, recalculate EMI",-PMT(AA201/1200,MAX(1,'Loan Prepayment'!$B$7*12-Y201+1),Z201),AB200),AB200),Z201+AC201))</f>
        <v>86782.323336553396</v>
      </c>
      <c r="AC201">
        <f t="shared" si="72"/>
        <v>11409.069420696689</v>
      </c>
      <c r="AD201">
        <f t="shared" si="73"/>
        <v>75373.253915856709</v>
      </c>
      <c r="AE201">
        <f t="shared" si="74"/>
        <v>0</v>
      </c>
      <c r="AF201">
        <f t="shared" si="75"/>
        <v>1750077.8533956134</v>
      </c>
      <c r="AG201">
        <v>200</v>
      </c>
      <c r="AH201">
        <f t="shared" si="83"/>
        <v>445946.50057751936</v>
      </c>
      <c r="AI201">
        <f>IF(AG201&gt;='Loan Prepayment'!$E$11,'Loan Prepayment'!$E$12,'Loan Prepayment'!$B$6)</f>
        <v>7.5</v>
      </c>
      <c r="AJ201">
        <f>IF(AH201&lt;=0,0,MIN(IF(AG201='Loan Prepayment'!$E$11,IF('Loan Prepayment'!$E$13="Keep tenure, recalculate EMI",-PMT(AI201/1200,MAX(1,'Loan Prepayment'!$B$7*12-AG201+1),AH201),AJ200),IF(AND('Loan Prepayment'!$E$15="Reduce EMI",AM200&gt;0),-PMT(AI201/1200,MAX(1,'Loan Prepayment'!$B$7*12-AG201+1),AH201),AJ200)),AH201+AK201))</f>
        <v>77713.634667410894</v>
      </c>
      <c r="AK201">
        <f t="shared" si="76"/>
        <v>2787.1656286094958</v>
      </c>
      <c r="AL201">
        <f t="shared" si="77"/>
        <v>74926.469038801399</v>
      </c>
      <c r="AM201">
        <f>IF(AH201&lt;=0,0,MIN(MAX(0,AH201-AL201),SUMIFS('Loan Prepayment'!$B$12:$B$16,'Loan Prepayment'!$A$12:$A$16,AG201)+IF(AND(AG201&gt;='Loan Prepayment'!$B$9,AG201&lt;='Loan Prepayment'!$E$16),'Loan Prepayment'!$B$8,0)))</f>
        <v>0</v>
      </c>
      <c r="AN201">
        <f t="shared" si="78"/>
        <v>371020.03153871797</v>
      </c>
    </row>
    <row r="202" spans="1:40" x14ac:dyDescent="0.35">
      <c r="A202">
        <v>201</v>
      </c>
      <c r="B202">
        <f t="shared" si="79"/>
        <v>3013637.2746704132</v>
      </c>
      <c r="C202" s="78">
        <f>'Loan Prepayment'!$B$6</f>
        <v>8.5</v>
      </c>
      <c r="D202">
        <f>IF(B202&lt;=0,0,MIN(-PMT('Loan Prepayment'!$B$6/1200,'Loan Prepayment'!$B$7*12,'Loan Prepayment'!$B$5),B202+E202))</f>
        <v>86782.323336553396</v>
      </c>
      <c r="E202">
        <f t="shared" si="63"/>
        <v>21346.597362248762</v>
      </c>
      <c r="F202">
        <f t="shared" si="64"/>
        <v>65435.725974304631</v>
      </c>
      <c r="G202">
        <v>0</v>
      </c>
      <c r="H202">
        <f t="shared" si="65"/>
        <v>2948201.5486961086</v>
      </c>
      <c r="I202">
        <v>201</v>
      </c>
      <c r="J202">
        <f t="shared" si="80"/>
        <v>2527732.1297918805</v>
      </c>
      <c r="K202" s="78">
        <f>'Loan Prepayment'!$B$6</f>
        <v>8.5</v>
      </c>
      <c r="L202">
        <f>IF(J202&lt;=0,0,MIN(IF(AND('Loan Prepayment'!$E$15="Reduce EMI",O201&gt;0),-PMT(K202/1200,MAX(1,'Loan Prepayment'!$B$7*12-I202+1),J202),L201),J202+M202))</f>
        <v>72789.936877782937</v>
      </c>
      <c r="M202">
        <f t="shared" si="66"/>
        <v>17904.769252692487</v>
      </c>
      <c r="N202">
        <f t="shared" si="67"/>
        <v>54885.167625090449</v>
      </c>
      <c r="O202">
        <f>IF(J202&lt;=0,0,MIN(MAX(0,J202-N202),SUMIFS('Loan Prepayment'!$B$12:$B$16,'Loan Prepayment'!$A$12:$A$16,I202)+0))</f>
        <v>0</v>
      </c>
      <c r="P202">
        <f t="shared" si="68"/>
        <v>2472846.9621667899</v>
      </c>
      <c r="Q202">
        <v>201</v>
      </c>
      <c r="R202">
        <f t="shared" si="81"/>
        <v>3013637.2746704132</v>
      </c>
      <c r="S202" s="78">
        <f>'Loan Prepayment'!$B$6</f>
        <v>8.5</v>
      </c>
      <c r="T202">
        <f>IF(R202&lt;=0,0,MIN(IF(AND('Loan Prepayment'!$E$15="Reduce EMI",W201&gt;0),-PMT(S202/1200,MAX(1,'Loan Prepayment'!$B$7*12-Q202+1),R202),T201),R202+U202))</f>
        <v>86782.323336553396</v>
      </c>
      <c r="U202">
        <f t="shared" si="69"/>
        <v>21346.597362248762</v>
      </c>
      <c r="V202">
        <f t="shared" si="70"/>
        <v>65435.725974304631</v>
      </c>
      <c r="W202">
        <f>IF(R202&lt;=0,0,MIN(MAX(0,R202-V202),0+IF(AND(Q202&gt;='Loan Prepayment'!$B$9,Q202&lt;='Loan Prepayment'!$E$16),'Loan Prepayment'!$B$8,0)))</f>
        <v>0</v>
      </c>
      <c r="X202">
        <f t="shared" si="71"/>
        <v>2948201.5486961086</v>
      </c>
      <c r="Y202">
        <v>201</v>
      </c>
      <c r="Z202">
        <f t="shared" si="82"/>
        <v>1750077.8533956134</v>
      </c>
      <c r="AA202">
        <f>IF(Y202&gt;='Loan Prepayment'!$E$11,'Loan Prepayment'!$E$12,'Loan Prepayment'!$B$6)</f>
        <v>7.5</v>
      </c>
      <c r="AB202">
        <f>IF(Z202&lt;=0,0,MIN(IF(Y202='Loan Prepayment'!$E$11,IF('Loan Prepayment'!$E$13="Keep tenure, recalculate EMI",-PMT(AA202/1200,MAX(1,'Loan Prepayment'!$B$7*12-Y202+1),Z202),AB201),AB201),Z202+AC202))</f>
        <v>86782.323336553396</v>
      </c>
      <c r="AC202">
        <f t="shared" si="72"/>
        <v>10937.986583722583</v>
      </c>
      <c r="AD202">
        <f t="shared" si="73"/>
        <v>75844.336752830815</v>
      </c>
      <c r="AE202">
        <f t="shared" si="74"/>
        <v>0</v>
      </c>
      <c r="AF202">
        <f t="shared" si="75"/>
        <v>1674233.5166427826</v>
      </c>
      <c r="AG202">
        <v>201</v>
      </c>
      <c r="AH202">
        <f t="shared" si="83"/>
        <v>371020.03153871797</v>
      </c>
      <c r="AI202">
        <f>IF(AG202&gt;='Loan Prepayment'!$E$11,'Loan Prepayment'!$E$12,'Loan Prepayment'!$B$6)</f>
        <v>7.5</v>
      </c>
      <c r="AJ202">
        <f>IF(AH202&lt;=0,0,MIN(IF(AG202='Loan Prepayment'!$E$11,IF('Loan Prepayment'!$E$13="Keep tenure, recalculate EMI",-PMT(AI202/1200,MAX(1,'Loan Prepayment'!$B$7*12-AG202+1),AH202),AJ201),IF(AND('Loan Prepayment'!$E$15="Reduce EMI",AM201&gt;0),-PMT(AI202/1200,MAX(1,'Loan Prepayment'!$B$7*12-AG202+1),AH202),AJ201)),AH202+AK202))</f>
        <v>77713.634667410894</v>
      </c>
      <c r="AK202">
        <f t="shared" si="76"/>
        <v>2318.8751971169872</v>
      </c>
      <c r="AL202">
        <f t="shared" si="77"/>
        <v>75394.75947029391</v>
      </c>
      <c r="AM202">
        <f>IF(AH202&lt;=0,0,MIN(MAX(0,AH202-AL202),SUMIFS('Loan Prepayment'!$B$12:$B$16,'Loan Prepayment'!$A$12:$A$16,AG202)+IF(AND(AG202&gt;='Loan Prepayment'!$B$9,AG202&lt;='Loan Prepayment'!$E$16),'Loan Prepayment'!$B$8,0)))</f>
        <v>0</v>
      </c>
      <c r="AN202">
        <f t="shared" si="78"/>
        <v>295625.27206842403</v>
      </c>
    </row>
    <row r="203" spans="1:40" x14ac:dyDescent="0.35">
      <c r="A203">
        <v>202</v>
      </c>
      <c r="B203">
        <f t="shared" si="79"/>
        <v>2948201.5486961086</v>
      </c>
      <c r="C203" s="78">
        <f>'Loan Prepayment'!$B$6</f>
        <v>8.5</v>
      </c>
      <c r="D203">
        <f>IF(B203&lt;=0,0,MIN(-PMT('Loan Prepayment'!$B$6/1200,'Loan Prepayment'!$B$7*12,'Loan Prepayment'!$B$5),B203+E203))</f>
        <v>86782.323336553396</v>
      </c>
      <c r="E203">
        <f t="shared" si="63"/>
        <v>20883.094303264104</v>
      </c>
      <c r="F203">
        <f t="shared" si="64"/>
        <v>65899.229033289288</v>
      </c>
      <c r="G203">
        <v>0</v>
      </c>
      <c r="H203">
        <f t="shared" si="65"/>
        <v>2882302.3196628192</v>
      </c>
      <c r="I203">
        <v>202</v>
      </c>
      <c r="J203">
        <f t="shared" si="80"/>
        <v>2472846.9621667899</v>
      </c>
      <c r="K203" s="78">
        <f>'Loan Prepayment'!$B$6</f>
        <v>8.5</v>
      </c>
      <c r="L203">
        <f>IF(J203&lt;=0,0,MIN(IF(AND('Loan Prepayment'!$E$15="Reduce EMI",O202&gt;0),-PMT(K203/1200,MAX(1,'Loan Prepayment'!$B$7*12-I203+1),J203),L202),J203+M203))</f>
        <v>72789.936877782937</v>
      </c>
      <c r="M203">
        <f t="shared" si="66"/>
        <v>17515.999315348094</v>
      </c>
      <c r="N203">
        <f t="shared" si="67"/>
        <v>55273.937562434847</v>
      </c>
      <c r="O203">
        <f>IF(J203&lt;=0,0,MIN(MAX(0,J203-N203),SUMIFS('Loan Prepayment'!$B$12:$B$16,'Loan Prepayment'!$A$12:$A$16,I203)+0))</f>
        <v>0</v>
      </c>
      <c r="P203">
        <f t="shared" si="68"/>
        <v>2417573.024604355</v>
      </c>
      <c r="Q203">
        <v>202</v>
      </c>
      <c r="R203">
        <f t="shared" si="81"/>
        <v>2948201.5486961086</v>
      </c>
      <c r="S203" s="78">
        <f>'Loan Prepayment'!$B$6</f>
        <v>8.5</v>
      </c>
      <c r="T203">
        <f>IF(R203&lt;=0,0,MIN(IF(AND('Loan Prepayment'!$E$15="Reduce EMI",W202&gt;0),-PMT(S203/1200,MAX(1,'Loan Prepayment'!$B$7*12-Q203+1),R203),T202),R203+U203))</f>
        <v>86782.323336553396</v>
      </c>
      <c r="U203">
        <f t="shared" si="69"/>
        <v>20883.094303264104</v>
      </c>
      <c r="V203">
        <f t="shared" si="70"/>
        <v>65899.229033289288</v>
      </c>
      <c r="W203">
        <f>IF(R203&lt;=0,0,MIN(MAX(0,R203-V203),0+IF(AND(Q203&gt;='Loan Prepayment'!$B$9,Q203&lt;='Loan Prepayment'!$E$16),'Loan Prepayment'!$B$8,0)))</f>
        <v>0</v>
      </c>
      <c r="X203">
        <f t="shared" si="71"/>
        <v>2882302.3196628192</v>
      </c>
      <c r="Y203">
        <v>202</v>
      </c>
      <c r="Z203">
        <f t="shared" si="82"/>
        <v>1674233.5166427826</v>
      </c>
      <c r="AA203">
        <f>IF(Y203&gt;='Loan Prepayment'!$E$11,'Loan Prepayment'!$E$12,'Loan Prepayment'!$B$6)</f>
        <v>7.5</v>
      </c>
      <c r="AB203">
        <f>IF(Z203&lt;=0,0,MIN(IF(Y203='Loan Prepayment'!$E$11,IF('Loan Prepayment'!$E$13="Keep tenure, recalculate EMI",-PMT(AA203/1200,MAX(1,'Loan Prepayment'!$B$7*12-Y203+1),Z203),AB202),AB202),Z203+AC203))</f>
        <v>86782.323336553396</v>
      </c>
      <c r="AC203">
        <f t="shared" si="72"/>
        <v>10463.959479017391</v>
      </c>
      <c r="AD203">
        <f t="shared" si="73"/>
        <v>76318.363857536009</v>
      </c>
      <c r="AE203">
        <f t="shared" si="74"/>
        <v>0</v>
      </c>
      <c r="AF203">
        <f t="shared" si="75"/>
        <v>1597915.1527852465</v>
      </c>
      <c r="AG203">
        <v>202</v>
      </c>
      <c r="AH203">
        <f t="shared" si="83"/>
        <v>295625.27206842403</v>
      </c>
      <c r="AI203">
        <f>IF(AG203&gt;='Loan Prepayment'!$E$11,'Loan Prepayment'!$E$12,'Loan Prepayment'!$B$6)</f>
        <v>7.5</v>
      </c>
      <c r="AJ203">
        <f>IF(AH203&lt;=0,0,MIN(IF(AG203='Loan Prepayment'!$E$11,IF('Loan Prepayment'!$E$13="Keep tenure, recalculate EMI",-PMT(AI203/1200,MAX(1,'Loan Prepayment'!$B$7*12-AG203+1),AH203),AJ202),IF(AND('Loan Prepayment'!$E$15="Reduce EMI",AM202&gt;0),-PMT(AI203/1200,MAX(1,'Loan Prepayment'!$B$7*12-AG203+1),AH203),AJ202)),AH203+AK203))</f>
        <v>77713.634667410894</v>
      </c>
      <c r="AK203">
        <f t="shared" si="76"/>
        <v>1847.6579504276501</v>
      </c>
      <c r="AL203">
        <f t="shared" si="77"/>
        <v>75865.976716983248</v>
      </c>
      <c r="AM203">
        <f>IF(AH203&lt;=0,0,MIN(MAX(0,AH203-AL203),SUMIFS('Loan Prepayment'!$B$12:$B$16,'Loan Prepayment'!$A$12:$A$16,AG203)+IF(AND(AG203&gt;='Loan Prepayment'!$B$9,AG203&lt;='Loan Prepayment'!$E$16),'Loan Prepayment'!$B$8,0)))</f>
        <v>0</v>
      </c>
      <c r="AN203">
        <f t="shared" si="78"/>
        <v>219759.29535144079</v>
      </c>
    </row>
    <row r="204" spans="1:40" x14ac:dyDescent="0.35">
      <c r="A204">
        <v>203</v>
      </c>
      <c r="B204">
        <f t="shared" si="79"/>
        <v>2882302.3196628192</v>
      </c>
      <c r="C204" s="78">
        <f>'Loan Prepayment'!$B$6</f>
        <v>8.5</v>
      </c>
      <c r="D204">
        <f>IF(B204&lt;=0,0,MIN(-PMT('Loan Prepayment'!$B$6/1200,'Loan Prepayment'!$B$7*12,'Loan Prepayment'!$B$5),B204+E204))</f>
        <v>86782.323336553396</v>
      </c>
      <c r="E204">
        <f t="shared" si="63"/>
        <v>20416.308097611636</v>
      </c>
      <c r="F204">
        <f t="shared" si="64"/>
        <v>66366.015238941764</v>
      </c>
      <c r="G204">
        <v>0</v>
      </c>
      <c r="H204">
        <f t="shared" si="65"/>
        <v>2815936.3044238775</v>
      </c>
      <c r="I204">
        <v>203</v>
      </c>
      <c r="J204">
        <f t="shared" si="80"/>
        <v>2417573.024604355</v>
      </c>
      <c r="K204" s="78">
        <f>'Loan Prepayment'!$B$6</f>
        <v>8.5</v>
      </c>
      <c r="L204">
        <f>IF(J204&lt;=0,0,MIN(IF(AND('Loan Prepayment'!$E$15="Reduce EMI",O203&gt;0),-PMT(K204/1200,MAX(1,'Loan Prepayment'!$B$7*12-I204+1),J204),L203),J204+M204))</f>
        <v>72789.936877782937</v>
      </c>
      <c r="M204">
        <f t="shared" si="66"/>
        <v>17124.475590947517</v>
      </c>
      <c r="N204">
        <f t="shared" si="67"/>
        <v>55665.461286835416</v>
      </c>
      <c r="O204">
        <f>IF(J204&lt;=0,0,MIN(MAX(0,J204-N204),SUMIFS('Loan Prepayment'!$B$12:$B$16,'Loan Prepayment'!$A$12:$A$16,I204)+0))</f>
        <v>0</v>
      </c>
      <c r="P204">
        <f t="shared" si="68"/>
        <v>2361907.5633175196</v>
      </c>
      <c r="Q204">
        <v>203</v>
      </c>
      <c r="R204">
        <f t="shared" si="81"/>
        <v>2882302.3196628192</v>
      </c>
      <c r="S204" s="78">
        <f>'Loan Prepayment'!$B$6</f>
        <v>8.5</v>
      </c>
      <c r="T204">
        <f>IF(R204&lt;=0,0,MIN(IF(AND('Loan Prepayment'!$E$15="Reduce EMI",W203&gt;0),-PMT(S204/1200,MAX(1,'Loan Prepayment'!$B$7*12-Q204+1),R204),T203),R204+U204))</f>
        <v>86782.323336553396</v>
      </c>
      <c r="U204">
        <f t="shared" si="69"/>
        <v>20416.308097611636</v>
      </c>
      <c r="V204">
        <f t="shared" si="70"/>
        <v>66366.015238941764</v>
      </c>
      <c r="W204">
        <f>IF(R204&lt;=0,0,MIN(MAX(0,R204-V204),0+IF(AND(Q204&gt;='Loan Prepayment'!$B$9,Q204&lt;='Loan Prepayment'!$E$16),'Loan Prepayment'!$B$8,0)))</f>
        <v>0</v>
      </c>
      <c r="X204">
        <f t="shared" si="71"/>
        <v>2815936.3044238775</v>
      </c>
      <c r="Y204">
        <v>203</v>
      </c>
      <c r="Z204">
        <f t="shared" si="82"/>
        <v>1597915.1527852465</v>
      </c>
      <c r="AA204">
        <f>IF(Y204&gt;='Loan Prepayment'!$E$11,'Loan Prepayment'!$E$12,'Loan Prepayment'!$B$6)</f>
        <v>7.5</v>
      </c>
      <c r="AB204">
        <f>IF(Z204&lt;=0,0,MIN(IF(Y204='Loan Prepayment'!$E$11,IF('Loan Prepayment'!$E$13="Keep tenure, recalculate EMI",-PMT(AA204/1200,MAX(1,'Loan Prepayment'!$B$7*12-Y204+1),Z204),AB203),AB203),Z204+AC204))</f>
        <v>86782.323336553396</v>
      </c>
      <c r="AC204">
        <f t="shared" si="72"/>
        <v>9986.9697049077913</v>
      </c>
      <c r="AD204">
        <f t="shared" si="73"/>
        <v>76795.353631645601</v>
      </c>
      <c r="AE204">
        <f t="shared" si="74"/>
        <v>0</v>
      </c>
      <c r="AF204">
        <f t="shared" si="75"/>
        <v>1521119.7991536008</v>
      </c>
      <c r="AG204">
        <v>203</v>
      </c>
      <c r="AH204">
        <f t="shared" si="83"/>
        <v>219759.29535144079</v>
      </c>
      <c r="AI204">
        <f>IF(AG204&gt;='Loan Prepayment'!$E$11,'Loan Prepayment'!$E$12,'Loan Prepayment'!$B$6)</f>
        <v>7.5</v>
      </c>
      <c r="AJ204">
        <f>IF(AH204&lt;=0,0,MIN(IF(AG204='Loan Prepayment'!$E$11,IF('Loan Prepayment'!$E$13="Keep tenure, recalculate EMI",-PMT(AI204/1200,MAX(1,'Loan Prepayment'!$B$7*12-AG204+1),AH204),AJ203),IF(AND('Loan Prepayment'!$E$15="Reduce EMI",AM203&gt;0),-PMT(AI204/1200,MAX(1,'Loan Prepayment'!$B$7*12-AG204+1),AH204),AJ203)),AH204+AK204))</f>
        <v>77713.634667410894</v>
      </c>
      <c r="AK204">
        <f t="shared" si="76"/>
        <v>1373.4955959465049</v>
      </c>
      <c r="AL204">
        <f t="shared" si="77"/>
        <v>76340.139071464393</v>
      </c>
      <c r="AM204">
        <f>IF(AH204&lt;=0,0,MIN(MAX(0,AH204-AL204),SUMIFS('Loan Prepayment'!$B$12:$B$16,'Loan Prepayment'!$A$12:$A$16,AG204)+IF(AND(AG204&gt;='Loan Prepayment'!$B$9,AG204&lt;='Loan Prepayment'!$E$16),'Loan Prepayment'!$B$8,0)))</f>
        <v>0</v>
      </c>
      <c r="AN204">
        <f t="shared" si="78"/>
        <v>143419.15627997639</v>
      </c>
    </row>
    <row r="205" spans="1:40" x14ac:dyDescent="0.35">
      <c r="A205">
        <v>204</v>
      </c>
      <c r="B205">
        <f t="shared" si="79"/>
        <v>2815936.3044238775</v>
      </c>
      <c r="C205" s="78">
        <f>'Loan Prepayment'!$B$6</f>
        <v>8.5</v>
      </c>
      <c r="D205">
        <f>IF(B205&lt;=0,0,MIN(-PMT('Loan Prepayment'!$B$6/1200,'Loan Prepayment'!$B$7*12,'Loan Prepayment'!$B$5),B205+E205))</f>
        <v>86782.323336553396</v>
      </c>
      <c r="E205">
        <f t="shared" si="63"/>
        <v>19946.215489669132</v>
      </c>
      <c r="F205">
        <f t="shared" si="64"/>
        <v>66836.107846884261</v>
      </c>
      <c r="G205">
        <v>0</v>
      </c>
      <c r="H205">
        <f t="shared" si="65"/>
        <v>2749100.1965769934</v>
      </c>
      <c r="I205">
        <v>204</v>
      </c>
      <c r="J205">
        <f t="shared" si="80"/>
        <v>2361907.5633175196</v>
      </c>
      <c r="K205" s="78">
        <f>'Loan Prepayment'!$B$6</f>
        <v>8.5</v>
      </c>
      <c r="L205">
        <f>IF(J205&lt;=0,0,MIN(IF(AND('Loan Prepayment'!$E$15="Reduce EMI",O204&gt;0),-PMT(K205/1200,MAX(1,'Loan Prepayment'!$B$7*12-I205+1),J205),L204),J205+M205))</f>
        <v>72789.936877782937</v>
      </c>
      <c r="M205">
        <f t="shared" si="66"/>
        <v>16730.178573499099</v>
      </c>
      <c r="N205">
        <f t="shared" si="67"/>
        <v>56059.758304283838</v>
      </c>
      <c r="O205">
        <f>IF(J205&lt;=0,0,MIN(MAX(0,J205-N205),SUMIFS('Loan Prepayment'!$B$12:$B$16,'Loan Prepayment'!$A$12:$A$16,I205)+0))</f>
        <v>0</v>
      </c>
      <c r="P205">
        <f t="shared" si="68"/>
        <v>2305847.8050132357</v>
      </c>
      <c r="Q205">
        <v>204</v>
      </c>
      <c r="R205">
        <f t="shared" si="81"/>
        <v>2815936.3044238775</v>
      </c>
      <c r="S205" s="78">
        <f>'Loan Prepayment'!$B$6</f>
        <v>8.5</v>
      </c>
      <c r="T205">
        <f>IF(R205&lt;=0,0,MIN(IF(AND('Loan Prepayment'!$E$15="Reduce EMI",W204&gt;0),-PMT(S205/1200,MAX(1,'Loan Prepayment'!$B$7*12-Q205+1),R205),T204),R205+U205))</f>
        <v>86782.323336553396</v>
      </c>
      <c r="U205">
        <f t="shared" si="69"/>
        <v>19946.215489669132</v>
      </c>
      <c r="V205">
        <f t="shared" si="70"/>
        <v>66836.107846884261</v>
      </c>
      <c r="W205">
        <f>IF(R205&lt;=0,0,MIN(MAX(0,R205-V205),0+IF(AND(Q205&gt;='Loan Prepayment'!$B$9,Q205&lt;='Loan Prepayment'!$E$16),'Loan Prepayment'!$B$8,0)))</f>
        <v>0</v>
      </c>
      <c r="X205">
        <f t="shared" si="71"/>
        <v>2749100.1965769934</v>
      </c>
      <c r="Y205">
        <v>204</v>
      </c>
      <c r="Z205">
        <f t="shared" si="82"/>
        <v>1521119.7991536008</v>
      </c>
      <c r="AA205">
        <f>IF(Y205&gt;='Loan Prepayment'!$E$11,'Loan Prepayment'!$E$12,'Loan Prepayment'!$B$6)</f>
        <v>7.5</v>
      </c>
      <c r="AB205">
        <f>IF(Z205&lt;=0,0,MIN(IF(Y205='Loan Prepayment'!$E$11,IF('Loan Prepayment'!$E$13="Keep tenure, recalculate EMI",-PMT(AA205/1200,MAX(1,'Loan Prepayment'!$B$7*12-Y205+1),Z205),AB204),AB204),Z205+AC205))</f>
        <v>86782.323336553396</v>
      </c>
      <c r="AC205">
        <f t="shared" si="72"/>
        <v>9506.9987447100048</v>
      </c>
      <c r="AD205">
        <f t="shared" si="73"/>
        <v>77275.324591843397</v>
      </c>
      <c r="AE205">
        <f t="shared" si="74"/>
        <v>0</v>
      </c>
      <c r="AF205">
        <f t="shared" si="75"/>
        <v>1443844.4745617574</v>
      </c>
      <c r="AG205">
        <v>204</v>
      </c>
      <c r="AH205">
        <f t="shared" si="83"/>
        <v>143419.15627997639</v>
      </c>
      <c r="AI205">
        <f>IF(AG205&gt;='Loan Prepayment'!$E$11,'Loan Prepayment'!$E$12,'Loan Prepayment'!$B$6)</f>
        <v>7.5</v>
      </c>
      <c r="AJ205">
        <f>IF(AH205&lt;=0,0,MIN(IF(AG205='Loan Prepayment'!$E$11,IF('Loan Prepayment'!$E$13="Keep tenure, recalculate EMI",-PMT(AI205/1200,MAX(1,'Loan Prepayment'!$B$7*12-AG205+1),AH205),AJ204),IF(AND('Loan Prepayment'!$E$15="Reduce EMI",AM204&gt;0),-PMT(AI205/1200,MAX(1,'Loan Prepayment'!$B$7*12-AG205+1),AH205),AJ204)),AH205+AK205))</f>
        <v>77713.634667410894</v>
      </c>
      <c r="AK205">
        <f t="shared" si="76"/>
        <v>896.36972674985236</v>
      </c>
      <c r="AL205">
        <f t="shared" si="77"/>
        <v>76817.264940661044</v>
      </c>
      <c r="AM205">
        <f>IF(AH205&lt;=0,0,MIN(MAX(0,AH205-AL205),SUMIFS('Loan Prepayment'!$B$12:$B$16,'Loan Prepayment'!$A$12:$A$16,AG205)+IF(AND(AG205&gt;='Loan Prepayment'!$B$9,AG205&lt;='Loan Prepayment'!$E$16),'Loan Prepayment'!$B$8,0)))</f>
        <v>0</v>
      </c>
      <c r="AN205">
        <f t="shared" si="78"/>
        <v>66601.891339315349</v>
      </c>
    </row>
    <row r="206" spans="1:40" x14ac:dyDescent="0.35">
      <c r="A206">
        <v>205</v>
      </c>
      <c r="B206">
        <f t="shared" si="79"/>
        <v>2749100.1965769934</v>
      </c>
      <c r="C206" s="78">
        <f>'Loan Prepayment'!$B$6</f>
        <v>8.5</v>
      </c>
      <c r="D206">
        <f>IF(B206&lt;=0,0,MIN(-PMT('Loan Prepayment'!$B$6/1200,'Loan Prepayment'!$B$7*12,'Loan Prepayment'!$B$5),B206+E206))</f>
        <v>86782.323336553396</v>
      </c>
      <c r="E206">
        <f t="shared" si="63"/>
        <v>19472.793059087035</v>
      </c>
      <c r="F206">
        <f t="shared" si="64"/>
        <v>67309.530277466358</v>
      </c>
      <c r="G206">
        <v>0</v>
      </c>
      <c r="H206">
        <f t="shared" si="65"/>
        <v>2681790.666299527</v>
      </c>
      <c r="I206">
        <v>205</v>
      </c>
      <c r="J206">
        <f t="shared" si="80"/>
        <v>2305847.8050132357</v>
      </c>
      <c r="K206" s="78">
        <f>'Loan Prepayment'!$B$6</f>
        <v>8.5</v>
      </c>
      <c r="L206">
        <f>IF(J206&lt;=0,0,MIN(IF(AND('Loan Prepayment'!$E$15="Reduce EMI",O205&gt;0),-PMT(K206/1200,MAX(1,'Loan Prepayment'!$B$7*12-I206+1),J206),L205),J206+M206))</f>
        <v>72789.936877782937</v>
      </c>
      <c r="M206">
        <f t="shared" si="66"/>
        <v>16333.088618843754</v>
      </c>
      <c r="N206">
        <f t="shared" si="67"/>
        <v>56456.848258939179</v>
      </c>
      <c r="O206">
        <f>IF(J206&lt;=0,0,MIN(MAX(0,J206-N206),SUMIFS('Loan Prepayment'!$B$12:$B$16,'Loan Prepayment'!$A$12:$A$16,I206)+0))</f>
        <v>0</v>
      </c>
      <c r="P206">
        <f t="shared" si="68"/>
        <v>2249390.9567542966</v>
      </c>
      <c r="Q206">
        <v>205</v>
      </c>
      <c r="R206">
        <f t="shared" si="81"/>
        <v>2749100.1965769934</v>
      </c>
      <c r="S206" s="78">
        <f>'Loan Prepayment'!$B$6</f>
        <v>8.5</v>
      </c>
      <c r="T206">
        <f>IF(R206&lt;=0,0,MIN(IF(AND('Loan Prepayment'!$E$15="Reduce EMI",W205&gt;0),-PMT(S206/1200,MAX(1,'Loan Prepayment'!$B$7*12-Q206+1),R206),T205),R206+U206))</f>
        <v>86782.323336553396</v>
      </c>
      <c r="U206">
        <f t="shared" si="69"/>
        <v>19472.793059087035</v>
      </c>
      <c r="V206">
        <f t="shared" si="70"/>
        <v>67309.530277466358</v>
      </c>
      <c r="W206">
        <f>IF(R206&lt;=0,0,MIN(MAX(0,R206-V206),0+IF(AND(Q206&gt;='Loan Prepayment'!$B$9,Q206&lt;='Loan Prepayment'!$E$16),'Loan Prepayment'!$B$8,0)))</f>
        <v>0</v>
      </c>
      <c r="X206">
        <f t="shared" si="71"/>
        <v>2681790.666299527</v>
      </c>
      <c r="Y206">
        <v>205</v>
      </c>
      <c r="Z206">
        <f t="shared" si="82"/>
        <v>1443844.4745617574</v>
      </c>
      <c r="AA206">
        <f>IF(Y206&gt;='Loan Prepayment'!$E$11,'Loan Prepayment'!$E$12,'Loan Prepayment'!$B$6)</f>
        <v>7.5</v>
      </c>
      <c r="AB206">
        <f>IF(Z206&lt;=0,0,MIN(IF(Y206='Loan Prepayment'!$E$11,IF('Loan Prepayment'!$E$13="Keep tenure, recalculate EMI",-PMT(AA206/1200,MAX(1,'Loan Prepayment'!$B$7*12-Y206+1),Z206),AB205),AB205),Z206+AC206))</f>
        <v>86782.323336553396</v>
      </c>
      <c r="AC206">
        <f t="shared" si="72"/>
        <v>9024.0279660109827</v>
      </c>
      <c r="AD206">
        <f t="shared" si="73"/>
        <v>77758.295370542415</v>
      </c>
      <c r="AE206">
        <f t="shared" si="74"/>
        <v>0</v>
      </c>
      <c r="AF206">
        <f t="shared" si="75"/>
        <v>1366086.179191215</v>
      </c>
      <c r="AG206">
        <v>205</v>
      </c>
      <c r="AH206">
        <f t="shared" si="83"/>
        <v>66601.891339315349</v>
      </c>
      <c r="AI206">
        <f>IF(AG206&gt;='Loan Prepayment'!$E$11,'Loan Prepayment'!$E$12,'Loan Prepayment'!$B$6)</f>
        <v>7.5</v>
      </c>
      <c r="AJ206">
        <f>IF(AH206&lt;=0,0,MIN(IF(AG206='Loan Prepayment'!$E$11,IF('Loan Prepayment'!$E$13="Keep tenure, recalculate EMI",-PMT(AI206/1200,MAX(1,'Loan Prepayment'!$B$7*12-AG206+1),AH206),AJ205),IF(AND('Loan Prepayment'!$E$15="Reduce EMI",AM205&gt;0),-PMT(AI206/1200,MAX(1,'Loan Prepayment'!$B$7*12-AG206+1),AH206),AJ205)),AH206+AK206))</f>
        <v>67018.153160186077</v>
      </c>
      <c r="AK206">
        <f t="shared" si="76"/>
        <v>416.26182087072095</v>
      </c>
      <c r="AL206">
        <f t="shared" si="77"/>
        <v>66601.891339315349</v>
      </c>
      <c r="AM206">
        <f>IF(AH206&lt;=0,0,MIN(MAX(0,AH206-AL206),SUMIFS('Loan Prepayment'!$B$12:$B$16,'Loan Prepayment'!$A$12:$A$16,AG206)+IF(AND(AG206&gt;='Loan Prepayment'!$B$9,AG206&lt;='Loan Prepayment'!$E$16),'Loan Prepayment'!$B$8,0)))</f>
        <v>0</v>
      </c>
      <c r="AN206">
        <f t="shared" si="78"/>
        <v>0</v>
      </c>
    </row>
    <row r="207" spans="1:40" x14ac:dyDescent="0.35">
      <c r="A207">
        <v>206</v>
      </c>
      <c r="B207">
        <f t="shared" si="79"/>
        <v>2681790.666299527</v>
      </c>
      <c r="C207" s="78">
        <f>'Loan Prepayment'!$B$6</f>
        <v>8.5</v>
      </c>
      <c r="D207">
        <f>IF(B207&lt;=0,0,MIN(-PMT('Loan Prepayment'!$B$6/1200,'Loan Prepayment'!$B$7*12,'Loan Prepayment'!$B$5),B207+E207))</f>
        <v>86782.323336553396</v>
      </c>
      <c r="E207">
        <f t="shared" si="63"/>
        <v>18996.017219621652</v>
      </c>
      <c r="F207">
        <f t="shared" si="64"/>
        <v>67786.306116931752</v>
      </c>
      <c r="G207">
        <v>0</v>
      </c>
      <c r="H207">
        <f t="shared" si="65"/>
        <v>2614004.3601825954</v>
      </c>
      <c r="I207">
        <v>206</v>
      </c>
      <c r="J207">
        <f t="shared" si="80"/>
        <v>2249390.9567542966</v>
      </c>
      <c r="K207" s="78">
        <f>'Loan Prepayment'!$B$6</f>
        <v>8.5</v>
      </c>
      <c r="L207">
        <f>IF(J207&lt;=0,0,MIN(IF(AND('Loan Prepayment'!$E$15="Reduce EMI",O206&gt;0),-PMT(K207/1200,MAX(1,'Loan Prepayment'!$B$7*12-I207+1),J207),L206),J207+M207))</f>
        <v>72789.936877782937</v>
      </c>
      <c r="M207">
        <f t="shared" si="66"/>
        <v>15933.185943676268</v>
      </c>
      <c r="N207">
        <f t="shared" si="67"/>
        <v>56856.750934106669</v>
      </c>
      <c r="O207">
        <f>IF(J207&lt;=0,0,MIN(MAX(0,J207-N207),SUMIFS('Loan Prepayment'!$B$12:$B$16,'Loan Prepayment'!$A$12:$A$16,I207)+0))</f>
        <v>0</v>
      </c>
      <c r="P207">
        <f t="shared" si="68"/>
        <v>2192534.2058201898</v>
      </c>
      <c r="Q207">
        <v>206</v>
      </c>
      <c r="R207">
        <f t="shared" si="81"/>
        <v>2681790.666299527</v>
      </c>
      <c r="S207" s="78">
        <f>'Loan Prepayment'!$B$6</f>
        <v>8.5</v>
      </c>
      <c r="T207">
        <f>IF(R207&lt;=0,0,MIN(IF(AND('Loan Prepayment'!$E$15="Reduce EMI",W206&gt;0),-PMT(S207/1200,MAX(1,'Loan Prepayment'!$B$7*12-Q207+1),R207),T206),R207+U207))</f>
        <v>86782.323336553396</v>
      </c>
      <c r="U207">
        <f t="shared" si="69"/>
        <v>18996.017219621652</v>
      </c>
      <c r="V207">
        <f t="shared" si="70"/>
        <v>67786.306116931752</v>
      </c>
      <c r="W207">
        <f>IF(R207&lt;=0,0,MIN(MAX(0,R207-V207),0+IF(AND(Q207&gt;='Loan Prepayment'!$B$9,Q207&lt;='Loan Prepayment'!$E$16),'Loan Prepayment'!$B$8,0)))</f>
        <v>0</v>
      </c>
      <c r="X207">
        <f t="shared" si="71"/>
        <v>2614004.3601825954</v>
      </c>
      <c r="Y207">
        <v>206</v>
      </c>
      <c r="Z207">
        <f t="shared" si="82"/>
        <v>1366086.179191215</v>
      </c>
      <c r="AA207">
        <f>IF(Y207&gt;='Loan Prepayment'!$E$11,'Loan Prepayment'!$E$12,'Loan Prepayment'!$B$6)</f>
        <v>7.5</v>
      </c>
      <c r="AB207">
        <f>IF(Z207&lt;=0,0,MIN(IF(Y207='Loan Prepayment'!$E$11,IF('Loan Prepayment'!$E$13="Keep tenure, recalculate EMI",-PMT(AA207/1200,MAX(1,'Loan Prepayment'!$B$7*12-Y207+1),Z207),AB206),AB206),Z207+AC207))</f>
        <v>86782.323336553396</v>
      </c>
      <c r="AC207">
        <f t="shared" si="72"/>
        <v>8538.0386199450932</v>
      </c>
      <c r="AD207">
        <f t="shared" si="73"/>
        <v>78244.284716608308</v>
      </c>
      <c r="AE207">
        <f t="shared" si="74"/>
        <v>0</v>
      </c>
      <c r="AF207">
        <f t="shared" si="75"/>
        <v>1287841.8944746067</v>
      </c>
      <c r="AG207">
        <v>206</v>
      </c>
      <c r="AH207">
        <f t="shared" si="83"/>
        <v>0</v>
      </c>
      <c r="AI207">
        <f>IF(AG207&gt;='Loan Prepayment'!$E$11,'Loan Prepayment'!$E$12,'Loan Prepayment'!$B$6)</f>
        <v>7.5</v>
      </c>
      <c r="AJ207">
        <f>IF(AH207&lt;=0,0,MIN(IF(AG207='Loan Prepayment'!$E$11,IF('Loan Prepayment'!$E$13="Keep tenure, recalculate EMI",-PMT(AI207/1200,MAX(1,'Loan Prepayment'!$B$7*12-AG207+1),AH207),AJ206),IF(AND('Loan Prepayment'!$E$15="Reduce EMI",AM206&gt;0),-PMT(AI207/1200,MAX(1,'Loan Prepayment'!$B$7*12-AG207+1),AH207),AJ206)),AH207+AK207))</f>
        <v>0</v>
      </c>
      <c r="AK207">
        <f t="shared" si="76"/>
        <v>0</v>
      </c>
      <c r="AL207">
        <f t="shared" si="77"/>
        <v>0</v>
      </c>
      <c r="AM207">
        <f>IF(AH207&lt;=0,0,MIN(MAX(0,AH207-AL207),SUMIFS('Loan Prepayment'!$B$12:$B$16,'Loan Prepayment'!$A$12:$A$16,AG207)+IF(AND(AG207&gt;='Loan Prepayment'!$B$9,AG207&lt;='Loan Prepayment'!$E$16),'Loan Prepayment'!$B$8,0)))</f>
        <v>0</v>
      </c>
      <c r="AN207">
        <f t="shared" si="78"/>
        <v>0</v>
      </c>
    </row>
    <row r="208" spans="1:40" x14ac:dyDescent="0.35">
      <c r="A208">
        <v>207</v>
      </c>
      <c r="B208">
        <f t="shared" si="79"/>
        <v>2614004.3601825954</v>
      </c>
      <c r="C208" s="78">
        <f>'Loan Prepayment'!$B$6</f>
        <v>8.5</v>
      </c>
      <c r="D208">
        <f>IF(B208&lt;=0,0,MIN(-PMT('Loan Prepayment'!$B$6/1200,'Loan Prepayment'!$B$7*12,'Loan Prepayment'!$B$5),B208+E208))</f>
        <v>86782.323336553396</v>
      </c>
      <c r="E208">
        <f t="shared" si="63"/>
        <v>18515.864217960054</v>
      </c>
      <c r="F208">
        <f t="shared" si="64"/>
        <v>68266.459118593339</v>
      </c>
      <c r="G208">
        <v>0</v>
      </c>
      <c r="H208">
        <f t="shared" si="65"/>
        <v>2545737.901064002</v>
      </c>
      <c r="I208">
        <v>207</v>
      </c>
      <c r="J208">
        <f t="shared" si="80"/>
        <v>2192534.2058201898</v>
      </c>
      <c r="K208" s="78">
        <f>'Loan Prepayment'!$B$6</f>
        <v>8.5</v>
      </c>
      <c r="L208">
        <f>IF(J208&lt;=0,0,MIN(IF(AND('Loan Prepayment'!$E$15="Reduce EMI",O207&gt;0),-PMT(K208/1200,MAX(1,'Loan Prepayment'!$B$7*12-I208+1),J208),L207),J208+M208))</f>
        <v>72789.936877782937</v>
      </c>
      <c r="M208">
        <f t="shared" si="66"/>
        <v>15530.450624559677</v>
      </c>
      <c r="N208">
        <f t="shared" si="67"/>
        <v>57259.486253223258</v>
      </c>
      <c r="O208">
        <f>IF(J208&lt;=0,0,MIN(MAX(0,J208-N208),SUMIFS('Loan Prepayment'!$B$12:$B$16,'Loan Prepayment'!$A$12:$A$16,I208)+0))</f>
        <v>0</v>
      </c>
      <c r="P208">
        <f t="shared" si="68"/>
        <v>2135274.7195669664</v>
      </c>
      <c r="Q208">
        <v>207</v>
      </c>
      <c r="R208">
        <f t="shared" si="81"/>
        <v>2614004.3601825954</v>
      </c>
      <c r="S208" s="78">
        <f>'Loan Prepayment'!$B$6</f>
        <v>8.5</v>
      </c>
      <c r="T208">
        <f>IF(R208&lt;=0,0,MIN(IF(AND('Loan Prepayment'!$E$15="Reduce EMI",W207&gt;0),-PMT(S208/1200,MAX(1,'Loan Prepayment'!$B$7*12-Q208+1),R208),T207),R208+U208))</f>
        <v>86782.323336553396</v>
      </c>
      <c r="U208">
        <f t="shared" si="69"/>
        <v>18515.864217960054</v>
      </c>
      <c r="V208">
        <f t="shared" si="70"/>
        <v>68266.459118593339</v>
      </c>
      <c r="W208">
        <f>IF(R208&lt;=0,0,MIN(MAX(0,R208-V208),0+IF(AND(Q208&gt;='Loan Prepayment'!$B$9,Q208&lt;='Loan Prepayment'!$E$16),'Loan Prepayment'!$B$8,0)))</f>
        <v>0</v>
      </c>
      <c r="X208">
        <f t="shared" si="71"/>
        <v>2545737.901064002</v>
      </c>
      <c r="Y208">
        <v>207</v>
      </c>
      <c r="Z208">
        <f t="shared" si="82"/>
        <v>1287841.8944746067</v>
      </c>
      <c r="AA208">
        <f>IF(Y208&gt;='Loan Prepayment'!$E$11,'Loan Prepayment'!$E$12,'Loan Prepayment'!$B$6)</f>
        <v>7.5</v>
      </c>
      <c r="AB208">
        <f>IF(Z208&lt;=0,0,MIN(IF(Y208='Loan Prepayment'!$E$11,IF('Loan Prepayment'!$E$13="Keep tenure, recalculate EMI",-PMT(AA208/1200,MAX(1,'Loan Prepayment'!$B$7*12-Y208+1),Z208),AB207),AB207),Z208+AC208))</f>
        <v>86782.323336553396</v>
      </c>
      <c r="AC208">
        <f t="shared" si="72"/>
        <v>8049.0118404662917</v>
      </c>
      <c r="AD208">
        <f t="shared" si="73"/>
        <v>78733.311496087103</v>
      </c>
      <c r="AE208">
        <f t="shared" si="74"/>
        <v>0</v>
      </c>
      <c r="AF208">
        <f t="shared" si="75"/>
        <v>1209108.5829785196</v>
      </c>
      <c r="AG208">
        <v>207</v>
      </c>
      <c r="AH208">
        <f t="shared" si="83"/>
        <v>0</v>
      </c>
      <c r="AI208">
        <f>IF(AG208&gt;='Loan Prepayment'!$E$11,'Loan Prepayment'!$E$12,'Loan Prepayment'!$B$6)</f>
        <v>7.5</v>
      </c>
      <c r="AJ208">
        <f>IF(AH208&lt;=0,0,MIN(IF(AG208='Loan Prepayment'!$E$11,IF('Loan Prepayment'!$E$13="Keep tenure, recalculate EMI",-PMT(AI208/1200,MAX(1,'Loan Prepayment'!$B$7*12-AG208+1),AH208),AJ207),IF(AND('Loan Prepayment'!$E$15="Reduce EMI",AM207&gt;0),-PMT(AI208/1200,MAX(1,'Loan Prepayment'!$B$7*12-AG208+1),AH208),AJ207)),AH208+AK208))</f>
        <v>0</v>
      </c>
      <c r="AK208">
        <f t="shared" si="76"/>
        <v>0</v>
      </c>
      <c r="AL208">
        <f t="shared" si="77"/>
        <v>0</v>
      </c>
      <c r="AM208">
        <f>IF(AH208&lt;=0,0,MIN(MAX(0,AH208-AL208),SUMIFS('Loan Prepayment'!$B$12:$B$16,'Loan Prepayment'!$A$12:$A$16,AG208)+IF(AND(AG208&gt;='Loan Prepayment'!$B$9,AG208&lt;='Loan Prepayment'!$E$16),'Loan Prepayment'!$B$8,0)))</f>
        <v>0</v>
      </c>
      <c r="AN208">
        <f t="shared" si="78"/>
        <v>0</v>
      </c>
    </row>
    <row r="209" spans="1:40" x14ac:dyDescent="0.35">
      <c r="A209">
        <v>208</v>
      </c>
      <c r="B209">
        <f t="shared" si="79"/>
        <v>2545737.901064002</v>
      </c>
      <c r="C209" s="78">
        <f>'Loan Prepayment'!$B$6</f>
        <v>8.5</v>
      </c>
      <c r="D209">
        <f>IF(B209&lt;=0,0,MIN(-PMT('Loan Prepayment'!$B$6/1200,'Loan Prepayment'!$B$7*12,'Loan Prepayment'!$B$5),B209+E209))</f>
        <v>86782.323336553396</v>
      </c>
      <c r="E209">
        <f t="shared" si="63"/>
        <v>18032.310132536681</v>
      </c>
      <c r="F209">
        <f t="shared" si="64"/>
        <v>68750.013204016723</v>
      </c>
      <c r="G209">
        <v>0</v>
      </c>
      <c r="H209">
        <f t="shared" si="65"/>
        <v>2476987.8878599852</v>
      </c>
      <c r="I209">
        <v>208</v>
      </c>
      <c r="J209">
        <f t="shared" si="80"/>
        <v>2135274.7195669664</v>
      </c>
      <c r="K209" s="78">
        <f>'Loan Prepayment'!$B$6</f>
        <v>8.5</v>
      </c>
      <c r="L209">
        <f>IF(J209&lt;=0,0,MIN(IF(AND('Loan Prepayment'!$E$15="Reduce EMI",O208&gt;0),-PMT(K209/1200,MAX(1,'Loan Prepayment'!$B$7*12-I209+1),J209),L208),J209+M209))</f>
        <v>72789.936877782937</v>
      </c>
      <c r="M209">
        <f t="shared" si="66"/>
        <v>15124.862596932677</v>
      </c>
      <c r="N209">
        <f t="shared" si="67"/>
        <v>57665.074280850262</v>
      </c>
      <c r="O209">
        <f>IF(J209&lt;=0,0,MIN(MAX(0,J209-N209),SUMIFS('Loan Prepayment'!$B$12:$B$16,'Loan Prepayment'!$A$12:$A$16,I209)+0))</f>
        <v>0</v>
      </c>
      <c r="P209">
        <f t="shared" si="68"/>
        <v>2077609.6452861161</v>
      </c>
      <c r="Q209">
        <v>208</v>
      </c>
      <c r="R209">
        <f t="shared" si="81"/>
        <v>2545737.901064002</v>
      </c>
      <c r="S209" s="78">
        <f>'Loan Prepayment'!$B$6</f>
        <v>8.5</v>
      </c>
      <c r="T209">
        <f>IF(R209&lt;=0,0,MIN(IF(AND('Loan Prepayment'!$E$15="Reduce EMI",W208&gt;0),-PMT(S209/1200,MAX(1,'Loan Prepayment'!$B$7*12-Q209+1),R209),T208),R209+U209))</f>
        <v>86782.323336553396</v>
      </c>
      <c r="U209">
        <f t="shared" si="69"/>
        <v>18032.310132536681</v>
      </c>
      <c r="V209">
        <f t="shared" si="70"/>
        <v>68750.013204016723</v>
      </c>
      <c r="W209">
        <f>IF(R209&lt;=0,0,MIN(MAX(0,R209-V209),0+IF(AND(Q209&gt;='Loan Prepayment'!$B$9,Q209&lt;='Loan Prepayment'!$E$16),'Loan Prepayment'!$B$8,0)))</f>
        <v>0</v>
      </c>
      <c r="X209">
        <f t="shared" si="71"/>
        <v>2476987.8878599852</v>
      </c>
      <c r="Y209">
        <v>208</v>
      </c>
      <c r="Z209">
        <f t="shared" si="82"/>
        <v>1209108.5829785196</v>
      </c>
      <c r="AA209">
        <f>IF(Y209&gt;='Loan Prepayment'!$E$11,'Loan Prepayment'!$E$12,'Loan Prepayment'!$B$6)</f>
        <v>7.5</v>
      </c>
      <c r="AB209">
        <f>IF(Z209&lt;=0,0,MIN(IF(Y209='Loan Prepayment'!$E$11,IF('Loan Prepayment'!$E$13="Keep tenure, recalculate EMI",-PMT(AA209/1200,MAX(1,'Loan Prepayment'!$B$7*12-Y209+1),Z209),AB208),AB208),Z209+AC209))</f>
        <v>86782.323336553396</v>
      </c>
      <c r="AC209">
        <f t="shared" si="72"/>
        <v>7556.9286436157472</v>
      </c>
      <c r="AD209">
        <f t="shared" si="73"/>
        <v>79225.394692937654</v>
      </c>
      <c r="AE209">
        <f t="shared" si="74"/>
        <v>0</v>
      </c>
      <c r="AF209">
        <f t="shared" si="75"/>
        <v>1129883.188285582</v>
      </c>
      <c r="AG209">
        <v>208</v>
      </c>
      <c r="AH209">
        <f t="shared" si="83"/>
        <v>0</v>
      </c>
      <c r="AI209">
        <f>IF(AG209&gt;='Loan Prepayment'!$E$11,'Loan Prepayment'!$E$12,'Loan Prepayment'!$B$6)</f>
        <v>7.5</v>
      </c>
      <c r="AJ209">
        <f>IF(AH209&lt;=0,0,MIN(IF(AG209='Loan Prepayment'!$E$11,IF('Loan Prepayment'!$E$13="Keep tenure, recalculate EMI",-PMT(AI209/1200,MAX(1,'Loan Prepayment'!$B$7*12-AG209+1),AH209),AJ208),IF(AND('Loan Prepayment'!$E$15="Reduce EMI",AM208&gt;0),-PMT(AI209/1200,MAX(1,'Loan Prepayment'!$B$7*12-AG209+1),AH209),AJ208)),AH209+AK209))</f>
        <v>0</v>
      </c>
      <c r="AK209">
        <f t="shared" si="76"/>
        <v>0</v>
      </c>
      <c r="AL209">
        <f t="shared" si="77"/>
        <v>0</v>
      </c>
      <c r="AM209">
        <f>IF(AH209&lt;=0,0,MIN(MAX(0,AH209-AL209),SUMIFS('Loan Prepayment'!$B$12:$B$16,'Loan Prepayment'!$A$12:$A$16,AG209)+IF(AND(AG209&gt;='Loan Prepayment'!$B$9,AG209&lt;='Loan Prepayment'!$E$16),'Loan Prepayment'!$B$8,0)))</f>
        <v>0</v>
      </c>
      <c r="AN209">
        <f t="shared" si="78"/>
        <v>0</v>
      </c>
    </row>
    <row r="210" spans="1:40" x14ac:dyDescent="0.35">
      <c r="A210">
        <v>209</v>
      </c>
      <c r="B210">
        <f t="shared" si="79"/>
        <v>2476987.8878599852</v>
      </c>
      <c r="C210" s="78">
        <f>'Loan Prepayment'!$B$6</f>
        <v>8.5</v>
      </c>
      <c r="D210">
        <f>IF(B210&lt;=0,0,MIN(-PMT('Loan Prepayment'!$B$6/1200,'Loan Prepayment'!$B$7*12,'Loan Prepayment'!$B$5),B210+E210))</f>
        <v>86782.323336553396</v>
      </c>
      <c r="E210">
        <f t="shared" si="63"/>
        <v>17545.330872341561</v>
      </c>
      <c r="F210">
        <f t="shared" si="64"/>
        <v>69236.992464211828</v>
      </c>
      <c r="G210">
        <v>0</v>
      </c>
      <c r="H210">
        <f t="shared" si="65"/>
        <v>2407750.8953957735</v>
      </c>
      <c r="I210">
        <v>209</v>
      </c>
      <c r="J210">
        <f t="shared" si="80"/>
        <v>2077609.6452861161</v>
      </c>
      <c r="K210" s="78">
        <f>'Loan Prepayment'!$B$6</f>
        <v>8.5</v>
      </c>
      <c r="L210">
        <f>IF(J210&lt;=0,0,MIN(IF(AND('Loan Prepayment'!$E$15="Reduce EMI",O209&gt;0),-PMT(K210/1200,MAX(1,'Loan Prepayment'!$B$7*12-I210+1),J210),L209),J210+M210))</f>
        <v>72789.936877782937</v>
      </c>
      <c r="M210">
        <f t="shared" si="66"/>
        <v>14716.401654109988</v>
      </c>
      <c r="N210">
        <f t="shared" si="67"/>
        <v>58073.535223672952</v>
      </c>
      <c r="O210">
        <f>IF(J210&lt;=0,0,MIN(MAX(0,J210-N210),SUMIFS('Loan Prepayment'!$B$12:$B$16,'Loan Prepayment'!$A$12:$A$16,I210)+0))</f>
        <v>0</v>
      </c>
      <c r="P210">
        <f t="shared" si="68"/>
        <v>2019536.1100624432</v>
      </c>
      <c r="Q210">
        <v>209</v>
      </c>
      <c r="R210">
        <f t="shared" si="81"/>
        <v>2476987.8878599852</v>
      </c>
      <c r="S210" s="78">
        <f>'Loan Prepayment'!$B$6</f>
        <v>8.5</v>
      </c>
      <c r="T210">
        <f>IF(R210&lt;=0,0,MIN(IF(AND('Loan Prepayment'!$E$15="Reduce EMI",W209&gt;0),-PMT(S210/1200,MAX(1,'Loan Prepayment'!$B$7*12-Q210+1),R210),T209),R210+U210))</f>
        <v>86782.323336553396</v>
      </c>
      <c r="U210">
        <f t="shared" si="69"/>
        <v>17545.330872341561</v>
      </c>
      <c r="V210">
        <f t="shared" si="70"/>
        <v>69236.992464211828</v>
      </c>
      <c r="W210">
        <f>IF(R210&lt;=0,0,MIN(MAX(0,R210-V210),0+IF(AND(Q210&gt;='Loan Prepayment'!$B$9,Q210&lt;='Loan Prepayment'!$E$16),'Loan Prepayment'!$B$8,0)))</f>
        <v>0</v>
      </c>
      <c r="X210">
        <f t="shared" si="71"/>
        <v>2407750.8953957735</v>
      </c>
      <c r="Y210">
        <v>209</v>
      </c>
      <c r="Z210">
        <f t="shared" si="82"/>
        <v>1129883.188285582</v>
      </c>
      <c r="AA210">
        <f>IF(Y210&gt;='Loan Prepayment'!$E$11,'Loan Prepayment'!$E$12,'Loan Prepayment'!$B$6)</f>
        <v>7.5</v>
      </c>
      <c r="AB210">
        <f>IF(Z210&lt;=0,0,MIN(IF(Y210='Loan Prepayment'!$E$11,IF('Loan Prepayment'!$E$13="Keep tenure, recalculate EMI",-PMT(AA210/1200,MAX(1,'Loan Prepayment'!$B$7*12-Y210+1),Z210),AB209),AB209),Z210+AC210))</f>
        <v>86782.323336553396</v>
      </c>
      <c r="AC210">
        <f t="shared" si="72"/>
        <v>7061.7699267848875</v>
      </c>
      <c r="AD210">
        <f t="shared" si="73"/>
        <v>79720.553409768501</v>
      </c>
      <c r="AE210">
        <f t="shared" si="74"/>
        <v>0</v>
      </c>
      <c r="AF210">
        <f t="shared" si="75"/>
        <v>1050162.6348758135</v>
      </c>
      <c r="AG210">
        <v>209</v>
      </c>
      <c r="AH210">
        <f t="shared" si="83"/>
        <v>0</v>
      </c>
      <c r="AI210">
        <f>IF(AG210&gt;='Loan Prepayment'!$E$11,'Loan Prepayment'!$E$12,'Loan Prepayment'!$B$6)</f>
        <v>7.5</v>
      </c>
      <c r="AJ210">
        <f>IF(AH210&lt;=0,0,MIN(IF(AG210='Loan Prepayment'!$E$11,IF('Loan Prepayment'!$E$13="Keep tenure, recalculate EMI",-PMT(AI210/1200,MAX(1,'Loan Prepayment'!$B$7*12-AG210+1),AH210),AJ209),IF(AND('Loan Prepayment'!$E$15="Reduce EMI",AM209&gt;0),-PMT(AI210/1200,MAX(1,'Loan Prepayment'!$B$7*12-AG210+1),AH210),AJ209)),AH210+AK210))</f>
        <v>0</v>
      </c>
      <c r="AK210">
        <f t="shared" si="76"/>
        <v>0</v>
      </c>
      <c r="AL210">
        <f t="shared" si="77"/>
        <v>0</v>
      </c>
      <c r="AM210">
        <f>IF(AH210&lt;=0,0,MIN(MAX(0,AH210-AL210),SUMIFS('Loan Prepayment'!$B$12:$B$16,'Loan Prepayment'!$A$12:$A$16,AG210)+IF(AND(AG210&gt;='Loan Prepayment'!$B$9,AG210&lt;='Loan Prepayment'!$E$16),'Loan Prepayment'!$B$8,0)))</f>
        <v>0</v>
      </c>
      <c r="AN210">
        <f t="shared" si="78"/>
        <v>0</v>
      </c>
    </row>
    <row r="211" spans="1:40" x14ac:dyDescent="0.35">
      <c r="A211">
        <v>210</v>
      </c>
      <c r="B211">
        <f t="shared" si="79"/>
        <v>2407750.8953957735</v>
      </c>
      <c r="C211" s="78">
        <f>'Loan Prepayment'!$B$6</f>
        <v>8.5</v>
      </c>
      <c r="D211">
        <f>IF(B211&lt;=0,0,MIN(-PMT('Loan Prepayment'!$B$6/1200,'Loan Prepayment'!$B$7*12,'Loan Prepayment'!$B$5),B211+E211))</f>
        <v>86782.323336553396</v>
      </c>
      <c r="E211">
        <f t="shared" si="63"/>
        <v>17054.902175720061</v>
      </c>
      <c r="F211">
        <f t="shared" si="64"/>
        <v>69727.421160833328</v>
      </c>
      <c r="G211">
        <v>0</v>
      </c>
      <c r="H211">
        <f t="shared" si="65"/>
        <v>2338023.47423494</v>
      </c>
      <c r="I211">
        <v>210</v>
      </c>
      <c r="J211">
        <f t="shared" si="80"/>
        <v>2019536.1100624432</v>
      </c>
      <c r="K211" s="78">
        <f>'Loan Prepayment'!$B$6</f>
        <v>8.5</v>
      </c>
      <c r="L211">
        <f>IF(J211&lt;=0,0,MIN(IF(AND('Loan Prepayment'!$E$15="Reduce EMI",O210&gt;0),-PMT(K211/1200,MAX(1,'Loan Prepayment'!$B$7*12-I211+1),J211),L210),J211+M211))</f>
        <v>72789.936877782937</v>
      </c>
      <c r="M211">
        <f t="shared" si="66"/>
        <v>14305.047446275639</v>
      </c>
      <c r="N211">
        <f t="shared" si="67"/>
        <v>58484.889431507298</v>
      </c>
      <c r="O211">
        <f>IF(J211&lt;=0,0,MIN(MAX(0,J211-N211),SUMIFS('Loan Prepayment'!$B$12:$B$16,'Loan Prepayment'!$A$12:$A$16,I211)+0))</f>
        <v>0</v>
      </c>
      <c r="P211">
        <f t="shared" si="68"/>
        <v>1961051.2206309359</v>
      </c>
      <c r="Q211">
        <v>210</v>
      </c>
      <c r="R211">
        <f t="shared" si="81"/>
        <v>2407750.8953957735</v>
      </c>
      <c r="S211" s="78">
        <f>'Loan Prepayment'!$B$6</f>
        <v>8.5</v>
      </c>
      <c r="T211">
        <f>IF(R211&lt;=0,0,MIN(IF(AND('Loan Prepayment'!$E$15="Reduce EMI",W210&gt;0),-PMT(S211/1200,MAX(1,'Loan Prepayment'!$B$7*12-Q211+1),R211),T210),R211+U211))</f>
        <v>86782.323336553396</v>
      </c>
      <c r="U211">
        <f t="shared" si="69"/>
        <v>17054.902175720061</v>
      </c>
      <c r="V211">
        <f t="shared" si="70"/>
        <v>69727.421160833328</v>
      </c>
      <c r="W211">
        <f>IF(R211&lt;=0,0,MIN(MAX(0,R211-V211),0+IF(AND(Q211&gt;='Loan Prepayment'!$B$9,Q211&lt;='Loan Prepayment'!$E$16),'Loan Prepayment'!$B$8,0)))</f>
        <v>0</v>
      </c>
      <c r="X211">
        <f t="shared" si="71"/>
        <v>2338023.47423494</v>
      </c>
      <c r="Y211">
        <v>210</v>
      </c>
      <c r="Z211">
        <f t="shared" si="82"/>
        <v>1050162.6348758135</v>
      </c>
      <c r="AA211">
        <f>IF(Y211&gt;='Loan Prepayment'!$E$11,'Loan Prepayment'!$E$12,'Loan Prepayment'!$B$6)</f>
        <v>7.5</v>
      </c>
      <c r="AB211">
        <f>IF(Z211&lt;=0,0,MIN(IF(Y211='Loan Prepayment'!$E$11,IF('Loan Prepayment'!$E$13="Keep tenure, recalculate EMI",-PMT(AA211/1200,MAX(1,'Loan Prepayment'!$B$7*12-Y211+1),Z211),AB210),AB210),Z211+AC211))</f>
        <v>86782.323336553396</v>
      </c>
      <c r="AC211">
        <f t="shared" si="72"/>
        <v>6563.5164679738346</v>
      </c>
      <c r="AD211">
        <f t="shared" si="73"/>
        <v>80218.806868579559</v>
      </c>
      <c r="AE211">
        <f t="shared" si="74"/>
        <v>0</v>
      </c>
      <c r="AF211">
        <f t="shared" si="75"/>
        <v>969943.82800723391</v>
      </c>
      <c r="AG211">
        <v>210</v>
      </c>
      <c r="AH211">
        <f t="shared" si="83"/>
        <v>0</v>
      </c>
      <c r="AI211">
        <f>IF(AG211&gt;='Loan Prepayment'!$E$11,'Loan Prepayment'!$E$12,'Loan Prepayment'!$B$6)</f>
        <v>7.5</v>
      </c>
      <c r="AJ211">
        <f>IF(AH211&lt;=0,0,MIN(IF(AG211='Loan Prepayment'!$E$11,IF('Loan Prepayment'!$E$13="Keep tenure, recalculate EMI",-PMT(AI211/1200,MAX(1,'Loan Prepayment'!$B$7*12-AG211+1),AH211),AJ210),IF(AND('Loan Prepayment'!$E$15="Reduce EMI",AM210&gt;0),-PMT(AI211/1200,MAX(1,'Loan Prepayment'!$B$7*12-AG211+1),AH211),AJ210)),AH211+AK211))</f>
        <v>0</v>
      </c>
      <c r="AK211">
        <f t="shared" si="76"/>
        <v>0</v>
      </c>
      <c r="AL211">
        <f t="shared" si="77"/>
        <v>0</v>
      </c>
      <c r="AM211">
        <f>IF(AH211&lt;=0,0,MIN(MAX(0,AH211-AL211),SUMIFS('Loan Prepayment'!$B$12:$B$16,'Loan Prepayment'!$A$12:$A$16,AG211)+IF(AND(AG211&gt;='Loan Prepayment'!$B$9,AG211&lt;='Loan Prepayment'!$E$16),'Loan Prepayment'!$B$8,0)))</f>
        <v>0</v>
      </c>
      <c r="AN211">
        <f t="shared" si="78"/>
        <v>0</v>
      </c>
    </row>
    <row r="212" spans="1:40" x14ac:dyDescent="0.35">
      <c r="A212">
        <v>211</v>
      </c>
      <c r="B212">
        <f t="shared" si="79"/>
        <v>2338023.47423494</v>
      </c>
      <c r="C212" s="78">
        <f>'Loan Prepayment'!$B$6</f>
        <v>8.5</v>
      </c>
      <c r="D212">
        <f>IF(B212&lt;=0,0,MIN(-PMT('Loan Prepayment'!$B$6/1200,'Loan Prepayment'!$B$7*12,'Loan Prepayment'!$B$5),B212+E212))</f>
        <v>86782.323336553396</v>
      </c>
      <c r="E212">
        <f t="shared" si="63"/>
        <v>16560.999609164159</v>
      </c>
      <c r="F212">
        <f t="shared" si="64"/>
        <v>70221.323727389245</v>
      </c>
      <c r="G212">
        <v>0</v>
      </c>
      <c r="H212">
        <f t="shared" si="65"/>
        <v>2267802.1505075507</v>
      </c>
      <c r="I212">
        <v>211</v>
      </c>
      <c r="J212">
        <f t="shared" si="80"/>
        <v>1961051.2206309359</v>
      </c>
      <c r="K212" s="78">
        <f>'Loan Prepayment'!$B$6</f>
        <v>8.5</v>
      </c>
      <c r="L212">
        <f>IF(J212&lt;=0,0,MIN(IF(AND('Loan Prepayment'!$E$15="Reduce EMI",O211&gt;0),-PMT(K212/1200,MAX(1,'Loan Prepayment'!$B$7*12-I212+1),J212),L211),J212+M212))</f>
        <v>72789.936877782937</v>
      </c>
      <c r="M212">
        <f t="shared" si="66"/>
        <v>13890.779479469129</v>
      </c>
      <c r="N212">
        <f t="shared" si="67"/>
        <v>58899.157398313808</v>
      </c>
      <c r="O212">
        <f>IF(J212&lt;=0,0,MIN(MAX(0,J212-N212),SUMIFS('Loan Prepayment'!$B$12:$B$16,'Loan Prepayment'!$A$12:$A$16,I212)+0))</f>
        <v>0</v>
      </c>
      <c r="P212">
        <f t="shared" si="68"/>
        <v>1902152.0632326221</v>
      </c>
      <c r="Q212">
        <v>211</v>
      </c>
      <c r="R212">
        <f t="shared" si="81"/>
        <v>2338023.47423494</v>
      </c>
      <c r="S212" s="78">
        <f>'Loan Prepayment'!$B$6</f>
        <v>8.5</v>
      </c>
      <c r="T212">
        <f>IF(R212&lt;=0,0,MIN(IF(AND('Loan Prepayment'!$E$15="Reduce EMI",W211&gt;0),-PMT(S212/1200,MAX(1,'Loan Prepayment'!$B$7*12-Q212+1),R212),T211),R212+U212))</f>
        <v>86782.323336553396</v>
      </c>
      <c r="U212">
        <f t="shared" si="69"/>
        <v>16560.999609164159</v>
      </c>
      <c r="V212">
        <f t="shared" si="70"/>
        <v>70221.323727389245</v>
      </c>
      <c r="W212">
        <f>IF(R212&lt;=0,0,MIN(MAX(0,R212-V212),0+IF(AND(Q212&gt;='Loan Prepayment'!$B$9,Q212&lt;='Loan Prepayment'!$E$16),'Loan Prepayment'!$B$8,0)))</f>
        <v>0</v>
      </c>
      <c r="X212">
        <f t="shared" si="71"/>
        <v>2267802.1505075507</v>
      </c>
      <c r="Y212">
        <v>211</v>
      </c>
      <c r="Z212">
        <f t="shared" si="82"/>
        <v>969943.82800723391</v>
      </c>
      <c r="AA212">
        <f>IF(Y212&gt;='Loan Prepayment'!$E$11,'Loan Prepayment'!$E$12,'Loan Prepayment'!$B$6)</f>
        <v>7.5</v>
      </c>
      <c r="AB212">
        <f>IF(Z212&lt;=0,0,MIN(IF(Y212='Loan Prepayment'!$E$11,IF('Loan Prepayment'!$E$13="Keep tenure, recalculate EMI",-PMT(AA212/1200,MAX(1,'Loan Prepayment'!$B$7*12-Y212+1),Z212),AB211),AB211),Z212+AC212))</f>
        <v>86782.323336553396</v>
      </c>
      <c r="AC212">
        <f t="shared" si="72"/>
        <v>6062.1489250452114</v>
      </c>
      <c r="AD212">
        <f t="shared" si="73"/>
        <v>80720.174411508182</v>
      </c>
      <c r="AE212">
        <f t="shared" si="74"/>
        <v>0</v>
      </c>
      <c r="AF212">
        <f t="shared" si="75"/>
        <v>889223.65359572577</v>
      </c>
      <c r="AG212">
        <v>211</v>
      </c>
      <c r="AH212">
        <f t="shared" si="83"/>
        <v>0</v>
      </c>
      <c r="AI212">
        <f>IF(AG212&gt;='Loan Prepayment'!$E$11,'Loan Prepayment'!$E$12,'Loan Prepayment'!$B$6)</f>
        <v>7.5</v>
      </c>
      <c r="AJ212">
        <f>IF(AH212&lt;=0,0,MIN(IF(AG212='Loan Prepayment'!$E$11,IF('Loan Prepayment'!$E$13="Keep tenure, recalculate EMI",-PMT(AI212/1200,MAX(1,'Loan Prepayment'!$B$7*12-AG212+1),AH212),AJ211),IF(AND('Loan Prepayment'!$E$15="Reduce EMI",AM211&gt;0),-PMT(AI212/1200,MAX(1,'Loan Prepayment'!$B$7*12-AG212+1),AH212),AJ211)),AH212+AK212))</f>
        <v>0</v>
      </c>
      <c r="AK212">
        <f t="shared" si="76"/>
        <v>0</v>
      </c>
      <c r="AL212">
        <f t="shared" si="77"/>
        <v>0</v>
      </c>
      <c r="AM212">
        <f>IF(AH212&lt;=0,0,MIN(MAX(0,AH212-AL212),SUMIFS('Loan Prepayment'!$B$12:$B$16,'Loan Prepayment'!$A$12:$A$16,AG212)+IF(AND(AG212&gt;='Loan Prepayment'!$B$9,AG212&lt;='Loan Prepayment'!$E$16),'Loan Prepayment'!$B$8,0)))</f>
        <v>0</v>
      </c>
      <c r="AN212">
        <f t="shared" si="78"/>
        <v>0</v>
      </c>
    </row>
    <row r="213" spans="1:40" x14ac:dyDescent="0.35">
      <c r="A213">
        <v>212</v>
      </c>
      <c r="B213">
        <f t="shared" si="79"/>
        <v>2267802.1505075507</v>
      </c>
      <c r="C213" s="78">
        <f>'Loan Prepayment'!$B$6</f>
        <v>8.5</v>
      </c>
      <c r="D213">
        <f>IF(B213&lt;=0,0,MIN(-PMT('Loan Prepayment'!$B$6/1200,'Loan Prepayment'!$B$7*12,'Loan Prepayment'!$B$5),B213+E213))</f>
        <v>86782.323336553396</v>
      </c>
      <c r="E213">
        <f t="shared" si="63"/>
        <v>16063.598566095152</v>
      </c>
      <c r="F213">
        <f t="shared" si="64"/>
        <v>70718.724770458241</v>
      </c>
      <c r="G213">
        <v>0</v>
      </c>
      <c r="H213">
        <f t="shared" si="65"/>
        <v>2197083.4257370923</v>
      </c>
      <c r="I213">
        <v>212</v>
      </c>
      <c r="J213">
        <f t="shared" si="80"/>
        <v>1902152.0632326221</v>
      </c>
      <c r="K213" s="78">
        <f>'Loan Prepayment'!$B$6</f>
        <v>8.5</v>
      </c>
      <c r="L213">
        <f>IF(J213&lt;=0,0,MIN(IF(AND('Loan Prepayment'!$E$15="Reduce EMI",O212&gt;0),-PMT(K213/1200,MAX(1,'Loan Prepayment'!$B$7*12-I213+1),J213),L212),J213+M213))</f>
        <v>72789.936877782937</v>
      </c>
      <c r="M213">
        <f t="shared" si="66"/>
        <v>13473.577114564407</v>
      </c>
      <c r="N213">
        <f t="shared" si="67"/>
        <v>59316.359763218526</v>
      </c>
      <c r="O213">
        <f>IF(J213&lt;=0,0,MIN(MAX(0,J213-N213),SUMIFS('Loan Prepayment'!$B$12:$B$16,'Loan Prepayment'!$A$12:$A$16,I213)+0))</f>
        <v>0</v>
      </c>
      <c r="P213">
        <f t="shared" si="68"/>
        <v>1842835.7034694036</v>
      </c>
      <c r="Q213">
        <v>212</v>
      </c>
      <c r="R213">
        <f t="shared" si="81"/>
        <v>2267802.1505075507</v>
      </c>
      <c r="S213" s="78">
        <f>'Loan Prepayment'!$B$6</f>
        <v>8.5</v>
      </c>
      <c r="T213">
        <f>IF(R213&lt;=0,0,MIN(IF(AND('Loan Prepayment'!$E$15="Reduce EMI",W212&gt;0),-PMT(S213/1200,MAX(1,'Loan Prepayment'!$B$7*12-Q213+1),R213),T212),R213+U213))</f>
        <v>86782.323336553396</v>
      </c>
      <c r="U213">
        <f t="shared" si="69"/>
        <v>16063.598566095152</v>
      </c>
      <c r="V213">
        <f t="shared" si="70"/>
        <v>70718.724770458241</v>
      </c>
      <c r="W213">
        <f>IF(R213&lt;=0,0,MIN(MAX(0,R213-V213),0+IF(AND(Q213&gt;='Loan Prepayment'!$B$9,Q213&lt;='Loan Prepayment'!$E$16),'Loan Prepayment'!$B$8,0)))</f>
        <v>0</v>
      </c>
      <c r="X213">
        <f t="shared" si="71"/>
        <v>2197083.4257370923</v>
      </c>
      <c r="Y213">
        <v>212</v>
      </c>
      <c r="Z213">
        <f t="shared" si="82"/>
        <v>889223.65359572577</v>
      </c>
      <c r="AA213">
        <f>IF(Y213&gt;='Loan Prepayment'!$E$11,'Loan Prepayment'!$E$12,'Loan Prepayment'!$B$6)</f>
        <v>7.5</v>
      </c>
      <c r="AB213">
        <f>IF(Z213&lt;=0,0,MIN(IF(Y213='Loan Prepayment'!$E$11,IF('Loan Prepayment'!$E$13="Keep tenure, recalculate EMI",-PMT(AA213/1200,MAX(1,'Loan Prepayment'!$B$7*12-Y213+1),Z213),AB212),AB212),Z213+AC213))</f>
        <v>86782.323336553396</v>
      </c>
      <c r="AC213">
        <f t="shared" si="72"/>
        <v>5557.6478349732861</v>
      </c>
      <c r="AD213">
        <f t="shared" si="73"/>
        <v>81224.675501580117</v>
      </c>
      <c r="AE213">
        <f t="shared" si="74"/>
        <v>0</v>
      </c>
      <c r="AF213">
        <f t="shared" si="75"/>
        <v>807998.97809414566</v>
      </c>
      <c r="AG213">
        <v>212</v>
      </c>
      <c r="AH213">
        <f t="shared" si="83"/>
        <v>0</v>
      </c>
      <c r="AI213">
        <f>IF(AG213&gt;='Loan Prepayment'!$E$11,'Loan Prepayment'!$E$12,'Loan Prepayment'!$B$6)</f>
        <v>7.5</v>
      </c>
      <c r="AJ213">
        <f>IF(AH213&lt;=0,0,MIN(IF(AG213='Loan Prepayment'!$E$11,IF('Loan Prepayment'!$E$13="Keep tenure, recalculate EMI",-PMT(AI213/1200,MAX(1,'Loan Prepayment'!$B$7*12-AG213+1),AH213),AJ212),IF(AND('Loan Prepayment'!$E$15="Reduce EMI",AM212&gt;0),-PMT(AI213/1200,MAX(1,'Loan Prepayment'!$B$7*12-AG213+1),AH213),AJ212)),AH213+AK213))</f>
        <v>0</v>
      </c>
      <c r="AK213">
        <f t="shared" si="76"/>
        <v>0</v>
      </c>
      <c r="AL213">
        <f t="shared" si="77"/>
        <v>0</v>
      </c>
      <c r="AM213">
        <f>IF(AH213&lt;=0,0,MIN(MAX(0,AH213-AL213),SUMIFS('Loan Prepayment'!$B$12:$B$16,'Loan Prepayment'!$A$12:$A$16,AG213)+IF(AND(AG213&gt;='Loan Prepayment'!$B$9,AG213&lt;='Loan Prepayment'!$E$16),'Loan Prepayment'!$B$8,0)))</f>
        <v>0</v>
      </c>
      <c r="AN213">
        <f t="shared" si="78"/>
        <v>0</v>
      </c>
    </row>
    <row r="214" spans="1:40" x14ac:dyDescent="0.35">
      <c r="A214">
        <v>213</v>
      </c>
      <c r="B214">
        <f t="shared" si="79"/>
        <v>2197083.4257370923</v>
      </c>
      <c r="C214" s="78">
        <f>'Loan Prepayment'!$B$6</f>
        <v>8.5</v>
      </c>
      <c r="D214">
        <f>IF(B214&lt;=0,0,MIN(-PMT('Loan Prepayment'!$B$6/1200,'Loan Prepayment'!$B$7*12,'Loan Prepayment'!$B$5),B214+E214))</f>
        <v>86782.323336553396</v>
      </c>
      <c r="E214">
        <f t="shared" si="63"/>
        <v>15562.674265637736</v>
      </c>
      <c r="F214">
        <f t="shared" si="64"/>
        <v>71219.649070915664</v>
      </c>
      <c r="G214">
        <v>0</v>
      </c>
      <c r="H214">
        <f t="shared" si="65"/>
        <v>2125863.7766661765</v>
      </c>
      <c r="I214">
        <v>213</v>
      </c>
      <c r="J214">
        <f t="shared" si="80"/>
        <v>1842835.7034694036</v>
      </c>
      <c r="K214" s="78">
        <f>'Loan Prepayment'!$B$6</f>
        <v>8.5</v>
      </c>
      <c r="L214">
        <f>IF(J214&lt;=0,0,MIN(IF(AND('Loan Prepayment'!$E$15="Reduce EMI",O213&gt;0),-PMT(K214/1200,MAX(1,'Loan Prepayment'!$B$7*12-I214+1),J214),L213),J214+M214))</f>
        <v>72789.936877782937</v>
      </c>
      <c r="M214">
        <f t="shared" si="66"/>
        <v>13053.419566241608</v>
      </c>
      <c r="N214">
        <f t="shared" si="67"/>
        <v>59736.517311541327</v>
      </c>
      <c r="O214">
        <f>IF(J214&lt;=0,0,MIN(MAX(0,J214-N214),SUMIFS('Loan Prepayment'!$B$12:$B$16,'Loan Prepayment'!$A$12:$A$16,I214)+0))</f>
        <v>0</v>
      </c>
      <c r="P214">
        <f t="shared" si="68"/>
        <v>1783099.1861578622</v>
      </c>
      <c r="Q214">
        <v>213</v>
      </c>
      <c r="R214">
        <f t="shared" si="81"/>
        <v>2197083.4257370923</v>
      </c>
      <c r="S214" s="78">
        <f>'Loan Prepayment'!$B$6</f>
        <v>8.5</v>
      </c>
      <c r="T214">
        <f>IF(R214&lt;=0,0,MIN(IF(AND('Loan Prepayment'!$E$15="Reduce EMI",W213&gt;0),-PMT(S214/1200,MAX(1,'Loan Prepayment'!$B$7*12-Q214+1),R214),T213),R214+U214))</f>
        <v>86782.323336553396</v>
      </c>
      <c r="U214">
        <f t="shared" si="69"/>
        <v>15562.674265637736</v>
      </c>
      <c r="V214">
        <f t="shared" si="70"/>
        <v>71219.649070915664</v>
      </c>
      <c r="W214">
        <f>IF(R214&lt;=0,0,MIN(MAX(0,R214-V214),0+IF(AND(Q214&gt;='Loan Prepayment'!$B$9,Q214&lt;='Loan Prepayment'!$E$16),'Loan Prepayment'!$B$8,0)))</f>
        <v>0</v>
      </c>
      <c r="X214">
        <f t="shared" si="71"/>
        <v>2125863.7766661765</v>
      </c>
      <c r="Y214">
        <v>213</v>
      </c>
      <c r="Z214">
        <f t="shared" si="82"/>
        <v>807998.97809414566</v>
      </c>
      <c r="AA214">
        <f>IF(Y214&gt;='Loan Prepayment'!$E$11,'Loan Prepayment'!$E$12,'Loan Prepayment'!$B$6)</f>
        <v>7.5</v>
      </c>
      <c r="AB214">
        <f>IF(Z214&lt;=0,0,MIN(IF(Y214='Loan Prepayment'!$E$11,IF('Loan Prepayment'!$E$13="Keep tenure, recalculate EMI",-PMT(AA214/1200,MAX(1,'Loan Prepayment'!$B$7*12-Y214+1),Z214),AB213),AB213),Z214+AC214))</f>
        <v>86782.323336553396</v>
      </c>
      <c r="AC214">
        <f t="shared" si="72"/>
        <v>5049.9936130884107</v>
      </c>
      <c r="AD214">
        <f t="shared" si="73"/>
        <v>81732.32972346498</v>
      </c>
      <c r="AE214">
        <f t="shared" si="74"/>
        <v>0</v>
      </c>
      <c r="AF214">
        <f t="shared" si="75"/>
        <v>726266.64837068063</v>
      </c>
      <c r="AG214">
        <v>213</v>
      </c>
      <c r="AH214">
        <f t="shared" si="83"/>
        <v>0</v>
      </c>
      <c r="AI214">
        <f>IF(AG214&gt;='Loan Prepayment'!$E$11,'Loan Prepayment'!$E$12,'Loan Prepayment'!$B$6)</f>
        <v>7.5</v>
      </c>
      <c r="AJ214">
        <f>IF(AH214&lt;=0,0,MIN(IF(AG214='Loan Prepayment'!$E$11,IF('Loan Prepayment'!$E$13="Keep tenure, recalculate EMI",-PMT(AI214/1200,MAX(1,'Loan Prepayment'!$B$7*12-AG214+1),AH214),AJ213),IF(AND('Loan Prepayment'!$E$15="Reduce EMI",AM213&gt;0),-PMT(AI214/1200,MAX(1,'Loan Prepayment'!$B$7*12-AG214+1),AH214),AJ213)),AH214+AK214))</f>
        <v>0</v>
      </c>
      <c r="AK214">
        <f t="shared" si="76"/>
        <v>0</v>
      </c>
      <c r="AL214">
        <f t="shared" si="77"/>
        <v>0</v>
      </c>
      <c r="AM214">
        <f>IF(AH214&lt;=0,0,MIN(MAX(0,AH214-AL214),SUMIFS('Loan Prepayment'!$B$12:$B$16,'Loan Prepayment'!$A$12:$A$16,AG214)+IF(AND(AG214&gt;='Loan Prepayment'!$B$9,AG214&lt;='Loan Prepayment'!$E$16),'Loan Prepayment'!$B$8,0)))</f>
        <v>0</v>
      </c>
      <c r="AN214">
        <f t="shared" si="78"/>
        <v>0</v>
      </c>
    </row>
    <row r="215" spans="1:40" x14ac:dyDescent="0.35">
      <c r="A215">
        <v>214</v>
      </c>
      <c r="B215">
        <f t="shared" si="79"/>
        <v>2125863.7766661765</v>
      </c>
      <c r="C215" s="78">
        <f>'Loan Prepayment'!$B$6</f>
        <v>8.5</v>
      </c>
      <c r="D215">
        <f>IF(B215&lt;=0,0,MIN(-PMT('Loan Prepayment'!$B$6/1200,'Loan Prepayment'!$B$7*12,'Loan Prepayment'!$B$5),B215+E215))</f>
        <v>86782.323336553396</v>
      </c>
      <c r="E215">
        <f t="shared" si="63"/>
        <v>15058.201751385419</v>
      </c>
      <c r="F215">
        <f t="shared" si="64"/>
        <v>71724.121585167974</v>
      </c>
      <c r="G215">
        <v>0</v>
      </c>
      <c r="H215">
        <f t="shared" si="65"/>
        <v>2054139.6550810086</v>
      </c>
      <c r="I215">
        <v>214</v>
      </c>
      <c r="J215">
        <f t="shared" si="80"/>
        <v>1783099.1861578622</v>
      </c>
      <c r="K215" s="78">
        <f>'Loan Prepayment'!$B$6</f>
        <v>8.5</v>
      </c>
      <c r="L215">
        <f>IF(J215&lt;=0,0,MIN(IF(AND('Loan Prepayment'!$E$15="Reduce EMI",O214&gt;0),-PMT(K215/1200,MAX(1,'Loan Prepayment'!$B$7*12-I215+1),J215),L214),J215+M215))</f>
        <v>72789.936877782937</v>
      </c>
      <c r="M215">
        <f t="shared" si="66"/>
        <v>12630.285901951524</v>
      </c>
      <c r="N215">
        <f t="shared" si="67"/>
        <v>60159.650975831413</v>
      </c>
      <c r="O215">
        <f>IF(J215&lt;=0,0,MIN(MAX(0,J215-N215),SUMIFS('Loan Prepayment'!$B$12:$B$16,'Loan Prepayment'!$A$12:$A$16,I215)+0))</f>
        <v>0</v>
      </c>
      <c r="P215">
        <f t="shared" si="68"/>
        <v>1722939.5351820309</v>
      </c>
      <c r="Q215">
        <v>214</v>
      </c>
      <c r="R215">
        <f t="shared" si="81"/>
        <v>2125863.7766661765</v>
      </c>
      <c r="S215" s="78">
        <f>'Loan Prepayment'!$B$6</f>
        <v>8.5</v>
      </c>
      <c r="T215">
        <f>IF(R215&lt;=0,0,MIN(IF(AND('Loan Prepayment'!$E$15="Reduce EMI",W214&gt;0),-PMT(S215/1200,MAX(1,'Loan Prepayment'!$B$7*12-Q215+1),R215),T214),R215+U215))</f>
        <v>86782.323336553396</v>
      </c>
      <c r="U215">
        <f t="shared" si="69"/>
        <v>15058.201751385419</v>
      </c>
      <c r="V215">
        <f t="shared" si="70"/>
        <v>71724.121585167974</v>
      </c>
      <c r="W215">
        <f>IF(R215&lt;=0,0,MIN(MAX(0,R215-V215),0+IF(AND(Q215&gt;='Loan Prepayment'!$B$9,Q215&lt;='Loan Prepayment'!$E$16),'Loan Prepayment'!$B$8,0)))</f>
        <v>0</v>
      </c>
      <c r="X215">
        <f t="shared" si="71"/>
        <v>2054139.6550810086</v>
      </c>
      <c r="Y215">
        <v>214</v>
      </c>
      <c r="Z215">
        <f t="shared" si="82"/>
        <v>726266.64837068063</v>
      </c>
      <c r="AA215">
        <f>IF(Y215&gt;='Loan Prepayment'!$E$11,'Loan Prepayment'!$E$12,'Loan Prepayment'!$B$6)</f>
        <v>7.5</v>
      </c>
      <c r="AB215">
        <f>IF(Z215&lt;=0,0,MIN(IF(Y215='Loan Prepayment'!$E$11,IF('Loan Prepayment'!$E$13="Keep tenure, recalculate EMI",-PMT(AA215/1200,MAX(1,'Loan Prepayment'!$B$7*12-Y215+1),Z215),AB214),AB214),Z215+AC215))</f>
        <v>86782.323336553396</v>
      </c>
      <c r="AC215">
        <f t="shared" si="72"/>
        <v>4539.166552316754</v>
      </c>
      <c r="AD215">
        <f t="shared" si="73"/>
        <v>82243.156784236635</v>
      </c>
      <c r="AE215">
        <f t="shared" si="74"/>
        <v>0</v>
      </c>
      <c r="AF215">
        <f t="shared" si="75"/>
        <v>644023.49158644397</v>
      </c>
      <c r="AG215">
        <v>214</v>
      </c>
      <c r="AH215">
        <f t="shared" si="83"/>
        <v>0</v>
      </c>
      <c r="AI215">
        <f>IF(AG215&gt;='Loan Prepayment'!$E$11,'Loan Prepayment'!$E$12,'Loan Prepayment'!$B$6)</f>
        <v>7.5</v>
      </c>
      <c r="AJ215">
        <f>IF(AH215&lt;=0,0,MIN(IF(AG215='Loan Prepayment'!$E$11,IF('Loan Prepayment'!$E$13="Keep tenure, recalculate EMI",-PMT(AI215/1200,MAX(1,'Loan Prepayment'!$B$7*12-AG215+1),AH215),AJ214),IF(AND('Loan Prepayment'!$E$15="Reduce EMI",AM214&gt;0),-PMT(AI215/1200,MAX(1,'Loan Prepayment'!$B$7*12-AG215+1),AH215),AJ214)),AH215+AK215))</f>
        <v>0</v>
      </c>
      <c r="AK215">
        <f t="shared" si="76"/>
        <v>0</v>
      </c>
      <c r="AL215">
        <f t="shared" si="77"/>
        <v>0</v>
      </c>
      <c r="AM215">
        <f>IF(AH215&lt;=0,0,MIN(MAX(0,AH215-AL215),SUMIFS('Loan Prepayment'!$B$12:$B$16,'Loan Prepayment'!$A$12:$A$16,AG215)+IF(AND(AG215&gt;='Loan Prepayment'!$B$9,AG215&lt;='Loan Prepayment'!$E$16),'Loan Prepayment'!$B$8,0)))</f>
        <v>0</v>
      </c>
      <c r="AN215">
        <f t="shared" si="78"/>
        <v>0</v>
      </c>
    </row>
    <row r="216" spans="1:40" x14ac:dyDescent="0.35">
      <c r="A216">
        <v>215</v>
      </c>
      <c r="B216">
        <f t="shared" si="79"/>
        <v>2054139.6550810086</v>
      </c>
      <c r="C216" s="78">
        <f>'Loan Prepayment'!$B$6</f>
        <v>8.5</v>
      </c>
      <c r="D216">
        <f>IF(B216&lt;=0,0,MIN(-PMT('Loan Prepayment'!$B$6/1200,'Loan Prepayment'!$B$7*12,'Loan Prepayment'!$B$5),B216+E216))</f>
        <v>86782.323336553396</v>
      </c>
      <c r="E216">
        <f t="shared" si="63"/>
        <v>14550.155890157144</v>
      </c>
      <c r="F216">
        <f t="shared" si="64"/>
        <v>72232.167446396255</v>
      </c>
      <c r="G216">
        <v>0</v>
      </c>
      <c r="H216">
        <f t="shared" si="65"/>
        <v>1981907.4876346122</v>
      </c>
      <c r="I216">
        <v>215</v>
      </c>
      <c r="J216">
        <f t="shared" si="80"/>
        <v>1722939.5351820309</v>
      </c>
      <c r="K216" s="78">
        <f>'Loan Prepayment'!$B$6</f>
        <v>8.5</v>
      </c>
      <c r="L216">
        <f>IF(J216&lt;=0,0,MIN(IF(AND('Loan Prepayment'!$E$15="Reduce EMI",O215&gt;0),-PMT(K216/1200,MAX(1,'Loan Prepayment'!$B$7*12-I216+1),J216),L215),J216+M216))</f>
        <v>72789.936877782937</v>
      </c>
      <c r="M216">
        <f t="shared" si="66"/>
        <v>12204.155040872718</v>
      </c>
      <c r="N216">
        <f t="shared" si="67"/>
        <v>60585.781836910217</v>
      </c>
      <c r="O216">
        <f>IF(J216&lt;=0,0,MIN(MAX(0,J216-N216),SUMIFS('Loan Prepayment'!$B$12:$B$16,'Loan Prepayment'!$A$12:$A$16,I216)+0))</f>
        <v>0</v>
      </c>
      <c r="P216">
        <f t="shared" si="68"/>
        <v>1662353.7533451207</v>
      </c>
      <c r="Q216">
        <v>215</v>
      </c>
      <c r="R216">
        <f t="shared" si="81"/>
        <v>2054139.6550810086</v>
      </c>
      <c r="S216" s="78">
        <f>'Loan Prepayment'!$B$6</f>
        <v>8.5</v>
      </c>
      <c r="T216">
        <f>IF(R216&lt;=0,0,MIN(IF(AND('Loan Prepayment'!$E$15="Reduce EMI",W215&gt;0),-PMT(S216/1200,MAX(1,'Loan Prepayment'!$B$7*12-Q216+1),R216),T215),R216+U216))</f>
        <v>86782.323336553396</v>
      </c>
      <c r="U216">
        <f t="shared" si="69"/>
        <v>14550.155890157144</v>
      </c>
      <c r="V216">
        <f t="shared" si="70"/>
        <v>72232.167446396255</v>
      </c>
      <c r="W216">
        <f>IF(R216&lt;=0,0,MIN(MAX(0,R216-V216),0+IF(AND(Q216&gt;='Loan Prepayment'!$B$9,Q216&lt;='Loan Prepayment'!$E$16),'Loan Prepayment'!$B$8,0)))</f>
        <v>0</v>
      </c>
      <c r="X216">
        <f t="shared" si="71"/>
        <v>1981907.4876346122</v>
      </c>
      <c r="Y216">
        <v>215</v>
      </c>
      <c r="Z216">
        <f t="shared" si="82"/>
        <v>644023.49158644397</v>
      </c>
      <c r="AA216">
        <f>IF(Y216&gt;='Loan Prepayment'!$E$11,'Loan Prepayment'!$E$12,'Loan Prepayment'!$B$6)</f>
        <v>7.5</v>
      </c>
      <c r="AB216">
        <f>IF(Z216&lt;=0,0,MIN(IF(Y216='Loan Prepayment'!$E$11,IF('Loan Prepayment'!$E$13="Keep tenure, recalculate EMI",-PMT(AA216/1200,MAX(1,'Loan Prepayment'!$B$7*12-Y216+1),Z216),AB215),AB215),Z216+AC216))</f>
        <v>86782.323336553396</v>
      </c>
      <c r="AC216">
        <f t="shared" si="72"/>
        <v>4025.146822415275</v>
      </c>
      <c r="AD216">
        <f t="shared" si="73"/>
        <v>82757.176514138118</v>
      </c>
      <c r="AE216">
        <f t="shared" si="74"/>
        <v>0</v>
      </c>
      <c r="AF216">
        <f t="shared" si="75"/>
        <v>561266.31507230585</v>
      </c>
      <c r="AG216">
        <v>215</v>
      </c>
      <c r="AH216">
        <f t="shared" si="83"/>
        <v>0</v>
      </c>
      <c r="AI216">
        <f>IF(AG216&gt;='Loan Prepayment'!$E$11,'Loan Prepayment'!$E$12,'Loan Prepayment'!$B$6)</f>
        <v>7.5</v>
      </c>
      <c r="AJ216">
        <f>IF(AH216&lt;=0,0,MIN(IF(AG216='Loan Prepayment'!$E$11,IF('Loan Prepayment'!$E$13="Keep tenure, recalculate EMI",-PMT(AI216/1200,MAX(1,'Loan Prepayment'!$B$7*12-AG216+1),AH216),AJ215),IF(AND('Loan Prepayment'!$E$15="Reduce EMI",AM215&gt;0),-PMT(AI216/1200,MAX(1,'Loan Prepayment'!$B$7*12-AG216+1),AH216),AJ215)),AH216+AK216))</f>
        <v>0</v>
      </c>
      <c r="AK216">
        <f t="shared" si="76"/>
        <v>0</v>
      </c>
      <c r="AL216">
        <f t="shared" si="77"/>
        <v>0</v>
      </c>
      <c r="AM216">
        <f>IF(AH216&lt;=0,0,MIN(MAX(0,AH216-AL216),SUMIFS('Loan Prepayment'!$B$12:$B$16,'Loan Prepayment'!$A$12:$A$16,AG216)+IF(AND(AG216&gt;='Loan Prepayment'!$B$9,AG216&lt;='Loan Prepayment'!$E$16),'Loan Prepayment'!$B$8,0)))</f>
        <v>0</v>
      </c>
      <c r="AN216">
        <f t="shared" si="78"/>
        <v>0</v>
      </c>
    </row>
    <row r="217" spans="1:40" x14ac:dyDescent="0.35">
      <c r="A217">
        <v>216</v>
      </c>
      <c r="B217">
        <f t="shared" si="79"/>
        <v>1981907.4876346122</v>
      </c>
      <c r="C217" s="78">
        <f>'Loan Prepayment'!$B$6</f>
        <v>8.5</v>
      </c>
      <c r="D217">
        <f>IF(B217&lt;=0,0,MIN(-PMT('Loan Prepayment'!$B$6/1200,'Loan Prepayment'!$B$7*12,'Loan Prepayment'!$B$5),B217+E217))</f>
        <v>86782.323336553396</v>
      </c>
      <c r="E217">
        <f t="shared" si="63"/>
        <v>14038.511370745171</v>
      </c>
      <c r="F217">
        <f t="shared" si="64"/>
        <v>72743.811965808229</v>
      </c>
      <c r="G217">
        <v>0</v>
      </c>
      <c r="H217">
        <f t="shared" si="65"/>
        <v>1909163.675668804</v>
      </c>
      <c r="I217">
        <v>216</v>
      </c>
      <c r="J217">
        <f t="shared" si="80"/>
        <v>1662353.7533451207</v>
      </c>
      <c r="K217" s="78">
        <f>'Loan Prepayment'!$B$6</f>
        <v>8.5</v>
      </c>
      <c r="L217">
        <f>IF(J217&lt;=0,0,MIN(IF(AND('Loan Prepayment'!$E$15="Reduce EMI",O216&gt;0),-PMT(K217/1200,MAX(1,'Loan Prepayment'!$B$7*12-I217+1),J217),L216),J217+M217))</f>
        <v>72789.936877782937</v>
      </c>
      <c r="M217">
        <f t="shared" si="66"/>
        <v>11775.005752861272</v>
      </c>
      <c r="N217">
        <f t="shared" si="67"/>
        <v>61014.931124921663</v>
      </c>
      <c r="O217">
        <f>IF(J217&lt;=0,0,MIN(MAX(0,J217-N217),SUMIFS('Loan Prepayment'!$B$12:$B$16,'Loan Prepayment'!$A$12:$A$16,I217)+0))</f>
        <v>0</v>
      </c>
      <c r="P217">
        <f t="shared" si="68"/>
        <v>1601338.822220199</v>
      </c>
      <c r="Q217">
        <v>216</v>
      </c>
      <c r="R217">
        <f t="shared" si="81"/>
        <v>1981907.4876346122</v>
      </c>
      <c r="S217" s="78">
        <f>'Loan Prepayment'!$B$6</f>
        <v>8.5</v>
      </c>
      <c r="T217">
        <f>IF(R217&lt;=0,0,MIN(IF(AND('Loan Prepayment'!$E$15="Reduce EMI",W216&gt;0),-PMT(S217/1200,MAX(1,'Loan Prepayment'!$B$7*12-Q217+1),R217),T216),R217+U217))</f>
        <v>86782.323336553396</v>
      </c>
      <c r="U217">
        <f t="shared" si="69"/>
        <v>14038.511370745171</v>
      </c>
      <c r="V217">
        <f t="shared" si="70"/>
        <v>72743.811965808229</v>
      </c>
      <c r="W217">
        <f>IF(R217&lt;=0,0,MIN(MAX(0,R217-V217),0+IF(AND(Q217&gt;='Loan Prepayment'!$B$9,Q217&lt;='Loan Prepayment'!$E$16),'Loan Prepayment'!$B$8,0)))</f>
        <v>0</v>
      </c>
      <c r="X217">
        <f t="shared" si="71"/>
        <v>1909163.675668804</v>
      </c>
      <c r="Y217">
        <v>216</v>
      </c>
      <c r="Z217">
        <f t="shared" si="82"/>
        <v>561266.31507230585</v>
      </c>
      <c r="AA217">
        <f>IF(Y217&gt;='Loan Prepayment'!$E$11,'Loan Prepayment'!$E$12,'Loan Prepayment'!$B$6)</f>
        <v>7.5</v>
      </c>
      <c r="AB217">
        <f>IF(Z217&lt;=0,0,MIN(IF(Y217='Loan Prepayment'!$E$11,IF('Loan Prepayment'!$E$13="Keep tenure, recalculate EMI",-PMT(AA217/1200,MAX(1,'Loan Prepayment'!$B$7*12-Y217+1),Z217),AB216),AB216),Z217+AC217))</f>
        <v>86782.323336553396</v>
      </c>
      <c r="AC217">
        <f t="shared" si="72"/>
        <v>3507.9144692019117</v>
      </c>
      <c r="AD217">
        <f t="shared" si="73"/>
        <v>83274.408867351478</v>
      </c>
      <c r="AE217">
        <f t="shared" si="74"/>
        <v>0</v>
      </c>
      <c r="AF217">
        <f t="shared" si="75"/>
        <v>477991.90620495437</v>
      </c>
      <c r="AG217">
        <v>216</v>
      </c>
      <c r="AH217">
        <f t="shared" si="83"/>
        <v>0</v>
      </c>
      <c r="AI217">
        <f>IF(AG217&gt;='Loan Prepayment'!$E$11,'Loan Prepayment'!$E$12,'Loan Prepayment'!$B$6)</f>
        <v>7.5</v>
      </c>
      <c r="AJ217">
        <f>IF(AH217&lt;=0,0,MIN(IF(AG217='Loan Prepayment'!$E$11,IF('Loan Prepayment'!$E$13="Keep tenure, recalculate EMI",-PMT(AI217/1200,MAX(1,'Loan Prepayment'!$B$7*12-AG217+1),AH217),AJ216),IF(AND('Loan Prepayment'!$E$15="Reduce EMI",AM216&gt;0),-PMT(AI217/1200,MAX(1,'Loan Prepayment'!$B$7*12-AG217+1),AH217),AJ216)),AH217+AK217))</f>
        <v>0</v>
      </c>
      <c r="AK217">
        <f t="shared" si="76"/>
        <v>0</v>
      </c>
      <c r="AL217">
        <f t="shared" si="77"/>
        <v>0</v>
      </c>
      <c r="AM217">
        <f>IF(AH217&lt;=0,0,MIN(MAX(0,AH217-AL217),SUMIFS('Loan Prepayment'!$B$12:$B$16,'Loan Prepayment'!$A$12:$A$16,AG217)+IF(AND(AG217&gt;='Loan Prepayment'!$B$9,AG217&lt;='Loan Prepayment'!$E$16),'Loan Prepayment'!$B$8,0)))</f>
        <v>0</v>
      </c>
      <c r="AN217">
        <f t="shared" si="78"/>
        <v>0</v>
      </c>
    </row>
    <row r="218" spans="1:40" x14ac:dyDescent="0.35">
      <c r="A218">
        <v>217</v>
      </c>
      <c r="B218">
        <f t="shared" si="79"/>
        <v>1909163.675668804</v>
      </c>
      <c r="C218" s="78">
        <f>'Loan Prepayment'!$B$6</f>
        <v>8.5</v>
      </c>
      <c r="D218">
        <f>IF(B218&lt;=0,0,MIN(-PMT('Loan Prepayment'!$B$6/1200,'Loan Prepayment'!$B$7*12,'Loan Prepayment'!$B$5),B218+E218))</f>
        <v>86782.323336553396</v>
      </c>
      <c r="E218">
        <f t="shared" si="63"/>
        <v>13523.242702654028</v>
      </c>
      <c r="F218">
        <f t="shared" si="64"/>
        <v>73259.080633899372</v>
      </c>
      <c r="G218">
        <v>0</v>
      </c>
      <c r="H218">
        <f t="shared" si="65"/>
        <v>1835904.5950349045</v>
      </c>
      <c r="I218">
        <v>217</v>
      </c>
      <c r="J218">
        <f t="shared" si="80"/>
        <v>1601338.822220199</v>
      </c>
      <c r="K218" s="78">
        <f>'Loan Prepayment'!$B$6</f>
        <v>8.5</v>
      </c>
      <c r="L218">
        <f>IF(J218&lt;=0,0,MIN(IF(AND('Loan Prepayment'!$E$15="Reduce EMI",O217&gt;0),-PMT(K218/1200,MAX(1,'Loan Prepayment'!$B$7*12-I218+1),J218),L217),J218+M218))</f>
        <v>72789.936877782937</v>
      </c>
      <c r="M218">
        <f t="shared" si="66"/>
        <v>11342.816657393076</v>
      </c>
      <c r="N218">
        <f t="shared" si="67"/>
        <v>61447.120220389857</v>
      </c>
      <c r="O218">
        <f>IF(J218&lt;=0,0,MIN(MAX(0,J218-N218),SUMIFS('Loan Prepayment'!$B$12:$B$16,'Loan Prepayment'!$A$12:$A$16,I218)+0))</f>
        <v>0</v>
      </c>
      <c r="P218">
        <f t="shared" si="68"/>
        <v>1539891.7019998091</v>
      </c>
      <c r="Q218">
        <v>217</v>
      </c>
      <c r="R218">
        <f t="shared" si="81"/>
        <v>1909163.675668804</v>
      </c>
      <c r="S218" s="78">
        <f>'Loan Prepayment'!$B$6</f>
        <v>8.5</v>
      </c>
      <c r="T218">
        <f>IF(R218&lt;=0,0,MIN(IF(AND('Loan Prepayment'!$E$15="Reduce EMI",W217&gt;0),-PMT(S218/1200,MAX(1,'Loan Prepayment'!$B$7*12-Q218+1),R218),T217),R218+U218))</f>
        <v>86782.323336553396</v>
      </c>
      <c r="U218">
        <f t="shared" si="69"/>
        <v>13523.242702654028</v>
      </c>
      <c r="V218">
        <f t="shared" si="70"/>
        <v>73259.080633899372</v>
      </c>
      <c r="W218">
        <f>IF(R218&lt;=0,0,MIN(MAX(0,R218-V218),0+IF(AND(Q218&gt;='Loan Prepayment'!$B$9,Q218&lt;='Loan Prepayment'!$E$16),'Loan Prepayment'!$B$8,0)))</f>
        <v>0</v>
      </c>
      <c r="X218">
        <f t="shared" si="71"/>
        <v>1835904.5950349045</v>
      </c>
      <c r="Y218">
        <v>217</v>
      </c>
      <c r="Z218">
        <f t="shared" si="82"/>
        <v>477991.90620495437</v>
      </c>
      <c r="AA218">
        <f>IF(Y218&gt;='Loan Prepayment'!$E$11,'Loan Prepayment'!$E$12,'Loan Prepayment'!$B$6)</f>
        <v>7.5</v>
      </c>
      <c r="AB218">
        <f>IF(Z218&lt;=0,0,MIN(IF(Y218='Loan Prepayment'!$E$11,IF('Loan Prepayment'!$E$13="Keep tenure, recalculate EMI",-PMT(AA218/1200,MAX(1,'Loan Prepayment'!$B$7*12-Y218+1),Z218),AB217),AB217),Z218+AC218))</f>
        <v>86782.323336553396</v>
      </c>
      <c r="AC218">
        <f t="shared" si="72"/>
        <v>2987.4494137809647</v>
      </c>
      <c r="AD218">
        <f t="shared" si="73"/>
        <v>83794.873922772429</v>
      </c>
      <c r="AE218">
        <f t="shared" si="74"/>
        <v>0</v>
      </c>
      <c r="AF218">
        <f t="shared" si="75"/>
        <v>394197.03228218196</v>
      </c>
      <c r="AG218">
        <v>217</v>
      </c>
      <c r="AH218">
        <f t="shared" si="83"/>
        <v>0</v>
      </c>
      <c r="AI218">
        <f>IF(AG218&gt;='Loan Prepayment'!$E$11,'Loan Prepayment'!$E$12,'Loan Prepayment'!$B$6)</f>
        <v>7.5</v>
      </c>
      <c r="AJ218">
        <f>IF(AH218&lt;=0,0,MIN(IF(AG218='Loan Prepayment'!$E$11,IF('Loan Prepayment'!$E$13="Keep tenure, recalculate EMI",-PMT(AI218/1200,MAX(1,'Loan Prepayment'!$B$7*12-AG218+1),AH218),AJ217),IF(AND('Loan Prepayment'!$E$15="Reduce EMI",AM217&gt;0),-PMT(AI218/1200,MAX(1,'Loan Prepayment'!$B$7*12-AG218+1),AH218),AJ217)),AH218+AK218))</f>
        <v>0</v>
      </c>
      <c r="AK218">
        <f t="shared" si="76"/>
        <v>0</v>
      </c>
      <c r="AL218">
        <f t="shared" si="77"/>
        <v>0</v>
      </c>
      <c r="AM218">
        <f>IF(AH218&lt;=0,0,MIN(MAX(0,AH218-AL218),SUMIFS('Loan Prepayment'!$B$12:$B$16,'Loan Prepayment'!$A$12:$A$16,AG218)+IF(AND(AG218&gt;='Loan Prepayment'!$B$9,AG218&lt;='Loan Prepayment'!$E$16),'Loan Prepayment'!$B$8,0)))</f>
        <v>0</v>
      </c>
      <c r="AN218">
        <f t="shared" si="78"/>
        <v>0</v>
      </c>
    </row>
    <row r="219" spans="1:40" x14ac:dyDescent="0.35">
      <c r="A219">
        <v>218</v>
      </c>
      <c r="B219">
        <f t="shared" si="79"/>
        <v>1835904.5950349045</v>
      </c>
      <c r="C219" s="78">
        <f>'Loan Prepayment'!$B$6</f>
        <v>8.5</v>
      </c>
      <c r="D219">
        <f>IF(B219&lt;=0,0,MIN(-PMT('Loan Prepayment'!$B$6/1200,'Loan Prepayment'!$B$7*12,'Loan Prepayment'!$B$5),B219+E219))</f>
        <v>86782.323336553396</v>
      </c>
      <c r="E219">
        <f t="shared" si="63"/>
        <v>13004.324214830574</v>
      </c>
      <c r="F219">
        <f t="shared" si="64"/>
        <v>73777.999121722823</v>
      </c>
      <c r="G219">
        <v>0</v>
      </c>
      <c r="H219">
        <f t="shared" si="65"/>
        <v>1762126.5959131818</v>
      </c>
      <c r="I219">
        <v>218</v>
      </c>
      <c r="J219">
        <f t="shared" si="80"/>
        <v>1539891.7019998091</v>
      </c>
      <c r="K219" s="78">
        <f>'Loan Prepayment'!$B$6</f>
        <v>8.5</v>
      </c>
      <c r="L219">
        <f>IF(J219&lt;=0,0,MIN(IF(AND('Loan Prepayment'!$E$15="Reduce EMI",O218&gt;0),-PMT(K219/1200,MAX(1,'Loan Prepayment'!$B$7*12-I219+1),J219),L218),J219+M219))</f>
        <v>72789.936877782937</v>
      </c>
      <c r="M219">
        <f t="shared" si="66"/>
        <v>10907.566222498648</v>
      </c>
      <c r="N219">
        <f t="shared" si="67"/>
        <v>61882.370655284292</v>
      </c>
      <c r="O219">
        <f>IF(J219&lt;=0,0,MIN(MAX(0,J219-N219),SUMIFS('Loan Prepayment'!$B$12:$B$16,'Loan Prepayment'!$A$12:$A$16,I219)+0))</f>
        <v>0</v>
      </c>
      <c r="P219">
        <f t="shared" si="68"/>
        <v>1478009.3313445249</v>
      </c>
      <c r="Q219">
        <v>218</v>
      </c>
      <c r="R219">
        <f t="shared" si="81"/>
        <v>1835904.5950349045</v>
      </c>
      <c r="S219" s="78">
        <f>'Loan Prepayment'!$B$6</f>
        <v>8.5</v>
      </c>
      <c r="T219">
        <f>IF(R219&lt;=0,0,MIN(IF(AND('Loan Prepayment'!$E$15="Reduce EMI",W218&gt;0),-PMT(S219/1200,MAX(1,'Loan Prepayment'!$B$7*12-Q219+1),R219),T218),R219+U219))</f>
        <v>86782.323336553396</v>
      </c>
      <c r="U219">
        <f t="shared" si="69"/>
        <v>13004.324214830574</v>
      </c>
      <c r="V219">
        <f t="shared" si="70"/>
        <v>73777.999121722823</v>
      </c>
      <c r="W219">
        <f>IF(R219&lt;=0,0,MIN(MAX(0,R219-V219),0+IF(AND(Q219&gt;='Loan Prepayment'!$B$9,Q219&lt;='Loan Prepayment'!$E$16),'Loan Prepayment'!$B$8,0)))</f>
        <v>0</v>
      </c>
      <c r="X219">
        <f t="shared" si="71"/>
        <v>1762126.5959131818</v>
      </c>
      <c r="Y219">
        <v>218</v>
      </c>
      <c r="Z219">
        <f t="shared" si="82"/>
        <v>394197.03228218196</v>
      </c>
      <c r="AA219">
        <f>IF(Y219&gt;='Loan Prepayment'!$E$11,'Loan Prepayment'!$E$12,'Loan Prepayment'!$B$6)</f>
        <v>7.5</v>
      </c>
      <c r="AB219">
        <f>IF(Z219&lt;=0,0,MIN(IF(Y219='Loan Prepayment'!$E$11,IF('Loan Prepayment'!$E$13="Keep tenure, recalculate EMI",-PMT(AA219/1200,MAX(1,'Loan Prepayment'!$B$7*12-Y219+1),Z219),AB218),AB218),Z219+AC219))</f>
        <v>86782.323336553396</v>
      </c>
      <c r="AC219">
        <f t="shared" si="72"/>
        <v>2463.7314517636373</v>
      </c>
      <c r="AD219">
        <f t="shared" si="73"/>
        <v>84318.591884789756</v>
      </c>
      <c r="AE219">
        <f t="shared" si="74"/>
        <v>0</v>
      </c>
      <c r="AF219">
        <f t="shared" si="75"/>
        <v>309878.4403973922</v>
      </c>
      <c r="AG219">
        <v>218</v>
      </c>
      <c r="AH219">
        <f t="shared" si="83"/>
        <v>0</v>
      </c>
      <c r="AI219">
        <f>IF(AG219&gt;='Loan Prepayment'!$E$11,'Loan Prepayment'!$E$12,'Loan Prepayment'!$B$6)</f>
        <v>7.5</v>
      </c>
      <c r="AJ219">
        <f>IF(AH219&lt;=0,0,MIN(IF(AG219='Loan Prepayment'!$E$11,IF('Loan Prepayment'!$E$13="Keep tenure, recalculate EMI",-PMT(AI219/1200,MAX(1,'Loan Prepayment'!$B$7*12-AG219+1),AH219),AJ218),IF(AND('Loan Prepayment'!$E$15="Reduce EMI",AM218&gt;0),-PMT(AI219/1200,MAX(1,'Loan Prepayment'!$B$7*12-AG219+1),AH219),AJ218)),AH219+AK219))</f>
        <v>0</v>
      </c>
      <c r="AK219">
        <f t="shared" si="76"/>
        <v>0</v>
      </c>
      <c r="AL219">
        <f t="shared" si="77"/>
        <v>0</v>
      </c>
      <c r="AM219">
        <f>IF(AH219&lt;=0,0,MIN(MAX(0,AH219-AL219),SUMIFS('Loan Prepayment'!$B$12:$B$16,'Loan Prepayment'!$A$12:$A$16,AG219)+IF(AND(AG219&gt;='Loan Prepayment'!$B$9,AG219&lt;='Loan Prepayment'!$E$16),'Loan Prepayment'!$B$8,0)))</f>
        <v>0</v>
      </c>
      <c r="AN219">
        <f t="shared" si="78"/>
        <v>0</v>
      </c>
    </row>
    <row r="220" spans="1:40" x14ac:dyDescent="0.35">
      <c r="A220">
        <v>219</v>
      </c>
      <c r="B220">
        <f t="shared" si="79"/>
        <v>1762126.5959131818</v>
      </c>
      <c r="C220" s="78">
        <f>'Loan Prepayment'!$B$6</f>
        <v>8.5</v>
      </c>
      <c r="D220">
        <f>IF(B220&lt;=0,0,MIN(-PMT('Loan Prepayment'!$B$6/1200,'Loan Prepayment'!$B$7*12,'Loan Prepayment'!$B$5),B220+E220))</f>
        <v>86782.323336553396</v>
      </c>
      <c r="E220">
        <f t="shared" si="63"/>
        <v>12481.730054385038</v>
      </c>
      <c r="F220">
        <f t="shared" si="64"/>
        <v>74300.593282168353</v>
      </c>
      <c r="G220">
        <v>0</v>
      </c>
      <c r="H220">
        <f t="shared" si="65"/>
        <v>1687826.0026310135</v>
      </c>
      <c r="I220">
        <v>219</v>
      </c>
      <c r="J220">
        <f t="shared" si="80"/>
        <v>1478009.3313445249</v>
      </c>
      <c r="K220" s="78">
        <f>'Loan Prepayment'!$B$6</f>
        <v>8.5</v>
      </c>
      <c r="L220">
        <f>IF(J220&lt;=0,0,MIN(IF(AND('Loan Prepayment'!$E$15="Reduce EMI",O219&gt;0),-PMT(K220/1200,MAX(1,'Loan Prepayment'!$B$7*12-I220+1),J220),L219),J220+M220))</f>
        <v>72789.936877782937</v>
      </c>
      <c r="M220">
        <f t="shared" si="66"/>
        <v>10469.232763690385</v>
      </c>
      <c r="N220">
        <f t="shared" si="67"/>
        <v>62320.70411409255</v>
      </c>
      <c r="O220">
        <f>IF(J220&lt;=0,0,MIN(MAX(0,J220-N220),SUMIFS('Loan Prepayment'!$B$12:$B$16,'Loan Prepayment'!$A$12:$A$16,I220)+0))</f>
        <v>0</v>
      </c>
      <c r="P220">
        <f t="shared" si="68"/>
        <v>1415688.6272304324</v>
      </c>
      <c r="Q220">
        <v>219</v>
      </c>
      <c r="R220">
        <f t="shared" si="81"/>
        <v>1762126.5959131818</v>
      </c>
      <c r="S220" s="78">
        <f>'Loan Prepayment'!$B$6</f>
        <v>8.5</v>
      </c>
      <c r="T220">
        <f>IF(R220&lt;=0,0,MIN(IF(AND('Loan Prepayment'!$E$15="Reduce EMI",W219&gt;0),-PMT(S220/1200,MAX(1,'Loan Prepayment'!$B$7*12-Q220+1),R220),T219),R220+U220))</f>
        <v>86782.323336553396</v>
      </c>
      <c r="U220">
        <f t="shared" si="69"/>
        <v>12481.730054385038</v>
      </c>
      <c r="V220">
        <f t="shared" si="70"/>
        <v>74300.593282168353</v>
      </c>
      <c r="W220">
        <f>IF(R220&lt;=0,0,MIN(MAX(0,R220-V220),0+IF(AND(Q220&gt;='Loan Prepayment'!$B$9,Q220&lt;='Loan Prepayment'!$E$16),'Loan Prepayment'!$B$8,0)))</f>
        <v>0</v>
      </c>
      <c r="X220">
        <f t="shared" si="71"/>
        <v>1687826.0026310135</v>
      </c>
      <c r="Y220">
        <v>219</v>
      </c>
      <c r="Z220">
        <f t="shared" si="82"/>
        <v>309878.4403973922</v>
      </c>
      <c r="AA220">
        <f>IF(Y220&gt;='Loan Prepayment'!$E$11,'Loan Prepayment'!$E$12,'Loan Prepayment'!$B$6)</f>
        <v>7.5</v>
      </c>
      <c r="AB220">
        <f>IF(Z220&lt;=0,0,MIN(IF(Y220='Loan Prepayment'!$E$11,IF('Loan Prepayment'!$E$13="Keep tenure, recalculate EMI",-PMT(AA220/1200,MAX(1,'Loan Prepayment'!$B$7*12-Y220+1),Z220),AB219),AB219),Z220+AC220))</f>
        <v>86782.323336553396</v>
      </c>
      <c r="AC220">
        <f t="shared" si="72"/>
        <v>1936.7402524837014</v>
      </c>
      <c r="AD220">
        <f t="shared" si="73"/>
        <v>84845.583084069702</v>
      </c>
      <c r="AE220">
        <f t="shared" si="74"/>
        <v>0</v>
      </c>
      <c r="AF220">
        <f t="shared" si="75"/>
        <v>225032.85731332249</v>
      </c>
      <c r="AG220">
        <v>219</v>
      </c>
      <c r="AH220">
        <f t="shared" si="83"/>
        <v>0</v>
      </c>
      <c r="AI220">
        <f>IF(AG220&gt;='Loan Prepayment'!$E$11,'Loan Prepayment'!$E$12,'Loan Prepayment'!$B$6)</f>
        <v>7.5</v>
      </c>
      <c r="AJ220">
        <f>IF(AH220&lt;=0,0,MIN(IF(AG220='Loan Prepayment'!$E$11,IF('Loan Prepayment'!$E$13="Keep tenure, recalculate EMI",-PMT(AI220/1200,MAX(1,'Loan Prepayment'!$B$7*12-AG220+1),AH220),AJ219),IF(AND('Loan Prepayment'!$E$15="Reduce EMI",AM219&gt;0),-PMT(AI220/1200,MAX(1,'Loan Prepayment'!$B$7*12-AG220+1),AH220),AJ219)),AH220+AK220))</f>
        <v>0</v>
      </c>
      <c r="AK220">
        <f t="shared" si="76"/>
        <v>0</v>
      </c>
      <c r="AL220">
        <f t="shared" si="77"/>
        <v>0</v>
      </c>
      <c r="AM220">
        <f>IF(AH220&lt;=0,0,MIN(MAX(0,AH220-AL220),SUMIFS('Loan Prepayment'!$B$12:$B$16,'Loan Prepayment'!$A$12:$A$16,AG220)+IF(AND(AG220&gt;='Loan Prepayment'!$B$9,AG220&lt;='Loan Prepayment'!$E$16),'Loan Prepayment'!$B$8,0)))</f>
        <v>0</v>
      </c>
      <c r="AN220">
        <f t="shared" si="78"/>
        <v>0</v>
      </c>
    </row>
    <row r="221" spans="1:40" x14ac:dyDescent="0.35">
      <c r="A221">
        <v>220</v>
      </c>
      <c r="B221">
        <f t="shared" si="79"/>
        <v>1687826.0026310135</v>
      </c>
      <c r="C221" s="78">
        <f>'Loan Prepayment'!$B$6</f>
        <v>8.5</v>
      </c>
      <c r="D221">
        <f>IF(B221&lt;=0,0,MIN(-PMT('Loan Prepayment'!$B$6/1200,'Loan Prepayment'!$B$7*12,'Loan Prepayment'!$B$5),B221+E221))</f>
        <v>86782.323336553396</v>
      </c>
      <c r="E221">
        <f t="shared" si="63"/>
        <v>11955.434185303013</v>
      </c>
      <c r="F221">
        <f t="shared" si="64"/>
        <v>74826.889151250391</v>
      </c>
      <c r="G221">
        <v>0</v>
      </c>
      <c r="H221">
        <f t="shared" si="65"/>
        <v>1612999.113479763</v>
      </c>
      <c r="I221">
        <v>220</v>
      </c>
      <c r="J221">
        <f t="shared" si="80"/>
        <v>1415688.6272304324</v>
      </c>
      <c r="K221" s="78">
        <f>'Loan Prepayment'!$B$6</f>
        <v>8.5</v>
      </c>
      <c r="L221">
        <f>IF(J221&lt;=0,0,MIN(IF(AND('Loan Prepayment'!$E$15="Reduce EMI",O220&gt;0),-PMT(K221/1200,MAX(1,'Loan Prepayment'!$B$7*12-I221+1),J221),L220),J221+M221))</f>
        <v>72789.936877782937</v>
      </c>
      <c r="M221">
        <f t="shared" si="66"/>
        <v>10027.794442882228</v>
      </c>
      <c r="N221">
        <f t="shared" si="67"/>
        <v>62762.142434900707</v>
      </c>
      <c r="O221">
        <f>IF(J221&lt;=0,0,MIN(MAX(0,J221-N221),SUMIFS('Loan Prepayment'!$B$12:$B$16,'Loan Prepayment'!$A$12:$A$16,I221)+0))</f>
        <v>0</v>
      </c>
      <c r="P221">
        <f t="shared" si="68"/>
        <v>1352926.4847955317</v>
      </c>
      <c r="Q221">
        <v>220</v>
      </c>
      <c r="R221">
        <f t="shared" si="81"/>
        <v>1687826.0026310135</v>
      </c>
      <c r="S221" s="78">
        <f>'Loan Prepayment'!$B$6</f>
        <v>8.5</v>
      </c>
      <c r="T221">
        <f>IF(R221&lt;=0,0,MIN(IF(AND('Loan Prepayment'!$E$15="Reduce EMI",W220&gt;0),-PMT(S221/1200,MAX(1,'Loan Prepayment'!$B$7*12-Q221+1),R221),T220),R221+U221))</f>
        <v>86782.323336553396</v>
      </c>
      <c r="U221">
        <f t="shared" si="69"/>
        <v>11955.434185303013</v>
      </c>
      <c r="V221">
        <f t="shared" si="70"/>
        <v>74826.889151250391</v>
      </c>
      <c r="W221">
        <f>IF(R221&lt;=0,0,MIN(MAX(0,R221-V221),0+IF(AND(Q221&gt;='Loan Prepayment'!$B$9,Q221&lt;='Loan Prepayment'!$E$16),'Loan Prepayment'!$B$8,0)))</f>
        <v>0</v>
      </c>
      <c r="X221">
        <f t="shared" si="71"/>
        <v>1612999.113479763</v>
      </c>
      <c r="Y221">
        <v>220</v>
      </c>
      <c r="Z221">
        <f t="shared" si="82"/>
        <v>225032.85731332249</v>
      </c>
      <c r="AA221">
        <f>IF(Y221&gt;='Loan Prepayment'!$E$11,'Loan Prepayment'!$E$12,'Loan Prepayment'!$B$6)</f>
        <v>7.5</v>
      </c>
      <c r="AB221">
        <f>IF(Z221&lt;=0,0,MIN(IF(Y221='Loan Prepayment'!$E$11,IF('Loan Prepayment'!$E$13="Keep tenure, recalculate EMI",-PMT(AA221/1200,MAX(1,'Loan Prepayment'!$B$7*12-Y221+1),Z221),AB220),AB220),Z221+AC221))</f>
        <v>86782.323336553396</v>
      </c>
      <c r="AC221">
        <f t="shared" si="72"/>
        <v>1406.4553582082656</v>
      </c>
      <c r="AD221">
        <f t="shared" si="73"/>
        <v>85375.867978345137</v>
      </c>
      <c r="AE221">
        <f t="shared" si="74"/>
        <v>0</v>
      </c>
      <c r="AF221">
        <f t="shared" si="75"/>
        <v>139656.98933497735</v>
      </c>
      <c r="AG221">
        <v>220</v>
      </c>
      <c r="AH221">
        <f t="shared" si="83"/>
        <v>0</v>
      </c>
      <c r="AI221">
        <f>IF(AG221&gt;='Loan Prepayment'!$E$11,'Loan Prepayment'!$E$12,'Loan Prepayment'!$B$6)</f>
        <v>7.5</v>
      </c>
      <c r="AJ221">
        <f>IF(AH221&lt;=0,0,MIN(IF(AG221='Loan Prepayment'!$E$11,IF('Loan Prepayment'!$E$13="Keep tenure, recalculate EMI",-PMT(AI221/1200,MAX(1,'Loan Prepayment'!$B$7*12-AG221+1),AH221),AJ220),IF(AND('Loan Prepayment'!$E$15="Reduce EMI",AM220&gt;0),-PMT(AI221/1200,MAX(1,'Loan Prepayment'!$B$7*12-AG221+1),AH221),AJ220)),AH221+AK221))</f>
        <v>0</v>
      </c>
      <c r="AK221">
        <f t="shared" si="76"/>
        <v>0</v>
      </c>
      <c r="AL221">
        <f t="shared" si="77"/>
        <v>0</v>
      </c>
      <c r="AM221">
        <f>IF(AH221&lt;=0,0,MIN(MAX(0,AH221-AL221),SUMIFS('Loan Prepayment'!$B$12:$B$16,'Loan Prepayment'!$A$12:$A$16,AG221)+IF(AND(AG221&gt;='Loan Prepayment'!$B$9,AG221&lt;='Loan Prepayment'!$E$16),'Loan Prepayment'!$B$8,0)))</f>
        <v>0</v>
      </c>
      <c r="AN221">
        <f t="shared" si="78"/>
        <v>0</v>
      </c>
    </row>
    <row r="222" spans="1:40" x14ac:dyDescent="0.35">
      <c r="A222">
        <v>221</v>
      </c>
      <c r="B222">
        <f t="shared" si="79"/>
        <v>1612999.113479763</v>
      </c>
      <c r="C222" s="78">
        <f>'Loan Prepayment'!$B$6</f>
        <v>8.5</v>
      </c>
      <c r="D222">
        <f>IF(B222&lt;=0,0,MIN(-PMT('Loan Prepayment'!$B$6/1200,'Loan Prepayment'!$B$7*12,'Loan Prepayment'!$B$5),B222+E222))</f>
        <v>86782.323336553396</v>
      </c>
      <c r="E222">
        <f t="shared" si="63"/>
        <v>11425.410387148322</v>
      </c>
      <c r="F222">
        <f t="shared" si="64"/>
        <v>75356.912949405072</v>
      </c>
      <c r="G222">
        <v>0</v>
      </c>
      <c r="H222">
        <f t="shared" si="65"/>
        <v>1537642.2005303579</v>
      </c>
      <c r="I222">
        <v>221</v>
      </c>
      <c r="J222">
        <f t="shared" si="80"/>
        <v>1352926.4847955317</v>
      </c>
      <c r="K222" s="78">
        <f>'Loan Prepayment'!$B$6</f>
        <v>8.5</v>
      </c>
      <c r="L222">
        <f>IF(J222&lt;=0,0,MIN(IF(AND('Loan Prepayment'!$E$15="Reduce EMI",O221&gt;0),-PMT(K222/1200,MAX(1,'Loan Prepayment'!$B$7*12-I222+1),J222),L221),J222+M222))</f>
        <v>72789.936877782937</v>
      </c>
      <c r="M222">
        <f t="shared" si="66"/>
        <v>9583.2292673016836</v>
      </c>
      <c r="N222">
        <f t="shared" si="67"/>
        <v>63206.707610481251</v>
      </c>
      <c r="O222">
        <f>IF(J222&lt;=0,0,MIN(MAX(0,J222-N222),SUMIFS('Loan Prepayment'!$B$12:$B$16,'Loan Prepayment'!$A$12:$A$16,I222)+0))</f>
        <v>0</v>
      </c>
      <c r="P222">
        <f t="shared" si="68"/>
        <v>1289719.7771850505</v>
      </c>
      <c r="Q222">
        <v>221</v>
      </c>
      <c r="R222">
        <f t="shared" si="81"/>
        <v>1612999.113479763</v>
      </c>
      <c r="S222" s="78">
        <f>'Loan Prepayment'!$B$6</f>
        <v>8.5</v>
      </c>
      <c r="T222">
        <f>IF(R222&lt;=0,0,MIN(IF(AND('Loan Prepayment'!$E$15="Reduce EMI",W221&gt;0),-PMT(S222/1200,MAX(1,'Loan Prepayment'!$B$7*12-Q222+1),R222),T221),R222+U222))</f>
        <v>86782.323336553396</v>
      </c>
      <c r="U222">
        <f t="shared" si="69"/>
        <v>11425.410387148322</v>
      </c>
      <c r="V222">
        <f t="shared" si="70"/>
        <v>75356.912949405072</v>
      </c>
      <c r="W222">
        <f>IF(R222&lt;=0,0,MIN(MAX(0,R222-V222),0+IF(AND(Q222&gt;='Loan Prepayment'!$B$9,Q222&lt;='Loan Prepayment'!$E$16),'Loan Prepayment'!$B$8,0)))</f>
        <v>0</v>
      </c>
      <c r="X222">
        <f t="shared" si="71"/>
        <v>1537642.2005303579</v>
      </c>
      <c r="Y222">
        <v>221</v>
      </c>
      <c r="Z222">
        <f t="shared" si="82"/>
        <v>139656.98933497735</v>
      </c>
      <c r="AA222">
        <f>IF(Y222&gt;='Loan Prepayment'!$E$11,'Loan Prepayment'!$E$12,'Loan Prepayment'!$B$6)</f>
        <v>7.5</v>
      </c>
      <c r="AB222">
        <f>IF(Z222&lt;=0,0,MIN(IF(Y222='Loan Prepayment'!$E$11,IF('Loan Prepayment'!$E$13="Keep tenure, recalculate EMI",-PMT(AA222/1200,MAX(1,'Loan Prepayment'!$B$7*12-Y222+1),Z222),AB221),AB221),Z222+AC222))</f>
        <v>86782.323336553396</v>
      </c>
      <c r="AC222">
        <f t="shared" si="72"/>
        <v>872.85618334360845</v>
      </c>
      <c r="AD222">
        <f t="shared" si="73"/>
        <v>85909.467153209785</v>
      </c>
      <c r="AE222">
        <f t="shared" si="74"/>
        <v>0</v>
      </c>
      <c r="AF222">
        <f t="shared" si="75"/>
        <v>53747.522181767563</v>
      </c>
      <c r="AG222">
        <v>221</v>
      </c>
      <c r="AH222">
        <f t="shared" si="83"/>
        <v>0</v>
      </c>
      <c r="AI222">
        <f>IF(AG222&gt;='Loan Prepayment'!$E$11,'Loan Prepayment'!$E$12,'Loan Prepayment'!$B$6)</f>
        <v>7.5</v>
      </c>
      <c r="AJ222">
        <f>IF(AH222&lt;=0,0,MIN(IF(AG222='Loan Prepayment'!$E$11,IF('Loan Prepayment'!$E$13="Keep tenure, recalculate EMI",-PMT(AI222/1200,MAX(1,'Loan Prepayment'!$B$7*12-AG222+1),AH222),AJ221),IF(AND('Loan Prepayment'!$E$15="Reduce EMI",AM221&gt;0),-PMT(AI222/1200,MAX(1,'Loan Prepayment'!$B$7*12-AG222+1),AH222),AJ221)),AH222+AK222))</f>
        <v>0</v>
      </c>
      <c r="AK222">
        <f t="shared" si="76"/>
        <v>0</v>
      </c>
      <c r="AL222">
        <f t="shared" si="77"/>
        <v>0</v>
      </c>
      <c r="AM222">
        <f>IF(AH222&lt;=0,0,MIN(MAX(0,AH222-AL222),SUMIFS('Loan Prepayment'!$B$12:$B$16,'Loan Prepayment'!$A$12:$A$16,AG222)+IF(AND(AG222&gt;='Loan Prepayment'!$B$9,AG222&lt;='Loan Prepayment'!$E$16),'Loan Prepayment'!$B$8,0)))</f>
        <v>0</v>
      </c>
      <c r="AN222">
        <f t="shared" si="78"/>
        <v>0</v>
      </c>
    </row>
    <row r="223" spans="1:40" x14ac:dyDescent="0.35">
      <c r="A223">
        <v>222</v>
      </c>
      <c r="B223">
        <f t="shared" si="79"/>
        <v>1537642.2005303579</v>
      </c>
      <c r="C223" s="78">
        <f>'Loan Prepayment'!$B$6</f>
        <v>8.5</v>
      </c>
      <c r="D223">
        <f>IF(B223&lt;=0,0,MIN(-PMT('Loan Prepayment'!$B$6/1200,'Loan Prepayment'!$B$7*12,'Loan Prepayment'!$B$5),B223+E223))</f>
        <v>86782.323336553396</v>
      </c>
      <c r="E223">
        <f t="shared" si="63"/>
        <v>10891.632253756701</v>
      </c>
      <c r="F223">
        <f t="shared" si="64"/>
        <v>75890.691082796693</v>
      </c>
      <c r="G223">
        <v>0</v>
      </c>
      <c r="H223">
        <f t="shared" si="65"/>
        <v>1461751.5094475611</v>
      </c>
      <c r="I223">
        <v>222</v>
      </c>
      <c r="J223">
        <f t="shared" si="80"/>
        <v>1289719.7771850505</v>
      </c>
      <c r="K223" s="78">
        <f>'Loan Prepayment'!$B$6</f>
        <v>8.5</v>
      </c>
      <c r="L223">
        <f>IF(J223&lt;=0,0,MIN(IF(AND('Loan Prepayment'!$E$15="Reduce EMI",O222&gt;0),-PMT(K223/1200,MAX(1,'Loan Prepayment'!$B$7*12-I223+1),J223),L222),J223+M223))</f>
        <v>72789.936877782937</v>
      </c>
      <c r="M223">
        <f t="shared" si="66"/>
        <v>9135.5150883941078</v>
      </c>
      <c r="N223">
        <f t="shared" si="67"/>
        <v>63654.421789388827</v>
      </c>
      <c r="O223">
        <f>IF(J223&lt;=0,0,MIN(MAX(0,J223-N223),SUMIFS('Loan Prepayment'!$B$12:$B$16,'Loan Prepayment'!$A$12:$A$16,I223)+0))</f>
        <v>0</v>
      </c>
      <c r="P223">
        <f t="shared" si="68"/>
        <v>1226065.3553956617</v>
      </c>
      <c r="Q223">
        <v>222</v>
      </c>
      <c r="R223">
        <f t="shared" si="81"/>
        <v>1537642.2005303579</v>
      </c>
      <c r="S223" s="78">
        <f>'Loan Prepayment'!$B$6</f>
        <v>8.5</v>
      </c>
      <c r="T223">
        <f>IF(R223&lt;=0,0,MIN(IF(AND('Loan Prepayment'!$E$15="Reduce EMI",W222&gt;0),-PMT(S223/1200,MAX(1,'Loan Prepayment'!$B$7*12-Q223+1),R223),T222),R223+U223))</f>
        <v>86782.323336553396</v>
      </c>
      <c r="U223">
        <f t="shared" si="69"/>
        <v>10891.632253756701</v>
      </c>
      <c r="V223">
        <f t="shared" si="70"/>
        <v>75890.691082796693</v>
      </c>
      <c r="W223">
        <f>IF(R223&lt;=0,0,MIN(MAX(0,R223-V223),0+IF(AND(Q223&gt;='Loan Prepayment'!$B$9,Q223&lt;='Loan Prepayment'!$E$16),'Loan Prepayment'!$B$8,0)))</f>
        <v>0</v>
      </c>
      <c r="X223">
        <f t="shared" si="71"/>
        <v>1461751.5094475611</v>
      </c>
      <c r="Y223">
        <v>222</v>
      </c>
      <c r="Z223">
        <f t="shared" si="82"/>
        <v>53747.522181767563</v>
      </c>
      <c r="AA223">
        <f>IF(Y223&gt;='Loan Prepayment'!$E$11,'Loan Prepayment'!$E$12,'Loan Prepayment'!$B$6)</f>
        <v>7.5</v>
      </c>
      <c r="AB223">
        <f>IF(Z223&lt;=0,0,MIN(IF(Y223='Loan Prepayment'!$E$11,IF('Loan Prepayment'!$E$13="Keep tenure, recalculate EMI",-PMT(AA223/1200,MAX(1,'Loan Prepayment'!$B$7*12-Y223+1),Z223),AB222),AB222),Z223+AC223))</f>
        <v>54083.444195403608</v>
      </c>
      <c r="AC223">
        <f t="shared" si="72"/>
        <v>335.92201363604727</v>
      </c>
      <c r="AD223">
        <f t="shared" si="73"/>
        <v>53747.522181767563</v>
      </c>
      <c r="AE223">
        <f t="shared" si="74"/>
        <v>0</v>
      </c>
      <c r="AF223">
        <f t="shared" si="75"/>
        <v>0</v>
      </c>
      <c r="AG223">
        <v>222</v>
      </c>
      <c r="AH223">
        <f t="shared" si="83"/>
        <v>0</v>
      </c>
      <c r="AI223">
        <f>IF(AG223&gt;='Loan Prepayment'!$E$11,'Loan Prepayment'!$E$12,'Loan Prepayment'!$B$6)</f>
        <v>7.5</v>
      </c>
      <c r="AJ223">
        <f>IF(AH223&lt;=0,0,MIN(IF(AG223='Loan Prepayment'!$E$11,IF('Loan Prepayment'!$E$13="Keep tenure, recalculate EMI",-PMT(AI223/1200,MAX(1,'Loan Prepayment'!$B$7*12-AG223+1),AH223),AJ222),IF(AND('Loan Prepayment'!$E$15="Reduce EMI",AM222&gt;0),-PMT(AI223/1200,MAX(1,'Loan Prepayment'!$B$7*12-AG223+1),AH223),AJ222)),AH223+AK223))</f>
        <v>0</v>
      </c>
      <c r="AK223">
        <f t="shared" si="76"/>
        <v>0</v>
      </c>
      <c r="AL223">
        <f t="shared" si="77"/>
        <v>0</v>
      </c>
      <c r="AM223">
        <f>IF(AH223&lt;=0,0,MIN(MAX(0,AH223-AL223),SUMIFS('Loan Prepayment'!$B$12:$B$16,'Loan Prepayment'!$A$12:$A$16,AG223)+IF(AND(AG223&gt;='Loan Prepayment'!$B$9,AG223&lt;='Loan Prepayment'!$E$16),'Loan Prepayment'!$B$8,0)))</f>
        <v>0</v>
      </c>
      <c r="AN223">
        <f t="shared" si="78"/>
        <v>0</v>
      </c>
    </row>
    <row r="224" spans="1:40" x14ac:dyDescent="0.35">
      <c r="A224">
        <v>223</v>
      </c>
      <c r="B224">
        <f t="shared" si="79"/>
        <v>1461751.5094475611</v>
      </c>
      <c r="C224" s="78">
        <f>'Loan Prepayment'!$B$6</f>
        <v>8.5</v>
      </c>
      <c r="D224">
        <f>IF(B224&lt;=0,0,MIN(-PMT('Loan Prepayment'!$B$6/1200,'Loan Prepayment'!$B$7*12,'Loan Prepayment'!$B$5),B224+E224))</f>
        <v>86782.323336553396</v>
      </c>
      <c r="E224">
        <f t="shared" si="63"/>
        <v>10354.073191920224</v>
      </c>
      <c r="F224">
        <f t="shared" si="64"/>
        <v>76428.250144633173</v>
      </c>
      <c r="G224">
        <v>0</v>
      </c>
      <c r="H224">
        <f t="shared" si="65"/>
        <v>1385323.2593029279</v>
      </c>
      <c r="I224">
        <v>223</v>
      </c>
      <c r="J224">
        <f t="shared" si="80"/>
        <v>1226065.3553956617</v>
      </c>
      <c r="K224" s="78">
        <f>'Loan Prepayment'!$B$6</f>
        <v>8.5</v>
      </c>
      <c r="L224">
        <f>IF(J224&lt;=0,0,MIN(IF(AND('Loan Prepayment'!$E$15="Reduce EMI",O223&gt;0),-PMT(K224/1200,MAX(1,'Loan Prepayment'!$B$7*12-I224+1),J224),L223),J224+M224))</f>
        <v>72789.936877782937</v>
      </c>
      <c r="M224">
        <f t="shared" si="66"/>
        <v>8684.6296007192686</v>
      </c>
      <c r="N224">
        <f t="shared" si="67"/>
        <v>64105.307277063665</v>
      </c>
      <c r="O224">
        <f>IF(J224&lt;=0,0,MIN(MAX(0,J224-N224),SUMIFS('Loan Prepayment'!$B$12:$B$16,'Loan Prepayment'!$A$12:$A$16,I224)+0))</f>
        <v>0</v>
      </c>
      <c r="P224">
        <f t="shared" si="68"/>
        <v>1161960.0481185981</v>
      </c>
      <c r="Q224">
        <v>223</v>
      </c>
      <c r="R224">
        <f t="shared" si="81"/>
        <v>1461751.5094475611</v>
      </c>
      <c r="S224" s="78">
        <f>'Loan Prepayment'!$B$6</f>
        <v>8.5</v>
      </c>
      <c r="T224">
        <f>IF(R224&lt;=0,0,MIN(IF(AND('Loan Prepayment'!$E$15="Reduce EMI",W223&gt;0),-PMT(S224/1200,MAX(1,'Loan Prepayment'!$B$7*12-Q224+1),R224),T223),R224+U224))</f>
        <v>86782.323336553396</v>
      </c>
      <c r="U224">
        <f t="shared" si="69"/>
        <v>10354.073191920224</v>
      </c>
      <c r="V224">
        <f t="shared" si="70"/>
        <v>76428.250144633173</v>
      </c>
      <c r="W224">
        <f>IF(R224&lt;=0,0,MIN(MAX(0,R224-V224),0+IF(AND(Q224&gt;='Loan Prepayment'!$B$9,Q224&lt;='Loan Prepayment'!$E$16),'Loan Prepayment'!$B$8,0)))</f>
        <v>0</v>
      </c>
      <c r="X224">
        <f t="shared" si="71"/>
        <v>1385323.2593029279</v>
      </c>
      <c r="Y224">
        <v>223</v>
      </c>
      <c r="Z224">
        <f t="shared" si="82"/>
        <v>0</v>
      </c>
      <c r="AA224">
        <f>IF(Y224&gt;='Loan Prepayment'!$E$11,'Loan Prepayment'!$E$12,'Loan Prepayment'!$B$6)</f>
        <v>7.5</v>
      </c>
      <c r="AB224">
        <f>IF(Z224&lt;=0,0,MIN(IF(Y224='Loan Prepayment'!$E$11,IF('Loan Prepayment'!$E$13="Keep tenure, recalculate EMI",-PMT(AA224/1200,MAX(1,'Loan Prepayment'!$B$7*12-Y224+1),Z224),AB223),AB223),Z224+AC224))</f>
        <v>0</v>
      </c>
      <c r="AC224">
        <f t="shared" si="72"/>
        <v>0</v>
      </c>
      <c r="AD224">
        <f t="shared" si="73"/>
        <v>0</v>
      </c>
      <c r="AE224">
        <f t="shared" si="74"/>
        <v>0</v>
      </c>
      <c r="AF224">
        <f t="shared" si="75"/>
        <v>0</v>
      </c>
      <c r="AG224">
        <v>223</v>
      </c>
      <c r="AH224">
        <f t="shared" si="83"/>
        <v>0</v>
      </c>
      <c r="AI224">
        <f>IF(AG224&gt;='Loan Prepayment'!$E$11,'Loan Prepayment'!$E$12,'Loan Prepayment'!$B$6)</f>
        <v>7.5</v>
      </c>
      <c r="AJ224">
        <f>IF(AH224&lt;=0,0,MIN(IF(AG224='Loan Prepayment'!$E$11,IF('Loan Prepayment'!$E$13="Keep tenure, recalculate EMI",-PMT(AI224/1200,MAX(1,'Loan Prepayment'!$B$7*12-AG224+1),AH224),AJ223),IF(AND('Loan Prepayment'!$E$15="Reduce EMI",AM223&gt;0),-PMT(AI224/1200,MAX(1,'Loan Prepayment'!$B$7*12-AG224+1),AH224),AJ223)),AH224+AK224))</f>
        <v>0</v>
      </c>
      <c r="AK224">
        <f t="shared" si="76"/>
        <v>0</v>
      </c>
      <c r="AL224">
        <f t="shared" si="77"/>
        <v>0</v>
      </c>
      <c r="AM224">
        <f>IF(AH224&lt;=0,0,MIN(MAX(0,AH224-AL224),SUMIFS('Loan Prepayment'!$B$12:$B$16,'Loan Prepayment'!$A$12:$A$16,AG224)+IF(AND(AG224&gt;='Loan Prepayment'!$B$9,AG224&lt;='Loan Prepayment'!$E$16),'Loan Prepayment'!$B$8,0)))</f>
        <v>0</v>
      </c>
      <c r="AN224">
        <f t="shared" si="78"/>
        <v>0</v>
      </c>
    </row>
    <row r="225" spans="1:40" x14ac:dyDescent="0.35">
      <c r="A225">
        <v>224</v>
      </c>
      <c r="B225">
        <f t="shared" si="79"/>
        <v>1385323.2593029279</v>
      </c>
      <c r="C225" s="78">
        <f>'Loan Prepayment'!$B$6</f>
        <v>8.5</v>
      </c>
      <c r="D225">
        <f>IF(B225&lt;=0,0,MIN(-PMT('Loan Prepayment'!$B$6/1200,'Loan Prepayment'!$B$7*12,'Loan Prepayment'!$B$5),B225+E225))</f>
        <v>86782.323336553396</v>
      </c>
      <c r="E225">
        <f t="shared" si="63"/>
        <v>9812.7064200624063</v>
      </c>
      <c r="F225">
        <f t="shared" si="64"/>
        <v>76969.616916490995</v>
      </c>
      <c r="G225">
        <v>0</v>
      </c>
      <c r="H225">
        <f t="shared" si="65"/>
        <v>1308353.6423864369</v>
      </c>
      <c r="I225">
        <v>224</v>
      </c>
      <c r="J225">
        <f t="shared" si="80"/>
        <v>1161960.0481185981</v>
      </c>
      <c r="K225" s="78">
        <f>'Loan Prepayment'!$B$6</f>
        <v>8.5</v>
      </c>
      <c r="L225">
        <f>IF(J225&lt;=0,0,MIN(IF(AND('Loan Prepayment'!$E$15="Reduce EMI",O224&gt;0),-PMT(K225/1200,MAX(1,'Loan Prepayment'!$B$7*12-I225+1),J225),L224),J225+M225))</f>
        <v>72789.936877782937</v>
      </c>
      <c r="M225">
        <f t="shared" si="66"/>
        <v>8230.5503408400691</v>
      </c>
      <c r="N225">
        <f t="shared" si="67"/>
        <v>64559.386536942868</v>
      </c>
      <c r="O225">
        <f>IF(J225&lt;=0,0,MIN(MAX(0,J225-N225),SUMIFS('Loan Prepayment'!$B$12:$B$16,'Loan Prepayment'!$A$12:$A$16,I225)+0))</f>
        <v>0</v>
      </c>
      <c r="P225">
        <f t="shared" si="68"/>
        <v>1097400.6615816553</v>
      </c>
      <c r="Q225">
        <v>224</v>
      </c>
      <c r="R225">
        <f t="shared" si="81"/>
        <v>1385323.2593029279</v>
      </c>
      <c r="S225" s="78">
        <f>'Loan Prepayment'!$B$6</f>
        <v>8.5</v>
      </c>
      <c r="T225">
        <f>IF(R225&lt;=0,0,MIN(IF(AND('Loan Prepayment'!$E$15="Reduce EMI",W224&gt;0),-PMT(S225/1200,MAX(1,'Loan Prepayment'!$B$7*12-Q225+1),R225),T224),R225+U225))</f>
        <v>86782.323336553396</v>
      </c>
      <c r="U225">
        <f t="shared" si="69"/>
        <v>9812.7064200624063</v>
      </c>
      <c r="V225">
        <f t="shared" si="70"/>
        <v>76969.616916490995</v>
      </c>
      <c r="W225">
        <f>IF(R225&lt;=0,0,MIN(MAX(0,R225-V225),0+IF(AND(Q225&gt;='Loan Prepayment'!$B$9,Q225&lt;='Loan Prepayment'!$E$16),'Loan Prepayment'!$B$8,0)))</f>
        <v>0</v>
      </c>
      <c r="X225">
        <f t="shared" si="71"/>
        <v>1308353.6423864369</v>
      </c>
      <c r="Y225">
        <v>224</v>
      </c>
      <c r="Z225">
        <f t="shared" si="82"/>
        <v>0</v>
      </c>
      <c r="AA225">
        <f>IF(Y225&gt;='Loan Prepayment'!$E$11,'Loan Prepayment'!$E$12,'Loan Prepayment'!$B$6)</f>
        <v>7.5</v>
      </c>
      <c r="AB225">
        <f>IF(Z225&lt;=0,0,MIN(IF(Y225='Loan Prepayment'!$E$11,IF('Loan Prepayment'!$E$13="Keep tenure, recalculate EMI",-PMT(AA225/1200,MAX(1,'Loan Prepayment'!$B$7*12-Y225+1),Z225),AB224),AB224),Z225+AC225))</f>
        <v>0</v>
      </c>
      <c r="AC225">
        <f t="shared" si="72"/>
        <v>0</v>
      </c>
      <c r="AD225">
        <f t="shared" si="73"/>
        <v>0</v>
      </c>
      <c r="AE225">
        <f t="shared" si="74"/>
        <v>0</v>
      </c>
      <c r="AF225">
        <f t="shared" si="75"/>
        <v>0</v>
      </c>
      <c r="AG225">
        <v>224</v>
      </c>
      <c r="AH225">
        <f t="shared" si="83"/>
        <v>0</v>
      </c>
      <c r="AI225">
        <f>IF(AG225&gt;='Loan Prepayment'!$E$11,'Loan Prepayment'!$E$12,'Loan Prepayment'!$B$6)</f>
        <v>7.5</v>
      </c>
      <c r="AJ225">
        <f>IF(AH225&lt;=0,0,MIN(IF(AG225='Loan Prepayment'!$E$11,IF('Loan Prepayment'!$E$13="Keep tenure, recalculate EMI",-PMT(AI225/1200,MAX(1,'Loan Prepayment'!$B$7*12-AG225+1),AH225),AJ224),IF(AND('Loan Prepayment'!$E$15="Reduce EMI",AM224&gt;0),-PMT(AI225/1200,MAX(1,'Loan Prepayment'!$B$7*12-AG225+1),AH225),AJ224)),AH225+AK225))</f>
        <v>0</v>
      </c>
      <c r="AK225">
        <f t="shared" si="76"/>
        <v>0</v>
      </c>
      <c r="AL225">
        <f t="shared" si="77"/>
        <v>0</v>
      </c>
      <c r="AM225">
        <f>IF(AH225&lt;=0,0,MIN(MAX(0,AH225-AL225),SUMIFS('Loan Prepayment'!$B$12:$B$16,'Loan Prepayment'!$A$12:$A$16,AG225)+IF(AND(AG225&gt;='Loan Prepayment'!$B$9,AG225&lt;='Loan Prepayment'!$E$16),'Loan Prepayment'!$B$8,0)))</f>
        <v>0</v>
      </c>
      <c r="AN225">
        <f t="shared" si="78"/>
        <v>0</v>
      </c>
    </row>
    <row r="226" spans="1:40" x14ac:dyDescent="0.35">
      <c r="A226">
        <v>225</v>
      </c>
      <c r="B226">
        <f t="shared" si="79"/>
        <v>1308353.6423864369</v>
      </c>
      <c r="C226" s="78">
        <f>'Loan Prepayment'!$B$6</f>
        <v>8.5</v>
      </c>
      <c r="D226">
        <f>IF(B226&lt;=0,0,MIN(-PMT('Loan Prepayment'!$B$6/1200,'Loan Prepayment'!$B$7*12,'Loan Prepayment'!$B$5),B226+E226))</f>
        <v>86782.323336553396</v>
      </c>
      <c r="E226">
        <f t="shared" si="63"/>
        <v>9267.5049669039272</v>
      </c>
      <c r="F226">
        <f t="shared" si="64"/>
        <v>77514.818369649467</v>
      </c>
      <c r="G226">
        <v>0</v>
      </c>
      <c r="H226">
        <f t="shared" si="65"/>
        <v>1230838.8240167876</v>
      </c>
      <c r="I226">
        <v>225</v>
      </c>
      <c r="J226">
        <f t="shared" si="80"/>
        <v>1097400.6615816553</v>
      </c>
      <c r="K226" s="78">
        <f>'Loan Prepayment'!$B$6</f>
        <v>8.5</v>
      </c>
      <c r="L226">
        <f>IF(J226&lt;=0,0,MIN(IF(AND('Loan Prepayment'!$E$15="Reduce EMI",O225&gt;0),-PMT(K226/1200,MAX(1,'Loan Prepayment'!$B$7*12-I226+1),J226),L225),J226+M226))</f>
        <v>72789.936877782937</v>
      </c>
      <c r="M226">
        <f t="shared" si="66"/>
        <v>7773.2546862033914</v>
      </c>
      <c r="N226">
        <f t="shared" si="67"/>
        <v>65016.682191579544</v>
      </c>
      <c r="O226">
        <f>IF(J226&lt;=0,0,MIN(MAX(0,J226-N226),SUMIFS('Loan Prepayment'!$B$12:$B$16,'Loan Prepayment'!$A$12:$A$16,I226)+0))</f>
        <v>0</v>
      </c>
      <c r="P226">
        <f t="shared" si="68"/>
        <v>1032383.9793900757</v>
      </c>
      <c r="Q226">
        <v>225</v>
      </c>
      <c r="R226">
        <f t="shared" si="81"/>
        <v>1308353.6423864369</v>
      </c>
      <c r="S226" s="78">
        <f>'Loan Prepayment'!$B$6</f>
        <v>8.5</v>
      </c>
      <c r="T226">
        <f>IF(R226&lt;=0,0,MIN(IF(AND('Loan Prepayment'!$E$15="Reduce EMI",W225&gt;0),-PMT(S226/1200,MAX(1,'Loan Prepayment'!$B$7*12-Q226+1),R226),T225),R226+U226))</f>
        <v>86782.323336553396</v>
      </c>
      <c r="U226">
        <f t="shared" si="69"/>
        <v>9267.5049669039272</v>
      </c>
      <c r="V226">
        <f t="shared" si="70"/>
        <v>77514.818369649467</v>
      </c>
      <c r="W226">
        <f>IF(R226&lt;=0,0,MIN(MAX(0,R226-V226),0+IF(AND(Q226&gt;='Loan Prepayment'!$B$9,Q226&lt;='Loan Prepayment'!$E$16),'Loan Prepayment'!$B$8,0)))</f>
        <v>0</v>
      </c>
      <c r="X226">
        <f t="shared" si="71"/>
        <v>1230838.8240167876</v>
      </c>
      <c r="Y226">
        <v>225</v>
      </c>
      <c r="Z226">
        <f t="shared" si="82"/>
        <v>0</v>
      </c>
      <c r="AA226">
        <f>IF(Y226&gt;='Loan Prepayment'!$E$11,'Loan Prepayment'!$E$12,'Loan Prepayment'!$B$6)</f>
        <v>7.5</v>
      </c>
      <c r="AB226">
        <f>IF(Z226&lt;=0,0,MIN(IF(Y226='Loan Prepayment'!$E$11,IF('Loan Prepayment'!$E$13="Keep tenure, recalculate EMI",-PMT(AA226/1200,MAX(1,'Loan Prepayment'!$B$7*12-Y226+1),Z226),AB225),AB225),Z226+AC226))</f>
        <v>0</v>
      </c>
      <c r="AC226">
        <f t="shared" si="72"/>
        <v>0</v>
      </c>
      <c r="AD226">
        <f t="shared" si="73"/>
        <v>0</v>
      </c>
      <c r="AE226">
        <f t="shared" si="74"/>
        <v>0</v>
      </c>
      <c r="AF226">
        <f t="shared" si="75"/>
        <v>0</v>
      </c>
      <c r="AG226">
        <v>225</v>
      </c>
      <c r="AH226">
        <f t="shared" si="83"/>
        <v>0</v>
      </c>
      <c r="AI226">
        <f>IF(AG226&gt;='Loan Prepayment'!$E$11,'Loan Prepayment'!$E$12,'Loan Prepayment'!$B$6)</f>
        <v>7.5</v>
      </c>
      <c r="AJ226">
        <f>IF(AH226&lt;=0,0,MIN(IF(AG226='Loan Prepayment'!$E$11,IF('Loan Prepayment'!$E$13="Keep tenure, recalculate EMI",-PMT(AI226/1200,MAX(1,'Loan Prepayment'!$B$7*12-AG226+1),AH226),AJ225),IF(AND('Loan Prepayment'!$E$15="Reduce EMI",AM225&gt;0),-PMT(AI226/1200,MAX(1,'Loan Prepayment'!$B$7*12-AG226+1),AH226),AJ225)),AH226+AK226))</f>
        <v>0</v>
      </c>
      <c r="AK226">
        <f t="shared" si="76"/>
        <v>0</v>
      </c>
      <c r="AL226">
        <f t="shared" si="77"/>
        <v>0</v>
      </c>
      <c r="AM226">
        <f>IF(AH226&lt;=0,0,MIN(MAX(0,AH226-AL226),SUMIFS('Loan Prepayment'!$B$12:$B$16,'Loan Prepayment'!$A$12:$A$16,AG226)+IF(AND(AG226&gt;='Loan Prepayment'!$B$9,AG226&lt;='Loan Prepayment'!$E$16),'Loan Prepayment'!$B$8,0)))</f>
        <v>0</v>
      </c>
      <c r="AN226">
        <f t="shared" si="78"/>
        <v>0</v>
      </c>
    </row>
    <row r="227" spans="1:40" x14ac:dyDescent="0.35">
      <c r="A227">
        <v>226</v>
      </c>
      <c r="B227">
        <f t="shared" si="79"/>
        <v>1230838.8240167876</v>
      </c>
      <c r="C227" s="78">
        <f>'Loan Prepayment'!$B$6</f>
        <v>8.5</v>
      </c>
      <c r="D227">
        <f>IF(B227&lt;=0,0,MIN(-PMT('Loan Prepayment'!$B$6/1200,'Loan Prepayment'!$B$7*12,'Loan Prepayment'!$B$5),B227+E227))</f>
        <v>86782.323336553396</v>
      </c>
      <c r="E227">
        <f t="shared" si="63"/>
        <v>8718.4416701189111</v>
      </c>
      <c r="F227">
        <f t="shared" si="64"/>
        <v>78063.881666434492</v>
      </c>
      <c r="G227">
        <v>0</v>
      </c>
      <c r="H227">
        <f t="shared" si="65"/>
        <v>1152774.9423503531</v>
      </c>
      <c r="I227">
        <v>226</v>
      </c>
      <c r="J227">
        <f t="shared" si="80"/>
        <v>1032383.9793900757</v>
      </c>
      <c r="K227" s="78">
        <f>'Loan Prepayment'!$B$6</f>
        <v>8.5</v>
      </c>
      <c r="L227">
        <f>IF(J227&lt;=0,0,MIN(IF(AND('Loan Prepayment'!$E$15="Reduce EMI",O226&gt;0),-PMT(K227/1200,MAX(1,'Loan Prepayment'!$B$7*12-I227+1),J227),L226),J227+M227))</f>
        <v>72789.936877782937</v>
      </c>
      <c r="M227">
        <f t="shared" si="66"/>
        <v>7312.7198540130366</v>
      </c>
      <c r="N227">
        <f t="shared" si="67"/>
        <v>65477.217023769903</v>
      </c>
      <c r="O227">
        <f>IF(J227&lt;=0,0,MIN(MAX(0,J227-N227),SUMIFS('Loan Prepayment'!$B$12:$B$16,'Loan Prepayment'!$A$12:$A$16,I227)+0))</f>
        <v>0</v>
      </c>
      <c r="P227">
        <f t="shared" si="68"/>
        <v>966906.7623663058</v>
      </c>
      <c r="Q227">
        <v>226</v>
      </c>
      <c r="R227">
        <f t="shared" si="81"/>
        <v>1230838.8240167876</v>
      </c>
      <c r="S227" s="78">
        <f>'Loan Prepayment'!$B$6</f>
        <v>8.5</v>
      </c>
      <c r="T227">
        <f>IF(R227&lt;=0,0,MIN(IF(AND('Loan Prepayment'!$E$15="Reduce EMI",W226&gt;0),-PMT(S227/1200,MAX(1,'Loan Prepayment'!$B$7*12-Q227+1),R227),T226),R227+U227))</f>
        <v>86782.323336553396</v>
      </c>
      <c r="U227">
        <f t="shared" si="69"/>
        <v>8718.4416701189111</v>
      </c>
      <c r="V227">
        <f t="shared" si="70"/>
        <v>78063.881666434492</v>
      </c>
      <c r="W227">
        <f>IF(R227&lt;=0,0,MIN(MAX(0,R227-V227),0+IF(AND(Q227&gt;='Loan Prepayment'!$B$9,Q227&lt;='Loan Prepayment'!$E$16),'Loan Prepayment'!$B$8,0)))</f>
        <v>0</v>
      </c>
      <c r="X227">
        <f t="shared" si="71"/>
        <v>1152774.9423503531</v>
      </c>
      <c r="Y227">
        <v>226</v>
      </c>
      <c r="Z227">
        <f t="shared" si="82"/>
        <v>0</v>
      </c>
      <c r="AA227">
        <f>IF(Y227&gt;='Loan Prepayment'!$E$11,'Loan Prepayment'!$E$12,'Loan Prepayment'!$B$6)</f>
        <v>7.5</v>
      </c>
      <c r="AB227">
        <f>IF(Z227&lt;=0,0,MIN(IF(Y227='Loan Prepayment'!$E$11,IF('Loan Prepayment'!$E$13="Keep tenure, recalculate EMI",-PMT(AA227/1200,MAX(1,'Loan Prepayment'!$B$7*12-Y227+1),Z227),AB226),AB226),Z227+AC227))</f>
        <v>0</v>
      </c>
      <c r="AC227">
        <f t="shared" si="72"/>
        <v>0</v>
      </c>
      <c r="AD227">
        <f t="shared" si="73"/>
        <v>0</v>
      </c>
      <c r="AE227">
        <f t="shared" si="74"/>
        <v>0</v>
      </c>
      <c r="AF227">
        <f t="shared" si="75"/>
        <v>0</v>
      </c>
      <c r="AG227">
        <v>226</v>
      </c>
      <c r="AH227">
        <f t="shared" si="83"/>
        <v>0</v>
      </c>
      <c r="AI227">
        <f>IF(AG227&gt;='Loan Prepayment'!$E$11,'Loan Prepayment'!$E$12,'Loan Prepayment'!$B$6)</f>
        <v>7.5</v>
      </c>
      <c r="AJ227">
        <f>IF(AH227&lt;=0,0,MIN(IF(AG227='Loan Prepayment'!$E$11,IF('Loan Prepayment'!$E$13="Keep tenure, recalculate EMI",-PMT(AI227/1200,MAX(1,'Loan Prepayment'!$B$7*12-AG227+1),AH227),AJ226),IF(AND('Loan Prepayment'!$E$15="Reduce EMI",AM226&gt;0),-PMT(AI227/1200,MAX(1,'Loan Prepayment'!$B$7*12-AG227+1),AH227),AJ226)),AH227+AK227))</f>
        <v>0</v>
      </c>
      <c r="AK227">
        <f t="shared" si="76"/>
        <v>0</v>
      </c>
      <c r="AL227">
        <f t="shared" si="77"/>
        <v>0</v>
      </c>
      <c r="AM227">
        <f>IF(AH227&lt;=0,0,MIN(MAX(0,AH227-AL227),SUMIFS('Loan Prepayment'!$B$12:$B$16,'Loan Prepayment'!$A$12:$A$16,AG227)+IF(AND(AG227&gt;='Loan Prepayment'!$B$9,AG227&lt;='Loan Prepayment'!$E$16),'Loan Prepayment'!$B$8,0)))</f>
        <v>0</v>
      </c>
      <c r="AN227">
        <f t="shared" si="78"/>
        <v>0</v>
      </c>
    </row>
    <row r="228" spans="1:40" x14ac:dyDescent="0.35">
      <c r="A228">
        <v>227</v>
      </c>
      <c r="B228">
        <f t="shared" si="79"/>
        <v>1152774.9423503531</v>
      </c>
      <c r="C228" s="78">
        <f>'Loan Prepayment'!$B$6</f>
        <v>8.5</v>
      </c>
      <c r="D228">
        <f>IF(B228&lt;=0,0,MIN(-PMT('Loan Prepayment'!$B$6/1200,'Loan Prepayment'!$B$7*12,'Loan Prepayment'!$B$5),B228+E228))</f>
        <v>86782.323336553396</v>
      </c>
      <c r="E228">
        <f t="shared" si="63"/>
        <v>8165.4891749816679</v>
      </c>
      <c r="F228">
        <f t="shared" si="64"/>
        <v>78616.834161571722</v>
      </c>
      <c r="G228">
        <v>0</v>
      </c>
      <c r="H228">
        <f t="shared" si="65"/>
        <v>1074158.1081887814</v>
      </c>
      <c r="I228">
        <v>227</v>
      </c>
      <c r="J228">
        <f t="shared" si="80"/>
        <v>966906.7623663058</v>
      </c>
      <c r="K228" s="78">
        <f>'Loan Prepayment'!$B$6</f>
        <v>8.5</v>
      </c>
      <c r="L228">
        <f>IF(J228&lt;=0,0,MIN(IF(AND('Loan Prepayment'!$E$15="Reduce EMI",O227&gt;0),-PMT(K228/1200,MAX(1,'Loan Prepayment'!$B$7*12-I228+1),J228),L227),J228+M228))</f>
        <v>72789.936877782937</v>
      </c>
      <c r="M228">
        <f t="shared" si="66"/>
        <v>6848.9229000946661</v>
      </c>
      <c r="N228">
        <f t="shared" si="67"/>
        <v>65941.013977688272</v>
      </c>
      <c r="O228">
        <f>IF(J228&lt;=0,0,MIN(MAX(0,J228-N228),SUMIFS('Loan Prepayment'!$B$12:$B$16,'Loan Prepayment'!$A$12:$A$16,I228)+0))</f>
        <v>0</v>
      </c>
      <c r="P228">
        <f t="shared" si="68"/>
        <v>900965.74838861753</v>
      </c>
      <c r="Q228">
        <v>227</v>
      </c>
      <c r="R228">
        <f t="shared" si="81"/>
        <v>1152774.9423503531</v>
      </c>
      <c r="S228" s="78">
        <f>'Loan Prepayment'!$B$6</f>
        <v>8.5</v>
      </c>
      <c r="T228">
        <f>IF(R228&lt;=0,0,MIN(IF(AND('Loan Prepayment'!$E$15="Reduce EMI",W227&gt;0),-PMT(S228/1200,MAX(1,'Loan Prepayment'!$B$7*12-Q228+1),R228),T227),R228+U228))</f>
        <v>86782.323336553396</v>
      </c>
      <c r="U228">
        <f t="shared" si="69"/>
        <v>8165.4891749816679</v>
      </c>
      <c r="V228">
        <f t="shared" si="70"/>
        <v>78616.834161571722</v>
      </c>
      <c r="W228">
        <f>IF(R228&lt;=0,0,MIN(MAX(0,R228-V228),0+IF(AND(Q228&gt;='Loan Prepayment'!$B$9,Q228&lt;='Loan Prepayment'!$E$16),'Loan Prepayment'!$B$8,0)))</f>
        <v>0</v>
      </c>
      <c r="X228">
        <f t="shared" si="71"/>
        <v>1074158.1081887814</v>
      </c>
      <c r="Y228">
        <v>227</v>
      </c>
      <c r="Z228">
        <f t="shared" si="82"/>
        <v>0</v>
      </c>
      <c r="AA228">
        <f>IF(Y228&gt;='Loan Prepayment'!$E$11,'Loan Prepayment'!$E$12,'Loan Prepayment'!$B$6)</f>
        <v>7.5</v>
      </c>
      <c r="AB228">
        <f>IF(Z228&lt;=0,0,MIN(IF(Y228='Loan Prepayment'!$E$11,IF('Loan Prepayment'!$E$13="Keep tenure, recalculate EMI",-PMT(AA228/1200,MAX(1,'Loan Prepayment'!$B$7*12-Y228+1),Z228),AB227),AB227),Z228+AC228))</f>
        <v>0</v>
      </c>
      <c r="AC228">
        <f t="shared" si="72"/>
        <v>0</v>
      </c>
      <c r="AD228">
        <f t="shared" si="73"/>
        <v>0</v>
      </c>
      <c r="AE228">
        <f t="shared" si="74"/>
        <v>0</v>
      </c>
      <c r="AF228">
        <f t="shared" si="75"/>
        <v>0</v>
      </c>
      <c r="AG228">
        <v>227</v>
      </c>
      <c r="AH228">
        <f t="shared" si="83"/>
        <v>0</v>
      </c>
      <c r="AI228">
        <f>IF(AG228&gt;='Loan Prepayment'!$E$11,'Loan Prepayment'!$E$12,'Loan Prepayment'!$B$6)</f>
        <v>7.5</v>
      </c>
      <c r="AJ228">
        <f>IF(AH228&lt;=0,0,MIN(IF(AG228='Loan Prepayment'!$E$11,IF('Loan Prepayment'!$E$13="Keep tenure, recalculate EMI",-PMT(AI228/1200,MAX(1,'Loan Prepayment'!$B$7*12-AG228+1),AH228),AJ227),IF(AND('Loan Prepayment'!$E$15="Reduce EMI",AM227&gt;0),-PMT(AI228/1200,MAX(1,'Loan Prepayment'!$B$7*12-AG228+1),AH228),AJ227)),AH228+AK228))</f>
        <v>0</v>
      </c>
      <c r="AK228">
        <f t="shared" si="76"/>
        <v>0</v>
      </c>
      <c r="AL228">
        <f t="shared" si="77"/>
        <v>0</v>
      </c>
      <c r="AM228">
        <f>IF(AH228&lt;=0,0,MIN(MAX(0,AH228-AL228),SUMIFS('Loan Prepayment'!$B$12:$B$16,'Loan Prepayment'!$A$12:$A$16,AG228)+IF(AND(AG228&gt;='Loan Prepayment'!$B$9,AG228&lt;='Loan Prepayment'!$E$16),'Loan Prepayment'!$B$8,0)))</f>
        <v>0</v>
      </c>
      <c r="AN228">
        <f t="shared" si="78"/>
        <v>0</v>
      </c>
    </row>
    <row r="229" spans="1:40" x14ac:dyDescent="0.35">
      <c r="A229">
        <v>228</v>
      </c>
      <c r="B229">
        <f t="shared" si="79"/>
        <v>1074158.1081887814</v>
      </c>
      <c r="C229" s="78">
        <f>'Loan Prepayment'!$B$6</f>
        <v>8.5</v>
      </c>
      <c r="D229">
        <f>IF(B229&lt;=0,0,MIN(-PMT('Loan Prepayment'!$B$6/1200,'Loan Prepayment'!$B$7*12,'Loan Prepayment'!$B$5),B229+E229))</f>
        <v>86782.323336553396</v>
      </c>
      <c r="E229">
        <f t="shared" si="63"/>
        <v>7608.6199330038689</v>
      </c>
      <c r="F229">
        <f t="shared" si="64"/>
        <v>79173.703403549531</v>
      </c>
      <c r="G229">
        <v>0</v>
      </c>
      <c r="H229">
        <f t="shared" si="65"/>
        <v>994984.40478523192</v>
      </c>
      <c r="I229">
        <v>228</v>
      </c>
      <c r="J229">
        <f t="shared" si="80"/>
        <v>900965.74838861753</v>
      </c>
      <c r="K229" s="78">
        <f>'Loan Prepayment'!$B$6</f>
        <v>8.5</v>
      </c>
      <c r="L229">
        <f>IF(J229&lt;=0,0,MIN(IF(AND('Loan Prepayment'!$E$15="Reduce EMI",O228&gt;0),-PMT(K229/1200,MAX(1,'Loan Prepayment'!$B$7*12-I229+1),J229),L228),J229+M229))</f>
        <v>72789.936877782937</v>
      </c>
      <c r="M229">
        <f t="shared" si="66"/>
        <v>6381.8407177527079</v>
      </c>
      <c r="N229">
        <f t="shared" si="67"/>
        <v>66408.096160030225</v>
      </c>
      <c r="O229">
        <f>IF(J229&lt;=0,0,MIN(MAX(0,J229-N229),SUMIFS('Loan Prepayment'!$B$12:$B$16,'Loan Prepayment'!$A$12:$A$16,I229)+0))</f>
        <v>0</v>
      </c>
      <c r="P229">
        <f t="shared" si="68"/>
        <v>834557.65222858731</v>
      </c>
      <c r="Q229">
        <v>228</v>
      </c>
      <c r="R229">
        <f t="shared" si="81"/>
        <v>1074158.1081887814</v>
      </c>
      <c r="S229" s="78">
        <f>'Loan Prepayment'!$B$6</f>
        <v>8.5</v>
      </c>
      <c r="T229">
        <f>IF(R229&lt;=0,0,MIN(IF(AND('Loan Prepayment'!$E$15="Reduce EMI",W228&gt;0),-PMT(S229/1200,MAX(1,'Loan Prepayment'!$B$7*12-Q229+1),R229),T228),R229+U229))</f>
        <v>86782.323336553396</v>
      </c>
      <c r="U229">
        <f t="shared" si="69"/>
        <v>7608.6199330038689</v>
      </c>
      <c r="V229">
        <f t="shared" si="70"/>
        <v>79173.703403549531</v>
      </c>
      <c r="W229">
        <f>IF(R229&lt;=0,0,MIN(MAX(0,R229-V229),0+IF(AND(Q229&gt;='Loan Prepayment'!$B$9,Q229&lt;='Loan Prepayment'!$E$16),'Loan Prepayment'!$B$8,0)))</f>
        <v>0</v>
      </c>
      <c r="X229">
        <f t="shared" si="71"/>
        <v>994984.40478523192</v>
      </c>
      <c r="Y229">
        <v>228</v>
      </c>
      <c r="Z229">
        <f t="shared" si="82"/>
        <v>0</v>
      </c>
      <c r="AA229">
        <f>IF(Y229&gt;='Loan Prepayment'!$E$11,'Loan Prepayment'!$E$12,'Loan Prepayment'!$B$6)</f>
        <v>7.5</v>
      </c>
      <c r="AB229">
        <f>IF(Z229&lt;=0,0,MIN(IF(Y229='Loan Prepayment'!$E$11,IF('Loan Prepayment'!$E$13="Keep tenure, recalculate EMI",-PMT(AA229/1200,MAX(1,'Loan Prepayment'!$B$7*12-Y229+1),Z229),AB228),AB228),Z229+AC229))</f>
        <v>0</v>
      </c>
      <c r="AC229">
        <f t="shared" si="72"/>
        <v>0</v>
      </c>
      <c r="AD229">
        <f t="shared" si="73"/>
        <v>0</v>
      </c>
      <c r="AE229">
        <f t="shared" si="74"/>
        <v>0</v>
      </c>
      <c r="AF229">
        <f t="shared" si="75"/>
        <v>0</v>
      </c>
      <c r="AG229">
        <v>228</v>
      </c>
      <c r="AH229">
        <f t="shared" si="83"/>
        <v>0</v>
      </c>
      <c r="AI229">
        <f>IF(AG229&gt;='Loan Prepayment'!$E$11,'Loan Prepayment'!$E$12,'Loan Prepayment'!$B$6)</f>
        <v>7.5</v>
      </c>
      <c r="AJ229">
        <f>IF(AH229&lt;=0,0,MIN(IF(AG229='Loan Prepayment'!$E$11,IF('Loan Prepayment'!$E$13="Keep tenure, recalculate EMI",-PMT(AI229/1200,MAX(1,'Loan Prepayment'!$B$7*12-AG229+1),AH229),AJ228),IF(AND('Loan Prepayment'!$E$15="Reduce EMI",AM228&gt;0),-PMT(AI229/1200,MAX(1,'Loan Prepayment'!$B$7*12-AG229+1),AH229),AJ228)),AH229+AK229))</f>
        <v>0</v>
      </c>
      <c r="AK229">
        <f t="shared" si="76"/>
        <v>0</v>
      </c>
      <c r="AL229">
        <f t="shared" si="77"/>
        <v>0</v>
      </c>
      <c r="AM229">
        <f>IF(AH229&lt;=0,0,MIN(MAX(0,AH229-AL229),SUMIFS('Loan Prepayment'!$B$12:$B$16,'Loan Prepayment'!$A$12:$A$16,AG229)+IF(AND(AG229&gt;='Loan Prepayment'!$B$9,AG229&lt;='Loan Prepayment'!$E$16),'Loan Prepayment'!$B$8,0)))</f>
        <v>0</v>
      </c>
      <c r="AN229">
        <f t="shared" si="78"/>
        <v>0</v>
      </c>
    </row>
    <row r="230" spans="1:40" x14ac:dyDescent="0.35">
      <c r="A230">
        <v>229</v>
      </c>
      <c r="B230">
        <f t="shared" si="79"/>
        <v>994984.40478523192</v>
      </c>
      <c r="C230" s="78">
        <f>'Loan Prepayment'!$B$6</f>
        <v>8.5</v>
      </c>
      <c r="D230">
        <f>IF(B230&lt;=0,0,MIN(-PMT('Loan Prepayment'!$B$6/1200,'Loan Prepayment'!$B$7*12,'Loan Prepayment'!$B$5),B230+E230))</f>
        <v>86782.323336553396</v>
      </c>
      <c r="E230">
        <f t="shared" si="63"/>
        <v>7047.8062005620586</v>
      </c>
      <c r="F230">
        <f t="shared" si="64"/>
        <v>79734.517135991337</v>
      </c>
      <c r="G230">
        <v>0</v>
      </c>
      <c r="H230">
        <f t="shared" si="65"/>
        <v>915249.88764924055</v>
      </c>
      <c r="I230">
        <v>229</v>
      </c>
      <c r="J230">
        <f t="shared" si="80"/>
        <v>834557.65222858731</v>
      </c>
      <c r="K230" s="78">
        <f>'Loan Prepayment'!$B$6</f>
        <v>8.5</v>
      </c>
      <c r="L230">
        <f>IF(J230&lt;=0,0,MIN(IF(AND('Loan Prepayment'!$E$15="Reduce EMI",O229&gt;0),-PMT(K230/1200,MAX(1,'Loan Prepayment'!$B$7*12-I230+1),J230),L229),J230+M230))</f>
        <v>72789.936877782937</v>
      </c>
      <c r="M230">
        <f t="shared" si="66"/>
        <v>5911.4500366191596</v>
      </c>
      <c r="N230">
        <f t="shared" si="67"/>
        <v>66878.486841163773</v>
      </c>
      <c r="O230">
        <f>IF(J230&lt;=0,0,MIN(MAX(0,J230-N230),SUMIFS('Loan Prepayment'!$B$12:$B$16,'Loan Prepayment'!$A$12:$A$16,I230)+0))</f>
        <v>0</v>
      </c>
      <c r="P230">
        <f t="shared" si="68"/>
        <v>767679.16538742348</v>
      </c>
      <c r="Q230">
        <v>229</v>
      </c>
      <c r="R230">
        <f t="shared" si="81"/>
        <v>994984.40478523192</v>
      </c>
      <c r="S230" s="78">
        <f>'Loan Prepayment'!$B$6</f>
        <v>8.5</v>
      </c>
      <c r="T230">
        <f>IF(R230&lt;=0,0,MIN(IF(AND('Loan Prepayment'!$E$15="Reduce EMI",W229&gt;0),-PMT(S230/1200,MAX(1,'Loan Prepayment'!$B$7*12-Q230+1),R230),T229),R230+U230))</f>
        <v>86782.323336553396</v>
      </c>
      <c r="U230">
        <f t="shared" si="69"/>
        <v>7047.8062005620586</v>
      </c>
      <c r="V230">
        <f t="shared" si="70"/>
        <v>79734.517135991337</v>
      </c>
      <c r="W230">
        <f>IF(R230&lt;=0,0,MIN(MAX(0,R230-V230),0+IF(AND(Q230&gt;='Loan Prepayment'!$B$9,Q230&lt;='Loan Prepayment'!$E$16),'Loan Prepayment'!$B$8,0)))</f>
        <v>0</v>
      </c>
      <c r="X230">
        <f t="shared" si="71"/>
        <v>915249.88764924055</v>
      </c>
      <c r="Y230">
        <v>229</v>
      </c>
      <c r="Z230">
        <f t="shared" si="82"/>
        <v>0</v>
      </c>
      <c r="AA230">
        <f>IF(Y230&gt;='Loan Prepayment'!$E$11,'Loan Prepayment'!$E$12,'Loan Prepayment'!$B$6)</f>
        <v>7.5</v>
      </c>
      <c r="AB230">
        <f>IF(Z230&lt;=0,0,MIN(IF(Y230='Loan Prepayment'!$E$11,IF('Loan Prepayment'!$E$13="Keep tenure, recalculate EMI",-PMT(AA230/1200,MAX(1,'Loan Prepayment'!$B$7*12-Y230+1),Z230),AB229),AB229),Z230+AC230))</f>
        <v>0</v>
      </c>
      <c r="AC230">
        <f t="shared" si="72"/>
        <v>0</v>
      </c>
      <c r="AD230">
        <f t="shared" si="73"/>
        <v>0</v>
      </c>
      <c r="AE230">
        <f t="shared" si="74"/>
        <v>0</v>
      </c>
      <c r="AF230">
        <f t="shared" si="75"/>
        <v>0</v>
      </c>
      <c r="AG230">
        <v>229</v>
      </c>
      <c r="AH230">
        <f t="shared" si="83"/>
        <v>0</v>
      </c>
      <c r="AI230">
        <f>IF(AG230&gt;='Loan Prepayment'!$E$11,'Loan Prepayment'!$E$12,'Loan Prepayment'!$B$6)</f>
        <v>7.5</v>
      </c>
      <c r="AJ230">
        <f>IF(AH230&lt;=0,0,MIN(IF(AG230='Loan Prepayment'!$E$11,IF('Loan Prepayment'!$E$13="Keep tenure, recalculate EMI",-PMT(AI230/1200,MAX(1,'Loan Prepayment'!$B$7*12-AG230+1),AH230),AJ229),IF(AND('Loan Prepayment'!$E$15="Reduce EMI",AM229&gt;0),-PMT(AI230/1200,MAX(1,'Loan Prepayment'!$B$7*12-AG230+1),AH230),AJ229)),AH230+AK230))</f>
        <v>0</v>
      </c>
      <c r="AK230">
        <f t="shared" si="76"/>
        <v>0</v>
      </c>
      <c r="AL230">
        <f t="shared" si="77"/>
        <v>0</v>
      </c>
      <c r="AM230">
        <f>IF(AH230&lt;=0,0,MIN(MAX(0,AH230-AL230),SUMIFS('Loan Prepayment'!$B$12:$B$16,'Loan Prepayment'!$A$12:$A$16,AG230)+IF(AND(AG230&gt;='Loan Prepayment'!$B$9,AG230&lt;='Loan Prepayment'!$E$16),'Loan Prepayment'!$B$8,0)))</f>
        <v>0</v>
      </c>
      <c r="AN230">
        <f t="shared" si="78"/>
        <v>0</v>
      </c>
    </row>
    <row r="231" spans="1:40" x14ac:dyDescent="0.35">
      <c r="A231">
        <v>230</v>
      </c>
      <c r="B231">
        <f t="shared" si="79"/>
        <v>915249.88764924055</v>
      </c>
      <c r="C231" s="78">
        <f>'Loan Prepayment'!$B$6</f>
        <v>8.5</v>
      </c>
      <c r="D231">
        <f>IF(B231&lt;=0,0,MIN(-PMT('Loan Prepayment'!$B$6/1200,'Loan Prepayment'!$B$7*12,'Loan Prepayment'!$B$5),B231+E231))</f>
        <v>86782.323336553396</v>
      </c>
      <c r="E231">
        <f t="shared" si="63"/>
        <v>6483.0200375154536</v>
      </c>
      <c r="F231">
        <f t="shared" si="64"/>
        <v>80299.303299037943</v>
      </c>
      <c r="G231">
        <v>0</v>
      </c>
      <c r="H231">
        <f t="shared" si="65"/>
        <v>834950.58435020258</v>
      </c>
      <c r="I231">
        <v>230</v>
      </c>
      <c r="J231">
        <f t="shared" si="80"/>
        <v>767679.16538742348</v>
      </c>
      <c r="K231" s="78">
        <f>'Loan Prepayment'!$B$6</f>
        <v>8.5</v>
      </c>
      <c r="L231">
        <f>IF(J231&lt;=0,0,MIN(IF(AND('Loan Prepayment'!$E$15="Reduce EMI",O230&gt;0),-PMT(K231/1200,MAX(1,'Loan Prepayment'!$B$7*12-I231+1),J231),L230),J231+M231))</f>
        <v>72789.936877782937</v>
      </c>
      <c r="M231">
        <f t="shared" si="66"/>
        <v>5437.7274214942499</v>
      </c>
      <c r="N231">
        <f t="shared" si="67"/>
        <v>67352.209456288692</v>
      </c>
      <c r="O231">
        <f>IF(J231&lt;=0,0,MIN(MAX(0,J231-N231),SUMIFS('Loan Prepayment'!$B$12:$B$16,'Loan Prepayment'!$A$12:$A$16,I231)+0))</f>
        <v>0</v>
      </c>
      <c r="P231">
        <f t="shared" si="68"/>
        <v>700326.95593113475</v>
      </c>
      <c r="Q231">
        <v>230</v>
      </c>
      <c r="R231">
        <f t="shared" si="81"/>
        <v>915249.88764924055</v>
      </c>
      <c r="S231" s="78">
        <f>'Loan Prepayment'!$B$6</f>
        <v>8.5</v>
      </c>
      <c r="T231">
        <f>IF(R231&lt;=0,0,MIN(IF(AND('Loan Prepayment'!$E$15="Reduce EMI",W230&gt;0),-PMT(S231/1200,MAX(1,'Loan Prepayment'!$B$7*12-Q231+1),R231),T230),R231+U231))</f>
        <v>86782.323336553396</v>
      </c>
      <c r="U231">
        <f t="shared" si="69"/>
        <v>6483.0200375154536</v>
      </c>
      <c r="V231">
        <f t="shared" si="70"/>
        <v>80299.303299037943</v>
      </c>
      <c r="W231">
        <f>IF(R231&lt;=0,0,MIN(MAX(0,R231-V231),0+IF(AND(Q231&gt;='Loan Prepayment'!$B$9,Q231&lt;='Loan Prepayment'!$E$16),'Loan Prepayment'!$B$8,0)))</f>
        <v>0</v>
      </c>
      <c r="X231">
        <f t="shared" si="71"/>
        <v>834950.58435020258</v>
      </c>
      <c r="Y231">
        <v>230</v>
      </c>
      <c r="Z231">
        <f t="shared" si="82"/>
        <v>0</v>
      </c>
      <c r="AA231">
        <f>IF(Y231&gt;='Loan Prepayment'!$E$11,'Loan Prepayment'!$E$12,'Loan Prepayment'!$B$6)</f>
        <v>7.5</v>
      </c>
      <c r="AB231">
        <f>IF(Z231&lt;=0,0,MIN(IF(Y231='Loan Prepayment'!$E$11,IF('Loan Prepayment'!$E$13="Keep tenure, recalculate EMI",-PMT(AA231/1200,MAX(1,'Loan Prepayment'!$B$7*12-Y231+1),Z231),AB230),AB230),Z231+AC231))</f>
        <v>0</v>
      </c>
      <c r="AC231">
        <f t="shared" si="72"/>
        <v>0</v>
      </c>
      <c r="AD231">
        <f t="shared" si="73"/>
        <v>0</v>
      </c>
      <c r="AE231">
        <f t="shared" si="74"/>
        <v>0</v>
      </c>
      <c r="AF231">
        <f t="shared" si="75"/>
        <v>0</v>
      </c>
      <c r="AG231">
        <v>230</v>
      </c>
      <c r="AH231">
        <f t="shared" si="83"/>
        <v>0</v>
      </c>
      <c r="AI231">
        <f>IF(AG231&gt;='Loan Prepayment'!$E$11,'Loan Prepayment'!$E$12,'Loan Prepayment'!$B$6)</f>
        <v>7.5</v>
      </c>
      <c r="AJ231">
        <f>IF(AH231&lt;=0,0,MIN(IF(AG231='Loan Prepayment'!$E$11,IF('Loan Prepayment'!$E$13="Keep tenure, recalculate EMI",-PMT(AI231/1200,MAX(1,'Loan Prepayment'!$B$7*12-AG231+1),AH231),AJ230),IF(AND('Loan Prepayment'!$E$15="Reduce EMI",AM230&gt;0),-PMT(AI231/1200,MAX(1,'Loan Prepayment'!$B$7*12-AG231+1),AH231),AJ230)),AH231+AK231))</f>
        <v>0</v>
      </c>
      <c r="AK231">
        <f t="shared" si="76"/>
        <v>0</v>
      </c>
      <c r="AL231">
        <f t="shared" si="77"/>
        <v>0</v>
      </c>
      <c r="AM231">
        <f>IF(AH231&lt;=0,0,MIN(MAX(0,AH231-AL231),SUMIFS('Loan Prepayment'!$B$12:$B$16,'Loan Prepayment'!$A$12:$A$16,AG231)+IF(AND(AG231&gt;='Loan Prepayment'!$B$9,AG231&lt;='Loan Prepayment'!$E$16),'Loan Prepayment'!$B$8,0)))</f>
        <v>0</v>
      </c>
      <c r="AN231">
        <f t="shared" si="78"/>
        <v>0</v>
      </c>
    </row>
    <row r="232" spans="1:40" x14ac:dyDescent="0.35">
      <c r="A232">
        <v>231</v>
      </c>
      <c r="B232">
        <f t="shared" si="79"/>
        <v>834950.58435020258</v>
      </c>
      <c r="C232" s="78">
        <f>'Loan Prepayment'!$B$6</f>
        <v>8.5</v>
      </c>
      <c r="D232">
        <f>IF(B232&lt;=0,0,MIN(-PMT('Loan Prepayment'!$B$6/1200,'Loan Prepayment'!$B$7*12,'Loan Prepayment'!$B$5),B232+E232))</f>
        <v>86782.323336553396</v>
      </c>
      <c r="E232">
        <f t="shared" si="63"/>
        <v>5914.2333058139347</v>
      </c>
      <c r="F232">
        <f t="shared" si="64"/>
        <v>80868.090030739462</v>
      </c>
      <c r="G232">
        <v>0</v>
      </c>
      <c r="H232">
        <f t="shared" si="65"/>
        <v>754082.49431946315</v>
      </c>
      <c r="I232">
        <v>231</v>
      </c>
      <c r="J232">
        <f t="shared" si="80"/>
        <v>700326.95593113475</v>
      </c>
      <c r="K232" s="78">
        <f>'Loan Prepayment'!$B$6</f>
        <v>8.5</v>
      </c>
      <c r="L232">
        <f>IF(J232&lt;=0,0,MIN(IF(AND('Loan Prepayment'!$E$15="Reduce EMI",O231&gt;0),-PMT(K232/1200,MAX(1,'Loan Prepayment'!$B$7*12-I232+1),J232),L231),J232+M232))</f>
        <v>72789.936877782937</v>
      </c>
      <c r="M232">
        <f t="shared" si="66"/>
        <v>4960.6492711788715</v>
      </c>
      <c r="N232">
        <f t="shared" si="67"/>
        <v>67829.287606604063</v>
      </c>
      <c r="O232">
        <f>IF(J232&lt;=0,0,MIN(MAX(0,J232-N232),SUMIFS('Loan Prepayment'!$B$12:$B$16,'Loan Prepayment'!$A$12:$A$16,I232)+0))</f>
        <v>0</v>
      </c>
      <c r="P232">
        <f t="shared" si="68"/>
        <v>632497.66832453071</v>
      </c>
      <c r="Q232">
        <v>231</v>
      </c>
      <c r="R232">
        <f t="shared" si="81"/>
        <v>834950.58435020258</v>
      </c>
      <c r="S232" s="78">
        <f>'Loan Prepayment'!$B$6</f>
        <v>8.5</v>
      </c>
      <c r="T232">
        <f>IF(R232&lt;=0,0,MIN(IF(AND('Loan Prepayment'!$E$15="Reduce EMI",W231&gt;0),-PMT(S232/1200,MAX(1,'Loan Prepayment'!$B$7*12-Q232+1),R232),T231),R232+U232))</f>
        <v>86782.323336553396</v>
      </c>
      <c r="U232">
        <f t="shared" si="69"/>
        <v>5914.2333058139347</v>
      </c>
      <c r="V232">
        <f t="shared" si="70"/>
        <v>80868.090030739462</v>
      </c>
      <c r="W232">
        <f>IF(R232&lt;=0,0,MIN(MAX(0,R232-V232),0+IF(AND(Q232&gt;='Loan Prepayment'!$B$9,Q232&lt;='Loan Prepayment'!$E$16),'Loan Prepayment'!$B$8,0)))</f>
        <v>0</v>
      </c>
      <c r="X232">
        <f t="shared" si="71"/>
        <v>754082.49431946315</v>
      </c>
      <c r="Y232">
        <v>231</v>
      </c>
      <c r="Z232">
        <f t="shared" si="82"/>
        <v>0</v>
      </c>
      <c r="AA232">
        <f>IF(Y232&gt;='Loan Prepayment'!$E$11,'Loan Prepayment'!$E$12,'Loan Prepayment'!$B$6)</f>
        <v>7.5</v>
      </c>
      <c r="AB232">
        <f>IF(Z232&lt;=0,0,MIN(IF(Y232='Loan Prepayment'!$E$11,IF('Loan Prepayment'!$E$13="Keep tenure, recalculate EMI",-PMT(AA232/1200,MAX(1,'Loan Prepayment'!$B$7*12-Y232+1),Z232),AB231),AB231),Z232+AC232))</f>
        <v>0</v>
      </c>
      <c r="AC232">
        <f t="shared" si="72"/>
        <v>0</v>
      </c>
      <c r="AD232">
        <f t="shared" si="73"/>
        <v>0</v>
      </c>
      <c r="AE232">
        <f t="shared" si="74"/>
        <v>0</v>
      </c>
      <c r="AF232">
        <f t="shared" si="75"/>
        <v>0</v>
      </c>
      <c r="AG232">
        <v>231</v>
      </c>
      <c r="AH232">
        <f t="shared" si="83"/>
        <v>0</v>
      </c>
      <c r="AI232">
        <f>IF(AG232&gt;='Loan Prepayment'!$E$11,'Loan Prepayment'!$E$12,'Loan Prepayment'!$B$6)</f>
        <v>7.5</v>
      </c>
      <c r="AJ232">
        <f>IF(AH232&lt;=0,0,MIN(IF(AG232='Loan Prepayment'!$E$11,IF('Loan Prepayment'!$E$13="Keep tenure, recalculate EMI",-PMT(AI232/1200,MAX(1,'Loan Prepayment'!$B$7*12-AG232+1),AH232),AJ231),IF(AND('Loan Prepayment'!$E$15="Reduce EMI",AM231&gt;0),-PMT(AI232/1200,MAX(1,'Loan Prepayment'!$B$7*12-AG232+1),AH232),AJ231)),AH232+AK232))</f>
        <v>0</v>
      </c>
      <c r="AK232">
        <f t="shared" si="76"/>
        <v>0</v>
      </c>
      <c r="AL232">
        <f t="shared" si="77"/>
        <v>0</v>
      </c>
      <c r="AM232">
        <f>IF(AH232&lt;=0,0,MIN(MAX(0,AH232-AL232),SUMIFS('Loan Prepayment'!$B$12:$B$16,'Loan Prepayment'!$A$12:$A$16,AG232)+IF(AND(AG232&gt;='Loan Prepayment'!$B$9,AG232&lt;='Loan Prepayment'!$E$16),'Loan Prepayment'!$B$8,0)))</f>
        <v>0</v>
      </c>
      <c r="AN232">
        <f t="shared" si="78"/>
        <v>0</v>
      </c>
    </row>
    <row r="233" spans="1:40" x14ac:dyDescent="0.35">
      <c r="A233">
        <v>232</v>
      </c>
      <c r="B233">
        <f t="shared" si="79"/>
        <v>754082.49431946315</v>
      </c>
      <c r="C233" s="78">
        <f>'Loan Prepayment'!$B$6</f>
        <v>8.5</v>
      </c>
      <c r="D233">
        <f>IF(B233&lt;=0,0,MIN(-PMT('Loan Prepayment'!$B$6/1200,'Loan Prepayment'!$B$7*12,'Loan Prepayment'!$B$5),B233+E233))</f>
        <v>86782.323336553396</v>
      </c>
      <c r="E233">
        <f t="shared" si="63"/>
        <v>5341.4176680961973</v>
      </c>
      <c r="F233">
        <f t="shared" si="64"/>
        <v>81440.905668457199</v>
      </c>
      <c r="G233">
        <v>0</v>
      </c>
      <c r="H233">
        <f t="shared" si="65"/>
        <v>672641.58865100599</v>
      </c>
      <c r="I233">
        <v>232</v>
      </c>
      <c r="J233">
        <f t="shared" si="80"/>
        <v>632497.66832453071</v>
      </c>
      <c r="K233" s="78">
        <f>'Loan Prepayment'!$B$6</f>
        <v>8.5</v>
      </c>
      <c r="L233">
        <f>IF(J233&lt;=0,0,MIN(IF(AND('Loan Prepayment'!$E$15="Reduce EMI",O232&gt;0),-PMT(K233/1200,MAX(1,'Loan Prepayment'!$B$7*12-I233+1),J233),L232),J233+M233))</f>
        <v>72789.936877782937</v>
      </c>
      <c r="M233">
        <f t="shared" si="66"/>
        <v>4480.1918172987589</v>
      </c>
      <c r="N233">
        <f t="shared" si="67"/>
        <v>68309.745060484172</v>
      </c>
      <c r="O233">
        <f>IF(J233&lt;=0,0,MIN(MAX(0,J233-N233),SUMIFS('Loan Prepayment'!$B$12:$B$16,'Loan Prepayment'!$A$12:$A$16,I233)+0))</f>
        <v>0</v>
      </c>
      <c r="P233">
        <f t="shared" si="68"/>
        <v>564187.92326404655</v>
      </c>
      <c r="Q233">
        <v>232</v>
      </c>
      <c r="R233">
        <f t="shared" si="81"/>
        <v>754082.49431946315</v>
      </c>
      <c r="S233" s="78">
        <f>'Loan Prepayment'!$B$6</f>
        <v>8.5</v>
      </c>
      <c r="T233">
        <f>IF(R233&lt;=0,0,MIN(IF(AND('Loan Prepayment'!$E$15="Reduce EMI",W232&gt;0),-PMT(S233/1200,MAX(1,'Loan Prepayment'!$B$7*12-Q233+1),R233),T232),R233+U233))</f>
        <v>86782.323336553396</v>
      </c>
      <c r="U233">
        <f t="shared" si="69"/>
        <v>5341.4176680961973</v>
      </c>
      <c r="V233">
        <f t="shared" si="70"/>
        <v>81440.905668457199</v>
      </c>
      <c r="W233">
        <f>IF(R233&lt;=0,0,MIN(MAX(0,R233-V233),0+IF(AND(Q233&gt;='Loan Prepayment'!$B$9,Q233&lt;='Loan Prepayment'!$E$16),'Loan Prepayment'!$B$8,0)))</f>
        <v>0</v>
      </c>
      <c r="X233">
        <f t="shared" si="71"/>
        <v>672641.58865100599</v>
      </c>
      <c r="Y233">
        <v>232</v>
      </c>
      <c r="Z233">
        <f t="shared" si="82"/>
        <v>0</v>
      </c>
      <c r="AA233">
        <f>IF(Y233&gt;='Loan Prepayment'!$E$11,'Loan Prepayment'!$E$12,'Loan Prepayment'!$B$6)</f>
        <v>7.5</v>
      </c>
      <c r="AB233">
        <f>IF(Z233&lt;=0,0,MIN(IF(Y233='Loan Prepayment'!$E$11,IF('Loan Prepayment'!$E$13="Keep tenure, recalculate EMI",-PMT(AA233/1200,MAX(1,'Loan Prepayment'!$B$7*12-Y233+1),Z233),AB232),AB232),Z233+AC233))</f>
        <v>0</v>
      </c>
      <c r="AC233">
        <f t="shared" si="72"/>
        <v>0</v>
      </c>
      <c r="AD233">
        <f t="shared" si="73"/>
        <v>0</v>
      </c>
      <c r="AE233">
        <f t="shared" si="74"/>
        <v>0</v>
      </c>
      <c r="AF233">
        <f t="shared" si="75"/>
        <v>0</v>
      </c>
      <c r="AG233">
        <v>232</v>
      </c>
      <c r="AH233">
        <f t="shared" si="83"/>
        <v>0</v>
      </c>
      <c r="AI233">
        <f>IF(AG233&gt;='Loan Prepayment'!$E$11,'Loan Prepayment'!$E$12,'Loan Prepayment'!$B$6)</f>
        <v>7.5</v>
      </c>
      <c r="AJ233">
        <f>IF(AH233&lt;=0,0,MIN(IF(AG233='Loan Prepayment'!$E$11,IF('Loan Prepayment'!$E$13="Keep tenure, recalculate EMI",-PMT(AI233/1200,MAX(1,'Loan Prepayment'!$B$7*12-AG233+1),AH233),AJ232),IF(AND('Loan Prepayment'!$E$15="Reduce EMI",AM232&gt;0),-PMT(AI233/1200,MAX(1,'Loan Prepayment'!$B$7*12-AG233+1),AH233),AJ232)),AH233+AK233))</f>
        <v>0</v>
      </c>
      <c r="AK233">
        <f t="shared" si="76"/>
        <v>0</v>
      </c>
      <c r="AL233">
        <f t="shared" si="77"/>
        <v>0</v>
      </c>
      <c r="AM233">
        <f>IF(AH233&lt;=0,0,MIN(MAX(0,AH233-AL233),SUMIFS('Loan Prepayment'!$B$12:$B$16,'Loan Prepayment'!$A$12:$A$16,AG233)+IF(AND(AG233&gt;='Loan Prepayment'!$B$9,AG233&lt;='Loan Prepayment'!$E$16),'Loan Prepayment'!$B$8,0)))</f>
        <v>0</v>
      </c>
      <c r="AN233">
        <f t="shared" si="78"/>
        <v>0</v>
      </c>
    </row>
    <row r="234" spans="1:40" x14ac:dyDescent="0.35">
      <c r="A234">
        <v>233</v>
      </c>
      <c r="B234">
        <f t="shared" si="79"/>
        <v>672641.58865100599</v>
      </c>
      <c r="C234" s="78">
        <f>'Loan Prepayment'!$B$6</f>
        <v>8.5</v>
      </c>
      <c r="D234">
        <f>IF(B234&lt;=0,0,MIN(-PMT('Loan Prepayment'!$B$6/1200,'Loan Prepayment'!$B$7*12,'Loan Prepayment'!$B$5),B234+E234))</f>
        <v>86782.323336553396</v>
      </c>
      <c r="E234">
        <f t="shared" si="63"/>
        <v>4764.5445862779588</v>
      </c>
      <c r="F234">
        <f t="shared" si="64"/>
        <v>82017.778750275436</v>
      </c>
      <c r="G234">
        <v>0</v>
      </c>
      <c r="H234">
        <f t="shared" si="65"/>
        <v>590623.80990073062</v>
      </c>
      <c r="I234">
        <v>233</v>
      </c>
      <c r="J234">
        <f t="shared" si="80"/>
        <v>564187.92326404655</v>
      </c>
      <c r="K234" s="78">
        <f>'Loan Prepayment'!$B$6</f>
        <v>8.5</v>
      </c>
      <c r="L234">
        <f>IF(J234&lt;=0,0,MIN(IF(AND('Loan Prepayment'!$E$15="Reduce EMI",O233&gt;0),-PMT(K234/1200,MAX(1,'Loan Prepayment'!$B$7*12-I234+1),J234),L233),J234+M234))</f>
        <v>72789.936877782937</v>
      </c>
      <c r="M234">
        <f t="shared" si="66"/>
        <v>3996.3311231203302</v>
      </c>
      <c r="N234">
        <f t="shared" si="67"/>
        <v>68793.605754662611</v>
      </c>
      <c r="O234">
        <f>IF(J234&lt;=0,0,MIN(MAX(0,J234-N234),SUMIFS('Loan Prepayment'!$B$12:$B$16,'Loan Prepayment'!$A$12:$A$16,I234)+0))</f>
        <v>0</v>
      </c>
      <c r="P234">
        <f t="shared" si="68"/>
        <v>495394.31750938395</v>
      </c>
      <c r="Q234">
        <v>233</v>
      </c>
      <c r="R234">
        <f t="shared" si="81"/>
        <v>672641.58865100599</v>
      </c>
      <c r="S234" s="78">
        <f>'Loan Prepayment'!$B$6</f>
        <v>8.5</v>
      </c>
      <c r="T234">
        <f>IF(R234&lt;=0,0,MIN(IF(AND('Loan Prepayment'!$E$15="Reduce EMI",W233&gt;0),-PMT(S234/1200,MAX(1,'Loan Prepayment'!$B$7*12-Q234+1),R234),T233),R234+U234))</f>
        <v>86782.323336553396</v>
      </c>
      <c r="U234">
        <f t="shared" si="69"/>
        <v>4764.5445862779588</v>
      </c>
      <c r="V234">
        <f t="shared" si="70"/>
        <v>82017.778750275436</v>
      </c>
      <c r="W234">
        <f>IF(R234&lt;=0,0,MIN(MAX(0,R234-V234),0+IF(AND(Q234&gt;='Loan Prepayment'!$B$9,Q234&lt;='Loan Prepayment'!$E$16),'Loan Prepayment'!$B$8,0)))</f>
        <v>0</v>
      </c>
      <c r="X234">
        <f t="shared" si="71"/>
        <v>590623.80990073062</v>
      </c>
      <c r="Y234">
        <v>233</v>
      </c>
      <c r="Z234">
        <f t="shared" si="82"/>
        <v>0</v>
      </c>
      <c r="AA234">
        <f>IF(Y234&gt;='Loan Prepayment'!$E$11,'Loan Prepayment'!$E$12,'Loan Prepayment'!$B$6)</f>
        <v>7.5</v>
      </c>
      <c r="AB234">
        <f>IF(Z234&lt;=0,0,MIN(IF(Y234='Loan Prepayment'!$E$11,IF('Loan Prepayment'!$E$13="Keep tenure, recalculate EMI",-PMT(AA234/1200,MAX(1,'Loan Prepayment'!$B$7*12-Y234+1),Z234),AB233),AB233),Z234+AC234))</f>
        <v>0</v>
      </c>
      <c r="AC234">
        <f t="shared" si="72"/>
        <v>0</v>
      </c>
      <c r="AD234">
        <f t="shared" si="73"/>
        <v>0</v>
      </c>
      <c r="AE234">
        <f t="shared" si="74"/>
        <v>0</v>
      </c>
      <c r="AF234">
        <f t="shared" si="75"/>
        <v>0</v>
      </c>
      <c r="AG234">
        <v>233</v>
      </c>
      <c r="AH234">
        <f t="shared" si="83"/>
        <v>0</v>
      </c>
      <c r="AI234">
        <f>IF(AG234&gt;='Loan Prepayment'!$E$11,'Loan Prepayment'!$E$12,'Loan Prepayment'!$B$6)</f>
        <v>7.5</v>
      </c>
      <c r="AJ234">
        <f>IF(AH234&lt;=0,0,MIN(IF(AG234='Loan Prepayment'!$E$11,IF('Loan Prepayment'!$E$13="Keep tenure, recalculate EMI",-PMT(AI234/1200,MAX(1,'Loan Prepayment'!$B$7*12-AG234+1),AH234),AJ233),IF(AND('Loan Prepayment'!$E$15="Reduce EMI",AM233&gt;0),-PMT(AI234/1200,MAX(1,'Loan Prepayment'!$B$7*12-AG234+1),AH234),AJ233)),AH234+AK234))</f>
        <v>0</v>
      </c>
      <c r="AK234">
        <f t="shared" si="76"/>
        <v>0</v>
      </c>
      <c r="AL234">
        <f t="shared" si="77"/>
        <v>0</v>
      </c>
      <c r="AM234">
        <f>IF(AH234&lt;=0,0,MIN(MAX(0,AH234-AL234),SUMIFS('Loan Prepayment'!$B$12:$B$16,'Loan Prepayment'!$A$12:$A$16,AG234)+IF(AND(AG234&gt;='Loan Prepayment'!$B$9,AG234&lt;='Loan Prepayment'!$E$16),'Loan Prepayment'!$B$8,0)))</f>
        <v>0</v>
      </c>
      <c r="AN234">
        <f t="shared" si="78"/>
        <v>0</v>
      </c>
    </row>
    <row r="235" spans="1:40" x14ac:dyDescent="0.35">
      <c r="A235">
        <v>234</v>
      </c>
      <c r="B235">
        <f t="shared" si="79"/>
        <v>590623.80990073062</v>
      </c>
      <c r="C235" s="78">
        <f>'Loan Prepayment'!$B$6</f>
        <v>8.5</v>
      </c>
      <c r="D235">
        <f>IF(B235&lt;=0,0,MIN(-PMT('Loan Prepayment'!$B$6/1200,'Loan Prepayment'!$B$7*12,'Loan Prepayment'!$B$5),B235+E235))</f>
        <v>86782.323336553396</v>
      </c>
      <c r="E235">
        <f t="shared" si="63"/>
        <v>4183.5853201301752</v>
      </c>
      <c r="F235">
        <f t="shared" si="64"/>
        <v>82598.738016423216</v>
      </c>
      <c r="G235">
        <v>0</v>
      </c>
      <c r="H235">
        <f t="shared" si="65"/>
        <v>508025.07188430743</v>
      </c>
      <c r="I235">
        <v>234</v>
      </c>
      <c r="J235">
        <f t="shared" si="80"/>
        <v>495394.31750938395</v>
      </c>
      <c r="K235" s="78">
        <f>'Loan Prepayment'!$B$6</f>
        <v>8.5</v>
      </c>
      <c r="L235">
        <f>IF(J235&lt;=0,0,MIN(IF(AND('Loan Prepayment'!$E$15="Reduce EMI",O234&gt;0),-PMT(K235/1200,MAX(1,'Loan Prepayment'!$B$7*12-I235+1),J235),L234),J235+M235))</f>
        <v>72789.936877782937</v>
      </c>
      <c r="M235">
        <f t="shared" si="66"/>
        <v>3509.0430823581364</v>
      </c>
      <c r="N235">
        <f t="shared" si="67"/>
        <v>69280.893795424796</v>
      </c>
      <c r="O235">
        <f>IF(J235&lt;=0,0,MIN(MAX(0,J235-N235),SUMIFS('Loan Prepayment'!$B$12:$B$16,'Loan Prepayment'!$A$12:$A$16,I235)+0))</f>
        <v>0</v>
      </c>
      <c r="P235">
        <f t="shared" si="68"/>
        <v>426113.42371395917</v>
      </c>
      <c r="Q235">
        <v>234</v>
      </c>
      <c r="R235">
        <f t="shared" si="81"/>
        <v>590623.80990073062</v>
      </c>
      <c r="S235" s="78">
        <f>'Loan Prepayment'!$B$6</f>
        <v>8.5</v>
      </c>
      <c r="T235">
        <f>IF(R235&lt;=0,0,MIN(IF(AND('Loan Prepayment'!$E$15="Reduce EMI",W234&gt;0),-PMT(S235/1200,MAX(1,'Loan Prepayment'!$B$7*12-Q235+1),R235),T234),R235+U235))</f>
        <v>86782.323336553396</v>
      </c>
      <c r="U235">
        <f t="shared" si="69"/>
        <v>4183.5853201301752</v>
      </c>
      <c r="V235">
        <f t="shared" si="70"/>
        <v>82598.738016423216</v>
      </c>
      <c r="W235">
        <f>IF(R235&lt;=0,0,MIN(MAX(0,R235-V235),0+IF(AND(Q235&gt;='Loan Prepayment'!$B$9,Q235&lt;='Loan Prepayment'!$E$16),'Loan Prepayment'!$B$8,0)))</f>
        <v>0</v>
      </c>
      <c r="X235">
        <f t="shared" si="71"/>
        <v>508025.07188430743</v>
      </c>
      <c r="Y235">
        <v>234</v>
      </c>
      <c r="Z235">
        <f t="shared" si="82"/>
        <v>0</v>
      </c>
      <c r="AA235">
        <f>IF(Y235&gt;='Loan Prepayment'!$E$11,'Loan Prepayment'!$E$12,'Loan Prepayment'!$B$6)</f>
        <v>7.5</v>
      </c>
      <c r="AB235">
        <f>IF(Z235&lt;=0,0,MIN(IF(Y235='Loan Prepayment'!$E$11,IF('Loan Prepayment'!$E$13="Keep tenure, recalculate EMI",-PMT(AA235/1200,MAX(1,'Loan Prepayment'!$B$7*12-Y235+1),Z235),AB234),AB234),Z235+AC235))</f>
        <v>0</v>
      </c>
      <c r="AC235">
        <f t="shared" si="72"/>
        <v>0</v>
      </c>
      <c r="AD235">
        <f t="shared" si="73"/>
        <v>0</v>
      </c>
      <c r="AE235">
        <f t="shared" si="74"/>
        <v>0</v>
      </c>
      <c r="AF235">
        <f t="shared" si="75"/>
        <v>0</v>
      </c>
      <c r="AG235">
        <v>234</v>
      </c>
      <c r="AH235">
        <f t="shared" si="83"/>
        <v>0</v>
      </c>
      <c r="AI235">
        <f>IF(AG235&gt;='Loan Prepayment'!$E$11,'Loan Prepayment'!$E$12,'Loan Prepayment'!$B$6)</f>
        <v>7.5</v>
      </c>
      <c r="AJ235">
        <f>IF(AH235&lt;=0,0,MIN(IF(AG235='Loan Prepayment'!$E$11,IF('Loan Prepayment'!$E$13="Keep tenure, recalculate EMI",-PMT(AI235/1200,MAX(1,'Loan Prepayment'!$B$7*12-AG235+1),AH235),AJ234),IF(AND('Loan Prepayment'!$E$15="Reduce EMI",AM234&gt;0),-PMT(AI235/1200,MAX(1,'Loan Prepayment'!$B$7*12-AG235+1),AH235),AJ234)),AH235+AK235))</f>
        <v>0</v>
      </c>
      <c r="AK235">
        <f t="shared" si="76"/>
        <v>0</v>
      </c>
      <c r="AL235">
        <f t="shared" si="77"/>
        <v>0</v>
      </c>
      <c r="AM235">
        <f>IF(AH235&lt;=0,0,MIN(MAX(0,AH235-AL235),SUMIFS('Loan Prepayment'!$B$12:$B$16,'Loan Prepayment'!$A$12:$A$16,AG235)+IF(AND(AG235&gt;='Loan Prepayment'!$B$9,AG235&lt;='Loan Prepayment'!$E$16),'Loan Prepayment'!$B$8,0)))</f>
        <v>0</v>
      </c>
      <c r="AN235">
        <f t="shared" si="78"/>
        <v>0</v>
      </c>
    </row>
    <row r="236" spans="1:40" x14ac:dyDescent="0.35">
      <c r="A236">
        <v>235</v>
      </c>
      <c r="B236">
        <f t="shared" si="79"/>
        <v>508025.07188430743</v>
      </c>
      <c r="C236" s="78">
        <f>'Loan Prepayment'!$B$6</f>
        <v>8.5</v>
      </c>
      <c r="D236">
        <f>IF(B236&lt;=0,0,MIN(-PMT('Loan Prepayment'!$B$6/1200,'Loan Prepayment'!$B$7*12,'Loan Prepayment'!$B$5),B236+E236))</f>
        <v>86782.323336553396</v>
      </c>
      <c r="E236">
        <f t="shared" si="63"/>
        <v>3598.510925847178</v>
      </c>
      <c r="F236">
        <f t="shared" si="64"/>
        <v>83183.812410706218</v>
      </c>
      <c r="G236">
        <v>0</v>
      </c>
      <c r="H236">
        <f t="shared" si="65"/>
        <v>424841.25947360124</v>
      </c>
      <c r="I236">
        <v>235</v>
      </c>
      <c r="J236">
        <f t="shared" si="80"/>
        <v>426113.42371395917</v>
      </c>
      <c r="K236" s="78">
        <f>'Loan Prepayment'!$B$6</f>
        <v>8.5</v>
      </c>
      <c r="L236">
        <f>IF(J236&lt;=0,0,MIN(IF(AND('Loan Prepayment'!$E$15="Reduce EMI",O235&gt;0),-PMT(K236/1200,MAX(1,'Loan Prepayment'!$B$7*12-I236+1),J236),L235),J236+M236))</f>
        <v>72789.936877782937</v>
      </c>
      <c r="M236">
        <f t="shared" si="66"/>
        <v>3018.3034179738775</v>
      </c>
      <c r="N236">
        <f t="shared" si="67"/>
        <v>69771.633459809062</v>
      </c>
      <c r="O236">
        <f>IF(J236&lt;=0,0,MIN(MAX(0,J236-N236),SUMIFS('Loan Prepayment'!$B$12:$B$16,'Loan Prepayment'!$A$12:$A$16,I236)+0))</f>
        <v>0</v>
      </c>
      <c r="P236">
        <f t="shared" si="68"/>
        <v>356341.79025415011</v>
      </c>
      <c r="Q236">
        <v>235</v>
      </c>
      <c r="R236">
        <f t="shared" si="81"/>
        <v>508025.07188430743</v>
      </c>
      <c r="S236" s="78">
        <f>'Loan Prepayment'!$B$6</f>
        <v>8.5</v>
      </c>
      <c r="T236">
        <f>IF(R236&lt;=0,0,MIN(IF(AND('Loan Prepayment'!$E$15="Reduce EMI",W235&gt;0),-PMT(S236/1200,MAX(1,'Loan Prepayment'!$B$7*12-Q236+1),R236),T235),R236+U236))</f>
        <v>86782.323336553396</v>
      </c>
      <c r="U236">
        <f t="shared" si="69"/>
        <v>3598.510925847178</v>
      </c>
      <c r="V236">
        <f t="shared" si="70"/>
        <v>83183.812410706218</v>
      </c>
      <c r="W236">
        <f>IF(R236&lt;=0,0,MIN(MAX(0,R236-V236),0+IF(AND(Q236&gt;='Loan Prepayment'!$B$9,Q236&lt;='Loan Prepayment'!$E$16),'Loan Prepayment'!$B$8,0)))</f>
        <v>0</v>
      </c>
      <c r="X236">
        <f t="shared" si="71"/>
        <v>424841.25947360124</v>
      </c>
      <c r="Y236">
        <v>235</v>
      </c>
      <c r="Z236">
        <f t="shared" si="82"/>
        <v>0</v>
      </c>
      <c r="AA236">
        <f>IF(Y236&gt;='Loan Prepayment'!$E$11,'Loan Prepayment'!$E$12,'Loan Prepayment'!$B$6)</f>
        <v>7.5</v>
      </c>
      <c r="AB236">
        <f>IF(Z236&lt;=0,0,MIN(IF(Y236='Loan Prepayment'!$E$11,IF('Loan Prepayment'!$E$13="Keep tenure, recalculate EMI",-PMT(AA236/1200,MAX(1,'Loan Prepayment'!$B$7*12-Y236+1),Z236),AB235),AB235),Z236+AC236))</f>
        <v>0</v>
      </c>
      <c r="AC236">
        <f t="shared" si="72"/>
        <v>0</v>
      </c>
      <c r="AD236">
        <f t="shared" si="73"/>
        <v>0</v>
      </c>
      <c r="AE236">
        <f t="shared" si="74"/>
        <v>0</v>
      </c>
      <c r="AF236">
        <f t="shared" si="75"/>
        <v>0</v>
      </c>
      <c r="AG236">
        <v>235</v>
      </c>
      <c r="AH236">
        <f t="shared" si="83"/>
        <v>0</v>
      </c>
      <c r="AI236">
        <f>IF(AG236&gt;='Loan Prepayment'!$E$11,'Loan Prepayment'!$E$12,'Loan Prepayment'!$B$6)</f>
        <v>7.5</v>
      </c>
      <c r="AJ236">
        <f>IF(AH236&lt;=0,0,MIN(IF(AG236='Loan Prepayment'!$E$11,IF('Loan Prepayment'!$E$13="Keep tenure, recalculate EMI",-PMT(AI236/1200,MAX(1,'Loan Prepayment'!$B$7*12-AG236+1),AH236),AJ235),IF(AND('Loan Prepayment'!$E$15="Reduce EMI",AM235&gt;0),-PMT(AI236/1200,MAX(1,'Loan Prepayment'!$B$7*12-AG236+1),AH236),AJ235)),AH236+AK236))</f>
        <v>0</v>
      </c>
      <c r="AK236">
        <f t="shared" si="76"/>
        <v>0</v>
      </c>
      <c r="AL236">
        <f t="shared" si="77"/>
        <v>0</v>
      </c>
      <c r="AM236">
        <f>IF(AH236&lt;=0,0,MIN(MAX(0,AH236-AL236),SUMIFS('Loan Prepayment'!$B$12:$B$16,'Loan Prepayment'!$A$12:$A$16,AG236)+IF(AND(AG236&gt;='Loan Prepayment'!$B$9,AG236&lt;='Loan Prepayment'!$E$16),'Loan Prepayment'!$B$8,0)))</f>
        <v>0</v>
      </c>
      <c r="AN236">
        <f t="shared" si="78"/>
        <v>0</v>
      </c>
    </row>
    <row r="237" spans="1:40" x14ac:dyDescent="0.35">
      <c r="A237">
        <v>236</v>
      </c>
      <c r="B237">
        <f t="shared" si="79"/>
        <v>424841.25947360124</v>
      </c>
      <c r="C237" s="78">
        <f>'Loan Prepayment'!$B$6</f>
        <v>8.5</v>
      </c>
      <c r="D237">
        <f>IF(B237&lt;=0,0,MIN(-PMT('Loan Prepayment'!$B$6/1200,'Loan Prepayment'!$B$7*12,'Loan Prepayment'!$B$5),B237+E237))</f>
        <v>86782.323336553396</v>
      </c>
      <c r="E237">
        <f t="shared" si="63"/>
        <v>3009.2922546046757</v>
      </c>
      <c r="F237">
        <f t="shared" si="64"/>
        <v>83773.03108194872</v>
      </c>
      <c r="G237">
        <v>0</v>
      </c>
      <c r="H237">
        <f t="shared" si="65"/>
        <v>341068.22839165252</v>
      </c>
      <c r="I237">
        <v>236</v>
      </c>
      <c r="J237">
        <f t="shared" si="80"/>
        <v>356341.79025415011</v>
      </c>
      <c r="K237" s="78">
        <f>'Loan Prepayment'!$B$6</f>
        <v>8.5</v>
      </c>
      <c r="L237">
        <f>IF(J237&lt;=0,0,MIN(IF(AND('Loan Prepayment'!$E$15="Reduce EMI",O236&gt;0),-PMT(K237/1200,MAX(1,'Loan Prepayment'!$B$7*12-I237+1),J237),L236),J237+M237))</f>
        <v>72789.936877782937</v>
      </c>
      <c r="M237">
        <f t="shared" si="66"/>
        <v>2524.0876809668966</v>
      </c>
      <c r="N237">
        <f t="shared" si="67"/>
        <v>70265.849196816038</v>
      </c>
      <c r="O237">
        <f>IF(J237&lt;=0,0,MIN(MAX(0,J237-N237),SUMIFS('Loan Prepayment'!$B$12:$B$16,'Loan Prepayment'!$A$12:$A$16,I237)+0))</f>
        <v>0</v>
      </c>
      <c r="P237">
        <f t="shared" si="68"/>
        <v>286075.94105733407</v>
      </c>
      <c r="Q237">
        <v>236</v>
      </c>
      <c r="R237">
        <f t="shared" si="81"/>
        <v>424841.25947360124</v>
      </c>
      <c r="S237" s="78">
        <f>'Loan Prepayment'!$B$6</f>
        <v>8.5</v>
      </c>
      <c r="T237">
        <f>IF(R237&lt;=0,0,MIN(IF(AND('Loan Prepayment'!$E$15="Reduce EMI",W236&gt;0),-PMT(S237/1200,MAX(1,'Loan Prepayment'!$B$7*12-Q237+1),R237),T236),R237+U237))</f>
        <v>86782.323336553396</v>
      </c>
      <c r="U237">
        <f t="shared" si="69"/>
        <v>3009.2922546046757</v>
      </c>
      <c r="V237">
        <f t="shared" si="70"/>
        <v>83773.03108194872</v>
      </c>
      <c r="W237">
        <f>IF(R237&lt;=0,0,MIN(MAX(0,R237-V237),0+IF(AND(Q237&gt;='Loan Prepayment'!$B$9,Q237&lt;='Loan Prepayment'!$E$16),'Loan Prepayment'!$B$8,0)))</f>
        <v>0</v>
      </c>
      <c r="X237">
        <f t="shared" si="71"/>
        <v>341068.22839165252</v>
      </c>
      <c r="Y237">
        <v>236</v>
      </c>
      <c r="Z237">
        <f t="shared" si="82"/>
        <v>0</v>
      </c>
      <c r="AA237">
        <f>IF(Y237&gt;='Loan Prepayment'!$E$11,'Loan Prepayment'!$E$12,'Loan Prepayment'!$B$6)</f>
        <v>7.5</v>
      </c>
      <c r="AB237">
        <f>IF(Z237&lt;=0,0,MIN(IF(Y237='Loan Prepayment'!$E$11,IF('Loan Prepayment'!$E$13="Keep tenure, recalculate EMI",-PMT(AA237/1200,MAX(1,'Loan Prepayment'!$B$7*12-Y237+1),Z237),AB236),AB236),Z237+AC237))</f>
        <v>0</v>
      </c>
      <c r="AC237">
        <f t="shared" si="72"/>
        <v>0</v>
      </c>
      <c r="AD237">
        <f t="shared" si="73"/>
        <v>0</v>
      </c>
      <c r="AE237">
        <f t="shared" si="74"/>
        <v>0</v>
      </c>
      <c r="AF237">
        <f t="shared" si="75"/>
        <v>0</v>
      </c>
      <c r="AG237">
        <v>236</v>
      </c>
      <c r="AH237">
        <f t="shared" si="83"/>
        <v>0</v>
      </c>
      <c r="AI237">
        <f>IF(AG237&gt;='Loan Prepayment'!$E$11,'Loan Prepayment'!$E$12,'Loan Prepayment'!$B$6)</f>
        <v>7.5</v>
      </c>
      <c r="AJ237">
        <f>IF(AH237&lt;=0,0,MIN(IF(AG237='Loan Prepayment'!$E$11,IF('Loan Prepayment'!$E$13="Keep tenure, recalculate EMI",-PMT(AI237/1200,MAX(1,'Loan Prepayment'!$B$7*12-AG237+1),AH237),AJ236),IF(AND('Loan Prepayment'!$E$15="Reduce EMI",AM236&gt;0),-PMT(AI237/1200,MAX(1,'Loan Prepayment'!$B$7*12-AG237+1),AH237),AJ236)),AH237+AK237))</f>
        <v>0</v>
      </c>
      <c r="AK237">
        <f t="shared" si="76"/>
        <v>0</v>
      </c>
      <c r="AL237">
        <f t="shared" si="77"/>
        <v>0</v>
      </c>
      <c r="AM237">
        <f>IF(AH237&lt;=0,0,MIN(MAX(0,AH237-AL237),SUMIFS('Loan Prepayment'!$B$12:$B$16,'Loan Prepayment'!$A$12:$A$16,AG237)+IF(AND(AG237&gt;='Loan Prepayment'!$B$9,AG237&lt;='Loan Prepayment'!$E$16),'Loan Prepayment'!$B$8,0)))</f>
        <v>0</v>
      </c>
      <c r="AN237">
        <f t="shared" si="78"/>
        <v>0</v>
      </c>
    </row>
    <row r="238" spans="1:40" x14ac:dyDescent="0.35">
      <c r="A238">
        <v>237</v>
      </c>
      <c r="B238">
        <f t="shared" si="79"/>
        <v>341068.22839165252</v>
      </c>
      <c r="C238" s="78">
        <f>'Loan Prepayment'!$B$6</f>
        <v>8.5</v>
      </c>
      <c r="D238">
        <f>IF(B238&lt;=0,0,MIN(-PMT('Loan Prepayment'!$B$6/1200,'Loan Prepayment'!$B$7*12,'Loan Prepayment'!$B$5),B238+E238))</f>
        <v>86782.323336553396</v>
      </c>
      <c r="E238">
        <f t="shared" si="63"/>
        <v>2415.899951107539</v>
      </c>
      <c r="F238">
        <f t="shared" si="64"/>
        <v>84366.423385445858</v>
      </c>
      <c r="G238">
        <v>0</v>
      </c>
      <c r="H238">
        <f t="shared" si="65"/>
        <v>256701.80500620668</v>
      </c>
      <c r="I238">
        <v>237</v>
      </c>
      <c r="J238">
        <f t="shared" si="80"/>
        <v>286075.94105733407</v>
      </c>
      <c r="K238" s="78">
        <f>'Loan Prepayment'!$B$6</f>
        <v>8.5</v>
      </c>
      <c r="L238">
        <f>IF(J238&lt;=0,0,MIN(IF(AND('Loan Prepayment'!$E$15="Reduce EMI",O237&gt;0),-PMT(K238/1200,MAX(1,'Loan Prepayment'!$B$7*12-I238+1),J238),L237),J238+M238))</f>
        <v>72789.936877782937</v>
      </c>
      <c r="M238">
        <f t="shared" si="66"/>
        <v>2026.3712491561162</v>
      </c>
      <c r="N238">
        <f t="shared" si="67"/>
        <v>70763.56562862682</v>
      </c>
      <c r="O238">
        <f>IF(J238&lt;=0,0,MIN(MAX(0,J238-N238),SUMIFS('Loan Prepayment'!$B$12:$B$16,'Loan Prepayment'!$A$12:$A$16,I238)+0))</f>
        <v>0</v>
      </c>
      <c r="P238">
        <f t="shared" si="68"/>
        <v>215312.37542870725</v>
      </c>
      <c r="Q238">
        <v>237</v>
      </c>
      <c r="R238">
        <f t="shared" si="81"/>
        <v>341068.22839165252</v>
      </c>
      <c r="S238" s="78">
        <f>'Loan Prepayment'!$B$6</f>
        <v>8.5</v>
      </c>
      <c r="T238">
        <f>IF(R238&lt;=0,0,MIN(IF(AND('Loan Prepayment'!$E$15="Reduce EMI",W237&gt;0),-PMT(S238/1200,MAX(1,'Loan Prepayment'!$B$7*12-Q238+1),R238),T237),R238+U238))</f>
        <v>86782.323336553396</v>
      </c>
      <c r="U238">
        <f t="shared" si="69"/>
        <v>2415.899951107539</v>
      </c>
      <c r="V238">
        <f t="shared" si="70"/>
        <v>84366.423385445858</v>
      </c>
      <c r="W238">
        <f>IF(R238&lt;=0,0,MIN(MAX(0,R238-V238),0+IF(AND(Q238&gt;='Loan Prepayment'!$B$9,Q238&lt;='Loan Prepayment'!$E$16),'Loan Prepayment'!$B$8,0)))</f>
        <v>0</v>
      </c>
      <c r="X238">
        <f t="shared" si="71"/>
        <v>256701.80500620668</v>
      </c>
      <c r="Y238">
        <v>237</v>
      </c>
      <c r="Z238">
        <f t="shared" si="82"/>
        <v>0</v>
      </c>
      <c r="AA238">
        <f>IF(Y238&gt;='Loan Prepayment'!$E$11,'Loan Prepayment'!$E$12,'Loan Prepayment'!$B$6)</f>
        <v>7.5</v>
      </c>
      <c r="AB238">
        <f>IF(Z238&lt;=0,0,MIN(IF(Y238='Loan Prepayment'!$E$11,IF('Loan Prepayment'!$E$13="Keep tenure, recalculate EMI",-PMT(AA238/1200,MAX(1,'Loan Prepayment'!$B$7*12-Y238+1),Z238),AB237),AB237),Z238+AC238))</f>
        <v>0</v>
      </c>
      <c r="AC238">
        <f t="shared" si="72"/>
        <v>0</v>
      </c>
      <c r="AD238">
        <f t="shared" si="73"/>
        <v>0</v>
      </c>
      <c r="AE238">
        <f t="shared" si="74"/>
        <v>0</v>
      </c>
      <c r="AF238">
        <f t="shared" si="75"/>
        <v>0</v>
      </c>
      <c r="AG238">
        <v>237</v>
      </c>
      <c r="AH238">
        <f t="shared" si="83"/>
        <v>0</v>
      </c>
      <c r="AI238">
        <f>IF(AG238&gt;='Loan Prepayment'!$E$11,'Loan Prepayment'!$E$12,'Loan Prepayment'!$B$6)</f>
        <v>7.5</v>
      </c>
      <c r="AJ238">
        <f>IF(AH238&lt;=0,0,MIN(IF(AG238='Loan Prepayment'!$E$11,IF('Loan Prepayment'!$E$13="Keep tenure, recalculate EMI",-PMT(AI238/1200,MAX(1,'Loan Prepayment'!$B$7*12-AG238+1),AH238),AJ237),IF(AND('Loan Prepayment'!$E$15="Reduce EMI",AM237&gt;0),-PMT(AI238/1200,MAX(1,'Loan Prepayment'!$B$7*12-AG238+1),AH238),AJ237)),AH238+AK238))</f>
        <v>0</v>
      </c>
      <c r="AK238">
        <f t="shared" si="76"/>
        <v>0</v>
      </c>
      <c r="AL238">
        <f t="shared" si="77"/>
        <v>0</v>
      </c>
      <c r="AM238">
        <f>IF(AH238&lt;=0,0,MIN(MAX(0,AH238-AL238),SUMIFS('Loan Prepayment'!$B$12:$B$16,'Loan Prepayment'!$A$12:$A$16,AG238)+IF(AND(AG238&gt;='Loan Prepayment'!$B$9,AG238&lt;='Loan Prepayment'!$E$16),'Loan Prepayment'!$B$8,0)))</f>
        <v>0</v>
      </c>
      <c r="AN238">
        <f t="shared" si="78"/>
        <v>0</v>
      </c>
    </row>
    <row r="239" spans="1:40" x14ac:dyDescent="0.35">
      <c r="A239">
        <v>238</v>
      </c>
      <c r="B239">
        <f t="shared" si="79"/>
        <v>256701.80500620668</v>
      </c>
      <c r="C239" s="78">
        <f>'Loan Prepayment'!$B$6</f>
        <v>8.5</v>
      </c>
      <c r="D239">
        <f>IF(B239&lt;=0,0,MIN(-PMT('Loan Prepayment'!$B$6/1200,'Loan Prepayment'!$B$7*12,'Loan Prepayment'!$B$5),B239+E239))</f>
        <v>86782.323336553396</v>
      </c>
      <c r="E239">
        <f t="shared" si="63"/>
        <v>1818.3044521272975</v>
      </c>
      <c r="F239">
        <f t="shared" si="64"/>
        <v>84964.018884426099</v>
      </c>
      <c r="G239">
        <v>0</v>
      </c>
      <c r="H239">
        <f t="shared" si="65"/>
        <v>171737.78612178058</v>
      </c>
      <c r="I239">
        <v>238</v>
      </c>
      <c r="J239">
        <f t="shared" si="80"/>
        <v>215312.37542870725</v>
      </c>
      <c r="K239" s="78">
        <f>'Loan Prepayment'!$B$6</f>
        <v>8.5</v>
      </c>
      <c r="L239">
        <f>IF(J239&lt;=0,0,MIN(IF(AND('Loan Prepayment'!$E$15="Reduce EMI",O238&gt;0),-PMT(K239/1200,MAX(1,'Loan Prepayment'!$B$7*12-I239+1),J239),L238),J239+M239))</f>
        <v>72789.936877782937</v>
      </c>
      <c r="M239">
        <f t="shared" si="66"/>
        <v>1525.1293259533431</v>
      </c>
      <c r="N239">
        <f t="shared" si="67"/>
        <v>71264.807551829595</v>
      </c>
      <c r="O239">
        <f>IF(J239&lt;=0,0,MIN(MAX(0,J239-N239),SUMIFS('Loan Prepayment'!$B$12:$B$16,'Loan Prepayment'!$A$12:$A$16,I239)+0))</f>
        <v>0</v>
      </c>
      <c r="P239">
        <f t="shared" si="68"/>
        <v>144047.56787687767</v>
      </c>
      <c r="Q239">
        <v>238</v>
      </c>
      <c r="R239">
        <f t="shared" si="81"/>
        <v>256701.80500620668</v>
      </c>
      <c r="S239" s="78">
        <f>'Loan Prepayment'!$B$6</f>
        <v>8.5</v>
      </c>
      <c r="T239">
        <f>IF(R239&lt;=0,0,MIN(IF(AND('Loan Prepayment'!$E$15="Reduce EMI",W238&gt;0),-PMT(S239/1200,MAX(1,'Loan Prepayment'!$B$7*12-Q239+1),R239),T238),R239+U239))</f>
        <v>86782.323336553396</v>
      </c>
      <c r="U239">
        <f t="shared" si="69"/>
        <v>1818.3044521272975</v>
      </c>
      <c r="V239">
        <f t="shared" si="70"/>
        <v>84964.018884426099</v>
      </c>
      <c r="W239">
        <f>IF(R239&lt;=0,0,MIN(MAX(0,R239-V239),0+IF(AND(Q239&gt;='Loan Prepayment'!$B$9,Q239&lt;='Loan Prepayment'!$E$16),'Loan Prepayment'!$B$8,0)))</f>
        <v>0</v>
      </c>
      <c r="X239">
        <f t="shared" si="71"/>
        <v>171737.78612178058</v>
      </c>
      <c r="Y239">
        <v>238</v>
      </c>
      <c r="Z239">
        <f t="shared" si="82"/>
        <v>0</v>
      </c>
      <c r="AA239">
        <f>IF(Y239&gt;='Loan Prepayment'!$E$11,'Loan Prepayment'!$E$12,'Loan Prepayment'!$B$6)</f>
        <v>7.5</v>
      </c>
      <c r="AB239">
        <f>IF(Z239&lt;=0,0,MIN(IF(Y239='Loan Prepayment'!$E$11,IF('Loan Prepayment'!$E$13="Keep tenure, recalculate EMI",-PMT(AA239/1200,MAX(1,'Loan Prepayment'!$B$7*12-Y239+1),Z239),AB238),AB238),Z239+AC239))</f>
        <v>0</v>
      </c>
      <c r="AC239">
        <f t="shared" si="72"/>
        <v>0</v>
      </c>
      <c r="AD239">
        <f t="shared" si="73"/>
        <v>0</v>
      </c>
      <c r="AE239">
        <f t="shared" si="74"/>
        <v>0</v>
      </c>
      <c r="AF239">
        <f t="shared" si="75"/>
        <v>0</v>
      </c>
      <c r="AG239">
        <v>238</v>
      </c>
      <c r="AH239">
        <f t="shared" si="83"/>
        <v>0</v>
      </c>
      <c r="AI239">
        <f>IF(AG239&gt;='Loan Prepayment'!$E$11,'Loan Prepayment'!$E$12,'Loan Prepayment'!$B$6)</f>
        <v>7.5</v>
      </c>
      <c r="AJ239">
        <f>IF(AH239&lt;=0,0,MIN(IF(AG239='Loan Prepayment'!$E$11,IF('Loan Prepayment'!$E$13="Keep tenure, recalculate EMI",-PMT(AI239/1200,MAX(1,'Loan Prepayment'!$B$7*12-AG239+1),AH239),AJ238),IF(AND('Loan Prepayment'!$E$15="Reduce EMI",AM238&gt;0),-PMT(AI239/1200,MAX(1,'Loan Prepayment'!$B$7*12-AG239+1),AH239),AJ238)),AH239+AK239))</f>
        <v>0</v>
      </c>
      <c r="AK239">
        <f t="shared" si="76"/>
        <v>0</v>
      </c>
      <c r="AL239">
        <f t="shared" si="77"/>
        <v>0</v>
      </c>
      <c r="AM239">
        <f>IF(AH239&lt;=0,0,MIN(MAX(0,AH239-AL239),SUMIFS('Loan Prepayment'!$B$12:$B$16,'Loan Prepayment'!$A$12:$A$16,AG239)+IF(AND(AG239&gt;='Loan Prepayment'!$B$9,AG239&lt;='Loan Prepayment'!$E$16),'Loan Prepayment'!$B$8,0)))</f>
        <v>0</v>
      </c>
      <c r="AN239">
        <f t="shared" si="78"/>
        <v>0</v>
      </c>
    </row>
    <row r="240" spans="1:40" x14ac:dyDescent="0.35">
      <c r="A240">
        <v>239</v>
      </c>
      <c r="B240">
        <f t="shared" si="79"/>
        <v>171737.78612178058</v>
      </c>
      <c r="C240" s="78">
        <f>'Loan Prepayment'!$B$6</f>
        <v>8.5</v>
      </c>
      <c r="D240">
        <f>IF(B240&lt;=0,0,MIN(-PMT('Loan Prepayment'!$B$6/1200,'Loan Prepayment'!$B$7*12,'Loan Prepayment'!$B$5),B240+E240))</f>
        <v>86782.323336553396</v>
      </c>
      <c r="E240">
        <f t="shared" si="63"/>
        <v>1216.4759850292792</v>
      </c>
      <c r="F240">
        <f t="shared" si="64"/>
        <v>85565.84735152412</v>
      </c>
      <c r="G240">
        <v>0</v>
      </c>
      <c r="H240">
        <f t="shared" si="65"/>
        <v>86171.938770256456</v>
      </c>
      <c r="I240">
        <v>239</v>
      </c>
      <c r="J240">
        <f t="shared" si="80"/>
        <v>144047.56787687767</v>
      </c>
      <c r="K240" s="78">
        <f>'Loan Prepayment'!$B$6</f>
        <v>8.5</v>
      </c>
      <c r="L240">
        <f>IF(J240&lt;=0,0,MIN(IF(AND('Loan Prepayment'!$E$15="Reduce EMI",O239&gt;0),-PMT(K240/1200,MAX(1,'Loan Prepayment'!$B$7*12-I240+1),J240),L239),J240+M240))</f>
        <v>72789.936877782937</v>
      </c>
      <c r="M240">
        <f t="shared" si="66"/>
        <v>1020.3369391278835</v>
      </c>
      <c r="N240">
        <f t="shared" si="67"/>
        <v>71769.599938655054</v>
      </c>
      <c r="O240">
        <f>IF(J240&lt;=0,0,MIN(MAX(0,J240-N240),SUMIFS('Loan Prepayment'!$B$12:$B$16,'Loan Prepayment'!$A$12:$A$16,I240)+0))</f>
        <v>0</v>
      </c>
      <c r="P240">
        <f t="shared" si="68"/>
        <v>72277.967938222617</v>
      </c>
      <c r="Q240">
        <v>239</v>
      </c>
      <c r="R240">
        <f t="shared" si="81"/>
        <v>171737.78612178058</v>
      </c>
      <c r="S240" s="78">
        <f>'Loan Prepayment'!$B$6</f>
        <v>8.5</v>
      </c>
      <c r="T240">
        <f>IF(R240&lt;=0,0,MIN(IF(AND('Loan Prepayment'!$E$15="Reduce EMI",W239&gt;0),-PMT(S240/1200,MAX(1,'Loan Prepayment'!$B$7*12-Q240+1),R240),T239),R240+U240))</f>
        <v>86782.323336553396</v>
      </c>
      <c r="U240">
        <f t="shared" si="69"/>
        <v>1216.4759850292792</v>
      </c>
      <c r="V240">
        <f t="shared" si="70"/>
        <v>85565.84735152412</v>
      </c>
      <c r="W240">
        <f>IF(R240&lt;=0,0,MIN(MAX(0,R240-V240),0+IF(AND(Q240&gt;='Loan Prepayment'!$B$9,Q240&lt;='Loan Prepayment'!$E$16),'Loan Prepayment'!$B$8,0)))</f>
        <v>0</v>
      </c>
      <c r="X240">
        <f t="shared" si="71"/>
        <v>86171.938770256456</v>
      </c>
      <c r="Y240">
        <v>239</v>
      </c>
      <c r="Z240">
        <f t="shared" si="82"/>
        <v>0</v>
      </c>
      <c r="AA240">
        <f>IF(Y240&gt;='Loan Prepayment'!$E$11,'Loan Prepayment'!$E$12,'Loan Prepayment'!$B$6)</f>
        <v>7.5</v>
      </c>
      <c r="AB240">
        <f>IF(Z240&lt;=0,0,MIN(IF(Y240='Loan Prepayment'!$E$11,IF('Loan Prepayment'!$E$13="Keep tenure, recalculate EMI",-PMT(AA240/1200,MAX(1,'Loan Prepayment'!$B$7*12-Y240+1),Z240),AB239),AB239),Z240+AC240))</f>
        <v>0</v>
      </c>
      <c r="AC240">
        <f t="shared" si="72"/>
        <v>0</v>
      </c>
      <c r="AD240">
        <f t="shared" si="73"/>
        <v>0</v>
      </c>
      <c r="AE240">
        <f t="shared" si="74"/>
        <v>0</v>
      </c>
      <c r="AF240">
        <f t="shared" si="75"/>
        <v>0</v>
      </c>
      <c r="AG240">
        <v>239</v>
      </c>
      <c r="AH240">
        <f t="shared" si="83"/>
        <v>0</v>
      </c>
      <c r="AI240">
        <f>IF(AG240&gt;='Loan Prepayment'!$E$11,'Loan Prepayment'!$E$12,'Loan Prepayment'!$B$6)</f>
        <v>7.5</v>
      </c>
      <c r="AJ240">
        <f>IF(AH240&lt;=0,0,MIN(IF(AG240='Loan Prepayment'!$E$11,IF('Loan Prepayment'!$E$13="Keep tenure, recalculate EMI",-PMT(AI240/1200,MAX(1,'Loan Prepayment'!$B$7*12-AG240+1),AH240),AJ239),IF(AND('Loan Prepayment'!$E$15="Reduce EMI",AM239&gt;0),-PMT(AI240/1200,MAX(1,'Loan Prepayment'!$B$7*12-AG240+1),AH240),AJ239)),AH240+AK240))</f>
        <v>0</v>
      </c>
      <c r="AK240">
        <f t="shared" si="76"/>
        <v>0</v>
      </c>
      <c r="AL240">
        <f t="shared" si="77"/>
        <v>0</v>
      </c>
      <c r="AM240">
        <f>IF(AH240&lt;=0,0,MIN(MAX(0,AH240-AL240),SUMIFS('Loan Prepayment'!$B$12:$B$16,'Loan Prepayment'!$A$12:$A$16,AG240)+IF(AND(AG240&gt;='Loan Prepayment'!$B$9,AG240&lt;='Loan Prepayment'!$E$16),'Loan Prepayment'!$B$8,0)))</f>
        <v>0</v>
      </c>
      <c r="AN240">
        <f t="shared" si="78"/>
        <v>0</v>
      </c>
    </row>
    <row r="241" spans="1:40" x14ac:dyDescent="0.35">
      <c r="A241">
        <v>240</v>
      </c>
      <c r="B241">
        <f t="shared" si="79"/>
        <v>86171.938770256456</v>
      </c>
      <c r="C241" s="78">
        <f>'Loan Prepayment'!$B$6</f>
        <v>8.5</v>
      </c>
      <c r="D241">
        <f>IF(B241&lt;=0,0,MIN(-PMT('Loan Prepayment'!$B$6/1200,'Loan Prepayment'!$B$7*12,'Loan Prepayment'!$B$5),B241+E241))</f>
        <v>86782.323336545771</v>
      </c>
      <c r="E241">
        <f t="shared" si="63"/>
        <v>610.38456628931658</v>
      </c>
      <c r="F241">
        <f t="shared" si="64"/>
        <v>86171.938770256456</v>
      </c>
      <c r="G241">
        <v>0</v>
      </c>
      <c r="H241">
        <f t="shared" si="65"/>
        <v>0</v>
      </c>
      <c r="I241">
        <v>240</v>
      </c>
      <c r="J241">
        <f t="shared" si="80"/>
        <v>72277.967938222617</v>
      </c>
      <c r="K241" s="78">
        <f>'Loan Prepayment'!$B$6</f>
        <v>8.5</v>
      </c>
      <c r="L241">
        <f>IF(J241&lt;=0,0,MIN(IF(AND('Loan Prepayment'!$E$15="Reduce EMI",O240&gt;0),-PMT(K241/1200,MAX(1,'Loan Prepayment'!$B$7*12-I241+1),J241),L240),J241+M241))</f>
        <v>72789.936877782937</v>
      </c>
      <c r="M241">
        <f t="shared" si="66"/>
        <v>511.96893956241024</v>
      </c>
      <c r="N241">
        <f t="shared" si="67"/>
        <v>72277.967938220521</v>
      </c>
      <c r="O241">
        <f>IF(J241&lt;=0,0,MIN(MAX(0,J241-N241),SUMIFS('Loan Prepayment'!$B$12:$B$16,'Loan Prepayment'!$A$12:$A$16,I241)+0))</f>
        <v>0</v>
      </c>
      <c r="P241">
        <f t="shared" si="68"/>
        <v>2.0954757928848267E-9</v>
      </c>
      <c r="Q241">
        <v>240</v>
      </c>
      <c r="R241">
        <f t="shared" si="81"/>
        <v>86171.938770256456</v>
      </c>
      <c r="S241" s="78">
        <f>'Loan Prepayment'!$B$6</f>
        <v>8.5</v>
      </c>
      <c r="T241">
        <f>IF(R241&lt;=0,0,MIN(IF(AND('Loan Prepayment'!$E$15="Reduce EMI",W240&gt;0),-PMT(S241/1200,MAX(1,'Loan Prepayment'!$B$7*12-Q241+1),R241),T240),R241+U241))</f>
        <v>86782.323336545771</v>
      </c>
      <c r="U241">
        <f t="shared" si="69"/>
        <v>610.38456628931658</v>
      </c>
      <c r="V241">
        <f t="shared" si="70"/>
        <v>86171.938770256456</v>
      </c>
      <c r="W241">
        <f>IF(R241&lt;=0,0,MIN(MAX(0,R241-V241),0+IF(AND(Q241&gt;='Loan Prepayment'!$B$9,Q241&lt;='Loan Prepayment'!$E$16),'Loan Prepayment'!$B$8,0)))</f>
        <v>0</v>
      </c>
      <c r="X241">
        <f t="shared" si="71"/>
        <v>0</v>
      </c>
      <c r="Y241">
        <v>240</v>
      </c>
      <c r="Z241">
        <f t="shared" si="82"/>
        <v>0</v>
      </c>
      <c r="AA241">
        <f>IF(Y241&gt;='Loan Prepayment'!$E$11,'Loan Prepayment'!$E$12,'Loan Prepayment'!$B$6)</f>
        <v>7.5</v>
      </c>
      <c r="AB241">
        <f>IF(Z241&lt;=0,0,MIN(IF(Y241='Loan Prepayment'!$E$11,IF('Loan Prepayment'!$E$13="Keep tenure, recalculate EMI",-PMT(AA241/1200,MAX(1,'Loan Prepayment'!$B$7*12-Y241+1),Z241),AB240),AB240),Z241+AC241))</f>
        <v>0</v>
      </c>
      <c r="AC241">
        <f t="shared" si="72"/>
        <v>0</v>
      </c>
      <c r="AD241">
        <f t="shared" si="73"/>
        <v>0</v>
      </c>
      <c r="AE241">
        <f t="shared" si="74"/>
        <v>0</v>
      </c>
      <c r="AF241">
        <f t="shared" si="75"/>
        <v>0</v>
      </c>
      <c r="AG241">
        <v>240</v>
      </c>
      <c r="AH241">
        <f t="shared" si="83"/>
        <v>0</v>
      </c>
      <c r="AI241">
        <f>IF(AG241&gt;='Loan Prepayment'!$E$11,'Loan Prepayment'!$E$12,'Loan Prepayment'!$B$6)</f>
        <v>7.5</v>
      </c>
      <c r="AJ241">
        <f>IF(AH241&lt;=0,0,MIN(IF(AG241='Loan Prepayment'!$E$11,IF('Loan Prepayment'!$E$13="Keep tenure, recalculate EMI",-PMT(AI241/1200,MAX(1,'Loan Prepayment'!$B$7*12-AG241+1),AH241),AJ240),IF(AND('Loan Prepayment'!$E$15="Reduce EMI",AM240&gt;0),-PMT(AI241/1200,MAX(1,'Loan Prepayment'!$B$7*12-AG241+1),AH241),AJ240)),AH241+AK241))</f>
        <v>0</v>
      </c>
      <c r="AK241">
        <f t="shared" si="76"/>
        <v>0</v>
      </c>
      <c r="AL241">
        <f t="shared" si="77"/>
        <v>0</v>
      </c>
      <c r="AM241">
        <f>IF(AH241&lt;=0,0,MIN(MAX(0,AH241-AL241),SUMIFS('Loan Prepayment'!$B$12:$B$16,'Loan Prepayment'!$A$12:$A$16,AG241)+IF(AND(AG241&gt;='Loan Prepayment'!$B$9,AG241&lt;='Loan Prepayment'!$E$16),'Loan Prepayment'!$B$8,0)))</f>
        <v>0</v>
      </c>
      <c r="AN241">
        <f t="shared" si="78"/>
        <v>0</v>
      </c>
    </row>
    <row r="242" spans="1:40" x14ac:dyDescent="0.35">
      <c r="A242">
        <v>241</v>
      </c>
      <c r="B242">
        <f t="shared" si="79"/>
        <v>0</v>
      </c>
      <c r="C242" s="78">
        <f>'Loan Prepayment'!$B$6</f>
        <v>8.5</v>
      </c>
      <c r="D242">
        <f>IF(B242&lt;=0,0,MIN(-PMT('Loan Prepayment'!$B$6/1200,'Loan Prepayment'!$B$7*12,'Loan Prepayment'!$B$5),B242+E242))</f>
        <v>0</v>
      </c>
      <c r="E242">
        <f t="shared" si="63"/>
        <v>0</v>
      </c>
      <c r="F242">
        <f t="shared" si="64"/>
        <v>0</v>
      </c>
      <c r="G242">
        <v>0</v>
      </c>
      <c r="H242">
        <f t="shared" si="65"/>
        <v>0</v>
      </c>
      <c r="I242">
        <v>241</v>
      </c>
      <c r="J242">
        <f t="shared" si="80"/>
        <v>2.0954757928848267E-9</v>
      </c>
      <c r="K242" s="78">
        <f>'Loan Prepayment'!$B$6</f>
        <v>8.5</v>
      </c>
      <c r="L242">
        <f>IF(J242&lt;=0,0,MIN(IF(AND('Loan Prepayment'!$E$15="Reduce EMI",O241&gt;0),-PMT(K242/1200,MAX(1,'Loan Prepayment'!$B$7*12-I242+1),J242),L241),J242+M242))</f>
        <v>2.110318746417761E-9</v>
      </c>
      <c r="M242">
        <f t="shared" si="66"/>
        <v>1.4842953532934189E-11</v>
      </c>
      <c r="N242">
        <f t="shared" si="67"/>
        <v>2.0954757928848267E-9</v>
      </c>
      <c r="O242">
        <f>IF(J242&lt;=0,0,MIN(MAX(0,J242-N242),SUMIFS('Loan Prepayment'!$B$12:$B$16,'Loan Prepayment'!$A$12:$A$16,I242)+0))</f>
        <v>0</v>
      </c>
      <c r="P242">
        <f t="shared" si="68"/>
        <v>0</v>
      </c>
      <c r="Q242">
        <v>241</v>
      </c>
      <c r="R242">
        <f t="shared" si="81"/>
        <v>0</v>
      </c>
      <c r="S242" s="78">
        <f>'Loan Prepayment'!$B$6</f>
        <v>8.5</v>
      </c>
      <c r="T242">
        <f>IF(R242&lt;=0,0,MIN(IF(AND('Loan Prepayment'!$E$15="Reduce EMI",W241&gt;0),-PMT(S242/1200,MAX(1,'Loan Prepayment'!$B$7*12-Q242+1),R242),T241),R242+U242))</f>
        <v>0</v>
      </c>
      <c r="U242">
        <f t="shared" si="69"/>
        <v>0</v>
      </c>
      <c r="V242">
        <f t="shared" si="70"/>
        <v>0</v>
      </c>
      <c r="W242">
        <f>IF(R242&lt;=0,0,MIN(MAX(0,R242-V242),0+IF(AND(Q242&gt;='Loan Prepayment'!$B$9,Q242&lt;='Loan Prepayment'!$E$16),'Loan Prepayment'!$B$8,0)))</f>
        <v>0</v>
      </c>
      <c r="X242">
        <f t="shared" si="71"/>
        <v>0</v>
      </c>
      <c r="Y242">
        <v>241</v>
      </c>
      <c r="Z242">
        <f t="shared" si="82"/>
        <v>0</v>
      </c>
      <c r="AA242">
        <f>IF(Y242&gt;='Loan Prepayment'!$E$11,'Loan Prepayment'!$E$12,'Loan Prepayment'!$B$6)</f>
        <v>7.5</v>
      </c>
      <c r="AB242">
        <f>IF(Z242&lt;=0,0,MIN(IF(Y242='Loan Prepayment'!$E$11,IF('Loan Prepayment'!$E$13="Keep tenure, recalculate EMI",-PMT(AA242/1200,MAX(1,'Loan Prepayment'!$B$7*12-Y242+1),Z242),AB241),AB241),Z242+AC242))</f>
        <v>0</v>
      </c>
      <c r="AC242">
        <f t="shared" si="72"/>
        <v>0</v>
      </c>
      <c r="AD242">
        <f t="shared" si="73"/>
        <v>0</v>
      </c>
      <c r="AE242">
        <f t="shared" si="74"/>
        <v>0</v>
      </c>
      <c r="AF242">
        <f t="shared" si="75"/>
        <v>0</v>
      </c>
      <c r="AG242">
        <v>241</v>
      </c>
      <c r="AH242">
        <f t="shared" si="83"/>
        <v>0</v>
      </c>
      <c r="AI242">
        <f>IF(AG242&gt;='Loan Prepayment'!$E$11,'Loan Prepayment'!$E$12,'Loan Prepayment'!$B$6)</f>
        <v>7.5</v>
      </c>
      <c r="AJ242">
        <f>IF(AH242&lt;=0,0,MIN(IF(AG242='Loan Prepayment'!$E$11,IF('Loan Prepayment'!$E$13="Keep tenure, recalculate EMI",-PMT(AI242/1200,MAX(1,'Loan Prepayment'!$B$7*12-AG242+1),AH242),AJ241),IF(AND('Loan Prepayment'!$E$15="Reduce EMI",AM241&gt;0),-PMT(AI242/1200,MAX(1,'Loan Prepayment'!$B$7*12-AG242+1),AH242),AJ241)),AH242+AK242))</f>
        <v>0</v>
      </c>
      <c r="AK242">
        <f t="shared" si="76"/>
        <v>0</v>
      </c>
      <c r="AL242">
        <f t="shared" si="77"/>
        <v>0</v>
      </c>
      <c r="AM242">
        <f>IF(AH242&lt;=0,0,MIN(MAX(0,AH242-AL242),SUMIFS('Loan Prepayment'!$B$12:$B$16,'Loan Prepayment'!$A$12:$A$16,AG242)+IF(AND(AG242&gt;='Loan Prepayment'!$B$9,AG242&lt;='Loan Prepayment'!$E$16),'Loan Prepayment'!$B$8,0)))</f>
        <v>0</v>
      </c>
      <c r="AN242">
        <f t="shared" si="78"/>
        <v>0</v>
      </c>
    </row>
    <row r="243" spans="1:40" x14ac:dyDescent="0.35">
      <c r="A243">
        <v>242</v>
      </c>
      <c r="B243">
        <f t="shared" si="79"/>
        <v>0</v>
      </c>
      <c r="C243" s="78">
        <f>'Loan Prepayment'!$B$6</f>
        <v>8.5</v>
      </c>
      <c r="D243">
        <f>IF(B243&lt;=0,0,MIN(-PMT('Loan Prepayment'!$B$6/1200,'Loan Prepayment'!$B$7*12,'Loan Prepayment'!$B$5),B243+E243))</f>
        <v>0</v>
      </c>
      <c r="E243">
        <f t="shared" si="63"/>
        <v>0</v>
      </c>
      <c r="F243">
        <f t="shared" si="64"/>
        <v>0</v>
      </c>
      <c r="G243">
        <v>0</v>
      </c>
      <c r="H243">
        <f t="shared" si="65"/>
        <v>0</v>
      </c>
      <c r="I243">
        <v>242</v>
      </c>
      <c r="J243">
        <f t="shared" si="80"/>
        <v>0</v>
      </c>
      <c r="K243" s="78">
        <f>'Loan Prepayment'!$B$6</f>
        <v>8.5</v>
      </c>
      <c r="L243">
        <f>IF(J243&lt;=0,0,MIN(IF(AND('Loan Prepayment'!$E$15="Reduce EMI",O242&gt;0),-PMT(K243/1200,MAX(1,'Loan Prepayment'!$B$7*12-I243+1),J243),L242),J243+M243))</f>
        <v>0</v>
      </c>
      <c r="M243">
        <f t="shared" si="66"/>
        <v>0</v>
      </c>
      <c r="N243">
        <f t="shared" si="67"/>
        <v>0</v>
      </c>
      <c r="O243">
        <f>IF(J243&lt;=0,0,MIN(MAX(0,J243-N243),SUMIFS('Loan Prepayment'!$B$12:$B$16,'Loan Prepayment'!$A$12:$A$16,I243)+0))</f>
        <v>0</v>
      </c>
      <c r="P243">
        <f t="shared" si="68"/>
        <v>0</v>
      </c>
      <c r="Q243">
        <v>242</v>
      </c>
      <c r="R243">
        <f t="shared" si="81"/>
        <v>0</v>
      </c>
      <c r="S243" s="78">
        <f>'Loan Prepayment'!$B$6</f>
        <v>8.5</v>
      </c>
      <c r="T243">
        <f>IF(R243&lt;=0,0,MIN(IF(AND('Loan Prepayment'!$E$15="Reduce EMI",W242&gt;0),-PMT(S243/1200,MAX(1,'Loan Prepayment'!$B$7*12-Q243+1),R243),T242),R243+U243))</f>
        <v>0</v>
      </c>
      <c r="U243">
        <f t="shared" si="69"/>
        <v>0</v>
      </c>
      <c r="V243">
        <f t="shared" si="70"/>
        <v>0</v>
      </c>
      <c r="W243">
        <f>IF(R243&lt;=0,0,MIN(MAX(0,R243-V243),0+IF(AND(Q243&gt;='Loan Prepayment'!$B$9,Q243&lt;='Loan Prepayment'!$E$16),'Loan Prepayment'!$B$8,0)))</f>
        <v>0</v>
      </c>
      <c r="X243">
        <f t="shared" si="71"/>
        <v>0</v>
      </c>
      <c r="Y243">
        <v>242</v>
      </c>
      <c r="Z243">
        <f t="shared" si="82"/>
        <v>0</v>
      </c>
      <c r="AA243">
        <f>IF(Y243&gt;='Loan Prepayment'!$E$11,'Loan Prepayment'!$E$12,'Loan Prepayment'!$B$6)</f>
        <v>7.5</v>
      </c>
      <c r="AB243">
        <f>IF(Z243&lt;=0,0,MIN(IF(Y243='Loan Prepayment'!$E$11,IF('Loan Prepayment'!$E$13="Keep tenure, recalculate EMI",-PMT(AA243/1200,MAX(1,'Loan Prepayment'!$B$7*12-Y243+1),Z243),AB242),AB242),Z243+AC243))</f>
        <v>0</v>
      </c>
      <c r="AC243">
        <f t="shared" si="72"/>
        <v>0</v>
      </c>
      <c r="AD243">
        <f t="shared" si="73"/>
        <v>0</v>
      </c>
      <c r="AE243">
        <f t="shared" si="74"/>
        <v>0</v>
      </c>
      <c r="AF243">
        <f t="shared" si="75"/>
        <v>0</v>
      </c>
      <c r="AG243">
        <v>242</v>
      </c>
      <c r="AH243">
        <f t="shared" si="83"/>
        <v>0</v>
      </c>
      <c r="AI243">
        <f>IF(AG243&gt;='Loan Prepayment'!$E$11,'Loan Prepayment'!$E$12,'Loan Prepayment'!$B$6)</f>
        <v>7.5</v>
      </c>
      <c r="AJ243">
        <f>IF(AH243&lt;=0,0,MIN(IF(AG243='Loan Prepayment'!$E$11,IF('Loan Prepayment'!$E$13="Keep tenure, recalculate EMI",-PMT(AI243/1200,MAX(1,'Loan Prepayment'!$B$7*12-AG243+1),AH243),AJ242),IF(AND('Loan Prepayment'!$E$15="Reduce EMI",AM242&gt;0),-PMT(AI243/1200,MAX(1,'Loan Prepayment'!$B$7*12-AG243+1),AH243),AJ242)),AH243+AK243))</f>
        <v>0</v>
      </c>
      <c r="AK243">
        <f t="shared" si="76"/>
        <v>0</v>
      </c>
      <c r="AL243">
        <f t="shared" si="77"/>
        <v>0</v>
      </c>
      <c r="AM243">
        <f>IF(AH243&lt;=0,0,MIN(MAX(0,AH243-AL243),SUMIFS('Loan Prepayment'!$B$12:$B$16,'Loan Prepayment'!$A$12:$A$16,AG243)+IF(AND(AG243&gt;='Loan Prepayment'!$B$9,AG243&lt;='Loan Prepayment'!$E$16),'Loan Prepayment'!$B$8,0)))</f>
        <v>0</v>
      </c>
      <c r="AN243">
        <f t="shared" si="78"/>
        <v>0</v>
      </c>
    </row>
    <row r="244" spans="1:40" x14ac:dyDescent="0.35">
      <c r="A244">
        <v>243</v>
      </c>
      <c r="B244">
        <f t="shared" si="79"/>
        <v>0</v>
      </c>
      <c r="C244" s="78">
        <f>'Loan Prepayment'!$B$6</f>
        <v>8.5</v>
      </c>
      <c r="D244">
        <f>IF(B244&lt;=0,0,MIN(-PMT('Loan Prepayment'!$B$6/1200,'Loan Prepayment'!$B$7*12,'Loan Prepayment'!$B$5),B244+E244))</f>
        <v>0</v>
      </c>
      <c r="E244">
        <f t="shared" si="63"/>
        <v>0</v>
      </c>
      <c r="F244">
        <f t="shared" si="64"/>
        <v>0</v>
      </c>
      <c r="G244">
        <v>0</v>
      </c>
      <c r="H244">
        <f t="shared" si="65"/>
        <v>0</v>
      </c>
      <c r="I244">
        <v>243</v>
      </c>
      <c r="J244">
        <f t="shared" si="80"/>
        <v>0</v>
      </c>
      <c r="K244" s="78">
        <f>'Loan Prepayment'!$B$6</f>
        <v>8.5</v>
      </c>
      <c r="L244">
        <f>IF(J244&lt;=0,0,MIN(IF(AND('Loan Prepayment'!$E$15="Reduce EMI",O243&gt;0),-PMT(K244/1200,MAX(1,'Loan Prepayment'!$B$7*12-I244+1),J244),L243),J244+M244))</f>
        <v>0</v>
      </c>
      <c r="M244">
        <f t="shared" si="66"/>
        <v>0</v>
      </c>
      <c r="N244">
        <f t="shared" si="67"/>
        <v>0</v>
      </c>
      <c r="O244">
        <f>IF(J244&lt;=0,0,MIN(MAX(0,J244-N244),SUMIFS('Loan Prepayment'!$B$12:$B$16,'Loan Prepayment'!$A$12:$A$16,I244)+0))</f>
        <v>0</v>
      </c>
      <c r="P244">
        <f t="shared" si="68"/>
        <v>0</v>
      </c>
      <c r="Q244">
        <v>243</v>
      </c>
      <c r="R244">
        <f t="shared" si="81"/>
        <v>0</v>
      </c>
      <c r="S244" s="78">
        <f>'Loan Prepayment'!$B$6</f>
        <v>8.5</v>
      </c>
      <c r="T244">
        <f>IF(R244&lt;=0,0,MIN(IF(AND('Loan Prepayment'!$E$15="Reduce EMI",W243&gt;0),-PMT(S244/1200,MAX(1,'Loan Prepayment'!$B$7*12-Q244+1),R244),T243),R244+U244))</f>
        <v>0</v>
      </c>
      <c r="U244">
        <f t="shared" si="69"/>
        <v>0</v>
      </c>
      <c r="V244">
        <f t="shared" si="70"/>
        <v>0</v>
      </c>
      <c r="W244">
        <f>IF(R244&lt;=0,0,MIN(MAX(0,R244-V244),0+IF(AND(Q244&gt;='Loan Prepayment'!$B$9,Q244&lt;='Loan Prepayment'!$E$16),'Loan Prepayment'!$B$8,0)))</f>
        <v>0</v>
      </c>
      <c r="X244">
        <f t="shared" si="71"/>
        <v>0</v>
      </c>
      <c r="Y244">
        <v>243</v>
      </c>
      <c r="Z244">
        <f t="shared" si="82"/>
        <v>0</v>
      </c>
      <c r="AA244">
        <f>IF(Y244&gt;='Loan Prepayment'!$E$11,'Loan Prepayment'!$E$12,'Loan Prepayment'!$B$6)</f>
        <v>7.5</v>
      </c>
      <c r="AB244">
        <f>IF(Z244&lt;=0,0,MIN(IF(Y244='Loan Prepayment'!$E$11,IF('Loan Prepayment'!$E$13="Keep tenure, recalculate EMI",-PMT(AA244/1200,MAX(1,'Loan Prepayment'!$B$7*12-Y244+1),Z244),AB243),AB243),Z244+AC244))</f>
        <v>0</v>
      </c>
      <c r="AC244">
        <f t="shared" si="72"/>
        <v>0</v>
      </c>
      <c r="AD244">
        <f t="shared" si="73"/>
        <v>0</v>
      </c>
      <c r="AE244">
        <f t="shared" si="74"/>
        <v>0</v>
      </c>
      <c r="AF244">
        <f t="shared" si="75"/>
        <v>0</v>
      </c>
      <c r="AG244">
        <v>243</v>
      </c>
      <c r="AH244">
        <f t="shared" si="83"/>
        <v>0</v>
      </c>
      <c r="AI244">
        <f>IF(AG244&gt;='Loan Prepayment'!$E$11,'Loan Prepayment'!$E$12,'Loan Prepayment'!$B$6)</f>
        <v>7.5</v>
      </c>
      <c r="AJ244">
        <f>IF(AH244&lt;=0,0,MIN(IF(AG244='Loan Prepayment'!$E$11,IF('Loan Prepayment'!$E$13="Keep tenure, recalculate EMI",-PMT(AI244/1200,MAX(1,'Loan Prepayment'!$B$7*12-AG244+1),AH244),AJ243),IF(AND('Loan Prepayment'!$E$15="Reduce EMI",AM243&gt;0),-PMT(AI244/1200,MAX(1,'Loan Prepayment'!$B$7*12-AG244+1),AH244),AJ243)),AH244+AK244))</f>
        <v>0</v>
      </c>
      <c r="AK244">
        <f t="shared" si="76"/>
        <v>0</v>
      </c>
      <c r="AL244">
        <f t="shared" si="77"/>
        <v>0</v>
      </c>
      <c r="AM244">
        <f>IF(AH244&lt;=0,0,MIN(MAX(0,AH244-AL244),SUMIFS('Loan Prepayment'!$B$12:$B$16,'Loan Prepayment'!$A$12:$A$16,AG244)+IF(AND(AG244&gt;='Loan Prepayment'!$B$9,AG244&lt;='Loan Prepayment'!$E$16),'Loan Prepayment'!$B$8,0)))</f>
        <v>0</v>
      </c>
      <c r="AN244">
        <f t="shared" si="78"/>
        <v>0</v>
      </c>
    </row>
    <row r="245" spans="1:40" x14ac:dyDescent="0.35">
      <c r="A245">
        <v>244</v>
      </c>
      <c r="B245">
        <f t="shared" si="79"/>
        <v>0</v>
      </c>
      <c r="C245" s="78">
        <f>'Loan Prepayment'!$B$6</f>
        <v>8.5</v>
      </c>
      <c r="D245">
        <f>IF(B245&lt;=0,0,MIN(-PMT('Loan Prepayment'!$B$6/1200,'Loan Prepayment'!$B$7*12,'Loan Prepayment'!$B$5),B245+E245))</f>
        <v>0</v>
      </c>
      <c r="E245">
        <f t="shared" si="63"/>
        <v>0</v>
      </c>
      <c r="F245">
        <f t="shared" si="64"/>
        <v>0</v>
      </c>
      <c r="G245">
        <v>0</v>
      </c>
      <c r="H245">
        <f t="shared" si="65"/>
        <v>0</v>
      </c>
      <c r="I245">
        <v>244</v>
      </c>
      <c r="J245">
        <f t="shared" si="80"/>
        <v>0</v>
      </c>
      <c r="K245" s="78">
        <f>'Loan Prepayment'!$B$6</f>
        <v>8.5</v>
      </c>
      <c r="L245">
        <f>IF(J245&lt;=0,0,MIN(IF(AND('Loan Prepayment'!$E$15="Reduce EMI",O244&gt;0),-PMT(K245/1200,MAX(1,'Loan Prepayment'!$B$7*12-I245+1),J245),L244),J245+M245))</f>
        <v>0</v>
      </c>
      <c r="M245">
        <f t="shared" si="66"/>
        <v>0</v>
      </c>
      <c r="N245">
        <f t="shared" si="67"/>
        <v>0</v>
      </c>
      <c r="O245">
        <f>IF(J245&lt;=0,0,MIN(MAX(0,J245-N245),SUMIFS('Loan Prepayment'!$B$12:$B$16,'Loan Prepayment'!$A$12:$A$16,I245)+0))</f>
        <v>0</v>
      </c>
      <c r="P245">
        <f t="shared" si="68"/>
        <v>0</v>
      </c>
      <c r="Q245">
        <v>244</v>
      </c>
      <c r="R245">
        <f t="shared" si="81"/>
        <v>0</v>
      </c>
      <c r="S245" s="78">
        <f>'Loan Prepayment'!$B$6</f>
        <v>8.5</v>
      </c>
      <c r="T245">
        <f>IF(R245&lt;=0,0,MIN(IF(AND('Loan Prepayment'!$E$15="Reduce EMI",W244&gt;0),-PMT(S245/1200,MAX(1,'Loan Prepayment'!$B$7*12-Q245+1),R245),T244),R245+U245))</f>
        <v>0</v>
      </c>
      <c r="U245">
        <f t="shared" si="69"/>
        <v>0</v>
      </c>
      <c r="V245">
        <f t="shared" si="70"/>
        <v>0</v>
      </c>
      <c r="W245">
        <f>IF(R245&lt;=0,0,MIN(MAX(0,R245-V245),0+IF(AND(Q245&gt;='Loan Prepayment'!$B$9,Q245&lt;='Loan Prepayment'!$E$16),'Loan Prepayment'!$B$8,0)))</f>
        <v>0</v>
      </c>
      <c r="X245">
        <f t="shared" si="71"/>
        <v>0</v>
      </c>
      <c r="Y245">
        <v>244</v>
      </c>
      <c r="Z245">
        <f t="shared" si="82"/>
        <v>0</v>
      </c>
      <c r="AA245">
        <f>IF(Y245&gt;='Loan Prepayment'!$E$11,'Loan Prepayment'!$E$12,'Loan Prepayment'!$B$6)</f>
        <v>7.5</v>
      </c>
      <c r="AB245">
        <f>IF(Z245&lt;=0,0,MIN(IF(Y245='Loan Prepayment'!$E$11,IF('Loan Prepayment'!$E$13="Keep tenure, recalculate EMI",-PMT(AA245/1200,MAX(1,'Loan Prepayment'!$B$7*12-Y245+1),Z245),AB244),AB244),Z245+AC245))</f>
        <v>0</v>
      </c>
      <c r="AC245">
        <f t="shared" si="72"/>
        <v>0</v>
      </c>
      <c r="AD245">
        <f t="shared" si="73"/>
        <v>0</v>
      </c>
      <c r="AE245">
        <f t="shared" si="74"/>
        <v>0</v>
      </c>
      <c r="AF245">
        <f t="shared" si="75"/>
        <v>0</v>
      </c>
      <c r="AG245">
        <v>244</v>
      </c>
      <c r="AH245">
        <f t="shared" si="83"/>
        <v>0</v>
      </c>
      <c r="AI245">
        <f>IF(AG245&gt;='Loan Prepayment'!$E$11,'Loan Prepayment'!$E$12,'Loan Prepayment'!$B$6)</f>
        <v>7.5</v>
      </c>
      <c r="AJ245">
        <f>IF(AH245&lt;=0,0,MIN(IF(AG245='Loan Prepayment'!$E$11,IF('Loan Prepayment'!$E$13="Keep tenure, recalculate EMI",-PMT(AI245/1200,MAX(1,'Loan Prepayment'!$B$7*12-AG245+1),AH245),AJ244),IF(AND('Loan Prepayment'!$E$15="Reduce EMI",AM244&gt;0),-PMT(AI245/1200,MAX(1,'Loan Prepayment'!$B$7*12-AG245+1),AH245),AJ244)),AH245+AK245))</f>
        <v>0</v>
      </c>
      <c r="AK245">
        <f t="shared" si="76"/>
        <v>0</v>
      </c>
      <c r="AL245">
        <f t="shared" si="77"/>
        <v>0</v>
      </c>
      <c r="AM245">
        <f>IF(AH245&lt;=0,0,MIN(MAX(0,AH245-AL245),SUMIFS('Loan Prepayment'!$B$12:$B$16,'Loan Prepayment'!$A$12:$A$16,AG245)+IF(AND(AG245&gt;='Loan Prepayment'!$B$9,AG245&lt;='Loan Prepayment'!$E$16),'Loan Prepayment'!$B$8,0)))</f>
        <v>0</v>
      </c>
      <c r="AN245">
        <f t="shared" si="78"/>
        <v>0</v>
      </c>
    </row>
    <row r="246" spans="1:40" x14ac:dyDescent="0.35">
      <c r="A246">
        <v>245</v>
      </c>
      <c r="B246">
        <f t="shared" si="79"/>
        <v>0</v>
      </c>
      <c r="C246" s="78">
        <f>'Loan Prepayment'!$B$6</f>
        <v>8.5</v>
      </c>
      <c r="D246">
        <f>IF(B246&lt;=0,0,MIN(-PMT('Loan Prepayment'!$B$6/1200,'Loan Prepayment'!$B$7*12,'Loan Prepayment'!$B$5),B246+E246))</f>
        <v>0</v>
      </c>
      <c r="E246">
        <f t="shared" si="63"/>
        <v>0</v>
      </c>
      <c r="F246">
        <f t="shared" si="64"/>
        <v>0</v>
      </c>
      <c r="G246">
        <v>0</v>
      </c>
      <c r="H246">
        <f t="shared" si="65"/>
        <v>0</v>
      </c>
      <c r="I246">
        <v>245</v>
      </c>
      <c r="J246">
        <f t="shared" si="80"/>
        <v>0</v>
      </c>
      <c r="K246" s="78">
        <f>'Loan Prepayment'!$B$6</f>
        <v>8.5</v>
      </c>
      <c r="L246">
        <f>IF(J246&lt;=0,0,MIN(IF(AND('Loan Prepayment'!$E$15="Reduce EMI",O245&gt;0),-PMT(K246/1200,MAX(1,'Loan Prepayment'!$B$7*12-I246+1),J246),L245),J246+M246))</f>
        <v>0</v>
      </c>
      <c r="M246">
        <f t="shared" si="66"/>
        <v>0</v>
      </c>
      <c r="N246">
        <f t="shared" si="67"/>
        <v>0</v>
      </c>
      <c r="O246">
        <f>IF(J246&lt;=0,0,MIN(MAX(0,J246-N246),SUMIFS('Loan Prepayment'!$B$12:$B$16,'Loan Prepayment'!$A$12:$A$16,I246)+0))</f>
        <v>0</v>
      </c>
      <c r="P246">
        <f t="shared" si="68"/>
        <v>0</v>
      </c>
      <c r="Q246">
        <v>245</v>
      </c>
      <c r="R246">
        <f t="shared" si="81"/>
        <v>0</v>
      </c>
      <c r="S246" s="78">
        <f>'Loan Prepayment'!$B$6</f>
        <v>8.5</v>
      </c>
      <c r="T246">
        <f>IF(R246&lt;=0,0,MIN(IF(AND('Loan Prepayment'!$E$15="Reduce EMI",W245&gt;0),-PMT(S246/1200,MAX(1,'Loan Prepayment'!$B$7*12-Q246+1),R246),T245),R246+U246))</f>
        <v>0</v>
      </c>
      <c r="U246">
        <f t="shared" si="69"/>
        <v>0</v>
      </c>
      <c r="V246">
        <f t="shared" si="70"/>
        <v>0</v>
      </c>
      <c r="W246">
        <f>IF(R246&lt;=0,0,MIN(MAX(0,R246-V246),0+IF(AND(Q246&gt;='Loan Prepayment'!$B$9,Q246&lt;='Loan Prepayment'!$E$16),'Loan Prepayment'!$B$8,0)))</f>
        <v>0</v>
      </c>
      <c r="X246">
        <f t="shared" si="71"/>
        <v>0</v>
      </c>
      <c r="Y246">
        <v>245</v>
      </c>
      <c r="Z246">
        <f t="shared" si="82"/>
        <v>0</v>
      </c>
      <c r="AA246">
        <f>IF(Y246&gt;='Loan Prepayment'!$E$11,'Loan Prepayment'!$E$12,'Loan Prepayment'!$B$6)</f>
        <v>7.5</v>
      </c>
      <c r="AB246">
        <f>IF(Z246&lt;=0,0,MIN(IF(Y246='Loan Prepayment'!$E$11,IF('Loan Prepayment'!$E$13="Keep tenure, recalculate EMI",-PMT(AA246/1200,MAX(1,'Loan Prepayment'!$B$7*12-Y246+1),Z246),AB245),AB245),Z246+AC246))</f>
        <v>0</v>
      </c>
      <c r="AC246">
        <f t="shared" si="72"/>
        <v>0</v>
      </c>
      <c r="AD246">
        <f t="shared" si="73"/>
        <v>0</v>
      </c>
      <c r="AE246">
        <f t="shared" si="74"/>
        <v>0</v>
      </c>
      <c r="AF246">
        <f t="shared" si="75"/>
        <v>0</v>
      </c>
      <c r="AG246">
        <v>245</v>
      </c>
      <c r="AH246">
        <f t="shared" si="83"/>
        <v>0</v>
      </c>
      <c r="AI246">
        <f>IF(AG246&gt;='Loan Prepayment'!$E$11,'Loan Prepayment'!$E$12,'Loan Prepayment'!$B$6)</f>
        <v>7.5</v>
      </c>
      <c r="AJ246">
        <f>IF(AH246&lt;=0,0,MIN(IF(AG246='Loan Prepayment'!$E$11,IF('Loan Prepayment'!$E$13="Keep tenure, recalculate EMI",-PMT(AI246/1200,MAX(1,'Loan Prepayment'!$B$7*12-AG246+1),AH246),AJ245),IF(AND('Loan Prepayment'!$E$15="Reduce EMI",AM245&gt;0),-PMT(AI246/1200,MAX(1,'Loan Prepayment'!$B$7*12-AG246+1),AH246),AJ245)),AH246+AK246))</f>
        <v>0</v>
      </c>
      <c r="AK246">
        <f t="shared" si="76"/>
        <v>0</v>
      </c>
      <c r="AL246">
        <f t="shared" si="77"/>
        <v>0</v>
      </c>
      <c r="AM246">
        <f>IF(AH246&lt;=0,0,MIN(MAX(0,AH246-AL246),SUMIFS('Loan Prepayment'!$B$12:$B$16,'Loan Prepayment'!$A$12:$A$16,AG246)+IF(AND(AG246&gt;='Loan Prepayment'!$B$9,AG246&lt;='Loan Prepayment'!$E$16),'Loan Prepayment'!$B$8,0)))</f>
        <v>0</v>
      </c>
      <c r="AN246">
        <f t="shared" si="78"/>
        <v>0</v>
      </c>
    </row>
    <row r="247" spans="1:40" x14ac:dyDescent="0.35">
      <c r="A247">
        <v>246</v>
      </c>
      <c r="B247">
        <f t="shared" si="79"/>
        <v>0</v>
      </c>
      <c r="C247" s="78">
        <f>'Loan Prepayment'!$B$6</f>
        <v>8.5</v>
      </c>
      <c r="D247">
        <f>IF(B247&lt;=0,0,MIN(-PMT('Loan Prepayment'!$B$6/1200,'Loan Prepayment'!$B$7*12,'Loan Prepayment'!$B$5),B247+E247))</f>
        <v>0</v>
      </c>
      <c r="E247">
        <f t="shared" si="63"/>
        <v>0</v>
      </c>
      <c r="F247">
        <f t="shared" si="64"/>
        <v>0</v>
      </c>
      <c r="G247">
        <v>0</v>
      </c>
      <c r="H247">
        <f t="shared" si="65"/>
        <v>0</v>
      </c>
      <c r="I247">
        <v>246</v>
      </c>
      <c r="J247">
        <f t="shared" si="80"/>
        <v>0</v>
      </c>
      <c r="K247" s="78">
        <f>'Loan Prepayment'!$B$6</f>
        <v>8.5</v>
      </c>
      <c r="L247">
        <f>IF(J247&lt;=0,0,MIN(IF(AND('Loan Prepayment'!$E$15="Reduce EMI",O246&gt;0),-PMT(K247/1200,MAX(1,'Loan Prepayment'!$B$7*12-I247+1),J247),L246),J247+M247))</f>
        <v>0</v>
      </c>
      <c r="M247">
        <f t="shared" si="66"/>
        <v>0</v>
      </c>
      <c r="N247">
        <f t="shared" si="67"/>
        <v>0</v>
      </c>
      <c r="O247">
        <f>IF(J247&lt;=0,0,MIN(MAX(0,J247-N247),SUMIFS('Loan Prepayment'!$B$12:$B$16,'Loan Prepayment'!$A$12:$A$16,I247)+0))</f>
        <v>0</v>
      </c>
      <c r="P247">
        <f t="shared" si="68"/>
        <v>0</v>
      </c>
      <c r="Q247">
        <v>246</v>
      </c>
      <c r="R247">
        <f t="shared" si="81"/>
        <v>0</v>
      </c>
      <c r="S247" s="78">
        <f>'Loan Prepayment'!$B$6</f>
        <v>8.5</v>
      </c>
      <c r="T247">
        <f>IF(R247&lt;=0,0,MIN(IF(AND('Loan Prepayment'!$E$15="Reduce EMI",W246&gt;0),-PMT(S247/1200,MAX(1,'Loan Prepayment'!$B$7*12-Q247+1),R247),T246),R247+U247))</f>
        <v>0</v>
      </c>
      <c r="U247">
        <f t="shared" si="69"/>
        <v>0</v>
      </c>
      <c r="V247">
        <f t="shared" si="70"/>
        <v>0</v>
      </c>
      <c r="W247">
        <f>IF(R247&lt;=0,0,MIN(MAX(0,R247-V247),0+IF(AND(Q247&gt;='Loan Prepayment'!$B$9,Q247&lt;='Loan Prepayment'!$E$16),'Loan Prepayment'!$B$8,0)))</f>
        <v>0</v>
      </c>
      <c r="X247">
        <f t="shared" si="71"/>
        <v>0</v>
      </c>
      <c r="Y247">
        <v>246</v>
      </c>
      <c r="Z247">
        <f t="shared" si="82"/>
        <v>0</v>
      </c>
      <c r="AA247">
        <f>IF(Y247&gt;='Loan Prepayment'!$E$11,'Loan Prepayment'!$E$12,'Loan Prepayment'!$B$6)</f>
        <v>7.5</v>
      </c>
      <c r="AB247">
        <f>IF(Z247&lt;=0,0,MIN(IF(Y247='Loan Prepayment'!$E$11,IF('Loan Prepayment'!$E$13="Keep tenure, recalculate EMI",-PMT(AA247/1200,MAX(1,'Loan Prepayment'!$B$7*12-Y247+1),Z247),AB246),AB246),Z247+AC247))</f>
        <v>0</v>
      </c>
      <c r="AC247">
        <f t="shared" si="72"/>
        <v>0</v>
      </c>
      <c r="AD247">
        <f t="shared" si="73"/>
        <v>0</v>
      </c>
      <c r="AE247">
        <f t="shared" si="74"/>
        <v>0</v>
      </c>
      <c r="AF247">
        <f t="shared" si="75"/>
        <v>0</v>
      </c>
      <c r="AG247">
        <v>246</v>
      </c>
      <c r="AH247">
        <f t="shared" si="83"/>
        <v>0</v>
      </c>
      <c r="AI247">
        <f>IF(AG247&gt;='Loan Prepayment'!$E$11,'Loan Prepayment'!$E$12,'Loan Prepayment'!$B$6)</f>
        <v>7.5</v>
      </c>
      <c r="AJ247">
        <f>IF(AH247&lt;=0,0,MIN(IF(AG247='Loan Prepayment'!$E$11,IF('Loan Prepayment'!$E$13="Keep tenure, recalculate EMI",-PMT(AI247/1200,MAX(1,'Loan Prepayment'!$B$7*12-AG247+1),AH247),AJ246),IF(AND('Loan Prepayment'!$E$15="Reduce EMI",AM246&gt;0),-PMT(AI247/1200,MAX(1,'Loan Prepayment'!$B$7*12-AG247+1),AH247),AJ246)),AH247+AK247))</f>
        <v>0</v>
      </c>
      <c r="AK247">
        <f t="shared" si="76"/>
        <v>0</v>
      </c>
      <c r="AL247">
        <f t="shared" si="77"/>
        <v>0</v>
      </c>
      <c r="AM247">
        <f>IF(AH247&lt;=0,0,MIN(MAX(0,AH247-AL247),SUMIFS('Loan Prepayment'!$B$12:$B$16,'Loan Prepayment'!$A$12:$A$16,AG247)+IF(AND(AG247&gt;='Loan Prepayment'!$B$9,AG247&lt;='Loan Prepayment'!$E$16),'Loan Prepayment'!$B$8,0)))</f>
        <v>0</v>
      </c>
      <c r="AN247">
        <f t="shared" si="78"/>
        <v>0</v>
      </c>
    </row>
    <row r="248" spans="1:40" x14ac:dyDescent="0.35">
      <c r="A248">
        <v>247</v>
      </c>
      <c r="B248">
        <f t="shared" si="79"/>
        <v>0</v>
      </c>
      <c r="C248" s="78">
        <f>'Loan Prepayment'!$B$6</f>
        <v>8.5</v>
      </c>
      <c r="D248">
        <f>IF(B248&lt;=0,0,MIN(-PMT('Loan Prepayment'!$B$6/1200,'Loan Prepayment'!$B$7*12,'Loan Prepayment'!$B$5),B248+E248))</f>
        <v>0</v>
      </c>
      <c r="E248">
        <f t="shared" si="63"/>
        <v>0</v>
      </c>
      <c r="F248">
        <f t="shared" si="64"/>
        <v>0</v>
      </c>
      <c r="G248">
        <v>0</v>
      </c>
      <c r="H248">
        <f t="shared" si="65"/>
        <v>0</v>
      </c>
      <c r="I248">
        <v>247</v>
      </c>
      <c r="J248">
        <f t="shared" si="80"/>
        <v>0</v>
      </c>
      <c r="K248" s="78">
        <f>'Loan Prepayment'!$B$6</f>
        <v>8.5</v>
      </c>
      <c r="L248">
        <f>IF(J248&lt;=0,0,MIN(IF(AND('Loan Prepayment'!$E$15="Reduce EMI",O247&gt;0),-PMT(K248/1200,MAX(1,'Loan Prepayment'!$B$7*12-I248+1),J248),L247),J248+M248))</f>
        <v>0</v>
      </c>
      <c r="M248">
        <f t="shared" si="66"/>
        <v>0</v>
      </c>
      <c r="N248">
        <f t="shared" si="67"/>
        <v>0</v>
      </c>
      <c r="O248">
        <f>IF(J248&lt;=0,0,MIN(MAX(0,J248-N248),SUMIFS('Loan Prepayment'!$B$12:$B$16,'Loan Prepayment'!$A$12:$A$16,I248)+0))</f>
        <v>0</v>
      </c>
      <c r="P248">
        <f t="shared" si="68"/>
        <v>0</v>
      </c>
      <c r="Q248">
        <v>247</v>
      </c>
      <c r="R248">
        <f t="shared" si="81"/>
        <v>0</v>
      </c>
      <c r="S248" s="78">
        <f>'Loan Prepayment'!$B$6</f>
        <v>8.5</v>
      </c>
      <c r="T248">
        <f>IF(R248&lt;=0,0,MIN(IF(AND('Loan Prepayment'!$E$15="Reduce EMI",W247&gt;0),-PMT(S248/1200,MAX(1,'Loan Prepayment'!$B$7*12-Q248+1),R248),T247),R248+U248))</f>
        <v>0</v>
      </c>
      <c r="U248">
        <f t="shared" si="69"/>
        <v>0</v>
      </c>
      <c r="V248">
        <f t="shared" si="70"/>
        <v>0</v>
      </c>
      <c r="W248">
        <f>IF(R248&lt;=0,0,MIN(MAX(0,R248-V248),0+IF(AND(Q248&gt;='Loan Prepayment'!$B$9,Q248&lt;='Loan Prepayment'!$E$16),'Loan Prepayment'!$B$8,0)))</f>
        <v>0</v>
      </c>
      <c r="X248">
        <f t="shared" si="71"/>
        <v>0</v>
      </c>
      <c r="Y248">
        <v>247</v>
      </c>
      <c r="Z248">
        <f t="shared" si="82"/>
        <v>0</v>
      </c>
      <c r="AA248">
        <f>IF(Y248&gt;='Loan Prepayment'!$E$11,'Loan Prepayment'!$E$12,'Loan Prepayment'!$B$6)</f>
        <v>7.5</v>
      </c>
      <c r="AB248">
        <f>IF(Z248&lt;=0,0,MIN(IF(Y248='Loan Prepayment'!$E$11,IF('Loan Prepayment'!$E$13="Keep tenure, recalculate EMI",-PMT(AA248/1200,MAX(1,'Loan Prepayment'!$B$7*12-Y248+1),Z248),AB247),AB247),Z248+AC248))</f>
        <v>0</v>
      </c>
      <c r="AC248">
        <f t="shared" si="72"/>
        <v>0</v>
      </c>
      <c r="AD248">
        <f t="shared" si="73"/>
        <v>0</v>
      </c>
      <c r="AE248">
        <f t="shared" si="74"/>
        <v>0</v>
      </c>
      <c r="AF248">
        <f t="shared" si="75"/>
        <v>0</v>
      </c>
      <c r="AG248">
        <v>247</v>
      </c>
      <c r="AH248">
        <f t="shared" si="83"/>
        <v>0</v>
      </c>
      <c r="AI248">
        <f>IF(AG248&gt;='Loan Prepayment'!$E$11,'Loan Prepayment'!$E$12,'Loan Prepayment'!$B$6)</f>
        <v>7.5</v>
      </c>
      <c r="AJ248">
        <f>IF(AH248&lt;=0,0,MIN(IF(AG248='Loan Prepayment'!$E$11,IF('Loan Prepayment'!$E$13="Keep tenure, recalculate EMI",-PMT(AI248/1200,MAX(1,'Loan Prepayment'!$B$7*12-AG248+1),AH248),AJ247),IF(AND('Loan Prepayment'!$E$15="Reduce EMI",AM247&gt;0),-PMT(AI248/1200,MAX(1,'Loan Prepayment'!$B$7*12-AG248+1),AH248),AJ247)),AH248+AK248))</f>
        <v>0</v>
      </c>
      <c r="AK248">
        <f t="shared" si="76"/>
        <v>0</v>
      </c>
      <c r="AL248">
        <f t="shared" si="77"/>
        <v>0</v>
      </c>
      <c r="AM248">
        <f>IF(AH248&lt;=0,0,MIN(MAX(0,AH248-AL248),SUMIFS('Loan Prepayment'!$B$12:$B$16,'Loan Prepayment'!$A$12:$A$16,AG248)+IF(AND(AG248&gt;='Loan Prepayment'!$B$9,AG248&lt;='Loan Prepayment'!$E$16),'Loan Prepayment'!$B$8,0)))</f>
        <v>0</v>
      </c>
      <c r="AN248">
        <f t="shared" si="78"/>
        <v>0</v>
      </c>
    </row>
    <row r="249" spans="1:40" x14ac:dyDescent="0.35">
      <c r="A249">
        <v>248</v>
      </c>
      <c r="B249">
        <f t="shared" si="79"/>
        <v>0</v>
      </c>
      <c r="C249" s="78">
        <f>'Loan Prepayment'!$B$6</f>
        <v>8.5</v>
      </c>
      <c r="D249">
        <f>IF(B249&lt;=0,0,MIN(-PMT('Loan Prepayment'!$B$6/1200,'Loan Prepayment'!$B$7*12,'Loan Prepayment'!$B$5),B249+E249))</f>
        <v>0</v>
      </c>
      <c r="E249">
        <f t="shared" si="63"/>
        <v>0</v>
      </c>
      <c r="F249">
        <f t="shared" si="64"/>
        <v>0</v>
      </c>
      <c r="G249">
        <v>0</v>
      </c>
      <c r="H249">
        <f t="shared" si="65"/>
        <v>0</v>
      </c>
      <c r="I249">
        <v>248</v>
      </c>
      <c r="J249">
        <f t="shared" si="80"/>
        <v>0</v>
      </c>
      <c r="K249" s="78">
        <f>'Loan Prepayment'!$B$6</f>
        <v>8.5</v>
      </c>
      <c r="L249">
        <f>IF(J249&lt;=0,0,MIN(IF(AND('Loan Prepayment'!$E$15="Reduce EMI",O248&gt;0),-PMT(K249/1200,MAX(1,'Loan Prepayment'!$B$7*12-I249+1),J249),L248),J249+M249))</f>
        <v>0</v>
      </c>
      <c r="M249">
        <f t="shared" si="66"/>
        <v>0</v>
      </c>
      <c r="N249">
        <f t="shared" si="67"/>
        <v>0</v>
      </c>
      <c r="O249">
        <f>IF(J249&lt;=0,0,MIN(MAX(0,J249-N249),SUMIFS('Loan Prepayment'!$B$12:$B$16,'Loan Prepayment'!$A$12:$A$16,I249)+0))</f>
        <v>0</v>
      </c>
      <c r="P249">
        <f t="shared" si="68"/>
        <v>0</v>
      </c>
      <c r="Q249">
        <v>248</v>
      </c>
      <c r="R249">
        <f t="shared" si="81"/>
        <v>0</v>
      </c>
      <c r="S249" s="78">
        <f>'Loan Prepayment'!$B$6</f>
        <v>8.5</v>
      </c>
      <c r="T249">
        <f>IF(R249&lt;=0,0,MIN(IF(AND('Loan Prepayment'!$E$15="Reduce EMI",W248&gt;0),-PMT(S249/1200,MAX(1,'Loan Prepayment'!$B$7*12-Q249+1),R249),T248),R249+U249))</f>
        <v>0</v>
      </c>
      <c r="U249">
        <f t="shared" si="69"/>
        <v>0</v>
      </c>
      <c r="V249">
        <f t="shared" si="70"/>
        <v>0</v>
      </c>
      <c r="W249">
        <f>IF(R249&lt;=0,0,MIN(MAX(0,R249-V249),0+IF(AND(Q249&gt;='Loan Prepayment'!$B$9,Q249&lt;='Loan Prepayment'!$E$16),'Loan Prepayment'!$B$8,0)))</f>
        <v>0</v>
      </c>
      <c r="X249">
        <f t="shared" si="71"/>
        <v>0</v>
      </c>
      <c r="Y249">
        <v>248</v>
      </c>
      <c r="Z249">
        <f t="shared" si="82"/>
        <v>0</v>
      </c>
      <c r="AA249">
        <f>IF(Y249&gt;='Loan Prepayment'!$E$11,'Loan Prepayment'!$E$12,'Loan Prepayment'!$B$6)</f>
        <v>7.5</v>
      </c>
      <c r="AB249">
        <f>IF(Z249&lt;=0,0,MIN(IF(Y249='Loan Prepayment'!$E$11,IF('Loan Prepayment'!$E$13="Keep tenure, recalculate EMI",-PMT(AA249/1200,MAX(1,'Loan Prepayment'!$B$7*12-Y249+1),Z249),AB248),AB248),Z249+AC249))</f>
        <v>0</v>
      </c>
      <c r="AC249">
        <f t="shared" si="72"/>
        <v>0</v>
      </c>
      <c r="AD249">
        <f t="shared" si="73"/>
        <v>0</v>
      </c>
      <c r="AE249">
        <f t="shared" si="74"/>
        <v>0</v>
      </c>
      <c r="AF249">
        <f t="shared" si="75"/>
        <v>0</v>
      </c>
      <c r="AG249">
        <v>248</v>
      </c>
      <c r="AH249">
        <f t="shared" si="83"/>
        <v>0</v>
      </c>
      <c r="AI249">
        <f>IF(AG249&gt;='Loan Prepayment'!$E$11,'Loan Prepayment'!$E$12,'Loan Prepayment'!$B$6)</f>
        <v>7.5</v>
      </c>
      <c r="AJ249">
        <f>IF(AH249&lt;=0,0,MIN(IF(AG249='Loan Prepayment'!$E$11,IF('Loan Prepayment'!$E$13="Keep tenure, recalculate EMI",-PMT(AI249/1200,MAX(1,'Loan Prepayment'!$B$7*12-AG249+1),AH249),AJ248),IF(AND('Loan Prepayment'!$E$15="Reduce EMI",AM248&gt;0),-PMT(AI249/1200,MAX(1,'Loan Prepayment'!$B$7*12-AG249+1),AH249),AJ248)),AH249+AK249))</f>
        <v>0</v>
      </c>
      <c r="AK249">
        <f t="shared" si="76"/>
        <v>0</v>
      </c>
      <c r="AL249">
        <f t="shared" si="77"/>
        <v>0</v>
      </c>
      <c r="AM249">
        <f>IF(AH249&lt;=0,0,MIN(MAX(0,AH249-AL249),SUMIFS('Loan Prepayment'!$B$12:$B$16,'Loan Prepayment'!$A$12:$A$16,AG249)+IF(AND(AG249&gt;='Loan Prepayment'!$B$9,AG249&lt;='Loan Prepayment'!$E$16),'Loan Prepayment'!$B$8,0)))</f>
        <v>0</v>
      </c>
      <c r="AN249">
        <f t="shared" si="78"/>
        <v>0</v>
      </c>
    </row>
    <row r="250" spans="1:40" x14ac:dyDescent="0.35">
      <c r="A250">
        <v>249</v>
      </c>
      <c r="B250">
        <f t="shared" si="79"/>
        <v>0</v>
      </c>
      <c r="C250" s="78">
        <f>'Loan Prepayment'!$B$6</f>
        <v>8.5</v>
      </c>
      <c r="D250">
        <f>IF(B250&lt;=0,0,MIN(-PMT('Loan Prepayment'!$B$6/1200,'Loan Prepayment'!$B$7*12,'Loan Prepayment'!$B$5),B250+E250))</f>
        <v>0</v>
      </c>
      <c r="E250">
        <f t="shared" si="63"/>
        <v>0</v>
      </c>
      <c r="F250">
        <f t="shared" si="64"/>
        <v>0</v>
      </c>
      <c r="G250">
        <v>0</v>
      </c>
      <c r="H250">
        <f t="shared" si="65"/>
        <v>0</v>
      </c>
      <c r="I250">
        <v>249</v>
      </c>
      <c r="J250">
        <f t="shared" si="80"/>
        <v>0</v>
      </c>
      <c r="K250" s="78">
        <f>'Loan Prepayment'!$B$6</f>
        <v>8.5</v>
      </c>
      <c r="L250">
        <f>IF(J250&lt;=0,0,MIN(IF(AND('Loan Prepayment'!$E$15="Reduce EMI",O249&gt;0),-PMT(K250/1200,MAX(1,'Loan Prepayment'!$B$7*12-I250+1),J250),L249),J250+M250))</f>
        <v>0</v>
      </c>
      <c r="M250">
        <f t="shared" si="66"/>
        <v>0</v>
      </c>
      <c r="N250">
        <f t="shared" si="67"/>
        <v>0</v>
      </c>
      <c r="O250">
        <f>IF(J250&lt;=0,0,MIN(MAX(0,J250-N250),SUMIFS('Loan Prepayment'!$B$12:$B$16,'Loan Prepayment'!$A$12:$A$16,I250)+0))</f>
        <v>0</v>
      </c>
      <c r="P250">
        <f t="shared" si="68"/>
        <v>0</v>
      </c>
      <c r="Q250">
        <v>249</v>
      </c>
      <c r="R250">
        <f t="shared" si="81"/>
        <v>0</v>
      </c>
      <c r="S250" s="78">
        <f>'Loan Prepayment'!$B$6</f>
        <v>8.5</v>
      </c>
      <c r="T250">
        <f>IF(R250&lt;=0,0,MIN(IF(AND('Loan Prepayment'!$E$15="Reduce EMI",W249&gt;0),-PMT(S250/1200,MAX(1,'Loan Prepayment'!$B$7*12-Q250+1),R250),T249),R250+U250))</f>
        <v>0</v>
      </c>
      <c r="U250">
        <f t="shared" si="69"/>
        <v>0</v>
      </c>
      <c r="V250">
        <f t="shared" si="70"/>
        <v>0</v>
      </c>
      <c r="W250">
        <f>IF(R250&lt;=0,0,MIN(MAX(0,R250-V250),0+IF(AND(Q250&gt;='Loan Prepayment'!$B$9,Q250&lt;='Loan Prepayment'!$E$16),'Loan Prepayment'!$B$8,0)))</f>
        <v>0</v>
      </c>
      <c r="X250">
        <f t="shared" si="71"/>
        <v>0</v>
      </c>
      <c r="Y250">
        <v>249</v>
      </c>
      <c r="Z250">
        <f t="shared" si="82"/>
        <v>0</v>
      </c>
      <c r="AA250">
        <f>IF(Y250&gt;='Loan Prepayment'!$E$11,'Loan Prepayment'!$E$12,'Loan Prepayment'!$B$6)</f>
        <v>7.5</v>
      </c>
      <c r="AB250">
        <f>IF(Z250&lt;=0,0,MIN(IF(Y250='Loan Prepayment'!$E$11,IF('Loan Prepayment'!$E$13="Keep tenure, recalculate EMI",-PMT(AA250/1200,MAX(1,'Loan Prepayment'!$B$7*12-Y250+1),Z250),AB249),AB249),Z250+AC250))</f>
        <v>0</v>
      </c>
      <c r="AC250">
        <f t="shared" si="72"/>
        <v>0</v>
      </c>
      <c r="AD250">
        <f t="shared" si="73"/>
        <v>0</v>
      </c>
      <c r="AE250">
        <f t="shared" si="74"/>
        <v>0</v>
      </c>
      <c r="AF250">
        <f t="shared" si="75"/>
        <v>0</v>
      </c>
      <c r="AG250">
        <v>249</v>
      </c>
      <c r="AH250">
        <f t="shared" si="83"/>
        <v>0</v>
      </c>
      <c r="AI250">
        <f>IF(AG250&gt;='Loan Prepayment'!$E$11,'Loan Prepayment'!$E$12,'Loan Prepayment'!$B$6)</f>
        <v>7.5</v>
      </c>
      <c r="AJ250">
        <f>IF(AH250&lt;=0,0,MIN(IF(AG250='Loan Prepayment'!$E$11,IF('Loan Prepayment'!$E$13="Keep tenure, recalculate EMI",-PMT(AI250/1200,MAX(1,'Loan Prepayment'!$B$7*12-AG250+1),AH250),AJ249),IF(AND('Loan Prepayment'!$E$15="Reduce EMI",AM249&gt;0),-PMT(AI250/1200,MAX(1,'Loan Prepayment'!$B$7*12-AG250+1),AH250),AJ249)),AH250+AK250))</f>
        <v>0</v>
      </c>
      <c r="AK250">
        <f t="shared" si="76"/>
        <v>0</v>
      </c>
      <c r="AL250">
        <f t="shared" si="77"/>
        <v>0</v>
      </c>
      <c r="AM250">
        <f>IF(AH250&lt;=0,0,MIN(MAX(0,AH250-AL250),SUMIFS('Loan Prepayment'!$B$12:$B$16,'Loan Prepayment'!$A$12:$A$16,AG250)+IF(AND(AG250&gt;='Loan Prepayment'!$B$9,AG250&lt;='Loan Prepayment'!$E$16),'Loan Prepayment'!$B$8,0)))</f>
        <v>0</v>
      </c>
      <c r="AN250">
        <f t="shared" si="78"/>
        <v>0</v>
      </c>
    </row>
    <row r="251" spans="1:40" x14ac:dyDescent="0.35">
      <c r="A251">
        <v>250</v>
      </c>
      <c r="B251">
        <f t="shared" si="79"/>
        <v>0</v>
      </c>
      <c r="C251" s="78">
        <f>'Loan Prepayment'!$B$6</f>
        <v>8.5</v>
      </c>
      <c r="D251">
        <f>IF(B251&lt;=0,0,MIN(-PMT('Loan Prepayment'!$B$6/1200,'Loan Prepayment'!$B$7*12,'Loan Prepayment'!$B$5),B251+E251))</f>
        <v>0</v>
      </c>
      <c r="E251">
        <f t="shared" si="63"/>
        <v>0</v>
      </c>
      <c r="F251">
        <f t="shared" si="64"/>
        <v>0</v>
      </c>
      <c r="G251">
        <v>0</v>
      </c>
      <c r="H251">
        <f t="shared" si="65"/>
        <v>0</v>
      </c>
      <c r="I251">
        <v>250</v>
      </c>
      <c r="J251">
        <f t="shared" si="80"/>
        <v>0</v>
      </c>
      <c r="K251" s="78">
        <f>'Loan Prepayment'!$B$6</f>
        <v>8.5</v>
      </c>
      <c r="L251">
        <f>IF(J251&lt;=0,0,MIN(IF(AND('Loan Prepayment'!$E$15="Reduce EMI",O250&gt;0),-PMT(K251/1200,MAX(1,'Loan Prepayment'!$B$7*12-I251+1),J251),L250),J251+M251))</f>
        <v>0</v>
      </c>
      <c r="M251">
        <f t="shared" si="66"/>
        <v>0</v>
      </c>
      <c r="N251">
        <f t="shared" si="67"/>
        <v>0</v>
      </c>
      <c r="O251">
        <f>IF(J251&lt;=0,0,MIN(MAX(0,J251-N251),SUMIFS('Loan Prepayment'!$B$12:$B$16,'Loan Prepayment'!$A$12:$A$16,I251)+0))</f>
        <v>0</v>
      </c>
      <c r="P251">
        <f t="shared" si="68"/>
        <v>0</v>
      </c>
      <c r="Q251">
        <v>250</v>
      </c>
      <c r="R251">
        <f t="shared" si="81"/>
        <v>0</v>
      </c>
      <c r="S251" s="78">
        <f>'Loan Prepayment'!$B$6</f>
        <v>8.5</v>
      </c>
      <c r="T251">
        <f>IF(R251&lt;=0,0,MIN(IF(AND('Loan Prepayment'!$E$15="Reduce EMI",W250&gt;0),-PMT(S251/1200,MAX(1,'Loan Prepayment'!$B$7*12-Q251+1),R251),T250),R251+U251))</f>
        <v>0</v>
      </c>
      <c r="U251">
        <f t="shared" si="69"/>
        <v>0</v>
      </c>
      <c r="V251">
        <f t="shared" si="70"/>
        <v>0</v>
      </c>
      <c r="W251">
        <f>IF(R251&lt;=0,0,MIN(MAX(0,R251-V251),0+IF(AND(Q251&gt;='Loan Prepayment'!$B$9,Q251&lt;='Loan Prepayment'!$E$16),'Loan Prepayment'!$B$8,0)))</f>
        <v>0</v>
      </c>
      <c r="X251">
        <f t="shared" si="71"/>
        <v>0</v>
      </c>
      <c r="Y251">
        <v>250</v>
      </c>
      <c r="Z251">
        <f t="shared" si="82"/>
        <v>0</v>
      </c>
      <c r="AA251">
        <f>IF(Y251&gt;='Loan Prepayment'!$E$11,'Loan Prepayment'!$E$12,'Loan Prepayment'!$B$6)</f>
        <v>7.5</v>
      </c>
      <c r="AB251">
        <f>IF(Z251&lt;=0,0,MIN(IF(Y251='Loan Prepayment'!$E$11,IF('Loan Prepayment'!$E$13="Keep tenure, recalculate EMI",-PMT(AA251/1200,MAX(1,'Loan Prepayment'!$B$7*12-Y251+1),Z251),AB250),AB250),Z251+AC251))</f>
        <v>0</v>
      </c>
      <c r="AC251">
        <f t="shared" si="72"/>
        <v>0</v>
      </c>
      <c r="AD251">
        <f t="shared" si="73"/>
        <v>0</v>
      </c>
      <c r="AE251">
        <f t="shared" si="74"/>
        <v>0</v>
      </c>
      <c r="AF251">
        <f t="shared" si="75"/>
        <v>0</v>
      </c>
      <c r="AG251">
        <v>250</v>
      </c>
      <c r="AH251">
        <f t="shared" si="83"/>
        <v>0</v>
      </c>
      <c r="AI251">
        <f>IF(AG251&gt;='Loan Prepayment'!$E$11,'Loan Prepayment'!$E$12,'Loan Prepayment'!$B$6)</f>
        <v>7.5</v>
      </c>
      <c r="AJ251">
        <f>IF(AH251&lt;=0,0,MIN(IF(AG251='Loan Prepayment'!$E$11,IF('Loan Prepayment'!$E$13="Keep tenure, recalculate EMI",-PMT(AI251/1200,MAX(1,'Loan Prepayment'!$B$7*12-AG251+1),AH251),AJ250),IF(AND('Loan Prepayment'!$E$15="Reduce EMI",AM250&gt;0),-PMT(AI251/1200,MAX(1,'Loan Prepayment'!$B$7*12-AG251+1),AH251),AJ250)),AH251+AK251))</f>
        <v>0</v>
      </c>
      <c r="AK251">
        <f t="shared" si="76"/>
        <v>0</v>
      </c>
      <c r="AL251">
        <f t="shared" si="77"/>
        <v>0</v>
      </c>
      <c r="AM251">
        <f>IF(AH251&lt;=0,0,MIN(MAX(0,AH251-AL251),SUMIFS('Loan Prepayment'!$B$12:$B$16,'Loan Prepayment'!$A$12:$A$16,AG251)+IF(AND(AG251&gt;='Loan Prepayment'!$B$9,AG251&lt;='Loan Prepayment'!$E$16),'Loan Prepayment'!$B$8,0)))</f>
        <v>0</v>
      </c>
      <c r="AN251">
        <f t="shared" si="78"/>
        <v>0</v>
      </c>
    </row>
    <row r="252" spans="1:40" x14ac:dyDescent="0.35">
      <c r="A252">
        <v>251</v>
      </c>
      <c r="B252">
        <f t="shared" si="79"/>
        <v>0</v>
      </c>
      <c r="C252" s="78">
        <f>'Loan Prepayment'!$B$6</f>
        <v>8.5</v>
      </c>
      <c r="D252">
        <f>IF(B252&lt;=0,0,MIN(-PMT('Loan Prepayment'!$B$6/1200,'Loan Prepayment'!$B$7*12,'Loan Prepayment'!$B$5),B252+E252))</f>
        <v>0</v>
      </c>
      <c r="E252">
        <f t="shared" si="63"/>
        <v>0</v>
      </c>
      <c r="F252">
        <f t="shared" si="64"/>
        <v>0</v>
      </c>
      <c r="G252">
        <v>0</v>
      </c>
      <c r="H252">
        <f t="shared" si="65"/>
        <v>0</v>
      </c>
      <c r="I252">
        <v>251</v>
      </c>
      <c r="J252">
        <f t="shared" si="80"/>
        <v>0</v>
      </c>
      <c r="K252" s="78">
        <f>'Loan Prepayment'!$B$6</f>
        <v>8.5</v>
      </c>
      <c r="L252">
        <f>IF(J252&lt;=0,0,MIN(IF(AND('Loan Prepayment'!$E$15="Reduce EMI",O251&gt;0),-PMT(K252/1200,MAX(1,'Loan Prepayment'!$B$7*12-I252+1),J252),L251),J252+M252))</f>
        <v>0</v>
      </c>
      <c r="M252">
        <f t="shared" si="66"/>
        <v>0</v>
      </c>
      <c r="N252">
        <f t="shared" si="67"/>
        <v>0</v>
      </c>
      <c r="O252">
        <f>IF(J252&lt;=0,0,MIN(MAX(0,J252-N252),SUMIFS('Loan Prepayment'!$B$12:$B$16,'Loan Prepayment'!$A$12:$A$16,I252)+0))</f>
        <v>0</v>
      </c>
      <c r="P252">
        <f t="shared" si="68"/>
        <v>0</v>
      </c>
      <c r="Q252">
        <v>251</v>
      </c>
      <c r="R252">
        <f t="shared" si="81"/>
        <v>0</v>
      </c>
      <c r="S252" s="78">
        <f>'Loan Prepayment'!$B$6</f>
        <v>8.5</v>
      </c>
      <c r="T252">
        <f>IF(R252&lt;=0,0,MIN(IF(AND('Loan Prepayment'!$E$15="Reduce EMI",W251&gt;0),-PMT(S252/1200,MAX(1,'Loan Prepayment'!$B$7*12-Q252+1),R252),T251),R252+U252))</f>
        <v>0</v>
      </c>
      <c r="U252">
        <f t="shared" si="69"/>
        <v>0</v>
      </c>
      <c r="V252">
        <f t="shared" si="70"/>
        <v>0</v>
      </c>
      <c r="W252">
        <f>IF(R252&lt;=0,0,MIN(MAX(0,R252-V252),0+IF(AND(Q252&gt;='Loan Prepayment'!$B$9,Q252&lt;='Loan Prepayment'!$E$16),'Loan Prepayment'!$B$8,0)))</f>
        <v>0</v>
      </c>
      <c r="X252">
        <f t="shared" si="71"/>
        <v>0</v>
      </c>
      <c r="Y252">
        <v>251</v>
      </c>
      <c r="Z252">
        <f t="shared" si="82"/>
        <v>0</v>
      </c>
      <c r="AA252">
        <f>IF(Y252&gt;='Loan Prepayment'!$E$11,'Loan Prepayment'!$E$12,'Loan Prepayment'!$B$6)</f>
        <v>7.5</v>
      </c>
      <c r="AB252">
        <f>IF(Z252&lt;=0,0,MIN(IF(Y252='Loan Prepayment'!$E$11,IF('Loan Prepayment'!$E$13="Keep tenure, recalculate EMI",-PMT(AA252/1200,MAX(1,'Loan Prepayment'!$B$7*12-Y252+1),Z252),AB251),AB251),Z252+AC252))</f>
        <v>0</v>
      </c>
      <c r="AC252">
        <f t="shared" si="72"/>
        <v>0</v>
      </c>
      <c r="AD252">
        <f t="shared" si="73"/>
        <v>0</v>
      </c>
      <c r="AE252">
        <f t="shared" si="74"/>
        <v>0</v>
      </c>
      <c r="AF252">
        <f t="shared" si="75"/>
        <v>0</v>
      </c>
      <c r="AG252">
        <v>251</v>
      </c>
      <c r="AH252">
        <f t="shared" si="83"/>
        <v>0</v>
      </c>
      <c r="AI252">
        <f>IF(AG252&gt;='Loan Prepayment'!$E$11,'Loan Prepayment'!$E$12,'Loan Prepayment'!$B$6)</f>
        <v>7.5</v>
      </c>
      <c r="AJ252">
        <f>IF(AH252&lt;=0,0,MIN(IF(AG252='Loan Prepayment'!$E$11,IF('Loan Prepayment'!$E$13="Keep tenure, recalculate EMI",-PMT(AI252/1200,MAX(1,'Loan Prepayment'!$B$7*12-AG252+1),AH252),AJ251),IF(AND('Loan Prepayment'!$E$15="Reduce EMI",AM251&gt;0),-PMT(AI252/1200,MAX(1,'Loan Prepayment'!$B$7*12-AG252+1),AH252),AJ251)),AH252+AK252))</f>
        <v>0</v>
      </c>
      <c r="AK252">
        <f t="shared" si="76"/>
        <v>0</v>
      </c>
      <c r="AL252">
        <f t="shared" si="77"/>
        <v>0</v>
      </c>
      <c r="AM252">
        <f>IF(AH252&lt;=0,0,MIN(MAX(0,AH252-AL252),SUMIFS('Loan Prepayment'!$B$12:$B$16,'Loan Prepayment'!$A$12:$A$16,AG252)+IF(AND(AG252&gt;='Loan Prepayment'!$B$9,AG252&lt;='Loan Prepayment'!$E$16),'Loan Prepayment'!$B$8,0)))</f>
        <v>0</v>
      </c>
      <c r="AN252">
        <f t="shared" si="78"/>
        <v>0</v>
      </c>
    </row>
    <row r="253" spans="1:40" x14ac:dyDescent="0.35">
      <c r="A253">
        <v>252</v>
      </c>
      <c r="B253">
        <f t="shared" si="79"/>
        <v>0</v>
      </c>
      <c r="C253" s="78">
        <f>'Loan Prepayment'!$B$6</f>
        <v>8.5</v>
      </c>
      <c r="D253">
        <f>IF(B253&lt;=0,0,MIN(-PMT('Loan Prepayment'!$B$6/1200,'Loan Prepayment'!$B$7*12,'Loan Prepayment'!$B$5),B253+E253))</f>
        <v>0</v>
      </c>
      <c r="E253">
        <f t="shared" si="63"/>
        <v>0</v>
      </c>
      <c r="F253">
        <f t="shared" si="64"/>
        <v>0</v>
      </c>
      <c r="G253">
        <v>0</v>
      </c>
      <c r="H253">
        <f t="shared" si="65"/>
        <v>0</v>
      </c>
      <c r="I253">
        <v>252</v>
      </c>
      <c r="J253">
        <f t="shared" si="80"/>
        <v>0</v>
      </c>
      <c r="K253" s="78">
        <f>'Loan Prepayment'!$B$6</f>
        <v>8.5</v>
      </c>
      <c r="L253">
        <f>IF(J253&lt;=0,0,MIN(IF(AND('Loan Prepayment'!$E$15="Reduce EMI",O252&gt;0),-PMT(K253/1200,MAX(1,'Loan Prepayment'!$B$7*12-I253+1),J253),L252),J253+M253))</f>
        <v>0</v>
      </c>
      <c r="M253">
        <f t="shared" si="66"/>
        <v>0</v>
      </c>
      <c r="N253">
        <f t="shared" si="67"/>
        <v>0</v>
      </c>
      <c r="O253">
        <f>IF(J253&lt;=0,0,MIN(MAX(0,J253-N253),SUMIFS('Loan Prepayment'!$B$12:$B$16,'Loan Prepayment'!$A$12:$A$16,I253)+0))</f>
        <v>0</v>
      </c>
      <c r="P253">
        <f t="shared" si="68"/>
        <v>0</v>
      </c>
      <c r="Q253">
        <v>252</v>
      </c>
      <c r="R253">
        <f t="shared" si="81"/>
        <v>0</v>
      </c>
      <c r="S253" s="78">
        <f>'Loan Prepayment'!$B$6</f>
        <v>8.5</v>
      </c>
      <c r="T253">
        <f>IF(R253&lt;=0,0,MIN(IF(AND('Loan Prepayment'!$E$15="Reduce EMI",W252&gt;0),-PMT(S253/1200,MAX(1,'Loan Prepayment'!$B$7*12-Q253+1),R253),T252),R253+U253))</f>
        <v>0</v>
      </c>
      <c r="U253">
        <f t="shared" si="69"/>
        <v>0</v>
      </c>
      <c r="V253">
        <f t="shared" si="70"/>
        <v>0</v>
      </c>
      <c r="W253">
        <f>IF(R253&lt;=0,0,MIN(MAX(0,R253-V253),0+IF(AND(Q253&gt;='Loan Prepayment'!$B$9,Q253&lt;='Loan Prepayment'!$E$16),'Loan Prepayment'!$B$8,0)))</f>
        <v>0</v>
      </c>
      <c r="X253">
        <f t="shared" si="71"/>
        <v>0</v>
      </c>
      <c r="Y253">
        <v>252</v>
      </c>
      <c r="Z253">
        <f t="shared" si="82"/>
        <v>0</v>
      </c>
      <c r="AA253">
        <f>IF(Y253&gt;='Loan Prepayment'!$E$11,'Loan Prepayment'!$E$12,'Loan Prepayment'!$B$6)</f>
        <v>7.5</v>
      </c>
      <c r="AB253">
        <f>IF(Z253&lt;=0,0,MIN(IF(Y253='Loan Prepayment'!$E$11,IF('Loan Prepayment'!$E$13="Keep tenure, recalculate EMI",-PMT(AA253/1200,MAX(1,'Loan Prepayment'!$B$7*12-Y253+1),Z253),AB252),AB252),Z253+AC253))</f>
        <v>0</v>
      </c>
      <c r="AC253">
        <f t="shared" si="72"/>
        <v>0</v>
      </c>
      <c r="AD253">
        <f t="shared" si="73"/>
        <v>0</v>
      </c>
      <c r="AE253">
        <f t="shared" si="74"/>
        <v>0</v>
      </c>
      <c r="AF253">
        <f t="shared" si="75"/>
        <v>0</v>
      </c>
      <c r="AG253">
        <v>252</v>
      </c>
      <c r="AH253">
        <f t="shared" si="83"/>
        <v>0</v>
      </c>
      <c r="AI253">
        <f>IF(AG253&gt;='Loan Prepayment'!$E$11,'Loan Prepayment'!$E$12,'Loan Prepayment'!$B$6)</f>
        <v>7.5</v>
      </c>
      <c r="AJ253">
        <f>IF(AH253&lt;=0,0,MIN(IF(AG253='Loan Prepayment'!$E$11,IF('Loan Prepayment'!$E$13="Keep tenure, recalculate EMI",-PMT(AI253/1200,MAX(1,'Loan Prepayment'!$B$7*12-AG253+1),AH253),AJ252),IF(AND('Loan Prepayment'!$E$15="Reduce EMI",AM252&gt;0),-PMT(AI253/1200,MAX(1,'Loan Prepayment'!$B$7*12-AG253+1),AH253),AJ252)),AH253+AK253))</f>
        <v>0</v>
      </c>
      <c r="AK253">
        <f t="shared" si="76"/>
        <v>0</v>
      </c>
      <c r="AL253">
        <f t="shared" si="77"/>
        <v>0</v>
      </c>
      <c r="AM253">
        <f>IF(AH253&lt;=0,0,MIN(MAX(0,AH253-AL253),SUMIFS('Loan Prepayment'!$B$12:$B$16,'Loan Prepayment'!$A$12:$A$16,AG253)+IF(AND(AG253&gt;='Loan Prepayment'!$B$9,AG253&lt;='Loan Prepayment'!$E$16),'Loan Prepayment'!$B$8,0)))</f>
        <v>0</v>
      </c>
      <c r="AN253">
        <f t="shared" si="78"/>
        <v>0</v>
      </c>
    </row>
    <row r="254" spans="1:40" x14ac:dyDescent="0.35">
      <c r="A254">
        <v>253</v>
      </c>
      <c r="B254">
        <f t="shared" si="79"/>
        <v>0</v>
      </c>
      <c r="C254" s="78">
        <f>'Loan Prepayment'!$B$6</f>
        <v>8.5</v>
      </c>
      <c r="D254">
        <f>IF(B254&lt;=0,0,MIN(-PMT('Loan Prepayment'!$B$6/1200,'Loan Prepayment'!$B$7*12,'Loan Prepayment'!$B$5),B254+E254))</f>
        <v>0</v>
      </c>
      <c r="E254">
        <f t="shared" si="63"/>
        <v>0</v>
      </c>
      <c r="F254">
        <f t="shared" si="64"/>
        <v>0</v>
      </c>
      <c r="G254">
        <v>0</v>
      </c>
      <c r="H254">
        <f t="shared" si="65"/>
        <v>0</v>
      </c>
      <c r="I254">
        <v>253</v>
      </c>
      <c r="J254">
        <f t="shared" si="80"/>
        <v>0</v>
      </c>
      <c r="K254" s="78">
        <f>'Loan Prepayment'!$B$6</f>
        <v>8.5</v>
      </c>
      <c r="L254">
        <f>IF(J254&lt;=0,0,MIN(IF(AND('Loan Prepayment'!$E$15="Reduce EMI",O253&gt;0),-PMT(K254/1200,MAX(1,'Loan Prepayment'!$B$7*12-I254+1),J254),L253),J254+M254))</f>
        <v>0</v>
      </c>
      <c r="M254">
        <f t="shared" si="66"/>
        <v>0</v>
      </c>
      <c r="N254">
        <f t="shared" si="67"/>
        <v>0</v>
      </c>
      <c r="O254">
        <f>IF(J254&lt;=0,0,MIN(MAX(0,J254-N254),SUMIFS('Loan Prepayment'!$B$12:$B$16,'Loan Prepayment'!$A$12:$A$16,I254)+0))</f>
        <v>0</v>
      </c>
      <c r="P254">
        <f t="shared" si="68"/>
        <v>0</v>
      </c>
      <c r="Q254">
        <v>253</v>
      </c>
      <c r="R254">
        <f t="shared" si="81"/>
        <v>0</v>
      </c>
      <c r="S254" s="78">
        <f>'Loan Prepayment'!$B$6</f>
        <v>8.5</v>
      </c>
      <c r="T254">
        <f>IF(R254&lt;=0,0,MIN(IF(AND('Loan Prepayment'!$E$15="Reduce EMI",W253&gt;0),-PMT(S254/1200,MAX(1,'Loan Prepayment'!$B$7*12-Q254+1),R254),T253),R254+U254))</f>
        <v>0</v>
      </c>
      <c r="U254">
        <f t="shared" si="69"/>
        <v>0</v>
      </c>
      <c r="V254">
        <f t="shared" si="70"/>
        <v>0</v>
      </c>
      <c r="W254">
        <f>IF(R254&lt;=0,0,MIN(MAX(0,R254-V254),0+IF(AND(Q254&gt;='Loan Prepayment'!$B$9,Q254&lt;='Loan Prepayment'!$E$16),'Loan Prepayment'!$B$8,0)))</f>
        <v>0</v>
      </c>
      <c r="X254">
        <f t="shared" si="71"/>
        <v>0</v>
      </c>
      <c r="Y254">
        <v>253</v>
      </c>
      <c r="Z254">
        <f t="shared" si="82"/>
        <v>0</v>
      </c>
      <c r="AA254">
        <f>IF(Y254&gt;='Loan Prepayment'!$E$11,'Loan Prepayment'!$E$12,'Loan Prepayment'!$B$6)</f>
        <v>7.5</v>
      </c>
      <c r="AB254">
        <f>IF(Z254&lt;=0,0,MIN(IF(Y254='Loan Prepayment'!$E$11,IF('Loan Prepayment'!$E$13="Keep tenure, recalculate EMI",-PMT(AA254/1200,MAX(1,'Loan Prepayment'!$B$7*12-Y254+1),Z254),AB253),AB253),Z254+AC254))</f>
        <v>0</v>
      </c>
      <c r="AC254">
        <f t="shared" si="72"/>
        <v>0</v>
      </c>
      <c r="AD254">
        <f t="shared" si="73"/>
        <v>0</v>
      </c>
      <c r="AE254">
        <f t="shared" si="74"/>
        <v>0</v>
      </c>
      <c r="AF254">
        <f t="shared" si="75"/>
        <v>0</v>
      </c>
      <c r="AG254">
        <v>253</v>
      </c>
      <c r="AH254">
        <f t="shared" si="83"/>
        <v>0</v>
      </c>
      <c r="AI254">
        <f>IF(AG254&gt;='Loan Prepayment'!$E$11,'Loan Prepayment'!$E$12,'Loan Prepayment'!$B$6)</f>
        <v>7.5</v>
      </c>
      <c r="AJ254">
        <f>IF(AH254&lt;=0,0,MIN(IF(AG254='Loan Prepayment'!$E$11,IF('Loan Prepayment'!$E$13="Keep tenure, recalculate EMI",-PMT(AI254/1200,MAX(1,'Loan Prepayment'!$B$7*12-AG254+1),AH254),AJ253),IF(AND('Loan Prepayment'!$E$15="Reduce EMI",AM253&gt;0),-PMT(AI254/1200,MAX(1,'Loan Prepayment'!$B$7*12-AG254+1),AH254),AJ253)),AH254+AK254))</f>
        <v>0</v>
      </c>
      <c r="AK254">
        <f t="shared" si="76"/>
        <v>0</v>
      </c>
      <c r="AL254">
        <f t="shared" si="77"/>
        <v>0</v>
      </c>
      <c r="AM254">
        <f>IF(AH254&lt;=0,0,MIN(MAX(0,AH254-AL254),SUMIFS('Loan Prepayment'!$B$12:$B$16,'Loan Prepayment'!$A$12:$A$16,AG254)+IF(AND(AG254&gt;='Loan Prepayment'!$B$9,AG254&lt;='Loan Prepayment'!$E$16),'Loan Prepayment'!$B$8,0)))</f>
        <v>0</v>
      </c>
      <c r="AN254">
        <f t="shared" si="78"/>
        <v>0</v>
      </c>
    </row>
    <row r="255" spans="1:40" x14ac:dyDescent="0.35">
      <c r="A255">
        <v>254</v>
      </c>
      <c r="B255">
        <f t="shared" si="79"/>
        <v>0</v>
      </c>
      <c r="C255" s="78">
        <f>'Loan Prepayment'!$B$6</f>
        <v>8.5</v>
      </c>
      <c r="D255">
        <f>IF(B255&lt;=0,0,MIN(-PMT('Loan Prepayment'!$B$6/1200,'Loan Prepayment'!$B$7*12,'Loan Prepayment'!$B$5),B255+E255))</f>
        <v>0</v>
      </c>
      <c r="E255">
        <f t="shared" si="63"/>
        <v>0</v>
      </c>
      <c r="F255">
        <f t="shared" si="64"/>
        <v>0</v>
      </c>
      <c r="G255">
        <v>0</v>
      </c>
      <c r="H255">
        <f t="shared" si="65"/>
        <v>0</v>
      </c>
      <c r="I255">
        <v>254</v>
      </c>
      <c r="J255">
        <f t="shared" si="80"/>
        <v>0</v>
      </c>
      <c r="K255" s="78">
        <f>'Loan Prepayment'!$B$6</f>
        <v>8.5</v>
      </c>
      <c r="L255">
        <f>IF(J255&lt;=0,0,MIN(IF(AND('Loan Prepayment'!$E$15="Reduce EMI",O254&gt;0),-PMT(K255/1200,MAX(1,'Loan Prepayment'!$B$7*12-I255+1),J255),L254),J255+M255))</f>
        <v>0</v>
      </c>
      <c r="M255">
        <f t="shared" si="66"/>
        <v>0</v>
      </c>
      <c r="N255">
        <f t="shared" si="67"/>
        <v>0</v>
      </c>
      <c r="O255">
        <f>IF(J255&lt;=0,0,MIN(MAX(0,J255-N255),SUMIFS('Loan Prepayment'!$B$12:$B$16,'Loan Prepayment'!$A$12:$A$16,I255)+0))</f>
        <v>0</v>
      </c>
      <c r="P255">
        <f t="shared" si="68"/>
        <v>0</v>
      </c>
      <c r="Q255">
        <v>254</v>
      </c>
      <c r="R255">
        <f t="shared" si="81"/>
        <v>0</v>
      </c>
      <c r="S255" s="78">
        <f>'Loan Prepayment'!$B$6</f>
        <v>8.5</v>
      </c>
      <c r="T255">
        <f>IF(R255&lt;=0,0,MIN(IF(AND('Loan Prepayment'!$E$15="Reduce EMI",W254&gt;0),-PMT(S255/1200,MAX(1,'Loan Prepayment'!$B$7*12-Q255+1),R255),T254),R255+U255))</f>
        <v>0</v>
      </c>
      <c r="U255">
        <f t="shared" si="69"/>
        <v>0</v>
      </c>
      <c r="V255">
        <f t="shared" si="70"/>
        <v>0</v>
      </c>
      <c r="W255">
        <f>IF(R255&lt;=0,0,MIN(MAX(0,R255-V255),0+IF(AND(Q255&gt;='Loan Prepayment'!$B$9,Q255&lt;='Loan Prepayment'!$E$16),'Loan Prepayment'!$B$8,0)))</f>
        <v>0</v>
      </c>
      <c r="X255">
        <f t="shared" si="71"/>
        <v>0</v>
      </c>
      <c r="Y255">
        <v>254</v>
      </c>
      <c r="Z255">
        <f t="shared" si="82"/>
        <v>0</v>
      </c>
      <c r="AA255">
        <f>IF(Y255&gt;='Loan Prepayment'!$E$11,'Loan Prepayment'!$E$12,'Loan Prepayment'!$B$6)</f>
        <v>7.5</v>
      </c>
      <c r="AB255">
        <f>IF(Z255&lt;=0,0,MIN(IF(Y255='Loan Prepayment'!$E$11,IF('Loan Prepayment'!$E$13="Keep tenure, recalculate EMI",-PMT(AA255/1200,MAX(1,'Loan Prepayment'!$B$7*12-Y255+1),Z255),AB254),AB254),Z255+AC255))</f>
        <v>0</v>
      </c>
      <c r="AC255">
        <f t="shared" si="72"/>
        <v>0</v>
      </c>
      <c r="AD255">
        <f t="shared" si="73"/>
        <v>0</v>
      </c>
      <c r="AE255">
        <f t="shared" si="74"/>
        <v>0</v>
      </c>
      <c r="AF255">
        <f t="shared" si="75"/>
        <v>0</v>
      </c>
      <c r="AG255">
        <v>254</v>
      </c>
      <c r="AH255">
        <f t="shared" si="83"/>
        <v>0</v>
      </c>
      <c r="AI255">
        <f>IF(AG255&gt;='Loan Prepayment'!$E$11,'Loan Prepayment'!$E$12,'Loan Prepayment'!$B$6)</f>
        <v>7.5</v>
      </c>
      <c r="AJ255">
        <f>IF(AH255&lt;=0,0,MIN(IF(AG255='Loan Prepayment'!$E$11,IF('Loan Prepayment'!$E$13="Keep tenure, recalculate EMI",-PMT(AI255/1200,MAX(1,'Loan Prepayment'!$B$7*12-AG255+1),AH255),AJ254),IF(AND('Loan Prepayment'!$E$15="Reduce EMI",AM254&gt;0),-PMT(AI255/1200,MAX(1,'Loan Prepayment'!$B$7*12-AG255+1),AH255),AJ254)),AH255+AK255))</f>
        <v>0</v>
      </c>
      <c r="AK255">
        <f t="shared" si="76"/>
        <v>0</v>
      </c>
      <c r="AL255">
        <f t="shared" si="77"/>
        <v>0</v>
      </c>
      <c r="AM255">
        <f>IF(AH255&lt;=0,0,MIN(MAX(0,AH255-AL255),SUMIFS('Loan Prepayment'!$B$12:$B$16,'Loan Prepayment'!$A$12:$A$16,AG255)+IF(AND(AG255&gt;='Loan Prepayment'!$B$9,AG255&lt;='Loan Prepayment'!$E$16),'Loan Prepayment'!$B$8,0)))</f>
        <v>0</v>
      </c>
      <c r="AN255">
        <f t="shared" si="78"/>
        <v>0</v>
      </c>
    </row>
    <row r="256" spans="1:40" x14ac:dyDescent="0.35">
      <c r="A256">
        <v>255</v>
      </c>
      <c r="B256">
        <f t="shared" si="79"/>
        <v>0</v>
      </c>
      <c r="C256" s="78">
        <f>'Loan Prepayment'!$B$6</f>
        <v>8.5</v>
      </c>
      <c r="D256">
        <f>IF(B256&lt;=0,0,MIN(-PMT('Loan Prepayment'!$B$6/1200,'Loan Prepayment'!$B$7*12,'Loan Prepayment'!$B$5),B256+E256))</f>
        <v>0</v>
      </c>
      <c r="E256">
        <f t="shared" si="63"/>
        <v>0</v>
      </c>
      <c r="F256">
        <f t="shared" si="64"/>
        <v>0</v>
      </c>
      <c r="G256">
        <v>0</v>
      </c>
      <c r="H256">
        <f t="shared" si="65"/>
        <v>0</v>
      </c>
      <c r="I256">
        <v>255</v>
      </c>
      <c r="J256">
        <f t="shared" si="80"/>
        <v>0</v>
      </c>
      <c r="K256" s="78">
        <f>'Loan Prepayment'!$B$6</f>
        <v>8.5</v>
      </c>
      <c r="L256">
        <f>IF(J256&lt;=0,0,MIN(IF(AND('Loan Prepayment'!$E$15="Reduce EMI",O255&gt;0),-PMT(K256/1200,MAX(1,'Loan Prepayment'!$B$7*12-I256+1),J256),L255),J256+M256))</f>
        <v>0</v>
      </c>
      <c r="M256">
        <f t="shared" si="66"/>
        <v>0</v>
      </c>
      <c r="N256">
        <f t="shared" si="67"/>
        <v>0</v>
      </c>
      <c r="O256">
        <f>IF(J256&lt;=0,0,MIN(MAX(0,J256-N256),SUMIFS('Loan Prepayment'!$B$12:$B$16,'Loan Prepayment'!$A$12:$A$16,I256)+0))</f>
        <v>0</v>
      </c>
      <c r="P256">
        <f t="shared" si="68"/>
        <v>0</v>
      </c>
      <c r="Q256">
        <v>255</v>
      </c>
      <c r="R256">
        <f t="shared" si="81"/>
        <v>0</v>
      </c>
      <c r="S256" s="78">
        <f>'Loan Prepayment'!$B$6</f>
        <v>8.5</v>
      </c>
      <c r="T256">
        <f>IF(R256&lt;=0,0,MIN(IF(AND('Loan Prepayment'!$E$15="Reduce EMI",W255&gt;0),-PMT(S256/1200,MAX(1,'Loan Prepayment'!$B$7*12-Q256+1),R256),T255),R256+U256))</f>
        <v>0</v>
      </c>
      <c r="U256">
        <f t="shared" si="69"/>
        <v>0</v>
      </c>
      <c r="V256">
        <f t="shared" si="70"/>
        <v>0</v>
      </c>
      <c r="W256">
        <f>IF(R256&lt;=0,0,MIN(MAX(0,R256-V256),0+IF(AND(Q256&gt;='Loan Prepayment'!$B$9,Q256&lt;='Loan Prepayment'!$E$16),'Loan Prepayment'!$B$8,0)))</f>
        <v>0</v>
      </c>
      <c r="X256">
        <f t="shared" si="71"/>
        <v>0</v>
      </c>
      <c r="Y256">
        <v>255</v>
      </c>
      <c r="Z256">
        <f t="shared" si="82"/>
        <v>0</v>
      </c>
      <c r="AA256">
        <f>IF(Y256&gt;='Loan Prepayment'!$E$11,'Loan Prepayment'!$E$12,'Loan Prepayment'!$B$6)</f>
        <v>7.5</v>
      </c>
      <c r="AB256">
        <f>IF(Z256&lt;=0,0,MIN(IF(Y256='Loan Prepayment'!$E$11,IF('Loan Prepayment'!$E$13="Keep tenure, recalculate EMI",-PMT(AA256/1200,MAX(1,'Loan Prepayment'!$B$7*12-Y256+1),Z256),AB255),AB255),Z256+AC256))</f>
        <v>0</v>
      </c>
      <c r="AC256">
        <f t="shared" si="72"/>
        <v>0</v>
      </c>
      <c r="AD256">
        <f t="shared" si="73"/>
        <v>0</v>
      </c>
      <c r="AE256">
        <f t="shared" si="74"/>
        <v>0</v>
      </c>
      <c r="AF256">
        <f t="shared" si="75"/>
        <v>0</v>
      </c>
      <c r="AG256">
        <v>255</v>
      </c>
      <c r="AH256">
        <f t="shared" si="83"/>
        <v>0</v>
      </c>
      <c r="AI256">
        <f>IF(AG256&gt;='Loan Prepayment'!$E$11,'Loan Prepayment'!$E$12,'Loan Prepayment'!$B$6)</f>
        <v>7.5</v>
      </c>
      <c r="AJ256">
        <f>IF(AH256&lt;=0,0,MIN(IF(AG256='Loan Prepayment'!$E$11,IF('Loan Prepayment'!$E$13="Keep tenure, recalculate EMI",-PMT(AI256/1200,MAX(1,'Loan Prepayment'!$B$7*12-AG256+1),AH256),AJ255),IF(AND('Loan Prepayment'!$E$15="Reduce EMI",AM255&gt;0),-PMT(AI256/1200,MAX(1,'Loan Prepayment'!$B$7*12-AG256+1),AH256),AJ255)),AH256+AK256))</f>
        <v>0</v>
      </c>
      <c r="AK256">
        <f t="shared" si="76"/>
        <v>0</v>
      </c>
      <c r="AL256">
        <f t="shared" si="77"/>
        <v>0</v>
      </c>
      <c r="AM256">
        <f>IF(AH256&lt;=0,0,MIN(MAX(0,AH256-AL256),SUMIFS('Loan Prepayment'!$B$12:$B$16,'Loan Prepayment'!$A$12:$A$16,AG256)+IF(AND(AG256&gt;='Loan Prepayment'!$B$9,AG256&lt;='Loan Prepayment'!$E$16),'Loan Prepayment'!$B$8,0)))</f>
        <v>0</v>
      </c>
      <c r="AN256">
        <f t="shared" si="78"/>
        <v>0</v>
      </c>
    </row>
    <row r="257" spans="1:40" x14ac:dyDescent="0.35">
      <c r="A257">
        <v>256</v>
      </c>
      <c r="B257">
        <f t="shared" si="79"/>
        <v>0</v>
      </c>
      <c r="C257" s="78">
        <f>'Loan Prepayment'!$B$6</f>
        <v>8.5</v>
      </c>
      <c r="D257">
        <f>IF(B257&lt;=0,0,MIN(-PMT('Loan Prepayment'!$B$6/1200,'Loan Prepayment'!$B$7*12,'Loan Prepayment'!$B$5),B257+E257))</f>
        <v>0</v>
      </c>
      <c r="E257">
        <f t="shared" si="63"/>
        <v>0</v>
      </c>
      <c r="F257">
        <f t="shared" si="64"/>
        <v>0</v>
      </c>
      <c r="G257">
        <v>0</v>
      </c>
      <c r="H257">
        <f t="shared" si="65"/>
        <v>0</v>
      </c>
      <c r="I257">
        <v>256</v>
      </c>
      <c r="J257">
        <f t="shared" si="80"/>
        <v>0</v>
      </c>
      <c r="K257" s="78">
        <f>'Loan Prepayment'!$B$6</f>
        <v>8.5</v>
      </c>
      <c r="L257">
        <f>IF(J257&lt;=0,0,MIN(IF(AND('Loan Prepayment'!$E$15="Reduce EMI",O256&gt;0),-PMT(K257/1200,MAX(1,'Loan Prepayment'!$B$7*12-I257+1),J257),L256),J257+M257))</f>
        <v>0</v>
      </c>
      <c r="M257">
        <f t="shared" si="66"/>
        <v>0</v>
      </c>
      <c r="N257">
        <f t="shared" si="67"/>
        <v>0</v>
      </c>
      <c r="O257">
        <f>IF(J257&lt;=0,0,MIN(MAX(0,J257-N257),SUMIFS('Loan Prepayment'!$B$12:$B$16,'Loan Prepayment'!$A$12:$A$16,I257)+0))</f>
        <v>0</v>
      </c>
      <c r="P257">
        <f t="shared" si="68"/>
        <v>0</v>
      </c>
      <c r="Q257">
        <v>256</v>
      </c>
      <c r="R257">
        <f t="shared" si="81"/>
        <v>0</v>
      </c>
      <c r="S257" s="78">
        <f>'Loan Prepayment'!$B$6</f>
        <v>8.5</v>
      </c>
      <c r="T257">
        <f>IF(R257&lt;=0,0,MIN(IF(AND('Loan Prepayment'!$E$15="Reduce EMI",W256&gt;0),-PMT(S257/1200,MAX(1,'Loan Prepayment'!$B$7*12-Q257+1),R257),T256),R257+U257))</f>
        <v>0</v>
      </c>
      <c r="U257">
        <f t="shared" si="69"/>
        <v>0</v>
      </c>
      <c r="V257">
        <f t="shared" si="70"/>
        <v>0</v>
      </c>
      <c r="W257">
        <f>IF(R257&lt;=0,0,MIN(MAX(0,R257-V257),0+IF(AND(Q257&gt;='Loan Prepayment'!$B$9,Q257&lt;='Loan Prepayment'!$E$16),'Loan Prepayment'!$B$8,0)))</f>
        <v>0</v>
      </c>
      <c r="X257">
        <f t="shared" si="71"/>
        <v>0</v>
      </c>
      <c r="Y257">
        <v>256</v>
      </c>
      <c r="Z257">
        <f t="shared" si="82"/>
        <v>0</v>
      </c>
      <c r="AA257">
        <f>IF(Y257&gt;='Loan Prepayment'!$E$11,'Loan Prepayment'!$E$12,'Loan Prepayment'!$B$6)</f>
        <v>7.5</v>
      </c>
      <c r="AB257">
        <f>IF(Z257&lt;=0,0,MIN(IF(Y257='Loan Prepayment'!$E$11,IF('Loan Prepayment'!$E$13="Keep tenure, recalculate EMI",-PMT(AA257/1200,MAX(1,'Loan Prepayment'!$B$7*12-Y257+1),Z257),AB256),AB256),Z257+AC257))</f>
        <v>0</v>
      </c>
      <c r="AC257">
        <f t="shared" si="72"/>
        <v>0</v>
      </c>
      <c r="AD257">
        <f t="shared" si="73"/>
        <v>0</v>
      </c>
      <c r="AE257">
        <f t="shared" si="74"/>
        <v>0</v>
      </c>
      <c r="AF257">
        <f t="shared" si="75"/>
        <v>0</v>
      </c>
      <c r="AG257">
        <v>256</v>
      </c>
      <c r="AH257">
        <f t="shared" si="83"/>
        <v>0</v>
      </c>
      <c r="AI257">
        <f>IF(AG257&gt;='Loan Prepayment'!$E$11,'Loan Prepayment'!$E$12,'Loan Prepayment'!$B$6)</f>
        <v>7.5</v>
      </c>
      <c r="AJ257">
        <f>IF(AH257&lt;=0,0,MIN(IF(AG257='Loan Prepayment'!$E$11,IF('Loan Prepayment'!$E$13="Keep tenure, recalculate EMI",-PMT(AI257/1200,MAX(1,'Loan Prepayment'!$B$7*12-AG257+1),AH257),AJ256),IF(AND('Loan Prepayment'!$E$15="Reduce EMI",AM256&gt;0),-PMT(AI257/1200,MAX(1,'Loan Prepayment'!$B$7*12-AG257+1),AH257),AJ256)),AH257+AK257))</f>
        <v>0</v>
      </c>
      <c r="AK257">
        <f t="shared" si="76"/>
        <v>0</v>
      </c>
      <c r="AL257">
        <f t="shared" si="77"/>
        <v>0</v>
      </c>
      <c r="AM257">
        <f>IF(AH257&lt;=0,0,MIN(MAX(0,AH257-AL257),SUMIFS('Loan Prepayment'!$B$12:$B$16,'Loan Prepayment'!$A$12:$A$16,AG257)+IF(AND(AG257&gt;='Loan Prepayment'!$B$9,AG257&lt;='Loan Prepayment'!$E$16),'Loan Prepayment'!$B$8,0)))</f>
        <v>0</v>
      </c>
      <c r="AN257">
        <f t="shared" si="78"/>
        <v>0</v>
      </c>
    </row>
    <row r="258" spans="1:40" x14ac:dyDescent="0.35">
      <c r="A258">
        <v>257</v>
      </c>
      <c r="B258">
        <f t="shared" si="79"/>
        <v>0</v>
      </c>
      <c r="C258" s="78">
        <f>'Loan Prepayment'!$B$6</f>
        <v>8.5</v>
      </c>
      <c r="D258">
        <f>IF(B258&lt;=0,0,MIN(-PMT('Loan Prepayment'!$B$6/1200,'Loan Prepayment'!$B$7*12,'Loan Prepayment'!$B$5),B258+E258))</f>
        <v>0</v>
      </c>
      <c r="E258">
        <f t="shared" ref="E258:E321" si="84">IF(B258&lt;=0,0,B258*C258/1200)</f>
        <v>0</v>
      </c>
      <c r="F258">
        <f t="shared" ref="F258:F321" si="85">MAX(0,D258-E258)</f>
        <v>0</v>
      </c>
      <c r="G258">
        <v>0</v>
      </c>
      <c r="H258">
        <f t="shared" ref="H258:H321" si="86">MAX(0,B258-F258-G258)</f>
        <v>0</v>
      </c>
      <c r="I258">
        <v>257</v>
      </c>
      <c r="J258">
        <f t="shared" si="80"/>
        <v>0</v>
      </c>
      <c r="K258" s="78">
        <f>'Loan Prepayment'!$B$6</f>
        <v>8.5</v>
      </c>
      <c r="L258">
        <f>IF(J258&lt;=0,0,MIN(IF(AND('Loan Prepayment'!$E$15="Reduce EMI",O257&gt;0),-PMT(K258/1200,MAX(1,'Loan Prepayment'!$B$7*12-I258+1),J258),L257),J258+M258))</f>
        <v>0</v>
      </c>
      <c r="M258">
        <f t="shared" ref="M258:M321" si="87">IF(J258&lt;=0,0,J258*K258/1200)</f>
        <v>0</v>
      </c>
      <c r="N258">
        <f t="shared" ref="N258:N321" si="88">MAX(0,L258-M258)</f>
        <v>0</v>
      </c>
      <c r="O258">
        <f>IF(J258&lt;=0,0,MIN(MAX(0,J258-N258),SUMIFS('Loan Prepayment'!$B$12:$B$16,'Loan Prepayment'!$A$12:$A$16,I258)+0))</f>
        <v>0</v>
      </c>
      <c r="P258">
        <f t="shared" ref="P258:P321" si="89">MAX(0,J258-N258-O258)</f>
        <v>0</v>
      </c>
      <c r="Q258">
        <v>257</v>
      </c>
      <c r="R258">
        <f t="shared" si="81"/>
        <v>0</v>
      </c>
      <c r="S258" s="78">
        <f>'Loan Prepayment'!$B$6</f>
        <v>8.5</v>
      </c>
      <c r="T258">
        <f>IF(R258&lt;=0,0,MIN(IF(AND('Loan Prepayment'!$E$15="Reduce EMI",W257&gt;0),-PMT(S258/1200,MAX(1,'Loan Prepayment'!$B$7*12-Q258+1),R258),T257),R258+U258))</f>
        <v>0</v>
      </c>
      <c r="U258">
        <f t="shared" ref="U258:U321" si="90">IF(R258&lt;=0,0,R258*S258/1200)</f>
        <v>0</v>
      </c>
      <c r="V258">
        <f t="shared" ref="V258:V321" si="91">MAX(0,T258-U258)</f>
        <v>0</v>
      </c>
      <c r="W258">
        <f>IF(R258&lt;=0,0,MIN(MAX(0,R258-V258),0+IF(AND(Q258&gt;='Loan Prepayment'!$B$9,Q258&lt;='Loan Prepayment'!$E$16),'Loan Prepayment'!$B$8,0)))</f>
        <v>0</v>
      </c>
      <c r="X258">
        <f t="shared" ref="X258:X321" si="92">MAX(0,R258-V258-W258)</f>
        <v>0</v>
      </c>
      <c r="Y258">
        <v>257</v>
      </c>
      <c r="Z258">
        <f t="shared" si="82"/>
        <v>0</v>
      </c>
      <c r="AA258">
        <f>IF(Y258&gt;='Loan Prepayment'!$E$11,'Loan Prepayment'!$E$12,'Loan Prepayment'!$B$6)</f>
        <v>7.5</v>
      </c>
      <c r="AB258">
        <f>IF(Z258&lt;=0,0,MIN(IF(Y258='Loan Prepayment'!$E$11,IF('Loan Prepayment'!$E$13="Keep tenure, recalculate EMI",-PMT(AA258/1200,MAX(1,'Loan Prepayment'!$B$7*12-Y258+1),Z258),AB257),AB257),Z258+AC258))</f>
        <v>0</v>
      </c>
      <c r="AC258">
        <f t="shared" ref="AC258:AC321" si="93">IF(Z258&lt;=0,0,Z258*AA258/1200)</f>
        <v>0</v>
      </c>
      <c r="AD258">
        <f t="shared" ref="AD258:AD321" si="94">MAX(0,AB258-AC258)</f>
        <v>0</v>
      </c>
      <c r="AE258">
        <f t="shared" ref="AE258:AE321" si="95">IF(Z258&lt;=0,0,MIN(MAX(0,Z258-AD258),0))</f>
        <v>0</v>
      </c>
      <c r="AF258">
        <f t="shared" ref="AF258:AF321" si="96">MAX(0,Z258-AD258-AE258)</f>
        <v>0</v>
      </c>
      <c r="AG258">
        <v>257</v>
      </c>
      <c r="AH258">
        <f t="shared" si="83"/>
        <v>0</v>
      </c>
      <c r="AI258">
        <f>IF(AG258&gt;='Loan Prepayment'!$E$11,'Loan Prepayment'!$E$12,'Loan Prepayment'!$B$6)</f>
        <v>7.5</v>
      </c>
      <c r="AJ258">
        <f>IF(AH258&lt;=0,0,MIN(IF(AG258='Loan Prepayment'!$E$11,IF('Loan Prepayment'!$E$13="Keep tenure, recalculate EMI",-PMT(AI258/1200,MAX(1,'Loan Prepayment'!$B$7*12-AG258+1),AH258),AJ257),IF(AND('Loan Prepayment'!$E$15="Reduce EMI",AM257&gt;0),-PMT(AI258/1200,MAX(1,'Loan Prepayment'!$B$7*12-AG258+1),AH258),AJ257)),AH258+AK258))</f>
        <v>0</v>
      </c>
      <c r="AK258">
        <f t="shared" ref="AK258:AK321" si="97">IF(AH258&lt;=0,0,AH258*AI258/1200)</f>
        <v>0</v>
      </c>
      <c r="AL258">
        <f t="shared" ref="AL258:AL321" si="98">MAX(0,AJ258-AK258)</f>
        <v>0</v>
      </c>
      <c r="AM258">
        <f>IF(AH258&lt;=0,0,MIN(MAX(0,AH258-AL258),SUMIFS('Loan Prepayment'!$B$12:$B$16,'Loan Prepayment'!$A$12:$A$16,AG258)+IF(AND(AG258&gt;='Loan Prepayment'!$B$9,AG258&lt;='Loan Prepayment'!$E$16),'Loan Prepayment'!$B$8,0)))</f>
        <v>0</v>
      </c>
      <c r="AN258">
        <f t="shared" ref="AN258:AN321" si="99">MAX(0,AH258-AL258-AM258)</f>
        <v>0</v>
      </c>
    </row>
    <row r="259" spans="1:40" x14ac:dyDescent="0.35">
      <c r="A259">
        <v>258</v>
      </c>
      <c r="B259">
        <f t="shared" ref="B259:B322" si="100">H258</f>
        <v>0</v>
      </c>
      <c r="C259" s="78">
        <f>'Loan Prepayment'!$B$6</f>
        <v>8.5</v>
      </c>
      <c r="D259">
        <f>IF(B259&lt;=0,0,MIN(-PMT('Loan Prepayment'!$B$6/1200,'Loan Prepayment'!$B$7*12,'Loan Prepayment'!$B$5),B259+E259))</f>
        <v>0</v>
      </c>
      <c r="E259">
        <f t="shared" si="84"/>
        <v>0</v>
      </c>
      <c r="F259">
        <f t="shared" si="85"/>
        <v>0</v>
      </c>
      <c r="G259">
        <v>0</v>
      </c>
      <c r="H259">
        <f t="shared" si="86"/>
        <v>0</v>
      </c>
      <c r="I259">
        <v>258</v>
      </c>
      <c r="J259">
        <f t="shared" ref="J259:J322" si="101">P258</f>
        <v>0</v>
      </c>
      <c r="K259" s="78">
        <f>'Loan Prepayment'!$B$6</f>
        <v>8.5</v>
      </c>
      <c r="L259">
        <f>IF(J259&lt;=0,0,MIN(IF(AND('Loan Prepayment'!$E$15="Reduce EMI",O258&gt;0),-PMT(K259/1200,MAX(1,'Loan Prepayment'!$B$7*12-I259+1),J259),L258),J259+M259))</f>
        <v>0</v>
      </c>
      <c r="M259">
        <f t="shared" si="87"/>
        <v>0</v>
      </c>
      <c r="N259">
        <f t="shared" si="88"/>
        <v>0</v>
      </c>
      <c r="O259">
        <f>IF(J259&lt;=0,0,MIN(MAX(0,J259-N259),SUMIFS('Loan Prepayment'!$B$12:$B$16,'Loan Prepayment'!$A$12:$A$16,I259)+0))</f>
        <v>0</v>
      </c>
      <c r="P259">
        <f t="shared" si="89"/>
        <v>0</v>
      </c>
      <c r="Q259">
        <v>258</v>
      </c>
      <c r="R259">
        <f t="shared" ref="R259:R322" si="102">X258</f>
        <v>0</v>
      </c>
      <c r="S259" s="78">
        <f>'Loan Prepayment'!$B$6</f>
        <v>8.5</v>
      </c>
      <c r="T259">
        <f>IF(R259&lt;=0,0,MIN(IF(AND('Loan Prepayment'!$E$15="Reduce EMI",W258&gt;0),-PMT(S259/1200,MAX(1,'Loan Prepayment'!$B$7*12-Q259+1),R259),T258),R259+U259))</f>
        <v>0</v>
      </c>
      <c r="U259">
        <f t="shared" si="90"/>
        <v>0</v>
      </c>
      <c r="V259">
        <f t="shared" si="91"/>
        <v>0</v>
      </c>
      <c r="W259">
        <f>IF(R259&lt;=0,0,MIN(MAX(0,R259-V259),0+IF(AND(Q259&gt;='Loan Prepayment'!$B$9,Q259&lt;='Loan Prepayment'!$E$16),'Loan Prepayment'!$B$8,0)))</f>
        <v>0</v>
      </c>
      <c r="X259">
        <f t="shared" si="92"/>
        <v>0</v>
      </c>
      <c r="Y259">
        <v>258</v>
      </c>
      <c r="Z259">
        <f t="shared" ref="Z259:Z322" si="103">AF258</f>
        <v>0</v>
      </c>
      <c r="AA259">
        <f>IF(Y259&gt;='Loan Prepayment'!$E$11,'Loan Prepayment'!$E$12,'Loan Prepayment'!$B$6)</f>
        <v>7.5</v>
      </c>
      <c r="AB259">
        <f>IF(Z259&lt;=0,0,MIN(IF(Y259='Loan Prepayment'!$E$11,IF('Loan Prepayment'!$E$13="Keep tenure, recalculate EMI",-PMT(AA259/1200,MAX(1,'Loan Prepayment'!$B$7*12-Y259+1),Z259),AB258),AB258),Z259+AC259))</f>
        <v>0</v>
      </c>
      <c r="AC259">
        <f t="shared" si="93"/>
        <v>0</v>
      </c>
      <c r="AD259">
        <f t="shared" si="94"/>
        <v>0</v>
      </c>
      <c r="AE259">
        <f t="shared" si="95"/>
        <v>0</v>
      </c>
      <c r="AF259">
        <f t="shared" si="96"/>
        <v>0</v>
      </c>
      <c r="AG259">
        <v>258</v>
      </c>
      <c r="AH259">
        <f t="shared" ref="AH259:AH322" si="104">AN258</f>
        <v>0</v>
      </c>
      <c r="AI259">
        <f>IF(AG259&gt;='Loan Prepayment'!$E$11,'Loan Prepayment'!$E$12,'Loan Prepayment'!$B$6)</f>
        <v>7.5</v>
      </c>
      <c r="AJ259">
        <f>IF(AH259&lt;=0,0,MIN(IF(AG259='Loan Prepayment'!$E$11,IF('Loan Prepayment'!$E$13="Keep tenure, recalculate EMI",-PMT(AI259/1200,MAX(1,'Loan Prepayment'!$B$7*12-AG259+1),AH259),AJ258),IF(AND('Loan Prepayment'!$E$15="Reduce EMI",AM258&gt;0),-PMT(AI259/1200,MAX(1,'Loan Prepayment'!$B$7*12-AG259+1),AH259),AJ258)),AH259+AK259))</f>
        <v>0</v>
      </c>
      <c r="AK259">
        <f t="shared" si="97"/>
        <v>0</v>
      </c>
      <c r="AL259">
        <f t="shared" si="98"/>
        <v>0</v>
      </c>
      <c r="AM259">
        <f>IF(AH259&lt;=0,0,MIN(MAX(0,AH259-AL259),SUMIFS('Loan Prepayment'!$B$12:$B$16,'Loan Prepayment'!$A$12:$A$16,AG259)+IF(AND(AG259&gt;='Loan Prepayment'!$B$9,AG259&lt;='Loan Prepayment'!$E$16),'Loan Prepayment'!$B$8,0)))</f>
        <v>0</v>
      </c>
      <c r="AN259">
        <f t="shared" si="99"/>
        <v>0</v>
      </c>
    </row>
    <row r="260" spans="1:40" x14ac:dyDescent="0.35">
      <c r="A260">
        <v>259</v>
      </c>
      <c r="B260">
        <f t="shared" si="100"/>
        <v>0</v>
      </c>
      <c r="C260" s="78">
        <f>'Loan Prepayment'!$B$6</f>
        <v>8.5</v>
      </c>
      <c r="D260">
        <f>IF(B260&lt;=0,0,MIN(-PMT('Loan Prepayment'!$B$6/1200,'Loan Prepayment'!$B$7*12,'Loan Prepayment'!$B$5),B260+E260))</f>
        <v>0</v>
      </c>
      <c r="E260">
        <f t="shared" si="84"/>
        <v>0</v>
      </c>
      <c r="F260">
        <f t="shared" si="85"/>
        <v>0</v>
      </c>
      <c r="G260">
        <v>0</v>
      </c>
      <c r="H260">
        <f t="shared" si="86"/>
        <v>0</v>
      </c>
      <c r="I260">
        <v>259</v>
      </c>
      <c r="J260">
        <f t="shared" si="101"/>
        <v>0</v>
      </c>
      <c r="K260" s="78">
        <f>'Loan Prepayment'!$B$6</f>
        <v>8.5</v>
      </c>
      <c r="L260">
        <f>IF(J260&lt;=0,0,MIN(IF(AND('Loan Prepayment'!$E$15="Reduce EMI",O259&gt;0),-PMT(K260/1200,MAX(1,'Loan Prepayment'!$B$7*12-I260+1),J260),L259),J260+M260))</f>
        <v>0</v>
      </c>
      <c r="M260">
        <f t="shared" si="87"/>
        <v>0</v>
      </c>
      <c r="N260">
        <f t="shared" si="88"/>
        <v>0</v>
      </c>
      <c r="O260">
        <f>IF(J260&lt;=0,0,MIN(MAX(0,J260-N260),SUMIFS('Loan Prepayment'!$B$12:$B$16,'Loan Prepayment'!$A$12:$A$16,I260)+0))</f>
        <v>0</v>
      </c>
      <c r="P260">
        <f t="shared" si="89"/>
        <v>0</v>
      </c>
      <c r="Q260">
        <v>259</v>
      </c>
      <c r="R260">
        <f t="shared" si="102"/>
        <v>0</v>
      </c>
      <c r="S260" s="78">
        <f>'Loan Prepayment'!$B$6</f>
        <v>8.5</v>
      </c>
      <c r="T260">
        <f>IF(R260&lt;=0,0,MIN(IF(AND('Loan Prepayment'!$E$15="Reduce EMI",W259&gt;0),-PMT(S260/1200,MAX(1,'Loan Prepayment'!$B$7*12-Q260+1),R260),T259),R260+U260))</f>
        <v>0</v>
      </c>
      <c r="U260">
        <f t="shared" si="90"/>
        <v>0</v>
      </c>
      <c r="V260">
        <f t="shared" si="91"/>
        <v>0</v>
      </c>
      <c r="W260">
        <f>IF(R260&lt;=0,0,MIN(MAX(0,R260-V260),0+IF(AND(Q260&gt;='Loan Prepayment'!$B$9,Q260&lt;='Loan Prepayment'!$E$16),'Loan Prepayment'!$B$8,0)))</f>
        <v>0</v>
      </c>
      <c r="X260">
        <f t="shared" si="92"/>
        <v>0</v>
      </c>
      <c r="Y260">
        <v>259</v>
      </c>
      <c r="Z260">
        <f t="shared" si="103"/>
        <v>0</v>
      </c>
      <c r="AA260">
        <f>IF(Y260&gt;='Loan Prepayment'!$E$11,'Loan Prepayment'!$E$12,'Loan Prepayment'!$B$6)</f>
        <v>7.5</v>
      </c>
      <c r="AB260">
        <f>IF(Z260&lt;=0,0,MIN(IF(Y260='Loan Prepayment'!$E$11,IF('Loan Prepayment'!$E$13="Keep tenure, recalculate EMI",-PMT(AA260/1200,MAX(1,'Loan Prepayment'!$B$7*12-Y260+1),Z260),AB259),AB259),Z260+AC260))</f>
        <v>0</v>
      </c>
      <c r="AC260">
        <f t="shared" si="93"/>
        <v>0</v>
      </c>
      <c r="AD260">
        <f t="shared" si="94"/>
        <v>0</v>
      </c>
      <c r="AE260">
        <f t="shared" si="95"/>
        <v>0</v>
      </c>
      <c r="AF260">
        <f t="shared" si="96"/>
        <v>0</v>
      </c>
      <c r="AG260">
        <v>259</v>
      </c>
      <c r="AH260">
        <f t="shared" si="104"/>
        <v>0</v>
      </c>
      <c r="AI260">
        <f>IF(AG260&gt;='Loan Prepayment'!$E$11,'Loan Prepayment'!$E$12,'Loan Prepayment'!$B$6)</f>
        <v>7.5</v>
      </c>
      <c r="AJ260">
        <f>IF(AH260&lt;=0,0,MIN(IF(AG260='Loan Prepayment'!$E$11,IF('Loan Prepayment'!$E$13="Keep tenure, recalculate EMI",-PMT(AI260/1200,MAX(1,'Loan Prepayment'!$B$7*12-AG260+1),AH260),AJ259),IF(AND('Loan Prepayment'!$E$15="Reduce EMI",AM259&gt;0),-PMT(AI260/1200,MAX(1,'Loan Prepayment'!$B$7*12-AG260+1),AH260),AJ259)),AH260+AK260))</f>
        <v>0</v>
      </c>
      <c r="AK260">
        <f t="shared" si="97"/>
        <v>0</v>
      </c>
      <c r="AL260">
        <f t="shared" si="98"/>
        <v>0</v>
      </c>
      <c r="AM260">
        <f>IF(AH260&lt;=0,0,MIN(MAX(0,AH260-AL260),SUMIFS('Loan Prepayment'!$B$12:$B$16,'Loan Prepayment'!$A$12:$A$16,AG260)+IF(AND(AG260&gt;='Loan Prepayment'!$B$9,AG260&lt;='Loan Prepayment'!$E$16),'Loan Prepayment'!$B$8,0)))</f>
        <v>0</v>
      </c>
      <c r="AN260">
        <f t="shared" si="99"/>
        <v>0</v>
      </c>
    </row>
    <row r="261" spans="1:40" x14ac:dyDescent="0.35">
      <c r="A261">
        <v>260</v>
      </c>
      <c r="B261">
        <f t="shared" si="100"/>
        <v>0</v>
      </c>
      <c r="C261" s="78">
        <f>'Loan Prepayment'!$B$6</f>
        <v>8.5</v>
      </c>
      <c r="D261">
        <f>IF(B261&lt;=0,0,MIN(-PMT('Loan Prepayment'!$B$6/1200,'Loan Prepayment'!$B$7*12,'Loan Prepayment'!$B$5),B261+E261))</f>
        <v>0</v>
      </c>
      <c r="E261">
        <f t="shared" si="84"/>
        <v>0</v>
      </c>
      <c r="F261">
        <f t="shared" si="85"/>
        <v>0</v>
      </c>
      <c r="G261">
        <v>0</v>
      </c>
      <c r="H261">
        <f t="shared" si="86"/>
        <v>0</v>
      </c>
      <c r="I261">
        <v>260</v>
      </c>
      <c r="J261">
        <f t="shared" si="101"/>
        <v>0</v>
      </c>
      <c r="K261" s="78">
        <f>'Loan Prepayment'!$B$6</f>
        <v>8.5</v>
      </c>
      <c r="L261">
        <f>IF(J261&lt;=0,0,MIN(IF(AND('Loan Prepayment'!$E$15="Reduce EMI",O260&gt;0),-PMT(K261/1200,MAX(1,'Loan Prepayment'!$B$7*12-I261+1),J261),L260),J261+M261))</f>
        <v>0</v>
      </c>
      <c r="M261">
        <f t="shared" si="87"/>
        <v>0</v>
      </c>
      <c r="N261">
        <f t="shared" si="88"/>
        <v>0</v>
      </c>
      <c r="O261">
        <f>IF(J261&lt;=0,0,MIN(MAX(0,J261-N261),SUMIFS('Loan Prepayment'!$B$12:$B$16,'Loan Prepayment'!$A$12:$A$16,I261)+0))</f>
        <v>0</v>
      </c>
      <c r="P261">
        <f t="shared" si="89"/>
        <v>0</v>
      </c>
      <c r="Q261">
        <v>260</v>
      </c>
      <c r="R261">
        <f t="shared" si="102"/>
        <v>0</v>
      </c>
      <c r="S261" s="78">
        <f>'Loan Prepayment'!$B$6</f>
        <v>8.5</v>
      </c>
      <c r="T261">
        <f>IF(R261&lt;=0,0,MIN(IF(AND('Loan Prepayment'!$E$15="Reduce EMI",W260&gt;0),-PMT(S261/1200,MAX(1,'Loan Prepayment'!$B$7*12-Q261+1),R261),T260),R261+U261))</f>
        <v>0</v>
      </c>
      <c r="U261">
        <f t="shared" si="90"/>
        <v>0</v>
      </c>
      <c r="V261">
        <f t="shared" si="91"/>
        <v>0</v>
      </c>
      <c r="W261">
        <f>IF(R261&lt;=0,0,MIN(MAX(0,R261-V261),0+IF(AND(Q261&gt;='Loan Prepayment'!$B$9,Q261&lt;='Loan Prepayment'!$E$16),'Loan Prepayment'!$B$8,0)))</f>
        <v>0</v>
      </c>
      <c r="X261">
        <f t="shared" si="92"/>
        <v>0</v>
      </c>
      <c r="Y261">
        <v>260</v>
      </c>
      <c r="Z261">
        <f t="shared" si="103"/>
        <v>0</v>
      </c>
      <c r="AA261">
        <f>IF(Y261&gt;='Loan Prepayment'!$E$11,'Loan Prepayment'!$E$12,'Loan Prepayment'!$B$6)</f>
        <v>7.5</v>
      </c>
      <c r="AB261">
        <f>IF(Z261&lt;=0,0,MIN(IF(Y261='Loan Prepayment'!$E$11,IF('Loan Prepayment'!$E$13="Keep tenure, recalculate EMI",-PMT(AA261/1200,MAX(1,'Loan Prepayment'!$B$7*12-Y261+1),Z261),AB260),AB260),Z261+AC261))</f>
        <v>0</v>
      </c>
      <c r="AC261">
        <f t="shared" si="93"/>
        <v>0</v>
      </c>
      <c r="AD261">
        <f t="shared" si="94"/>
        <v>0</v>
      </c>
      <c r="AE261">
        <f t="shared" si="95"/>
        <v>0</v>
      </c>
      <c r="AF261">
        <f t="shared" si="96"/>
        <v>0</v>
      </c>
      <c r="AG261">
        <v>260</v>
      </c>
      <c r="AH261">
        <f t="shared" si="104"/>
        <v>0</v>
      </c>
      <c r="AI261">
        <f>IF(AG261&gt;='Loan Prepayment'!$E$11,'Loan Prepayment'!$E$12,'Loan Prepayment'!$B$6)</f>
        <v>7.5</v>
      </c>
      <c r="AJ261">
        <f>IF(AH261&lt;=0,0,MIN(IF(AG261='Loan Prepayment'!$E$11,IF('Loan Prepayment'!$E$13="Keep tenure, recalculate EMI",-PMT(AI261/1200,MAX(1,'Loan Prepayment'!$B$7*12-AG261+1),AH261),AJ260),IF(AND('Loan Prepayment'!$E$15="Reduce EMI",AM260&gt;0),-PMT(AI261/1200,MAX(1,'Loan Prepayment'!$B$7*12-AG261+1),AH261),AJ260)),AH261+AK261))</f>
        <v>0</v>
      </c>
      <c r="AK261">
        <f t="shared" si="97"/>
        <v>0</v>
      </c>
      <c r="AL261">
        <f t="shared" si="98"/>
        <v>0</v>
      </c>
      <c r="AM261">
        <f>IF(AH261&lt;=0,0,MIN(MAX(0,AH261-AL261),SUMIFS('Loan Prepayment'!$B$12:$B$16,'Loan Prepayment'!$A$12:$A$16,AG261)+IF(AND(AG261&gt;='Loan Prepayment'!$B$9,AG261&lt;='Loan Prepayment'!$E$16),'Loan Prepayment'!$B$8,0)))</f>
        <v>0</v>
      </c>
      <c r="AN261">
        <f t="shared" si="99"/>
        <v>0</v>
      </c>
    </row>
    <row r="262" spans="1:40" x14ac:dyDescent="0.35">
      <c r="A262">
        <v>261</v>
      </c>
      <c r="B262">
        <f t="shared" si="100"/>
        <v>0</v>
      </c>
      <c r="C262" s="78">
        <f>'Loan Prepayment'!$B$6</f>
        <v>8.5</v>
      </c>
      <c r="D262">
        <f>IF(B262&lt;=0,0,MIN(-PMT('Loan Prepayment'!$B$6/1200,'Loan Prepayment'!$B$7*12,'Loan Prepayment'!$B$5),B262+E262))</f>
        <v>0</v>
      </c>
      <c r="E262">
        <f t="shared" si="84"/>
        <v>0</v>
      </c>
      <c r="F262">
        <f t="shared" si="85"/>
        <v>0</v>
      </c>
      <c r="G262">
        <v>0</v>
      </c>
      <c r="H262">
        <f t="shared" si="86"/>
        <v>0</v>
      </c>
      <c r="I262">
        <v>261</v>
      </c>
      <c r="J262">
        <f t="shared" si="101"/>
        <v>0</v>
      </c>
      <c r="K262" s="78">
        <f>'Loan Prepayment'!$B$6</f>
        <v>8.5</v>
      </c>
      <c r="L262">
        <f>IF(J262&lt;=0,0,MIN(IF(AND('Loan Prepayment'!$E$15="Reduce EMI",O261&gt;0),-PMT(K262/1200,MAX(1,'Loan Prepayment'!$B$7*12-I262+1),J262),L261),J262+M262))</f>
        <v>0</v>
      </c>
      <c r="M262">
        <f t="shared" si="87"/>
        <v>0</v>
      </c>
      <c r="N262">
        <f t="shared" si="88"/>
        <v>0</v>
      </c>
      <c r="O262">
        <f>IF(J262&lt;=0,0,MIN(MAX(0,J262-N262),SUMIFS('Loan Prepayment'!$B$12:$B$16,'Loan Prepayment'!$A$12:$A$16,I262)+0))</f>
        <v>0</v>
      </c>
      <c r="P262">
        <f t="shared" si="89"/>
        <v>0</v>
      </c>
      <c r="Q262">
        <v>261</v>
      </c>
      <c r="R262">
        <f t="shared" si="102"/>
        <v>0</v>
      </c>
      <c r="S262" s="78">
        <f>'Loan Prepayment'!$B$6</f>
        <v>8.5</v>
      </c>
      <c r="T262">
        <f>IF(R262&lt;=0,0,MIN(IF(AND('Loan Prepayment'!$E$15="Reduce EMI",W261&gt;0),-PMT(S262/1200,MAX(1,'Loan Prepayment'!$B$7*12-Q262+1),R262),T261),R262+U262))</f>
        <v>0</v>
      </c>
      <c r="U262">
        <f t="shared" si="90"/>
        <v>0</v>
      </c>
      <c r="V262">
        <f t="shared" si="91"/>
        <v>0</v>
      </c>
      <c r="W262">
        <f>IF(R262&lt;=0,0,MIN(MAX(0,R262-V262),0+IF(AND(Q262&gt;='Loan Prepayment'!$B$9,Q262&lt;='Loan Prepayment'!$E$16),'Loan Prepayment'!$B$8,0)))</f>
        <v>0</v>
      </c>
      <c r="X262">
        <f t="shared" si="92"/>
        <v>0</v>
      </c>
      <c r="Y262">
        <v>261</v>
      </c>
      <c r="Z262">
        <f t="shared" si="103"/>
        <v>0</v>
      </c>
      <c r="AA262">
        <f>IF(Y262&gt;='Loan Prepayment'!$E$11,'Loan Prepayment'!$E$12,'Loan Prepayment'!$B$6)</f>
        <v>7.5</v>
      </c>
      <c r="AB262">
        <f>IF(Z262&lt;=0,0,MIN(IF(Y262='Loan Prepayment'!$E$11,IF('Loan Prepayment'!$E$13="Keep tenure, recalculate EMI",-PMT(AA262/1200,MAX(1,'Loan Prepayment'!$B$7*12-Y262+1),Z262),AB261),AB261),Z262+AC262))</f>
        <v>0</v>
      </c>
      <c r="AC262">
        <f t="shared" si="93"/>
        <v>0</v>
      </c>
      <c r="AD262">
        <f t="shared" si="94"/>
        <v>0</v>
      </c>
      <c r="AE262">
        <f t="shared" si="95"/>
        <v>0</v>
      </c>
      <c r="AF262">
        <f t="shared" si="96"/>
        <v>0</v>
      </c>
      <c r="AG262">
        <v>261</v>
      </c>
      <c r="AH262">
        <f t="shared" si="104"/>
        <v>0</v>
      </c>
      <c r="AI262">
        <f>IF(AG262&gt;='Loan Prepayment'!$E$11,'Loan Prepayment'!$E$12,'Loan Prepayment'!$B$6)</f>
        <v>7.5</v>
      </c>
      <c r="AJ262">
        <f>IF(AH262&lt;=0,0,MIN(IF(AG262='Loan Prepayment'!$E$11,IF('Loan Prepayment'!$E$13="Keep tenure, recalculate EMI",-PMT(AI262/1200,MAX(1,'Loan Prepayment'!$B$7*12-AG262+1),AH262),AJ261),IF(AND('Loan Prepayment'!$E$15="Reduce EMI",AM261&gt;0),-PMT(AI262/1200,MAX(1,'Loan Prepayment'!$B$7*12-AG262+1),AH262),AJ261)),AH262+AK262))</f>
        <v>0</v>
      </c>
      <c r="AK262">
        <f t="shared" si="97"/>
        <v>0</v>
      </c>
      <c r="AL262">
        <f t="shared" si="98"/>
        <v>0</v>
      </c>
      <c r="AM262">
        <f>IF(AH262&lt;=0,0,MIN(MAX(0,AH262-AL262),SUMIFS('Loan Prepayment'!$B$12:$B$16,'Loan Prepayment'!$A$12:$A$16,AG262)+IF(AND(AG262&gt;='Loan Prepayment'!$B$9,AG262&lt;='Loan Prepayment'!$E$16),'Loan Prepayment'!$B$8,0)))</f>
        <v>0</v>
      </c>
      <c r="AN262">
        <f t="shared" si="99"/>
        <v>0</v>
      </c>
    </row>
    <row r="263" spans="1:40" x14ac:dyDescent="0.35">
      <c r="A263">
        <v>262</v>
      </c>
      <c r="B263">
        <f t="shared" si="100"/>
        <v>0</v>
      </c>
      <c r="C263" s="78">
        <f>'Loan Prepayment'!$B$6</f>
        <v>8.5</v>
      </c>
      <c r="D263">
        <f>IF(B263&lt;=0,0,MIN(-PMT('Loan Prepayment'!$B$6/1200,'Loan Prepayment'!$B$7*12,'Loan Prepayment'!$B$5),B263+E263))</f>
        <v>0</v>
      </c>
      <c r="E263">
        <f t="shared" si="84"/>
        <v>0</v>
      </c>
      <c r="F263">
        <f t="shared" si="85"/>
        <v>0</v>
      </c>
      <c r="G263">
        <v>0</v>
      </c>
      <c r="H263">
        <f t="shared" si="86"/>
        <v>0</v>
      </c>
      <c r="I263">
        <v>262</v>
      </c>
      <c r="J263">
        <f t="shared" si="101"/>
        <v>0</v>
      </c>
      <c r="K263" s="78">
        <f>'Loan Prepayment'!$B$6</f>
        <v>8.5</v>
      </c>
      <c r="L263">
        <f>IF(J263&lt;=0,0,MIN(IF(AND('Loan Prepayment'!$E$15="Reduce EMI",O262&gt;0),-PMT(K263/1200,MAX(1,'Loan Prepayment'!$B$7*12-I263+1),J263),L262),J263+M263))</f>
        <v>0</v>
      </c>
      <c r="M263">
        <f t="shared" si="87"/>
        <v>0</v>
      </c>
      <c r="N263">
        <f t="shared" si="88"/>
        <v>0</v>
      </c>
      <c r="O263">
        <f>IF(J263&lt;=0,0,MIN(MAX(0,J263-N263),SUMIFS('Loan Prepayment'!$B$12:$B$16,'Loan Prepayment'!$A$12:$A$16,I263)+0))</f>
        <v>0</v>
      </c>
      <c r="P263">
        <f t="shared" si="89"/>
        <v>0</v>
      </c>
      <c r="Q263">
        <v>262</v>
      </c>
      <c r="R263">
        <f t="shared" si="102"/>
        <v>0</v>
      </c>
      <c r="S263" s="78">
        <f>'Loan Prepayment'!$B$6</f>
        <v>8.5</v>
      </c>
      <c r="T263">
        <f>IF(R263&lt;=0,0,MIN(IF(AND('Loan Prepayment'!$E$15="Reduce EMI",W262&gt;0),-PMT(S263/1200,MAX(1,'Loan Prepayment'!$B$7*12-Q263+1),R263),T262),R263+U263))</f>
        <v>0</v>
      </c>
      <c r="U263">
        <f t="shared" si="90"/>
        <v>0</v>
      </c>
      <c r="V263">
        <f t="shared" si="91"/>
        <v>0</v>
      </c>
      <c r="W263">
        <f>IF(R263&lt;=0,0,MIN(MAX(0,R263-V263),0+IF(AND(Q263&gt;='Loan Prepayment'!$B$9,Q263&lt;='Loan Prepayment'!$E$16),'Loan Prepayment'!$B$8,0)))</f>
        <v>0</v>
      </c>
      <c r="X263">
        <f t="shared" si="92"/>
        <v>0</v>
      </c>
      <c r="Y263">
        <v>262</v>
      </c>
      <c r="Z263">
        <f t="shared" si="103"/>
        <v>0</v>
      </c>
      <c r="AA263">
        <f>IF(Y263&gt;='Loan Prepayment'!$E$11,'Loan Prepayment'!$E$12,'Loan Prepayment'!$B$6)</f>
        <v>7.5</v>
      </c>
      <c r="AB263">
        <f>IF(Z263&lt;=0,0,MIN(IF(Y263='Loan Prepayment'!$E$11,IF('Loan Prepayment'!$E$13="Keep tenure, recalculate EMI",-PMT(AA263/1200,MAX(1,'Loan Prepayment'!$B$7*12-Y263+1),Z263),AB262),AB262),Z263+AC263))</f>
        <v>0</v>
      </c>
      <c r="AC263">
        <f t="shared" si="93"/>
        <v>0</v>
      </c>
      <c r="AD263">
        <f t="shared" si="94"/>
        <v>0</v>
      </c>
      <c r="AE263">
        <f t="shared" si="95"/>
        <v>0</v>
      </c>
      <c r="AF263">
        <f t="shared" si="96"/>
        <v>0</v>
      </c>
      <c r="AG263">
        <v>262</v>
      </c>
      <c r="AH263">
        <f t="shared" si="104"/>
        <v>0</v>
      </c>
      <c r="AI263">
        <f>IF(AG263&gt;='Loan Prepayment'!$E$11,'Loan Prepayment'!$E$12,'Loan Prepayment'!$B$6)</f>
        <v>7.5</v>
      </c>
      <c r="AJ263">
        <f>IF(AH263&lt;=0,0,MIN(IF(AG263='Loan Prepayment'!$E$11,IF('Loan Prepayment'!$E$13="Keep tenure, recalculate EMI",-PMT(AI263/1200,MAX(1,'Loan Prepayment'!$B$7*12-AG263+1),AH263),AJ262),IF(AND('Loan Prepayment'!$E$15="Reduce EMI",AM262&gt;0),-PMT(AI263/1200,MAX(1,'Loan Prepayment'!$B$7*12-AG263+1),AH263),AJ262)),AH263+AK263))</f>
        <v>0</v>
      </c>
      <c r="AK263">
        <f t="shared" si="97"/>
        <v>0</v>
      </c>
      <c r="AL263">
        <f t="shared" si="98"/>
        <v>0</v>
      </c>
      <c r="AM263">
        <f>IF(AH263&lt;=0,0,MIN(MAX(0,AH263-AL263),SUMIFS('Loan Prepayment'!$B$12:$B$16,'Loan Prepayment'!$A$12:$A$16,AG263)+IF(AND(AG263&gt;='Loan Prepayment'!$B$9,AG263&lt;='Loan Prepayment'!$E$16),'Loan Prepayment'!$B$8,0)))</f>
        <v>0</v>
      </c>
      <c r="AN263">
        <f t="shared" si="99"/>
        <v>0</v>
      </c>
    </row>
    <row r="264" spans="1:40" x14ac:dyDescent="0.35">
      <c r="A264">
        <v>263</v>
      </c>
      <c r="B264">
        <f t="shared" si="100"/>
        <v>0</v>
      </c>
      <c r="C264" s="78">
        <f>'Loan Prepayment'!$B$6</f>
        <v>8.5</v>
      </c>
      <c r="D264">
        <f>IF(B264&lt;=0,0,MIN(-PMT('Loan Prepayment'!$B$6/1200,'Loan Prepayment'!$B$7*12,'Loan Prepayment'!$B$5),B264+E264))</f>
        <v>0</v>
      </c>
      <c r="E264">
        <f t="shared" si="84"/>
        <v>0</v>
      </c>
      <c r="F264">
        <f t="shared" si="85"/>
        <v>0</v>
      </c>
      <c r="G264">
        <v>0</v>
      </c>
      <c r="H264">
        <f t="shared" si="86"/>
        <v>0</v>
      </c>
      <c r="I264">
        <v>263</v>
      </c>
      <c r="J264">
        <f t="shared" si="101"/>
        <v>0</v>
      </c>
      <c r="K264" s="78">
        <f>'Loan Prepayment'!$B$6</f>
        <v>8.5</v>
      </c>
      <c r="L264">
        <f>IF(J264&lt;=0,0,MIN(IF(AND('Loan Prepayment'!$E$15="Reduce EMI",O263&gt;0),-PMT(K264/1200,MAX(1,'Loan Prepayment'!$B$7*12-I264+1),J264),L263),J264+M264))</f>
        <v>0</v>
      </c>
      <c r="M264">
        <f t="shared" si="87"/>
        <v>0</v>
      </c>
      <c r="N264">
        <f t="shared" si="88"/>
        <v>0</v>
      </c>
      <c r="O264">
        <f>IF(J264&lt;=0,0,MIN(MAX(0,J264-N264),SUMIFS('Loan Prepayment'!$B$12:$B$16,'Loan Prepayment'!$A$12:$A$16,I264)+0))</f>
        <v>0</v>
      </c>
      <c r="P264">
        <f t="shared" si="89"/>
        <v>0</v>
      </c>
      <c r="Q264">
        <v>263</v>
      </c>
      <c r="R264">
        <f t="shared" si="102"/>
        <v>0</v>
      </c>
      <c r="S264" s="78">
        <f>'Loan Prepayment'!$B$6</f>
        <v>8.5</v>
      </c>
      <c r="T264">
        <f>IF(R264&lt;=0,0,MIN(IF(AND('Loan Prepayment'!$E$15="Reduce EMI",W263&gt;0),-PMT(S264/1200,MAX(1,'Loan Prepayment'!$B$7*12-Q264+1),R264),T263),R264+U264))</f>
        <v>0</v>
      </c>
      <c r="U264">
        <f t="shared" si="90"/>
        <v>0</v>
      </c>
      <c r="V264">
        <f t="shared" si="91"/>
        <v>0</v>
      </c>
      <c r="W264">
        <f>IF(R264&lt;=0,0,MIN(MAX(0,R264-V264),0+IF(AND(Q264&gt;='Loan Prepayment'!$B$9,Q264&lt;='Loan Prepayment'!$E$16),'Loan Prepayment'!$B$8,0)))</f>
        <v>0</v>
      </c>
      <c r="X264">
        <f t="shared" si="92"/>
        <v>0</v>
      </c>
      <c r="Y264">
        <v>263</v>
      </c>
      <c r="Z264">
        <f t="shared" si="103"/>
        <v>0</v>
      </c>
      <c r="AA264">
        <f>IF(Y264&gt;='Loan Prepayment'!$E$11,'Loan Prepayment'!$E$12,'Loan Prepayment'!$B$6)</f>
        <v>7.5</v>
      </c>
      <c r="AB264">
        <f>IF(Z264&lt;=0,0,MIN(IF(Y264='Loan Prepayment'!$E$11,IF('Loan Prepayment'!$E$13="Keep tenure, recalculate EMI",-PMT(AA264/1200,MAX(1,'Loan Prepayment'!$B$7*12-Y264+1),Z264),AB263),AB263),Z264+AC264))</f>
        <v>0</v>
      </c>
      <c r="AC264">
        <f t="shared" si="93"/>
        <v>0</v>
      </c>
      <c r="AD264">
        <f t="shared" si="94"/>
        <v>0</v>
      </c>
      <c r="AE264">
        <f t="shared" si="95"/>
        <v>0</v>
      </c>
      <c r="AF264">
        <f t="shared" si="96"/>
        <v>0</v>
      </c>
      <c r="AG264">
        <v>263</v>
      </c>
      <c r="AH264">
        <f t="shared" si="104"/>
        <v>0</v>
      </c>
      <c r="AI264">
        <f>IF(AG264&gt;='Loan Prepayment'!$E$11,'Loan Prepayment'!$E$12,'Loan Prepayment'!$B$6)</f>
        <v>7.5</v>
      </c>
      <c r="AJ264">
        <f>IF(AH264&lt;=0,0,MIN(IF(AG264='Loan Prepayment'!$E$11,IF('Loan Prepayment'!$E$13="Keep tenure, recalculate EMI",-PMT(AI264/1200,MAX(1,'Loan Prepayment'!$B$7*12-AG264+1),AH264),AJ263),IF(AND('Loan Prepayment'!$E$15="Reduce EMI",AM263&gt;0),-PMT(AI264/1200,MAX(1,'Loan Prepayment'!$B$7*12-AG264+1),AH264),AJ263)),AH264+AK264))</f>
        <v>0</v>
      </c>
      <c r="AK264">
        <f t="shared" si="97"/>
        <v>0</v>
      </c>
      <c r="AL264">
        <f t="shared" si="98"/>
        <v>0</v>
      </c>
      <c r="AM264">
        <f>IF(AH264&lt;=0,0,MIN(MAX(0,AH264-AL264),SUMIFS('Loan Prepayment'!$B$12:$B$16,'Loan Prepayment'!$A$12:$A$16,AG264)+IF(AND(AG264&gt;='Loan Prepayment'!$B$9,AG264&lt;='Loan Prepayment'!$E$16),'Loan Prepayment'!$B$8,0)))</f>
        <v>0</v>
      </c>
      <c r="AN264">
        <f t="shared" si="99"/>
        <v>0</v>
      </c>
    </row>
    <row r="265" spans="1:40" x14ac:dyDescent="0.35">
      <c r="A265">
        <v>264</v>
      </c>
      <c r="B265">
        <f t="shared" si="100"/>
        <v>0</v>
      </c>
      <c r="C265" s="78">
        <f>'Loan Prepayment'!$B$6</f>
        <v>8.5</v>
      </c>
      <c r="D265">
        <f>IF(B265&lt;=0,0,MIN(-PMT('Loan Prepayment'!$B$6/1200,'Loan Prepayment'!$B$7*12,'Loan Prepayment'!$B$5),B265+E265))</f>
        <v>0</v>
      </c>
      <c r="E265">
        <f t="shared" si="84"/>
        <v>0</v>
      </c>
      <c r="F265">
        <f t="shared" si="85"/>
        <v>0</v>
      </c>
      <c r="G265">
        <v>0</v>
      </c>
      <c r="H265">
        <f t="shared" si="86"/>
        <v>0</v>
      </c>
      <c r="I265">
        <v>264</v>
      </c>
      <c r="J265">
        <f t="shared" si="101"/>
        <v>0</v>
      </c>
      <c r="K265" s="78">
        <f>'Loan Prepayment'!$B$6</f>
        <v>8.5</v>
      </c>
      <c r="L265">
        <f>IF(J265&lt;=0,0,MIN(IF(AND('Loan Prepayment'!$E$15="Reduce EMI",O264&gt;0),-PMT(K265/1200,MAX(1,'Loan Prepayment'!$B$7*12-I265+1),J265),L264),J265+M265))</f>
        <v>0</v>
      </c>
      <c r="M265">
        <f t="shared" si="87"/>
        <v>0</v>
      </c>
      <c r="N265">
        <f t="shared" si="88"/>
        <v>0</v>
      </c>
      <c r="O265">
        <f>IF(J265&lt;=0,0,MIN(MAX(0,J265-N265),SUMIFS('Loan Prepayment'!$B$12:$B$16,'Loan Prepayment'!$A$12:$A$16,I265)+0))</f>
        <v>0</v>
      </c>
      <c r="P265">
        <f t="shared" si="89"/>
        <v>0</v>
      </c>
      <c r="Q265">
        <v>264</v>
      </c>
      <c r="R265">
        <f t="shared" si="102"/>
        <v>0</v>
      </c>
      <c r="S265" s="78">
        <f>'Loan Prepayment'!$B$6</f>
        <v>8.5</v>
      </c>
      <c r="T265">
        <f>IF(R265&lt;=0,0,MIN(IF(AND('Loan Prepayment'!$E$15="Reduce EMI",W264&gt;0),-PMT(S265/1200,MAX(1,'Loan Prepayment'!$B$7*12-Q265+1),R265),T264),R265+U265))</f>
        <v>0</v>
      </c>
      <c r="U265">
        <f t="shared" si="90"/>
        <v>0</v>
      </c>
      <c r="V265">
        <f t="shared" si="91"/>
        <v>0</v>
      </c>
      <c r="W265">
        <f>IF(R265&lt;=0,0,MIN(MAX(0,R265-V265),0+IF(AND(Q265&gt;='Loan Prepayment'!$B$9,Q265&lt;='Loan Prepayment'!$E$16),'Loan Prepayment'!$B$8,0)))</f>
        <v>0</v>
      </c>
      <c r="X265">
        <f t="shared" si="92"/>
        <v>0</v>
      </c>
      <c r="Y265">
        <v>264</v>
      </c>
      <c r="Z265">
        <f t="shared" si="103"/>
        <v>0</v>
      </c>
      <c r="AA265">
        <f>IF(Y265&gt;='Loan Prepayment'!$E$11,'Loan Prepayment'!$E$12,'Loan Prepayment'!$B$6)</f>
        <v>7.5</v>
      </c>
      <c r="AB265">
        <f>IF(Z265&lt;=0,0,MIN(IF(Y265='Loan Prepayment'!$E$11,IF('Loan Prepayment'!$E$13="Keep tenure, recalculate EMI",-PMT(AA265/1200,MAX(1,'Loan Prepayment'!$B$7*12-Y265+1),Z265),AB264),AB264),Z265+AC265))</f>
        <v>0</v>
      </c>
      <c r="AC265">
        <f t="shared" si="93"/>
        <v>0</v>
      </c>
      <c r="AD265">
        <f t="shared" si="94"/>
        <v>0</v>
      </c>
      <c r="AE265">
        <f t="shared" si="95"/>
        <v>0</v>
      </c>
      <c r="AF265">
        <f t="shared" si="96"/>
        <v>0</v>
      </c>
      <c r="AG265">
        <v>264</v>
      </c>
      <c r="AH265">
        <f t="shared" si="104"/>
        <v>0</v>
      </c>
      <c r="AI265">
        <f>IF(AG265&gt;='Loan Prepayment'!$E$11,'Loan Prepayment'!$E$12,'Loan Prepayment'!$B$6)</f>
        <v>7.5</v>
      </c>
      <c r="AJ265">
        <f>IF(AH265&lt;=0,0,MIN(IF(AG265='Loan Prepayment'!$E$11,IF('Loan Prepayment'!$E$13="Keep tenure, recalculate EMI",-PMT(AI265/1200,MAX(1,'Loan Prepayment'!$B$7*12-AG265+1),AH265),AJ264),IF(AND('Loan Prepayment'!$E$15="Reduce EMI",AM264&gt;0),-PMT(AI265/1200,MAX(1,'Loan Prepayment'!$B$7*12-AG265+1),AH265),AJ264)),AH265+AK265))</f>
        <v>0</v>
      </c>
      <c r="AK265">
        <f t="shared" si="97"/>
        <v>0</v>
      </c>
      <c r="AL265">
        <f t="shared" si="98"/>
        <v>0</v>
      </c>
      <c r="AM265">
        <f>IF(AH265&lt;=0,0,MIN(MAX(0,AH265-AL265),SUMIFS('Loan Prepayment'!$B$12:$B$16,'Loan Prepayment'!$A$12:$A$16,AG265)+IF(AND(AG265&gt;='Loan Prepayment'!$B$9,AG265&lt;='Loan Prepayment'!$E$16),'Loan Prepayment'!$B$8,0)))</f>
        <v>0</v>
      </c>
      <c r="AN265">
        <f t="shared" si="99"/>
        <v>0</v>
      </c>
    </row>
    <row r="266" spans="1:40" x14ac:dyDescent="0.35">
      <c r="A266">
        <v>265</v>
      </c>
      <c r="B266">
        <f t="shared" si="100"/>
        <v>0</v>
      </c>
      <c r="C266" s="78">
        <f>'Loan Prepayment'!$B$6</f>
        <v>8.5</v>
      </c>
      <c r="D266">
        <f>IF(B266&lt;=0,0,MIN(-PMT('Loan Prepayment'!$B$6/1200,'Loan Prepayment'!$B$7*12,'Loan Prepayment'!$B$5),B266+E266))</f>
        <v>0</v>
      </c>
      <c r="E266">
        <f t="shared" si="84"/>
        <v>0</v>
      </c>
      <c r="F266">
        <f t="shared" si="85"/>
        <v>0</v>
      </c>
      <c r="G266">
        <v>0</v>
      </c>
      <c r="H266">
        <f t="shared" si="86"/>
        <v>0</v>
      </c>
      <c r="I266">
        <v>265</v>
      </c>
      <c r="J266">
        <f t="shared" si="101"/>
        <v>0</v>
      </c>
      <c r="K266" s="78">
        <f>'Loan Prepayment'!$B$6</f>
        <v>8.5</v>
      </c>
      <c r="L266">
        <f>IF(J266&lt;=0,0,MIN(IF(AND('Loan Prepayment'!$E$15="Reduce EMI",O265&gt;0),-PMT(K266/1200,MAX(1,'Loan Prepayment'!$B$7*12-I266+1),J266),L265),J266+M266))</f>
        <v>0</v>
      </c>
      <c r="M266">
        <f t="shared" si="87"/>
        <v>0</v>
      </c>
      <c r="N266">
        <f t="shared" si="88"/>
        <v>0</v>
      </c>
      <c r="O266">
        <f>IF(J266&lt;=0,0,MIN(MAX(0,J266-N266),SUMIFS('Loan Prepayment'!$B$12:$B$16,'Loan Prepayment'!$A$12:$A$16,I266)+0))</f>
        <v>0</v>
      </c>
      <c r="P266">
        <f t="shared" si="89"/>
        <v>0</v>
      </c>
      <c r="Q266">
        <v>265</v>
      </c>
      <c r="R266">
        <f t="shared" si="102"/>
        <v>0</v>
      </c>
      <c r="S266" s="78">
        <f>'Loan Prepayment'!$B$6</f>
        <v>8.5</v>
      </c>
      <c r="T266">
        <f>IF(R266&lt;=0,0,MIN(IF(AND('Loan Prepayment'!$E$15="Reduce EMI",W265&gt;0),-PMT(S266/1200,MAX(1,'Loan Prepayment'!$B$7*12-Q266+1),R266),T265),R266+U266))</f>
        <v>0</v>
      </c>
      <c r="U266">
        <f t="shared" si="90"/>
        <v>0</v>
      </c>
      <c r="V266">
        <f t="shared" si="91"/>
        <v>0</v>
      </c>
      <c r="W266">
        <f>IF(R266&lt;=0,0,MIN(MAX(0,R266-V266),0+IF(AND(Q266&gt;='Loan Prepayment'!$B$9,Q266&lt;='Loan Prepayment'!$E$16),'Loan Prepayment'!$B$8,0)))</f>
        <v>0</v>
      </c>
      <c r="X266">
        <f t="shared" si="92"/>
        <v>0</v>
      </c>
      <c r="Y266">
        <v>265</v>
      </c>
      <c r="Z266">
        <f t="shared" si="103"/>
        <v>0</v>
      </c>
      <c r="AA266">
        <f>IF(Y266&gt;='Loan Prepayment'!$E$11,'Loan Prepayment'!$E$12,'Loan Prepayment'!$B$6)</f>
        <v>7.5</v>
      </c>
      <c r="AB266">
        <f>IF(Z266&lt;=0,0,MIN(IF(Y266='Loan Prepayment'!$E$11,IF('Loan Prepayment'!$E$13="Keep tenure, recalculate EMI",-PMT(AA266/1200,MAX(1,'Loan Prepayment'!$B$7*12-Y266+1),Z266),AB265),AB265),Z266+AC266))</f>
        <v>0</v>
      </c>
      <c r="AC266">
        <f t="shared" si="93"/>
        <v>0</v>
      </c>
      <c r="AD266">
        <f t="shared" si="94"/>
        <v>0</v>
      </c>
      <c r="AE266">
        <f t="shared" si="95"/>
        <v>0</v>
      </c>
      <c r="AF266">
        <f t="shared" si="96"/>
        <v>0</v>
      </c>
      <c r="AG266">
        <v>265</v>
      </c>
      <c r="AH266">
        <f t="shared" si="104"/>
        <v>0</v>
      </c>
      <c r="AI266">
        <f>IF(AG266&gt;='Loan Prepayment'!$E$11,'Loan Prepayment'!$E$12,'Loan Prepayment'!$B$6)</f>
        <v>7.5</v>
      </c>
      <c r="AJ266">
        <f>IF(AH266&lt;=0,0,MIN(IF(AG266='Loan Prepayment'!$E$11,IF('Loan Prepayment'!$E$13="Keep tenure, recalculate EMI",-PMT(AI266/1200,MAX(1,'Loan Prepayment'!$B$7*12-AG266+1),AH266),AJ265),IF(AND('Loan Prepayment'!$E$15="Reduce EMI",AM265&gt;0),-PMT(AI266/1200,MAX(1,'Loan Prepayment'!$B$7*12-AG266+1),AH266),AJ265)),AH266+AK266))</f>
        <v>0</v>
      </c>
      <c r="AK266">
        <f t="shared" si="97"/>
        <v>0</v>
      </c>
      <c r="AL266">
        <f t="shared" si="98"/>
        <v>0</v>
      </c>
      <c r="AM266">
        <f>IF(AH266&lt;=0,0,MIN(MAX(0,AH266-AL266),SUMIFS('Loan Prepayment'!$B$12:$B$16,'Loan Prepayment'!$A$12:$A$16,AG266)+IF(AND(AG266&gt;='Loan Prepayment'!$B$9,AG266&lt;='Loan Prepayment'!$E$16),'Loan Prepayment'!$B$8,0)))</f>
        <v>0</v>
      </c>
      <c r="AN266">
        <f t="shared" si="99"/>
        <v>0</v>
      </c>
    </row>
    <row r="267" spans="1:40" x14ac:dyDescent="0.35">
      <c r="A267">
        <v>266</v>
      </c>
      <c r="B267">
        <f t="shared" si="100"/>
        <v>0</v>
      </c>
      <c r="C267" s="78">
        <f>'Loan Prepayment'!$B$6</f>
        <v>8.5</v>
      </c>
      <c r="D267">
        <f>IF(B267&lt;=0,0,MIN(-PMT('Loan Prepayment'!$B$6/1200,'Loan Prepayment'!$B$7*12,'Loan Prepayment'!$B$5),B267+E267))</f>
        <v>0</v>
      </c>
      <c r="E267">
        <f t="shared" si="84"/>
        <v>0</v>
      </c>
      <c r="F267">
        <f t="shared" si="85"/>
        <v>0</v>
      </c>
      <c r="G267">
        <v>0</v>
      </c>
      <c r="H267">
        <f t="shared" si="86"/>
        <v>0</v>
      </c>
      <c r="I267">
        <v>266</v>
      </c>
      <c r="J267">
        <f t="shared" si="101"/>
        <v>0</v>
      </c>
      <c r="K267" s="78">
        <f>'Loan Prepayment'!$B$6</f>
        <v>8.5</v>
      </c>
      <c r="L267">
        <f>IF(J267&lt;=0,0,MIN(IF(AND('Loan Prepayment'!$E$15="Reduce EMI",O266&gt;0),-PMT(K267/1200,MAX(1,'Loan Prepayment'!$B$7*12-I267+1),J267),L266),J267+M267))</f>
        <v>0</v>
      </c>
      <c r="M267">
        <f t="shared" si="87"/>
        <v>0</v>
      </c>
      <c r="N267">
        <f t="shared" si="88"/>
        <v>0</v>
      </c>
      <c r="O267">
        <f>IF(J267&lt;=0,0,MIN(MAX(0,J267-N267),SUMIFS('Loan Prepayment'!$B$12:$B$16,'Loan Prepayment'!$A$12:$A$16,I267)+0))</f>
        <v>0</v>
      </c>
      <c r="P267">
        <f t="shared" si="89"/>
        <v>0</v>
      </c>
      <c r="Q267">
        <v>266</v>
      </c>
      <c r="R267">
        <f t="shared" si="102"/>
        <v>0</v>
      </c>
      <c r="S267" s="78">
        <f>'Loan Prepayment'!$B$6</f>
        <v>8.5</v>
      </c>
      <c r="T267">
        <f>IF(R267&lt;=0,0,MIN(IF(AND('Loan Prepayment'!$E$15="Reduce EMI",W266&gt;0),-PMT(S267/1200,MAX(1,'Loan Prepayment'!$B$7*12-Q267+1),R267),T266),R267+U267))</f>
        <v>0</v>
      </c>
      <c r="U267">
        <f t="shared" si="90"/>
        <v>0</v>
      </c>
      <c r="V267">
        <f t="shared" si="91"/>
        <v>0</v>
      </c>
      <c r="W267">
        <f>IF(R267&lt;=0,0,MIN(MAX(0,R267-V267),0+IF(AND(Q267&gt;='Loan Prepayment'!$B$9,Q267&lt;='Loan Prepayment'!$E$16),'Loan Prepayment'!$B$8,0)))</f>
        <v>0</v>
      </c>
      <c r="X267">
        <f t="shared" si="92"/>
        <v>0</v>
      </c>
      <c r="Y267">
        <v>266</v>
      </c>
      <c r="Z267">
        <f t="shared" si="103"/>
        <v>0</v>
      </c>
      <c r="AA267">
        <f>IF(Y267&gt;='Loan Prepayment'!$E$11,'Loan Prepayment'!$E$12,'Loan Prepayment'!$B$6)</f>
        <v>7.5</v>
      </c>
      <c r="AB267">
        <f>IF(Z267&lt;=0,0,MIN(IF(Y267='Loan Prepayment'!$E$11,IF('Loan Prepayment'!$E$13="Keep tenure, recalculate EMI",-PMT(AA267/1200,MAX(1,'Loan Prepayment'!$B$7*12-Y267+1),Z267),AB266),AB266),Z267+AC267))</f>
        <v>0</v>
      </c>
      <c r="AC267">
        <f t="shared" si="93"/>
        <v>0</v>
      </c>
      <c r="AD267">
        <f t="shared" si="94"/>
        <v>0</v>
      </c>
      <c r="AE267">
        <f t="shared" si="95"/>
        <v>0</v>
      </c>
      <c r="AF267">
        <f t="shared" si="96"/>
        <v>0</v>
      </c>
      <c r="AG267">
        <v>266</v>
      </c>
      <c r="AH267">
        <f t="shared" si="104"/>
        <v>0</v>
      </c>
      <c r="AI267">
        <f>IF(AG267&gt;='Loan Prepayment'!$E$11,'Loan Prepayment'!$E$12,'Loan Prepayment'!$B$6)</f>
        <v>7.5</v>
      </c>
      <c r="AJ267">
        <f>IF(AH267&lt;=0,0,MIN(IF(AG267='Loan Prepayment'!$E$11,IF('Loan Prepayment'!$E$13="Keep tenure, recalculate EMI",-PMT(AI267/1200,MAX(1,'Loan Prepayment'!$B$7*12-AG267+1),AH267),AJ266),IF(AND('Loan Prepayment'!$E$15="Reduce EMI",AM266&gt;0),-PMT(AI267/1200,MAX(1,'Loan Prepayment'!$B$7*12-AG267+1),AH267),AJ266)),AH267+AK267))</f>
        <v>0</v>
      </c>
      <c r="AK267">
        <f t="shared" si="97"/>
        <v>0</v>
      </c>
      <c r="AL267">
        <f t="shared" si="98"/>
        <v>0</v>
      </c>
      <c r="AM267">
        <f>IF(AH267&lt;=0,0,MIN(MAX(0,AH267-AL267),SUMIFS('Loan Prepayment'!$B$12:$B$16,'Loan Prepayment'!$A$12:$A$16,AG267)+IF(AND(AG267&gt;='Loan Prepayment'!$B$9,AG267&lt;='Loan Prepayment'!$E$16),'Loan Prepayment'!$B$8,0)))</f>
        <v>0</v>
      </c>
      <c r="AN267">
        <f t="shared" si="99"/>
        <v>0</v>
      </c>
    </row>
    <row r="268" spans="1:40" x14ac:dyDescent="0.35">
      <c r="A268">
        <v>267</v>
      </c>
      <c r="B268">
        <f t="shared" si="100"/>
        <v>0</v>
      </c>
      <c r="C268" s="78">
        <f>'Loan Prepayment'!$B$6</f>
        <v>8.5</v>
      </c>
      <c r="D268">
        <f>IF(B268&lt;=0,0,MIN(-PMT('Loan Prepayment'!$B$6/1200,'Loan Prepayment'!$B$7*12,'Loan Prepayment'!$B$5),B268+E268))</f>
        <v>0</v>
      </c>
      <c r="E268">
        <f t="shared" si="84"/>
        <v>0</v>
      </c>
      <c r="F268">
        <f t="shared" si="85"/>
        <v>0</v>
      </c>
      <c r="G268">
        <v>0</v>
      </c>
      <c r="H268">
        <f t="shared" si="86"/>
        <v>0</v>
      </c>
      <c r="I268">
        <v>267</v>
      </c>
      <c r="J268">
        <f t="shared" si="101"/>
        <v>0</v>
      </c>
      <c r="K268" s="78">
        <f>'Loan Prepayment'!$B$6</f>
        <v>8.5</v>
      </c>
      <c r="L268">
        <f>IF(J268&lt;=0,0,MIN(IF(AND('Loan Prepayment'!$E$15="Reduce EMI",O267&gt;0),-PMT(K268/1200,MAX(1,'Loan Prepayment'!$B$7*12-I268+1),J268),L267),J268+M268))</f>
        <v>0</v>
      </c>
      <c r="M268">
        <f t="shared" si="87"/>
        <v>0</v>
      </c>
      <c r="N268">
        <f t="shared" si="88"/>
        <v>0</v>
      </c>
      <c r="O268">
        <f>IF(J268&lt;=0,0,MIN(MAX(0,J268-N268),SUMIFS('Loan Prepayment'!$B$12:$B$16,'Loan Prepayment'!$A$12:$A$16,I268)+0))</f>
        <v>0</v>
      </c>
      <c r="P268">
        <f t="shared" si="89"/>
        <v>0</v>
      </c>
      <c r="Q268">
        <v>267</v>
      </c>
      <c r="R268">
        <f t="shared" si="102"/>
        <v>0</v>
      </c>
      <c r="S268" s="78">
        <f>'Loan Prepayment'!$B$6</f>
        <v>8.5</v>
      </c>
      <c r="T268">
        <f>IF(R268&lt;=0,0,MIN(IF(AND('Loan Prepayment'!$E$15="Reduce EMI",W267&gt;0),-PMT(S268/1200,MAX(1,'Loan Prepayment'!$B$7*12-Q268+1),R268),T267),R268+U268))</f>
        <v>0</v>
      </c>
      <c r="U268">
        <f t="shared" si="90"/>
        <v>0</v>
      </c>
      <c r="V268">
        <f t="shared" si="91"/>
        <v>0</v>
      </c>
      <c r="W268">
        <f>IF(R268&lt;=0,0,MIN(MAX(0,R268-V268),0+IF(AND(Q268&gt;='Loan Prepayment'!$B$9,Q268&lt;='Loan Prepayment'!$E$16),'Loan Prepayment'!$B$8,0)))</f>
        <v>0</v>
      </c>
      <c r="X268">
        <f t="shared" si="92"/>
        <v>0</v>
      </c>
      <c r="Y268">
        <v>267</v>
      </c>
      <c r="Z268">
        <f t="shared" si="103"/>
        <v>0</v>
      </c>
      <c r="AA268">
        <f>IF(Y268&gt;='Loan Prepayment'!$E$11,'Loan Prepayment'!$E$12,'Loan Prepayment'!$B$6)</f>
        <v>7.5</v>
      </c>
      <c r="AB268">
        <f>IF(Z268&lt;=0,0,MIN(IF(Y268='Loan Prepayment'!$E$11,IF('Loan Prepayment'!$E$13="Keep tenure, recalculate EMI",-PMT(AA268/1200,MAX(1,'Loan Prepayment'!$B$7*12-Y268+1),Z268),AB267),AB267),Z268+AC268))</f>
        <v>0</v>
      </c>
      <c r="AC268">
        <f t="shared" si="93"/>
        <v>0</v>
      </c>
      <c r="AD268">
        <f t="shared" si="94"/>
        <v>0</v>
      </c>
      <c r="AE268">
        <f t="shared" si="95"/>
        <v>0</v>
      </c>
      <c r="AF268">
        <f t="shared" si="96"/>
        <v>0</v>
      </c>
      <c r="AG268">
        <v>267</v>
      </c>
      <c r="AH268">
        <f t="shared" si="104"/>
        <v>0</v>
      </c>
      <c r="AI268">
        <f>IF(AG268&gt;='Loan Prepayment'!$E$11,'Loan Prepayment'!$E$12,'Loan Prepayment'!$B$6)</f>
        <v>7.5</v>
      </c>
      <c r="AJ268">
        <f>IF(AH268&lt;=0,0,MIN(IF(AG268='Loan Prepayment'!$E$11,IF('Loan Prepayment'!$E$13="Keep tenure, recalculate EMI",-PMT(AI268/1200,MAX(1,'Loan Prepayment'!$B$7*12-AG268+1),AH268),AJ267),IF(AND('Loan Prepayment'!$E$15="Reduce EMI",AM267&gt;0),-PMT(AI268/1200,MAX(1,'Loan Prepayment'!$B$7*12-AG268+1),AH268),AJ267)),AH268+AK268))</f>
        <v>0</v>
      </c>
      <c r="AK268">
        <f t="shared" si="97"/>
        <v>0</v>
      </c>
      <c r="AL268">
        <f t="shared" si="98"/>
        <v>0</v>
      </c>
      <c r="AM268">
        <f>IF(AH268&lt;=0,0,MIN(MAX(0,AH268-AL268),SUMIFS('Loan Prepayment'!$B$12:$B$16,'Loan Prepayment'!$A$12:$A$16,AG268)+IF(AND(AG268&gt;='Loan Prepayment'!$B$9,AG268&lt;='Loan Prepayment'!$E$16),'Loan Prepayment'!$B$8,0)))</f>
        <v>0</v>
      </c>
      <c r="AN268">
        <f t="shared" si="99"/>
        <v>0</v>
      </c>
    </row>
    <row r="269" spans="1:40" x14ac:dyDescent="0.35">
      <c r="A269">
        <v>268</v>
      </c>
      <c r="B269">
        <f t="shared" si="100"/>
        <v>0</v>
      </c>
      <c r="C269" s="78">
        <f>'Loan Prepayment'!$B$6</f>
        <v>8.5</v>
      </c>
      <c r="D269">
        <f>IF(B269&lt;=0,0,MIN(-PMT('Loan Prepayment'!$B$6/1200,'Loan Prepayment'!$B$7*12,'Loan Prepayment'!$B$5),B269+E269))</f>
        <v>0</v>
      </c>
      <c r="E269">
        <f t="shared" si="84"/>
        <v>0</v>
      </c>
      <c r="F269">
        <f t="shared" si="85"/>
        <v>0</v>
      </c>
      <c r="G269">
        <v>0</v>
      </c>
      <c r="H269">
        <f t="shared" si="86"/>
        <v>0</v>
      </c>
      <c r="I269">
        <v>268</v>
      </c>
      <c r="J269">
        <f t="shared" si="101"/>
        <v>0</v>
      </c>
      <c r="K269" s="78">
        <f>'Loan Prepayment'!$B$6</f>
        <v>8.5</v>
      </c>
      <c r="L269">
        <f>IF(J269&lt;=0,0,MIN(IF(AND('Loan Prepayment'!$E$15="Reduce EMI",O268&gt;0),-PMT(K269/1200,MAX(1,'Loan Prepayment'!$B$7*12-I269+1),J269),L268),J269+M269))</f>
        <v>0</v>
      </c>
      <c r="M269">
        <f t="shared" si="87"/>
        <v>0</v>
      </c>
      <c r="N269">
        <f t="shared" si="88"/>
        <v>0</v>
      </c>
      <c r="O269">
        <f>IF(J269&lt;=0,0,MIN(MAX(0,J269-N269),SUMIFS('Loan Prepayment'!$B$12:$B$16,'Loan Prepayment'!$A$12:$A$16,I269)+0))</f>
        <v>0</v>
      </c>
      <c r="P269">
        <f t="shared" si="89"/>
        <v>0</v>
      </c>
      <c r="Q269">
        <v>268</v>
      </c>
      <c r="R269">
        <f t="shared" si="102"/>
        <v>0</v>
      </c>
      <c r="S269" s="78">
        <f>'Loan Prepayment'!$B$6</f>
        <v>8.5</v>
      </c>
      <c r="T269">
        <f>IF(R269&lt;=0,0,MIN(IF(AND('Loan Prepayment'!$E$15="Reduce EMI",W268&gt;0),-PMT(S269/1200,MAX(1,'Loan Prepayment'!$B$7*12-Q269+1),R269),T268),R269+U269))</f>
        <v>0</v>
      </c>
      <c r="U269">
        <f t="shared" si="90"/>
        <v>0</v>
      </c>
      <c r="V269">
        <f t="shared" si="91"/>
        <v>0</v>
      </c>
      <c r="W269">
        <f>IF(R269&lt;=0,0,MIN(MAX(0,R269-V269),0+IF(AND(Q269&gt;='Loan Prepayment'!$B$9,Q269&lt;='Loan Prepayment'!$E$16),'Loan Prepayment'!$B$8,0)))</f>
        <v>0</v>
      </c>
      <c r="X269">
        <f t="shared" si="92"/>
        <v>0</v>
      </c>
      <c r="Y269">
        <v>268</v>
      </c>
      <c r="Z269">
        <f t="shared" si="103"/>
        <v>0</v>
      </c>
      <c r="AA269">
        <f>IF(Y269&gt;='Loan Prepayment'!$E$11,'Loan Prepayment'!$E$12,'Loan Prepayment'!$B$6)</f>
        <v>7.5</v>
      </c>
      <c r="AB269">
        <f>IF(Z269&lt;=0,0,MIN(IF(Y269='Loan Prepayment'!$E$11,IF('Loan Prepayment'!$E$13="Keep tenure, recalculate EMI",-PMT(AA269/1200,MAX(1,'Loan Prepayment'!$B$7*12-Y269+1),Z269),AB268),AB268),Z269+AC269))</f>
        <v>0</v>
      </c>
      <c r="AC269">
        <f t="shared" si="93"/>
        <v>0</v>
      </c>
      <c r="AD269">
        <f t="shared" si="94"/>
        <v>0</v>
      </c>
      <c r="AE269">
        <f t="shared" si="95"/>
        <v>0</v>
      </c>
      <c r="AF269">
        <f t="shared" si="96"/>
        <v>0</v>
      </c>
      <c r="AG269">
        <v>268</v>
      </c>
      <c r="AH269">
        <f t="shared" si="104"/>
        <v>0</v>
      </c>
      <c r="AI269">
        <f>IF(AG269&gt;='Loan Prepayment'!$E$11,'Loan Prepayment'!$E$12,'Loan Prepayment'!$B$6)</f>
        <v>7.5</v>
      </c>
      <c r="AJ269">
        <f>IF(AH269&lt;=0,0,MIN(IF(AG269='Loan Prepayment'!$E$11,IF('Loan Prepayment'!$E$13="Keep tenure, recalculate EMI",-PMT(AI269/1200,MAX(1,'Loan Prepayment'!$B$7*12-AG269+1),AH269),AJ268),IF(AND('Loan Prepayment'!$E$15="Reduce EMI",AM268&gt;0),-PMT(AI269/1200,MAX(1,'Loan Prepayment'!$B$7*12-AG269+1),AH269),AJ268)),AH269+AK269))</f>
        <v>0</v>
      </c>
      <c r="AK269">
        <f t="shared" si="97"/>
        <v>0</v>
      </c>
      <c r="AL269">
        <f t="shared" si="98"/>
        <v>0</v>
      </c>
      <c r="AM269">
        <f>IF(AH269&lt;=0,0,MIN(MAX(0,AH269-AL269),SUMIFS('Loan Prepayment'!$B$12:$B$16,'Loan Prepayment'!$A$12:$A$16,AG269)+IF(AND(AG269&gt;='Loan Prepayment'!$B$9,AG269&lt;='Loan Prepayment'!$E$16),'Loan Prepayment'!$B$8,0)))</f>
        <v>0</v>
      </c>
      <c r="AN269">
        <f t="shared" si="99"/>
        <v>0</v>
      </c>
    </row>
    <row r="270" spans="1:40" x14ac:dyDescent="0.35">
      <c r="A270">
        <v>269</v>
      </c>
      <c r="B270">
        <f t="shared" si="100"/>
        <v>0</v>
      </c>
      <c r="C270" s="78">
        <f>'Loan Prepayment'!$B$6</f>
        <v>8.5</v>
      </c>
      <c r="D270">
        <f>IF(B270&lt;=0,0,MIN(-PMT('Loan Prepayment'!$B$6/1200,'Loan Prepayment'!$B$7*12,'Loan Prepayment'!$B$5),B270+E270))</f>
        <v>0</v>
      </c>
      <c r="E270">
        <f t="shared" si="84"/>
        <v>0</v>
      </c>
      <c r="F270">
        <f t="shared" si="85"/>
        <v>0</v>
      </c>
      <c r="G270">
        <v>0</v>
      </c>
      <c r="H270">
        <f t="shared" si="86"/>
        <v>0</v>
      </c>
      <c r="I270">
        <v>269</v>
      </c>
      <c r="J270">
        <f t="shared" si="101"/>
        <v>0</v>
      </c>
      <c r="K270" s="78">
        <f>'Loan Prepayment'!$B$6</f>
        <v>8.5</v>
      </c>
      <c r="L270">
        <f>IF(J270&lt;=0,0,MIN(IF(AND('Loan Prepayment'!$E$15="Reduce EMI",O269&gt;0),-PMT(K270/1200,MAX(1,'Loan Prepayment'!$B$7*12-I270+1),J270),L269),J270+M270))</f>
        <v>0</v>
      </c>
      <c r="M270">
        <f t="shared" si="87"/>
        <v>0</v>
      </c>
      <c r="N270">
        <f t="shared" si="88"/>
        <v>0</v>
      </c>
      <c r="O270">
        <f>IF(J270&lt;=0,0,MIN(MAX(0,J270-N270),SUMIFS('Loan Prepayment'!$B$12:$B$16,'Loan Prepayment'!$A$12:$A$16,I270)+0))</f>
        <v>0</v>
      </c>
      <c r="P270">
        <f t="shared" si="89"/>
        <v>0</v>
      </c>
      <c r="Q270">
        <v>269</v>
      </c>
      <c r="R270">
        <f t="shared" si="102"/>
        <v>0</v>
      </c>
      <c r="S270" s="78">
        <f>'Loan Prepayment'!$B$6</f>
        <v>8.5</v>
      </c>
      <c r="T270">
        <f>IF(R270&lt;=0,0,MIN(IF(AND('Loan Prepayment'!$E$15="Reduce EMI",W269&gt;0),-PMT(S270/1200,MAX(1,'Loan Prepayment'!$B$7*12-Q270+1),R270),T269),R270+U270))</f>
        <v>0</v>
      </c>
      <c r="U270">
        <f t="shared" si="90"/>
        <v>0</v>
      </c>
      <c r="V270">
        <f t="shared" si="91"/>
        <v>0</v>
      </c>
      <c r="W270">
        <f>IF(R270&lt;=0,0,MIN(MAX(0,R270-V270),0+IF(AND(Q270&gt;='Loan Prepayment'!$B$9,Q270&lt;='Loan Prepayment'!$E$16),'Loan Prepayment'!$B$8,0)))</f>
        <v>0</v>
      </c>
      <c r="X270">
        <f t="shared" si="92"/>
        <v>0</v>
      </c>
      <c r="Y270">
        <v>269</v>
      </c>
      <c r="Z270">
        <f t="shared" si="103"/>
        <v>0</v>
      </c>
      <c r="AA270">
        <f>IF(Y270&gt;='Loan Prepayment'!$E$11,'Loan Prepayment'!$E$12,'Loan Prepayment'!$B$6)</f>
        <v>7.5</v>
      </c>
      <c r="AB270">
        <f>IF(Z270&lt;=0,0,MIN(IF(Y270='Loan Prepayment'!$E$11,IF('Loan Prepayment'!$E$13="Keep tenure, recalculate EMI",-PMT(AA270/1200,MAX(1,'Loan Prepayment'!$B$7*12-Y270+1),Z270),AB269),AB269),Z270+AC270))</f>
        <v>0</v>
      </c>
      <c r="AC270">
        <f t="shared" si="93"/>
        <v>0</v>
      </c>
      <c r="AD270">
        <f t="shared" si="94"/>
        <v>0</v>
      </c>
      <c r="AE270">
        <f t="shared" si="95"/>
        <v>0</v>
      </c>
      <c r="AF270">
        <f t="shared" si="96"/>
        <v>0</v>
      </c>
      <c r="AG270">
        <v>269</v>
      </c>
      <c r="AH270">
        <f t="shared" si="104"/>
        <v>0</v>
      </c>
      <c r="AI270">
        <f>IF(AG270&gt;='Loan Prepayment'!$E$11,'Loan Prepayment'!$E$12,'Loan Prepayment'!$B$6)</f>
        <v>7.5</v>
      </c>
      <c r="AJ270">
        <f>IF(AH270&lt;=0,0,MIN(IF(AG270='Loan Prepayment'!$E$11,IF('Loan Prepayment'!$E$13="Keep tenure, recalculate EMI",-PMT(AI270/1200,MAX(1,'Loan Prepayment'!$B$7*12-AG270+1),AH270),AJ269),IF(AND('Loan Prepayment'!$E$15="Reduce EMI",AM269&gt;0),-PMT(AI270/1200,MAX(1,'Loan Prepayment'!$B$7*12-AG270+1),AH270),AJ269)),AH270+AK270))</f>
        <v>0</v>
      </c>
      <c r="AK270">
        <f t="shared" si="97"/>
        <v>0</v>
      </c>
      <c r="AL270">
        <f t="shared" si="98"/>
        <v>0</v>
      </c>
      <c r="AM270">
        <f>IF(AH270&lt;=0,0,MIN(MAX(0,AH270-AL270),SUMIFS('Loan Prepayment'!$B$12:$B$16,'Loan Prepayment'!$A$12:$A$16,AG270)+IF(AND(AG270&gt;='Loan Prepayment'!$B$9,AG270&lt;='Loan Prepayment'!$E$16),'Loan Prepayment'!$B$8,0)))</f>
        <v>0</v>
      </c>
      <c r="AN270">
        <f t="shared" si="99"/>
        <v>0</v>
      </c>
    </row>
    <row r="271" spans="1:40" x14ac:dyDescent="0.35">
      <c r="A271">
        <v>270</v>
      </c>
      <c r="B271">
        <f t="shared" si="100"/>
        <v>0</v>
      </c>
      <c r="C271" s="78">
        <f>'Loan Prepayment'!$B$6</f>
        <v>8.5</v>
      </c>
      <c r="D271">
        <f>IF(B271&lt;=0,0,MIN(-PMT('Loan Prepayment'!$B$6/1200,'Loan Prepayment'!$B$7*12,'Loan Prepayment'!$B$5),B271+E271))</f>
        <v>0</v>
      </c>
      <c r="E271">
        <f t="shared" si="84"/>
        <v>0</v>
      </c>
      <c r="F271">
        <f t="shared" si="85"/>
        <v>0</v>
      </c>
      <c r="G271">
        <v>0</v>
      </c>
      <c r="H271">
        <f t="shared" si="86"/>
        <v>0</v>
      </c>
      <c r="I271">
        <v>270</v>
      </c>
      <c r="J271">
        <f t="shared" si="101"/>
        <v>0</v>
      </c>
      <c r="K271" s="78">
        <f>'Loan Prepayment'!$B$6</f>
        <v>8.5</v>
      </c>
      <c r="L271">
        <f>IF(J271&lt;=0,0,MIN(IF(AND('Loan Prepayment'!$E$15="Reduce EMI",O270&gt;0),-PMT(K271/1200,MAX(1,'Loan Prepayment'!$B$7*12-I271+1),J271),L270),J271+M271))</f>
        <v>0</v>
      </c>
      <c r="M271">
        <f t="shared" si="87"/>
        <v>0</v>
      </c>
      <c r="N271">
        <f t="shared" si="88"/>
        <v>0</v>
      </c>
      <c r="O271">
        <f>IF(J271&lt;=0,0,MIN(MAX(0,J271-N271),SUMIFS('Loan Prepayment'!$B$12:$B$16,'Loan Prepayment'!$A$12:$A$16,I271)+0))</f>
        <v>0</v>
      </c>
      <c r="P271">
        <f t="shared" si="89"/>
        <v>0</v>
      </c>
      <c r="Q271">
        <v>270</v>
      </c>
      <c r="R271">
        <f t="shared" si="102"/>
        <v>0</v>
      </c>
      <c r="S271" s="78">
        <f>'Loan Prepayment'!$B$6</f>
        <v>8.5</v>
      </c>
      <c r="T271">
        <f>IF(R271&lt;=0,0,MIN(IF(AND('Loan Prepayment'!$E$15="Reduce EMI",W270&gt;0),-PMT(S271/1200,MAX(1,'Loan Prepayment'!$B$7*12-Q271+1),R271),T270),R271+U271))</f>
        <v>0</v>
      </c>
      <c r="U271">
        <f t="shared" si="90"/>
        <v>0</v>
      </c>
      <c r="V271">
        <f t="shared" si="91"/>
        <v>0</v>
      </c>
      <c r="W271">
        <f>IF(R271&lt;=0,0,MIN(MAX(0,R271-V271),0+IF(AND(Q271&gt;='Loan Prepayment'!$B$9,Q271&lt;='Loan Prepayment'!$E$16),'Loan Prepayment'!$B$8,0)))</f>
        <v>0</v>
      </c>
      <c r="X271">
        <f t="shared" si="92"/>
        <v>0</v>
      </c>
      <c r="Y271">
        <v>270</v>
      </c>
      <c r="Z271">
        <f t="shared" si="103"/>
        <v>0</v>
      </c>
      <c r="AA271">
        <f>IF(Y271&gt;='Loan Prepayment'!$E$11,'Loan Prepayment'!$E$12,'Loan Prepayment'!$B$6)</f>
        <v>7.5</v>
      </c>
      <c r="AB271">
        <f>IF(Z271&lt;=0,0,MIN(IF(Y271='Loan Prepayment'!$E$11,IF('Loan Prepayment'!$E$13="Keep tenure, recalculate EMI",-PMT(AA271/1200,MAX(1,'Loan Prepayment'!$B$7*12-Y271+1),Z271),AB270),AB270),Z271+AC271))</f>
        <v>0</v>
      </c>
      <c r="AC271">
        <f t="shared" si="93"/>
        <v>0</v>
      </c>
      <c r="AD271">
        <f t="shared" si="94"/>
        <v>0</v>
      </c>
      <c r="AE271">
        <f t="shared" si="95"/>
        <v>0</v>
      </c>
      <c r="AF271">
        <f t="shared" si="96"/>
        <v>0</v>
      </c>
      <c r="AG271">
        <v>270</v>
      </c>
      <c r="AH271">
        <f t="shared" si="104"/>
        <v>0</v>
      </c>
      <c r="AI271">
        <f>IF(AG271&gt;='Loan Prepayment'!$E$11,'Loan Prepayment'!$E$12,'Loan Prepayment'!$B$6)</f>
        <v>7.5</v>
      </c>
      <c r="AJ271">
        <f>IF(AH271&lt;=0,0,MIN(IF(AG271='Loan Prepayment'!$E$11,IF('Loan Prepayment'!$E$13="Keep tenure, recalculate EMI",-PMT(AI271/1200,MAX(1,'Loan Prepayment'!$B$7*12-AG271+1),AH271),AJ270),IF(AND('Loan Prepayment'!$E$15="Reduce EMI",AM270&gt;0),-PMT(AI271/1200,MAX(1,'Loan Prepayment'!$B$7*12-AG271+1),AH271),AJ270)),AH271+AK271))</f>
        <v>0</v>
      </c>
      <c r="AK271">
        <f t="shared" si="97"/>
        <v>0</v>
      </c>
      <c r="AL271">
        <f t="shared" si="98"/>
        <v>0</v>
      </c>
      <c r="AM271">
        <f>IF(AH271&lt;=0,0,MIN(MAX(0,AH271-AL271),SUMIFS('Loan Prepayment'!$B$12:$B$16,'Loan Prepayment'!$A$12:$A$16,AG271)+IF(AND(AG271&gt;='Loan Prepayment'!$B$9,AG271&lt;='Loan Prepayment'!$E$16),'Loan Prepayment'!$B$8,0)))</f>
        <v>0</v>
      </c>
      <c r="AN271">
        <f t="shared" si="99"/>
        <v>0</v>
      </c>
    </row>
    <row r="272" spans="1:40" x14ac:dyDescent="0.35">
      <c r="A272">
        <v>271</v>
      </c>
      <c r="B272">
        <f t="shared" si="100"/>
        <v>0</v>
      </c>
      <c r="C272" s="78">
        <f>'Loan Prepayment'!$B$6</f>
        <v>8.5</v>
      </c>
      <c r="D272">
        <f>IF(B272&lt;=0,0,MIN(-PMT('Loan Prepayment'!$B$6/1200,'Loan Prepayment'!$B$7*12,'Loan Prepayment'!$B$5),B272+E272))</f>
        <v>0</v>
      </c>
      <c r="E272">
        <f t="shared" si="84"/>
        <v>0</v>
      </c>
      <c r="F272">
        <f t="shared" si="85"/>
        <v>0</v>
      </c>
      <c r="G272">
        <v>0</v>
      </c>
      <c r="H272">
        <f t="shared" si="86"/>
        <v>0</v>
      </c>
      <c r="I272">
        <v>271</v>
      </c>
      <c r="J272">
        <f t="shared" si="101"/>
        <v>0</v>
      </c>
      <c r="K272" s="78">
        <f>'Loan Prepayment'!$B$6</f>
        <v>8.5</v>
      </c>
      <c r="L272">
        <f>IF(J272&lt;=0,0,MIN(IF(AND('Loan Prepayment'!$E$15="Reduce EMI",O271&gt;0),-PMT(K272/1200,MAX(1,'Loan Prepayment'!$B$7*12-I272+1),J272),L271),J272+M272))</f>
        <v>0</v>
      </c>
      <c r="M272">
        <f t="shared" si="87"/>
        <v>0</v>
      </c>
      <c r="N272">
        <f t="shared" si="88"/>
        <v>0</v>
      </c>
      <c r="O272">
        <f>IF(J272&lt;=0,0,MIN(MAX(0,J272-N272),SUMIFS('Loan Prepayment'!$B$12:$B$16,'Loan Prepayment'!$A$12:$A$16,I272)+0))</f>
        <v>0</v>
      </c>
      <c r="P272">
        <f t="shared" si="89"/>
        <v>0</v>
      </c>
      <c r="Q272">
        <v>271</v>
      </c>
      <c r="R272">
        <f t="shared" si="102"/>
        <v>0</v>
      </c>
      <c r="S272" s="78">
        <f>'Loan Prepayment'!$B$6</f>
        <v>8.5</v>
      </c>
      <c r="T272">
        <f>IF(R272&lt;=0,0,MIN(IF(AND('Loan Prepayment'!$E$15="Reduce EMI",W271&gt;0),-PMT(S272/1200,MAX(1,'Loan Prepayment'!$B$7*12-Q272+1),R272),T271),R272+U272))</f>
        <v>0</v>
      </c>
      <c r="U272">
        <f t="shared" si="90"/>
        <v>0</v>
      </c>
      <c r="V272">
        <f t="shared" si="91"/>
        <v>0</v>
      </c>
      <c r="W272">
        <f>IF(R272&lt;=0,0,MIN(MAX(0,R272-V272),0+IF(AND(Q272&gt;='Loan Prepayment'!$B$9,Q272&lt;='Loan Prepayment'!$E$16),'Loan Prepayment'!$B$8,0)))</f>
        <v>0</v>
      </c>
      <c r="X272">
        <f t="shared" si="92"/>
        <v>0</v>
      </c>
      <c r="Y272">
        <v>271</v>
      </c>
      <c r="Z272">
        <f t="shared" si="103"/>
        <v>0</v>
      </c>
      <c r="AA272">
        <f>IF(Y272&gt;='Loan Prepayment'!$E$11,'Loan Prepayment'!$E$12,'Loan Prepayment'!$B$6)</f>
        <v>7.5</v>
      </c>
      <c r="AB272">
        <f>IF(Z272&lt;=0,0,MIN(IF(Y272='Loan Prepayment'!$E$11,IF('Loan Prepayment'!$E$13="Keep tenure, recalculate EMI",-PMT(AA272/1200,MAX(1,'Loan Prepayment'!$B$7*12-Y272+1),Z272),AB271),AB271),Z272+AC272))</f>
        <v>0</v>
      </c>
      <c r="AC272">
        <f t="shared" si="93"/>
        <v>0</v>
      </c>
      <c r="AD272">
        <f t="shared" si="94"/>
        <v>0</v>
      </c>
      <c r="AE272">
        <f t="shared" si="95"/>
        <v>0</v>
      </c>
      <c r="AF272">
        <f t="shared" si="96"/>
        <v>0</v>
      </c>
      <c r="AG272">
        <v>271</v>
      </c>
      <c r="AH272">
        <f t="shared" si="104"/>
        <v>0</v>
      </c>
      <c r="AI272">
        <f>IF(AG272&gt;='Loan Prepayment'!$E$11,'Loan Prepayment'!$E$12,'Loan Prepayment'!$B$6)</f>
        <v>7.5</v>
      </c>
      <c r="AJ272">
        <f>IF(AH272&lt;=0,0,MIN(IF(AG272='Loan Prepayment'!$E$11,IF('Loan Prepayment'!$E$13="Keep tenure, recalculate EMI",-PMT(AI272/1200,MAX(1,'Loan Prepayment'!$B$7*12-AG272+1),AH272),AJ271),IF(AND('Loan Prepayment'!$E$15="Reduce EMI",AM271&gt;0),-PMT(AI272/1200,MAX(1,'Loan Prepayment'!$B$7*12-AG272+1),AH272),AJ271)),AH272+AK272))</f>
        <v>0</v>
      </c>
      <c r="AK272">
        <f t="shared" si="97"/>
        <v>0</v>
      </c>
      <c r="AL272">
        <f t="shared" si="98"/>
        <v>0</v>
      </c>
      <c r="AM272">
        <f>IF(AH272&lt;=0,0,MIN(MAX(0,AH272-AL272),SUMIFS('Loan Prepayment'!$B$12:$B$16,'Loan Prepayment'!$A$12:$A$16,AG272)+IF(AND(AG272&gt;='Loan Prepayment'!$B$9,AG272&lt;='Loan Prepayment'!$E$16),'Loan Prepayment'!$B$8,0)))</f>
        <v>0</v>
      </c>
      <c r="AN272">
        <f t="shared" si="99"/>
        <v>0</v>
      </c>
    </row>
    <row r="273" spans="1:40" x14ac:dyDescent="0.35">
      <c r="A273">
        <v>272</v>
      </c>
      <c r="B273">
        <f t="shared" si="100"/>
        <v>0</v>
      </c>
      <c r="C273" s="78">
        <f>'Loan Prepayment'!$B$6</f>
        <v>8.5</v>
      </c>
      <c r="D273">
        <f>IF(B273&lt;=0,0,MIN(-PMT('Loan Prepayment'!$B$6/1200,'Loan Prepayment'!$B$7*12,'Loan Prepayment'!$B$5),B273+E273))</f>
        <v>0</v>
      </c>
      <c r="E273">
        <f t="shared" si="84"/>
        <v>0</v>
      </c>
      <c r="F273">
        <f t="shared" si="85"/>
        <v>0</v>
      </c>
      <c r="G273">
        <v>0</v>
      </c>
      <c r="H273">
        <f t="shared" si="86"/>
        <v>0</v>
      </c>
      <c r="I273">
        <v>272</v>
      </c>
      <c r="J273">
        <f t="shared" si="101"/>
        <v>0</v>
      </c>
      <c r="K273" s="78">
        <f>'Loan Prepayment'!$B$6</f>
        <v>8.5</v>
      </c>
      <c r="L273">
        <f>IF(J273&lt;=0,0,MIN(IF(AND('Loan Prepayment'!$E$15="Reduce EMI",O272&gt;0),-PMT(K273/1200,MAX(1,'Loan Prepayment'!$B$7*12-I273+1),J273),L272),J273+M273))</f>
        <v>0</v>
      </c>
      <c r="M273">
        <f t="shared" si="87"/>
        <v>0</v>
      </c>
      <c r="N273">
        <f t="shared" si="88"/>
        <v>0</v>
      </c>
      <c r="O273">
        <f>IF(J273&lt;=0,0,MIN(MAX(0,J273-N273),SUMIFS('Loan Prepayment'!$B$12:$B$16,'Loan Prepayment'!$A$12:$A$16,I273)+0))</f>
        <v>0</v>
      </c>
      <c r="P273">
        <f t="shared" si="89"/>
        <v>0</v>
      </c>
      <c r="Q273">
        <v>272</v>
      </c>
      <c r="R273">
        <f t="shared" si="102"/>
        <v>0</v>
      </c>
      <c r="S273" s="78">
        <f>'Loan Prepayment'!$B$6</f>
        <v>8.5</v>
      </c>
      <c r="T273">
        <f>IF(R273&lt;=0,0,MIN(IF(AND('Loan Prepayment'!$E$15="Reduce EMI",W272&gt;0),-PMT(S273/1200,MAX(1,'Loan Prepayment'!$B$7*12-Q273+1),R273),T272),R273+U273))</f>
        <v>0</v>
      </c>
      <c r="U273">
        <f t="shared" si="90"/>
        <v>0</v>
      </c>
      <c r="V273">
        <f t="shared" si="91"/>
        <v>0</v>
      </c>
      <c r="W273">
        <f>IF(R273&lt;=0,0,MIN(MAX(0,R273-V273),0+IF(AND(Q273&gt;='Loan Prepayment'!$B$9,Q273&lt;='Loan Prepayment'!$E$16),'Loan Prepayment'!$B$8,0)))</f>
        <v>0</v>
      </c>
      <c r="X273">
        <f t="shared" si="92"/>
        <v>0</v>
      </c>
      <c r="Y273">
        <v>272</v>
      </c>
      <c r="Z273">
        <f t="shared" si="103"/>
        <v>0</v>
      </c>
      <c r="AA273">
        <f>IF(Y273&gt;='Loan Prepayment'!$E$11,'Loan Prepayment'!$E$12,'Loan Prepayment'!$B$6)</f>
        <v>7.5</v>
      </c>
      <c r="AB273">
        <f>IF(Z273&lt;=0,0,MIN(IF(Y273='Loan Prepayment'!$E$11,IF('Loan Prepayment'!$E$13="Keep tenure, recalculate EMI",-PMT(AA273/1200,MAX(1,'Loan Prepayment'!$B$7*12-Y273+1),Z273),AB272),AB272),Z273+AC273))</f>
        <v>0</v>
      </c>
      <c r="AC273">
        <f t="shared" si="93"/>
        <v>0</v>
      </c>
      <c r="AD273">
        <f t="shared" si="94"/>
        <v>0</v>
      </c>
      <c r="AE273">
        <f t="shared" si="95"/>
        <v>0</v>
      </c>
      <c r="AF273">
        <f t="shared" si="96"/>
        <v>0</v>
      </c>
      <c r="AG273">
        <v>272</v>
      </c>
      <c r="AH273">
        <f t="shared" si="104"/>
        <v>0</v>
      </c>
      <c r="AI273">
        <f>IF(AG273&gt;='Loan Prepayment'!$E$11,'Loan Prepayment'!$E$12,'Loan Prepayment'!$B$6)</f>
        <v>7.5</v>
      </c>
      <c r="AJ273">
        <f>IF(AH273&lt;=0,0,MIN(IF(AG273='Loan Prepayment'!$E$11,IF('Loan Prepayment'!$E$13="Keep tenure, recalculate EMI",-PMT(AI273/1200,MAX(1,'Loan Prepayment'!$B$7*12-AG273+1),AH273),AJ272),IF(AND('Loan Prepayment'!$E$15="Reduce EMI",AM272&gt;0),-PMT(AI273/1200,MAX(1,'Loan Prepayment'!$B$7*12-AG273+1),AH273),AJ272)),AH273+AK273))</f>
        <v>0</v>
      </c>
      <c r="AK273">
        <f t="shared" si="97"/>
        <v>0</v>
      </c>
      <c r="AL273">
        <f t="shared" si="98"/>
        <v>0</v>
      </c>
      <c r="AM273">
        <f>IF(AH273&lt;=0,0,MIN(MAX(0,AH273-AL273),SUMIFS('Loan Prepayment'!$B$12:$B$16,'Loan Prepayment'!$A$12:$A$16,AG273)+IF(AND(AG273&gt;='Loan Prepayment'!$B$9,AG273&lt;='Loan Prepayment'!$E$16),'Loan Prepayment'!$B$8,0)))</f>
        <v>0</v>
      </c>
      <c r="AN273">
        <f t="shared" si="99"/>
        <v>0</v>
      </c>
    </row>
    <row r="274" spans="1:40" x14ac:dyDescent="0.35">
      <c r="A274">
        <v>273</v>
      </c>
      <c r="B274">
        <f t="shared" si="100"/>
        <v>0</v>
      </c>
      <c r="C274" s="78">
        <f>'Loan Prepayment'!$B$6</f>
        <v>8.5</v>
      </c>
      <c r="D274">
        <f>IF(B274&lt;=0,0,MIN(-PMT('Loan Prepayment'!$B$6/1200,'Loan Prepayment'!$B$7*12,'Loan Prepayment'!$B$5),B274+E274))</f>
        <v>0</v>
      </c>
      <c r="E274">
        <f t="shared" si="84"/>
        <v>0</v>
      </c>
      <c r="F274">
        <f t="shared" si="85"/>
        <v>0</v>
      </c>
      <c r="G274">
        <v>0</v>
      </c>
      <c r="H274">
        <f t="shared" si="86"/>
        <v>0</v>
      </c>
      <c r="I274">
        <v>273</v>
      </c>
      <c r="J274">
        <f t="shared" si="101"/>
        <v>0</v>
      </c>
      <c r="K274" s="78">
        <f>'Loan Prepayment'!$B$6</f>
        <v>8.5</v>
      </c>
      <c r="L274">
        <f>IF(J274&lt;=0,0,MIN(IF(AND('Loan Prepayment'!$E$15="Reduce EMI",O273&gt;0),-PMT(K274/1200,MAX(1,'Loan Prepayment'!$B$7*12-I274+1),J274),L273),J274+M274))</f>
        <v>0</v>
      </c>
      <c r="M274">
        <f t="shared" si="87"/>
        <v>0</v>
      </c>
      <c r="N274">
        <f t="shared" si="88"/>
        <v>0</v>
      </c>
      <c r="O274">
        <f>IF(J274&lt;=0,0,MIN(MAX(0,J274-N274),SUMIFS('Loan Prepayment'!$B$12:$B$16,'Loan Prepayment'!$A$12:$A$16,I274)+0))</f>
        <v>0</v>
      </c>
      <c r="P274">
        <f t="shared" si="89"/>
        <v>0</v>
      </c>
      <c r="Q274">
        <v>273</v>
      </c>
      <c r="R274">
        <f t="shared" si="102"/>
        <v>0</v>
      </c>
      <c r="S274" s="78">
        <f>'Loan Prepayment'!$B$6</f>
        <v>8.5</v>
      </c>
      <c r="T274">
        <f>IF(R274&lt;=0,0,MIN(IF(AND('Loan Prepayment'!$E$15="Reduce EMI",W273&gt;0),-PMT(S274/1200,MAX(1,'Loan Prepayment'!$B$7*12-Q274+1),R274),T273),R274+U274))</f>
        <v>0</v>
      </c>
      <c r="U274">
        <f t="shared" si="90"/>
        <v>0</v>
      </c>
      <c r="V274">
        <f t="shared" si="91"/>
        <v>0</v>
      </c>
      <c r="W274">
        <f>IF(R274&lt;=0,0,MIN(MAX(0,R274-V274),0+IF(AND(Q274&gt;='Loan Prepayment'!$B$9,Q274&lt;='Loan Prepayment'!$E$16),'Loan Prepayment'!$B$8,0)))</f>
        <v>0</v>
      </c>
      <c r="X274">
        <f t="shared" si="92"/>
        <v>0</v>
      </c>
      <c r="Y274">
        <v>273</v>
      </c>
      <c r="Z274">
        <f t="shared" si="103"/>
        <v>0</v>
      </c>
      <c r="AA274">
        <f>IF(Y274&gt;='Loan Prepayment'!$E$11,'Loan Prepayment'!$E$12,'Loan Prepayment'!$B$6)</f>
        <v>7.5</v>
      </c>
      <c r="AB274">
        <f>IF(Z274&lt;=0,0,MIN(IF(Y274='Loan Prepayment'!$E$11,IF('Loan Prepayment'!$E$13="Keep tenure, recalculate EMI",-PMT(AA274/1200,MAX(1,'Loan Prepayment'!$B$7*12-Y274+1),Z274),AB273),AB273),Z274+AC274))</f>
        <v>0</v>
      </c>
      <c r="AC274">
        <f t="shared" si="93"/>
        <v>0</v>
      </c>
      <c r="AD274">
        <f t="shared" si="94"/>
        <v>0</v>
      </c>
      <c r="AE274">
        <f t="shared" si="95"/>
        <v>0</v>
      </c>
      <c r="AF274">
        <f t="shared" si="96"/>
        <v>0</v>
      </c>
      <c r="AG274">
        <v>273</v>
      </c>
      <c r="AH274">
        <f t="shared" si="104"/>
        <v>0</v>
      </c>
      <c r="AI274">
        <f>IF(AG274&gt;='Loan Prepayment'!$E$11,'Loan Prepayment'!$E$12,'Loan Prepayment'!$B$6)</f>
        <v>7.5</v>
      </c>
      <c r="AJ274">
        <f>IF(AH274&lt;=0,0,MIN(IF(AG274='Loan Prepayment'!$E$11,IF('Loan Prepayment'!$E$13="Keep tenure, recalculate EMI",-PMT(AI274/1200,MAX(1,'Loan Prepayment'!$B$7*12-AG274+1),AH274),AJ273),IF(AND('Loan Prepayment'!$E$15="Reduce EMI",AM273&gt;0),-PMT(AI274/1200,MAX(1,'Loan Prepayment'!$B$7*12-AG274+1),AH274),AJ273)),AH274+AK274))</f>
        <v>0</v>
      </c>
      <c r="AK274">
        <f t="shared" si="97"/>
        <v>0</v>
      </c>
      <c r="AL274">
        <f t="shared" si="98"/>
        <v>0</v>
      </c>
      <c r="AM274">
        <f>IF(AH274&lt;=0,0,MIN(MAX(0,AH274-AL274),SUMIFS('Loan Prepayment'!$B$12:$B$16,'Loan Prepayment'!$A$12:$A$16,AG274)+IF(AND(AG274&gt;='Loan Prepayment'!$B$9,AG274&lt;='Loan Prepayment'!$E$16),'Loan Prepayment'!$B$8,0)))</f>
        <v>0</v>
      </c>
      <c r="AN274">
        <f t="shared" si="99"/>
        <v>0</v>
      </c>
    </row>
    <row r="275" spans="1:40" x14ac:dyDescent="0.35">
      <c r="A275">
        <v>274</v>
      </c>
      <c r="B275">
        <f t="shared" si="100"/>
        <v>0</v>
      </c>
      <c r="C275" s="78">
        <f>'Loan Prepayment'!$B$6</f>
        <v>8.5</v>
      </c>
      <c r="D275">
        <f>IF(B275&lt;=0,0,MIN(-PMT('Loan Prepayment'!$B$6/1200,'Loan Prepayment'!$B$7*12,'Loan Prepayment'!$B$5),B275+E275))</f>
        <v>0</v>
      </c>
      <c r="E275">
        <f t="shared" si="84"/>
        <v>0</v>
      </c>
      <c r="F275">
        <f t="shared" si="85"/>
        <v>0</v>
      </c>
      <c r="G275">
        <v>0</v>
      </c>
      <c r="H275">
        <f t="shared" si="86"/>
        <v>0</v>
      </c>
      <c r="I275">
        <v>274</v>
      </c>
      <c r="J275">
        <f t="shared" si="101"/>
        <v>0</v>
      </c>
      <c r="K275" s="78">
        <f>'Loan Prepayment'!$B$6</f>
        <v>8.5</v>
      </c>
      <c r="L275">
        <f>IF(J275&lt;=0,0,MIN(IF(AND('Loan Prepayment'!$E$15="Reduce EMI",O274&gt;0),-PMT(K275/1200,MAX(1,'Loan Prepayment'!$B$7*12-I275+1),J275),L274),J275+M275))</f>
        <v>0</v>
      </c>
      <c r="M275">
        <f t="shared" si="87"/>
        <v>0</v>
      </c>
      <c r="N275">
        <f t="shared" si="88"/>
        <v>0</v>
      </c>
      <c r="O275">
        <f>IF(J275&lt;=0,0,MIN(MAX(0,J275-N275),SUMIFS('Loan Prepayment'!$B$12:$B$16,'Loan Prepayment'!$A$12:$A$16,I275)+0))</f>
        <v>0</v>
      </c>
      <c r="P275">
        <f t="shared" si="89"/>
        <v>0</v>
      </c>
      <c r="Q275">
        <v>274</v>
      </c>
      <c r="R275">
        <f t="shared" si="102"/>
        <v>0</v>
      </c>
      <c r="S275" s="78">
        <f>'Loan Prepayment'!$B$6</f>
        <v>8.5</v>
      </c>
      <c r="T275">
        <f>IF(R275&lt;=0,0,MIN(IF(AND('Loan Prepayment'!$E$15="Reduce EMI",W274&gt;0),-PMT(S275/1200,MAX(1,'Loan Prepayment'!$B$7*12-Q275+1),R275),T274),R275+U275))</f>
        <v>0</v>
      </c>
      <c r="U275">
        <f t="shared" si="90"/>
        <v>0</v>
      </c>
      <c r="V275">
        <f t="shared" si="91"/>
        <v>0</v>
      </c>
      <c r="W275">
        <f>IF(R275&lt;=0,0,MIN(MAX(0,R275-V275),0+IF(AND(Q275&gt;='Loan Prepayment'!$B$9,Q275&lt;='Loan Prepayment'!$E$16),'Loan Prepayment'!$B$8,0)))</f>
        <v>0</v>
      </c>
      <c r="X275">
        <f t="shared" si="92"/>
        <v>0</v>
      </c>
      <c r="Y275">
        <v>274</v>
      </c>
      <c r="Z275">
        <f t="shared" si="103"/>
        <v>0</v>
      </c>
      <c r="AA275">
        <f>IF(Y275&gt;='Loan Prepayment'!$E$11,'Loan Prepayment'!$E$12,'Loan Prepayment'!$B$6)</f>
        <v>7.5</v>
      </c>
      <c r="AB275">
        <f>IF(Z275&lt;=0,0,MIN(IF(Y275='Loan Prepayment'!$E$11,IF('Loan Prepayment'!$E$13="Keep tenure, recalculate EMI",-PMT(AA275/1200,MAX(1,'Loan Prepayment'!$B$7*12-Y275+1),Z275),AB274),AB274),Z275+AC275))</f>
        <v>0</v>
      </c>
      <c r="AC275">
        <f t="shared" si="93"/>
        <v>0</v>
      </c>
      <c r="AD275">
        <f t="shared" si="94"/>
        <v>0</v>
      </c>
      <c r="AE275">
        <f t="shared" si="95"/>
        <v>0</v>
      </c>
      <c r="AF275">
        <f t="shared" si="96"/>
        <v>0</v>
      </c>
      <c r="AG275">
        <v>274</v>
      </c>
      <c r="AH275">
        <f t="shared" si="104"/>
        <v>0</v>
      </c>
      <c r="AI275">
        <f>IF(AG275&gt;='Loan Prepayment'!$E$11,'Loan Prepayment'!$E$12,'Loan Prepayment'!$B$6)</f>
        <v>7.5</v>
      </c>
      <c r="AJ275">
        <f>IF(AH275&lt;=0,0,MIN(IF(AG275='Loan Prepayment'!$E$11,IF('Loan Prepayment'!$E$13="Keep tenure, recalculate EMI",-PMT(AI275/1200,MAX(1,'Loan Prepayment'!$B$7*12-AG275+1),AH275),AJ274),IF(AND('Loan Prepayment'!$E$15="Reduce EMI",AM274&gt;0),-PMT(AI275/1200,MAX(1,'Loan Prepayment'!$B$7*12-AG275+1),AH275),AJ274)),AH275+AK275))</f>
        <v>0</v>
      </c>
      <c r="AK275">
        <f t="shared" si="97"/>
        <v>0</v>
      </c>
      <c r="AL275">
        <f t="shared" si="98"/>
        <v>0</v>
      </c>
      <c r="AM275">
        <f>IF(AH275&lt;=0,0,MIN(MAX(0,AH275-AL275),SUMIFS('Loan Prepayment'!$B$12:$B$16,'Loan Prepayment'!$A$12:$A$16,AG275)+IF(AND(AG275&gt;='Loan Prepayment'!$B$9,AG275&lt;='Loan Prepayment'!$E$16),'Loan Prepayment'!$B$8,0)))</f>
        <v>0</v>
      </c>
      <c r="AN275">
        <f t="shared" si="99"/>
        <v>0</v>
      </c>
    </row>
    <row r="276" spans="1:40" x14ac:dyDescent="0.35">
      <c r="A276">
        <v>275</v>
      </c>
      <c r="B276">
        <f t="shared" si="100"/>
        <v>0</v>
      </c>
      <c r="C276" s="78">
        <f>'Loan Prepayment'!$B$6</f>
        <v>8.5</v>
      </c>
      <c r="D276">
        <f>IF(B276&lt;=0,0,MIN(-PMT('Loan Prepayment'!$B$6/1200,'Loan Prepayment'!$B$7*12,'Loan Prepayment'!$B$5),B276+E276))</f>
        <v>0</v>
      </c>
      <c r="E276">
        <f t="shared" si="84"/>
        <v>0</v>
      </c>
      <c r="F276">
        <f t="shared" si="85"/>
        <v>0</v>
      </c>
      <c r="G276">
        <v>0</v>
      </c>
      <c r="H276">
        <f t="shared" si="86"/>
        <v>0</v>
      </c>
      <c r="I276">
        <v>275</v>
      </c>
      <c r="J276">
        <f t="shared" si="101"/>
        <v>0</v>
      </c>
      <c r="K276" s="78">
        <f>'Loan Prepayment'!$B$6</f>
        <v>8.5</v>
      </c>
      <c r="L276">
        <f>IF(J276&lt;=0,0,MIN(IF(AND('Loan Prepayment'!$E$15="Reduce EMI",O275&gt;0),-PMT(K276/1200,MAX(1,'Loan Prepayment'!$B$7*12-I276+1),J276),L275),J276+M276))</f>
        <v>0</v>
      </c>
      <c r="M276">
        <f t="shared" si="87"/>
        <v>0</v>
      </c>
      <c r="N276">
        <f t="shared" si="88"/>
        <v>0</v>
      </c>
      <c r="O276">
        <f>IF(J276&lt;=0,0,MIN(MAX(0,J276-N276),SUMIFS('Loan Prepayment'!$B$12:$B$16,'Loan Prepayment'!$A$12:$A$16,I276)+0))</f>
        <v>0</v>
      </c>
      <c r="P276">
        <f t="shared" si="89"/>
        <v>0</v>
      </c>
      <c r="Q276">
        <v>275</v>
      </c>
      <c r="R276">
        <f t="shared" si="102"/>
        <v>0</v>
      </c>
      <c r="S276" s="78">
        <f>'Loan Prepayment'!$B$6</f>
        <v>8.5</v>
      </c>
      <c r="T276">
        <f>IF(R276&lt;=0,0,MIN(IF(AND('Loan Prepayment'!$E$15="Reduce EMI",W275&gt;0),-PMT(S276/1200,MAX(1,'Loan Prepayment'!$B$7*12-Q276+1),R276),T275),R276+U276))</f>
        <v>0</v>
      </c>
      <c r="U276">
        <f t="shared" si="90"/>
        <v>0</v>
      </c>
      <c r="V276">
        <f t="shared" si="91"/>
        <v>0</v>
      </c>
      <c r="W276">
        <f>IF(R276&lt;=0,0,MIN(MAX(0,R276-V276),0+IF(AND(Q276&gt;='Loan Prepayment'!$B$9,Q276&lt;='Loan Prepayment'!$E$16),'Loan Prepayment'!$B$8,0)))</f>
        <v>0</v>
      </c>
      <c r="X276">
        <f t="shared" si="92"/>
        <v>0</v>
      </c>
      <c r="Y276">
        <v>275</v>
      </c>
      <c r="Z276">
        <f t="shared" si="103"/>
        <v>0</v>
      </c>
      <c r="AA276">
        <f>IF(Y276&gt;='Loan Prepayment'!$E$11,'Loan Prepayment'!$E$12,'Loan Prepayment'!$B$6)</f>
        <v>7.5</v>
      </c>
      <c r="AB276">
        <f>IF(Z276&lt;=0,0,MIN(IF(Y276='Loan Prepayment'!$E$11,IF('Loan Prepayment'!$E$13="Keep tenure, recalculate EMI",-PMT(AA276/1200,MAX(1,'Loan Prepayment'!$B$7*12-Y276+1),Z276),AB275),AB275),Z276+AC276))</f>
        <v>0</v>
      </c>
      <c r="AC276">
        <f t="shared" si="93"/>
        <v>0</v>
      </c>
      <c r="AD276">
        <f t="shared" si="94"/>
        <v>0</v>
      </c>
      <c r="AE276">
        <f t="shared" si="95"/>
        <v>0</v>
      </c>
      <c r="AF276">
        <f t="shared" si="96"/>
        <v>0</v>
      </c>
      <c r="AG276">
        <v>275</v>
      </c>
      <c r="AH276">
        <f t="shared" si="104"/>
        <v>0</v>
      </c>
      <c r="AI276">
        <f>IF(AG276&gt;='Loan Prepayment'!$E$11,'Loan Prepayment'!$E$12,'Loan Prepayment'!$B$6)</f>
        <v>7.5</v>
      </c>
      <c r="AJ276">
        <f>IF(AH276&lt;=0,0,MIN(IF(AG276='Loan Prepayment'!$E$11,IF('Loan Prepayment'!$E$13="Keep tenure, recalculate EMI",-PMT(AI276/1200,MAX(1,'Loan Prepayment'!$B$7*12-AG276+1),AH276),AJ275),IF(AND('Loan Prepayment'!$E$15="Reduce EMI",AM275&gt;0),-PMT(AI276/1200,MAX(1,'Loan Prepayment'!$B$7*12-AG276+1),AH276),AJ275)),AH276+AK276))</f>
        <v>0</v>
      </c>
      <c r="AK276">
        <f t="shared" si="97"/>
        <v>0</v>
      </c>
      <c r="AL276">
        <f t="shared" si="98"/>
        <v>0</v>
      </c>
      <c r="AM276">
        <f>IF(AH276&lt;=0,0,MIN(MAX(0,AH276-AL276),SUMIFS('Loan Prepayment'!$B$12:$B$16,'Loan Prepayment'!$A$12:$A$16,AG276)+IF(AND(AG276&gt;='Loan Prepayment'!$B$9,AG276&lt;='Loan Prepayment'!$E$16),'Loan Prepayment'!$B$8,0)))</f>
        <v>0</v>
      </c>
      <c r="AN276">
        <f t="shared" si="99"/>
        <v>0</v>
      </c>
    </row>
    <row r="277" spans="1:40" x14ac:dyDescent="0.35">
      <c r="A277">
        <v>276</v>
      </c>
      <c r="B277">
        <f t="shared" si="100"/>
        <v>0</v>
      </c>
      <c r="C277" s="78">
        <f>'Loan Prepayment'!$B$6</f>
        <v>8.5</v>
      </c>
      <c r="D277">
        <f>IF(B277&lt;=0,0,MIN(-PMT('Loan Prepayment'!$B$6/1200,'Loan Prepayment'!$B$7*12,'Loan Prepayment'!$B$5),B277+E277))</f>
        <v>0</v>
      </c>
      <c r="E277">
        <f t="shared" si="84"/>
        <v>0</v>
      </c>
      <c r="F277">
        <f t="shared" si="85"/>
        <v>0</v>
      </c>
      <c r="G277">
        <v>0</v>
      </c>
      <c r="H277">
        <f t="shared" si="86"/>
        <v>0</v>
      </c>
      <c r="I277">
        <v>276</v>
      </c>
      <c r="J277">
        <f t="shared" si="101"/>
        <v>0</v>
      </c>
      <c r="K277" s="78">
        <f>'Loan Prepayment'!$B$6</f>
        <v>8.5</v>
      </c>
      <c r="L277">
        <f>IF(J277&lt;=0,0,MIN(IF(AND('Loan Prepayment'!$E$15="Reduce EMI",O276&gt;0),-PMT(K277/1200,MAX(1,'Loan Prepayment'!$B$7*12-I277+1),J277),L276),J277+M277))</f>
        <v>0</v>
      </c>
      <c r="M277">
        <f t="shared" si="87"/>
        <v>0</v>
      </c>
      <c r="N277">
        <f t="shared" si="88"/>
        <v>0</v>
      </c>
      <c r="O277">
        <f>IF(J277&lt;=0,0,MIN(MAX(0,J277-N277),SUMIFS('Loan Prepayment'!$B$12:$B$16,'Loan Prepayment'!$A$12:$A$16,I277)+0))</f>
        <v>0</v>
      </c>
      <c r="P277">
        <f t="shared" si="89"/>
        <v>0</v>
      </c>
      <c r="Q277">
        <v>276</v>
      </c>
      <c r="R277">
        <f t="shared" si="102"/>
        <v>0</v>
      </c>
      <c r="S277" s="78">
        <f>'Loan Prepayment'!$B$6</f>
        <v>8.5</v>
      </c>
      <c r="T277">
        <f>IF(R277&lt;=0,0,MIN(IF(AND('Loan Prepayment'!$E$15="Reduce EMI",W276&gt;0),-PMT(S277/1200,MAX(1,'Loan Prepayment'!$B$7*12-Q277+1),R277),T276),R277+U277))</f>
        <v>0</v>
      </c>
      <c r="U277">
        <f t="shared" si="90"/>
        <v>0</v>
      </c>
      <c r="V277">
        <f t="shared" si="91"/>
        <v>0</v>
      </c>
      <c r="W277">
        <f>IF(R277&lt;=0,0,MIN(MAX(0,R277-V277),0+IF(AND(Q277&gt;='Loan Prepayment'!$B$9,Q277&lt;='Loan Prepayment'!$E$16),'Loan Prepayment'!$B$8,0)))</f>
        <v>0</v>
      </c>
      <c r="X277">
        <f t="shared" si="92"/>
        <v>0</v>
      </c>
      <c r="Y277">
        <v>276</v>
      </c>
      <c r="Z277">
        <f t="shared" si="103"/>
        <v>0</v>
      </c>
      <c r="AA277">
        <f>IF(Y277&gt;='Loan Prepayment'!$E$11,'Loan Prepayment'!$E$12,'Loan Prepayment'!$B$6)</f>
        <v>7.5</v>
      </c>
      <c r="AB277">
        <f>IF(Z277&lt;=0,0,MIN(IF(Y277='Loan Prepayment'!$E$11,IF('Loan Prepayment'!$E$13="Keep tenure, recalculate EMI",-PMT(AA277/1200,MAX(1,'Loan Prepayment'!$B$7*12-Y277+1),Z277),AB276),AB276),Z277+AC277))</f>
        <v>0</v>
      </c>
      <c r="AC277">
        <f t="shared" si="93"/>
        <v>0</v>
      </c>
      <c r="AD277">
        <f t="shared" si="94"/>
        <v>0</v>
      </c>
      <c r="AE277">
        <f t="shared" si="95"/>
        <v>0</v>
      </c>
      <c r="AF277">
        <f t="shared" si="96"/>
        <v>0</v>
      </c>
      <c r="AG277">
        <v>276</v>
      </c>
      <c r="AH277">
        <f t="shared" si="104"/>
        <v>0</v>
      </c>
      <c r="AI277">
        <f>IF(AG277&gt;='Loan Prepayment'!$E$11,'Loan Prepayment'!$E$12,'Loan Prepayment'!$B$6)</f>
        <v>7.5</v>
      </c>
      <c r="AJ277">
        <f>IF(AH277&lt;=0,0,MIN(IF(AG277='Loan Prepayment'!$E$11,IF('Loan Prepayment'!$E$13="Keep tenure, recalculate EMI",-PMT(AI277/1200,MAX(1,'Loan Prepayment'!$B$7*12-AG277+1),AH277),AJ276),IF(AND('Loan Prepayment'!$E$15="Reduce EMI",AM276&gt;0),-PMT(AI277/1200,MAX(1,'Loan Prepayment'!$B$7*12-AG277+1),AH277),AJ276)),AH277+AK277))</f>
        <v>0</v>
      </c>
      <c r="AK277">
        <f t="shared" si="97"/>
        <v>0</v>
      </c>
      <c r="AL277">
        <f t="shared" si="98"/>
        <v>0</v>
      </c>
      <c r="AM277">
        <f>IF(AH277&lt;=0,0,MIN(MAX(0,AH277-AL277),SUMIFS('Loan Prepayment'!$B$12:$B$16,'Loan Prepayment'!$A$12:$A$16,AG277)+IF(AND(AG277&gt;='Loan Prepayment'!$B$9,AG277&lt;='Loan Prepayment'!$E$16),'Loan Prepayment'!$B$8,0)))</f>
        <v>0</v>
      </c>
      <c r="AN277">
        <f t="shared" si="99"/>
        <v>0</v>
      </c>
    </row>
    <row r="278" spans="1:40" x14ac:dyDescent="0.35">
      <c r="A278">
        <v>277</v>
      </c>
      <c r="B278">
        <f t="shared" si="100"/>
        <v>0</v>
      </c>
      <c r="C278" s="78">
        <f>'Loan Prepayment'!$B$6</f>
        <v>8.5</v>
      </c>
      <c r="D278">
        <f>IF(B278&lt;=0,0,MIN(-PMT('Loan Prepayment'!$B$6/1200,'Loan Prepayment'!$B$7*12,'Loan Prepayment'!$B$5),B278+E278))</f>
        <v>0</v>
      </c>
      <c r="E278">
        <f t="shared" si="84"/>
        <v>0</v>
      </c>
      <c r="F278">
        <f t="shared" si="85"/>
        <v>0</v>
      </c>
      <c r="G278">
        <v>0</v>
      </c>
      <c r="H278">
        <f t="shared" si="86"/>
        <v>0</v>
      </c>
      <c r="I278">
        <v>277</v>
      </c>
      <c r="J278">
        <f t="shared" si="101"/>
        <v>0</v>
      </c>
      <c r="K278" s="78">
        <f>'Loan Prepayment'!$B$6</f>
        <v>8.5</v>
      </c>
      <c r="L278">
        <f>IF(J278&lt;=0,0,MIN(IF(AND('Loan Prepayment'!$E$15="Reduce EMI",O277&gt;0),-PMT(K278/1200,MAX(1,'Loan Prepayment'!$B$7*12-I278+1),J278),L277),J278+M278))</f>
        <v>0</v>
      </c>
      <c r="M278">
        <f t="shared" si="87"/>
        <v>0</v>
      </c>
      <c r="N278">
        <f t="shared" si="88"/>
        <v>0</v>
      </c>
      <c r="O278">
        <f>IF(J278&lt;=0,0,MIN(MAX(0,J278-N278),SUMIFS('Loan Prepayment'!$B$12:$B$16,'Loan Prepayment'!$A$12:$A$16,I278)+0))</f>
        <v>0</v>
      </c>
      <c r="P278">
        <f t="shared" si="89"/>
        <v>0</v>
      </c>
      <c r="Q278">
        <v>277</v>
      </c>
      <c r="R278">
        <f t="shared" si="102"/>
        <v>0</v>
      </c>
      <c r="S278" s="78">
        <f>'Loan Prepayment'!$B$6</f>
        <v>8.5</v>
      </c>
      <c r="T278">
        <f>IF(R278&lt;=0,0,MIN(IF(AND('Loan Prepayment'!$E$15="Reduce EMI",W277&gt;0),-PMT(S278/1200,MAX(1,'Loan Prepayment'!$B$7*12-Q278+1),R278),T277),R278+U278))</f>
        <v>0</v>
      </c>
      <c r="U278">
        <f t="shared" si="90"/>
        <v>0</v>
      </c>
      <c r="V278">
        <f t="shared" si="91"/>
        <v>0</v>
      </c>
      <c r="W278">
        <f>IF(R278&lt;=0,0,MIN(MAX(0,R278-V278),0+IF(AND(Q278&gt;='Loan Prepayment'!$B$9,Q278&lt;='Loan Prepayment'!$E$16),'Loan Prepayment'!$B$8,0)))</f>
        <v>0</v>
      </c>
      <c r="X278">
        <f t="shared" si="92"/>
        <v>0</v>
      </c>
      <c r="Y278">
        <v>277</v>
      </c>
      <c r="Z278">
        <f t="shared" si="103"/>
        <v>0</v>
      </c>
      <c r="AA278">
        <f>IF(Y278&gt;='Loan Prepayment'!$E$11,'Loan Prepayment'!$E$12,'Loan Prepayment'!$B$6)</f>
        <v>7.5</v>
      </c>
      <c r="AB278">
        <f>IF(Z278&lt;=0,0,MIN(IF(Y278='Loan Prepayment'!$E$11,IF('Loan Prepayment'!$E$13="Keep tenure, recalculate EMI",-PMT(AA278/1200,MAX(1,'Loan Prepayment'!$B$7*12-Y278+1),Z278),AB277),AB277),Z278+AC278))</f>
        <v>0</v>
      </c>
      <c r="AC278">
        <f t="shared" si="93"/>
        <v>0</v>
      </c>
      <c r="AD278">
        <f t="shared" si="94"/>
        <v>0</v>
      </c>
      <c r="AE278">
        <f t="shared" si="95"/>
        <v>0</v>
      </c>
      <c r="AF278">
        <f t="shared" si="96"/>
        <v>0</v>
      </c>
      <c r="AG278">
        <v>277</v>
      </c>
      <c r="AH278">
        <f t="shared" si="104"/>
        <v>0</v>
      </c>
      <c r="AI278">
        <f>IF(AG278&gt;='Loan Prepayment'!$E$11,'Loan Prepayment'!$E$12,'Loan Prepayment'!$B$6)</f>
        <v>7.5</v>
      </c>
      <c r="AJ278">
        <f>IF(AH278&lt;=0,0,MIN(IF(AG278='Loan Prepayment'!$E$11,IF('Loan Prepayment'!$E$13="Keep tenure, recalculate EMI",-PMT(AI278/1200,MAX(1,'Loan Prepayment'!$B$7*12-AG278+1),AH278),AJ277),IF(AND('Loan Prepayment'!$E$15="Reduce EMI",AM277&gt;0),-PMT(AI278/1200,MAX(1,'Loan Prepayment'!$B$7*12-AG278+1),AH278),AJ277)),AH278+AK278))</f>
        <v>0</v>
      </c>
      <c r="AK278">
        <f t="shared" si="97"/>
        <v>0</v>
      </c>
      <c r="AL278">
        <f t="shared" si="98"/>
        <v>0</v>
      </c>
      <c r="AM278">
        <f>IF(AH278&lt;=0,0,MIN(MAX(0,AH278-AL278),SUMIFS('Loan Prepayment'!$B$12:$B$16,'Loan Prepayment'!$A$12:$A$16,AG278)+IF(AND(AG278&gt;='Loan Prepayment'!$B$9,AG278&lt;='Loan Prepayment'!$E$16),'Loan Prepayment'!$B$8,0)))</f>
        <v>0</v>
      </c>
      <c r="AN278">
        <f t="shared" si="99"/>
        <v>0</v>
      </c>
    </row>
    <row r="279" spans="1:40" x14ac:dyDescent="0.35">
      <c r="A279">
        <v>278</v>
      </c>
      <c r="B279">
        <f t="shared" si="100"/>
        <v>0</v>
      </c>
      <c r="C279" s="78">
        <f>'Loan Prepayment'!$B$6</f>
        <v>8.5</v>
      </c>
      <c r="D279">
        <f>IF(B279&lt;=0,0,MIN(-PMT('Loan Prepayment'!$B$6/1200,'Loan Prepayment'!$B$7*12,'Loan Prepayment'!$B$5),B279+E279))</f>
        <v>0</v>
      </c>
      <c r="E279">
        <f t="shared" si="84"/>
        <v>0</v>
      </c>
      <c r="F279">
        <f t="shared" si="85"/>
        <v>0</v>
      </c>
      <c r="G279">
        <v>0</v>
      </c>
      <c r="H279">
        <f t="shared" si="86"/>
        <v>0</v>
      </c>
      <c r="I279">
        <v>278</v>
      </c>
      <c r="J279">
        <f t="shared" si="101"/>
        <v>0</v>
      </c>
      <c r="K279" s="78">
        <f>'Loan Prepayment'!$B$6</f>
        <v>8.5</v>
      </c>
      <c r="L279">
        <f>IF(J279&lt;=0,0,MIN(IF(AND('Loan Prepayment'!$E$15="Reduce EMI",O278&gt;0),-PMT(K279/1200,MAX(1,'Loan Prepayment'!$B$7*12-I279+1),J279),L278),J279+M279))</f>
        <v>0</v>
      </c>
      <c r="M279">
        <f t="shared" si="87"/>
        <v>0</v>
      </c>
      <c r="N279">
        <f t="shared" si="88"/>
        <v>0</v>
      </c>
      <c r="O279">
        <f>IF(J279&lt;=0,0,MIN(MAX(0,J279-N279),SUMIFS('Loan Prepayment'!$B$12:$B$16,'Loan Prepayment'!$A$12:$A$16,I279)+0))</f>
        <v>0</v>
      </c>
      <c r="P279">
        <f t="shared" si="89"/>
        <v>0</v>
      </c>
      <c r="Q279">
        <v>278</v>
      </c>
      <c r="R279">
        <f t="shared" si="102"/>
        <v>0</v>
      </c>
      <c r="S279" s="78">
        <f>'Loan Prepayment'!$B$6</f>
        <v>8.5</v>
      </c>
      <c r="T279">
        <f>IF(R279&lt;=0,0,MIN(IF(AND('Loan Prepayment'!$E$15="Reduce EMI",W278&gt;0),-PMT(S279/1200,MAX(1,'Loan Prepayment'!$B$7*12-Q279+1),R279),T278),R279+U279))</f>
        <v>0</v>
      </c>
      <c r="U279">
        <f t="shared" si="90"/>
        <v>0</v>
      </c>
      <c r="V279">
        <f t="shared" si="91"/>
        <v>0</v>
      </c>
      <c r="W279">
        <f>IF(R279&lt;=0,0,MIN(MAX(0,R279-V279),0+IF(AND(Q279&gt;='Loan Prepayment'!$B$9,Q279&lt;='Loan Prepayment'!$E$16),'Loan Prepayment'!$B$8,0)))</f>
        <v>0</v>
      </c>
      <c r="X279">
        <f t="shared" si="92"/>
        <v>0</v>
      </c>
      <c r="Y279">
        <v>278</v>
      </c>
      <c r="Z279">
        <f t="shared" si="103"/>
        <v>0</v>
      </c>
      <c r="AA279">
        <f>IF(Y279&gt;='Loan Prepayment'!$E$11,'Loan Prepayment'!$E$12,'Loan Prepayment'!$B$6)</f>
        <v>7.5</v>
      </c>
      <c r="AB279">
        <f>IF(Z279&lt;=0,0,MIN(IF(Y279='Loan Prepayment'!$E$11,IF('Loan Prepayment'!$E$13="Keep tenure, recalculate EMI",-PMT(AA279/1200,MAX(1,'Loan Prepayment'!$B$7*12-Y279+1),Z279),AB278),AB278),Z279+AC279))</f>
        <v>0</v>
      </c>
      <c r="AC279">
        <f t="shared" si="93"/>
        <v>0</v>
      </c>
      <c r="AD279">
        <f t="shared" si="94"/>
        <v>0</v>
      </c>
      <c r="AE279">
        <f t="shared" si="95"/>
        <v>0</v>
      </c>
      <c r="AF279">
        <f t="shared" si="96"/>
        <v>0</v>
      </c>
      <c r="AG279">
        <v>278</v>
      </c>
      <c r="AH279">
        <f t="shared" si="104"/>
        <v>0</v>
      </c>
      <c r="AI279">
        <f>IF(AG279&gt;='Loan Prepayment'!$E$11,'Loan Prepayment'!$E$12,'Loan Prepayment'!$B$6)</f>
        <v>7.5</v>
      </c>
      <c r="AJ279">
        <f>IF(AH279&lt;=0,0,MIN(IF(AG279='Loan Prepayment'!$E$11,IF('Loan Prepayment'!$E$13="Keep tenure, recalculate EMI",-PMT(AI279/1200,MAX(1,'Loan Prepayment'!$B$7*12-AG279+1),AH279),AJ278),IF(AND('Loan Prepayment'!$E$15="Reduce EMI",AM278&gt;0),-PMT(AI279/1200,MAX(1,'Loan Prepayment'!$B$7*12-AG279+1),AH279),AJ278)),AH279+AK279))</f>
        <v>0</v>
      </c>
      <c r="AK279">
        <f t="shared" si="97"/>
        <v>0</v>
      </c>
      <c r="AL279">
        <f t="shared" si="98"/>
        <v>0</v>
      </c>
      <c r="AM279">
        <f>IF(AH279&lt;=0,0,MIN(MAX(0,AH279-AL279),SUMIFS('Loan Prepayment'!$B$12:$B$16,'Loan Prepayment'!$A$12:$A$16,AG279)+IF(AND(AG279&gt;='Loan Prepayment'!$B$9,AG279&lt;='Loan Prepayment'!$E$16),'Loan Prepayment'!$B$8,0)))</f>
        <v>0</v>
      </c>
      <c r="AN279">
        <f t="shared" si="99"/>
        <v>0</v>
      </c>
    </row>
    <row r="280" spans="1:40" x14ac:dyDescent="0.35">
      <c r="A280">
        <v>279</v>
      </c>
      <c r="B280">
        <f t="shared" si="100"/>
        <v>0</v>
      </c>
      <c r="C280" s="78">
        <f>'Loan Prepayment'!$B$6</f>
        <v>8.5</v>
      </c>
      <c r="D280">
        <f>IF(B280&lt;=0,0,MIN(-PMT('Loan Prepayment'!$B$6/1200,'Loan Prepayment'!$B$7*12,'Loan Prepayment'!$B$5),B280+E280))</f>
        <v>0</v>
      </c>
      <c r="E280">
        <f t="shared" si="84"/>
        <v>0</v>
      </c>
      <c r="F280">
        <f t="shared" si="85"/>
        <v>0</v>
      </c>
      <c r="G280">
        <v>0</v>
      </c>
      <c r="H280">
        <f t="shared" si="86"/>
        <v>0</v>
      </c>
      <c r="I280">
        <v>279</v>
      </c>
      <c r="J280">
        <f t="shared" si="101"/>
        <v>0</v>
      </c>
      <c r="K280" s="78">
        <f>'Loan Prepayment'!$B$6</f>
        <v>8.5</v>
      </c>
      <c r="L280">
        <f>IF(J280&lt;=0,0,MIN(IF(AND('Loan Prepayment'!$E$15="Reduce EMI",O279&gt;0),-PMT(K280/1200,MAX(1,'Loan Prepayment'!$B$7*12-I280+1),J280),L279),J280+M280))</f>
        <v>0</v>
      </c>
      <c r="M280">
        <f t="shared" si="87"/>
        <v>0</v>
      </c>
      <c r="N280">
        <f t="shared" si="88"/>
        <v>0</v>
      </c>
      <c r="O280">
        <f>IF(J280&lt;=0,0,MIN(MAX(0,J280-N280),SUMIFS('Loan Prepayment'!$B$12:$B$16,'Loan Prepayment'!$A$12:$A$16,I280)+0))</f>
        <v>0</v>
      </c>
      <c r="P280">
        <f t="shared" si="89"/>
        <v>0</v>
      </c>
      <c r="Q280">
        <v>279</v>
      </c>
      <c r="R280">
        <f t="shared" si="102"/>
        <v>0</v>
      </c>
      <c r="S280" s="78">
        <f>'Loan Prepayment'!$B$6</f>
        <v>8.5</v>
      </c>
      <c r="T280">
        <f>IF(R280&lt;=0,0,MIN(IF(AND('Loan Prepayment'!$E$15="Reduce EMI",W279&gt;0),-PMT(S280/1200,MAX(1,'Loan Prepayment'!$B$7*12-Q280+1),R280),T279),R280+U280))</f>
        <v>0</v>
      </c>
      <c r="U280">
        <f t="shared" si="90"/>
        <v>0</v>
      </c>
      <c r="V280">
        <f t="shared" si="91"/>
        <v>0</v>
      </c>
      <c r="W280">
        <f>IF(R280&lt;=0,0,MIN(MAX(0,R280-V280),0+IF(AND(Q280&gt;='Loan Prepayment'!$B$9,Q280&lt;='Loan Prepayment'!$E$16),'Loan Prepayment'!$B$8,0)))</f>
        <v>0</v>
      </c>
      <c r="X280">
        <f t="shared" si="92"/>
        <v>0</v>
      </c>
      <c r="Y280">
        <v>279</v>
      </c>
      <c r="Z280">
        <f t="shared" si="103"/>
        <v>0</v>
      </c>
      <c r="AA280">
        <f>IF(Y280&gt;='Loan Prepayment'!$E$11,'Loan Prepayment'!$E$12,'Loan Prepayment'!$B$6)</f>
        <v>7.5</v>
      </c>
      <c r="AB280">
        <f>IF(Z280&lt;=0,0,MIN(IF(Y280='Loan Prepayment'!$E$11,IF('Loan Prepayment'!$E$13="Keep tenure, recalculate EMI",-PMT(AA280/1200,MAX(1,'Loan Prepayment'!$B$7*12-Y280+1),Z280),AB279),AB279),Z280+AC280))</f>
        <v>0</v>
      </c>
      <c r="AC280">
        <f t="shared" si="93"/>
        <v>0</v>
      </c>
      <c r="AD280">
        <f t="shared" si="94"/>
        <v>0</v>
      </c>
      <c r="AE280">
        <f t="shared" si="95"/>
        <v>0</v>
      </c>
      <c r="AF280">
        <f t="shared" si="96"/>
        <v>0</v>
      </c>
      <c r="AG280">
        <v>279</v>
      </c>
      <c r="AH280">
        <f t="shared" si="104"/>
        <v>0</v>
      </c>
      <c r="AI280">
        <f>IF(AG280&gt;='Loan Prepayment'!$E$11,'Loan Prepayment'!$E$12,'Loan Prepayment'!$B$6)</f>
        <v>7.5</v>
      </c>
      <c r="AJ280">
        <f>IF(AH280&lt;=0,0,MIN(IF(AG280='Loan Prepayment'!$E$11,IF('Loan Prepayment'!$E$13="Keep tenure, recalculate EMI",-PMT(AI280/1200,MAX(1,'Loan Prepayment'!$B$7*12-AG280+1),AH280),AJ279),IF(AND('Loan Prepayment'!$E$15="Reduce EMI",AM279&gt;0),-PMT(AI280/1200,MAX(1,'Loan Prepayment'!$B$7*12-AG280+1),AH280),AJ279)),AH280+AK280))</f>
        <v>0</v>
      </c>
      <c r="AK280">
        <f t="shared" si="97"/>
        <v>0</v>
      </c>
      <c r="AL280">
        <f t="shared" si="98"/>
        <v>0</v>
      </c>
      <c r="AM280">
        <f>IF(AH280&lt;=0,0,MIN(MAX(0,AH280-AL280),SUMIFS('Loan Prepayment'!$B$12:$B$16,'Loan Prepayment'!$A$12:$A$16,AG280)+IF(AND(AG280&gt;='Loan Prepayment'!$B$9,AG280&lt;='Loan Prepayment'!$E$16),'Loan Prepayment'!$B$8,0)))</f>
        <v>0</v>
      </c>
      <c r="AN280">
        <f t="shared" si="99"/>
        <v>0</v>
      </c>
    </row>
    <row r="281" spans="1:40" x14ac:dyDescent="0.35">
      <c r="A281">
        <v>280</v>
      </c>
      <c r="B281">
        <f t="shared" si="100"/>
        <v>0</v>
      </c>
      <c r="C281" s="78">
        <f>'Loan Prepayment'!$B$6</f>
        <v>8.5</v>
      </c>
      <c r="D281">
        <f>IF(B281&lt;=0,0,MIN(-PMT('Loan Prepayment'!$B$6/1200,'Loan Prepayment'!$B$7*12,'Loan Prepayment'!$B$5),B281+E281))</f>
        <v>0</v>
      </c>
      <c r="E281">
        <f t="shared" si="84"/>
        <v>0</v>
      </c>
      <c r="F281">
        <f t="shared" si="85"/>
        <v>0</v>
      </c>
      <c r="G281">
        <v>0</v>
      </c>
      <c r="H281">
        <f t="shared" si="86"/>
        <v>0</v>
      </c>
      <c r="I281">
        <v>280</v>
      </c>
      <c r="J281">
        <f t="shared" si="101"/>
        <v>0</v>
      </c>
      <c r="K281" s="78">
        <f>'Loan Prepayment'!$B$6</f>
        <v>8.5</v>
      </c>
      <c r="L281">
        <f>IF(J281&lt;=0,0,MIN(IF(AND('Loan Prepayment'!$E$15="Reduce EMI",O280&gt;0),-PMT(K281/1200,MAX(1,'Loan Prepayment'!$B$7*12-I281+1),J281),L280),J281+M281))</f>
        <v>0</v>
      </c>
      <c r="M281">
        <f t="shared" si="87"/>
        <v>0</v>
      </c>
      <c r="N281">
        <f t="shared" si="88"/>
        <v>0</v>
      </c>
      <c r="O281">
        <f>IF(J281&lt;=0,0,MIN(MAX(0,J281-N281),SUMIFS('Loan Prepayment'!$B$12:$B$16,'Loan Prepayment'!$A$12:$A$16,I281)+0))</f>
        <v>0</v>
      </c>
      <c r="P281">
        <f t="shared" si="89"/>
        <v>0</v>
      </c>
      <c r="Q281">
        <v>280</v>
      </c>
      <c r="R281">
        <f t="shared" si="102"/>
        <v>0</v>
      </c>
      <c r="S281" s="78">
        <f>'Loan Prepayment'!$B$6</f>
        <v>8.5</v>
      </c>
      <c r="T281">
        <f>IF(R281&lt;=0,0,MIN(IF(AND('Loan Prepayment'!$E$15="Reduce EMI",W280&gt;0),-PMT(S281/1200,MAX(1,'Loan Prepayment'!$B$7*12-Q281+1),R281),T280),R281+U281))</f>
        <v>0</v>
      </c>
      <c r="U281">
        <f t="shared" si="90"/>
        <v>0</v>
      </c>
      <c r="V281">
        <f t="shared" si="91"/>
        <v>0</v>
      </c>
      <c r="W281">
        <f>IF(R281&lt;=0,0,MIN(MAX(0,R281-V281),0+IF(AND(Q281&gt;='Loan Prepayment'!$B$9,Q281&lt;='Loan Prepayment'!$E$16),'Loan Prepayment'!$B$8,0)))</f>
        <v>0</v>
      </c>
      <c r="X281">
        <f t="shared" si="92"/>
        <v>0</v>
      </c>
      <c r="Y281">
        <v>280</v>
      </c>
      <c r="Z281">
        <f t="shared" si="103"/>
        <v>0</v>
      </c>
      <c r="AA281">
        <f>IF(Y281&gt;='Loan Prepayment'!$E$11,'Loan Prepayment'!$E$12,'Loan Prepayment'!$B$6)</f>
        <v>7.5</v>
      </c>
      <c r="AB281">
        <f>IF(Z281&lt;=0,0,MIN(IF(Y281='Loan Prepayment'!$E$11,IF('Loan Prepayment'!$E$13="Keep tenure, recalculate EMI",-PMT(AA281/1200,MAX(1,'Loan Prepayment'!$B$7*12-Y281+1),Z281),AB280),AB280),Z281+AC281))</f>
        <v>0</v>
      </c>
      <c r="AC281">
        <f t="shared" si="93"/>
        <v>0</v>
      </c>
      <c r="AD281">
        <f t="shared" si="94"/>
        <v>0</v>
      </c>
      <c r="AE281">
        <f t="shared" si="95"/>
        <v>0</v>
      </c>
      <c r="AF281">
        <f t="shared" si="96"/>
        <v>0</v>
      </c>
      <c r="AG281">
        <v>280</v>
      </c>
      <c r="AH281">
        <f t="shared" si="104"/>
        <v>0</v>
      </c>
      <c r="AI281">
        <f>IF(AG281&gt;='Loan Prepayment'!$E$11,'Loan Prepayment'!$E$12,'Loan Prepayment'!$B$6)</f>
        <v>7.5</v>
      </c>
      <c r="AJ281">
        <f>IF(AH281&lt;=0,0,MIN(IF(AG281='Loan Prepayment'!$E$11,IF('Loan Prepayment'!$E$13="Keep tenure, recalculate EMI",-PMT(AI281/1200,MAX(1,'Loan Prepayment'!$B$7*12-AG281+1),AH281),AJ280),IF(AND('Loan Prepayment'!$E$15="Reduce EMI",AM280&gt;0),-PMT(AI281/1200,MAX(1,'Loan Prepayment'!$B$7*12-AG281+1),AH281),AJ280)),AH281+AK281))</f>
        <v>0</v>
      </c>
      <c r="AK281">
        <f t="shared" si="97"/>
        <v>0</v>
      </c>
      <c r="AL281">
        <f t="shared" si="98"/>
        <v>0</v>
      </c>
      <c r="AM281">
        <f>IF(AH281&lt;=0,0,MIN(MAX(0,AH281-AL281),SUMIFS('Loan Prepayment'!$B$12:$B$16,'Loan Prepayment'!$A$12:$A$16,AG281)+IF(AND(AG281&gt;='Loan Prepayment'!$B$9,AG281&lt;='Loan Prepayment'!$E$16),'Loan Prepayment'!$B$8,0)))</f>
        <v>0</v>
      </c>
      <c r="AN281">
        <f t="shared" si="99"/>
        <v>0</v>
      </c>
    </row>
    <row r="282" spans="1:40" x14ac:dyDescent="0.35">
      <c r="A282">
        <v>281</v>
      </c>
      <c r="B282">
        <f t="shared" si="100"/>
        <v>0</v>
      </c>
      <c r="C282" s="78">
        <f>'Loan Prepayment'!$B$6</f>
        <v>8.5</v>
      </c>
      <c r="D282">
        <f>IF(B282&lt;=0,0,MIN(-PMT('Loan Prepayment'!$B$6/1200,'Loan Prepayment'!$B$7*12,'Loan Prepayment'!$B$5),B282+E282))</f>
        <v>0</v>
      </c>
      <c r="E282">
        <f t="shared" si="84"/>
        <v>0</v>
      </c>
      <c r="F282">
        <f t="shared" si="85"/>
        <v>0</v>
      </c>
      <c r="G282">
        <v>0</v>
      </c>
      <c r="H282">
        <f t="shared" si="86"/>
        <v>0</v>
      </c>
      <c r="I282">
        <v>281</v>
      </c>
      <c r="J282">
        <f t="shared" si="101"/>
        <v>0</v>
      </c>
      <c r="K282" s="78">
        <f>'Loan Prepayment'!$B$6</f>
        <v>8.5</v>
      </c>
      <c r="L282">
        <f>IF(J282&lt;=0,0,MIN(IF(AND('Loan Prepayment'!$E$15="Reduce EMI",O281&gt;0),-PMT(K282/1200,MAX(1,'Loan Prepayment'!$B$7*12-I282+1),J282),L281),J282+M282))</f>
        <v>0</v>
      </c>
      <c r="M282">
        <f t="shared" si="87"/>
        <v>0</v>
      </c>
      <c r="N282">
        <f t="shared" si="88"/>
        <v>0</v>
      </c>
      <c r="O282">
        <f>IF(J282&lt;=0,0,MIN(MAX(0,J282-N282),SUMIFS('Loan Prepayment'!$B$12:$B$16,'Loan Prepayment'!$A$12:$A$16,I282)+0))</f>
        <v>0</v>
      </c>
      <c r="P282">
        <f t="shared" si="89"/>
        <v>0</v>
      </c>
      <c r="Q282">
        <v>281</v>
      </c>
      <c r="R282">
        <f t="shared" si="102"/>
        <v>0</v>
      </c>
      <c r="S282" s="78">
        <f>'Loan Prepayment'!$B$6</f>
        <v>8.5</v>
      </c>
      <c r="T282">
        <f>IF(R282&lt;=0,0,MIN(IF(AND('Loan Prepayment'!$E$15="Reduce EMI",W281&gt;0),-PMT(S282/1200,MAX(1,'Loan Prepayment'!$B$7*12-Q282+1),R282),T281),R282+U282))</f>
        <v>0</v>
      </c>
      <c r="U282">
        <f t="shared" si="90"/>
        <v>0</v>
      </c>
      <c r="V282">
        <f t="shared" si="91"/>
        <v>0</v>
      </c>
      <c r="W282">
        <f>IF(R282&lt;=0,0,MIN(MAX(0,R282-V282),0+IF(AND(Q282&gt;='Loan Prepayment'!$B$9,Q282&lt;='Loan Prepayment'!$E$16),'Loan Prepayment'!$B$8,0)))</f>
        <v>0</v>
      </c>
      <c r="X282">
        <f t="shared" si="92"/>
        <v>0</v>
      </c>
      <c r="Y282">
        <v>281</v>
      </c>
      <c r="Z282">
        <f t="shared" si="103"/>
        <v>0</v>
      </c>
      <c r="AA282">
        <f>IF(Y282&gt;='Loan Prepayment'!$E$11,'Loan Prepayment'!$E$12,'Loan Prepayment'!$B$6)</f>
        <v>7.5</v>
      </c>
      <c r="AB282">
        <f>IF(Z282&lt;=0,0,MIN(IF(Y282='Loan Prepayment'!$E$11,IF('Loan Prepayment'!$E$13="Keep tenure, recalculate EMI",-PMT(AA282/1200,MAX(1,'Loan Prepayment'!$B$7*12-Y282+1),Z282),AB281),AB281),Z282+AC282))</f>
        <v>0</v>
      </c>
      <c r="AC282">
        <f t="shared" si="93"/>
        <v>0</v>
      </c>
      <c r="AD282">
        <f t="shared" si="94"/>
        <v>0</v>
      </c>
      <c r="AE282">
        <f t="shared" si="95"/>
        <v>0</v>
      </c>
      <c r="AF282">
        <f t="shared" si="96"/>
        <v>0</v>
      </c>
      <c r="AG282">
        <v>281</v>
      </c>
      <c r="AH282">
        <f t="shared" si="104"/>
        <v>0</v>
      </c>
      <c r="AI282">
        <f>IF(AG282&gt;='Loan Prepayment'!$E$11,'Loan Prepayment'!$E$12,'Loan Prepayment'!$B$6)</f>
        <v>7.5</v>
      </c>
      <c r="AJ282">
        <f>IF(AH282&lt;=0,0,MIN(IF(AG282='Loan Prepayment'!$E$11,IF('Loan Prepayment'!$E$13="Keep tenure, recalculate EMI",-PMT(AI282/1200,MAX(1,'Loan Prepayment'!$B$7*12-AG282+1),AH282),AJ281),IF(AND('Loan Prepayment'!$E$15="Reduce EMI",AM281&gt;0),-PMT(AI282/1200,MAX(1,'Loan Prepayment'!$B$7*12-AG282+1),AH282),AJ281)),AH282+AK282))</f>
        <v>0</v>
      </c>
      <c r="AK282">
        <f t="shared" si="97"/>
        <v>0</v>
      </c>
      <c r="AL282">
        <f t="shared" si="98"/>
        <v>0</v>
      </c>
      <c r="AM282">
        <f>IF(AH282&lt;=0,0,MIN(MAX(0,AH282-AL282),SUMIFS('Loan Prepayment'!$B$12:$B$16,'Loan Prepayment'!$A$12:$A$16,AG282)+IF(AND(AG282&gt;='Loan Prepayment'!$B$9,AG282&lt;='Loan Prepayment'!$E$16),'Loan Prepayment'!$B$8,0)))</f>
        <v>0</v>
      </c>
      <c r="AN282">
        <f t="shared" si="99"/>
        <v>0</v>
      </c>
    </row>
    <row r="283" spans="1:40" x14ac:dyDescent="0.35">
      <c r="A283">
        <v>282</v>
      </c>
      <c r="B283">
        <f t="shared" si="100"/>
        <v>0</v>
      </c>
      <c r="C283" s="78">
        <f>'Loan Prepayment'!$B$6</f>
        <v>8.5</v>
      </c>
      <c r="D283">
        <f>IF(B283&lt;=0,0,MIN(-PMT('Loan Prepayment'!$B$6/1200,'Loan Prepayment'!$B$7*12,'Loan Prepayment'!$B$5),B283+E283))</f>
        <v>0</v>
      </c>
      <c r="E283">
        <f t="shared" si="84"/>
        <v>0</v>
      </c>
      <c r="F283">
        <f t="shared" si="85"/>
        <v>0</v>
      </c>
      <c r="G283">
        <v>0</v>
      </c>
      <c r="H283">
        <f t="shared" si="86"/>
        <v>0</v>
      </c>
      <c r="I283">
        <v>282</v>
      </c>
      <c r="J283">
        <f t="shared" si="101"/>
        <v>0</v>
      </c>
      <c r="K283" s="78">
        <f>'Loan Prepayment'!$B$6</f>
        <v>8.5</v>
      </c>
      <c r="L283">
        <f>IF(J283&lt;=0,0,MIN(IF(AND('Loan Prepayment'!$E$15="Reduce EMI",O282&gt;0),-PMT(K283/1200,MAX(1,'Loan Prepayment'!$B$7*12-I283+1),J283),L282),J283+M283))</f>
        <v>0</v>
      </c>
      <c r="M283">
        <f t="shared" si="87"/>
        <v>0</v>
      </c>
      <c r="N283">
        <f t="shared" si="88"/>
        <v>0</v>
      </c>
      <c r="O283">
        <f>IF(J283&lt;=0,0,MIN(MAX(0,J283-N283),SUMIFS('Loan Prepayment'!$B$12:$B$16,'Loan Prepayment'!$A$12:$A$16,I283)+0))</f>
        <v>0</v>
      </c>
      <c r="P283">
        <f t="shared" si="89"/>
        <v>0</v>
      </c>
      <c r="Q283">
        <v>282</v>
      </c>
      <c r="R283">
        <f t="shared" si="102"/>
        <v>0</v>
      </c>
      <c r="S283" s="78">
        <f>'Loan Prepayment'!$B$6</f>
        <v>8.5</v>
      </c>
      <c r="T283">
        <f>IF(R283&lt;=0,0,MIN(IF(AND('Loan Prepayment'!$E$15="Reduce EMI",W282&gt;0),-PMT(S283/1200,MAX(1,'Loan Prepayment'!$B$7*12-Q283+1),R283),T282),R283+U283))</f>
        <v>0</v>
      </c>
      <c r="U283">
        <f t="shared" si="90"/>
        <v>0</v>
      </c>
      <c r="V283">
        <f t="shared" si="91"/>
        <v>0</v>
      </c>
      <c r="W283">
        <f>IF(R283&lt;=0,0,MIN(MAX(0,R283-V283),0+IF(AND(Q283&gt;='Loan Prepayment'!$B$9,Q283&lt;='Loan Prepayment'!$E$16),'Loan Prepayment'!$B$8,0)))</f>
        <v>0</v>
      </c>
      <c r="X283">
        <f t="shared" si="92"/>
        <v>0</v>
      </c>
      <c r="Y283">
        <v>282</v>
      </c>
      <c r="Z283">
        <f t="shared" si="103"/>
        <v>0</v>
      </c>
      <c r="AA283">
        <f>IF(Y283&gt;='Loan Prepayment'!$E$11,'Loan Prepayment'!$E$12,'Loan Prepayment'!$B$6)</f>
        <v>7.5</v>
      </c>
      <c r="AB283">
        <f>IF(Z283&lt;=0,0,MIN(IF(Y283='Loan Prepayment'!$E$11,IF('Loan Prepayment'!$E$13="Keep tenure, recalculate EMI",-PMT(AA283/1200,MAX(1,'Loan Prepayment'!$B$7*12-Y283+1),Z283),AB282),AB282),Z283+AC283))</f>
        <v>0</v>
      </c>
      <c r="AC283">
        <f t="shared" si="93"/>
        <v>0</v>
      </c>
      <c r="AD283">
        <f t="shared" si="94"/>
        <v>0</v>
      </c>
      <c r="AE283">
        <f t="shared" si="95"/>
        <v>0</v>
      </c>
      <c r="AF283">
        <f t="shared" si="96"/>
        <v>0</v>
      </c>
      <c r="AG283">
        <v>282</v>
      </c>
      <c r="AH283">
        <f t="shared" si="104"/>
        <v>0</v>
      </c>
      <c r="AI283">
        <f>IF(AG283&gt;='Loan Prepayment'!$E$11,'Loan Prepayment'!$E$12,'Loan Prepayment'!$B$6)</f>
        <v>7.5</v>
      </c>
      <c r="AJ283">
        <f>IF(AH283&lt;=0,0,MIN(IF(AG283='Loan Prepayment'!$E$11,IF('Loan Prepayment'!$E$13="Keep tenure, recalculate EMI",-PMT(AI283/1200,MAX(1,'Loan Prepayment'!$B$7*12-AG283+1),AH283),AJ282),IF(AND('Loan Prepayment'!$E$15="Reduce EMI",AM282&gt;0),-PMT(AI283/1200,MAX(1,'Loan Prepayment'!$B$7*12-AG283+1),AH283),AJ282)),AH283+AK283))</f>
        <v>0</v>
      </c>
      <c r="AK283">
        <f t="shared" si="97"/>
        <v>0</v>
      </c>
      <c r="AL283">
        <f t="shared" si="98"/>
        <v>0</v>
      </c>
      <c r="AM283">
        <f>IF(AH283&lt;=0,0,MIN(MAX(0,AH283-AL283),SUMIFS('Loan Prepayment'!$B$12:$B$16,'Loan Prepayment'!$A$12:$A$16,AG283)+IF(AND(AG283&gt;='Loan Prepayment'!$B$9,AG283&lt;='Loan Prepayment'!$E$16),'Loan Prepayment'!$B$8,0)))</f>
        <v>0</v>
      </c>
      <c r="AN283">
        <f t="shared" si="99"/>
        <v>0</v>
      </c>
    </row>
    <row r="284" spans="1:40" x14ac:dyDescent="0.35">
      <c r="A284">
        <v>283</v>
      </c>
      <c r="B284">
        <f t="shared" si="100"/>
        <v>0</v>
      </c>
      <c r="C284" s="78">
        <f>'Loan Prepayment'!$B$6</f>
        <v>8.5</v>
      </c>
      <c r="D284">
        <f>IF(B284&lt;=0,0,MIN(-PMT('Loan Prepayment'!$B$6/1200,'Loan Prepayment'!$B$7*12,'Loan Prepayment'!$B$5),B284+E284))</f>
        <v>0</v>
      </c>
      <c r="E284">
        <f t="shared" si="84"/>
        <v>0</v>
      </c>
      <c r="F284">
        <f t="shared" si="85"/>
        <v>0</v>
      </c>
      <c r="G284">
        <v>0</v>
      </c>
      <c r="H284">
        <f t="shared" si="86"/>
        <v>0</v>
      </c>
      <c r="I284">
        <v>283</v>
      </c>
      <c r="J284">
        <f t="shared" si="101"/>
        <v>0</v>
      </c>
      <c r="K284" s="78">
        <f>'Loan Prepayment'!$B$6</f>
        <v>8.5</v>
      </c>
      <c r="L284">
        <f>IF(J284&lt;=0,0,MIN(IF(AND('Loan Prepayment'!$E$15="Reduce EMI",O283&gt;0),-PMT(K284/1200,MAX(1,'Loan Prepayment'!$B$7*12-I284+1),J284),L283),J284+M284))</f>
        <v>0</v>
      </c>
      <c r="M284">
        <f t="shared" si="87"/>
        <v>0</v>
      </c>
      <c r="N284">
        <f t="shared" si="88"/>
        <v>0</v>
      </c>
      <c r="O284">
        <f>IF(J284&lt;=0,0,MIN(MAX(0,J284-N284),SUMIFS('Loan Prepayment'!$B$12:$B$16,'Loan Prepayment'!$A$12:$A$16,I284)+0))</f>
        <v>0</v>
      </c>
      <c r="P284">
        <f t="shared" si="89"/>
        <v>0</v>
      </c>
      <c r="Q284">
        <v>283</v>
      </c>
      <c r="R284">
        <f t="shared" si="102"/>
        <v>0</v>
      </c>
      <c r="S284" s="78">
        <f>'Loan Prepayment'!$B$6</f>
        <v>8.5</v>
      </c>
      <c r="T284">
        <f>IF(R284&lt;=0,0,MIN(IF(AND('Loan Prepayment'!$E$15="Reduce EMI",W283&gt;0),-PMT(S284/1200,MAX(1,'Loan Prepayment'!$B$7*12-Q284+1),R284),T283),R284+U284))</f>
        <v>0</v>
      </c>
      <c r="U284">
        <f t="shared" si="90"/>
        <v>0</v>
      </c>
      <c r="V284">
        <f t="shared" si="91"/>
        <v>0</v>
      </c>
      <c r="W284">
        <f>IF(R284&lt;=0,0,MIN(MAX(0,R284-V284),0+IF(AND(Q284&gt;='Loan Prepayment'!$B$9,Q284&lt;='Loan Prepayment'!$E$16),'Loan Prepayment'!$B$8,0)))</f>
        <v>0</v>
      </c>
      <c r="X284">
        <f t="shared" si="92"/>
        <v>0</v>
      </c>
      <c r="Y284">
        <v>283</v>
      </c>
      <c r="Z284">
        <f t="shared" si="103"/>
        <v>0</v>
      </c>
      <c r="AA284">
        <f>IF(Y284&gt;='Loan Prepayment'!$E$11,'Loan Prepayment'!$E$12,'Loan Prepayment'!$B$6)</f>
        <v>7.5</v>
      </c>
      <c r="AB284">
        <f>IF(Z284&lt;=0,0,MIN(IF(Y284='Loan Prepayment'!$E$11,IF('Loan Prepayment'!$E$13="Keep tenure, recalculate EMI",-PMT(AA284/1200,MAX(1,'Loan Prepayment'!$B$7*12-Y284+1),Z284),AB283),AB283),Z284+AC284))</f>
        <v>0</v>
      </c>
      <c r="AC284">
        <f t="shared" si="93"/>
        <v>0</v>
      </c>
      <c r="AD284">
        <f t="shared" si="94"/>
        <v>0</v>
      </c>
      <c r="AE284">
        <f t="shared" si="95"/>
        <v>0</v>
      </c>
      <c r="AF284">
        <f t="shared" si="96"/>
        <v>0</v>
      </c>
      <c r="AG284">
        <v>283</v>
      </c>
      <c r="AH284">
        <f t="shared" si="104"/>
        <v>0</v>
      </c>
      <c r="AI284">
        <f>IF(AG284&gt;='Loan Prepayment'!$E$11,'Loan Prepayment'!$E$12,'Loan Prepayment'!$B$6)</f>
        <v>7.5</v>
      </c>
      <c r="AJ284">
        <f>IF(AH284&lt;=0,0,MIN(IF(AG284='Loan Prepayment'!$E$11,IF('Loan Prepayment'!$E$13="Keep tenure, recalculate EMI",-PMT(AI284/1200,MAX(1,'Loan Prepayment'!$B$7*12-AG284+1),AH284),AJ283),IF(AND('Loan Prepayment'!$E$15="Reduce EMI",AM283&gt;0),-PMT(AI284/1200,MAX(1,'Loan Prepayment'!$B$7*12-AG284+1),AH284),AJ283)),AH284+AK284))</f>
        <v>0</v>
      </c>
      <c r="AK284">
        <f t="shared" si="97"/>
        <v>0</v>
      </c>
      <c r="AL284">
        <f t="shared" si="98"/>
        <v>0</v>
      </c>
      <c r="AM284">
        <f>IF(AH284&lt;=0,0,MIN(MAX(0,AH284-AL284),SUMIFS('Loan Prepayment'!$B$12:$B$16,'Loan Prepayment'!$A$12:$A$16,AG284)+IF(AND(AG284&gt;='Loan Prepayment'!$B$9,AG284&lt;='Loan Prepayment'!$E$16),'Loan Prepayment'!$B$8,0)))</f>
        <v>0</v>
      </c>
      <c r="AN284">
        <f t="shared" si="99"/>
        <v>0</v>
      </c>
    </row>
    <row r="285" spans="1:40" x14ac:dyDescent="0.35">
      <c r="A285">
        <v>284</v>
      </c>
      <c r="B285">
        <f t="shared" si="100"/>
        <v>0</v>
      </c>
      <c r="C285" s="78">
        <f>'Loan Prepayment'!$B$6</f>
        <v>8.5</v>
      </c>
      <c r="D285">
        <f>IF(B285&lt;=0,0,MIN(-PMT('Loan Prepayment'!$B$6/1200,'Loan Prepayment'!$B$7*12,'Loan Prepayment'!$B$5),B285+E285))</f>
        <v>0</v>
      </c>
      <c r="E285">
        <f t="shared" si="84"/>
        <v>0</v>
      </c>
      <c r="F285">
        <f t="shared" si="85"/>
        <v>0</v>
      </c>
      <c r="G285">
        <v>0</v>
      </c>
      <c r="H285">
        <f t="shared" si="86"/>
        <v>0</v>
      </c>
      <c r="I285">
        <v>284</v>
      </c>
      <c r="J285">
        <f t="shared" si="101"/>
        <v>0</v>
      </c>
      <c r="K285" s="78">
        <f>'Loan Prepayment'!$B$6</f>
        <v>8.5</v>
      </c>
      <c r="L285">
        <f>IF(J285&lt;=0,0,MIN(IF(AND('Loan Prepayment'!$E$15="Reduce EMI",O284&gt;0),-PMT(K285/1200,MAX(1,'Loan Prepayment'!$B$7*12-I285+1),J285),L284),J285+M285))</f>
        <v>0</v>
      </c>
      <c r="M285">
        <f t="shared" si="87"/>
        <v>0</v>
      </c>
      <c r="N285">
        <f t="shared" si="88"/>
        <v>0</v>
      </c>
      <c r="O285">
        <f>IF(J285&lt;=0,0,MIN(MAX(0,J285-N285),SUMIFS('Loan Prepayment'!$B$12:$B$16,'Loan Prepayment'!$A$12:$A$16,I285)+0))</f>
        <v>0</v>
      </c>
      <c r="P285">
        <f t="shared" si="89"/>
        <v>0</v>
      </c>
      <c r="Q285">
        <v>284</v>
      </c>
      <c r="R285">
        <f t="shared" si="102"/>
        <v>0</v>
      </c>
      <c r="S285" s="78">
        <f>'Loan Prepayment'!$B$6</f>
        <v>8.5</v>
      </c>
      <c r="T285">
        <f>IF(R285&lt;=0,0,MIN(IF(AND('Loan Prepayment'!$E$15="Reduce EMI",W284&gt;0),-PMT(S285/1200,MAX(1,'Loan Prepayment'!$B$7*12-Q285+1),R285),T284),R285+U285))</f>
        <v>0</v>
      </c>
      <c r="U285">
        <f t="shared" si="90"/>
        <v>0</v>
      </c>
      <c r="V285">
        <f t="shared" si="91"/>
        <v>0</v>
      </c>
      <c r="W285">
        <f>IF(R285&lt;=0,0,MIN(MAX(0,R285-V285),0+IF(AND(Q285&gt;='Loan Prepayment'!$B$9,Q285&lt;='Loan Prepayment'!$E$16),'Loan Prepayment'!$B$8,0)))</f>
        <v>0</v>
      </c>
      <c r="X285">
        <f t="shared" si="92"/>
        <v>0</v>
      </c>
      <c r="Y285">
        <v>284</v>
      </c>
      <c r="Z285">
        <f t="shared" si="103"/>
        <v>0</v>
      </c>
      <c r="AA285">
        <f>IF(Y285&gt;='Loan Prepayment'!$E$11,'Loan Prepayment'!$E$12,'Loan Prepayment'!$B$6)</f>
        <v>7.5</v>
      </c>
      <c r="AB285">
        <f>IF(Z285&lt;=0,0,MIN(IF(Y285='Loan Prepayment'!$E$11,IF('Loan Prepayment'!$E$13="Keep tenure, recalculate EMI",-PMT(AA285/1200,MAX(1,'Loan Prepayment'!$B$7*12-Y285+1),Z285),AB284),AB284),Z285+AC285))</f>
        <v>0</v>
      </c>
      <c r="AC285">
        <f t="shared" si="93"/>
        <v>0</v>
      </c>
      <c r="AD285">
        <f t="shared" si="94"/>
        <v>0</v>
      </c>
      <c r="AE285">
        <f t="shared" si="95"/>
        <v>0</v>
      </c>
      <c r="AF285">
        <f t="shared" si="96"/>
        <v>0</v>
      </c>
      <c r="AG285">
        <v>284</v>
      </c>
      <c r="AH285">
        <f t="shared" si="104"/>
        <v>0</v>
      </c>
      <c r="AI285">
        <f>IF(AG285&gt;='Loan Prepayment'!$E$11,'Loan Prepayment'!$E$12,'Loan Prepayment'!$B$6)</f>
        <v>7.5</v>
      </c>
      <c r="AJ285">
        <f>IF(AH285&lt;=0,0,MIN(IF(AG285='Loan Prepayment'!$E$11,IF('Loan Prepayment'!$E$13="Keep tenure, recalculate EMI",-PMT(AI285/1200,MAX(1,'Loan Prepayment'!$B$7*12-AG285+1),AH285),AJ284),IF(AND('Loan Prepayment'!$E$15="Reduce EMI",AM284&gt;0),-PMT(AI285/1200,MAX(1,'Loan Prepayment'!$B$7*12-AG285+1),AH285),AJ284)),AH285+AK285))</f>
        <v>0</v>
      </c>
      <c r="AK285">
        <f t="shared" si="97"/>
        <v>0</v>
      </c>
      <c r="AL285">
        <f t="shared" si="98"/>
        <v>0</v>
      </c>
      <c r="AM285">
        <f>IF(AH285&lt;=0,0,MIN(MAX(0,AH285-AL285),SUMIFS('Loan Prepayment'!$B$12:$B$16,'Loan Prepayment'!$A$12:$A$16,AG285)+IF(AND(AG285&gt;='Loan Prepayment'!$B$9,AG285&lt;='Loan Prepayment'!$E$16),'Loan Prepayment'!$B$8,0)))</f>
        <v>0</v>
      </c>
      <c r="AN285">
        <f t="shared" si="99"/>
        <v>0</v>
      </c>
    </row>
    <row r="286" spans="1:40" x14ac:dyDescent="0.35">
      <c r="A286">
        <v>285</v>
      </c>
      <c r="B286">
        <f t="shared" si="100"/>
        <v>0</v>
      </c>
      <c r="C286" s="78">
        <f>'Loan Prepayment'!$B$6</f>
        <v>8.5</v>
      </c>
      <c r="D286">
        <f>IF(B286&lt;=0,0,MIN(-PMT('Loan Prepayment'!$B$6/1200,'Loan Prepayment'!$B$7*12,'Loan Prepayment'!$B$5),B286+E286))</f>
        <v>0</v>
      </c>
      <c r="E286">
        <f t="shared" si="84"/>
        <v>0</v>
      </c>
      <c r="F286">
        <f t="shared" si="85"/>
        <v>0</v>
      </c>
      <c r="G286">
        <v>0</v>
      </c>
      <c r="H286">
        <f t="shared" si="86"/>
        <v>0</v>
      </c>
      <c r="I286">
        <v>285</v>
      </c>
      <c r="J286">
        <f t="shared" si="101"/>
        <v>0</v>
      </c>
      <c r="K286" s="78">
        <f>'Loan Prepayment'!$B$6</f>
        <v>8.5</v>
      </c>
      <c r="L286">
        <f>IF(J286&lt;=0,0,MIN(IF(AND('Loan Prepayment'!$E$15="Reduce EMI",O285&gt;0),-PMT(K286/1200,MAX(1,'Loan Prepayment'!$B$7*12-I286+1),J286),L285),J286+M286))</f>
        <v>0</v>
      </c>
      <c r="M286">
        <f t="shared" si="87"/>
        <v>0</v>
      </c>
      <c r="N286">
        <f t="shared" si="88"/>
        <v>0</v>
      </c>
      <c r="O286">
        <f>IF(J286&lt;=0,0,MIN(MAX(0,J286-N286),SUMIFS('Loan Prepayment'!$B$12:$B$16,'Loan Prepayment'!$A$12:$A$16,I286)+0))</f>
        <v>0</v>
      </c>
      <c r="P286">
        <f t="shared" si="89"/>
        <v>0</v>
      </c>
      <c r="Q286">
        <v>285</v>
      </c>
      <c r="R286">
        <f t="shared" si="102"/>
        <v>0</v>
      </c>
      <c r="S286" s="78">
        <f>'Loan Prepayment'!$B$6</f>
        <v>8.5</v>
      </c>
      <c r="T286">
        <f>IF(R286&lt;=0,0,MIN(IF(AND('Loan Prepayment'!$E$15="Reduce EMI",W285&gt;0),-PMT(S286/1200,MAX(1,'Loan Prepayment'!$B$7*12-Q286+1),R286),T285),R286+U286))</f>
        <v>0</v>
      </c>
      <c r="U286">
        <f t="shared" si="90"/>
        <v>0</v>
      </c>
      <c r="V286">
        <f t="shared" si="91"/>
        <v>0</v>
      </c>
      <c r="W286">
        <f>IF(R286&lt;=0,0,MIN(MAX(0,R286-V286),0+IF(AND(Q286&gt;='Loan Prepayment'!$B$9,Q286&lt;='Loan Prepayment'!$E$16),'Loan Prepayment'!$B$8,0)))</f>
        <v>0</v>
      </c>
      <c r="X286">
        <f t="shared" si="92"/>
        <v>0</v>
      </c>
      <c r="Y286">
        <v>285</v>
      </c>
      <c r="Z286">
        <f t="shared" si="103"/>
        <v>0</v>
      </c>
      <c r="AA286">
        <f>IF(Y286&gt;='Loan Prepayment'!$E$11,'Loan Prepayment'!$E$12,'Loan Prepayment'!$B$6)</f>
        <v>7.5</v>
      </c>
      <c r="AB286">
        <f>IF(Z286&lt;=0,0,MIN(IF(Y286='Loan Prepayment'!$E$11,IF('Loan Prepayment'!$E$13="Keep tenure, recalculate EMI",-PMT(AA286/1200,MAX(1,'Loan Prepayment'!$B$7*12-Y286+1),Z286),AB285),AB285),Z286+AC286))</f>
        <v>0</v>
      </c>
      <c r="AC286">
        <f t="shared" si="93"/>
        <v>0</v>
      </c>
      <c r="AD286">
        <f t="shared" si="94"/>
        <v>0</v>
      </c>
      <c r="AE286">
        <f t="shared" si="95"/>
        <v>0</v>
      </c>
      <c r="AF286">
        <f t="shared" si="96"/>
        <v>0</v>
      </c>
      <c r="AG286">
        <v>285</v>
      </c>
      <c r="AH286">
        <f t="shared" si="104"/>
        <v>0</v>
      </c>
      <c r="AI286">
        <f>IF(AG286&gt;='Loan Prepayment'!$E$11,'Loan Prepayment'!$E$12,'Loan Prepayment'!$B$6)</f>
        <v>7.5</v>
      </c>
      <c r="AJ286">
        <f>IF(AH286&lt;=0,0,MIN(IF(AG286='Loan Prepayment'!$E$11,IF('Loan Prepayment'!$E$13="Keep tenure, recalculate EMI",-PMT(AI286/1200,MAX(1,'Loan Prepayment'!$B$7*12-AG286+1),AH286),AJ285),IF(AND('Loan Prepayment'!$E$15="Reduce EMI",AM285&gt;0),-PMT(AI286/1200,MAX(1,'Loan Prepayment'!$B$7*12-AG286+1),AH286),AJ285)),AH286+AK286))</f>
        <v>0</v>
      </c>
      <c r="AK286">
        <f t="shared" si="97"/>
        <v>0</v>
      </c>
      <c r="AL286">
        <f t="shared" si="98"/>
        <v>0</v>
      </c>
      <c r="AM286">
        <f>IF(AH286&lt;=0,0,MIN(MAX(0,AH286-AL286),SUMIFS('Loan Prepayment'!$B$12:$B$16,'Loan Prepayment'!$A$12:$A$16,AG286)+IF(AND(AG286&gt;='Loan Prepayment'!$B$9,AG286&lt;='Loan Prepayment'!$E$16),'Loan Prepayment'!$B$8,0)))</f>
        <v>0</v>
      </c>
      <c r="AN286">
        <f t="shared" si="99"/>
        <v>0</v>
      </c>
    </row>
    <row r="287" spans="1:40" x14ac:dyDescent="0.35">
      <c r="A287">
        <v>286</v>
      </c>
      <c r="B287">
        <f t="shared" si="100"/>
        <v>0</v>
      </c>
      <c r="C287" s="78">
        <f>'Loan Prepayment'!$B$6</f>
        <v>8.5</v>
      </c>
      <c r="D287">
        <f>IF(B287&lt;=0,0,MIN(-PMT('Loan Prepayment'!$B$6/1200,'Loan Prepayment'!$B$7*12,'Loan Prepayment'!$B$5),B287+E287))</f>
        <v>0</v>
      </c>
      <c r="E287">
        <f t="shared" si="84"/>
        <v>0</v>
      </c>
      <c r="F287">
        <f t="shared" si="85"/>
        <v>0</v>
      </c>
      <c r="G287">
        <v>0</v>
      </c>
      <c r="H287">
        <f t="shared" si="86"/>
        <v>0</v>
      </c>
      <c r="I287">
        <v>286</v>
      </c>
      <c r="J287">
        <f t="shared" si="101"/>
        <v>0</v>
      </c>
      <c r="K287" s="78">
        <f>'Loan Prepayment'!$B$6</f>
        <v>8.5</v>
      </c>
      <c r="L287">
        <f>IF(J287&lt;=0,0,MIN(IF(AND('Loan Prepayment'!$E$15="Reduce EMI",O286&gt;0),-PMT(K287/1200,MAX(1,'Loan Prepayment'!$B$7*12-I287+1),J287),L286),J287+M287))</f>
        <v>0</v>
      </c>
      <c r="M287">
        <f t="shared" si="87"/>
        <v>0</v>
      </c>
      <c r="N287">
        <f t="shared" si="88"/>
        <v>0</v>
      </c>
      <c r="O287">
        <f>IF(J287&lt;=0,0,MIN(MAX(0,J287-N287),SUMIFS('Loan Prepayment'!$B$12:$B$16,'Loan Prepayment'!$A$12:$A$16,I287)+0))</f>
        <v>0</v>
      </c>
      <c r="P287">
        <f t="shared" si="89"/>
        <v>0</v>
      </c>
      <c r="Q287">
        <v>286</v>
      </c>
      <c r="R287">
        <f t="shared" si="102"/>
        <v>0</v>
      </c>
      <c r="S287" s="78">
        <f>'Loan Prepayment'!$B$6</f>
        <v>8.5</v>
      </c>
      <c r="T287">
        <f>IF(R287&lt;=0,0,MIN(IF(AND('Loan Prepayment'!$E$15="Reduce EMI",W286&gt;0),-PMT(S287/1200,MAX(1,'Loan Prepayment'!$B$7*12-Q287+1),R287),T286),R287+U287))</f>
        <v>0</v>
      </c>
      <c r="U287">
        <f t="shared" si="90"/>
        <v>0</v>
      </c>
      <c r="V287">
        <f t="shared" si="91"/>
        <v>0</v>
      </c>
      <c r="W287">
        <f>IF(R287&lt;=0,0,MIN(MAX(0,R287-V287),0+IF(AND(Q287&gt;='Loan Prepayment'!$B$9,Q287&lt;='Loan Prepayment'!$E$16),'Loan Prepayment'!$B$8,0)))</f>
        <v>0</v>
      </c>
      <c r="X287">
        <f t="shared" si="92"/>
        <v>0</v>
      </c>
      <c r="Y287">
        <v>286</v>
      </c>
      <c r="Z287">
        <f t="shared" si="103"/>
        <v>0</v>
      </c>
      <c r="AA287">
        <f>IF(Y287&gt;='Loan Prepayment'!$E$11,'Loan Prepayment'!$E$12,'Loan Prepayment'!$B$6)</f>
        <v>7.5</v>
      </c>
      <c r="AB287">
        <f>IF(Z287&lt;=0,0,MIN(IF(Y287='Loan Prepayment'!$E$11,IF('Loan Prepayment'!$E$13="Keep tenure, recalculate EMI",-PMT(AA287/1200,MAX(1,'Loan Prepayment'!$B$7*12-Y287+1),Z287),AB286),AB286),Z287+AC287))</f>
        <v>0</v>
      </c>
      <c r="AC287">
        <f t="shared" si="93"/>
        <v>0</v>
      </c>
      <c r="AD287">
        <f t="shared" si="94"/>
        <v>0</v>
      </c>
      <c r="AE287">
        <f t="shared" si="95"/>
        <v>0</v>
      </c>
      <c r="AF287">
        <f t="shared" si="96"/>
        <v>0</v>
      </c>
      <c r="AG287">
        <v>286</v>
      </c>
      <c r="AH287">
        <f t="shared" si="104"/>
        <v>0</v>
      </c>
      <c r="AI287">
        <f>IF(AG287&gt;='Loan Prepayment'!$E$11,'Loan Prepayment'!$E$12,'Loan Prepayment'!$B$6)</f>
        <v>7.5</v>
      </c>
      <c r="AJ287">
        <f>IF(AH287&lt;=0,0,MIN(IF(AG287='Loan Prepayment'!$E$11,IF('Loan Prepayment'!$E$13="Keep tenure, recalculate EMI",-PMT(AI287/1200,MAX(1,'Loan Prepayment'!$B$7*12-AG287+1),AH287),AJ286),IF(AND('Loan Prepayment'!$E$15="Reduce EMI",AM286&gt;0),-PMT(AI287/1200,MAX(1,'Loan Prepayment'!$B$7*12-AG287+1),AH287),AJ286)),AH287+AK287))</f>
        <v>0</v>
      </c>
      <c r="AK287">
        <f t="shared" si="97"/>
        <v>0</v>
      </c>
      <c r="AL287">
        <f t="shared" si="98"/>
        <v>0</v>
      </c>
      <c r="AM287">
        <f>IF(AH287&lt;=0,0,MIN(MAX(0,AH287-AL287),SUMIFS('Loan Prepayment'!$B$12:$B$16,'Loan Prepayment'!$A$12:$A$16,AG287)+IF(AND(AG287&gt;='Loan Prepayment'!$B$9,AG287&lt;='Loan Prepayment'!$E$16),'Loan Prepayment'!$B$8,0)))</f>
        <v>0</v>
      </c>
      <c r="AN287">
        <f t="shared" si="99"/>
        <v>0</v>
      </c>
    </row>
    <row r="288" spans="1:40" x14ac:dyDescent="0.35">
      <c r="A288">
        <v>287</v>
      </c>
      <c r="B288">
        <f t="shared" si="100"/>
        <v>0</v>
      </c>
      <c r="C288" s="78">
        <f>'Loan Prepayment'!$B$6</f>
        <v>8.5</v>
      </c>
      <c r="D288">
        <f>IF(B288&lt;=0,0,MIN(-PMT('Loan Prepayment'!$B$6/1200,'Loan Prepayment'!$B$7*12,'Loan Prepayment'!$B$5),B288+E288))</f>
        <v>0</v>
      </c>
      <c r="E288">
        <f t="shared" si="84"/>
        <v>0</v>
      </c>
      <c r="F288">
        <f t="shared" si="85"/>
        <v>0</v>
      </c>
      <c r="G288">
        <v>0</v>
      </c>
      <c r="H288">
        <f t="shared" si="86"/>
        <v>0</v>
      </c>
      <c r="I288">
        <v>287</v>
      </c>
      <c r="J288">
        <f t="shared" si="101"/>
        <v>0</v>
      </c>
      <c r="K288" s="78">
        <f>'Loan Prepayment'!$B$6</f>
        <v>8.5</v>
      </c>
      <c r="L288">
        <f>IF(J288&lt;=0,0,MIN(IF(AND('Loan Prepayment'!$E$15="Reduce EMI",O287&gt;0),-PMT(K288/1200,MAX(1,'Loan Prepayment'!$B$7*12-I288+1),J288),L287),J288+M288))</f>
        <v>0</v>
      </c>
      <c r="M288">
        <f t="shared" si="87"/>
        <v>0</v>
      </c>
      <c r="N288">
        <f t="shared" si="88"/>
        <v>0</v>
      </c>
      <c r="O288">
        <f>IF(J288&lt;=0,0,MIN(MAX(0,J288-N288),SUMIFS('Loan Prepayment'!$B$12:$B$16,'Loan Prepayment'!$A$12:$A$16,I288)+0))</f>
        <v>0</v>
      </c>
      <c r="P288">
        <f t="shared" si="89"/>
        <v>0</v>
      </c>
      <c r="Q288">
        <v>287</v>
      </c>
      <c r="R288">
        <f t="shared" si="102"/>
        <v>0</v>
      </c>
      <c r="S288" s="78">
        <f>'Loan Prepayment'!$B$6</f>
        <v>8.5</v>
      </c>
      <c r="T288">
        <f>IF(R288&lt;=0,0,MIN(IF(AND('Loan Prepayment'!$E$15="Reduce EMI",W287&gt;0),-PMT(S288/1200,MAX(1,'Loan Prepayment'!$B$7*12-Q288+1),R288),T287),R288+U288))</f>
        <v>0</v>
      </c>
      <c r="U288">
        <f t="shared" si="90"/>
        <v>0</v>
      </c>
      <c r="V288">
        <f t="shared" si="91"/>
        <v>0</v>
      </c>
      <c r="W288">
        <f>IF(R288&lt;=0,0,MIN(MAX(0,R288-V288),0+IF(AND(Q288&gt;='Loan Prepayment'!$B$9,Q288&lt;='Loan Prepayment'!$E$16),'Loan Prepayment'!$B$8,0)))</f>
        <v>0</v>
      </c>
      <c r="X288">
        <f t="shared" si="92"/>
        <v>0</v>
      </c>
      <c r="Y288">
        <v>287</v>
      </c>
      <c r="Z288">
        <f t="shared" si="103"/>
        <v>0</v>
      </c>
      <c r="AA288">
        <f>IF(Y288&gt;='Loan Prepayment'!$E$11,'Loan Prepayment'!$E$12,'Loan Prepayment'!$B$6)</f>
        <v>7.5</v>
      </c>
      <c r="AB288">
        <f>IF(Z288&lt;=0,0,MIN(IF(Y288='Loan Prepayment'!$E$11,IF('Loan Prepayment'!$E$13="Keep tenure, recalculate EMI",-PMT(AA288/1200,MAX(1,'Loan Prepayment'!$B$7*12-Y288+1),Z288),AB287),AB287),Z288+AC288))</f>
        <v>0</v>
      </c>
      <c r="AC288">
        <f t="shared" si="93"/>
        <v>0</v>
      </c>
      <c r="AD288">
        <f t="shared" si="94"/>
        <v>0</v>
      </c>
      <c r="AE288">
        <f t="shared" si="95"/>
        <v>0</v>
      </c>
      <c r="AF288">
        <f t="shared" si="96"/>
        <v>0</v>
      </c>
      <c r="AG288">
        <v>287</v>
      </c>
      <c r="AH288">
        <f t="shared" si="104"/>
        <v>0</v>
      </c>
      <c r="AI288">
        <f>IF(AG288&gt;='Loan Prepayment'!$E$11,'Loan Prepayment'!$E$12,'Loan Prepayment'!$B$6)</f>
        <v>7.5</v>
      </c>
      <c r="AJ288">
        <f>IF(AH288&lt;=0,0,MIN(IF(AG288='Loan Prepayment'!$E$11,IF('Loan Prepayment'!$E$13="Keep tenure, recalculate EMI",-PMT(AI288/1200,MAX(1,'Loan Prepayment'!$B$7*12-AG288+1),AH288),AJ287),IF(AND('Loan Prepayment'!$E$15="Reduce EMI",AM287&gt;0),-PMT(AI288/1200,MAX(1,'Loan Prepayment'!$B$7*12-AG288+1),AH288),AJ287)),AH288+AK288))</f>
        <v>0</v>
      </c>
      <c r="AK288">
        <f t="shared" si="97"/>
        <v>0</v>
      </c>
      <c r="AL288">
        <f t="shared" si="98"/>
        <v>0</v>
      </c>
      <c r="AM288">
        <f>IF(AH288&lt;=0,0,MIN(MAX(0,AH288-AL288),SUMIFS('Loan Prepayment'!$B$12:$B$16,'Loan Prepayment'!$A$12:$A$16,AG288)+IF(AND(AG288&gt;='Loan Prepayment'!$B$9,AG288&lt;='Loan Prepayment'!$E$16),'Loan Prepayment'!$B$8,0)))</f>
        <v>0</v>
      </c>
      <c r="AN288">
        <f t="shared" si="99"/>
        <v>0</v>
      </c>
    </row>
    <row r="289" spans="1:40" x14ac:dyDescent="0.35">
      <c r="A289">
        <v>288</v>
      </c>
      <c r="B289">
        <f t="shared" si="100"/>
        <v>0</v>
      </c>
      <c r="C289" s="78">
        <f>'Loan Prepayment'!$B$6</f>
        <v>8.5</v>
      </c>
      <c r="D289">
        <f>IF(B289&lt;=0,0,MIN(-PMT('Loan Prepayment'!$B$6/1200,'Loan Prepayment'!$B$7*12,'Loan Prepayment'!$B$5),B289+E289))</f>
        <v>0</v>
      </c>
      <c r="E289">
        <f t="shared" si="84"/>
        <v>0</v>
      </c>
      <c r="F289">
        <f t="shared" si="85"/>
        <v>0</v>
      </c>
      <c r="G289">
        <v>0</v>
      </c>
      <c r="H289">
        <f t="shared" si="86"/>
        <v>0</v>
      </c>
      <c r="I289">
        <v>288</v>
      </c>
      <c r="J289">
        <f t="shared" si="101"/>
        <v>0</v>
      </c>
      <c r="K289" s="78">
        <f>'Loan Prepayment'!$B$6</f>
        <v>8.5</v>
      </c>
      <c r="L289">
        <f>IF(J289&lt;=0,0,MIN(IF(AND('Loan Prepayment'!$E$15="Reduce EMI",O288&gt;0),-PMT(K289/1200,MAX(1,'Loan Prepayment'!$B$7*12-I289+1),J289),L288),J289+M289))</f>
        <v>0</v>
      </c>
      <c r="M289">
        <f t="shared" si="87"/>
        <v>0</v>
      </c>
      <c r="N289">
        <f t="shared" si="88"/>
        <v>0</v>
      </c>
      <c r="O289">
        <f>IF(J289&lt;=0,0,MIN(MAX(0,J289-N289),SUMIFS('Loan Prepayment'!$B$12:$B$16,'Loan Prepayment'!$A$12:$A$16,I289)+0))</f>
        <v>0</v>
      </c>
      <c r="P289">
        <f t="shared" si="89"/>
        <v>0</v>
      </c>
      <c r="Q289">
        <v>288</v>
      </c>
      <c r="R289">
        <f t="shared" si="102"/>
        <v>0</v>
      </c>
      <c r="S289" s="78">
        <f>'Loan Prepayment'!$B$6</f>
        <v>8.5</v>
      </c>
      <c r="T289">
        <f>IF(R289&lt;=0,0,MIN(IF(AND('Loan Prepayment'!$E$15="Reduce EMI",W288&gt;0),-PMT(S289/1200,MAX(1,'Loan Prepayment'!$B$7*12-Q289+1),R289),T288),R289+U289))</f>
        <v>0</v>
      </c>
      <c r="U289">
        <f t="shared" si="90"/>
        <v>0</v>
      </c>
      <c r="V289">
        <f t="shared" si="91"/>
        <v>0</v>
      </c>
      <c r="W289">
        <f>IF(R289&lt;=0,0,MIN(MAX(0,R289-V289),0+IF(AND(Q289&gt;='Loan Prepayment'!$B$9,Q289&lt;='Loan Prepayment'!$E$16),'Loan Prepayment'!$B$8,0)))</f>
        <v>0</v>
      </c>
      <c r="X289">
        <f t="shared" si="92"/>
        <v>0</v>
      </c>
      <c r="Y289">
        <v>288</v>
      </c>
      <c r="Z289">
        <f t="shared" si="103"/>
        <v>0</v>
      </c>
      <c r="AA289">
        <f>IF(Y289&gt;='Loan Prepayment'!$E$11,'Loan Prepayment'!$E$12,'Loan Prepayment'!$B$6)</f>
        <v>7.5</v>
      </c>
      <c r="AB289">
        <f>IF(Z289&lt;=0,0,MIN(IF(Y289='Loan Prepayment'!$E$11,IF('Loan Prepayment'!$E$13="Keep tenure, recalculate EMI",-PMT(AA289/1200,MAX(1,'Loan Prepayment'!$B$7*12-Y289+1),Z289),AB288),AB288),Z289+AC289))</f>
        <v>0</v>
      </c>
      <c r="AC289">
        <f t="shared" si="93"/>
        <v>0</v>
      </c>
      <c r="AD289">
        <f t="shared" si="94"/>
        <v>0</v>
      </c>
      <c r="AE289">
        <f t="shared" si="95"/>
        <v>0</v>
      </c>
      <c r="AF289">
        <f t="shared" si="96"/>
        <v>0</v>
      </c>
      <c r="AG289">
        <v>288</v>
      </c>
      <c r="AH289">
        <f t="shared" si="104"/>
        <v>0</v>
      </c>
      <c r="AI289">
        <f>IF(AG289&gt;='Loan Prepayment'!$E$11,'Loan Prepayment'!$E$12,'Loan Prepayment'!$B$6)</f>
        <v>7.5</v>
      </c>
      <c r="AJ289">
        <f>IF(AH289&lt;=0,0,MIN(IF(AG289='Loan Prepayment'!$E$11,IF('Loan Prepayment'!$E$13="Keep tenure, recalculate EMI",-PMT(AI289/1200,MAX(1,'Loan Prepayment'!$B$7*12-AG289+1),AH289),AJ288),IF(AND('Loan Prepayment'!$E$15="Reduce EMI",AM288&gt;0),-PMT(AI289/1200,MAX(1,'Loan Prepayment'!$B$7*12-AG289+1),AH289),AJ288)),AH289+AK289))</f>
        <v>0</v>
      </c>
      <c r="AK289">
        <f t="shared" si="97"/>
        <v>0</v>
      </c>
      <c r="AL289">
        <f t="shared" si="98"/>
        <v>0</v>
      </c>
      <c r="AM289">
        <f>IF(AH289&lt;=0,0,MIN(MAX(0,AH289-AL289),SUMIFS('Loan Prepayment'!$B$12:$B$16,'Loan Prepayment'!$A$12:$A$16,AG289)+IF(AND(AG289&gt;='Loan Prepayment'!$B$9,AG289&lt;='Loan Prepayment'!$E$16),'Loan Prepayment'!$B$8,0)))</f>
        <v>0</v>
      </c>
      <c r="AN289">
        <f t="shared" si="99"/>
        <v>0</v>
      </c>
    </row>
    <row r="290" spans="1:40" x14ac:dyDescent="0.35">
      <c r="A290">
        <v>289</v>
      </c>
      <c r="B290">
        <f t="shared" si="100"/>
        <v>0</v>
      </c>
      <c r="C290" s="78">
        <f>'Loan Prepayment'!$B$6</f>
        <v>8.5</v>
      </c>
      <c r="D290">
        <f>IF(B290&lt;=0,0,MIN(-PMT('Loan Prepayment'!$B$6/1200,'Loan Prepayment'!$B$7*12,'Loan Prepayment'!$B$5),B290+E290))</f>
        <v>0</v>
      </c>
      <c r="E290">
        <f t="shared" si="84"/>
        <v>0</v>
      </c>
      <c r="F290">
        <f t="shared" si="85"/>
        <v>0</v>
      </c>
      <c r="G290">
        <v>0</v>
      </c>
      <c r="H290">
        <f t="shared" si="86"/>
        <v>0</v>
      </c>
      <c r="I290">
        <v>289</v>
      </c>
      <c r="J290">
        <f t="shared" si="101"/>
        <v>0</v>
      </c>
      <c r="K290" s="78">
        <f>'Loan Prepayment'!$B$6</f>
        <v>8.5</v>
      </c>
      <c r="L290">
        <f>IF(J290&lt;=0,0,MIN(IF(AND('Loan Prepayment'!$E$15="Reduce EMI",O289&gt;0),-PMT(K290/1200,MAX(1,'Loan Prepayment'!$B$7*12-I290+1),J290),L289),J290+M290))</f>
        <v>0</v>
      </c>
      <c r="M290">
        <f t="shared" si="87"/>
        <v>0</v>
      </c>
      <c r="N290">
        <f t="shared" si="88"/>
        <v>0</v>
      </c>
      <c r="O290">
        <f>IF(J290&lt;=0,0,MIN(MAX(0,J290-N290),SUMIFS('Loan Prepayment'!$B$12:$B$16,'Loan Prepayment'!$A$12:$A$16,I290)+0))</f>
        <v>0</v>
      </c>
      <c r="P290">
        <f t="shared" si="89"/>
        <v>0</v>
      </c>
      <c r="Q290">
        <v>289</v>
      </c>
      <c r="R290">
        <f t="shared" si="102"/>
        <v>0</v>
      </c>
      <c r="S290" s="78">
        <f>'Loan Prepayment'!$B$6</f>
        <v>8.5</v>
      </c>
      <c r="T290">
        <f>IF(R290&lt;=0,0,MIN(IF(AND('Loan Prepayment'!$E$15="Reduce EMI",W289&gt;0),-PMT(S290/1200,MAX(1,'Loan Prepayment'!$B$7*12-Q290+1),R290),T289),R290+U290))</f>
        <v>0</v>
      </c>
      <c r="U290">
        <f t="shared" si="90"/>
        <v>0</v>
      </c>
      <c r="V290">
        <f t="shared" si="91"/>
        <v>0</v>
      </c>
      <c r="W290">
        <f>IF(R290&lt;=0,0,MIN(MAX(0,R290-V290),0+IF(AND(Q290&gt;='Loan Prepayment'!$B$9,Q290&lt;='Loan Prepayment'!$E$16),'Loan Prepayment'!$B$8,0)))</f>
        <v>0</v>
      </c>
      <c r="X290">
        <f t="shared" si="92"/>
        <v>0</v>
      </c>
      <c r="Y290">
        <v>289</v>
      </c>
      <c r="Z290">
        <f t="shared" si="103"/>
        <v>0</v>
      </c>
      <c r="AA290">
        <f>IF(Y290&gt;='Loan Prepayment'!$E$11,'Loan Prepayment'!$E$12,'Loan Prepayment'!$B$6)</f>
        <v>7.5</v>
      </c>
      <c r="AB290">
        <f>IF(Z290&lt;=0,0,MIN(IF(Y290='Loan Prepayment'!$E$11,IF('Loan Prepayment'!$E$13="Keep tenure, recalculate EMI",-PMT(AA290/1200,MAX(1,'Loan Prepayment'!$B$7*12-Y290+1),Z290),AB289),AB289),Z290+AC290))</f>
        <v>0</v>
      </c>
      <c r="AC290">
        <f t="shared" si="93"/>
        <v>0</v>
      </c>
      <c r="AD290">
        <f t="shared" si="94"/>
        <v>0</v>
      </c>
      <c r="AE290">
        <f t="shared" si="95"/>
        <v>0</v>
      </c>
      <c r="AF290">
        <f t="shared" si="96"/>
        <v>0</v>
      </c>
      <c r="AG290">
        <v>289</v>
      </c>
      <c r="AH290">
        <f t="shared" si="104"/>
        <v>0</v>
      </c>
      <c r="AI290">
        <f>IF(AG290&gt;='Loan Prepayment'!$E$11,'Loan Prepayment'!$E$12,'Loan Prepayment'!$B$6)</f>
        <v>7.5</v>
      </c>
      <c r="AJ290">
        <f>IF(AH290&lt;=0,0,MIN(IF(AG290='Loan Prepayment'!$E$11,IF('Loan Prepayment'!$E$13="Keep tenure, recalculate EMI",-PMT(AI290/1200,MAX(1,'Loan Prepayment'!$B$7*12-AG290+1),AH290),AJ289),IF(AND('Loan Prepayment'!$E$15="Reduce EMI",AM289&gt;0),-PMT(AI290/1200,MAX(1,'Loan Prepayment'!$B$7*12-AG290+1),AH290),AJ289)),AH290+AK290))</f>
        <v>0</v>
      </c>
      <c r="AK290">
        <f t="shared" si="97"/>
        <v>0</v>
      </c>
      <c r="AL290">
        <f t="shared" si="98"/>
        <v>0</v>
      </c>
      <c r="AM290">
        <f>IF(AH290&lt;=0,0,MIN(MAX(0,AH290-AL290),SUMIFS('Loan Prepayment'!$B$12:$B$16,'Loan Prepayment'!$A$12:$A$16,AG290)+IF(AND(AG290&gt;='Loan Prepayment'!$B$9,AG290&lt;='Loan Prepayment'!$E$16),'Loan Prepayment'!$B$8,0)))</f>
        <v>0</v>
      </c>
      <c r="AN290">
        <f t="shared" si="99"/>
        <v>0</v>
      </c>
    </row>
    <row r="291" spans="1:40" x14ac:dyDescent="0.35">
      <c r="A291">
        <v>290</v>
      </c>
      <c r="B291">
        <f t="shared" si="100"/>
        <v>0</v>
      </c>
      <c r="C291" s="78">
        <f>'Loan Prepayment'!$B$6</f>
        <v>8.5</v>
      </c>
      <c r="D291">
        <f>IF(B291&lt;=0,0,MIN(-PMT('Loan Prepayment'!$B$6/1200,'Loan Prepayment'!$B$7*12,'Loan Prepayment'!$B$5),B291+E291))</f>
        <v>0</v>
      </c>
      <c r="E291">
        <f t="shared" si="84"/>
        <v>0</v>
      </c>
      <c r="F291">
        <f t="shared" si="85"/>
        <v>0</v>
      </c>
      <c r="G291">
        <v>0</v>
      </c>
      <c r="H291">
        <f t="shared" si="86"/>
        <v>0</v>
      </c>
      <c r="I291">
        <v>290</v>
      </c>
      <c r="J291">
        <f t="shared" si="101"/>
        <v>0</v>
      </c>
      <c r="K291" s="78">
        <f>'Loan Prepayment'!$B$6</f>
        <v>8.5</v>
      </c>
      <c r="L291">
        <f>IF(J291&lt;=0,0,MIN(IF(AND('Loan Prepayment'!$E$15="Reduce EMI",O290&gt;0),-PMT(K291/1200,MAX(1,'Loan Prepayment'!$B$7*12-I291+1),J291),L290),J291+M291))</f>
        <v>0</v>
      </c>
      <c r="M291">
        <f t="shared" si="87"/>
        <v>0</v>
      </c>
      <c r="N291">
        <f t="shared" si="88"/>
        <v>0</v>
      </c>
      <c r="O291">
        <f>IF(J291&lt;=0,0,MIN(MAX(0,J291-N291),SUMIFS('Loan Prepayment'!$B$12:$B$16,'Loan Prepayment'!$A$12:$A$16,I291)+0))</f>
        <v>0</v>
      </c>
      <c r="P291">
        <f t="shared" si="89"/>
        <v>0</v>
      </c>
      <c r="Q291">
        <v>290</v>
      </c>
      <c r="R291">
        <f t="shared" si="102"/>
        <v>0</v>
      </c>
      <c r="S291" s="78">
        <f>'Loan Prepayment'!$B$6</f>
        <v>8.5</v>
      </c>
      <c r="T291">
        <f>IF(R291&lt;=0,0,MIN(IF(AND('Loan Prepayment'!$E$15="Reduce EMI",W290&gt;0),-PMT(S291/1200,MAX(1,'Loan Prepayment'!$B$7*12-Q291+1),R291),T290),R291+U291))</f>
        <v>0</v>
      </c>
      <c r="U291">
        <f t="shared" si="90"/>
        <v>0</v>
      </c>
      <c r="V291">
        <f t="shared" si="91"/>
        <v>0</v>
      </c>
      <c r="W291">
        <f>IF(R291&lt;=0,0,MIN(MAX(0,R291-V291),0+IF(AND(Q291&gt;='Loan Prepayment'!$B$9,Q291&lt;='Loan Prepayment'!$E$16),'Loan Prepayment'!$B$8,0)))</f>
        <v>0</v>
      </c>
      <c r="X291">
        <f t="shared" si="92"/>
        <v>0</v>
      </c>
      <c r="Y291">
        <v>290</v>
      </c>
      <c r="Z291">
        <f t="shared" si="103"/>
        <v>0</v>
      </c>
      <c r="AA291">
        <f>IF(Y291&gt;='Loan Prepayment'!$E$11,'Loan Prepayment'!$E$12,'Loan Prepayment'!$B$6)</f>
        <v>7.5</v>
      </c>
      <c r="AB291">
        <f>IF(Z291&lt;=0,0,MIN(IF(Y291='Loan Prepayment'!$E$11,IF('Loan Prepayment'!$E$13="Keep tenure, recalculate EMI",-PMT(AA291/1200,MAX(1,'Loan Prepayment'!$B$7*12-Y291+1),Z291),AB290),AB290),Z291+AC291))</f>
        <v>0</v>
      </c>
      <c r="AC291">
        <f t="shared" si="93"/>
        <v>0</v>
      </c>
      <c r="AD291">
        <f t="shared" si="94"/>
        <v>0</v>
      </c>
      <c r="AE291">
        <f t="shared" si="95"/>
        <v>0</v>
      </c>
      <c r="AF291">
        <f t="shared" si="96"/>
        <v>0</v>
      </c>
      <c r="AG291">
        <v>290</v>
      </c>
      <c r="AH291">
        <f t="shared" si="104"/>
        <v>0</v>
      </c>
      <c r="AI291">
        <f>IF(AG291&gt;='Loan Prepayment'!$E$11,'Loan Prepayment'!$E$12,'Loan Prepayment'!$B$6)</f>
        <v>7.5</v>
      </c>
      <c r="AJ291">
        <f>IF(AH291&lt;=0,0,MIN(IF(AG291='Loan Prepayment'!$E$11,IF('Loan Prepayment'!$E$13="Keep tenure, recalculate EMI",-PMT(AI291/1200,MAX(1,'Loan Prepayment'!$B$7*12-AG291+1),AH291),AJ290),IF(AND('Loan Prepayment'!$E$15="Reduce EMI",AM290&gt;0),-PMT(AI291/1200,MAX(1,'Loan Prepayment'!$B$7*12-AG291+1),AH291),AJ290)),AH291+AK291))</f>
        <v>0</v>
      </c>
      <c r="AK291">
        <f t="shared" si="97"/>
        <v>0</v>
      </c>
      <c r="AL291">
        <f t="shared" si="98"/>
        <v>0</v>
      </c>
      <c r="AM291">
        <f>IF(AH291&lt;=0,0,MIN(MAX(0,AH291-AL291),SUMIFS('Loan Prepayment'!$B$12:$B$16,'Loan Prepayment'!$A$12:$A$16,AG291)+IF(AND(AG291&gt;='Loan Prepayment'!$B$9,AG291&lt;='Loan Prepayment'!$E$16),'Loan Prepayment'!$B$8,0)))</f>
        <v>0</v>
      </c>
      <c r="AN291">
        <f t="shared" si="99"/>
        <v>0</v>
      </c>
    </row>
    <row r="292" spans="1:40" x14ac:dyDescent="0.35">
      <c r="A292">
        <v>291</v>
      </c>
      <c r="B292">
        <f t="shared" si="100"/>
        <v>0</v>
      </c>
      <c r="C292" s="78">
        <f>'Loan Prepayment'!$B$6</f>
        <v>8.5</v>
      </c>
      <c r="D292">
        <f>IF(B292&lt;=0,0,MIN(-PMT('Loan Prepayment'!$B$6/1200,'Loan Prepayment'!$B$7*12,'Loan Prepayment'!$B$5),B292+E292))</f>
        <v>0</v>
      </c>
      <c r="E292">
        <f t="shared" si="84"/>
        <v>0</v>
      </c>
      <c r="F292">
        <f t="shared" si="85"/>
        <v>0</v>
      </c>
      <c r="G292">
        <v>0</v>
      </c>
      <c r="H292">
        <f t="shared" si="86"/>
        <v>0</v>
      </c>
      <c r="I292">
        <v>291</v>
      </c>
      <c r="J292">
        <f t="shared" si="101"/>
        <v>0</v>
      </c>
      <c r="K292" s="78">
        <f>'Loan Prepayment'!$B$6</f>
        <v>8.5</v>
      </c>
      <c r="L292">
        <f>IF(J292&lt;=0,0,MIN(IF(AND('Loan Prepayment'!$E$15="Reduce EMI",O291&gt;0),-PMT(K292/1200,MAX(1,'Loan Prepayment'!$B$7*12-I292+1),J292),L291),J292+M292))</f>
        <v>0</v>
      </c>
      <c r="M292">
        <f t="shared" si="87"/>
        <v>0</v>
      </c>
      <c r="N292">
        <f t="shared" si="88"/>
        <v>0</v>
      </c>
      <c r="O292">
        <f>IF(J292&lt;=0,0,MIN(MAX(0,J292-N292),SUMIFS('Loan Prepayment'!$B$12:$B$16,'Loan Prepayment'!$A$12:$A$16,I292)+0))</f>
        <v>0</v>
      </c>
      <c r="P292">
        <f t="shared" si="89"/>
        <v>0</v>
      </c>
      <c r="Q292">
        <v>291</v>
      </c>
      <c r="R292">
        <f t="shared" si="102"/>
        <v>0</v>
      </c>
      <c r="S292" s="78">
        <f>'Loan Prepayment'!$B$6</f>
        <v>8.5</v>
      </c>
      <c r="T292">
        <f>IF(R292&lt;=0,0,MIN(IF(AND('Loan Prepayment'!$E$15="Reduce EMI",W291&gt;0),-PMT(S292/1200,MAX(1,'Loan Prepayment'!$B$7*12-Q292+1),R292),T291),R292+U292))</f>
        <v>0</v>
      </c>
      <c r="U292">
        <f t="shared" si="90"/>
        <v>0</v>
      </c>
      <c r="V292">
        <f t="shared" si="91"/>
        <v>0</v>
      </c>
      <c r="W292">
        <f>IF(R292&lt;=0,0,MIN(MAX(0,R292-V292),0+IF(AND(Q292&gt;='Loan Prepayment'!$B$9,Q292&lt;='Loan Prepayment'!$E$16),'Loan Prepayment'!$B$8,0)))</f>
        <v>0</v>
      </c>
      <c r="X292">
        <f t="shared" si="92"/>
        <v>0</v>
      </c>
      <c r="Y292">
        <v>291</v>
      </c>
      <c r="Z292">
        <f t="shared" si="103"/>
        <v>0</v>
      </c>
      <c r="AA292">
        <f>IF(Y292&gt;='Loan Prepayment'!$E$11,'Loan Prepayment'!$E$12,'Loan Prepayment'!$B$6)</f>
        <v>7.5</v>
      </c>
      <c r="AB292">
        <f>IF(Z292&lt;=0,0,MIN(IF(Y292='Loan Prepayment'!$E$11,IF('Loan Prepayment'!$E$13="Keep tenure, recalculate EMI",-PMT(AA292/1200,MAX(1,'Loan Prepayment'!$B$7*12-Y292+1),Z292),AB291),AB291),Z292+AC292))</f>
        <v>0</v>
      </c>
      <c r="AC292">
        <f t="shared" si="93"/>
        <v>0</v>
      </c>
      <c r="AD292">
        <f t="shared" si="94"/>
        <v>0</v>
      </c>
      <c r="AE292">
        <f t="shared" si="95"/>
        <v>0</v>
      </c>
      <c r="AF292">
        <f t="shared" si="96"/>
        <v>0</v>
      </c>
      <c r="AG292">
        <v>291</v>
      </c>
      <c r="AH292">
        <f t="shared" si="104"/>
        <v>0</v>
      </c>
      <c r="AI292">
        <f>IF(AG292&gt;='Loan Prepayment'!$E$11,'Loan Prepayment'!$E$12,'Loan Prepayment'!$B$6)</f>
        <v>7.5</v>
      </c>
      <c r="AJ292">
        <f>IF(AH292&lt;=0,0,MIN(IF(AG292='Loan Prepayment'!$E$11,IF('Loan Prepayment'!$E$13="Keep tenure, recalculate EMI",-PMT(AI292/1200,MAX(1,'Loan Prepayment'!$B$7*12-AG292+1),AH292),AJ291),IF(AND('Loan Prepayment'!$E$15="Reduce EMI",AM291&gt;0),-PMT(AI292/1200,MAX(1,'Loan Prepayment'!$B$7*12-AG292+1),AH292),AJ291)),AH292+AK292))</f>
        <v>0</v>
      </c>
      <c r="AK292">
        <f t="shared" si="97"/>
        <v>0</v>
      </c>
      <c r="AL292">
        <f t="shared" si="98"/>
        <v>0</v>
      </c>
      <c r="AM292">
        <f>IF(AH292&lt;=0,0,MIN(MAX(0,AH292-AL292),SUMIFS('Loan Prepayment'!$B$12:$B$16,'Loan Prepayment'!$A$12:$A$16,AG292)+IF(AND(AG292&gt;='Loan Prepayment'!$B$9,AG292&lt;='Loan Prepayment'!$E$16),'Loan Prepayment'!$B$8,0)))</f>
        <v>0</v>
      </c>
      <c r="AN292">
        <f t="shared" si="99"/>
        <v>0</v>
      </c>
    </row>
    <row r="293" spans="1:40" x14ac:dyDescent="0.35">
      <c r="A293">
        <v>292</v>
      </c>
      <c r="B293">
        <f t="shared" si="100"/>
        <v>0</v>
      </c>
      <c r="C293" s="78">
        <f>'Loan Prepayment'!$B$6</f>
        <v>8.5</v>
      </c>
      <c r="D293">
        <f>IF(B293&lt;=0,0,MIN(-PMT('Loan Prepayment'!$B$6/1200,'Loan Prepayment'!$B$7*12,'Loan Prepayment'!$B$5),B293+E293))</f>
        <v>0</v>
      </c>
      <c r="E293">
        <f t="shared" si="84"/>
        <v>0</v>
      </c>
      <c r="F293">
        <f t="shared" si="85"/>
        <v>0</v>
      </c>
      <c r="G293">
        <v>0</v>
      </c>
      <c r="H293">
        <f t="shared" si="86"/>
        <v>0</v>
      </c>
      <c r="I293">
        <v>292</v>
      </c>
      <c r="J293">
        <f t="shared" si="101"/>
        <v>0</v>
      </c>
      <c r="K293" s="78">
        <f>'Loan Prepayment'!$B$6</f>
        <v>8.5</v>
      </c>
      <c r="L293">
        <f>IF(J293&lt;=0,0,MIN(IF(AND('Loan Prepayment'!$E$15="Reduce EMI",O292&gt;0),-PMT(K293/1200,MAX(1,'Loan Prepayment'!$B$7*12-I293+1),J293),L292),J293+M293))</f>
        <v>0</v>
      </c>
      <c r="M293">
        <f t="shared" si="87"/>
        <v>0</v>
      </c>
      <c r="N293">
        <f t="shared" si="88"/>
        <v>0</v>
      </c>
      <c r="O293">
        <f>IF(J293&lt;=0,0,MIN(MAX(0,J293-N293),SUMIFS('Loan Prepayment'!$B$12:$B$16,'Loan Prepayment'!$A$12:$A$16,I293)+0))</f>
        <v>0</v>
      </c>
      <c r="P293">
        <f t="shared" si="89"/>
        <v>0</v>
      </c>
      <c r="Q293">
        <v>292</v>
      </c>
      <c r="R293">
        <f t="shared" si="102"/>
        <v>0</v>
      </c>
      <c r="S293" s="78">
        <f>'Loan Prepayment'!$B$6</f>
        <v>8.5</v>
      </c>
      <c r="T293">
        <f>IF(R293&lt;=0,0,MIN(IF(AND('Loan Prepayment'!$E$15="Reduce EMI",W292&gt;0),-PMT(S293/1200,MAX(1,'Loan Prepayment'!$B$7*12-Q293+1),R293),T292),R293+U293))</f>
        <v>0</v>
      </c>
      <c r="U293">
        <f t="shared" si="90"/>
        <v>0</v>
      </c>
      <c r="V293">
        <f t="shared" si="91"/>
        <v>0</v>
      </c>
      <c r="W293">
        <f>IF(R293&lt;=0,0,MIN(MAX(0,R293-V293),0+IF(AND(Q293&gt;='Loan Prepayment'!$B$9,Q293&lt;='Loan Prepayment'!$E$16),'Loan Prepayment'!$B$8,0)))</f>
        <v>0</v>
      </c>
      <c r="X293">
        <f t="shared" si="92"/>
        <v>0</v>
      </c>
      <c r="Y293">
        <v>292</v>
      </c>
      <c r="Z293">
        <f t="shared" si="103"/>
        <v>0</v>
      </c>
      <c r="AA293">
        <f>IF(Y293&gt;='Loan Prepayment'!$E$11,'Loan Prepayment'!$E$12,'Loan Prepayment'!$B$6)</f>
        <v>7.5</v>
      </c>
      <c r="AB293">
        <f>IF(Z293&lt;=0,0,MIN(IF(Y293='Loan Prepayment'!$E$11,IF('Loan Prepayment'!$E$13="Keep tenure, recalculate EMI",-PMT(AA293/1200,MAX(1,'Loan Prepayment'!$B$7*12-Y293+1),Z293),AB292),AB292),Z293+AC293))</f>
        <v>0</v>
      </c>
      <c r="AC293">
        <f t="shared" si="93"/>
        <v>0</v>
      </c>
      <c r="AD293">
        <f t="shared" si="94"/>
        <v>0</v>
      </c>
      <c r="AE293">
        <f t="shared" si="95"/>
        <v>0</v>
      </c>
      <c r="AF293">
        <f t="shared" si="96"/>
        <v>0</v>
      </c>
      <c r="AG293">
        <v>292</v>
      </c>
      <c r="AH293">
        <f t="shared" si="104"/>
        <v>0</v>
      </c>
      <c r="AI293">
        <f>IF(AG293&gt;='Loan Prepayment'!$E$11,'Loan Prepayment'!$E$12,'Loan Prepayment'!$B$6)</f>
        <v>7.5</v>
      </c>
      <c r="AJ293">
        <f>IF(AH293&lt;=0,0,MIN(IF(AG293='Loan Prepayment'!$E$11,IF('Loan Prepayment'!$E$13="Keep tenure, recalculate EMI",-PMT(AI293/1200,MAX(1,'Loan Prepayment'!$B$7*12-AG293+1),AH293),AJ292),IF(AND('Loan Prepayment'!$E$15="Reduce EMI",AM292&gt;0),-PMT(AI293/1200,MAX(1,'Loan Prepayment'!$B$7*12-AG293+1),AH293),AJ292)),AH293+AK293))</f>
        <v>0</v>
      </c>
      <c r="AK293">
        <f t="shared" si="97"/>
        <v>0</v>
      </c>
      <c r="AL293">
        <f t="shared" si="98"/>
        <v>0</v>
      </c>
      <c r="AM293">
        <f>IF(AH293&lt;=0,0,MIN(MAX(0,AH293-AL293),SUMIFS('Loan Prepayment'!$B$12:$B$16,'Loan Prepayment'!$A$12:$A$16,AG293)+IF(AND(AG293&gt;='Loan Prepayment'!$B$9,AG293&lt;='Loan Prepayment'!$E$16),'Loan Prepayment'!$B$8,0)))</f>
        <v>0</v>
      </c>
      <c r="AN293">
        <f t="shared" si="99"/>
        <v>0</v>
      </c>
    </row>
    <row r="294" spans="1:40" x14ac:dyDescent="0.35">
      <c r="A294">
        <v>293</v>
      </c>
      <c r="B294">
        <f t="shared" si="100"/>
        <v>0</v>
      </c>
      <c r="C294" s="78">
        <f>'Loan Prepayment'!$B$6</f>
        <v>8.5</v>
      </c>
      <c r="D294">
        <f>IF(B294&lt;=0,0,MIN(-PMT('Loan Prepayment'!$B$6/1200,'Loan Prepayment'!$B$7*12,'Loan Prepayment'!$B$5),B294+E294))</f>
        <v>0</v>
      </c>
      <c r="E294">
        <f t="shared" si="84"/>
        <v>0</v>
      </c>
      <c r="F294">
        <f t="shared" si="85"/>
        <v>0</v>
      </c>
      <c r="G294">
        <v>0</v>
      </c>
      <c r="H294">
        <f t="shared" si="86"/>
        <v>0</v>
      </c>
      <c r="I294">
        <v>293</v>
      </c>
      <c r="J294">
        <f t="shared" si="101"/>
        <v>0</v>
      </c>
      <c r="K294" s="78">
        <f>'Loan Prepayment'!$B$6</f>
        <v>8.5</v>
      </c>
      <c r="L294">
        <f>IF(J294&lt;=0,0,MIN(IF(AND('Loan Prepayment'!$E$15="Reduce EMI",O293&gt;0),-PMT(K294/1200,MAX(1,'Loan Prepayment'!$B$7*12-I294+1),J294),L293),J294+M294))</f>
        <v>0</v>
      </c>
      <c r="M294">
        <f t="shared" si="87"/>
        <v>0</v>
      </c>
      <c r="N294">
        <f t="shared" si="88"/>
        <v>0</v>
      </c>
      <c r="O294">
        <f>IF(J294&lt;=0,0,MIN(MAX(0,J294-N294),SUMIFS('Loan Prepayment'!$B$12:$B$16,'Loan Prepayment'!$A$12:$A$16,I294)+0))</f>
        <v>0</v>
      </c>
      <c r="P294">
        <f t="shared" si="89"/>
        <v>0</v>
      </c>
      <c r="Q294">
        <v>293</v>
      </c>
      <c r="R294">
        <f t="shared" si="102"/>
        <v>0</v>
      </c>
      <c r="S294" s="78">
        <f>'Loan Prepayment'!$B$6</f>
        <v>8.5</v>
      </c>
      <c r="T294">
        <f>IF(R294&lt;=0,0,MIN(IF(AND('Loan Prepayment'!$E$15="Reduce EMI",W293&gt;0),-PMT(S294/1200,MAX(1,'Loan Prepayment'!$B$7*12-Q294+1),R294),T293),R294+U294))</f>
        <v>0</v>
      </c>
      <c r="U294">
        <f t="shared" si="90"/>
        <v>0</v>
      </c>
      <c r="V294">
        <f t="shared" si="91"/>
        <v>0</v>
      </c>
      <c r="W294">
        <f>IF(R294&lt;=0,0,MIN(MAX(0,R294-V294),0+IF(AND(Q294&gt;='Loan Prepayment'!$B$9,Q294&lt;='Loan Prepayment'!$E$16),'Loan Prepayment'!$B$8,0)))</f>
        <v>0</v>
      </c>
      <c r="X294">
        <f t="shared" si="92"/>
        <v>0</v>
      </c>
      <c r="Y294">
        <v>293</v>
      </c>
      <c r="Z294">
        <f t="shared" si="103"/>
        <v>0</v>
      </c>
      <c r="AA294">
        <f>IF(Y294&gt;='Loan Prepayment'!$E$11,'Loan Prepayment'!$E$12,'Loan Prepayment'!$B$6)</f>
        <v>7.5</v>
      </c>
      <c r="AB294">
        <f>IF(Z294&lt;=0,0,MIN(IF(Y294='Loan Prepayment'!$E$11,IF('Loan Prepayment'!$E$13="Keep tenure, recalculate EMI",-PMT(AA294/1200,MAX(1,'Loan Prepayment'!$B$7*12-Y294+1),Z294),AB293),AB293),Z294+AC294))</f>
        <v>0</v>
      </c>
      <c r="AC294">
        <f t="shared" si="93"/>
        <v>0</v>
      </c>
      <c r="AD294">
        <f t="shared" si="94"/>
        <v>0</v>
      </c>
      <c r="AE294">
        <f t="shared" si="95"/>
        <v>0</v>
      </c>
      <c r="AF294">
        <f t="shared" si="96"/>
        <v>0</v>
      </c>
      <c r="AG294">
        <v>293</v>
      </c>
      <c r="AH294">
        <f t="shared" si="104"/>
        <v>0</v>
      </c>
      <c r="AI294">
        <f>IF(AG294&gt;='Loan Prepayment'!$E$11,'Loan Prepayment'!$E$12,'Loan Prepayment'!$B$6)</f>
        <v>7.5</v>
      </c>
      <c r="AJ294">
        <f>IF(AH294&lt;=0,0,MIN(IF(AG294='Loan Prepayment'!$E$11,IF('Loan Prepayment'!$E$13="Keep tenure, recalculate EMI",-PMT(AI294/1200,MAX(1,'Loan Prepayment'!$B$7*12-AG294+1),AH294),AJ293),IF(AND('Loan Prepayment'!$E$15="Reduce EMI",AM293&gt;0),-PMT(AI294/1200,MAX(1,'Loan Prepayment'!$B$7*12-AG294+1),AH294),AJ293)),AH294+AK294))</f>
        <v>0</v>
      </c>
      <c r="AK294">
        <f t="shared" si="97"/>
        <v>0</v>
      </c>
      <c r="AL294">
        <f t="shared" si="98"/>
        <v>0</v>
      </c>
      <c r="AM294">
        <f>IF(AH294&lt;=0,0,MIN(MAX(0,AH294-AL294),SUMIFS('Loan Prepayment'!$B$12:$B$16,'Loan Prepayment'!$A$12:$A$16,AG294)+IF(AND(AG294&gt;='Loan Prepayment'!$B$9,AG294&lt;='Loan Prepayment'!$E$16),'Loan Prepayment'!$B$8,0)))</f>
        <v>0</v>
      </c>
      <c r="AN294">
        <f t="shared" si="99"/>
        <v>0</v>
      </c>
    </row>
    <row r="295" spans="1:40" x14ac:dyDescent="0.35">
      <c r="A295">
        <v>294</v>
      </c>
      <c r="B295">
        <f t="shared" si="100"/>
        <v>0</v>
      </c>
      <c r="C295" s="78">
        <f>'Loan Prepayment'!$B$6</f>
        <v>8.5</v>
      </c>
      <c r="D295">
        <f>IF(B295&lt;=0,0,MIN(-PMT('Loan Prepayment'!$B$6/1200,'Loan Prepayment'!$B$7*12,'Loan Prepayment'!$B$5),B295+E295))</f>
        <v>0</v>
      </c>
      <c r="E295">
        <f t="shared" si="84"/>
        <v>0</v>
      </c>
      <c r="F295">
        <f t="shared" si="85"/>
        <v>0</v>
      </c>
      <c r="G295">
        <v>0</v>
      </c>
      <c r="H295">
        <f t="shared" si="86"/>
        <v>0</v>
      </c>
      <c r="I295">
        <v>294</v>
      </c>
      <c r="J295">
        <f t="shared" si="101"/>
        <v>0</v>
      </c>
      <c r="K295" s="78">
        <f>'Loan Prepayment'!$B$6</f>
        <v>8.5</v>
      </c>
      <c r="L295">
        <f>IF(J295&lt;=0,0,MIN(IF(AND('Loan Prepayment'!$E$15="Reduce EMI",O294&gt;0),-PMT(K295/1200,MAX(1,'Loan Prepayment'!$B$7*12-I295+1),J295),L294),J295+M295))</f>
        <v>0</v>
      </c>
      <c r="M295">
        <f t="shared" si="87"/>
        <v>0</v>
      </c>
      <c r="N295">
        <f t="shared" si="88"/>
        <v>0</v>
      </c>
      <c r="O295">
        <f>IF(J295&lt;=0,0,MIN(MAX(0,J295-N295),SUMIFS('Loan Prepayment'!$B$12:$B$16,'Loan Prepayment'!$A$12:$A$16,I295)+0))</f>
        <v>0</v>
      </c>
      <c r="P295">
        <f t="shared" si="89"/>
        <v>0</v>
      </c>
      <c r="Q295">
        <v>294</v>
      </c>
      <c r="R295">
        <f t="shared" si="102"/>
        <v>0</v>
      </c>
      <c r="S295" s="78">
        <f>'Loan Prepayment'!$B$6</f>
        <v>8.5</v>
      </c>
      <c r="T295">
        <f>IF(R295&lt;=0,0,MIN(IF(AND('Loan Prepayment'!$E$15="Reduce EMI",W294&gt;0),-PMT(S295/1200,MAX(1,'Loan Prepayment'!$B$7*12-Q295+1),R295),T294),R295+U295))</f>
        <v>0</v>
      </c>
      <c r="U295">
        <f t="shared" si="90"/>
        <v>0</v>
      </c>
      <c r="V295">
        <f t="shared" si="91"/>
        <v>0</v>
      </c>
      <c r="W295">
        <f>IF(R295&lt;=0,0,MIN(MAX(0,R295-V295),0+IF(AND(Q295&gt;='Loan Prepayment'!$B$9,Q295&lt;='Loan Prepayment'!$E$16),'Loan Prepayment'!$B$8,0)))</f>
        <v>0</v>
      </c>
      <c r="X295">
        <f t="shared" si="92"/>
        <v>0</v>
      </c>
      <c r="Y295">
        <v>294</v>
      </c>
      <c r="Z295">
        <f t="shared" si="103"/>
        <v>0</v>
      </c>
      <c r="AA295">
        <f>IF(Y295&gt;='Loan Prepayment'!$E$11,'Loan Prepayment'!$E$12,'Loan Prepayment'!$B$6)</f>
        <v>7.5</v>
      </c>
      <c r="AB295">
        <f>IF(Z295&lt;=0,0,MIN(IF(Y295='Loan Prepayment'!$E$11,IF('Loan Prepayment'!$E$13="Keep tenure, recalculate EMI",-PMT(AA295/1200,MAX(1,'Loan Prepayment'!$B$7*12-Y295+1),Z295),AB294),AB294),Z295+AC295))</f>
        <v>0</v>
      </c>
      <c r="AC295">
        <f t="shared" si="93"/>
        <v>0</v>
      </c>
      <c r="AD295">
        <f t="shared" si="94"/>
        <v>0</v>
      </c>
      <c r="AE295">
        <f t="shared" si="95"/>
        <v>0</v>
      </c>
      <c r="AF295">
        <f t="shared" si="96"/>
        <v>0</v>
      </c>
      <c r="AG295">
        <v>294</v>
      </c>
      <c r="AH295">
        <f t="shared" si="104"/>
        <v>0</v>
      </c>
      <c r="AI295">
        <f>IF(AG295&gt;='Loan Prepayment'!$E$11,'Loan Prepayment'!$E$12,'Loan Prepayment'!$B$6)</f>
        <v>7.5</v>
      </c>
      <c r="AJ295">
        <f>IF(AH295&lt;=0,0,MIN(IF(AG295='Loan Prepayment'!$E$11,IF('Loan Prepayment'!$E$13="Keep tenure, recalculate EMI",-PMT(AI295/1200,MAX(1,'Loan Prepayment'!$B$7*12-AG295+1),AH295),AJ294),IF(AND('Loan Prepayment'!$E$15="Reduce EMI",AM294&gt;0),-PMT(AI295/1200,MAX(1,'Loan Prepayment'!$B$7*12-AG295+1),AH295),AJ294)),AH295+AK295))</f>
        <v>0</v>
      </c>
      <c r="AK295">
        <f t="shared" si="97"/>
        <v>0</v>
      </c>
      <c r="AL295">
        <f t="shared" si="98"/>
        <v>0</v>
      </c>
      <c r="AM295">
        <f>IF(AH295&lt;=0,0,MIN(MAX(0,AH295-AL295),SUMIFS('Loan Prepayment'!$B$12:$B$16,'Loan Prepayment'!$A$12:$A$16,AG295)+IF(AND(AG295&gt;='Loan Prepayment'!$B$9,AG295&lt;='Loan Prepayment'!$E$16),'Loan Prepayment'!$B$8,0)))</f>
        <v>0</v>
      </c>
      <c r="AN295">
        <f t="shared" si="99"/>
        <v>0</v>
      </c>
    </row>
    <row r="296" spans="1:40" x14ac:dyDescent="0.35">
      <c r="A296">
        <v>295</v>
      </c>
      <c r="B296">
        <f t="shared" si="100"/>
        <v>0</v>
      </c>
      <c r="C296" s="78">
        <f>'Loan Prepayment'!$B$6</f>
        <v>8.5</v>
      </c>
      <c r="D296">
        <f>IF(B296&lt;=0,0,MIN(-PMT('Loan Prepayment'!$B$6/1200,'Loan Prepayment'!$B$7*12,'Loan Prepayment'!$B$5),B296+E296))</f>
        <v>0</v>
      </c>
      <c r="E296">
        <f t="shared" si="84"/>
        <v>0</v>
      </c>
      <c r="F296">
        <f t="shared" si="85"/>
        <v>0</v>
      </c>
      <c r="G296">
        <v>0</v>
      </c>
      <c r="H296">
        <f t="shared" si="86"/>
        <v>0</v>
      </c>
      <c r="I296">
        <v>295</v>
      </c>
      <c r="J296">
        <f t="shared" si="101"/>
        <v>0</v>
      </c>
      <c r="K296" s="78">
        <f>'Loan Prepayment'!$B$6</f>
        <v>8.5</v>
      </c>
      <c r="L296">
        <f>IF(J296&lt;=0,0,MIN(IF(AND('Loan Prepayment'!$E$15="Reduce EMI",O295&gt;0),-PMT(K296/1200,MAX(1,'Loan Prepayment'!$B$7*12-I296+1),J296),L295),J296+M296))</f>
        <v>0</v>
      </c>
      <c r="M296">
        <f t="shared" si="87"/>
        <v>0</v>
      </c>
      <c r="N296">
        <f t="shared" si="88"/>
        <v>0</v>
      </c>
      <c r="O296">
        <f>IF(J296&lt;=0,0,MIN(MAX(0,J296-N296),SUMIFS('Loan Prepayment'!$B$12:$B$16,'Loan Prepayment'!$A$12:$A$16,I296)+0))</f>
        <v>0</v>
      </c>
      <c r="P296">
        <f t="shared" si="89"/>
        <v>0</v>
      </c>
      <c r="Q296">
        <v>295</v>
      </c>
      <c r="R296">
        <f t="shared" si="102"/>
        <v>0</v>
      </c>
      <c r="S296" s="78">
        <f>'Loan Prepayment'!$B$6</f>
        <v>8.5</v>
      </c>
      <c r="T296">
        <f>IF(R296&lt;=0,0,MIN(IF(AND('Loan Prepayment'!$E$15="Reduce EMI",W295&gt;0),-PMT(S296/1200,MAX(1,'Loan Prepayment'!$B$7*12-Q296+1),R296),T295),R296+U296))</f>
        <v>0</v>
      </c>
      <c r="U296">
        <f t="shared" si="90"/>
        <v>0</v>
      </c>
      <c r="V296">
        <f t="shared" si="91"/>
        <v>0</v>
      </c>
      <c r="W296">
        <f>IF(R296&lt;=0,0,MIN(MAX(0,R296-V296),0+IF(AND(Q296&gt;='Loan Prepayment'!$B$9,Q296&lt;='Loan Prepayment'!$E$16),'Loan Prepayment'!$B$8,0)))</f>
        <v>0</v>
      </c>
      <c r="X296">
        <f t="shared" si="92"/>
        <v>0</v>
      </c>
      <c r="Y296">
        <v>295</v>
      </c>
      <c r="Z296">
        <f t="shared" si="103"/>
        <v>0</v>
      </c>
      <c r="AA296">
        <f>IF(Y296&gt;='Loan Prepayment'!$E$11,'Loan Prepayment'!$E$12,'Loan Prepayment'!$B$6)</f>
        <v>7.5</v>
      </c>
      <c r="AB296">
        <f>IF(Z296&lt;=0,0,MIN(IF(Y296='Loan Prepayment'!$E$11,IF('Loan Prepayment'!$E$13="Keep tenure, recalculate EMI",-PMT(AA296/1200,MAX(1,'Loan Prepayment'!$B$7*12-Y296+1),Z296),AB295),AB295),Z296+AC296))</f>
        <v>0</v>
      </c>
      <c r="AC296">
        <f t="shared" si="93"/>
        <v>0</v>
      </c>
      <c r="AD296">
        <f t="shared" si="94"/>
        <v>0</v>
      </c>
      <c r="AE296">
        <f t="shared" si="95"/>
        <v>0</v>
      </c>
      <c r="AF296">
        <f t="shared" si="96"/>
        <v>0</v>
      </c>
      <c r="AG296">
        <v>295</v>
      </c>
      <c r="AH296">
        <f t="shared" si="104"/>
        <v>0</v>
      </c>
      <c r="AI296">
        <f>IF(AG296&gt;='Loan Prepayment'!$E$11,'Loan Prepayment'!$E$12,'Loan Prepayment'!$B$6)</f>
        <v>7.5</v>
      </c>
      <c r="AJ296">
        <f>IF(AH296&lt;=0,0,MIN(IF(AG296='Loan Prepayment'!$E$11,IF('Loan Prepayment'!$E$13="Keep tenure, recalculate EMI",-PMT(AI296/1200,MAX(1,'Loan Prepayment'!$B$7*12-AG296+1),AH296),AJ295),IF(AND('Loan Prepayment'!$E$15="Reduce EMI",AM295&gt;0),-PMT(AI296/1200,MAX(1,'Loan Prepayment'!$B$7*12-AG296+1),AH296),AJ295)),AH296+AK296))</f>
        <v>0</v>
      </c>
      <c r="AK296">
        <f t="shared" si="97"/>
        <v>0</v>
      </c>
      <c r="AL296">
        <f t="shared" si="98"/>
        <v>0</v>
      </c>
      <c r="AM296">
        <f>IF(AH296&lt;=0,0,MIN(MAX(0,AH296-AL296),SUMIFS('Loan Prepayment'!$B$12:$B$16,'Loan Prepayment'!$A$12:$A$16,AG296)+IF(AND(AG296&gt;='Loan Prepayment'!$B$9,AG296&lt;='Loan Prepayment'!$E$16),'Loan Prepayment'!$B$8,0)))</f>
        <v>0</v>
      </c>
      <c r="AN296">
        <f t="shared" si="99"/>
        <v>0</v>
      </c>
    </row>
    <row r="297" spans="1:40" x14ac:dyDescent="0.35">
      <c r="A297">
        <v>296</v>
      </c>
      <c r="B297">
        <f t="shared" si="100"/>
        <v>0</v>
      </c>
      <c r="C297" s="78">
        <f>'Loan Prepayment'!$B$6</f>
        <v>8.5</v>
      </c>
      <c r="D297">
        <f>IF(B297&lt;=0,0,MIN(-PMT('Loan Prepayment'!$B$6/1200,'Loan Prepayment'!$B$7*12,'Loan Prepayment'!$B$5),B297+E297))</f>
        <v>0</v>
      </c>
      <c r="E297">
        <f t="shared" si="84"/>
        <v>0</v>
      </c>
      <c r="F297">
        <f t="shared" si="85"/>
        <v>0</v>
      </c>
      <c r="G297">
        <v>0</v>
      </c>
      <c r="H297">
        <f t="shared" si="86"/>
        <v>0</v>
      </c>
      <c r="I297">
        <v>296</v>
      </c>
      <c r="J297">
        <f t="shared" si="101"/>
        <v>0</v>
      </c>
      <c r="K297" s="78">
        <f>'Loan Prepayment'!$B$6</f>
        <v>8.5</v>
      </c>
      <c r="L297">
        <f>IF(J297&lt;=0,0,MIN(IF(AND('Loan Prepayment'!$E$15="Reduce EMI",O296&gt;0),-PMT(K297/1200,MAX(1,'Loan Prepayment'!$B$7*12-I297+1),J297),L296),J297+M297))</f>
        <v>0</v>
      </c>
      <c r="M297">
        <f t="shared" si="87"/>
        <v>0</v>
      </c>
      <c r="N297">
        <f t="shared" si="88"/>
        <v>0</v>
      </c>
      <c r="O297">
        <f>IF(J297&lt;=0,0,MIN(MAX(0,J297-N297),SUMIFS('Loan Prepayment'!$B$12:$B$16,'Loan Prepayment'!$A$12:$A$16,I297)+0))</f>
        <v>0</v>
      </c>
      <c r="P297">
        <f t="shared" si="89"/>
        <v>0</v>
      </c>
      <c r="Q297">
        <v>296</v>
      </c>
      <c r="R297">
        <f t="shared" si="102"/>
        <v>0</v>
      </c>
      <c r="S297" s="78">
        <f>'Loan Prepayment'!$B$6</f>
        <v>8.5</v>
      </c>
      <c r="T297">
        <f>IF(R297&lt;=0,0,MIN(IF(AND('Loan Prepayment'!$E$15="Reduce EMI",W296&gt;0),-PMT(S297/1200,MAX(1,'Loan Prepayment'!$B$7*12-Q297+1),R297),T296),R297+U297))</f>
        <v>0</v>
      </c>
      <c r="U297">
        <f t="shared" si="90"/>
        <v>0</v>
      </c>
      <c r="V297">
        <f t="shared" si="91"/>
        <v>0</v>
      </c>
      <c r="W297">
        <f>IF(R297&lt;=0,0,MIN(MAX(0,R297-V297),0+IF(AND(Q297&gt;='Loan Prepayment'!$B$9,Q297&lt;='Loan Prepayment'!$E$16),'Loan Prepayment'!$B$8,0)))</f>
        <v>0</v>
      </c>
      <c r="X297">
        <f t="shared" si="92"/>
        <v>0</v>
      </c>
      <c r="Y297">
        <v>296</v>
      </c>
      <c r="Z297">
        <f t="shared" si="103"/>
        <v>0</v>
      </c>
      <c r="AA297">
        <f>IF(Y297&gt;='Loan Prepayment'!$E$11,'Loan Prepayment'!$E$12,'Loan Prepayment'!$B$6)</f>
        <v>7.5</v>
      </c>
      <c r="AB297">
        <f>IF(Z297&lt;=0,0,MIN(IF(Y297='Loan Prepayment'!$E$11,IF('Loan Prepayment'!$E$13="Keep tenure, recalculate EMI",-PMT(AA297/1200,MAX(1,'Loan Prepayment'!$B$7*12-Y297+1),Z297),AB296),AB296),Z297+AC297))</f>
        <v>0</v>
      </c>
      <c r="AC297">
        <f t="shared" si="93"/>
        <v>0</v>
      </c>
      <c r="AD297">
        <f t="shared" si="94"/>
        <v>0</v>
      </c>
      <c r="AE297">
        <f t="shared" si="95"/>
        <v>0</v>
      </c>
      <c r="AF297">
        <f t="shared" si="96"/>
        <v>0</v>
      </c>
      <c r="AG297">
        <v>296</v>
      </c>
      <c r="AH297">
        <f t="shared" si="104"/>
        <v>0</v>
      </c>
      <c r="AI297">
        <f>IF(AG297&gt;='Loan Prepayment'!$E$11,'Loan Prepayment'!$E$12,'Loan Prepayment'!$B$6)</f>
        <v>7.5</v>
      </c>
      <c r="AJ297">
        <f>IF(AH297&lt;=0,0,MIN(IF(AG297='Loan Prepayment'!$E$11,IF('Loan Prepayment'!$E$13="Keep tenure, recalculate EMI",-PMT(AI297/1200,MAX(1,'Loan Prepayment'!$B$7*12-AG297+1),AH297),AJ296),IF(AND('Loan Prepayment'!$E$15="Reduce EMI",AM296&gt;0),-PMT(AI297/1200,MAX(1,'Loan Prepayment'!$B$7*12-AG297+1),AH297),AJ296)),AH297+AK297))</f>
        <v>0</v>
      </c>
      <c r="AK297">
        <f t="shared" si="97"/>
        <v>0</v>
      </c>
      <c r="AL297">
        <f t="shared" si="98"/>
        <v>0</v>
      </c>
      <c r="AM297">
        <f>IF(AH297&lt;=0,0,MIN(MAX(0,AH297-AL297),SUMIFS('Loan Prepayment'!$B$12:$B$16,'Loan Prepayment'!$A$12:$A$16,AG297)+IF(AND(AG297&gt;='Loan Prepayment'!$B$9,AG297&lt;='Loan Prepayment'!$E$16),'Loan Prepayment'!$B$8,0)))</f>
        <v>0</v>
      </c>
      <c r="AN297">
        <f t="shared" si="99"/>
        <v>0</v>
      </c>
    </row>
    <row r="298" spans="1:40" x14ac:dyDescent="0.35">
      <c r="A298">
        <v>297</v>
      </c>
      <c r="B298">
        <f t="shared" si="100"/>
        <v>0</v>
      </c>
      <c r="C298" s="78">
        <f>'Loan Prepayment'!$B$6</f>
        <v>8.5</v>
      </c>
      <c r="D298">
        <f>IF(B298&lt;=0,0,MIN(-PMT('Loan Prepayment'!$B$6/1200,'Loan Prepayment'!$B$7*12,'Loan Prepayment'!$B$5),B298+E298))</f>
        <v>0</v>
      </c>
      <c r="E298">
        <f t="shared" si="84"/>
        <v>0</v>
      </c>
      <c r="F298">
        <f t="shared" si="85"/>
        <v>0</v>
      </c>
      <c r="G298">
        <v>0</v>
      </c>
      <c r="H298">
        <f t="shared" si="86"/>
        <v>0</v>
      </c>
      <c r="I298">
        <v>297</v>
      </c>
      <c r="J298">
        <f t="shared" si="101"/>
        <v>0</v>
      </c>
      <c r="K298" s="78">
        <f>'Loan Prepayment'!$B$6</f>
        <v>8.5</v>
      </c>
      <c r="L298">
        <f>IF(J298&lt;=0,0,MIN(IF(AND('Loan Prepayment'!$E$15="Reduce EMI",O297&gt;0),-PMT(K298/1200,MAX(1,'Loan Prepayment'!$B$7*12-I298+1),J298),L297),J298+M298))</f>
        <v>0</v>
      </c>
      <c r="M298">
        <f t="shared" si="87"/>
        <v>0</v>
      </c>
      <c r="N298">
        <f t="shared" si="88"/>
        <v>0</v>
      </c>
      <c r="O298">
        <f>IF(J298&lt;=0,0,MIN(MAX(0,J298-N298),SUMIFS('Loan Prepayment'!$B$12:$B$16,'Loan Prepayment'!$A$12:$A$16,I298)+0))</f>
        <v>0</v>
      </c>
      <c r="P298">
        <f t="shared" si="89"/>
        <v>0</v>
      </c>
      <c r="Q298">
        <v>297</v>
      </c>
      <c r="R298">
        <f t="shared" si="102"/>
        <v>0</v>
      </c>
      <c r="S298" s="78">
        <f>'Loan Prepayment'!$B$6</f>
        <v>8.5</v>
      </c>
      <c r="T298">
        <f>IF(R298&lt;=0,0,MIN(IF(AND('Loan Prepayment'!$E$15="Reduce EMI",W297&gt;0),-PMT(S298/1200,MAX(1,'Loan Prepayment'!$B$7*12-Q298+1),R298),T297),R298+U298))</f>
        <v>0</v>
      </c>
      <c r="U298">
        <f t="shared" si="90"/>
        <v>0</v>
      </c>
      <c r="V298">
        <f t="shared" si="91"/>
        <v>0</v>
      </c>
      <c r="W298">
        <f>IF(R298&lt;=0,0,MIN(MAX(0,R298-V298),0+IF(AND(Q298&gt;='Loan Prepayment'!$B$9,Q298&lt;='Loan Prepayment'!$E$16),'Loan Prepayment'!$B$8,0)))</f>
        <v>0</v>
      </c>
      <c r="X298">
        <f t="shared" si="92"/>
        <v>0</v>
      </c>
      <c r="Y298">
        <v>297</v>
      </c>
      <c r="Z298">
        <f t="shared" si="103"/>
        <v>0</v>
      </c>
      <c r="AA298">
        <f>IF(Y298&gt;='Loan Prepayment'!$E$11,'Loan Prepayment'!$E$12,'Loan Prepayment'!$B$6)</f>
        <v>7.5</v>
      </c>
      <c r="AB298">
        <f>IF(Z298&lt;=0,0,MIN(IF(Y298='Loan Prepayment'!$E$11,IF('Loan Prepayment'!$E$13="Keep tenure, recalculate EMI",-PMT(AA298/1200,MAX(1,'Loan Prepayment'!$B$7*12-Y298+1),Z298),AB297),AB297),Z298+AC298))</f>
        <v>0</v>
      </c>
      <c r="AC298">
        <f t="shared" si="93"/>
        <v>0</v>
      </c>
      <c r="AD298">
        <f t="shared" si="94"/>
        <v>0</v>
      </c>
      <c r="AE298">
        <f t="shared" si="95"/>
        <v>0</v>
      </c>
      <c r="AF298">
        <f t="shared" si="96"/>
        <v>0</v>
      </c>
      <c r="AG298">
        <v>297</v>
      </c>
      <c r="AH298">
        <f t="shared" si="104"/>
        <v>0</v>
      </c>
      <c r="AI298">
        <f>IF(AG298&gt;='Loan Prepayment'!$E$11,'Loan Prepayment'!$E$12,'Loan Prepayment'!$B$6)</f>
        <v>7.5</v>
      </c>
      <c r="AJ298">
        <f>IF(AH298&lt;=0,0,MIN(IF(AG298='Loan Prepayment'!$E$11,IF('Loan Prepayment'!$E$13="Keep tenure, recalculate EMI",-PMT(AI298/1200,MAX(1,'Loan Prepayment'!$B$7*12-AG298+1),AH298),AJ297),IF(AND('Loan Prepayment'!$E$15="Reduce EMI",AM297&gt;0),-PMT(AI298/1200,MAX(1,'Loan Prepayment'!$B$7*12-AG298+1),AH298),AJ297)),AH298+AK298))</f>
        <v>0</v>
      </c>
      <c r="AK298">
        <f t="shared" si="97"/>
        <v>0</v>
      </c>
      <c r="AL298">
        <f t="shared" si="98"/>
        <v>0</v>
      </c>
      <c r="AM298">
        <f>IF(AH298&lt;=0,0,MIN(MAX(0,AH298-AL298),SUMIFS('Loan Prepayment'!$B$12:$B$16,'Loan Prepayment'!$A$12:$A$16,AG298)+IF(AND(AG298&gt;='Loan Prepayment'!$B$9,AG298&lt;='Loan Prepayment'!$E$16),'Loan Prepayment'!$B$8,0)))</f>
        <v>0</v>
      </c>
      <c r="AN298">
        <f t="shared" si="99"/>
        <v>0</v>
      </c>
    </row>
    <row r="299" spans="1:40" x14ac:dyDescent="0.35">
      <c r="A299">
        <v>298</v>
      </c>
      <c r="B299">
        <f t="shared" si="100"/>
        <v>0</v>
      </c>
      <c r="C299" s="78">
        <f>'Loan Prepayment'!$B$6</f>
        <v>8.5</v>
      </c>
      <c r="D299">
        <f>IF(B299&lt;=0,0,MIN(-PMT('Loan Prepayment'!$B$6/1200,'Loan Prepayment'!$B$7*12,'Loan Prepayment'!$B$5),B299+E299))</f>
        <v>0</v>
      </c>
      <c r="E299">
        <f t="shared" si="84"/>
        <v>0</v>
      </c>
      <c r="F299">
        <f t="shared" si="85"/>
        <v>0</v>
      </c>
      <c r="G299">
        <v>0</v>
      </c>
      <c r="H299">
        <f t="shared" si="86"/>
        <v>0</v>
      </c>
      <c r="I299">
        <v>298</v>
      </c>
      <c r="J299">
        <f t="shared" si="101"/>
        <v>0</v>
      </c>
      <c r="K299" s="78">
        <f>'Loan Prepayment'!$B$6</f>
        <v>8.5</v>
      </c>
      <c r="L299">
        <f>IF(J299&lt;=0,0,MIN(IF(AND('Loan Prepayment'!$E$15="Reduce EMI",O298&gt;0),-PMT(K299/1200,MAX(1,'Loan Prepayment'!$B$7*12-I299+1),J299),L298),J299+M299))</f>
        <v>0</v>
      </c>
      <c r="M299">
        <f t="shared" si="87"/>
        <v>0</v>
      </c>
      <c r="N299">
        <f t="shared" si="88"/>
        <v>0</v>
      </c>
      <c r="O299">
        <f>IF(J299&lt;=0,0,MIN(MAX(0,J299-N299),SUMIFS('Loan Prepayment'!$B$12:$B$16,'Loan Prepayment'!$A$12:$A$16,I299)+0))</f>
        <v>0</v>
      </c>
      <c r="P299">
        <f t="shared" si="89"/>
        <v>0</v>
      </c>
      <c r="Q299">
        <v>298</v>
      </c>
      <c r="R299">
        <f t="shared" si="102"/>
        <v>0</v>
      </c>
      <c r="S299" s="78">
        <f>'Loan Prepayment'!$B$6</f>
        <v>8.5</v>
      </c>
      <c r="T299">
        <f>IF(R299&lt;=0,0,MIN(IF(AND('Loan Prepayment'!$E$15="Reduce EMI",W298&gt;0),-PMT(S299/1200,MAX(1,'Loan Prepayment'!$B$7*12-Q299+1),R299),T298),R299+U299))</f>
        <v>0</v>
      </c>
      <c r="U299">
        <f t="shared" si="90"/>
        <v>0</v>
      </c>
      <c r="V299">
        <f t="shared" si="91"/>
        <v>0</v>
      </c>
      <c r="W299">
        <f>IF(R299&lt;=0,0,MIN(MAX(0,R299-V299),0+IF(AND(Q299&gt;='Loan Prepayment'!$B$9,Q299&lt;='Loan Prepayment'!$E$16),'Loan Prepayment'!$B$8,0)))</f>
        <v>0</v>
      </c>
      <c r="X299">
        <f t="shared" si="92"/>
        <v>0</v>
      </c>
      <c r="Y299">
        <v>298</v>
      </c>
      <c r="Z299">
        <f t="shared" si="103"/>
        <v>0</v>
      </c>
      <c r="AA299">
        <f>IF(Y299&gt;='Loan Prepayment'!$E$11,'Loan Prepayment'!$E$12,'Loan Prepayment'!$B$6)</f>
        <v>7.5</v>
      </c>
      <c r="AB299">
        <f>IF(Z299&lt;=0,0,MIN(IF(Y299='Loan Prepayment'!$E$11,IF('Loan Prepayment'!$E$13="Keep tenure, recalculate EMI",-PMT(AA299/1200,MAX(1,'Loan Prepayment'!$B$7*12-Y299+1),Z299),AB298),AB298),Z299+AC299))</f>
        <v>0</v>
      </c>
      <c r="AC299">
        <f t="shared" si="93"/>
        <v>0</v>
      </c>
      <c r="AD299">
        <f t="shared" si="94"/>
        <v>0</v>
      </c>
      <c r="AE299">
        <f t="shared" si="95"/>
        <v>0</v>
      </c>
      <c r="AF299">
        <f t="shared" si="96"/>
        <v>0</v>
      </c>
      <c r="AG299">
        <v>298</v>
      </c>
      <c r="AH299">
        <f t="shared" si="104"/>
        <v>0</v>
      </c>
      <c r="AI299">
        <f>IF(AG299&gt;='Loan Prepayment'!$E$11,'Loan Prepayment'!$E$12,'Loan Prepayment'!$B$6)</f>
        <v>7.5</v>
      </c>
      <c r="AJ299">
        <f>IF(AH299&lt;=0,0,MIN(IF(AG299='Loan Prepayment'!$E$11,IF('Loan Prepayment'!$E$13="Keep tenure, recalculate EMI",-PMT(AI299/1200,MAX(1,'Loan Prepayment'!$B$7*12-AG299+1),AH299),AJ298),IF(AND('Loan Prepayment'!$E$15="Reduce EMI",AM298&gt;0),-PMT(AI299/1200,MAX(1,'Loan Prepayment'!$B$7*12-AG299+1),AH299),AJ298)),AH299+AK299))</f>
        <v>0</v>
      </c>
      <c r="AK299">
        <f t="shared" si="97"/>
        <v>0</v>
      </c>
      <c r="AL299">
        <f t="shared" si="98"/>
        <v>0</v>
      </c>
      <c r="AM299">
        <f>IF(AH299&lt;=0,0,MIN(MAX(0,AH299-AL299),SUMIFS('Loan Prepayment'!$B$12:$B$16,'Loan Prepayment'!$A$12:$A$16,AG299)+IF(AND(AG299&gt;='Loan Prepayment'!$B$9,AG299&lt;='Loan Prepayment'!$E$16),'Loan Prepayment'!$B$8,0)))</f>
        <v>0</v>
      </c>
      <c r="AN299">
        <f t="shared" si="99"/>
        <v>0</v>
      </c>
    </row>
    <row r="300" spans="1:40" x14ac:dyDescent="0.35">
      <c r="A300">
        <v>299</v>
      </c>
      <c r="B300">
        <f t="shared" si="100"/>
        <v>0</v>
      </c>
      <c r="C300" s="78">
        <f>'Loan Prepayment'!$B$6</f>
        <v>8.5</v>
      </c>
      <c r="D300">
        <f>IF(B300&lt;=0,0,MIN(-PMT('Loan Prepayment'!$B$6/1200,'Loan Prepayment'!$B$7*12,'Loan Prepayment'!$B$5),B300+E300))</f>
        <v>0</v>
      </c>
      <c r="E300">
        <f t="shared" si="84"/>
        <v>0</v>
      </c>
      <c r="F300">
        <f t="shared" si="85"/>
        <v>0</v>
      </c>
      <c r="G300">
        <v>0</v>
      </c>
      <c r="H300">
        <f t="shared" si="86"/>
        <v>0</v>
      </c>
      <c r="I300">
        <v>299</v>
      </c>
      <c r="J300">
        <f t="shared" si="101"/>
        <v>0</v>
      </c>
      <c r="K300" s="78">
        <f>'Loan Prepayment'!$B$6</f>
        <v>8.5</v>
      </c>
      <c r="L300">
        <f>IF(J300&lt;=0,0,MIN(IF(AND('Loan Prepayment'!$E$15="Reduce EMI",O299&gt;0),-PMT(K300/1200,MAX(1,'Loan Prepayment'!$B$7*12-I300+1),J300),L299),J300+M300))</f>
        <v>0</v>
      </c>
      <c r="M300">
        <f t="shared" si="87"/>
        <v>0</v>
      </c>
      <c r="N300">
        <f t="shared" si="88"/>
        <v>0</v>
      </c>
      <c r="O300">
        <f>IF(J300&lt;=0,0,MIN(MAX(0,J300-N300),SUMIFS('Loan Prepayment'!$B$12:$B$16,'Loan Prepayment'!$A$12:$A$16,I300)+0))</f>
        <v>0</v>
      </c>
      <c r="P300">
        <f t="shared" si="89"/>
        <v>0</v>
      </c>
      <c r="Q300">
        <v>299</v>
      </c>
      <c r="R300">
        <f t="shared" si="102"/>
        <v>0</v>
      </c>
      <c r="S300" s="78">
        <f>'Loan Prepayment'!$B$6</f>
        <v>8.5</v>
      </c>
      <c r="T300">
        <f>IF(R300&lt;=0,0,MIN(IF(AND('Loan Prepayment'!$E$15="Reduce EMI",W299&gt;0),-PMT(S300/1200,MAX(1,'Loan Prepayment'!$B$7*12-Q300+1),R300),T299),R300+U300))</f>
        <v>0</v>
      </c>
      <c r="U300">
        <f t="shared" si="90"/>
        <v>0</v>
      </c>
      <c r="V300">
        <f t="shared" si="91"/>
        <v>0</v>
      </c>
      <c r="W300">
        <f>IF(R300&lt;=0,0,MIN(MAX(0,R300-V300),0+IF(AND(Q300&gt;='Loan Prepayment'!$B$9,Q300&lt;='Loan Prepayment'!$E$16),'Loan Prepayment'!$B$8,0)))</f>
        <v>0</v>
      </c>
      <c r="X300">
        <f t="shared" si="92"/>
        <v>0</v>
      </c>
      <c r="Y300">
        <v>299</v>
      </c>
      <c r="Z300">
        <f t="shared" si="103"/>
        <v>0</v>
      </c>
      <c r="AA300">
        <f>IF(Y300&gt;='Loan Prepayment'!$E$11,'Loan Prepayment'!$E$12,'Loan Prepayment'!$B$6)</f>
        <v>7.5</v>
      </c>
      <c r="AB300">
        <f>IF(Z300&lt;=0,0,MIN(IF(Y300='Loan Prepayment'!$E$11,IF('Loan Prepayment'!$E$13="Keep tenure, recalculate EMI",-PMT(AA300/1200,MAX(1,'Loan Prepayment'!$B$7*12-Y300+1),Z300),AB299),AB299),Z300+AC300))</f>
        <v>0</v>
      </c>
      <c r="AC300">
        <f t="shared" si="93"/>
        <v>0</v>
      </c>
      <c r="AD300">
        <f t="shared" si="94"/>
        <v>0</v>
      </c>
      <c r="AE300">
        <f t="shared" si="95"/>
        <v>0</v>
      </c>
      <c r="AF300">
        <f t="shared" si="96"/>
        <v>0</v>
      </c>
      <c r="AG300">
        <v>299</v>
      </c>
      <c r="AH300">
        <f t="shared" si="104"/>
        <v>0</v>
      </c>
      <c r="AI300">
        <f>IF(AG300&gt;='Loan Prepayment'!$E$11,'Loan Prepayment'!$E$12,'Loan Prepayment'!$B$6)</f>
        <v>7.5</v>
      </c>
      <c r="AJ300">
        <f>IF(AH300&lt;=0,0,MIN(IF(AG300='Loan Prepayment'!$E$11,IF('Loan Prepayment'!$E$13="Keep tenure, recalculate EMI",-PMT(AI300/1200,MAX(1,'Loan Prepayment'!$B$7*12-AG300+1),AH300),AJ299),IF(AND('Loan Prepayment'!$E$15="Reduce EMI",AM299&gt;0),-PMT(AI300/1200,MAX(1,'Loan Prepayment'!$B$7*12-AG300+1),AH300),AJ299)),AH300+AK300))</f>
        <v>0</v>
      </c>
      <c r="AK300">
        <f t="shared" si="97"/>
        <v>0</v>
      </c>
      <c r="AL300">
        <f t="shared" si="98"/>
        <v>0</v>
      </c>
      <c r="AM300">
        <f>IF(AH300&lt;=0,0,MIN(MAX(0,AH300-AL300),SUMIFS('Loan Prepayment'!$B$12:$B$16,'Loan Prepayment'!$A$12:$A$16,AG300)+IF(AND(AG300&gt;='Loan Prepayment'!$B$9,AG300&lt;='Loan Prepayment'!$E$16),'Loan Prepayment'!$B$8,0)))</f>
        <v>0</v>
      </c>
      <c r="AN300">
        <f t="shared" si="99"/>
        <v>0</v>
      </c>
    </row>
    <row r="301" spans="1:40" x14ac:dyDescent="0.35">
      <c r="A301">
        <v>300</v>
      </c>
      <c r="B301">
        <f t="shared" si="100"/>
        <v>0</v>
      </c>
      <c r="C301" s="78">
        <f>'Loan Prepayment'!$B$6</f>
        <v>8.5</v>
      </c>
      <c r="D301">
        <f>IF(B301&lt;=0,0,MIN(-PMT('Loan Prepayment'!$B$6/1200,'Loan Prepayment'!$B$7*12,'Loan Prepayment'!$B$5),B301+E301))</f>
        <v>0</v>
      </c>
      <c r="E301">
        <f t="shared" si="84"/>
        <v>0</v>
      </c>
      <c r="F301">
        <f t="shared" si="85"/>
        <v>0</v>
      </c>
      <c r="G301">
        <v>0</v>
      </c>
      <c r="H301">
        <f t="shared" si="86"/>
        <v>0</v>
      </c>
      <c r="I301">
        <v>300</v>
      </c>
      <c r="J301">
        <f t="shared" si="101"/>
        <v>0</v>
      </c>
      <c r="K301" s="78">
        <f>'Loan Prepayment'!$B$6</f>
        <v>8.5</v>
      </c>
      <c r="L301">
        <f>IF(J301&lt;=0,0,MIN(IF(AND('Loan Prepayment'!$E$15="Reduce EMI",O300&gt;0),-PMT(K301/1200,MAX(1,'Loan Prepayment'!$B$7*12-I301+1),J301),L300),J301+M301))</f>
        <v>0</v>
      </c>
      <c r="M301">
        <f t="shared" si="87"/>
        <v>0</v>
      </c>
      <c r="N301">
        <f t="shared" si="88"/>
        <v>0</v>
      </c>
      <c r="O301">
        <f>IF(J301&lt;=0,0,MIN(MAX(0,J301-N301),SUMIFS('Loan Prepayment'!$B$12:$B$16,'Loan Prepayment'!$A$12:$A$16,I301)+0))</f>
        <v>0</v>
      </c>
      <c r="P301">
        <f t="shared" si="89"/>
        <v>0</v>
      </c>
      <c r="Q301">
        <v>300</v>
      </c>
      <c r="R301">
        <f t="shared" si="102"/>
        <v>0</v>
      </c>
      <c r="S301" s="78">
        <f>'Loan Prepayment'!$B$6</f>
        <v>8.5</v>
      </c>
      <c r="T301">
        <f>IF(R301&lt;=0,0,MIN(IF(AND('Loan Prepayment'!$E$15="Reduce EMI",W300&gt;0),-PMT(S301/1200,MAX(1,'Loan Prepayment'!$B$7*12-Q301+1),R301),T300),R301+U301))</f>
        <v>0</v>
      </c>
      <c r="U301">
        <f t="shared" si="90"/>
        <v>0</v>
      </c>
      <c r="V301">
        <f t="shared" si="91"/>
        <v>0</v>
      </c>
      <c r="W301">
        <f>IF(R301&lt;=0,0,MIN(MAX(0,R301-V301),0+IF(AND(Q301&gt;='Loan Prepayment'!$B$9,Q301&lt;='Loan Prepayment'!$E$16),'Loan Prepayment'!$B$8,0)))</f>
        <v>0</v>
      </c>
      <c r="X301">
        <f t="shared" si="92"/>
        <v>0</v>
      </c>
      <c r="Y301">
        <v>300</v>
      </c>
      <c r="Z301">
        <f t="shared" si="103"/>
        <v>0</v>
      </c>
      <c r="AA301">
        <f>IF(Y301&gt;='Loan Prepayment'!$E$11,'Loan Prepayment'!$E$12,'Loan Prepayment'!$B$6)</f>
        <v>7.5</v>
      </c>
      <c r="AB301">
        <f>IF(Z301&lt;=0,0,MIN(IF(Y301='Loan Prepayment'!$E$11,IF('Loan Prepayment'!$E$13="Keep tenure, recalculate EMI",-PMT(AA301/1200,MAX(1,'Loan Prepayment'!$B$7*12-Y301+1),Z301),AB300),AB300),Z301+AC301))</f>
        <v>0</v>
      </c>
      <c r="AC301">
        <f t="shared" si="93"/>
        <v>0</v>
      </c>
      <c r="AD301">
        <f t="shared" si="94"/>
        <v>0</v>
      </c>
      <c r="AE301">
        <f t="shared" si="95"/>
        <v>0</v>
      </c>
      <c r="AF301">
        <f t="shared" si="96"/>
        <v>0</v>
      </c>
      <c r="AG301">
        <v>300</v>
      </c>
      <c r="AH301">
        <f t="shared" si="104"/>
        <v>0</v>
      </c>
      <c r="AI301">
        <f>IF(AG301&gt;='Loan Prepayment'!$E$11,'Loan Prepayment'!$E$12,'Loan Prepayment'!$B$6)</f>
        <v>7.5</v>
      </c>
      <c r="AJ301">
        <f>IF(AH301&lt;=0,0,MIN(IF(AG301='Loan Prepayment'!$E$11,IF('Loan Prepayment'!$E$13="Keep tenure, recalculate EMI",-PMT(AI301/1200,MAX(1,'Loan Prepayment'!$B$7*12-AG301+1),AH301),AJ300),IF(AND('Loan Prepayment'!$E$15="Reduce EMI",AM300&gt;0),-PMT(AI301/1200,MAX(1,'Loan Prepayment'!$B$7*12-AG301+1),AH301),AJ300)),AH301+AK301))</f>
        <v>0</v>
      </c>
      <c r="AK301">
        <f t="shared" si="97"/>
        <v>0</v>
      </c>
      <c r="AL301">
        <f t="shared" si="98"/>
        <v>0</v>
      </c>
      <c r="AM301">
        <f>IF(AH301&lt;=0,0,MIN(MAX(0,AH301-AL301),SUMIFS('Loan Prepayment'!$B$12:$B$16,'Loan Prepayment'!$A$12:$A$16,AG301)+IF(AND(AG301&gt;='Loan Prepayment'!$B$9,AG301&lt;='Loan Prepayment'!$E$16),'Loan Prepayment'!$B$8,0)))</f>
        <v>0</v>
      </c>
      <c r="AN301">
        <f t="shared" si="99"/>
        <v>0</v>
      </c>
    </row>
    <row r="302" spans="1:40" x14ac:dyDescent="0.35">
      <c r="A302">
        <v>301</v>
      </c>
      <c r="B302">
        <f t="shared" si="100"/>
        <v>0</v>
      </c>
      <c r="C302" s="78">
        <f>'Loan Prepayment'!$B$6</f>
        <v>8.5</v>
      </c>
      <c r="D302">
        <f>IF(B302&lt;=0,0,MIN(-PMT('Loan Prepayment'!$B$6/1200,'Loan Prepayment'!$B$7*12,'Loan Prepayment'!$B$5),B302+E302))</f>
        <v>0</v>
      </c>
      <c r="E302">
        <f t="shared" si="84"/>
        <v>0</v>
      </c>
      <c r="F302">
        <f t="shared" si="85"/>
        <v>0</v>
      </c>
      <c r="G302">
        <v>0</v>
      </c>
      <c r="H302">
        <f t="shared" si="86"/>
        <v>0</v>
      </c>
      <c r="I302">
        <v>301</v>
      </c>
      <c r="J302">
        <f t="shared" si="101"/>
        <v>0</v>
      </c>
      <c r="K302" s="78">
        <f>'Loan Prepayment'!$B$6</f>
        <v>8.5</v>
      </c>
      <c r="L302">
        <f>IF(J302&lt;=0,0,MIN(IF(AND('Loan Prepayment'!$E$15="Reduce EMI",O301&gt;0),-PMT(K302/1200,MAX(1,'Loan Prepayment'!$B$7*12-I302+1),J302),L301),J302+M302))</f>
        <v>0</v>
      </c>
      <c r="M302">
        <f t="shared" si="87"/>
        <v>0</v>
      </c>
      <c r="N302">
        <f t="shared" si="88"/>
        <v>0</v>
      </c>
      <c r="O302">
        <f>IF(J302&lt;=0,0,MIN(MAX(0,J302-N302),SUMIFS('Loan Prepayment'!$B$12:$B$16,'Loan Prepayment'!$A$12:$A$16,I302)+0))</f>
        <v>0</v>
      </c>
      <c r="P302">
        <f t="shared" si="89"/>
        <v>0</v>
      </c>
      <c r="Q302">
        <v>301</v>
      </c>
      <c r="R302">
        <f t="shared" si="102"/>
        <v>0</v>
      </c>
      <c r="S302" s="78">
        <f>'Loan Prepayment'!$B$6</f>
        <v>8.5</v>
      </c>
      <c r="T302">
        <f>IF(R302&lt;=0,0,MIN(IF(AND('Loan Prepayment'!$E$15="Reduce EMI",W301&gt;0),-PMT(S302/1200,MAX(1,'Loan Prepayment'!$B$7*12-Q302+1),R302),T301),R302+U302))</f>
        <v>0</v>
      </c>
      <c r="U302">
        <f t="shared" si="90"/>
        <v>0</v>
      </c>
      <c r="V302">
        <f t="shared" si="91"/>
        <v>0</v>
      </c>
      <c r="W302">
        <f>IF(R302&lt;=0,0,MIN(MAX(0,R302-V302),0+IF(AND(Q302&gt;='Loan Prepayment'!$B$9,Q302&lt;='Loan Prepayment'!$E$16),'Loan Prepayment'!$B$8,0)))</f>
        <v>0</v>
      </c>
      <c r="X302">
        <f t="shared" si="92"/>
        <v>0</v>
      </c>
      <c r="Y302">
        <v>301</v>
      </c>
      <c r="Z302">
        <f t="shared" si="103"/>
        <v>0</v>
      </c>
      <c r="AA302">
        <f>IF(Y302&gt;='Loan Prepayment'!$E$11,'Loan Prepayment'!$E$12,'Loan Prepayment'!$B$6)</f>
        <v>7.5</v>
      </c>
      <c r="AB302">
        <f>IF(Z302&lt;=0,0,MIN(IF(Y302='Loan Prepayment'!$E$11,IF('Loan Prepayment'!$E$13="Keep tenure, recalculate EMI",-PMT(AA302/1200,MAX(1,'Loan Prepayment'!$B$7*12-Y302+1),Z302),AB301),AB301),Z302+AC302))</f>
        <v>0</v>
      </c>
      <c r="AC302">
        <f t="shared" si="93"/>
        <v>0</v>
      </c>
      <c r="AD302">
        <f t="shared" si="94"/>
        <v>0</v>
      </c>
      <c r="AE302">
        <f t="shared" si="95"/>
        <v>0</v>
      </c>
      <c r="AF302">
        <f t="shared" si="96"/>
        <v>0</v>
      </c>
      <c r="AG302">
        <v>301</v>
      </c>
      <c r="AH302">
        <f t="shared" si="104"/>
        <v>0</v>
      </c>
      <c r="AI302">
        <f>IF(AG302&gt;='Loan Prepayment'!$E$11,'Loan Prepayment'!$E$12,'Loan Prepayment'!$B$6)</f>
        <v>7.5</v>
      </c>
      <c r="AJ302">
        <f>IF(AH302&lt;=0,0,MIN(IF(AG302='Loan Prepayment'!$E$11,IF('Loan Prepayment'!$E$13="Keep tenure, recalculate EMI",-PMT(AI302/1200,MAX(1,'Loan Prepayment'!$B$7*12-AG302+1),AH302),AJ301),IF(AND('Loan Prepayment'!$E$15="Reduce EMI",AM301&gt;0),-PMT(AI302/1200,MAX(1,'Loan Prepayment'!$B$7*12-AG302+1),AH302),AJ301)),AH302+AK302))</f>
        <v>0</v>
      </c>
      <c r="AK302">
        <f t="shared" si="97"/>
        <v>0</v>
      </c>
      <c r="AL302">
        <f t="shared" si="98"/>
        <v>0</v>
      </c>
      <c r="AM302">
        <f>IF(AH302&lt;=0,0,MIN(MAX(0,AH302-AL302),SUMIFS('Loan Prepayment'!$B$12:$B$16,'Loan Prepayment'!$A$12:$A$16,AG302)+IF(AND(AG302&gt;='Loan Prepayment'!$B$9,AG302&lt;='Loan Prepayment'!$E$16),'Loan Prepayment'!$B$8,0)))</f>
        <v>0</v>
      </c>
      <c r="AN302">
        <f t="shared" si="99"/>
        <v>0</v>
      </c>
    </row>
    <row r="303" spans="1:40" x14ac:dyDescent="0.35">
      <c r="A303">
        <v>302</v>
      </c>
      <c r="B303">
        <f t="shared" si="100"/>
        <v>0</v>
      </c>
      <c r="C303" s="78">
        <f>'Loan Prepayment'!$B$6</f>
        <v>8.5</v>
      </c>
      <c r="D303">
        <f>IF(B303&lt;=0,0,MIN(-PMT('Loan Prepayment'!$B$6/1200,'Loan Prepayment'!$B$7*12,'Loan Prepayment'!$B$5),B303+E303))</f>
        <v>0</v>
      </c>
      <c r="E303">
        <f t="shared" si="84"/>
        <v>0</v>
      </c>
      <c r="F303">
        <f t="shared" si="85"/>
        <v>0</v>
      </c>
      <c r="G303">
        <v>0</v>
      </c>
      <c r="H303">
        <f t="shared" si="86"/>
        <v>0</v>
      </c>
      <c r="I303">
        <v>302</v>
      </c>
      <c r="J303">
        <f t="shared" si="101"/>
        <v>0</v>
      </c>
      <c r="K303" s="78">
        <f>'Loan Prepayment'!$B$6</f>
        <v>8.5</v>
      </c>
      <c r="L303">
        <f>IF(J303&lt;=0,0,MIN(IF(AND('Loan Prepayment'!$E$15="Reduce EMI",O302&gt;0),-PMT(K303/1200,MAX(1,'Loan Prepayment'!$B$7*12-I303+1),J303),L302),J303+M303))</f>
        <v>0</v>
      </c>
      <c r="M303">
        <f t="shared" si="87"/>
        <v>0</v>
      </c>
      <c r="N303">
        <f t="shared" si="88"/>
        <v>0</v>
      </c>
      <c r="O303">
        <f>IF(J303&lt;=0,0,MIN(MAX(0,J303-N303),SUMIFS('Loan Prepayment'!$B$12:$B$16,'Loan Prepayment'!$A$12:$A$16,I303)+0))</f>
        <v>0</v>
      </c>
      <c r="P303">
        <f t="shared" si="89"/>
        <v>0</v>
      </c>
      <c r="Q303">
        <v>302</v>
      </c>
      <c r="R303">
        <f t="shared" si="102"/>
        <v>0</v>
      </c>
      <c r="S303" s="78">
        <f>'Loan Prepayment'!$B$6</f>
        <v>8.5</v>
      </c>
      <c r="T303">
        <f>IF(R303&lt;=0,0,MIN(IF(AND('Loan Prepayment'!$E$15="Reduce EMI",W302&gt;0),-PMT(S303/1200,MAX(1,'Loan Prepayment'!$B$7*12-Q303+1),R303),T302),R303+U303))</f>
        <v>0</v>
      </c>
      <c r="U303">
        <f t="shared" si="90"/>
        <v>0</v>
      </c>
      <c r="V303">
        <f t="shared" si="91"/>
        <v>0</v>
      </c>
      <c r="W303">
        <f>IF(R303&lt;=0,0,MIN(MAX(0,R303-V303),0+IF(AND(Q303&gt;='Loan Prepayment'!$B$9,Q303&lt;='Loan Prepayment'!$E$16),'Loan Prepayment'!$B$8,0)))</f>
        <v>0</v>
      </c>
      <c r="X303">
        <f t="shared" si="92"/>
        <v>0</v>
      </c>
      <c r="Y303">
        <v>302</v>
      </c>
      <c r="Z303">
        <f t="shared" si="103"/>
        <v>0</v>
      </c>
      <c r="AA303">
        <f>IF(Y303&gt;='Loan Prepayment'!$E$11,'Loan Prepayment'!$E$12,'Loan Prepayment'!$B$6)</f>
        <v>7.5</v>
      </c>
      <c r="AB303">
        <f>IF(Z303&lt;=0,0,MIN(IF(Y303='Loan Prepayment'!$E$11,IF('Loan Prepayment'!$E$13="Keep tenure, recalculate EMI",-PMT(AA303/1200,MAX(1,'Loan Prepayment'!$B$7*12-Y303+1),Z303),AB302),AB302),Z303+AC303))</f>
        <v>0</v>
      </c>
      <c r="AC303">
        <f t="shared" si="93"/>
        <v>0</v>
      </c>
      <c r="AD303">
        <f t="shared" si="94"/>
        <v>0</v>
      </c>
      <c r="AE303">
        <f t="shared" si="95"/>
        <v>0</v>
      </c>
      <c r="AF303">
        <f t="shared" si="96"/>
        <v>0</v>
      </c>
      <c r="AG303">
        <v>302</v>
      </c>
      <c r="AH303">
        <f t="shared" si="104"/>
        <v>0</v>
      </c>
      <c r="AI303">
        <f>IF(AG303&gt;='Loan Prepayment'!$E$11,'Loan Prepayment'!$E$12,'Loan Prepayment'!$B$6)</f>
        <v>7.5</v>
      </c>
      <c r="AJ303">
        <f>IF(AH303&lt;=0,0,MIN(IF(AG303='Loan Prepayment'!$E$11,IF('Loan Prepayment'!$E$13="Keep tenure, recalculate EMI",-PMT(AI303/1200,MAX(1,'Loan Prepayment'!$B$7*12-AG303+1),AH303),AJ302),IF(AND('Loan Prepayment'!$E$15="Reduce EMI",AM302&gt;0),-PMT(AI303/1200,MAX(1,'Loan Prepayment'!$B$7*12-AG303+1),AH303),AJ302)),AH303+AK303))</f>
        <v>0</v>
      </c>
      <c r="AK303">
        <f t="shared" si="97"/>
        <v>0</v>
      </c>
      <c r="AL303">
        <f t="shared" si="98"/>
        <v>0</v>
      </c>
      <c r="AM303">
        <f>IF(AH303&lt;=0,0,MIN(MAX(0,AH303-AL303),SUMIFS('Loan Prepayment'!$B$12:$B$16,'Loan Prepayment'!$A$12:$A$16,AG303)+IF(AND(AG303&gt;='Loan Prepayment'!$B$9,AG303&lt;='Loan Prepayment'!$E$16),'Loan Prepayment'!$B$8,0)))</f>
        <v>0</v>
      </c>
      <c r="AN303">
        <f t="shared" si="99"/>
        <v>0</v>
      </c>
    </row>
    <row r="304" spans="1:40" x14ac:dyDescent="0.35">
      <c r="A304">
        <v>303</v>
      </c>
      <c r="B304">
        <f t="shared" si="100"/>
        <v>0</v>
      </c>
      <c r="C304" s="78">
        <f>'Loan Prepayment'!$B$6</f>
        <v>8.5</v>
      </c>
      <c r="D304">
        <f>IF(B304&lt;=0,0,MIN(-PMT('Loan Prepayment'!$B$6/1200,'Loan Prepayment'!$B$7*12,'Loan Prepayment'!$B$5),B304+E304))</f>
        <v>0</v>
      </c>
      <c r="E304">
        <f t="shared" si="84"/>
        <v>0</v>
      </c>
      <c r="F304">
        <f t="shared" si="85"/>
        <v>0</v>
      </c>
      <c r="G304">
        <v>0</v>
      </c>
      <c r="H304">
        <f t="shared" si="86"/>
        <v>0</v>
      </c>
      <c r="I304">
        <v>303</v>
      </c>
      <c r="J304">
        <f t="shared" si="101"/>
        <v>0</v>
      </c>
      <c r="K304" s="78">
        <f>'Loan Prepayment'!$B$6</f>
        <v>8.5</v>
      </c>
      <c r="L304">
        <f>IF(J304&lt;=0,0,MIN(IF(AND('Loan Prepayment'!$E$15="Reduce EMI",O303&gt;0),-PMT(K304/1200,MAX(1,'Loan Prepayment'!$B$7*12-I304+1),J304),L303),J304+M304))</f>
        <v>0</v>
      </c>
      <c r="M304">
        <f t="shared" si="87"/>
        <v>0</v>
      </c>
      <c r="N304">
        <f t="shared" si="88"/>
        <v>0</v>
      </c>
      <c r="O304">
        <f>IF(J304&lt;=0,0,MIN(MAX(0,J304-N304),SUMIFS('Loan Prepayment'!$B$12:$B$16,'Loan Prepayment'!$A$12:$A$16,I304)+0))</f>
        <v>0</v>
      </c>
      <c r="P304">
        <f t="shared" si="89"/>
        <v>0</v>
      </c>
      <c r="Q304">
        <v>303</v>
      </c>
      <c r="R304">
        <f t="shared" si="102"/>
        <v>0</v>
      </c>
      <c r="S304" s="78">
        <f>'Loan Prepayment'!$B$6</f>
        <v>8.5</v>
      </c>
      <c r="T304">
        <f>IF(R304&lt;=0,0,MIN(IF(AND('Loan Prepayment'!$E$15="Reduce EMI",W303&gt;0),-PMT(S304/1200,MAX(1,'Loan Prepayment'!$B$7*12-Q304+1),R304),T303),R304+U304))</f>
        <v>0</v>
      </c>
      <c r="U304">
        <f t="shared" si="90"/>
        <v>0</v>
      </c>
      <c r="V304">
        <f t="shared" si="91"/>
        <v>0</v>
      </c>
      <c r="W304">
        <f>IF(R304&lt;=0,0,MIN(MAX(0,R304-V304),0+IF(AND(Q304&gt;='Loan Prepayment'!$B$9,Q304&lt;='Loan Prepayment'!$E$16),'Loan Prepayment'!$B$8,0)))</f>
        <v>0</v>
      </c>
      <c r="X304">
        <f t="shared" si="92"/>
        <v>0</v>
      </c>
      <c r="Y304">
        <v>303</v>
      </c>
      <c r="Z304">
        <f t="shared" si="103"/>
        <v>0</v>
      </c>
      <c r="AA304">
        <f>IF(Y304&gt;='Loan Prepayment'!$E$11,'Loan Prepayment'!$E$12,'Loan Prepayment'!$B$6)</f>
        <v>7.5</v>
      </c>
      <c r="AB304">
        <f>IF(Z304&lt;=0,0,MIN(IF(Y304='Loan Prepayment'!$E$11,IF('Loan Prepayment'!$E$13="Keep tenure, recalculate EMI",-PMT(AA304/1200,MAX(1,'Loan Prepayment'!$B$7*12-Y304+1),Z304),AB303),AB303),Z304+AC304))</f>
        <v>0</v>
      </c>
      <c r="AC304">
        <f t="shared" si="93"/>
        <v>0</v>
      </c>
      <c r="AD304">
        <f t="shared" si="94"/>
        <v>0</v>
      </c>
      <c r="AE304">
        <f t="shared" si="95"/>
        <v>0</v>
      </c>
      <c r="AF304">
        <f t="shared" si="96"/>
        <v>0</v>
      </c>
      <c r="AG304">
        <v>303</v>
      </c>
      <c r="AH304">
        <f t="shared" si="104"/>
        <v>0</v>
      </c>
      <c r="AI304">
        <f>IF(AG304&gt;='Loan Prepayment'!$E$11,'Loan Prepayment'!$E$12,'Loan Prepayment'!$B$6)</f>
        <v>7.5</v>
      </c>
      <c r="AJ304">
        <f>IF(AH304&lt;=0,0,MIN(IF(AG304='Loan Prepayment'!$E$11,IF('Loan Prepayment'!$E$13="Keep tenure, recalculate EMI",-PMT(AI304/1200,MAX(1,'Loan Prepayment'!$B$7*12-AG304+1),AH304),AJ303),IF(AND('Loan Prepayment'!$E$15="Reduce EMI",AM303&gt;0),-PMT(AI304/1200,MAX(1,'Loan Prepayment'!$B$7*12-AG304+1),AH304),AJ303)),AH304+AK304))</f>
        <v>0</v>
      </c>
      <c r="AK304">
        <f t="shared" si="97"/>
        <v>0</v>
      </c>
      <c r="AL304">
        <f t="shared" si="98"/>
        <v>0</v>
      </c>
      <c r="AM304">
        <f>IF(AH304&lt;=0,0,MIN(MAX(0,AH304-AL304),SUMIFS('Loan Prepayment'!$B$12:$B$16,'Loan Prepayment'!$A$12:$A$16,AG304)+IF(AND(AG304&gt;='Loan Prepayment'!$B$9,AG304&lt;='Loan Prepayment'!$E$16),'Loan Prepayment'!$B$8,0)))</f>
        <v>0</v>
      </c>
      <c r="AN304">
        <f t="shared" si="99"/>
        <v>0</v>
      </c>
    </row>
    <row r="305" spans="1:40" x14ac:dyDescent="0.35">
      <c r="A305">
        <v>304</v>
      </c>
      <c r="B305">
        <f t="shared" si="100"/>
        <v>0</v>
      </c>
      <c r="C305" s="78">
        <f>'Loan Prepayment'!$B$6</f>
        <v>8.5</v>
      </c>
      <c r="D305">
        <f>IF(B305&lt;=0,0,MIN(-PMT('Loan Prepayment'!$B$6/1200,'Loan Prepayment'!$B$7*12,'Loan Prepayment'!$B$5),B305+E305))</f>
        <v>0</v>
      </c>
      <c r="E305">
        <f t="shared" si="84"/>
        <v>0</v>
      </c>
      <c r="F305">
        <f t="shared" si="85"/>
        <v>0</v>
      </c>
      <c r="G305">
        <v>0</v>
      </c>
      <c r="H305">
        <f t="shared" si="86"/>
        <v>0</v>
      </c>
      <c r="I305">
        <v>304</v>
      </c>
      <c r="J305">
        <f t="shared" si="101"/>
        <v>0</v>
      </c>
      <c r="K305" s="78">
        <f>'Loan Prepayment'!$B$6</f>
        <v>8.5</v>
      </c>
      <c r="L305">
        <f>IF(J305&lt;=0,0,MIN(IF(AND('Loan Prepayment'!$E$15="Reduce EMI",O304&gt;0),-PMT(K305/1200,MAX(1,'Loan Prepayment'!$B$7*12-I305+1),J305),L304),J305+M305))</f>
        <v>0</v>
      </c>
      <c r="M305">
        <f t="shared" si="87"/>
        <v>0</v>
      </c>
      <c r="N305">
        <f t="shared" si="88"/>
        <v>0</v>
      </c>
      <c r="O305">
        <f>IF(J305&lt;=0,0,MIN(MAX(0,J305-N305),SUMIFS('Loan Prepayment'!$B$12:$B$16,'Loan Prepayment'!$A$12:$A$16,I305)+0))</f>
        <v>0</v>
      </c>
      <c r="P305">
        <f t="shared" si="89"/>
        <v>0</v>
      </c>
      <c r="Q305">
        <v>304</v>
      </c>
      <c r="R305">
        <f t="shared" si="102"/>
        <v>0</v>
      </c>
      <c r="S305" s="78">
        <f>'Loan Prepayment'!$B$6</f>
        <v>8.5</v>
      </c>
      <c r="T305">
        <f>IF(R305&lt;=0,0,MIN(IF(AND('Loan Prepayment'!$E$15="Reduce EMI",W304&gt;0),-PMT(S305/1200,MAX(1,'Loan Prepayment'!$B$7*12-Q305+1),R305),T304),R305+U305))</f>
        <v>0</v>
      </c>
      <c r="U305">
        <f t="shared" si="90"/>
        <v>0</v>
      </c>
      <c r="V305">
        <f t="shared" si="91"/>
        <v>0</v>
      </c>
      <c r="W305">
        <f>IF(R305&lt;=0,0,MIN(MAX(0,R305-V305),0+IF(AND(Q305&gt;='Loan Prepayment'!$B$9,Q305&lt;='Loan Prepayment'!$E$16),'Loan Prepayment'!$B$8,0)))</f>
        <v>0</v>
      </c>
      <c r="X305">
        <f t="shared" si="92"/>
        <v>0</v>
      </c>
      <c r="Y305">
        <v>304</v>
      </c>
      <c r="Z305">
        <f t="shared" si="103"/>
        <v>0</v>
      </c>
      <c r="AA305">
        <f>IF(Y305&gt;='Loan Prepayment'!$E$11,'Loan Prepayment'!$E$12,'Loan Prepayment'!$B$6)</f>
        <v>7.5</v>
      </c>
      <c r="AB305">
        <f>IF(Z305&lt;=0,0,MIN(IF(Y305='Loan Prepayment'!$E$11,IF('Loan Prepayment'!$E$13="Keep tenure, recalculate EMI",-PMT(AA305/1200,MAX(1,'Loan Prepayment'!$B$7*12-Y305+1),Z305),AB304),AB304),Z305+AC305))</f>
        <v>0</v>
      </c>
      <c r="AC305">
        <f t="shared" si="93"/>
        <v>0</v>
      </c>
      <c r="AD305">
        <f t="shared" si="94"/>
        <v>0</v>
      </c>
      <c r="AE305">
        <f t="shared" si="95"/>
        <v>0</v>
      </c>
      <c r="AF305">
        <f t="shared" si="96"/>
        <v>0</v>
      </c>
      <c r="AG305">
        <v>304</v>
      </c>
      <c r="AH305">
        <f t="shared" si="104"/>
        <v>0</v>
      </c>
      <c r="AI305">
        <f>IF(AG305&gt;='Loan Prepayment'!$E$11,'Loan Prepayment'!$E$12,'Loan Prepayment'!$B$6)</f>
        <v>7.5</v>
      </c>
      <c r="AJ305">
        <f>IF(AH305&lt;=0,0,MIN(IF(AG305='Loan Prepayment'!$E$11,IF('Loan Prepayment'!$E$13="Keep tenure, recalculate EMI",-PMT(AI305/1200,MAX(1,'Loan Prepayment'!$B$7*12-AG305+1),AH305),AJ304),IF(AND('Loan Prepayment'!$E$15="Reduce EMI",AM304&gt;0),-PMT(AI305/1200,MAX(1,'Loan Prepayment'!$B$7*12-AG305+1),AH305),AJ304)),AH305+AK305))</f>
        <v>0</v>
      </c>
      <c r="AK305">
        <f t="shared" si="97"/>
        <v>0</v>
      </c>
      <c r="AL305">
        <f t="shared" si="98"/>
        <v>0</v>
      </c>
      <c r="AM305">
        <f>IF(AH305&lt;=0,0,MIN(MAX(0,AH305-AL305),SUMIFS('Loan Prepayment'!$B$12:$B$16,'Loan Prepayment'!$A$12:$A$16,AG305)+IF(AND(AG305&gt;='Loan Prepayment'!$B$9,AG305&lt;='Loan Prepayment'!$E$16),'Loan Prepayment'!$B$8,0)))</f>
        <v>0</v>
      </c>
      <c r="AN305">
        <f t="shared" si="99"/>
        <v>0</v>
      </c>
    </row>
    <row r="306" spans="1:40" x14ac:dyDescent="0.35">
      <c r="A306">
        <v>305</v>
      </c>
      <c r="B306">
        <f t="shared" si="100"/>
        <v>0</v>
      </c>
      <c r="C306" s="78">
        <f>'Loan Prepayment'!$B$6</f>
        <v>8.5</v>
      </c>
      <c r="D306">
        <f>IF(B306&lt;=0,0,MIN(-PMT('Loan Prepayment'!$B$6/1200,'Loan Prepayment'!$B$7*12,'Loan Prepayment'!$B$5),B306+E306))</f>
        <v>0</v>
      </c>
      <c r="E306">
        <f t="shared" si="84"/>
        <v>0</v>
      </c>
      <c r="F306">
        <f t="shared" si="85"/>
        <v>0</v>
      </c>
      <c r="G306">
        <v>0</v>
      </c>
      <c r="H306">
        <f t="shared" si="86"/>
        <v>0</v>
      </c>
      <c r="I306">
        <v>305</v>
      </c>
      <c r="J306">
        <f t="shared" si="101"/>
        <v>0</v>
      </c>
      <c r="K306" s="78">
        <f>'Loan Prepayment'!$B$6</f>
        <v>8.5</v>
      </c>
      <c r="L306">
        <f>IF(J306&lt;=0,0,MIN(IF(AND('Loan Prepayment'!$E$15="Reduce EMI",O305&gt;0),-PMT(K306/1200,MAX(1,'Loan Prepayment'!$B$7*12-I306+1),J306),L305),J306+M306))</f>
        <v>0</v>
      </c>
      <c r="M306">
        <f t="shared" si="87"/>
        <v>0</v>
      </c>
      <c r="N306">
        <f t="shared" si="88"/>
        <v>0</v>
      </c>
      <c r="O306">
        <f>IF(J306&lt;=0,0,MIN(MAX(0,J306-N306),SUMIFS('Loan Prepayment'!$B$12:$B$16,'Loan Prepayment'!$A$12:$A$16,I306)+0))</f>
        <v>0</v>
      </c>
      <c r="P306">
        <f t="shared" si="89"/>
        <v>0</v>
      </c>
      <c r="Q306">
        <v>305</v>
      </c>
      <c r="R306">
        <f t="shared" si="102"/>
        <v>0</v>
      </c>
      <c r="S306" s="78">
        <f>'Loan Prepayment'!$B$6</f>
        <v>8.5</v>
      </c>
      <c r="T306">
        <f>IF(R306&lt;=0,0,MIN(IF(AND('Loan Prepayment'!$E$15="Reduce EMI",W305&gt;0),-PMT(S306/1200,MAX(1,'Loan Prepayment'!$B$7*12-Q306+1),R306),T305),R306+U306))</f>
        <v>0</v>
      </c>
      <c r="U306">
        <f t="shared" si="90"/>
        <v>0</v>
      </c>
      <c r="V306">
        <f t="shared" si="91"/>
        <v>0</v>
      </c>
      <c r="W306">
        <f>IF(R306&lt;=0,0,MIN(MAX(0,R306-V306),0+IF(AND(Q306&gt;='Loan Prepayment'!$B$9,Q306&lt;='Loan Prepayment'!$E$16),'Loan Prepayment'!$B$8,0)))</f>
        <v>0</v>
      </c>
      <c r="X306">
        <f t="shared" si="92"/>
        <v>0</v>
      </c>
      <c r="Y306">
        <v>305</v>
      </c>
      <c r="Z306">
        <f t="shared" si="103"/>
        <v>0</v>
      </c>
      <c r="AA306">
        <f>IF(Y306&gt;='Loan Prepayment'!$E$11,'Loan Prepayment'!$E$12,'Loan Prepayment'!$B$6)</f>
        <v>7.5</v>
      </c>
      <c r="AB306">
        <f>IF(Z306&lt;=0,0,MIN(IF(Y306='Loan Prepayment'!$E$11,IF('Loan Prepayment'!$E$13="Keep tenure, recalculate EMI",-PMT(AA306/1200,MAX(1,'Loan Prepayment'!$B$7*12-Y306+1),Z306),AB305),AB305),Z306+AC306))</f>
        <v>0</v>
      </c>
      <c r="AC306">
        <f t="shared" si="93"/>
        <v>0</v>
      </c>
      <c r="AD306">
        <f t="shared" si="94"/>
        <v>0</v>
      </c>
      <c r="AE306">
        <f t="shared" si="95"/>
        <v>0</v>
      </c>
      <c r="AF306">
        <f t="shared" si="96"/>
        <v>0</v>
      </c>
      <c r="AG306">
        <v>305</v>
      </c>
      <c r="AH306">
        <f t="shared" si="104"/>
        <v>0</v>
      </c>
      <c r="AI306">
        <f>IF(AG306&gt;='Loan Prepayment'!$E$11,'Loan Prepayment'!$E$12,'Loan Prepayment'!$B$6)</f>
        <v>7.5</v>
      </c>
      <c r="AJ306">
        <f>IF(AH306&lt;=0,0,MIN(IF(AG306='Loan Prepayment'!$E$11,IF('Loan Prepayment'!$E$13="Keep tenure, recalculate EMI",-PMT(AI306/1200,MAX(1,'Loan Prepayment'!$B$7*12-AG306+1),AH306),AJ305),IF(AND('Loan Prepayment'!$E$15="Reduce EMI",AM305&gt;0),-PMT(AI306/1200,MAX(1,'Loan Prepayment'!$B$7*12-AG306+1),AH306),AJ305)),AH306+AK306))</f>
        <v>0</v>
      </c>
      <c r="AK306">
        <f t="shared" si="97"/>
        <v>0</v>
      </c>
      <c r="AL306">
        <f t="shared" si="98"/>
        <v>0</v>
      </c>
      <c r="AM306">
        <f>IF(AH306&lt;=0,0,MIN(MAX(0,AH306-AL306),SUMIFS('Loan Prepayment'!$B$12:$B$16,'Loan Prepayment'!$A$12:$A$16,AG306)+IF(AND(AG306&gt;='Loan Prepayment'!$B$9,AG306&lt;='Loan Prepayment'!$E$16),'Loan Prepayment'!$B$8,0)))</f>
        <v>0</v>
      </c>
      <c r="AN306">
        <f t="shared" si="99"/>
        <v>0</v>
      </c>
    </row>
    <row r="307" spans="1:40" x14ac:dyDescent="0.35">
      <c r="A307">
        <v>306</v>
      </c>
      <c r="B307">
        <f t="shared" si="100"/>
        <v>0</v>
      </c>
      <c r="C307" s="78">
        <f>'Loan Prepayment'!$B$6</f>
        <v>8.5</v>
      </c>
      <c r="D307">
        <f>IF(B307&lt;=0,0,MIN(-PMT('Loan Prepayment'!$B$6/1200,'Loan Prepayment'!$B$7*12,'Loan Prepayment'!$B$5),B307+E307))</f>
        <v>0</v>
      </c>
      <c r="E307">
        <f t="shared" si="84"/>
        <v>0</v>
      </c>
      <c r="F307">
        <f t="shared" si="85"/>
        <v>0</v>
      </c>
      <c r="G307">
        <v>0</v>
      </c>
      <c r="H307">
        <f t="shared" si="86"/>
        <v>0</v>
      </c>
      <c r="I307">
        <v>306</v>
      </c>
      <c r="J307">
        <f t="shared" si="101"/>
        <v>0</v>
      </c>
      <c r="K307" s="78">
        <f>'Loan Prepayment'!$B$6</f>
        <v>8.5</v>
      </c>
      <c r="L307">
        <f>IF(J307&lt;=0,0,MIN(IF(AND('Loan Prepayment'!$E$15="Reduce EMI",O306&gt;0),-PMT(K307/1200,MAX(1,'Loan Prepayment'!$B$7*12-I307+1),J307),L306),J307+M307))</f>
        <v>0</v>
      </c>
      <c r="M307">
        <f t="shared" si="87"/>
        <v>0</v>
      </c>
      <c r="N307">
        <f t="shared" si="88"/>
        <v>0</v>
      </c>
      <c r="O307">
        <f>IF(J307&lt;=0,0,MIN(MAX(0,J307-N307),SUMIFS('Loan Prepayment'!$B$12:$B$16,'Loan Prepayment'!$A$12:$A$16,I307)+0))</f>
        <v>0</v>
      </c>
      <c r="P307">
        <f t="shared" si="89"/>
        <v>0</v>
      </c>
      <c r="Q307">
        <v>306</v>
      </c>
      <c r="R307">
        <f t="shared" si="102"/>
        <v>0</v>
      </c>
      <c r="S307" s="78">
        <f>'Loan Prepayment'!$B$6</f>
        <v>8.5</v>
      </c>
      <c r="T307">
        <f>IF(R307&lt;=0,0,MIN(IF(AND('Loan Prepayment'!$E$15="Reduce EMI",W306&gt;0),-PMT(S307/1200,MAX(1,'Loan Prepayment'!$B$7*12-Q307+1),R307),T306),R307+U307))</f>
        <v>0</v>
      </c>
      <c r="U307">
        <f t="shared" si="90"/>
        <v>0</v>
      </c>
      <c r="V307">
        <f t="shared" si="91"/>
        <v>0</v>
      </c>
      <c r="W307">
        <f>IF(R307&lt;=0,0,MIN(MAX(0,R307-V307),0+IF(AND(Q307&gt;='Loan Prepayment'!$B$9,Q307&lt;='Loan Prepayment'!$E$16),'Loan Prepayment'!$B$8,0)))</f>
        <v>0</v>
      </c>
      <c r="X307">
        <f t="shared" si="92"/>
        <v>0</v>
      </c>
      <c r="Y307">
        <v>306</v>
      </c>
      <c r="Z307">
        <f t="shared" si="103"/>
        <v>0</v>
      </c>
      <c r="AA307">
        <f>IF(Y307&gt;='Loan Prepayment'!$E$11,'Loan Prepayment'!$E$12,'Loan Prepayment'!$B$6)</f>
        <v>7.5</v>
      </c>
      <c r="AB307">
        <f>IF(Z307&lt;=0,0,MIN(IF(Y307='Loan Prepayment'!$E$11,IF('Loan Prepayment'!$E$13="Keep tenure, recalculate EMI",-PMT(AA307/1200,MAX(1,'Loan Prepayment'!$B$7*12-Y307+1),Z307),AB306),AB306),Z307+AC307))</f>
        <v>0</v>
      </c>
      <c r="AC307">
        <f t="shared" si="93"/>
        <v>0</v>
      </c>
      <c r="AD307">
        <f t="shared" si="94"/>
        <v>0</v>
      </c>
      <c r="AE307">
        <f t="shared" si="95"/>
        <v>0</v>
      </c>
      <c r="AF307">
        <f t="shared" si="96"/>
        <v>0</v>
      </c>
      <c r="AG307">
        <v>306</v>
      </c>
      <c r="AH307">
        <f t="shared" si="104"/>
        <v>0</v>
      </c>
      <c r="AI307">
        <f>IF(AG307&gt;='Loan Prepayment'!$E$11,'Loan Prepayment'!$E$12,'Loan Prepayment'!$B$6)</f>
        <v>7.5</v>
      </c>
      <c r="AJ307">
        <f>IF(AH307&lt;=0,0,MIN(IF(AG307='Loan Prepayment'!$E$11,IF('Loan Prepayment'!$E$13="Keep tenure, recalculate EMI",-PMT(AI307/1200,MAX(1,'Loan Prepayment'!$B$7*12-AG307+1),AH307),AJ306),IF(AND('Loan Prepayment'!$E$15="Reduce EMI",AM306&gt;0),-PMT(AI307/1200,MAX(1,'Loan Prepayment'!$B$7*12-AG307+1),AH307),AJ306)),AH307+AK307))</f>
        <v>0</v>
      </c>
      <c r="AK307">
        <f t="shared" si="97"/>
        <v>0</v>
      </c>
      <c r="AL307">
        <f t="shared" si="98"/>
        <v>0</v>
      </c>
      <c r="AM307">
        <f>IF(AH307&lt;=0,0,MIN(MAX(0,AH307-AL307),SUMIFS('Loan Prepayment'!$B$12:$B$16,'Loan Prepayment'!$A$12:$A$16,AG307)+IF(AND(AG307&gt;='Loan Prepayment'!$B$9,AG307&lt;='Loan Prepayment'!$E$16),'Loan Prepayment'!$B$8,0)))</f>
        <v>0</v>
      </c>
      <c r="AN307">
        <f t="shared" si="99"/>
        <v>0</v>
      </c>
    </row>
    <row r="308" spans="1:40" x14ac:dyDescent="0.35">
      <c r="A308">
        <v>307</v>
      </c>
      <c r="B308">
        <f t="shared" si="100"/>
        <v>0</v>
      </c>
      <c r="C308" s="78">
        <f>'Loan Prepayment'!$B$6</f>
        <v>8.5</v>
      </c>
      <c r="D308">
        <f>IF(B308&lt;=0,0,MIN(-PMT('Loan Prepayment'!$B$6/1200,'Loan Prepayment'!$B$7*12,'Loan Prepayment'!$B$5),B308+E308))</f>
        <v>0</v>
      </c>
      <c r="E308">
        <f t="shared" si="84"/>
        <v>0</v>
      </c>
      <c r="F308">
        <f t="shared" si="85"/>
        <v>0</v>
      </c>
      <c r="G308">
        <v>0</v>
      </c>
      <c r="H308">
        <f t="shared" si="86"/>
        <v>0</v>
      </c>
      <c r="I308">
        <v>307</v>
      </c>
      <c r="J308">
        <f t="shared" si="101"/>
        <v>0</v>
      </c>
      <c r="K308" s="78">
        <f>'Loan Prepayment'!$B$6</f>
        <v>8.5</v>
      </c>
      <c r="L308">
        <f>IF(J308&lt;=0,0,MIN(IF(AND('Loan Prepayment'!$E$15="Reduce EMI",O307&gt;0),-PMT(K308/1200,MAX(1,'Loan Prepayment'!$B$7*12-I308+1),J308),L307),J308+M308))</f>
        <v>0</v>
      </c>
      <c r="M308">
        <f t="shared" si="87"/>
        <v>0</v>
      </c>
      <c r="N308">
        <f t="shared" si="88"/>
        <v>0</v>
      </c>
      <c r="O308">
        <f>IF(J308&lt;=0,0,MIN(MAX(0,J308-N308),SUMIFS('Loan Prepayment'!$B$12:$B$16,'Loan Prepayment'!$A$12:$A$16,I308)+0))</f>
        <v>0</v>
      </c>
      <c r="P308">
        <f t="shared" si="89"/>
        <v>0</v>
      </c>
      <c r="Q308">
        <v>307</v>
      </c>
      <c r="R308">
        <f t="shared" si="102"/>
        <v>0</v>
      </c>
      <c r="S308" s="78">
        <f>'Loan Prepayment'!$B$6</f>
        <v>8.5</v>
      </c>
      <c r="T308">
        <f>IF(R308&lt;=0,0,MIN(IF(AND('Loan Prepayment'!$E$15="Reduce EMI",W307&gt;0),-PMT(S308/1200,MAX(1,'Loan Prepayment'!$B$7*12-Q308+1),R308),T307),R308+U308))</f>
        <v>0</v>
      </c>
      <c r="U308">
        <f t="shared" si="90"/>
        <v>0</v>
      </c>
      <c r="V308">
        <f t="shared" si="91"/>
        <v>0</v>
      </c>
      <c r="W308">
        <f>IF(R308&lt;=0,0,MIN(MAX(0,R308-V308),0+IF(AND(Q308&gt;='Loan Prepayment'!$B$9,Q308&lt;='Loan Prepayment'!$E$16),'Loan Prepayment'!$B$8,0)))</f>
        <v>0</v>
      </c>
      <c r="X308">
        <f t="shared" si="92"/>
        <v>0</v>
      </c>
      <c r="Y308">
        <v>307</v>
      </c>
      <c r="Z308">
        <f t="shared" si="103"/>
        <v>0</v>
      </c>
      <c r="AA308">
        <f>IF(Y308&gt;='Loan Prepayment'!$E$11,'Loan Prepayment'!$E$12,'Loan Prepayment'!$B$6)</f>
        <v>7.5</v>
      </c>
      <c r="AB308">
        <f>IF(Z308&lt;=0,0,MIN(IF(Y308='Loan Prepayment'!$E$11,IF('Loan Prepayment'!$E$13="Keep tenure, recalculate EMI",-PMT(AA308/1200,MAX(1,'Loan Prepayment'!$B$7*12-Y308+1),Z308),AB307),AB307),Z308+AC308))</f>
        <v>0</v>
      </c>
      <c r="AC308">
        <f t="shared" si="93"/>
        <v>0</v>
      </c>
      <c r="AD308">
        <f t="shared" si="94"/>
        <v>0</v>
      </c>
      <c r="AE308">
        <f t="shared" si="95"/>
        <v>0</v>
      </c>
      <c r="AF308">
        <f t="shared" si="96"/>
        <v>0</v>
      </c>
      <c r="AG308">
        <v>307</v>
      </c>
      <c r="AH308">
        <f t="shared" si="104"/>
        <v>0</v>
      </c>
      <c r="AI308">
        <f>IF(AG308&gt;='Loan Prepayment'!$E$11,'Loan Prepayment'!$E$12,'Loan Prepayment'!$B$6)</f>
        <v>7.5</v>
      </c>
      <c r="AJ308">
        <f>IF(AH308&lt;=0,0,MIN(IF(AG308='Loan Prepayment'!$E$11,IF('Loan Prepayment'!$E$13="Keep tenure, recalculate EMI",-PMT(AI308/1200,MAX(1,'Loan Prepayment'!$B$7*12-AG308+1),AH308),AJ307),IF(AND('Loan Prepayment'!$E$15="Reduce EMI",AM307&gt;0),-PMT(AI308/1200,MAX(1,'Loan Prepayment'!$B$7*12-AG308+1),AH308),AJ307)),AH308+AK308))</f>
        <v>0</v>
      </c>
      <c r="AK308">
        <f t="shared" si="97"/>
        <v>0</v>
      </c>
      <c r="AL308">
        <f t="shared" si="98"/>
        <v>0</v>
      </c>
      <c r="AM308">
        <f>IF(AH308&lt;=0,0,MIN(MAX(0,AH308-AL308),SUMIFS('Loan Prepayment'!$B$12:$B$16,'Loan Prepayment'!$A$12:$A$16,AG308)+IF(AND(AG308&gt;='Loan Prepayment'!$B$9,AG308&lt;='Loan Prepayment'!$E$16),'Loan Prepayment'!$B$8,0)))</f>
        <v>0</v>
      </c>
      <c r="AN308">
        <f t="shared" si="99"/>
        <v>0</v>
      </c>
    </row>
    <row r="309" spans="1:40" x14ac:dyDescent="0.35">
      <c r="A309">
        <v>308</v>
      </c>
      <c r="B309">
        <f t="shared" si="100"/>
        <v>0</v>
      </c>
      <c r="C309" s="78">
        <f>'Loan Prepayment'!$B$6</f>
        <v>8.5</v>
      </c>
      <c r="D309">
        <f>IF(B309&lt;=0,0,MIN(-PMT('Loan Prepayment'!$B$6/1200,'Loan Prepayment'!$B$7*12,'Loan Prepayment'!$B$5),B309+E309))</f>
        <v>0</v>
      </c>
      <c r="E309">
        <f t="shared" si="84"/>
        <v>0</v>
      </c>
      <c r="F309">
        <f t="shared" si="85"/>
        <v>0</v>
      </c>
      <c r="G309">
        <v>0</v>
      </c>
      <c r="H309">
        <f t="shared" si="86"/>
        <v>0</v>
      </c>
      <c r="I309">
        <v>308</v>
      </c>
      <c r="J309">
        <f t="shared" si="101"/>
        <v>0</v>
      </c>
      <c r="K309" s="78">
        <f>'Loan Prepayment'!$B$6</f>
        <v>8.5</v>
      </c>
      <c r="L309">
        <f>IF(J309&lt;=0,0,MIN(IF(AND('Loan Prepayment'!$E$15="Reduce EMI",O308&gt;0),-PMT(K309/1200,MAX(1,'Loan Prepayment'!$B$7*12-I309+1),J309),L308),J309+M309))</f>
        <v>0</v>
      </c>
      <c r="M309">
        <f t="shared" si="87"/>
        <v>0</v>
      </c>
      <c r="N309">
        <f t="shared" si="88"/>
        <v>0</v>
      </c>
      <c r="O309">
        <f>IF(J309&lt;=0,0,MIN(MAX(0,J309-N309),SUMIFS('Loan Prepayment'!$B$12:$B$16,'Loan Prepayment'!$A$12:$A$16,I309)+0))</f>
        <v>0</v>
      </c>
      <c r="P309">
        <f t="shared" si="89"/>
        <v>0</v>
      </c>
      <c r="Q309">
        <v>308</v>
      </c>
      <c r="R309">
        <f t="shared" si="102"/>
        <v>0</v>
      </c>
      <c r="S309" s="78">
        <f>'Loan Prepayment'!$B$6</f>
        <v>8.5</v>
      </c>
      <c r="T309">
        <f>IF(R309&lt;=0,0,MIN(IF(AND('Loan Prepayment'!$E$15="Reduce EMI",W308&gt;0),-PMT(S309/1200,MAX(1,'Loan Prepayment'!$B$7*12-Q309+1),R309),T308),R309+U309))</f>
        <v>0</v>
      </c>
      <c r="U309">
        <f t="shared" si="90"/>
        <v>0</v>
      </c>
      <c r="V309">
        <f t="shared" si="91"/>
        <v>0</v>
      </c>
      <c r="W309">
        <f>IF(R309&lt;=0,0,MIN(MAX(0,R309-V309),0+IF(AND(Q309&gt;='Loan Prepayment'!$B$9,Q309&lt;='Loan Prepayment'!$E$16),'Loan Prepayment'!$B$8,0)))</f>
        <v>0</v>
      </c>
      <c r="X309">
        <f t="shared" si="92"/>
        <v>0</v>
      </c>
      <c r="Y309">
        <v>308</v>
      </c>
      <c r="Z309">
        <f t="shared" si="103"/>
        <v>0</v>
      </c>
      <c r="AA309">
        <f>IF(Y309&gt;='Loan Prepayment'!$E$11,'Loan Prepayment'!$E$12,'Loan Prepayment'!$B$6)</f>
        <v>7.5</v>
      </c>
      <c r="AB309">
        <f>IF(Z309&lt;=0,0,MIN(IF(Y309='Loan Prepayment'!$E$11,IF('Loan Prepayment'!$E$13="Keep tenure, recalculate EMI",-PMT(AA309/1200,MAX(1,'Loan Prepayment'!$B$7*12-Y309+1),Z309),AB308),AB308),Z309+AC309))</f>
        <v>0</v>
      </c>
      <c r="AC309">
        <f t="shared" si="93"/>
        <v>0</v>
      </c>
      <c r="AD309">
        <f t="shared" si="94"/>
        <v>0</v>
      </c>
      <c r="AE309">
        <f t="shared" si="95"/>
        <v>0</v>
      </c>
      <c r="AF309">
        <f t="shared" si="96"/>
        <v>0</v>
      </c>
      <c r="AG309">
        <v>308</v>
      </c>
      <c r="AH309">
        <f t="shared" si="104"/>
        <v>0</v>
      </c>
      <c r="AI309">
        <f>IF(AG309&gt;='Loan Prepayment'!$E$11,'Loan Prepayment'!$E$12,'Loan Prepayment'!$B$6)</f>
        <v>7.5</v>
      </c>
      <c r="AJ309">
        <f>IF(AH309&lt;=0,0,MIN(IF(AG309='Loan Prepayment'!$E$11,IF('Loan Prepayment'!$E$13="Keep tenure, recalculate EMI",-PMT(AI309/1200,MAX(1,'Loan Prepayment'!$B$7*12-AG309+1),AH309),AJ308),IF(AND('Loan Prepayment'!$E$15="Reduce EMI",AM308&gt;0),-PMT(AI309/1200,MAX(1,'Loan Prepayment'!$B$7*12-AG309+1),AH309),AJ308)),AH309+AK309))</f>
        <v>0</v>
      </c>
      <c r="AK309">
        <f t="shared" si="97"/>
        <v>0</v>
      </c>
      <c r="AL309">
        <f t="shared" si="98"/>
        <v>0</v>
      </c>
      <c r="AM309">
        <f>IF(AH309&lt;=0,0,MIN(MAX(0,AH309-AL309),SUMIFS('Loan Prepayment'!$B$12:$B$16,'Loan Prepayment'!$A$12:$A$16,AG309)+IF(AND(AG309&gt;='Loan Prepayment'!$B$9,AG309&lt;='Loan Prepayment'!$E$16),'Loan Prepayment'!$B$8,0)))</f>
        <v>0</v>
      </c>
      <c r="AN309">
        <f t="shared" si="99"/>
        <v>0</v>
      </c>
    </row>
    <row r="310" spans="1:40" x14ac:dyDescent="0.35">
      <c r="A310">
        <v>309</v>
      </c>
      <c r="B310">
        <f t="shared" si="100"/>
        <v>0</v>
      </c>
      <c r="C310" s="78">
        <f>'Loan Prepayment'!$B$6</f>
        <v>8.5</v>
      </c>
      <c r="D310">
        <f>IF(B310&lt;=0,0,MIN(-PMT('Loan Prepayment'!$B$6/1200,'Loan Prepayment'!$B$7*12,'Loan Prepayment'!$B$5),B310+E310))</f>
        <v>0</v>
      </c>
      <c r="E310">
        <f t="shared" si="84"/>
        <v>0</v>
      </c>
      <c r="F310">
        <f t="shared" si="85"/>
        <v>0</v>
      </c>
      <c r="G310">
        <v>0</v>
      </c>
      <c r="H310">
        <f t="shared" si="86"/>
        <v>0</v>
      </c>
      <c r="I310">
        <v>309</v>
      </c>
      <c r="J310">
        <f t="shared" si="101"/>
        <v>0</v>
      </c>
      <c r="K310" s="78">
        <f>'Loan Prepayment'!$B$6</f>
        <v>8.5</v>
      </c>
      <c r="L310">
        <f>IF(J310&lt;=0,0,MIN(IF(AND('Loan Prepayment'!$E$15="Reduce EMI",O309&gt;0),-PMT(K310/1200,MAX(1,'Loan Prepayment'!$B$7*12-I310+1),J310),L309),J310+M310))</f>
        <v>0</v>
      </c>
      <c r="M310">
        <f t="shared" si="87"/>
        <v>0</v>
      </c>
      <c r="N310">
        <f t="shared" si="88"/>
        <v>0</v>
      </c>
      <c r="O310">
        <f>IF(J310&lt;=0,0,MIN(MAX(0,J310-N310),SUMIFS('Loan Prepayment'!$B$12:$B$16,'Loan Prepayment'!$A$12:$A$16,I310)+0))</f>
        <v>0</v>
      </c>
      <c r="P310">
        <f t="shared" si="89"/>
        <v>0</v>
      </c>
      <c r="Q310">
        <v>309</v>
      </c>
      <c r="R310">
        <f t="shared" si="102"/>
        <v>0</v>
      </c>
      <c r="S310" s="78">
        <f>'Loan Prepayment'!$B$6</f>
        <v>8.5</v>
      </c>
      <c r="T310">
        <f>IF(R310&lt;=0,0,MIN(IF(AND('Loan Prepayment'!$E$15="Reduce EMI",W309&gt;0),-PMT(S310/1200,MAX(1,'Loan Prepayment'!$B$7*12-Q310+1),R310),T309),R310+U310))</f>
        <v>0</v>
      </c>
      <c r="U310">
        <f t="shared" si="90"/>
        <v>0</v>
      </c>
      <c r="V310">
        <f t="shared" si="91"/>
        <v>0</v>
      </c>
      <c r="W310">
        <f>IF(R310&lt;=0,0,MIN(MAX(0,R310-V310),0+IF(AND(Q310&gt;='Loan Prepayment'!$B$9,Q310&lt;='Loan Prepayment'!$E$16),'Loan Prepayment'!$B$8,0)))</f>
        <v>0</v>
      </c>
      <c r="X310">
        <f t="shared" si="92"/>
        <v>0</v>
      </c>
      <c r="Y310">
        <v>309</v>
      </c>
      <c r="Z310">
        <f t="shared" si="103"/>
        <v>0</v>
      </c>
      <c r="AA310">
        <f>IF(Y310&gt;='Loan Prepayment'!$E$11,'Loan Prepayment'!$E$12,'Loan Prepayment'!$B$6)</f>
        <v>7.5</v>
      </c>
      <c r="AB310">
        <f>IF(Z310&lt;=0,0,MIN(IF(Y310='Loan Prepayment'!$E$11,IF('Loan Prepayment'!$E$13="Keep tenure, recalculate EMI",-PMT(AA310/1200,MAX(1,'Loan Prepayment'!$B$7*12-Y310+1),Z310),AB309),AB309),Z310+AC310))</f>
        <v>0</v>
      </c>
      <c r="AC310">
        <f t="shared" si="93"/>
        <v>0</v>
      </c>
      <c r="AD310">
        <f t="shared" si="94"/>
        <v>0</v>
      </c>
      <c r="AE310">
        <f t="shared" si="95"/>
        <v>0</v>
      </c>
      <c r="AF310">
        <f t="shared" si="96"/>
        <v>0</v>
      </c>
      <c r="AG310">
        <v>309</v>
      </c>
      <c r="AH310">
        <f t="shared" si="104"/>
        <v>0</v>
      </c>
      <c r="AI310">
        <f>IF(AG310&gt;='Loan Prepayment'!$E$11,'Loan Prepayment'!$E$12,'Loan Prepayment'!$B$6)</f>
        <v>7.5</v>
      </c>
      <c r="AJ310">
        <f>IF(AH310&lt;=0,0,MIN(IF(AG310='Loan Prepayment'!$E$11,IF('Loan Prepayment'!$E$13="Keep tenure, recalculate EMI",-PMT(AI310/1200,MAX(1,'Loan Prepayment'!$B$7*12-AG310+1),AH310),AJ309),IF(AND('Loan Prepayment'!$E$15="Reduce EMI",AM309&gt;0),-PMT(AI310/1200,MAX(1,'Loan Prepayment'!$B$7*12-AG310+1),AH310),AJ309)),AH310+AK310))</f>
        <v>0</v>
      </c>
      <c r="AK310">
        <f t="shared" si="97"/>
        <v>0</v>
      </c>
      <c r="AL310">
        <f t="shared" si="98"/>
        <v>0</v>
      </c>
      <c r="AM310">
        <f>IF(AH310&lt;=0,0,MIN(MAX(0,AH310-AL310),SUMIFS('Loan Prepayment'!$B$12:$B$16,'Loan Prepayment'!$A$12:$A$16,AG310)+IF(AND(AG310&gt;='Loan Prepayment'!$B$9,AG310&lt;='Loan Prepayment'!$E$16),'Loan Prepayment'!$B$8,0)))</f>
        <v>0</v>
      </c>
      <c r="AN310">
        <f t="shared" si="99"/>
        <v>0</v>
      </c>
    </row>
    <row r="311" spans="1:40" x14ac:dyDescent="0.35">
      <c r="A311">
        <v>310</v>
      </c>
      <c r="B311">
        <f t="shared" si="100"/>
        <v>0</v>
      </c>
      <c r="C311" s="78">
        <f>'Loan Prepayment'!$B$6</f>
        <v>8.5</v>
      </c>
      <c r="D311">
        <f>IF(B311&lt;=0,0,MIN(-PMT('Loan Prepayment'!$B$6/1200,'Loan Prepayment'!$B$7*12,'Loan Prepayment'!$B$5),B311+E311))</f>
        <v>0</v>
      </c>
      <c r="E311">
        <f t="shared" si="84"/>
        <v>0</v>
      </c>
      <c r="F311">
        <f t="shared" si="85"/>
        <v>0</v>
      </c>
      <c r="G311">
        <v>0</v>
      </c>
      <c r="H311">
        <f t="shared" si="86"/>
        <v>0</v>
      </c>
      <c r="I311">
        <v>310</v>
      </c>
      <c r="J311">
        <f t="shared" si="101"/>
        <v>0</v>
      </c>
      <c r="K311" s="78">
        <f>'Loan Prepayment'!$B$6</f>
        <v>8.5</v>
      </c>
      <c r="L311">
        <f>IF(J311&lt;=0,0,MIN(IF(AND('Loan Prepayment'!$E$15="Reduce EMI",O310&gt;0),-PMT(K311/1200,MAX(1,'Loan Prepayment'!$B$7*12-I311+1),J311),L310),J311+M311))</f>
        <v>0</v>
      </c>
      <c r="M311">
        <f t="shared" si="87"/>
        <v>0</v>
      </c>
      <c r="N311">
        <f t="shared" si="88"/>
        <v>0</v>
      </c>
      <c r="O311">
        <f>IF(J311&lt;=0,0,MIN(MAX(0,J311-N311),SUMIFS('Loan Prepayment'!$B$12:$B$16,'Loan Prepayment'!$A$12:$A$16,I311)+0))</f>
        <v>0</v>
      </c>
      <c r="P311">
        <f t="shared" si="89"/>
        <v>0</v>
      </c>
      <c r="Q311">
        <v>310</v>
      </c>
      <c r="R311">
        <f t="shared" si="102"/>
        <v>0</v>
      </c>
      <c r="S311" s="78">
        <f>'Loan Prepayment'!$B$6</f>
        <v>8.5</v>
      </c>
      <c r="T311">
        <f>IF(R311&lt;=0,0,MIN(IF(AND('Loan Prepayment'!$E$15="Reduce EMI",W310&gt;0),-PMT(S311/1200,MAX(1,'Loan Prepayment'!$B$7*12-Q311+1),R311),T310),R311+U311))</f>
        <v>0</v>
      </c>
      <c r="U311">
        <f t="shared" si="90"/>
        <v>0</v>
      </c>
      <c r="V311">
        <f t="shared" si="91"/>
        <v>0</v>
      </c>
      <c r="W311">
        <f>IF(R311&lt;=0,0,MIN(MAX(0,R311-V311),0+IF(AND(Q311&gt;='Loan Prepayment'!$B$9,Q311&lt;='Loan Prepayment'!$E$16),'Loan Prepayment'!$B$8,0)))</f>
        <v>0</v>
      </c>
      <c r="X311">
        <f t="shared" si="92"/>
        <v>0</v>
      </c>
      <c r="Y311">
        <v>310</v>
      </c>
      <c r="Z311">
        <f t="shared" si="103"/>
        <v>0</v>
      </c>
      <c r="AA311">
        <f>IF(Y311&gt;='Loan Prepayment'!$E$11,'Loan Prepayment'!$E$12,'Loan Prepayment'!$B$6)</f>
        <v>7.5</v>
      </c>
      <c r="AB311">
        <f>IF(Z311&lt;=0,0,MIN(IF(Y311='Loan Prepayment'!$E$11,IF('Loan Prepayment'!$E$13="Keep tenure, recalculate EMI",-PMT(AA311/1200,MAX(1,'Loan Prepayment'!$B$7*12-Y311+1),Z311),AB310),AB310),Z311+AC311))</f>
        <v>0</v>
      </c>
      <c r="AC311">
        <f t="shared" si="93"/>
        <v>0</v>
      </c>
      <c r="AD311">
        <f t="shared" si="94"/>
        <v>0</v>
      </c>
      <c r="AE311">
        <f t="shared" si="95"/>
        <v>0</v>
      </c>
      <c r="AF311">
        <f t="shared" si="96"/>
        <v>0</v>
      </c>
      <c r="AG311">
        <v>310</v>
      </c>
      <c r="AH311">
        <f t="shared" si="104"/>
        <v>0</v>
      </c>
      <c r="AI311">
        <f>IF(AG311&gt;='Loan Prepayment'!$E$11,'Loan Prepayment'!$E$12,'Loan Prepayment'!$B$6)</f>
        <v>7.5</v>
      </c>
      <c r="AJ311">
        <f>IF(AH311&lt;=0,0,MIN(IF(AG311='Loan Prepayment'!$E$11,IF('Loan Prepayment'!$E$13="Keep tenure, recalculate EMI",-PMT(AI311/1200,MAX(1,'Loan Prepayment'!$B$7*12-AG311+1),AH311),AJ310),IF(AND('Loan Prepayment'!$E$15="Reduce EMI",AM310&gt;0),-PMT(AI311/1200,MAX(1,'Loan Prepayment'!$B$7*12-AG311+1),AH311),AJ310)),AH311+AK311))</f>
        <v>0</v>
      </c>
      <c r="AK311">
        <f t="shared" si="97"/>
        <v>0</v>
      </c>
      <c r="AL311">
        <f t="shared" si="98"/>
        <v>0</v>
      </c>
      <c r="AM311">
        <f>IF(AH311&lt;=0,0,MIN(MAX(0,AH311-AL311),SUMIFS('Loan Prepayment'!$B$12:$B$16,'Loan Prepayment'!$A$12:$A$16,AG311)+IF(AND(AG311&gt;='Loan Prepayment'!$B$9,AG311&lt;='Loan Prepayment'!$E$16),'Loan Prepayment'!$B$8,0)))</f>
        <v>0</v>
      </c>
      <c r="AN311">
        <f t="shared" si="99"/>
        <v>0</v>
      </c>
    </row>
    <row r="312" spans="1:40" x14ac:dyDescent="0.35">
      <c r="A312">
        <v>311</v>
      </c>
      <c r="B312">
        <f t="shared" si="100"/>
        <v>0</v>
      </c>
      <c r="C312" s="78">
        <f>'Loan Prepayment'!$B$6</f>
        <v>8.5</v>
      </c>
      <c r="D312">
        <f>IF(B312&lt;=0,0,MIN(-PMT('Loan Prepayment'!$B$6/1200,'Loan Prepayment'!$B$7*12,'Loan Prepayment'!$B$5),B312+E312))</f>
        <v>0</v>
      </c>
      <c r="E312">
        <f t="shared" si="84"/>
        <v>0</v>
      </c>
      <c r="F312">
        <f t="shared" si="85"/>
        <v>0</v>
      </c>
      <c r="G312">
        <v>0</v>
      </c>
      <c r="H312">
        <f t="shared" si="86"/>
        <v>0</v>
      </c>
      <c r="I312">
        <v>311</v>
      </c>
      <c r="J312">
        <f t="shared" si="101"/>
        <v>0</v>
      </c>
      <c r="K312" s="78">
        <f>'Loan Prepayment'!$B$6</f>
        <v>8.5</v>
      </c>
      <c r="L312">
        <f>IF(J312&lt;=0,0,MIN(IF(AND('Loan Prepayment'!$E$15="Reduce EMI",O311&gt;0),-PMT(K312/1200,MAX(1,'Loan Prepayment'!$B$7*12-I312+1),J312),L311),J312+M312))</f>
        <v>0</v>
      </c>
      <c r="M312">
        <f t="shared" si="87"/>
        <v>0</v>
      </c>
      <c r="N312">
        <f t="shared" si="88"/>
        <v>0</v>
      </c>
      <c r="O312">
        <f>IF(J312&lt;=0,0,MIN(MAX(0,J312-N312),SUMIFS('Loan Prepayment'!$B$12:$B$16,'Loan Prepayment'!$A$12:$A$16,I312)+0))</f>
        <v>0</v>
      </c>
      <c r="P312">
        <f t="shared" si="89"/>
        <v>0</v>
      </c>
      <c r="Q312">
        <v>311</v>
      </c>
      <c r="R312">
        <f t="shared" si="102"/>
        <v>0</v>
      </c>
      <c r="S312" s="78">
        <f>'Loan Prepayment'!$B$6</f>
        <v>8.5</v>
      </c>
      <c r="T312">
        <f>IF(R312&lt;=0,0,MIN(IF(AND('Loan Prepayment'!$E$15="Reduce EMI",W311&gt;0),-PMT(S312/1200,MAX(1,'Loan Prepayment'!$B$7*12-Q312+1),R312),T311),R312+U312))</f>
        <v>0</v>
      </c>
      <c r="U312">
        <f t="shared" si="90"/>
        <v>0</v>
      </c>
      <c r="V312">
        <f t="shared" si="91"/>
        <v>0</v>
      </c>
      <c r="W312">
        <f>IF(R312&lt;=0,0,MIN(MAX(0,R312-V312),0+IF(AND(Q312&gt;='Loan Prepayment'!$B$9,Q312&lt;='Loan Prepayment'!$E$16),'Loan Prepayment'!$B$8,0)))</f>
        <v>0</v>
      </c>
      <c r="X312">
        <f t="shared" si="92"/>
        <v>0</v>
      </c>
      <c r="Y312">
        <v>311</v>
      </c>
      <c r="Z312">
        <f t="shared" si="103"/>
        <v>0</v>
      </c>
      <c r="AA312">
        <f>IF(Y312&gt;='Loan Prepayment'!$E$11,'Loan Prepayment'!$E$12,'Loan Prepayment'!$B$6)</f>
        <v>7.5</v>
      </c>
      <c r="AB312">
        <f>IF(Z312&lt;=0,0,MIN(IF(Y312='Loan Prepayment'!$E$11,IF('Loan Prepayment'!$E$13="Keep tenure, recalculate EMI",-PMT(AA312/1200,MAX(1,'Loan Prepayment'!$B$7*12-Y312+1),Z312),AB311),AB311),Z312+AC312))</f>
        <v>0</v>
      </c>
      <c r="AC312">
        <f t="shared" si="93"/>
        <v>0</v>
      </c>
      <c r="AD312">
        <f t="shared" si="94"/>
        <v>0</v>
      </c>
      <c r="AE312">
        <f t="shared" si="95"/>
        <v>0</v>
      </c>
      <c r="AF312">
        <f t="shared" si="96"/>
        <v>0</v>
      </c>
      <c r="AG312">
        <v>311</v>
      </c>
      <c r="AH312">
        <f t="shared" si="104"/>
        <v>0</v>
      </c>
      <c r="AI312">
        <f>IF(AG312&gt;='Loan Prepayment'!$E$11,'Loan Prepayment'!$E$12,'Loan Prepayment'!$B$6)</f>
        <v>7.5</v>
      </c>
      <c r="AJ312">
        <f>IF(AH312&lt;=0,0,MIN(IF(AG312='Loan Prepayment'!$E$11,IF('Loan Prepayment'!$E$13="Keep tenure, recalculate EMI",-PMT(AI312/1200,MAX(1,'Loan Prepayment'!$B$7*12-AG312+1),AH312),AJ311),IF(AND('Loan Prepayment'!$E$15="Reduce EMI",AM311&gt;0),-PMT(AI312/1200,MAX(1,'Loan Prepayment'!$B$7*12-AG312+1),AH312),AJ311)),AH312+AK312))</f>
        <v>0</v>
      </c>
      <c r="AK312">
        <f t="shared" si="97"/>
        <v>0</v>
      </c>
      <c r="AL312">
        <f t="shared" si="98"/>
        <v>0</v>
      </c>
      <c r="AM312">
        <f>IF(AH312&lt;=0,0,MIN(MAX(0,AH312-AL312),SUMIFS('Loan Prepayment'!$B$12:$B$16,'Loan Prepayment'!$A$12:$A$16,AG312)+IF(AND(AG312&gt;='Loan Prepayment'!$B$9,AG312&lt;='Loan Prepayment'!$E$16),'Loan Prepayment'!$B$8,0)))</f>
        <v>0</v>
      </c>
      <c r="AN312">
        <f t="shared" si="99"/>
        <v>0</v>
      </c>
    </row>
    <row r="313" spans="1:40" x14ac:dyDescent="0.35">
      <c r="A313">
        <v>312</v>
      </c>
      <c r="B313">
        <f t="shared" si="100"/>
        <v>0</v>
      </c>
      <c r="C313" s="78">
        <f>'Loan Prepayment'!$B$6</f>
        <v>8.5</v>
      </c>
      <c r="D313">
        <f>IF(B313&lt;=0,0,MIN(-PMT('Loan Prepayment'!$B$6/1200,'Loan Prepayment'!$B$7*12,'Loan Prepayment'!$B$5),B313+E313))</f>
        <v>0</v>
      </c>
      <c r="E313">
        <f t="shared" si="84"/>
        <v>0</v>
      </c>
      <c r="F313">
        <f t="shared" si="85"/>
        <v>0</v>
      </c>
      <c r="G313">
        <v>0</v>
      </c>
      <c r="H313">
        <f t="shared" si="86"/>
        <v>0</v>
      </c>
      <c r="I313">
        <v>312</v>
      </c>
      <c r="J313">
        <f t="shared" si="101"/>
        <v>0</v>
      </c>
      <c r="K313" s="78">
        <f>'Loan Prepayment'!$B$6</f>
        <v>8.5</v>
      </c>
      <c r="L313">
        <f>IF(J313&lt;=0,0,MIN(IF(AND('Loan Prepayment'!$E$15="Reduce EMI",O312&gt;0),-PMT(K313/1200,MAX(1,'Loan Prepayment'!$B$7*12-I313+1),J313),L312),J313+M313))</f>
        <v>0</v>
      </c>
      <c r="M313">
        <f t="shared" si="87"/>
        <v>0</v>
      </c>
      <c r="N313">
        <f t="shared" si="88"/>
        <v>0</v>
      </c>
      <c r="O313">
        <f>IF(J313&lt;=0,0,MIN(MAX(0,J313-N313),SUMIFS('Loan Prepayment'!$B$12:$B$16,'Loan Prepayment'!$A$12:$A$16,I313)+0))</f>
        <v>0</v>
      </c>
      <c r="P313">
        <f t="shared" si="89"/>
        <v>0</v>
      </c>
      <c r="Q313">
        <v>312</v>
      </c>
      <c r="R313">
        <f t="shared" si="102"/>
        <v>0</v>
      </c>
      <c r="S313" s="78">
        <f>'Loan Prepayment'!$B$6</f>
        <v>8.5</v>
      </c>
      <c r="T313">
        <f>IF(R313&lt;=0,0,MIN(IF(AND('Loan Prepayment'!$E$15="Reduce EMI",W312&gt;0),-PMT(S313/1200,MAX(1,'Loan Prepayment'!$B$7*12-Q313+1),R313),T312),R313+U313))</f>
        <v>0</v>
      </c>
      <c r="U313">
        <f t="shared" si="90"/>
        <v>0</v>
      </c>
      <c r="V313">
        <f t="shared" si="91"/>
        <v>0</v>
      </c>
      <c r="W313">
        <f>IF(R313&lt;=0,0,MIN(MAX(0,R313-V313),0+IF(AND(Q313&gt;='Loan Prepayment'!$B$9,Q313&lt;='Loan Prepayment'!$E$16),'Loan Prepayment'!$B$8,0)))</f>
        <v>0</v>
      </c>
      <c r="X313">
        <f t="shared" si="92"/>
        <v>0</v>
      </c>
      <c r="Y313">
        <v>312</v>
      </c>
      <c r="Z313">
        <f t="shared" si="103"/>
        <v>0</v>
      </c>
      <c r="AA313">
        <f>IF(Y313&gt;='Loan Prepayment'!$E$11,'Loan Prepayment'!$E$12,'Loan Prepayment'!$B$6)</f>
        <v>7.5</v>
      </c>
      <c r="AB313">
        <f>IF(Z313&lt;=0,0,MIN(IF(Y313='Loan Prepayment'!$E$11,IF('Loan Prepayment'!$E$13="Keep tenure, recalculate EMI",-PMT(AA313/1200,MAX(1,'Loan Prepayment'!$B$7*12-Y313+1),Z313),AB312),AB312),Z313+AC313))</f>
        <v>0</v>
      </c>
      <c r="AC313">
        <f t="shared" si="93"/>
        <v>0</v>
      </c>
      <c r="AD313">
        <f t="shared" si="94"/>
        <v>0</v>
      </c>
      <c r="AE313">
        <f t="shared" si="95"/>
        <v>0</v>
      </c>
      <c r="AF313">
        <f t="shared" si="96"/>
        <v>0</v>
      </c>
      <c r="AG313">
        <v>312</v>
      </c>
      <c r="AH313">
        <f t="shared" si="104"/>
        <v>0</v>
      </c>
      <c r="AI313">
        <f>IF(AG313&gt;='Loan Prepayment'!$E$11,'Loan Prepayment'!$E$12,'Loan Prepayment'!$B$6)</f>
        <v>7.5</v>
      </c>
      <c r="AJ313">
        <f>IF(AH313&lt;=0,0,MIN(IF(AG313='Loan Prepayment'!$E$11,IF('Loan Prepayment'!$E$13="Keep tenure, recalculate EMI",-PMT(AI313/1200,MAX(1,'Loan Prepayment'!$B$7*12-AG313+1),AH313),AJ312),IF(AND('Loan Prepayment'!$E$15="Reduce EMI",AM312&gt;0),-PMT(AI313/1200,MAX(1,'Loan Prepayment'!$B$7*12-AG313+1),AH313),AJ312)),AH313+AK313))</f>
        <v>0</v>
      </c>
      <c r="AK313">
        <f t="shared" si="97"/>
        <v>0</v>
      </c>
      <c r="AL313">
        <f t="shared" si="98"/>
        <v>0</v>
      </c>
      <c r="AM313">
        <f>IF(AH313&lt;=0,0,MIN(MAX(0,AH313-AL313),SUMIFS('Loan Prepayment'!$B$12:$B$16,'Loan Prepayment'!$A$12:$A$16,AG313)+IF(AND(AG313&gt;='Loan Prepayment'!$B$9,AG313&lt;='Loan Prepayment'!$E$16),'Loan Prepayment'!$B$8,0)))</f>
        <v>0</v>
      </c>
      <c r="AN313">
        <f t="shared" si="99"/>
        <v>0</v>
      </c>
    </row>
    <row r="314" spans="1:40" x14ac:dyDescent="0.35">
      <c r="A314">
        <v>313</v>
      </c>
      <c r="B314">
        <f t="shared" si="100"/>
        <v>0</v>
      </c>
      <c r="C314" s="78">
        <f>'Loan Prepayment'!$B$6</f>
        <v>8.5</v>
      </c>
      <c r="D314">
        <f>IF(B314&lt;=0,0,MIN(-PMT('Loan Prepayment'!$B$6/1200,'Loan Prepayment'!$B$7*12,'Loan Prepayment'!$B$5),B314+E314))</f>
        <v>0</v>
      </c>
      <c r="E314">
        <f t="shared" si="84"/>
        <v>0</v>
      </c>
      <c r="F314">
        <f t="shared" si="85"/>
        <v>0</v>
      </c>
      <c r="G314">
        <v>0</v>
      </c>
      <c r="H314">
        <f t="shared" si="86"/>
        <v>0</v>
      </c>
      <c r="I314">
        <v>313</v>
      </c>
      <c r="J314">
        <f t="shared" si="101"/>
        <v>0</v>
      </c>
      <c r="K314" s="78">
        <f>'Loan Prepayment'!$B$6</f>
        <v>8.5</v>
      </c>
      <c r="L314">
        <f>IF(J314&lt;=0,0,MIN(IF(AND('Loan Prepayment'!$E$15="Reduce EMI",O313&gt;0),-PMT(K314/1200,MAX(1,'Loan Prepayment'!$B$7*12-I314+1),J314),L313),J314+M314))</f>
        <v>0</v>
      </c>
      <c r="M314">
        <f t="shared" si="87"/>
        <v>0</v>
      </c>
      <c r="N314">
        <f t="shared" si="88"/>
        <v>0</v>
      </c>
      <c r="O314">
        <f>IF(J314&lt;=0,0,MIN(MAX(0,J314-N314),SUMIFS('Loan Prepayment'!$B$12:$B$16,'Loan Prepayment'!$A$12:$A$16,I314)+0))</f>
        <v>0</v>
      </c>
      <c r="P314">
        <f t="shared" si="89"/>
        <v>0</v>
      </c>
      <c r="Q314">
        <v>313</v>
      </c>
      <c r="R314">
        <f t="shared" si="102"/>
        <v>0</v>
      </c>
      <c r="S314" s="78">
        <f>'Loan Prepayment'!$B$6</f>
        <v>8.5</v>
      </c>
      <c r="T314">
        <f>IF(R314&lt;=0,0,MIN(IF(AND('Loan Prepayment'!$E$15="Reduce EMI",W313&gt;0),-PMT(S314/1200,MAX(1,'Loan Prepayment'!$B$7*12-Q314+1),R314),T313),R314+U314))</f>
        <v>0</v>
      </c>
      <c r="U314">
        <f t="shared" si="90"/>
        <v>0</v>
      </c>
      <c r="V314">
        <f t="shared" si="91"/>
        <v>0</v>
      </c>
      <c r="W314">
        <f>IF(R314&lt;=0,0,MIN(MAX(0,R314-V314),0+IF(AND(Q314&gt;='Loan Prepayment'!$B$9,Q314&lt;='Loan Prepayment'!$E$16),'Loan Prepayment'!$B$8,0)))</f>
        <v>0</v>
      </c>
      <c r="X314">
        <f t="shared" si="92"/>
        <v>0</v>
      </c>
      <c r="Y314">
        <v>313</v>
      </c>
      <c r="Z314">
        <f t="shared" si="103"/>
        <v>0</v>
      </c>
      <c r="AA314">
        <f>IF(Y314&gt;='Loan Prepayment'!$E$11,'Loan Prepayment'!$E$12,'Loan Prepayment'!$B$6)</f>
        <v>7.5</v>
      </c>
      <c r="AB314">
        <f>IF(Z314&lt;=0,0,MIN(IF(Y314='Loan Prepayment'!$E$11,IF('Loan Prepayment'!$E$13="Keep tenure, recalculate EMI",-PMT(AA314/1200,MAX(1,'Loan Prepayment'!$B$7*12-Y314+1),Z314),AB313),AB313),Z314+AC314))</f>
        <v>0</v>
      </c>
      <c r="AC314">
        <f t="shared" si="93"/>
        <v>0</v>
      </c>
      <c r="AD314">
        <f t="shared" si="94"/>
        <v>0</v>
      </c>
      <c r="AE314">
        <f t="shared" si="95"/>
        <v>0</v>
      </c>
      <c r="AF314">
        <f t="shared" si="96"/>
        <v>0</v>
      </c>
      <c r="AG314">
        <v>313</v>
      </c>
      <c r="AH314">
        <f t="shared" si="104"/>
        <v>0</v>
      </c>
      <c r="AI314">
        <f>IF(AG314&gt;='Loan Prepayment'!$E$11,'Loan Prepayment'!$E$12,'Loan Prepayment'!$B$6)</f>
        <v>7.5</v>
      </c>
      <c r="AJ314">
        <f>IF(AH314&lt;=0,0,MIN(IF(AG314='Loan Prepayment'!$E$11,IF('Loan Prepayment'!$E$13="Keep tenure, recalculate EMI",-PMT(AI314/1200,MAX(1,'Loan Prepayment'!$B$7*12-AG314+1),AH314),AJ313),IF(AND('Loan Prepayment'!$E$15="Reduce EMI",AM313&gt;0),-PMT(AI314/1200,MAX(1,'Loan Prepayment'!$B$7*12-AG314+1),AH314),AJ313)),AH314+AK314))</f>
        <v>0</v>
      </c>
      <c r="AK314">
        <f t="shared" si="97"/>
        <v>0</v>
      </c>
      <c r="AL314">
        <f t="shared" si="98"/>
        <v>0</v>
      </c>
      <c r="AM314">
        <f>IF(AH314&lt;=0,0,MIN(MAX(0,AH314-AL314),SUMIFS('Loan Prepayment'!$B$12:$B$16,'Loan Prepayment'!$A$12:$A$16,AG314)+IF(AND(AG314&gt;='Loan Prepayment'!$B$9,AG314&lt;='Loan Prepayment'!$E$16),'Loan Prepayment'!$B$8,0)))</f>
        <v>0</v>
      </c>
      <c r="AN314">
        <f t="shared" si="99"/>
        <v>0</v>
      </c>
    </row>
    <row r="315" spans="1:40" x14ac:dyDescent="0.35">
      <c r="A315">
        <v>314</v>
      </c>
      <c r="B315">
        <f t="shared" si="100"/>
        <v>0</v>
      </c>
      <c r="C315" s="78">
        <f>'Loan Prepayment'!$B$6</f>
        <v>8.5</v>
      </c>
      <c r="D315">
        <f>IF(B315&lt;=0,0,MIN(-PMT('Loan Prepayment'!$B$6/1200,'Loan Prepayment'!$B$7*12,'Loan Prepayment'!$B$5),B315+E315))</f>
        <v>0</v>
      </c>
      <c r="E315">
        <f t="shared" si="84"/>
        <v>0</v>
      </c>
      <c r="F315">
        <f t="shared" si="85"/>
        <v>0</v>
      </c>
      <c r="G315">
        <v>0</v>
      </c>
      <c r="H315">
        <f t="shared" si="86"/>
        <v>0</v>
      </c>
      <c r="I315">
        <v>314</v>
      </c>
      <c r="J315">
        <f t="shared" si="101"/>
        <v>0</v>
      </c>
      <c r="K315" s="78">
        <f>'Loan Prepayment'!$B$6</f>
        <v>8.5</v>
      </c>
      <c r="L315">
        <f>IF(J315&lt;=0,0,MIN(IF(AND('Loan Prepayment'!$E$15="Reduce EMI",O314&gt;0),-PMT(K315/1200,MAX(1,'Loan Prepayment'!$B$7*12-I315+1),J315),L314),J315+M315))</f>
        <v>0</v>
      </c>
      <c r="M315">
        <f t="shared" si="87"/>
        <v>0</v>
      </c>
      <c r="N315">
        <f t="shared" si="88"/>
        <v>0</v>
      </c>
      <c r="O315">
        <f>IF(J315&lt;=0,0,MIN(MAX(0,J315-N315),SUMIFS('Loan Prepayment'!$B$12:$B$16,'Loan Prepayment'!$A$12:$A$16,I315)+0))</f>
        <v>0</v>
      </c>
      <c r="P315">
        <f t="shared" si="89"/>
        <v>0</v>
      </c>
      <c r="Q315">
        <v>314</v>
      </c>
      <c r="R315">
        <f t="shared" si="102"/>
        <v>0</v>
      </c>
      <c r="S315" s="78">
        <f>'Loan Prepayment'!$B$6</f>
        <v>8.5</v>
      </c>
      <c r="T315">
        <f>IF(R315&lt;=0,0,MIN(IF(AND('Loan Prepayment'!$E$15="Reduce EMI",W314&gt;0),-PMT(S315/1200,MAX(1,'Loan Prepayment'!$B$7*12-Q315+1),R315),T314),R315+U315))</f>
        <v>0</v>
      </c>
      <c r="U315">
        <f t="shared" si="90"/>
        <v>0</v>
      </c>
      <c r="V315">
        <f t="shared" si="91"/>
        <v>0</v>
      </c>
      <c r="W315">
        <f>IF(R315&lt;=0,0,MIN(MAX(0,R315-V315),0+IF(AND(Q315&gt;='Loan Prepayment'!$B$9,Q315&lt;='Loan Prepayment'!$E$16),'Loan Prepayment'!$B$8,0)))</f>
        <v>0</v>
      </c>
      <c r="X315">
        <f t="shared" si="92"/>
        <v>0</v>
      </c>
      <c r="Y315">
        <v>314</v>
      </c>
      <c r="Z315">
        <f t="shared" si="103"/>
        <v>0</v>
      </c>
      <c r="AA315">
        <f>IF(Y315&gt;='Loan Prepayment'!$E$11,'Loan Prepayment'!$E$12,'Loan Prepayment'!$B$6)</f>
        <v>7.5</v>
      </c>
      <c r="AB315">
        <f>IF(Z315&lt;=0,0,MIN(IF(Y315='Loan Prepayment'!$E$11,IF('Loan Prepayment'!$E$13="Keep tenure, recalculate EMI",-PMT(AA315/1200,MAX(1,'Loan Prepayment'!$B$7*12-Y315+1),Z315),AB314),AB314),Z315+AC315))</f>
        <v>0</v>
      </c>
      <c r="AC315">
        <f t="shared" si="93"/>
        <v>0</v>
      </c>
      <c r="AD315">
        <f t="shared" si="94"/>
        <v>0</v>
      </c>
      <c r="AE315">
        <f t="shared" si="95"/>
        <v>0</v>
      </c>
      <c r="AF315">
        <f t="shared" si="96"/>
        <v>0</v>
      </c>
      <c r="AG315">
        <v>314</v>
      </c>
      <c r="AH315">
        <f t="shared" si="104"/>
        <v>0</v>
      </c>
      <c r="AI315">
        <f>IF(AG315&gt;='Loan Prepayment'!$E$11,'Loan Prepayment'!$E$12,'Loan Prepayment'!$B$6)</f>
        <v>7.5</v>
      </c>
      <c r="AJ315">
        <f>IF(AH315&lt;=0,0,MIN(IF(AG315='Loan Prepayment'!$E$11,IF('Loan Prepayment'!$E$13="Keep tenure, recalculate EMI",-PMT(AI315/1200,MAX(1,'Loan Prepayment'!$B$7*12-AG315+1),AH315),AJ314),IF(AND('Loan Prepayment'!$E$15="Reduce EMI",AM314&gt;0),-PMT(AI315/1200,MAX(1,'Loan Prepayment'!$B$7*12-AG315+1),AH315),AJ314)),AH315+AK315))</f>
        <v>0</v>
      </c>
      <c r="AK315">
        <f t="shared" si="97"/>
        <v>0</v>
      </c>
      <c r="AL315">
        <f t="shared" si="98"/>
        <v>0</v>
      </c>
      <c r="AM315">
        <f>IF(AH315&lt;=0,0,MIN(MAX(0,AH315-AL315),SUMIFS('Loan Prepayment'!$B$12:$B$16,'Loan Prepayment'!$A$12:$A$16,AG315)+IF(AND(AG315&gt;='Loan Prepayment'!$B$9,AG315&lt;='Loan Prepayment'!$E$16),'Loan Prepayment'!$B$8,0)))</f>
        <v>0</v>
      </c>
      <c r="AN315">
        <f t="shared" si="99"/>
        <v>0</v>
      </c>
    </row>
    <row r="316" spans="1:40" x14ac:dyDescent="0.35">
      <c r="A316">
        <v>315</v>
      </c>
      <c r="B316">
        <f t="shared" si="100"/>
        <v>0</v>
      </c>
      <c r="C316" s="78">
        <f>'Loan Prepayment'!$B$6</f>
        <v>8.5</v>
      </c>
      <c r="D316">
        <f>IF(B316&lt;=0,0,MIN(-PMT('Loan Prepayment'!$B$6/1200,'Loan Prepayment'!$B$7*12,'Loan Prepayment'!$B$5),B316+E316))</f>
        <v>0</v>
      </c>
      <c r="E316">
        <f t="shared" si="84"/>
        <v>0</v>
      </c>
      <c r="F316">
        <f t="shared" si="85"/>
        <v>0</v>
      </c>
      <c r="G316">
        <v>0</v>
      </c>
      <c r="H316">
        <f t="shared" si="86"/>
        <v>0</v>
      </c>
      <c r="I316">
        <v>315</v>
      </c>
      <c r="J316">
        <f t="shared" si="101"/>
        <v>0</v>
      </c>
      <c r="K316" s="78">
        <f>'Loan Prepayment'!$B$6</f>
        <v>8.5</v>
      </c>
      <c r="L316">
        <f>IF(J316&lt;=0,0,MIN(IF(AND('Loan Prepayment'!$E$15="Reduce EMI",O315&gt;0),-PMT(K316/1200,MAX(1,'Loan Prepayment'!$B$7*12-I316+1),J316),L315),J316+M316))</f>
        <v>0</v>
      </c>
      <c r="M316">
        <f t="shared" si="87"/>
        <v>0</v>
      </c>
      <c r="N316">
        <f t="shared" si="88"/>
        <v>0</v>
      </c>
      <c r="O316">
        <f>IF(J316&lt;=0,0,MIN(MAX(0,J316-N316),SUMIFS('Loan Prepayment'!$B$12:$B$16,'Loan Prepayment'!$A$12:$A$16,I316)+0))</f>
        <v>0</v>
      </c>
      <c r="P316">
        <f t="shared" si="89"/>
        <v>0</v>
      </c>
      <c r="Q316">
        <v>315</v>
      </c>
      <c r="R316">
        <f t="shared" si="102"/>
        <v>0</v>
      </c>
      <c r="S316" s="78">
        <f>'Loan Prepayment'!$B$6</f>
        <v>8.5</v>
      </c>
      <c r="T316">
        <f>IF(R316&lt;=0,0,MIN(IF(AND('Loan Prepayment'!$E$15="Reduce EMI",W315&gt;0),-PMT(S316/1200,MAX(1,'Loan Prepayment'!$B$7*12-Q316+1),R316),T315),R316+U316))</f>
        <v>0</v>
      </c>
      <c r="U316">
        <f t="shared" si="90"/>
        <v>0</v>
      </c>
      <c r="V316">
        <f t="shared" si="91"/>
        <v>0</v>
      </c>
      <c r="W316">
        <f>IF(R316&lt;=0,0,MIN(MAX(0,R316-V316),0+IF(AND(Q316&gt;='Loan Prepayment'!$B$9,Q316&lt;='Loan Prepayment'!$E$16),'Loan Prepayment'!$B$8,0)))</f>
        <v>0</v>
      </c>
      <c r="X316">
        <f t="shared" si="92"/>
        <v>0</v>
      </c>
      <c r="Y316">
        <v>315</v>
      </c>
      <c r="Z316">
        <f t="shared" si="103"/>
        <v>0</v>
      </c>
      <c r="AA316">
        <f>IF(Y316&gt;='Loan Prepayment'!$E$11,'Loan Prepayment'!$E$12,'Loan Prepayment'!$B$6)</f>
        <v>7.5</v>
      </c>
      <c r="AB316">
        <f>IF(Z316&lt;=0,0,MIN(IF(Y316='Loan Prepayment'!$E$11,IF('Loan Prepayment'!$E$13="Keep tenure, recalculate EMI",-PMT(AA316/1200,MAX(1,'Loan Prepayment'!$B$7*12-Y316+1),Z316),AB315),AB315),Z316+AC316))</f>
        <v>0</v>
      </c>
      <c r="AC316">
        <f t="shared" si="93"/>
        <v>0</v>
      </c>
      <c r="AD316">
        <f t="shared" si="94"/>
        <v>0</v>
      </c>
      <c r="AE316">
        <f t="shared" si="95"/>
        <v>0</v>
      </c>
      <c r="AF316">
        <f t="shared" si="96"/>
        <v>0</v>
      </c>
      <c r="AG316">
        <v>315</v>
      </c>
      <c r="AH316">
        <f t="shared" si="104"/>
        <v>0</v>
      </c>
      <c r="AI316">
        <f>IF(AG316&gt;='Loan Prepayment'!$E$11,'Loan Prepayment'!$E$12,'Loan Prepayment'!$B$6)</f>
        <v>7.5</v>
      </c>
      <c r="AJ316">
        <f>IF(AH316&lt;=0,0,MIN(IF(AG316='Loan Prepayment'!$E$11,IF('Loan Prepayment'!$E$13="Keep tenure, recalculate EMI",-PMT(AI316/1200,MAX(1,'Loan Prepayment'!$B$7*12-AG316+1),AH316),AJ315),IF(AND('Loan Prepayment'!$E$15="Reduce EMI",AM315&gt;0),-PMT(AI316/1200,MAX(1,'Loan Prepayment'!$B$7*12-AG316+1),AH316),AJ315)),AH316+AK316))</f>
        <v>0</v>
      </c>
      <c r="AK316">
        <f t="shared" si="97"/>
        <v>0</v>
      </c>
      <c r="AL316">
        <f t="shared" si="98"/>
        <v>0</v>
      </c>
      <c r="AM316">
        <f>IF(AH316&lt;=0,0,MIN(MAX(0,AH316-AL316),SUMIFS('Loan Prepayment'!$B$12:$B$16,'Loan Prepayment'!$A$12:$A$16,AG316)+IF(AND(AG316&gt;='Loan Prepayment'!$B$9,AG316&lt;='Loan Prepayment'!$E$16),'Loan Prepayment'!$B$8,0)))</f>
        <v>0</v>
      </c>
      <c r="AN316">
        <f t="shared" si="99"/>
        <v>0</v>
      </c>
    </row>
    <row r="317" spans="1:40" x14ac:dyDescent="0.35">
      <c r="A317">
        <v>316</v>
      </c>
      <c r="B317">
        <f t="shared" si="100"/>
        <v>0</v>
      </c>
      <c r="C317" s="78">
        <f>'Loan Prepayment'!$B$6</f>
        <v>8.5</v>
      </c>
      <c r="D317">
        <f>IF(B317&lt;=0,0,MIN(-PMT('Loan Prepayment'!$B$6/1200,'Loan Prepayment'!$B$7*12,'Loan Prepayment'!$B$5),B317+E317))</f>
        <v>0</v>
      </c>
      <c r="E317">
        <f t="shared" si="84"/>
        <v>0</v>
      </c>
      <c r="F317">
        <f t="shared" si="85"/>
        <v>0</v>
      </c>
      <c r="G317">
        <v>0</v>
      </c>
      <c r="H317">
        <f t="shared" si="86"/>
        <v>0</v>
      </c>
      <c r="I317">
        <v>316</v>
      </c>
      <c r="J317">
        <f t="shared" si="101"/>
        <v>0</v>
      </c>
      <c r="K317" s="78">
        <f>'Loan Prepayment'!$B$6</f>
        <v>8.5</v>
      </c>
      <c r="L317">
        <f>IF(J317&lt;=0,0,MIN(IF(AND('Loan Prepayment'!$E$15="Reduce EMI",O316&gt;0),-PMT(K317/1200,MAX(1,'Loan Prepayment'!$B$7*12-I317+1),J317),L316),J317+M317))</f>
        <v>0</v>
      </c>
      <c r="M317">
        <f t="shared" si="87"/>
        <v>0</v>
      </c>
      <c r="N317">
        <f t="shared" si="88"/>
        <v>0</v>
      </c>
      <c r="O317">
        <f>IF(J317&lt;=0,0,MIN(MAX(0,J317-N317),SUMIFS('Loan Prepayment'!$B$12:$B$16,'Loan Prepayment'!$A$12:$A$16,I317)+0))</f>
        <v>0</v>
      </c>
      <c r="P317">
        <f t="shared" si="89"/>
        <v>0</v>
      </c>
      <c r="Q317">
        <v>316</v>
      </c>
      <c r="R317">
        <f t="shared" si="102"/>
        <v>0</v>
      </c>
      <c r="S317" s="78">
        <f>'Loan Prepayment'!$B$6</f>
        <v>8.5</v>
      </c>
      <c r="T317">
        <f>IF(R317&lt;=0,0,MIN(IF(AND('Loan Prepayment'!$E$15="Reduce EMI",W316&gt;0),-PMT(S317/1200,MAX(1,'Loan Prepayment'!$B$7*12-Q317+1),R317),T316),R317+U317))</f>
        <v>0</v>
      </c>
      <c r="U317">
        <f t="shared" si="90"/>
        <v>0</v>
      </c>
      <c r="V317">
        <f t="shared" si="91"/>
        <v>0</v>
      </c>
      <c r="W317">
        <f>IF(R317&lt;=0,0,MIN(MAX(0,R317-V317),0+IF(AND(Q317&gt;='Loan Prepayment'!$B$9,Q317&lt;='Loan Prepayment'!$E$16),'Loan Prepayment'!$B$8,0)))</f>
        <v>0</v>
      </c>
      <c r="X317">
        <f t="shared" si="92"/>
        <v>0</v>
      </c>
      <c r="Y317">
        <v>316</v>
      </c>
      <c r="Z317">
        <f t="shared" si="103"/>
        <v>0</v>
      </c>
      <c r="AA317">
        <f>IF(Y317&gt;='Loan Prepayment'!$E$11,'Loan Prepayment'!$E$12,'Loan Prepayment'!$B$6)</f>
        <v>7.5</v>
      </c>
      <c r="AB317">
        <f>IF(Z317&lt;=0,0,MIN(IF(Y317='Loan Prepayment'!$E$11,IF('Loan Prepayment'!$E$13="Keep tenure, recalculate EMI",-PMT(AA317/1200,MAX(1,'Loan Prepayment'!$B$7*12-Y317+1),Z317),AB316),AB316),Z317+AC317))</f>
        <v>0</v>
      </c>
      <c r="AC317">
        <f t="shared" si="93"/>
        <v>0</v>
      </c>
      <c r="AD317">
        <f t="shared" si="94"/>
        <v>0</v>
      </c>
      <c r="AE317">
        <f t="shared" si="95"/>
        <v>0</v>
      </c>
      <c r="AF317">
        <f t="shared" si="96"/>
        <v>0</v>
      </c>
      <c r="AG317">
        <v>316</v>
      </c>
      <c r="AH317">
        <f t="shared" si="104"/>
        <v>0</v>
      </c>
      <c r="AI317">
        <f>IF(AG317&gt;='Loan Prepayment'!$E$11,'Loan Prepayment'!$E$12,'Loan Prepayment'!$B$6)</f>
        <v>7.5</v>
      </c>
      <c r="AJ317">
        <f>IF(AH317&lt;=0,0,MIN(IF(AG317='Loan Prepayment'!$E$11,IF('Loan Prepayment'!$E$13="Keep tenure, recalculate EMI",-PMT(AI317/1200,MAX(1,'Loan Prepayment'!$B$7*12-AG317+1),AH317),AJ316),IF(AND('Loan Prepayment'!$E$15="Reduce EMI",AM316&gt;0),-PMT(AI317/1200,MAX(1,'Loan Prepayment'!$B$7*12-AG317+1),AH317),AJ316)),AH317+AK317))</f>
        <v>0</v>
      </c>
      <c r="AK317">
        <f t="shared" si="97"/>
        <v>0</v>
      </c>
      <c r="AL317">
        <f t="shared" si="98"/>
        <v>0</v>
      </c>
      <c r="AM317">
        <f>IF(AH317&lt;=0,0,MIN(MAX(0,AH317-AL317),SUMIFS('Loan Prepayment'!$B$12:$B$16,'Loan Prepayment'!$A$12:$A$16,AG317)+IF(AND(AG317&gt;='Loan Prepayment'!$B$9,AG317&lt;='Loan Prepayment'!$E$16),'Loan Prepayment'!$B$8,0)))</f>
        <v>0</v>
      </c>
      <c r="AN317">
        <f t="shared" si="99"/>
        <v>0</v>
      </c>
    </row>
    <row r="318" spans="1:40" x14ac:dyDescent="0.35">
      <c r="A318">
        <v>317</v>
      </c>
      <c r="B318">
        <f t="shared" si="100"/>
        <v>0</v>
      </c>
      <c r="C318" s="78">
        <f>'Loan Prepayment'!$B$6</f>
        <v>8.5</v>
      </c>
      <c r="D318">
        <f>IF(B318&lt;=0,0,MIN(-PMT('Loan Prepayment'!$B$6/1200,'Loan Prepayment'!$B$7*12,'Loan Prepayment'!$B$5),B318+E318))</f>
        <v>0</v>
      </c>
      <c r="E318">
        <f t="shared" si="84"/>
        <v>0</v>
      </c>
      <c r="F318">
        <f t="shared" si="85"/>
        <v>0</v>
      </c>
      <c r="G318">
        <v>0</v>
      </c>
      <c r="H318">
        <f t="shared" si="86"/>
        <v>0</v>
      </c>
      <c r="I318">
        <v>317</v>
      </c>
      <c r="J318">
        <f t="shared" si="101"/>
        <v>0</v>
      </c>
      <c r="K318" s="78">
        <f>'Loan Prepayment'!$B$6</f>
        <v>8.5</v>
      </c>
      <c r="L318">
        <f>IF(J318&lt;=0,0,MIN(IF(AND('Loan Prepayment'!$E$15="Reduce EMI",O317&gt;0),-PMT(K318/1200,MAX(1,'Loan Prepayment'!$B$7*12-I318+1),J318),L317),J318+M318))</f>
        <v>0</v>
      </c>
      <c r="M318">
        <f t="shared" si="87"/>
        <v>0</v>
      </c>
      <c r="N318">
        <f t="shared" si="88"/>
        <v>0</v>
      </c>
      <c r="O318">
        <f>IF(J318&lt;=0,0,MIN(MAX(0,J318-N318),SUMIFS('Loan Prepayment'!$B$12:$B$16,'Loan Prepayment'!$A$12:$A$16,I318)+0))</f>
        <v>0</v>
      </c>
      <c r="P318">
        <f t="shared" si="89"/>
        <v>0</v>
      </c>
      <c r="Q318">
        <v>317</v>
      </c>
      <c r="R318">
        <f t="shared" si="102"/>
        <v>0</v>
      </c>
      <c r="S318" s="78">
        <f>'Loan Prepayment'!$B$6</f>
        <v>8.5</v>
      </c>
      <c r="T318">
        <f>IF(R318&lt;=0,0,MIN(IF(AND('Loan Prepayment'!$E$15="Reduce EMI",W317&gt;0),-PMT(S318/1200,MAX(1,'Loan Prepayment'!$B$7*12-Q318+1),R318),T317),R318+U318))</f>
        <v>0</v>
      </c>
      <c r="U318">
        <f t="shared" si="90"/>
        <v>0</v>
      </c>
      <c r="V318">
        <f t="shared" si="91"/>
        <v>0</v>
      </c>
      <c r="W318">
        <f>IF(R318&lt;=0,0,MIN(MAX(0,R318-V318),0+IF(AND(Q318&gt;='Loan Prepayment'!$B$9,Q318&lt;='Loan Prepayment'!$E$16),'Loan Prepayment'!$B$8,0)))</f>
        <v>0</v>
      </c>
      <c r="X318">
        <f t="shared" si="92"/>
        <v>0</v>
      </c>
      <c r="Y318">
        <v>317</v>
      </c>
      <c r="Z318">
        <f t="shared" si="103"/>
        <v>0</v>
      </c>
      <c r="AA318">
        <f>IF(Y318&gt;='Loan Prepayment'!$E$11,'Loan Prepayment'!$E$12,'Loan Prepayment'!$B$6)</f>
        <v>7.5</v>
      </c>
      <c r="AB318">
        <f>IF(Z318&lt;=0,0,MIN(IF(Y318='Loan Prepayment'!$E$11,IF('Loan Prepayment'!$E$13="Keep tenure, recalculate EMI",-PMT(AA318/1200,MAX(1,'Loan Prepayment'!$B$7*12-Y318+1),Z318),AB317),AB317),Z318+AC318))</f>
        <v>0</v>
      </c>
      <c r="AC318">
        <f t="shared" si="93"/>
        <v>0</v>
      </c>
      <c r="AD318">
        <f t="shared" si="94"/>
        <v>0</v>
      </c>
      <c r="AE318">
        <f t="shared" si="95"/>
        <v>0</v>
      </c>
      <c r="AF318">
        <f t="shared" si="96"/>
        <v>0</v>
      </c>
      <c r="AG318">
        <v>317</v>
      </c>
      <c r="AH318">
        <f t="shared" si="104"/>
        <v>0</v>
      </c>
      <c r="AI318">
        <f>IF(AG318&gt;='Loan Prepayment'!$E$11,'Loan Prepayment'!$E$12,'Loan Prepayment'!$B$6)</f>
        <v>7.5</v>
      </c>
      <c r="AJ318">
        <f>IF(AH318&lt;=0,0,MIN(IF(AG318='Loan Prepayment'!$E$11,IF('Loan Prepayment'!$E$13="Keep tenure, recalculate EMI",-PMT(AI318/1200,MAX(1,'Loan Prepayment'!$B$7*12-AG318+1),AH318),AJ317),IF(AND('Loan Prepayment'!$E$15="Reduce EMI",AM317&gt;0),-PMT(AI318/1200,MAX(1,'Loan Prepayment'!$B$7*12-AG318+1),AH318),AJ317)),AH318+AK318))</f>
        <v>0</v>
      </c>
      <c r="AK318">
        <f t="shared" si="97"/>
        <v>0</v>
      </c>
      <c r="AL318">
        <f t="shared" si="98"/>
        <v>0</v>
      </c>
      <c r="AM318">
        <f>IF(AH318&lt;=0,0,MIN(MAX(0,AH318-AL318),SUMIFS('Loan Prepayment'!$B$12:$B$16,'Loan Prepayment'!$A$12:$A$16,AG318)+IF(AND(AG318&gt;='Loan Prepayment'!$B$9,AG318&lt;='Loan Prepayment'!$E$16),'Loan Prepayment'!$B$8,0)))</f>
        <v>0</v>
      </c>
      <c r="AN318">
        <f t="shared" si="99"/>
        <v>0</v>
      </c>
    </row>
    <row r="319" spans="1:40" x14ac:dyDescent="0.35">
      <c r="A319">
        <v>318</v>
      </c>
      <c r="B319">
        <f t="shared" si="100"/>
        <v>0</v>
      </c>
      <c r="C319" s="78">
        <f>'Loan Prepayment'!$B$6</f>
        <v>8.5</v>
      </c>
      <c r="D319">
        <f>IF(B319&lt;=0,0,MIN(-PMT('Loan Prepayment'!$B$6/1200,'Loan Prepayment'!$B$7*12,'Loan Prepayment'!$B$5),B319+E319))</f>
        <v>0</v>
      </c>
      <c r="E319">
        <f t="shared" si="84"/>
        <v>0</v>
      </c>
      <c r="F319">
        <f t="shared" si="85"/>
        <v>0</v>
      </c>
      <c r="G319">
        <v>0</v>
      </c>
      <c r="H319">
        <f t="shared" si="86"/>
        <v>0</v>
      </c>
      <c r="I319">
        <v>318</v>
      </c>
      <c r="J319">
        <f t="shared" si="101"/>
        <v>0</v>
      </c>
      <c r="K319" s="78">
        <f>'Loan Prepayment'!$B$6</f>
        <v>8.5</v>
      </c>
      <c r="L319">
        <f>IF(J319&lt;=0,0,MIN(IF(AND('Loan Prepayment'!$E$15="Reduce EMI",O318&gt;0),-PMT(K319/1200,MAX(1,'Loan Prepayment'!$B$7*12-I319+1),J319),L318),J319+M319))</f>
        <v>0</v>
      </c>
      <c r="M319">
        <f t="shared" si="87"/>
        <v>0</v>
      </c>
      <c r="N319">
        <f t="shared" si="88"/>
        <v>0</v>
      </c>
      <c r="O319">
        <f>IF(J319&lt;=0,0,MIN(MAX(0,J319-N319),SUMIFS('Loan Prepayment'!$B$12:$B$16,'Loan Prepayment'!$A$12:$A$16,I319)+0))</f>
        <v>0</v>
      </c>
      <c r="P319">
        <f t="shared" si="89"/>
        <v>0</v>
      </c>
      <c r="Q319">
        <v>318</v>
      </c>
      <c r="R319">
        <f t="shared" si="102"/>
        <v>0</v>
      </c>
      <c r="S319" s="78">
        <f>'Loan Prepayment'!$B$6</f>
        <v>8.5</v>
      </c>
      <c r="T319">
        <f>IF(R319&lt;=0,0,MIN(IF(AND('Loan Prepayment'!$E$15="Reduce EMI",W318&gt;0),-PMT(S319/1200,MAX(1,'Loan Prepayment'!$B$7*12-Q319+1),R319),T318),R319+U319))</f>
        <v>0</v>
      </c>
      <c r="U319">
        <f t="shared" si="90"/>
        <v>0</v>
      </c>
      <c r="V319">
        <f t="shared" si="91"/>
        <v>0</v>
      </c>
      <c r="W319">
        <f>IF(R319&lt;=0,0,MIN(MAX(0,R319-V319),0+IF(AND(Q319&gt;='Loan Prepayment'!$B$9,Q319&lt;='Loan Prepayment'!$E$16),'Loan Prepayment'!$B$8,0)))</f>
        <v>0</v>
      </c>
      <c r="X319">
        <f t="shared" si="92"/>
        <v>0</v>
      </c>
      <c r="Y319">
        <v>318</v>
      </c>
      <c r="Z319">
        <f t="shared" si="103"/>
        <v>0</v>
      </c>
      <c r="AA319">
        <f>IF(Y319&gt;='Loan Prepayment'!$E$11,'Loan Prepayment'!$E$12,'Loan Prepayment'!$B$6)</f>
        <v>7.5</v>
      </c>
      <c r="AB319">
        <f>IF(Z319&lt;=0,0,MIN(IF(Y319='Loan Prepayment'!$E$11,IF('Loan Prepayment'!$E$13="Keep tenure, recalculate EMI",-PMT(AA319/1200,MAX(1,'Loan Prepayment'!$B$7*12-Y319+1),Z319),AB318),AB318),Z319+AC319))</f>
        <v>0</v>
      </c>
      <c r="AC319">
        <f t="shared" si="93"/>
        <v>0</v>
      </c>
      <c r="AD319">
        <f t="shared" si="94"/>
        <v>0</v>
      </c>
      <c r="AE319">
        <f t="shared" si="95"/>
        <v>0</v>
      </c>
      <c r="AF319">
        <f t="shared" si="96"/>
        <v>0</v>
      </c>
      <c r="AG319">
        <v>318</v>
      </c>
      <c r="AH319">
        <f t="shared" si="104"/>
        <v>0</v>
      </c>
      <c r="AI319">
        <f>IF(AG319&gt;='Loan Prepayment'!$E$11,'Loan Prepayment'!$E$12,'Loan Prepayment'!$B$6)</f>
        <v>7.5</v>
      </c>
      <c r="AJ319">
        <f>IF(AH319&lt;=0,0,MIN(IF(AG319='Loan Prepayment'!$E$11,IF('Loan Prepayment'!$E$13="Keep tenure, recalculate EMI",-PMT(AI319/1200,MAX(1,'Loan Prepayment'!$B$7*12-AG319+1),AH319),AJ318),IF(AND('Loan Prepayment'!$E$15="Reduce EMI",AM318&gt;0),-PMT(AI319/1200,MAX(1,'Loan Prepayment'!$B$7*12-AG319+1),AH319),AJ318)),AH319+AK319))</f>
        <v>0</v>
      </c>
      <c r="AK319">
        <f t="shared" si="97"/>
        <v>0</v>
      </c>
      <c r="AL319">
        <f t="shared" si="98"/>
        <v>0</v>
      </c>
      <c r="AM319">
        <f>IF(AH319&lt;=0,0,MIN(MAX(0,AH319-AL319),SUMIFS('Loan Prepayment'!$B$12:$B$16,'Loan Prepayment'!$A$12:$A$16,AG319)+IF(AND(AG319&gt;='Loan Prepayment'!$B$9,AG319&lt;='Loan Prepayment'!$E$16),'Loan Prepayment'!$B$8,0)))</f>
        <v>0</v>
      </c>
      <c r="AN319">
        <f t="shared" si="99"/>
        <v>0</v>
      </c>
    </row>
    <row r="320" spans="1:40" x14ac:dyDescent="0.35">
      <c r="A320">
        <v>319</v>
      </c>
      <c r="B320">
        <f t="shared" si="100"/>
        <v>0</v>
      </c>
      <c r="C320" s="78">
        <f>'Loan Prepayment'!$B$6</f>
        <v>8.5</v>
      </c>
      <c r="D320">
        <f>IF(B320&lt;=0,0,MIN(-PMT('Loan Prepayment'!$B$6/1200,'Loan Prepayment'!$B$7*12,'Loan Prepayment'!$B$5),B320+E320))</f>
        <v>0</v>
      </c>
      <c r="E320">
        <f t="shared" si="84"/>
        <v>0</v>
      </c>
      <c r="F320">
        <f t="shared" si="85"/>
        <v>0</v>
      </c>
      <c r="G320">
        <v>0</v>
      </c>
      <c r="H320">
        <f t="shared" si="86"/>
        <v>0</v>
      </c>
      <c r="I320">
        <v>319</v>
      </c>
      <c r="J320">
        <f t="shared" si="101"/>
        <v>0</v>
      </c>
      <c r="K320" s="78">
        <f>'Loan Prepayment'!$B$6</f>
        <v>8.5</v>
      </c>
      <c r="L320">
        <f>IF(J320&lt;=0,0,MIN(IF(AND('Loan Prepayment'!$E$15="Reduce EMI",O319&gt;0),-PMT(K320/1200,MAX(1,'Loan Prepayment'!$B$7*12-I320+1),J320),L319),J320+M320))</f>
        <v>0</v>
      </c>
      <c r="M320">
        <f t="shared" si="87"/>
        <v>0</v>
      </c>
      <c r="N320">
        <f t="shared" si="88"/>
        <v>0</v>
      </c>
      <c r="O320">
        <f>IF(J320&lt;=0,0,MIN(MAX(0,J320-N320),SUMIFS('Loan Prepayment'!$B$12:$B$16,'Loan Prepayment'!$A$12:$A$16,I320)+0))</f>
        <v>0</v>
      </c>
      <c r="P320">
        <f t="shared" si="89"/>
        <v>0</v>
      </c>
      <c r="Q320">
        <v>319</v>
      </c>
      <c r="R320">
        <f t="shared" si="102"/>
        <v>0</v>
      </c>
      <c r="S320" s="78">
        <f>'Loan Prepayment'!$B$6</f>
        <v>8.5</v>
      </c>
      <c r="T320">
        <f>IF(R320&lt;=0,0,MIN(IF(AND('Loan Prepayment'!$E$15="Reduce EMI",W319&gt;0),-PMT(S320/1200,MAX(1,'Loan Prepayment'!$B$7*12-Q320+1),R320),T319),R320+U320))</f>
        <v>0</v>
      </c>
      <c r="U320">
        <f t="shared" si="90"/>
        <v>0</v>
      </c>
      <c r="V320">
        <f t="shared" si="91"/>
        <v>0</v>
      </c>
      <c r="W320">
        <f>IF(R320&lt;=0,0,MIN(MAX(0,R320-V320),0+IF(AND(Q320&gt;='Loan Prepayment'!$B$9,Q320&lt;='Loan Prepayment'!$E$16),'Loan Prepayment'!$B$8,0)))</f>
        <v>0</v>
      </c>
      <c r="X320">
        <f t="shared" si="92"/>
        <v>0</v>
      </c>
      <c r="Y320">
        <v>319</v>
      </c>
      <c r="Z320">
        <f t="shared" si="103"/>
        <v>0</v>
      </c>
      <c r="AA320">
        <f>IF(Y320&gt;='Loan Prepayment'!$E$11,'Loan Prepayment'!$E$12,'Loan Prepayment'!$B$6)</f>
        <v>7.5</v>
      </c>
      <c r="AB320">
        <f>IF(Z320&lt;=0,0,MIN(IF(Y320='Loan Prepayment'!$E$11,IF('Loan Prepayment'!$E$13="Keep tenure, recalculate EMI",-PMT(AA320/1200,MAX(1,'Loan Prepayment'!$B$7*12-Y320+1),Z320),AB319),AB319),Z320+AC320))</f>
        <v>0</v>
      </c>
      <c r="AC320">
        <f t="shared" si="93"/>
        <v>0</v>
      </c>
      <c r="AD320">
        <f t="shared" si="94"/>
        <v>0</v>
      </c>
      <c r="AE320">
        <f t="shared" si="95"/>
        <v>0</v>
      </c>
      <c r="AF320">
        <f t="shared" si="96"/>
        <v>0</v>
      </c>
      <c r="AG320">
        <v>319</v>
      </c>
      <c r="AH320">
        <f t="shared" si="104"/>
        <v>0</v>
      </c>
      <c r="AI320">
        <f>IF(AG320&gt;='Loan Prepayment'!$E$11,'Loan Prepayment'!$E$12,'Loan Prepayment'!$B$6)</f>
        <v>7.5</v>
      </c>
      <c r="AJ320">
        <f>IF(AH320&lt;=0,0,MIN(IF(AG320='Loan Prepayment'!$E$11,IF('Loan Prepayment'!$E$13="Keep tenure, recalculate EMI",-PMT(AI320/1200,MAX(1,'Loan Prepayment'!$B$7*12-AG320+1),AH320),AJ319),IF(AND('Loan Prepayment'!$E$15="Reduce EMI",AM319&gt;0),-PMT(AI320/1200,MAX(1,'Loan Prepayment'!$B$7*12-AG320+1),AH320),AJ319)),AH320+AK320))</f>
        <v>0</v>
      </c>
      <c r="AK320">
        <f t="shared" si="97"/>
        <v>0</v>
      </c>
      <c r="AL320">
        <f t="shared" si="98"/>
        <v>0</v>
      </c>
      <c r="AM320">
        <f>IF(AH320&lt;=0,0,MIN(MAX(0,AH320-AL320),SUMIFS('Loan Prepayment'!$B$12:$B$16,'Loan Prepayment'!$A$12:$A$16,AG320)+IF(AND(AG320&gt;='Loan Prepayment'!$B$9,AG320&lt;='Loan Prepayment'!$E$16),'Loan Prepayment'!$B$8,0)))</f>
        <v>0</v>
      </c>
      <c r="AN320">
        <f t="shared" si="99"/>
        <v>0</v>
      </c>
    </row>
    <row r="321" spans="1:40" x14ac:dyDescent="0.35">
      <c r="A321">
        <v>320</v>
      </c>
      <c r="B321">
        <f t="shared" si="100"/>
        <v>0</v>
      </c>
      <c r="C321" s="78">
        <f>'Loan Prepayment'!$B$6</f>
        <v>8.5</v>
      </c>
      <c r="D321">
        <f>IF(B321&lt;=0,0,MIN(-PMT('Loan Prepayment'!$B$6/1200,'Loan Prepayment'!$B$7*12,'Loan Prepayment'!$B$5),B321+E321))</f>
        <v>0</v>
      </c>
      <c r="E321">
        <f t="shared" si="84"/>
        <v>0</v>
      </c>
      <c r="F321">
        <f t="shared" si="85"/>
        <v>0</v>
      </c>
      <c r="G321">
        <v>0</v>
      </c>
      <c r="H321">
        <f t="shared" si="86"/>
        <v>0</v>
      </c>
      <c r="I321">
        <v>320</v>
      </c>
      <c r="J321">
        <f t="shared" si="101"/>
        <v>0</v>
      </c>
      <c r="K321" s="78">
        <f>'Loan Prepayment'!$B$6</f>
        <v>8.5</v>
      </c>
      <c r="L321">
        <f>IF(J321&lt;=0,0,MIN(IF(AND('Loan Prepayment'!$E$15="Reduce EMI",O320&gt;0),-PMT(K321/1200,MAX(1,'Loan Prepayment'!$B$7*12-I321+1),J321),L320),J321+M321))</f>
        <v>0</v>
      </c>
      <c r="M321">
        <f t="shared" si="87"/>
        <v>0</v>
      </c>
      <c r="N321">
        <f t="shared" si="88"/>
        <v>0</v>
      </c>
      <c r="O321">
        <f>IF(J321&lt;=0,0,MIN(MAX(0,J321-N321),SUMIFS('Loan Prepayment'!$B$12:$B$16,'Loan Prepayment'!$A$12:$A$16,I321)+0))</f>
        <v>0</v>
      </c>
      <c r="P321">
        <f t="shared" si="89"/>
        <v>0</v>
      </c>
      <c r="Q321">
        <v>320</v>
      </c>
      <c r="R321">
        <f t="shared" si="102"/>
        <v>0</v>
      </c>
      <c r="S321" s="78">
        <f>'Loan Prepayment'!$B$6</f>
        <v>8.5</v>
      </c>
      <c r="T321">
        <f>IF(R321&lt;=0,0,MIN(IF(AND('Loan Prepayment'!$E$15="Reduce EMI",W320&gt;0),-PMT(S321/1200,MAX(1,'Loan Prepayment'!$B$7*12-Q321+1),R321),T320),R321+U321))</f>
        <v>0</v>
      </c>
      <c r="U321">
        <f t="shared" si="90"/>
        <v>0</v>
      </c>
      <c r="V321">
        <f t="shared" si="91"/>
        <v>0</v>
      </c>
      <c r="W321">
        <f>IF(R321&lt;=0,0,MIN(MAX(0,R321-V321),0+IF(AND(Q321&gt;='Loan Prepayment'!$B$9,Q321&lt;='Loan Prepayment'!$E$16),'Loan Prepayment'!$B$8,0)))</f>
        <v>0</v>
      </c>
      <c r="X321">
        <f t="shared" si="92"/>
        <v>0</v>
      </c>
      <c r="Y321">
        <v>320</v>
      </c>
      <c r="Z321">
        <f t="shared" si="103"/>
        <v>0</v>
      </c>
      <c r="AA321">
        <f>IF(Y321&gt;='Loan Prepayment'!$E$11,'Loan Prepayment'!$E$12,'Loan Prepayment'!$B$6)</f>
        <v>7.5</v>
      </c>
      <c r="AB321">
        <f>IF(Z321&lt;=0,0,MIN(IF(Y321='Loan Prepayment'!$E$11,IF('Loan Prepayment'!$E$13="Keep tenure, recalculate EMI",-PMT(AA321/1200,MAX(1,'Loan Prepayment'!$B$7*12-Y321+1),Z321),AB320),AB320),Z321+AC321))</f>
        <v>0</v>
      </c>
      <c r="AC321">
        <f t="shared" si="93"/>
        <v>0</v>
      </c>
      <c r="AD321">
        <f t="shared" si="94"/>
        <v>0</v>
      </c>
      <c r="AE321">
        <f t="shared" si="95"/>
        <v>0</v>
      </c>
      <c r="AF321">
        <f t="shared" si="96"/>
        <v>0</v>
      </c>
      <c r="AG321">
        <v>320</v>
      </c>
      <c r="AH321">
        <f t="shared" si="104"/>
        <v>0</v>
      </c>
      <c r="AI321">
        <f>IF(AG321&gt;='Loan Prepayment'!$E$11,'Loan Prepayment'!$E$12,'Loan Prepayment'!$B$6)</f>
        <v>7.5</v>
      </c>
      <c r="AJ321">
        <f>IF(AH321&lt;=0,0,MIN(IF(AG321='Loan Prepayment'!$E$11,IF('Loan Prepayment'!$E$13="Keep tenure, recalculate EMI",-PMT(AI321/1200,MAX(1,'Loan Prepayment'!$B$7*12-AG321+1),AH321),AJ320),IF(AND('Loan Prepayment'!$E$15="Reduce EMI",AM320&gt;0),-PMT(AI321/1200,MAX(1,'Loan Prepayment'!$B$7*12-AG321+1),AH321),AJ320)),AH321+AK321))</f>
        <v>0</v>
      </c>
      <c r="AK321">
        <f t="shared" si="97"/>
        <v>0</v>
      </c>
      <c r="AL321">
        <f t="shared" si="98"/>
        <v>0</v>
      </c>
      <c r="AM321">
        <f>IF(AH321&lt;=0,0,MIN(MAX(0,AH321-AL321),SUMIFS('Loan Prepayment'!$B$12:$B$16,'Loan Prepayment'!$A$12:$A$16,AG321)+IF(AND(AG321&gt;='Loan Prepayment'!$B$9,AG321&lt;='Loan Prepayment'!$E$16),'Loan Prepayment'!$B$8,0)))</f>
        <v>0</v>
      </c>
      <c r="AN321">
        <f t="shared" si="99"/>
        <v>0</v>
      </c>
    </row>
    <row r="322" spans="1:40" x14ac:dyDescent="0.35">
      <c r="A322">
        <v>321</v>
      </c>
      <c r="B322">
        <f t="shared" si="100"/>
        <v>0</v>
      </c>
      <c r="C322" s="78">
        <f>'Loan Prepayment'!$B$6</f>
        <v>8.5</v>
      </c>
      <c r="D322">
        <f>IF(B322&lt;=0,0,MIN(-PMT('Loan Prepayment'!$B$6/1200,'Loan Prepayment'!$B$7*12,'Loan Prepayment'!$B$5),B322+E322))</f>
        <v>0</v>
      </c>
      <c r="E322">
        <f t="shared" ref="E322:E361" si="105">IF(B322&lt;=0,0,B322*C322/1200)</f>
        <v>0</v>
      </c>
      <c r="F322">
        <f t="shared" ref="F322:F361" si="106">MAX(0,D322-E322)</f>
        <v>0</v>
      </c>
      <c r="G322">
        <v>0</v>
      </c>
      <c r="H322">
        <f t="shared" ref="H322:H361" si="107">MAX(0,B322-F322-G322)</f>
        <v>0</v>
      </c>
      <c r="I322">
        <v>321</v>
      </c>
      <c r="J322">
        <f t="shared" si="101"/>
        <v>0</v>
      </c>
      <c r="K322" s="78">
        <f>'Loan Prepayment'!$B$6</f>
        <v>8.5</v>
      </c>
      <c r="L322">
        <f>IF(J322&lt;=0,0,MIN(IF(AND('Loan Prepayment'!$E$15="Reduce EMI",O321&gt;0),-PMT(K322/1200,MAX(1,'Loan Prepayment'!$B$7*12-I322+1),J322),L321),J322+M322))</f>
        <v>0</v>
      </c>
      <c r="M322">
        <f t="shared" ref="M322:M361" si="108">IF(J322&lt;=0,0,J322*K322/1200)</f>
        <v>0</v>
      </c>
      <c r="N322">
        <f t="shared" ref="N322:N361" si="109">MAX(0,L322-M322)</f>
        <v>0</v>
      </c>
      <c r="O322">
        <f>IF(J322&lt;=0,0,MIN(MAX(0,J322-N322),SUMIFS('Loan Prepayment'!$B$12:$B$16,'Loan Prepayment'!$A$12:$A$16,I322)+0))</f>
        <v>0</v>
      </c>
      <c r="P322">
        <f t="shared" ref="P322:P361" si="110">MAX(0,J322-N322-O322)</f>
        <v>0</v>
      </c>
      <c r="Q322">
        <v>321</v>
      </c>
      <c r="R322">
        <f t="shared" si="102"/>
        <v>0</v>
      </c>
      <c r="S322" s="78">
        <f>'Loan Prepayment'!$B$6</f>
        <v>8.5</v>
      </c>
      <c r="T322">
        <f>IF(R322&lt;=0,0,MIN(IF(AND('Loan Prepayment'!$E$15="Reduce EMI",W321&gt;0),-PMT(S322/1200,MAX(1,'Loan Prepayment'!$B$7*12-Q322+1),R322),T321),R322+U322))</f>
        <v>0</v>
      </c>
      <c r="U322">
        <f t="shared" ref="U322:U361" si="111">IF(R322&lt;=0,0,R322*S322/1200)</f>
        <v>0</v>
      </c>
      <c r="V322">
        <f t="shared" ref="V322:V361" si="112">MAX(0,T322-U322)</f>
        <v>0</v>
      </c>
      <c r="W322">
        <f>IF(R322&lt;=0,0,MIN(MAX(0,R322-V322),0+IF(AND(Q322&gt;='Loan Prepayment'!$B$9,Q322&lt;='Loan Prepayment'!$E$16),'Loan Prepayment'!$B$8,0)))</f>
        <v>0</v>
      </c>
      <c r="X322">
        <f t="shared" ref="X322:X361" si="113">MAX(0,R322-V322-W322)</f>
        <v>0</v>
      </c>
      <c r="Y322">
        <v>321</v>
      </c>
      <c r="Z322">
        <f t="shared" si="103"/>
        <v>0</v>
      </c>
      <c r="AA322">
        <f>IF(Y322&gt;='Loan Prepayment'!$E$11,'Loan Prepayment'!$E$12,'Loan Prepayment'!$B$6)</f>
        <v>7.5</v>
      </c>
      <c r="AB322">
        <f>IF(Z322&lt;=0,0,MIN(IF(Y322='Loan Prepayment'!$E$11,IF('Loan Prepayment'!$E$13="Keep tenure, recalculate EMI",-PMT(AA322/1200,MAX(1,'Loan Prepayment'!$B$7*12-Y322+1),Z322),AB321),AB321),Z322+AC322))</f>
        <v>0</v>
      </c>
      <c r="AC322">
        <f t="shared" ref="AC322:AC361" si="114">IF(Z322&lt;=0,0,Z322*AA322/1200)</f>
        <v>0</v>
      </c>
      <c r="AD322">
        <f t="shared" ref="AD322:AD361" si="115">MAX(0,AB322-AC322)</f>
        <v>0</v>
      </c>
      <c r="AE322">
        <f t="shared" ref="AE322:AE361" si="116">IF(Z322&lt;=0,0,MIN(MAX(0,Z322-AD322),0))</f>
        <v>0</v>
      </c>
      <c r="AF322">
        <f t="shared" ref="AF322:AF361" si="117">MAX(0,Z322-AD322-AE322)</f>
        <v>0</v>
      </c>
      <c r="AG322">
        <v>321</v>
      </c>
      <c r="AH322">
        <f t="shared" si="104"/>
        <v>0</v>
      </c>
      <c r="AI322">
        <f>IF(AG322&gt;='Loan Prepayment'!$E$11,'Loan Prepayment'!$E$12,'Loan Prepayment'!$B$6)</f>
        <v>7.5</v>
      </c>
      <c r="AJ322">
        <f>IF(AH322&lt;=0,0,MIN(IF(AG322='Loan Prepayment'!$E$11,IF('Loan Prepayment'!$E$13="Keep tenure, recalculate EMI",-PMT(AI322/1200,MAX(1,'Loan Prepayment'!$B$7*12-AG322+1),AH322),AJ321),IF(AND('Loan Prepayment'!$E$15="Reduce EMI",AM321&gt;0),-PMT(AI322/1200,MAX(1,'Loan Prepayment'!$B$7*12-AG322+1),AH322),AJ321)),AH322+AK322))</f>
        <v>0</v>
      </c>
      <c r="AK322">
        <f t="shared" ref="AK322:AK361" si="118">IF(AH322&lt;=0,0,AH322*AI322/1200)</f>
        <v>0</v>
      </c>
      <c r="AL322">
        <f t="shared" ref="AL322:AL361" si="119">MAX(0,AJ322-AK322)</f>
        <v>0</v>
      </c>
      <c r="AM322">
        <f>IF(AH322&lt;=0,0,MIN(MAX(0,AH322-AL322),SUMIFS('Loan Prepayment'!$B$12:$B$16,'Loan Prepayment'!$A$12:$A$16,AG322)+IF(AND(AG322&gt;='Loan Prepayment'!$B$9,AG322&lt;='Loan Prepayment'!$E$16),'Loan Prepayment'!$B$8,0)))</f>
        <v>0</v>
      </c>
      <c r="AN322">
        <f t="shared" ref="AN322:AN361" si="120">MAX(0,AH322-AL322-AM322)</f>
        <v>0</v>
      </c>
    </row>
    <row r="323" spans="1:40" x14ac:dyDescent="0.35">
      <c r="A323">
        <v>322</v>
      </c>
      <c r="B323">
        <f t="shared" ref="B323:B361" si="121">H322</f>
        <v>0</v>
      </c>
      <c r="C323" s="78">
        <f>'Loan Prepayment'!$B$6</f>
        <v>8.5</v>
      </c>
      <c r="D323">
        <f>IF(B323&lt;=0,0,MIN(-PMT('Loan Prepayment'!$B$6/1200,'Loan Prepayment'!$B$7*12,'Loan Prepayment'!$B$5),B323+E323))</f>
        <v>0</v>
      </c>
      <c r="E323">
        <f t="shared" si="105"/>
        <v>0</v>
      </c>
      <c r="F323">
        <f t="shared" si="106"/>
        <v>0</v>
      </c>
      <c r="G323">
        <v>0</v>
      </c>
      <c r="H323">
        <f t="shared" si="107"/>
        <v>0</v>
      </c>
      <c r="I323">
        <v>322</v>
      </c>
      <c r="J323">
        <f t="shared" ref="J323:J361" si="122">P322</f>
        <v>0</v>
      </c>
      <c r="K323" s="78">
        <f>'Loan Prepayment'!$B$6</f>
        <v>8.5</v>
      </c>
      <c r="L323">
        <f>IF(J323&lt;=0,0,MIN(IF(AND('Loan Prepayment'!$E$15="Reduce EMI",O322&gt;0),-PMT(K323/1200,MAX(1,'Loan Prepayment'!$B$7*12-I323+1),J323),L322),J323+M323))</f>
        <v>0</v>
      </c>
      <c r="M323">
        <f t="shared" si="108"/>
        <v>0</v>
      </c>
      <c r="N323">
        <f t="shared" si="109"/>
        <v>0</v>
      </c>
      <c r="O323">
        <f>IF(J323&lt;=0,0,MIN(MAX(0,J323-N323),SUMIFS('Loan Prepayment'!$B$12:$B$16,'Loan Prepayment'!$A$12:$A$16,I323)+0))</f>
        <v>0</v>
      </c>
      <c r="P323">
        <f t="shared" si="110"/>
        <v>0</v>
      </c>
      <c r="Q323">
        <v>322</v>
      </c>
      <c r="R323">
        <f t="shared" ref="R323:R361" si="123">X322</f>
        <v>0</v>
      </c>
      <c r="S323" s="78">
        <f>'Loan Prepayment'!$B$6</f>
        <v>8.5</v>
      </c>
      <c r="T323">
        <f>IF(R323&lt;=0,0,MIN(IF(AND('Loan Prepayment'!$E$15="Reduce EMI",W322&gt;0),-PMT(S323/1200,MAX(1,'Loan Prepayment'!$B$7*12-Q323+1),R323),T322),R323+U323))</f>
        <v>0</v>
      </c>
      <c r="U323">
        <f t="shared" si="111"/>
        <v>0</v>
      </c>
      <c r="V323">
        <f t="shared" si="112"/>
        <v>0</v>
      </c>
      <c r="W323">
        <f>IF(R323&lt;=0,0,MIN(MAX(0,R323-V323),0+IF(AND(Q323&gt;='Loan Prepayment'!$B$9,Q323&lt;='Loan Prepayment'!$E$16),'Loan Prepayment'!$B$8,0)))</f>
        <v>0</v>
      </c>
      <c r="X323">
        <f t="shared" si="113"/>
        <v>0</v>
      </c>
      <c r="Y323">
        <v>322</v>
      </c>
      <c r="Z323">
        <f t="shared" ref="Z323:Z361" si="124">AF322</f>
        <v>0</v>
      </c>
      <c r="AA323">
        <f>IF(Y323&gt;='Loan Prepayment'!$E$11,'Loan Prepayment'!$E$12,'Loan Prepayment'!$B$6)</f>
        <v>7.5</v>
      </c>
      <c r="AB323">
        <f>IF(Z323&lt;=0,0,MIN(IF(Y323='Loan Prepayment'!$E$11,IF('Loan Prepayment'!$E$13="Keep tenure, recalculate EMI",-PMT(AA323/1200,MAX(1,'Loan Prepayment'!$B$7*12-Y323+1),Z323),AB322),AB322),Z323+AC323))</f>
        <v>0</v>
      </c>
      <c r="AC323">
        <f t="shared" si="114"/>
        <v>0</v>
      </c>
      <c r="AD323">
        <f t="shared" si="115"/>
        <v>0</v>
      </c>
      <c r="AE323">
        <f t="shared" si="116"/>
        <v>0</v>
      </c>
      <c r="AF323">
        <f t="shared" si="117"/>
        <v>0</v>
      </c>
      <c r="AG323">
        <v>322</v>
      </c>
      <c r="AH323">
        <f t="shared" ref="AH323:AH361" si="125">AN322</f>
        <v>0</v>
      </c>
      <c r="AI323">
        <f>IF(AG323&gt;='Loan Prepayment'!$E$11,'Loan Prepayment'!$E$12,'Loan Prepayment'!$B$6)</f>
        <v>7.5</v>
      </c>
      <c r="AJ323">
        <f>IF(AH323&lt;=0,0,MIN(IF(AG323='Loan Prepayment'!$E$11,IF('Loan Prepayment'!$E$13="Keep tenure, recalculate EMI",-PMT(AI323/1200,MAX(1,'Loan Prepayment'!$B$7*12-AG323+1),AH323),AJ322),IF(AND('Loan Prepayment'!$E$15="Reduce EMI",AM322&gt;0),-PMT(AI323/1200,MAX(1,'Loan Prepayment'!$B$7*12-AG323+1),AH323),AJ322)),AH323+AK323))</f>
        <v>0</v>
      </c>
      <c r="AK323">
        <f t="shared" si="118"/>
        <v>0</v>
      </c>
      <c r="AL323">
        <f t="shared" si="119"/>
        <v>0</v>
      </c>
      <c r="AM323">
        <f>IF(AH323&lt;=0,0,MIN(MAX(0,AH323-AL323),SUMIFS('Loan Prepayment'!$B$12:$B$16,'Loan Prepayment'!$A$12:$A$16,AG323)+IF(AND(AG323&gt;='Loan Prepayment'!$B$9,AG323&lt;='Loan Prepayment'!$E$16),'Loan Prepayment'!$B$8,0)))</f>
        <v>0</v>
      </c>
      <c r="AN323">
        <f t="shared" si="120"/>
        <v>0</v>
      </c>
    </row>
    <row r="324" spans="1:40" x14ac:dyDescent="0.35">
      <c r="A324">
        <v>323</v>
      </c>
      <c r="B324">
        <f t="shared" si="121"/>
        <v>0</v>
      </c>
      <c r="C324" s="78">
        <f>'Loan Prepayment'!$B$6</f>
        <v>8.5</v>
      </c>
      <c r="D324">
        <f>IF(B324&lt;=0,0,MIN(-PMT('Loan Prepayment'!$B$6/1200,'Loan Prepayment'!$B$7*12,'Loan Prepayment'!$B$5),B324+E324))</f>
        <v>0</v>
      </c>
      <c r="E324">
        <f t="shared" si="105"/>
        <v>0</v>
      </c>
      <c r="F324">
        <f t="shared" si="106"/>
        <v>0</v>
      </c>
      <c r="G324">
        <v>0</v>
      </c>
      <c r="H324">
        <f t="shared" si="107"/>
        <v>0</v>
      </c>
      <c r="I324">
        <v>323</v>
      </c>
      <c r="J324">
        <f t="shared" si="122"/>
        <v>0</v>
      </c>
      <c r="K324" s="78">
        <f>'Loan Prepayment'!$B$6</f>
        <v>8.5</v>
      </c>
      <c r="L324">
        <f>IF(J324&lt;=0,0,MIN(IF(AND('Loan Prepayment'!$E$15="Reduce EMI",O323&gt;0),-PMT(K324/1200,MAX(1,'Loan Prepayment'!$B$7*12-I324+1),J324),L323),J324+M324))</f>
        <v>0</v>
      </c>
      <c r="M324">
        <f t="shared" si="108"/>
        <v>0</v>
      </c>
      <c r="N324">
        <f t="shared" si="109"/>
        <v>0</v>
      </c>
      <c r="O324">
        <f>IF(J324&lt;=0,0,MIN(MAX(0,J324-N324),SUMIFS('Loan Prepayment'!$B$12:$B$16,'Loan Prepayment'!$A$12:$A$16,I324)+0))</f>
        <v>0</v>
      </c>
      <c r="P324">
        <f t="shared" si="110"/>
        <v>0</v>
      </c>
      <c r="Q324">
        <v>323</v>
      </c>
      <c r="R324">
        <f t="shared" si="123"/>
        <v>0</v>
      </c>
      <c r="S324" s="78">
        <f>'Loan Prepayment'!$B$6</f>
        <v>8.5</v>
      </c>
      <c r="T324">
        <f>IF(R324&lt;=0,0,MIN(IF(AND('Loan Prepayment'!$E$15="Reduce EMI",W323&gt;0),-PMT(S324/1200,MAX(1,'Loan Prepayment'!$B$7*12-Q324+1),R324),T323),R324+U324))</f>
        <v>0</v>
      </c>
      <c r="U324">
        <f t="shared" si="111"/>
        <v>0</v>
      </c>
      <c r="V324">
        <f t="shared" si="112"/>
        <v>0</v>
      </c>
      <c r="W324">
        <f>IF(R324&lt;=0,0,MIN(MAX(0,R324-V324),0+IF(AND(Q324&gt;='Loan Prepayment'!$B$9,Q324&lt;='Loan Prepayment'!$E$16),'Loan Prepayment'!$B$8,0)))</f>
        <v>0</v>
      </c>
      <c r="X324">
        <f t="shared" si="113"/>
        <v>0</v>
      </c>
      <c r="Y324">
        <v>323</v>
      </c>
      <c r="Z324">
        <f t="shared" si="124"/>
        <v>0</v>
      </c>
      <c r="AA324">
        <f>IF(Y324&gt;='Loan Prepayment'!$E$11,'Loan Prepayment'!$E$12,'Loan Prepayment'!$B$6)</f>
        <v>7.5</v>
      </c>
      <c r="AB324">
        <f>IF(Z324&lt;=0,0,MIN(IF(Y324='Loan Prepayment'!$E$11,IF('Loan Prepayment'!$E$13="Keep tenure, recalculate EMI",-PMT(AA324/1200,MAX(1,'Loan Prepayment'!$B$7*12-Y324+1),Z324),AB323),AB323),Z324+AC324))</f>
        <v>0</v>
      </c>
      <c r="AC324">
        <f t="shared" si="114"/>
        <v>0</v>
      </c>
      <c r="AD324">
        <f t="shared" si="115"/>
        <v>0</v>
      </c>
      <c r="AE324">
        <f t="shared" si="116"/>
        <v>0</v>
      </c>
      <c r="AF324">
        <f t="shared" si="117"/>
        <v>0</v>
      </c>
      <c r="AG324">
        <v>323</v>
      </c>
      <c r="AH324">
        <f t="shared" si="125"/>
        <v>0</v>
      </c>
      <c r="AI324">
        <f>IF(AG324&gt;='Loan Prepayment'!$E$11,'Loan Prepayment'!$E$12,'Loan Prepayment'!$B$6)</f>
        <v>7.5</v>
      </c>
      <c r="AJ324">
        <f>IF(AH324&lt;=0,0,MIN(IF(AG324='Loan Prepayment'!$E$11,IF('Loan Prepayment'!$E$13="Keep tenure, recalculate EMI",-PMT(AI324/1200,MAX(1,'Loan Prepayment'!$B$7*12-AG324+1),AH324),AJ323),IF(AND('Loan Prepayment'!$E$15="Reduce EMI",AM323&gt;0),-PMT(AI324/1200,MAX(1,'Loan Prepayment'!$B$7*12-AG324+1),AH324),AJ323)),AH324+AK324))</f>
        <v>0</v>
      </c>
      <c r="AK324">
        <f t="shared" si="118"/>
        <v>0</v>
      </c>
      <c r="AL324">
        <f t="shared" si="119"/>
        <v>0</v>
      </c>
      <c r="AM324">
        <f>IF(AH324&lt;=0,0,MIN(MAX(0,AH324-AL324),SUMIFS('Loan Prepayment'!$B$12:$B$16,'Loan Prepayment'!$A$12:$A$16,AG324)+IF(AND(AG324&gt;='Loan Prepayment'!$B$9,AG324&lt;='Loan Prepayment'!$E$16),'Loan Prepayment'!$B$8,0)))</f>
        <v>0</v>
      </c>
      <c r="AN324">
        <f t="shared" si="120"/>
        <v>0</v>
      </c>
    </row>
    <row r="325" spans="1:40" x14ac:dyDescent="0.35">
      <c r="A325">
        <v>324</v>
      </c>
      <c r="B325">
        <f t="shared" si="121"/>
        <v>0</v>
      </c>
      <c r="C325" s="78">
        <f>'Loan Prepayment'!$B$6</f>
        <v>8.5</v>
      </c>
      <c r="D325">
        <f>IF(B325&lt;=0,0,MIN(-PMT('Loan Prepayment'!$B$6/1200,'Loan Prepayment'!$B$7*12,'Loan Prepayment'!$B$5),B325+E325))</f>
        <v>0</v>
      </c>
      <c r="E325">
        <f t="shared" si="105"/>
        <v>0</v>
      </c>
      <c r="F325">
        <f t="shared" si="106"/>
        <v>0</v>
      </c>
      <c r="G325">
        <v>0</v>
      </c>
      <c r="H325">
        <f t="shared" si="107"/>
        <v>0</v>
      </c>
      <c r="I325">
        <v>324</v>
      </c>
      <c r="J325">
        <f t="shared" si="122"/>
        <v>0</v>
      </c>
      <c r="K325" s="78">
        <f>'Loan Prepayment'!$B$6</f>
        <v>8.5</v>
      </c>
      <c r="L325">
        <f>IF(J325&lt;=0,0,MIN(IF(AND('Loan Prepayment'!$E$15="Reduce EMI",O324&gt;0),-PMT(K325/1200,MAX(1,'Loan Prepayment'!$B$7*12-I325+1),J325),L324),J325+M325))</f>
        <v>0</v>
      </c>
      <c r="M325">
        <f t="shared" si="108"/>
        <v>0</v>
      </c>
      <c r="N325">
        <f t="shared" si="109"/>
        <v>0</v>
      </c>
      <c r="O325">
        <f>IF(J325&lt;=0,0,MIN(MAX(0,J325-N325),SUMIFS('Loan Prepayment'!$B$12:$B$16,'Loan Prepayment'!$A$12:$A$16,I325)+0))</f>
        <v>0</v>
      </c>
      <c r="P325">
        <f t="shared" si="110"/>
        <v>0</v>
      </c>
      <c r="Q325">
        <v>324</v>
      </c>
      <c r="R325">
        <f t="shared" si="123"/>
        <v>0</v>
      </c>
      <c r="S325" s="78">
        <f>'Loan Prepayment'!$B$6</f>
        <v>8.5</v>
      </c>
      <c r="T325">
        <f>IF(R325&lt;=0,0,MIN(IF(AND('Loan Prepayment'!$E$15="Reduce EMI",W324&gt;0),-PMT(S325/1200,MAX(1,'Loan Prepayment'!$B$7*12-Q325+1),R325),T324),R325+U325))</f>
        <v>0</v>
      </c>
      <c r="U325">
        <f t="shared" si="111"/>
        <v>0</v>
      </c>
      <c r="V325">
        <f t="shared" si="112"/>
        <v>0</v>
      </c>
      <c r="W325">
        <f>IF(R325&lt;=0,0,MIN(MAX(0,R325-V325),0+IF(AND(Q325&gt;='Loan Prepayment'!$B$9,Q325&lt;='Loan Prepayment'!$E$16),'Loan Prepayment'!$B$8,0)))</f>
        <v>0</v>
      </c>
      <c r="X325">
        <f t="shared" si="113"/>
        <v>0</v>
      </c>
      <c r="Y325">
        <v>324</v>
      </c>
      <c r="Z325">
        <f t="shared" si="124"/>
        <v>0</v>
      </c>
      <c r="AA325">
        <f>IF(Y325&gt;='Loan Prepayment'!$E$11,'Loan Prepayment'!$E$12,'Loan Prepayment'!$B$6)</f>
        <v>7.5</v>
      </c>
      <c r="AB325">
        <f>IF(Z325&lt;=0,0,MIN(IF(Y325='Loan Prepayment'!$E$11,IF('Loan Prepayment'!$E$13="Keep tenure, recalculate EMI",-PMT(AA325/1200,MAX(1,'Loan Prepayment'!$B$7*12-Y325+1),Z325),AB324),AB324),Z325+AC325))</f>
        <v>0</v>
      </c>
      <c r="AC325">
        <f t="shared" si="114"/>
        <v>0</v>
      </c>
      <c r="AD325">
        <f t="shared" si="115"/>
        <v>0</v>
      </c>
      <c r="AE325">
        <f t="shared" si="116"/>
        <v>0</v>
      </c>
      <c r="AF325">
        <f t="shared" si="117"/>
        <v>0</v>
      </c>
      <c r="AG325">
        <v>324</v>
      </c>
      <c r="AH325">
        <f t="shared" si="125"/>
        <v>0</v>
      </c>
      <c r="AI325">
        <f>IF(AG325&gt;='Loan Prepayment'!$E$11,'Loan Prepayment'!$E$12,'Loan Prepayment'!$B$6)</f>
        <v>7.5</v>
      </c>
      <c r="AJ325">
        <f>IF(AH325&lt;=0,0,MIN(IF(AG325='Loan Prepayment'!$E$11,IF('Loan Prepayment'!$E$13="Keep tenure, recalculate EMI",-PMT(AI325/1200,MAX(1,'Loan Prepayment'!$B$7*12-AG325+1),AH325),AJ324),IF(AND('Loan Prepayment'!$E$15="Reduce EMI",AM324&gt;0),-PMT(AI325/1200,MAX(1,'Loan Prepayment'!$B$7*12-AG325+1),AH325),AJ324)),AH325+AK325))</f>
        <v>0</v>
      </c>
      <c r="AK325">
        <f t="shared" si="118"/>
        <v>0</v>
      </c>
      <c r="AL325">
        <f t="shared" si="119"/>
        <v>0</v>
      </c>
      <c r="AM325">
        <f>IF(AH325&lt;=0,0,MIN(MAX(0,AH325-AL325),SUMIFS('Loan Prepayment'!$B$12:$B$16,'Loan Prepayment'!$A$12:$A$16,AG325)+IF(AND(AG325&gt;='Loan Prepayment'!$B$9,AG325&lt;='Loan Prepayment'!$E$16),'Loan Prepayment'!$B$8,0)))</f>
        <v>0</v>
      </c>
      <c r="AN325">
        <f t="shared" si="120"/>
        <v>0</v>
      </c>
    </row>
    <row r="326" spans="1:40" x14ac:dyDescent="0.35">
      <c r="A326">
        <v>325</v>
      </c>
      <c r="B326">
        <f t="shared" si="121"/>
        <v>0</v>
      </c>
      <c r="C326" s="78">
        <f>'Loan Prepayment'!$B$6</f>
        <v>8.5</v>
      </c>
      <c r="D326">
        <f>IF(B326&lt;=0,0,MIN(-PMT('Loan Prepayment'!$B$6/1200,'Loan Prepayment'!$B$7*12,'Loan Prepayment'!$B$5),B326+E326))</f>
        <v>0</v>
      </c>
      <c r="E326">
        <f t="shared" si="105"/>
        <v>0</v>
      </c>
      <c r="F326">
        <f t="shared" si="106"/>
        <v>0</v>
      </c>
      <c r="G326">
        <v>0</v>
      </c>
      <c r="H326">
        <f t="shared" si="107"/>
        <v>0</v>
      </c>
      <c r="I326">
        <v>325</v>
      </c>
      <c r="J326">
        <f t="shared" si="122"/>
        <v>0</v>
      </c>
      <c r="K326" s="78">
        <f>'Loan Prepayment'!$B$6</f>
        <v>8.5</v>
      </c>
      <c r="L326">
        <f>IF(J326&lt;=0,0,MIN(IF(AND('Loan Prepayment'!$E$15="Reduce EMI",O325&gt;0),-PMT(K326/1200,MAX(1,'Loan Prepayment'!$B$7*12-I326+1),J326),L325),J326+M326))</f>
        <v>0</v>
      </c>
      <c r="M326">
        <f t="shared" si="108"/>
        <v>0</v>
      </c>
      <c r="N326">
        <f t="shared" si="109"/>
        <v>0</v>
      </c>
      <c r="O326">
        <f>IF(J326&lt;=0,0,MIN(MAX(0,J326-N326),SUMIFS('Loan Prepayment'!$B$12:$B$16,'Loan Prepayment'!$A$12:$A$16,I326)+0))</f>
        <v>0</v>
      </c>
      <c r="P326">
        <f t="shared" si="110"/>
        <v>0</v>
      </c>
      <c r="Q326">
        <v>325</v>
      </c>
      <c r="R326">
        <f t="shared" si="123"/>
        <v>0</v>
      </c>
      <c r="S326" s="78">
        <f>'Loan Prepayment'!$B$6</f>
        <v>8.5</v>
      </c>
      <c r="T326">
        <f>IF(R326&lt;=0,0,MIN(IF(AND('Loan Prepayment'!$E$15="Reduce EMI",W325&gt;0),-PMT(S326/1200,MAX(1,'Loan Prepayment'!$B$7*12-Q326+1),R326),T325),R326+U326))</f>
        <v>0</v>
      </c>
      <c r="U326">
        <f t="shared" si="111"/>
        <v>0</v>
      </c>
      <c r="V326">
        <f t="shared" si="112"/>
        <v>0</v>
      </c>
      <c r="W326">
        <f>IF(R326&lt;=0,0,MIN(MAX(0,R326-V326),0+IF(AND(Q326&gt;='Loan Prepayment'!$B$9,Q326&lt;='Loan Prepayment'!$E$16),'Loan Prepayment'!$B$8,0)))</f>
        <v>0</v>
      </c>
      <c r="X326">
        <f t="shared" si="113"/>
        <v>0</v>
      </c>
      <c r="Y326">
        <v>325</v>
      </c>
      <c r="Z326">
        <f t="shared" si="124"/>
        <v>0</v>
      </c>
      <c r="AA326">
        <f>IF(Y326&gt;='Loan Prepayment'!$E$11,'Loan Prepayment'!$E$12,'Loan Prepayment'!$B$6)</f>
        <v>7.5</v>
      </c>
      <c r="AB326">
        <f>IF(Z326&lt;=0,0,MIN(IF(Y326='Loan Prepayment'!$E$11,IF('Loan Prepayment'!$E$13="Keep tenure, recalculate EMI",-PMT(AA326/1200,MAX(1,'Loan Prepayment'!$B$7*12-Y326+1),Z326),AB325),AB325),Z326+AC326))</f>
        <v>0</v>
      </c>
      <c r="AC326">
        <f t="shared" si="114"/>
        <v>0</v>
      </c>
      <c r="AD326">
        <f t="shared" si="115"/>
        <v>0</v>
      </c>
      <c r="AE326">
        <f t="shared" si="116"/>
        <v>0</v>
      </c>
      <c r="AF326">
        <f t="shared" si="117"/>
        <v>0</v>
      </c>
      <c r="AG326">
        <v>325</v>
      </c>
      <c r="AH326">
        <f t="shared" si="125"/>
        <v>0</v>
      </c>
      <c r="AI326">
        <f>IF(AG326&gt;='Loan Prepayment'!$E$11,'Loan Prepayment'!$E$12,'Loan Prepayment'!$B$6)</f>
        <v>7.5</v>
      </c>
      <c r="AJ326">
        <f>IF(AH326&lt;=0,0,MIN(IF(AG326='Loan Prepayment'!$E$11,IF('Loan Prepayment'!$E$13="Keep tenure, recalculate EMI",-PMT(AI326/1200,MAX(1,'Loan Prepayment'!$B$7*12-AG326+1),AH326),AJ325),IF(AND('Loan Prepayment'!$E$15="Reduce EMI",AM325&gt;0),-PMT(AI326/1200,MAX(1,'Loan Prepayment'!$B$7*12-AG326+1),AH326),AJ325)),AH326+AK326))</f>
        <v>0</v>
      </c>
      <c r="AK326">
        <f t="shared" si="118"/>
        <v>0</v>
      </c>
      <c r="AL326">
        <f t="shared" si="119"/>
        <v>0</v>
      </c>
      <c r="AM326">
        <f>IF(AH326&lt;=0,0,MIN(MAX(0,AH326-AL326),SUMIFS('Loan Prepayment'!$B$12:$B$16,'Loan Prepayment'!$A$12:$A$16,AG326)+IF(AND(AG326&gt;='Loan Prepayment'!$B$9,AG326&lt;='Loan Prepayment'!$E$16),'Loan Prepayment'!$B$8,0)))</f>
        <v>0</v>
      </c>
      <c r="AN326">
        <f t="shared" si="120"/>
        <v>0</v>
      </c>
    </row>
    <row r="327" spans="1:40" x14ac:dyDescent="0.35">
      <c r="A327">
        <v>326</v>
      </c>
      <c r="B327">
        <f t="shared" si="121"/>
        <v>0</v>
      </c>
      <c r="C327" s="78">
        <f>'Loan Prepayment'!$B$6</f>
        <v>8.5</v>
      </c>
      <c r="D327">
        <f>IF(B327&lt;=0,0,MIN(-PMT('Loan Prepayment'!$B$6/1200,'Loan Prepayment'!$B$7*12,'Loan Prepayment'!$B$5),B327+E327))</f>
        <v>0</v>
      </c>
      <c r="E327">
        <f t="shared" si="105"/>
        <v>0</v>
      </c>
      <c r="F327">
        <f t="shared" si="106"/>
        <v>0</v>
      </c>
      <c r="G327">
        <v>0</v>
      </c>
      <c r="H327">
        <f t="shared" si="107"/>
        <v>0</v>
      </c>
      <c r="I327">
        <v>326</v>
      </c>
      <c r="J327">
        <f t="shared" si="122"/>
        <v>0</v>
      </c>
      <c r="K327" s="78">
        <f>'Loan Prepayment'!$B$6</f>
        <v>8.5</v>
      </c>
      <c r="L327">
        <f>IF(J327&lt;=0,0,MIN(IF(AND('Loan Prepayment'!$E$15="Reduce EMI",O326&gt;0),-PMT(K327/1200,MAX(1,'Loan Prepayment'!$B$7*12-I327+1),J327),L326),J327+M327))</f>
        <v>0</v>
      </c>
      <c r="M327">
        <f t="shared" si="108"/>
        <v>0</v>
      </c>
      <c r="N327">
        <f t="shared" si="109"/>
        <v>0</v>
      </c>
      <c r="O327">
        <f>IF(J327&lt;=0,0,MIN(MAX(0,J327-N327),SUMIFS('Loan Prepayment'!$B$12:$B$16,'Loan Prepayment'!$A$12:$A$16,I327)+0))</f>
        <v>0</v>
      </c>
      <c r="P327">
        <f t="shared" si="110"/>
        <v>0</v>
      </c>
      <c r="Q327">
        <v>326</v>
      </c>
      <c r="R327">
        <f t="shared" si="123"/>
        <v>0</v>
      </c>
      <c r="S327" s="78">
        <f>'Loan Prepayment'!$B$6</f>
        <v>8.5</v>
      </c>
      <c r="T327">
        <f>IF(R327&lt;=0,0,MIN(IF(AND('Loan Prepayment'!$E$15="Reduce EMI",W326&gt;0),-PMT(S327/1200,MAX(1,'Loan Prepayment'!$B$7*12-Q327+1),R327),T326),R327+U327))</f>
        <v>0</v>
      </c>
      <c r="U327">
        <f t="shared" si="111"/>
        <v>0</v>
      </c>
      <c r="V327">
        <f t="shared" si="112"/>
        <v>0</v>
      </c>
      <c r="W327">
        <f>IF(R327&lt;=0,0,MIN(MAX(0,R327-V327),0+IF(AND(Q327&gt;='Loan Prepayment'!$B$9,Q327&lt;='Loan Prepayment'!$E$16),'Loan Prepayment'!$B$8,0)))</f>
        <v>0</v>
      </c>
      <c r="X327">
        <f t="shared" si="113"/>
        <v>0</v>
      </c>
      <c r="Y327">
        <v>326</v>
      </c>
      <c r="Z327">
        <f t="shared" si="124"/>
        <v>0</v>
      </c>
      <c r="AA327">
        <f>IF(Y327&gt;='Loan Prepayment'!$E$11,'Loan Prepayment'!$E$12,'Loan Prepayment'!$B$6)</f>
        <v>7.5</v>
      </c>
      <c r="AB327">
        <f>IF(Z327&lt;=0,0,MIN(IF(Y327='Loan Prepayment'!$E$11,IF('Loan Prepayment'!$E$13="Keep tenure, recalculate EMI",-PMT(AA327/1200,MAX(1,'Loan Prepayment'!$B$7*12-Y327+1),Z327),AB326),AB326),Z327+AC327))</f>
        <v>0</v>
      </c>
      <c r="AC327">
        <f t="shared" si="114"/>
        <v>0</v>
      </c>
      <c r="AD327">
        <f t="shared" si="115"/>
        <v>0</v>
      </c>
      <c r="AE327">
        <f t="shared" si="116"/>
        <v>0</v>
      </c>
      <c r="AF327">
        <f t="shared" si="117"/>
        <v>0</v>
      </c>
      <c r="AG327">
        <v>326</v>
      </c>
      <c r="AH327">
        <f t="shared" si="125"/>
        <v>0</v>
      </c>
      <c r="AI327">
        <f>IF(AG327&gt;='Loan Prepayment'!$E$11,'Loan Prepayment'!$E$12,'Loan Prepayment'!$B$6)</f>
        <v>7.5</v>
      </c>
      <c r="AJ327">
        <f>IF(AH327&lt;=0,0,MIN(IF(AG327='Loan Prepayment'!$E$11,IF('Loan Prepayment'!$E$13="Keep tenure, recalculate EMI",-PMT(AI327/1200,MAX(1,'Loan Prepayment'!$B$7*12-AG327+1),AH327),AJ326),IF(AND('Loan Prepayment'!$E$15="Reduce EMI",AM326&gt;0),-PMT(AI327/1200,MAX(1,'Loan Prepayment'!$B$7*12-AG327+1),AH327),AJ326)),AH327+AK327))</f>
        <v>0</v>
      </c>
      <c r="AK327">
        <f t="shared" si="118"/>
        <v>0</v>
      </c>
      <c r="AL327">
        <f t="shared" si="119"/>
        <v>0</v>
      </c>
      <c r="AM327">
        <f>IF(AH327&lt;=0,0,MIN(MAX(0,AH327-AL327),SUMIFS('Loan Prepayment'!$B$12:$B$16,'Loan Prepayment'!$A$12:$A$16,AG327)+IF(AND(AG327&gt;='Loan Prepayment'!$B$9,AG327&lt;='Loan Prepayment'!$E$16),'Loan Prepayment'!$B$8,0)))</f>
        <v>0</v>
      </c>
      <c r="AN327">
        <f t="shared" si="120"/>
        <v>0</v>
      </c>
    </row>
    <row r="328" spans="1:40" x14ac:dyDescent="0.35">
      <c r="A328">
        <v>327</v>
      </c>
      <c r="B328">
        <f t="shared" si="121"/>
        <v>0</v>
      </c>
      <c r="C328" s="78">
        <f>'Loan Prepayment'!$B$6</f>
        <v>8.5</v>
      </c>
      <c r="D328">
        <f>IF(B328&lt;=0,0,MIN(-PMT('Loan Prepayment'!$B$6/1200,'Loan Prepayment'!$B$7*12,'Loan Prepayment'!$B$5),B328+E328))</f>
        <v>0</v>
      </c>
      <c r="E328">
        <f t="shared" si="105"/>
        <v>0</v>
      </c>
      <c r="F328">
        <f t="shared" si="106"/>
        <v>0</v>
      </c>
      <c r="G328">
        <v>0</v>
      </c>
      <c r="H328">
        <f t="shared" si="107"/>
        <v>0</v>
      </c>
      <c r="I328">
        <v>327</v>
      </c>
      <c r="J328">
        <f t="shared" si="122"/>
        <v>0</v>
      </c>
      <c r="K328" s="78">
        <f>'Loan Prepayment'!$B$6</f>
        <v>8.5</v>
      </c>
      <c r="L328">
        <f>IF(J328&lt;=0,0,MIN(IF(AND('Loan Prepayment'!$E$15="Reduce EMI",O327&gt;0),-PMT(K328/1200,MAX(1,'Loan Prepayment'!$B$7*12-I328+1),J328),L327),J328+M328))</f>
        <v>0</v>
      </c>
      <c r="M328">
        <f t="shared" si="108"/>
        <v>0</v>
      </c>
      <c r="N328">
        <f t="shared" si="109"/>
        <v>0</v>
      </c>
      <c r="O328">
        <f>IF(J328&lt;=0,0,MIN(MAX(0,J328-N328),SUMIFS('Loan Prepayment'!$B$12:$B$16,'Loan Prepayment'!$A$12:$A$16,I328)+0))</f>
        <v>0</v>
      </c>
      <c r="P328">
        <f t="shared" si="110"/>
        <v>0</v>
      </c>
      <c r="Q328">
        <v>327</v>
      </c>
      <c r="R328">
        <f t="shared" si="123"/>
        <v>0</v>
      </c>
      <c r="S328" s="78">
        <f>'Loan Prepayment'!$B$6</f>
        <v>8.5</v>
      </c>
      <c r="T328">
        <f>IF(R328&lt;=0,0,MIN(IF(AND('Loan Prepayment'!$E$15="Reduce EMI",W327&gt;0),-PMT(S328/1200,MAX(1,'Loan Prepayment'!$B$7*12-Q328+1),R328),T327),R328+U328))</f>
        <v>0</v>
      </c>
      <c r="U328">
        <f t="shared" si="111"/>
        <v>0</v>
      </c>
      <c r="V328">
        <f t="shared" si="112"/>
        <v>0</v>
      </c>
      <c r="W328">
        <f>IF(R328&lt;=0,0,MIN(MAX(0,R328-V328),0+IF(AND(Q328&gt;='Loan Prepayment'!$B$9,Q328&lt;='Loan Prepayment'!$E$16),'Loan Prepayment'!$B$8,0)))</f>
        <v>0</v>
      </c>
      <c r="X328">
        <f t="shared" si="113"/>
        <v>0</v>
      </c>
      <c r="Y328">
        <v>327</v>
      </c>
      <c r="Z328">
        <f t="shared" si="124"/>
        <v>0</v>
      </c>
      <c r="AA328">
        <f>IF(Y328&gt;='Loan Prepayment'!$E$11,'Loan Prepayment'!$E$12,'Loan Prepayment'!$B$6)</f>
        <v>7.5</v>
      </c>
      <c r="AB328">
        <f>IF(Z328&lt;=0,0,MIN(IF(Y328='Loan Prepayment'!$E$11,IF('Loan Prepayment'!$E$13="Keep tenure, recalculate EMI",-PMT(AA328/1200,MAX(1,'Loan Prepayment'!$B$7*12-Y328+1),Z328),AB327),AB327),Z328+AC328))</f>
        <v>0</v>
      </c>
      <c r="AC328">
        <f t="shared" si="114"/>
        <v>0</v>
      </c>
      <c r="AD328">
        <f t="shared" si="115"/>
        <v>0</v>
      </c>
      <c r="AE328">
        <f t="shared" si="116"/>
        <v>0</v>
      </c>
      <c r="AF328">
        <f t="shared" si="117"/>
        <v>0</v>
      </c>
      <c r="AG328">
        <v>327</v>
      </c>
      <c r="AH328">
        <f t="shared" si="125"/>
        <v>0</v>
      </c>
      <c r="AI328">
        <f>IF(AG328&gt;='Loan Prepayment'!$E$11,'Loan Prepayment'!$E$12,'Loan Prepayment'!$B$6)</f>
        <v>7.5</v>
      </c>
      <c r="AJ328">
        <f>IF(AH328&lt;=0,0,MIN(IF(AG328='Loan Prepayment'!$E$11,IF('Loan Prepayment'!$E$13="Keep tenure, recalculate EMI",-PMT(AI328/1200,MAX(1,'Loan Prepayment'!$B$7*12-AG328+1),AH328),AJ327),IF(AND('Loan Prepayment'!$E$15="Reduce EMI",AM327&gt;0),-PMT(AI328/1200,MAX(1,'Loan Prepayment'!$B$7*12-AG328+1),AH328),AJ327)),AH328+AK328))</f>
        <v>0</v>
      </c>
      <c r="AK328">
        <f t="shared" si="118"/>
        <v>0</v>
      </c>
      <c r="AL328">
        <f t="shared" si="119"/>
        <v>0</v>
      </c>
      <c r="AM328">
        <f>IF(AH328&lt;=0,0,MIN(MAX(0,AH328-AL328),SUMIFS('Loan Prepayment'!$B$12:$B$16,'Loan Prepayment'!$A$12:$A$16,AG328)+IF(AND(AG328&gt;='Loan Prepayment'!$B$9,AG328&lt;='Loan Prepayment'!$E$16),'Loan Prepayment'!$B$8,0)))</f>
        <v>0</v>
      </c>
      <c r="AN328">
        <f t="shared" si="120"/>
        <v>0</v>
      </c>
    </row>
    <row r="329" spans="1:40" x14ac:dyDescent="0.35">
      <c r="A329">
        <v>328</v>
      </c>
      <c r="B329">
        <f t="shared" si="121"/>
        <v>0</v>
      </c>
      <c r="C329" s="78">
        <f>'Loan Prepayment'!$B$6</f>
        <v>8.5</v>
      </c>
      <c r="D329">
        <f>IF(B329&lt;=0,0,MIN(-PMT('Loan Prepayment'!$B$6/1200,'Loan Prepayment'!$B$7*12,'Loan Prepayment'!$B$5),B329+E329))</f>
        <v>0</v>
      </c>
      <c r="E329">
        <f t="shared" si="105"/>
        <v>0</v>
      </c>
      <c r="F329">
        <f t="shared" si="106"/>
        <v>0</v>
      </c>
      <c r="G329">
        <v>0</v>
      </c>
      <c r="H329">
        <f t="shared" si="107"/>
        <v>0</v>
      </c>
      <c r="I329">
        <v>328</v>
      </c>
      <c r="J329">
        <f t="shared" si="122"/>
        <v>0</v>
      </c>
      <c r="K329" s="78">
        <f>'Loan Prepayment'!$B$6</f>
        <v>8.5</v>
      </c>
      <c r="L329">
        <f>IF(J329&lt;=0,0,MIN(IF(AND('Loan Prepayment'!$E$15="Reduce EMI",O328&gt;0),-PMT(K329/1200,MAX(1,'Loan Prepayment'!$B$7*12-I329+1),J329),L328),J329+M329))</f>
        <v>0</v>
      </c>
      <c r="M329">
        <f t="shared" si="108"/>
        <v>0</v>
      </c>
      <c r="N329">
        <f t="shared" si="109"/>
        <v>0</v>
      </c>
      <c r="O329">
        <f>IF(J329&lt;=0,0,MIN(MAX(0,J329-N329),SUMIFS('Loan Prepayment'!$B$12:$B$16,'Loan Prepayment'!$A$12:$A$16,I329)+0))</f>
        <v>0</v>
      </c>
      <c r="P329">
        <f t="shared" si="110"/>
        <v>0</v>
      </c>
      <c r="Q329">
        <v>328</v>
      </c>
      <c r="R329">
        <f t="shared" si="123"/>
        <v>0</v>
      </c>
      <c r="S329" s="78">
        <f>'Loan Prepayment'!$B$6</f>
        <v>8.5</v>
      </c>
      <c r="T329">
        <f>IF(R329&lt;=0,0,MIN(IF(AND('Loan Prepayment'!$E$15="Reduce EMI",W328&gt;0),-PMT(S329/1200,MAX(1,'Loan Prepayment'!$B$7*12-Q329+1),R329),T328),R329+U329))</f>
        <v>0</v>
      </c>
      <c r="U329">
        <f t="shared" si="111"/>
        <v>0</v>
      </c>
      <c r="V329">
        <f t="shared" si="112"/>
        <v>0</v>
      </c>
      <c r="W329">
        <f>IF(R329&lt;=0,0,MIN(MAX(0,R329-V329),0+IF(AND(Q329&gt;='Loan Prepayment'!$B$9,Q329&lt;='Loan Prepayment'!$E$16),'Loan Prepayment'!$B$8,0)))</f>
        <v>0</v>
      </c>
      <c r="X329">
        <f t="shared" si="113"/>
        <v>0</v>
      </c>
      <c r="Y329">
        <v>328</v>
      </c>
      <c r="Z329">
        <f t="shared" si="124"/>
        <v>0</v>
      </c>
      <c r="AA329">
        <f>IF(Y329&gt;='Loan Prepayment'!$E$11,'Loan Prepayment'!$E$12,'Loan Prepayment'!$B$6)</f>
        <v>7.5</v>
      </c>
      <c r="AB329">
        <f>IF(Z329&lt;=0,0,MIN(IF(Y329='Loan Prepayment'!$E$11,IF('Loan Prepayment'!$E$13="Keep tenure, recalculate EMI",-PMT(AA329/1200,MAX(1,'Loan Prepayment'!$B$7*12-Y329+1),Z329),AB328),AB328),Z329+AC329))</f>
        <v>0</v>
      </c>
      <c r="AC329">
        <f t="shared" si="114"/>
        <v>0</v>
      </c>
      <c r="AD329">
        <f t="shared" si="115"/>
        <v>0</v>
      </c>
      <c r="AE329">
        <f t="shared" si="116"/>
        <v>0</v>
      </c>
      <c r="AF329">
        <f t="shared" si="117"/>
        <v>0</v>
      </c>
      <c r="AG329">
        <v>328</v>
      </c>
      <c r="AH329">
        <f t="shared" si="125"/>
        <v>0</v>
      </c>
      <c r="AI329">
        <f>IF(AG329&gt;='Loan Prepayment'!$E$11,'Loan Prepayment'!$E$12,'Loan Prepayment'!$B$6)</f>
        <v>7.5</v>
      </c>
      <c r="AJ329">
        <f>IF(AH329&lt;=0,0,MIN(IF(AG329='Loan Prepayment'!$E$11,IF('Loan Prepayment'!$E$13="Keep tenure, recalculate EMI",-PMT(AI329/1200,MAX(1,'Loan Prepayment'!$B$7*12-AG329+1),AH329),AJ328),IF(AND('Loan Prepayment'!$E$15="Reduce EMI",AM328&gt;0),-PMT(AI329/1200,MAX(1,'Loan Prepayment'!$B$7*12-AG329+1),AH329),AJ328)),AH329+AK329))</f>
        <v>0</v>
      </c>
      <c r="AK329">
        <f t="shared" si="118"/>
        <v>0</v>
      </c>
      <c r="AL329">
        <f t="shared" si="119"/>
        <v>0</v>
      </c>
      <c r="AM329">
        <f>IF(AH329&lt;=0,0,MIN(MAX(0,AH329-AL329),SUMIFS('Loan Prepayment'!$B$12:$B$16,'Loan Prepayment'!$A$12:$A$16,AG329)+IF(AND(AG329&gt;='Loan Prepayment'!$B$9,AG329&lt;='Loan Prepayment'!$E$16),'Loan Prepayment'!$B$8,0)))</f>
        <v>0</v>
      </c>
      <c r="AN329">
        <f t="shared" si="120"/>
        <v>0</v>
      </c>
    </row>
    <row r="330" spans="1:40" x14ac:dyDescent="0.35">
      <c r="A330">
        <v>329</v>
      </c>
      <c r="B330">
        <f t="shared" si="121"/>
        <v>0</v>
      </c>
      <c r="C330" s="78">
        <f>'Loan Prepayment'!$B$6</f>
        <v>8.5</v>
      </c>
      <c r="D330">
        <f>IF(B330&lt;=0,0,MIN(-PMT('Loan Prepayment'!$B$6/1200,'Loan Prepayment'!$B$7*12,'Loan Prepayment'!$B$5),B330+E330))</f>
        <v>0</v>
      </c>
      <c r="E330">
        <f t="shared" si="105"/>
        <v>0</v>
      </c>
      <c r="F330">
        <f t="shared" si="106"/>
        <v>0</v>
      </c>
      <c r="G330">
        <v>0</v>
      </c>
      <c r="H330">
        <f t="shared" si="107"/>
        <v>0</v>
      </c>
      <c r="I330">
        <v>329</v>
      </c>
      <c r="J330">
        <f t="shared" si="122"/>
        <v>0</v>
      </c>
      <c r="K330" s="78">
        <f>'Loan Prepayment'!$B$6</f>
        <v>8.5</v>
      </c>
      <c r="L330">
        <f>IF(J330&lt;=0,0,MIN(IF(AND('Loan Prepayment'!$E$15="Reduce EMI",O329&gt;0),-PMT(K330/1200,MAX(1,'Loan Prepayment'!$B$7*12-I330+1),J330),L329),J330+M330))</f>
        <v>0</v>
      </c>
      <c r="M330">
        <f t="shared" si="108"/>
        <v>0</v>
      </c>
      <c r="N330">
        <f t="shared" si="109"/>
        <v>0</v>
      </c>
      <c r="O330">
        <f>IF(J330&lt;=0,0,MIN(MAX(0,J330-N330),SUMIFS('Loan Prepayment'!$B$12:$B$16,'Loan Prepayment'!$A$12:$A$16,I330)+0))</f>
        <v>0</v>
      </c>
      <c r="P330">
        <f t="shared" si="110"/>
        <v>0</v>
      </c>
      <c r="Q330">
        <v>329</v>
      </c>
      <c r="R330">
        <f t="shared" si="123"/>
        <v>0</v>
      </c>
      <c r="S330" s="78">
        <f>'Loan Prepayment'!$B$6</f>
        <v>8.5</v>
      </c>
      <c r="T330">
        <f>IF(R330&lt;=0,0,MIN(IF(AND('Loan Prepayment'!$E$15="Reduce EMI",W329&gt;0),-PMT(S330/1200,MAX(1,'Loan Prepayment'!$B$7*12-Q330+1),R330),T329),R330+U330))</f>
        <v>0</v>
      </c>
      <c r="U330">
        <f t="shared" si="111"/>
        <v>0</v>
      </c>
      <c r="V330">
        <f t="shared" si="112"/>
        <v>0</v>
      </c>
      <c r="W330">
        <f>IF(R330&lt;=0,0,MIN(MAX(0,R330-V330),0+IF(AND(Q330&gt;='Loan Prepayment'!$B$9,Q330&lt;='Loan Prepayment'!$E$16),'Loan Prepayment'!$B$8,0)))</f>
        <v>0</v>
      </c>
      <c r="X330">
        <f t="shared" si="113"/>
        <v>0</v>
      </c>
      <c r="Y330">
        <v>329</v>
      </c>
      <c r="Z330">
        <f t="shared" si="124"/>
        <v>0</v>
      </c>
      <c r="AA330">
        <f>IF(Y330&gt;='Loan Prepayment'!$E$11,'Loan Prepayment'!$E$12,'Loan Prepayment'!$B$6)</f>
        <v>7.5</v>
      </c>
      <c r="AB330">
        <f>IF(Z330&lt;=0,0,MIN(IF(Y330='Loan Prepayment'!$E$11,IF('Loan Prepayment'!$E$13="Keep tenure, recalculate EMI",-PMT(AA330/1200,MAX(1,'Loan Prepayment'!$B$7*12-Y330+1),Z330),AB329),AB329),Z330+AC330))</f>
        <v>0</v>
      </c>
      <c r="AC330">
        <f t="shared" si="114"/>
        <v>0</v>
      </c>
      <c r="AD330">
        <f t="shared" si="115"/>
        <v>0</v>
      </c>
      <c r="AE330">
        <f t="shared" si="116"/>
        <v>0</v>
      </c>
      <c r="AF330">
        <f t="shared" si="117"/>
        <v>0</v>
      </c>
      <c r="AG330">
        <v>329</v>
      </c>
      <c r="AH330">
        <f t="shared" si="125"/>
        <v>0</v>
      </c>
      <c r="AI330">
        <f>IF(AG330&gt;='Loan Prepayment'!$E$11,'Loan Prepayment'!$E$12,'Loan Prepayment'!$B$6)</f>
        <v>7.5</v>
      </c>
      <c r="AJ330">
        <f>IF(AH330&lt;=0,0,MIN(IF(AG330='Loan Prepayment'!$E$11,IF('Loan Prepayment'!$E$13="Keep tenure, recalculate EMI",-PMT(AI330/1200,MAX(1,'Loan Prepayment'!$B$7*12-AG330+1),AH330),AJ329),IF(AND('Loan Prepayment'!$E$15="Reduce EMI",AM329&gt;0),-PMT(AI330/1200,MAX(1,'Loan Prepayment'!$B$7*12-AG330+1),AH330),AJ329)),AH330+AK330))</f>
        <v>0</v>
      </c>
      <c r="AK330">
        <f t="shared" si="118"/>
        <v>0</v>
      </c>
      <c r="AL330">
        <f t="shared" si="119"/>
        <v>0</v>
      </c>
      <c r="AM330">
        <f>IF(AH330&lt;=0,0,MIN(MAX(0,AH330-AL330),SUMIFS('Loan Prepayment'!$B$12:$B$16,'Loan Prepayment'!$A$12:$A$16,AG330)+IF(AND(AG330&gt;='Loan Prepayment'!$B$9,AG330&lt;='Loan Prepayment'!$E$16),'Loan Prepayment'!$B$8,0)))</f>
        <v>0</v>
      </c>
      <c r="AN330">
        <f t="shared" si="120"/>
        <v>0</v>
      </c>
    </row>
    <row r="331" spans="1:40" x14ac:dyDescent="0.35">
      <c r="A331">
        <v>330</v>
      </c>
      <c r="B331">
        <f t="shared" si="121"/>
        <v>0</v>
      </c>
      <c r="C331" s="78">
        <f>'Loan Prepayment'!$B$6</f>
        <v>8.5</v>
      </c>
      <c r="D331">
        <f>IF(B331&lt;=0,0,MIN(-PMT('Loan Prepayment'!$B$6/1200,'Loan Prepayment'!$B$7*12,'Loan Prepayment'!$B$5),B331+E331))</f>
        <v>0</v>
      </c>
      <c r="E331">
        <f t="shared" si="105"/>
        <v>0</v>
      </c>
      <c r="F331">
        <f t="shared" si="106"/>
        <v>0</v>
      </c>
      <c r="G331">
        <v>0</v>
      </c>
      <c r="H331">
        <f t="shared" si="107"/>
        <v>0</v>
      </c>
      <c r="I331">
        <v>330</v>
      </c>
      <c r="J331">
        <f t="shared" si="122"/>
        <v>0</v>
      </c>
      <c r="K331" s="78">
        <f>'Loan Prepayment'!$B$6</f>
        <v>8.5</v>
      </c>
      <c r="L331">
        <f>IF(J331&lt;=0,0,MIN(IF(AND('Loan Prepayment'!$E$15="Reduce EMI",O330&gt;0),-PMT(K331/1200,MAX(1,'Loan Prepayment'!$B$7*12-I331+1),J331),L330),J331+M331))</f>
        <v>0</v>
      </c>
      <c r="M331">
        <f t="shared" si="108"/>
        <v>0</v>
      </c>
      <c r="N331">
        <f t="shared" si="109"/>
        <v>0</v>
      </c>
      <c r="O331">
        <f>IF(J331&lt;=0,0,MIN(MAX(0,J331-N331),SUMIFS('Loan Prepayment'!$B$12:$B$16,'Loan Prepayment'!$A$12:$A$16,I331)+0))</f>
        <v>0</v>
      </c>
      <c r="P331">
        <f t="shared" si="110"/>
        <v>0</v>
      </c>
      <c r="Q331">
        <v>330</v>
      </c>
      <c r="R331">
        <f t="shared" si="123"/>
        <v>0</v>
      </c>
      <c r="S331" s="78">
        <f>'Loan Prepayment'!$B$6</f>
        <v>8.5</v>
      </c>
      <c r="T331">
        <f>IF(R331&lt;=0,0,MIN(IF(AND('Loan Prepayment'!$E$15="Reduce EMI",W330&gt;0),-PMT(S331/1200,MAX(1,'Loan Prepayment'!$B$7*12-Q331+1),R331),T330),R331+U331))</f>
        <v>0</v>
      </c>
      <c r="U331">
        <f t="shared" si="111"/>
        <v>0</v>
      </c>
      <c r="V331">
        <f t="shared" si="112"/>
        <v>0</v>
      </c>
      <c r="W331">
        <f>IF(R331&lt;=0,0,MIN(MAX(0,R331-V331),0+IF(AND(Q331&gt;='Loan Prepayment'!$B$9,Q331&lt;='Loan Prepayment'!$E$16),'Loan Prepayment'!$B$8,0)))</f>
        <v>0</v>
      </c>
      <c r="X331">
        <f t="shared" si="113"/>
        <v>0</v>
      </c>
      <c r="Y331">
        <v>330</v>
      </c>
      <c r="Z331">
        <f t="shared" si="124"/>
        <v>0</v>
      </c>
      <c r="AA331">
        <f>IF(Y331&gt;='Loan Prepayment'!$E$11,'Loan Prepayment'!$E$12,'Loan Prepayment'!$B$6)</f>
        <v>7.5</v>
      </c>
      <c r="AB331">
        <f>IF(Z331&lt;=0,0,MIN(IF(Y331='Loan Prepayment'!$E$11,IF('Loan Prepayment'!$E$13="Keep tenure, recalculate EMI",-PMT(AA331/1200,MAX(1,'Loan Prepayment'!$B$7*12-Y331+1),Z331),AB330),AB330),Z331+AC331))</f>
        <v>0</v>
      </c>
      <c r="AC331">
        <f t="shared" si="114"/>
        <v>0</v>
      </c>
      <c r="AD331">
        <f t="shared" si="115"/>
        <v>0</v>
      </c>
      <c r="AE331">
        <f t="shared" si="116"/>
        <v>0</v>
      </c>
      <c r="AF331">
        <f t="shared" si="117"/>
        <v>0</v>
      </c>
      <c r="AG331">
        <v>330</v>
      </c>
      <c r="AH331">
        <f t="shared" si="125"/>
        <v>0</v>
      </c>
      <c r="AI331">
        <f>IF(AG331&gt;='Loan Prepayment'!$E$11,'Loan Prepayment'!$E$12,'Loan Prepayment'!$B$6)</f>
        <v>7.5</v>
      </c>
      <c r="AJ331">
        <f>IF(AH331&lt;=0,0,MIN(IF(AG331='Loan Prepayment'!$E$11,IF('Loan Prepayment'!$E$13="Keep tenure, recalculate EMI",-PMT(AI331/1200,MAX(1,'Loan Prepayment'!$B$7*12-AG331+1),AH331),AJ330),IF(AND('Loan Prepayment'!$E$15="Reduce EMI",AM330&gt;0),-PMT(AI331/1200,MAX(1,'Loan Prepayment'!$B$7*12-AG331+1),AH331),AJ330)),AH331+AK331))</f>
        <v>0</v>
      </c>
      <c r="AK331">
        <f t="shared" si="118"/>
        <v>0</v>
      </c>
      <c r="AL331">
        <f t="shared" si="119"/>
        <v>0</v>
      </c>
      <c r="AM331">
        <f>IF(AH331&lt;=0,0,MIN(MAX(0,AH331-AL331),SUMIFS('Loan Prepayment'!$B$12:$B$16,'Loan Prepayment'!$A$12:$A$16,AG331)+IF(AND(AG331&gt;='Loan Prepayment'!$B$9,AG331&lt;='Loan Prepayment'!$E$16),'Loan Prepayment'!$B$8,0)))</f>
        <v>0</v>
      </c>
      <c r="AN331">
        <f t="shared" si="120"/>
        <v>0</v>
      </c>
    </row>
    <row r="332" spans="1:40" x14ac:dyDescent="0.35">
      <c r="A332">
        <v>331</v>
      </c>
      <c r="B332">
        <f t="shared" si="121"/>
        <v>0</v>
      </c>
      <c r="C332" s="78">
        <f>'Loan Prepayment'!$B$6</f>
        <v>8.5</v>
      </c>
      <c r="D332">
        <f>IF(B332&lt;=0,0,MIN(-PMT('Loan Prepayment'!$B$6/1200,'Loan Prepayment'!$B$7*12,'Loan Prepayment'!$B$5),B332+E332))</f>
        <v>0</v>
      </c>
      <c r="E332">
        <f t="shared" si="105"/>
        <v>0</v>
      </c>
      <c r="F332">
        <f t="shared" si="106"/>
        <v>0</v>
      </c>
      <c r="G332">
        <v>0</v>
      </c>
      <c r="H332">
        <f t="shared" si="107"/>
        <v>0</v>
      </c>
      <c r="I332">
        <v>331</v>
      </c>
      <c r="J332">
        <f t="shared" si="122"/>
        <v>0</v>
      </c>
      <c r="K332" s="78">
        <f>'Loan Prepayment'!$B$6</f>
        <v>8.5</v>
      </c>
      <c r="L332">
        <f>IF(J332&lt;=0,0,MIN(IF(AND('Loan Prepayment'!$E$15="Reduce EMI",O331&gt;0),-PMT(K332/1200,MAX(1,'Loan Prepayment'!$B$7*12-I332+1),J332),L331),J332+M332))</f>
        <v>0</v>
      </c>
      <c r="M332">
        <f t="shared" si="108"/>
        <v>0</v>
      </c>
      <c r="N332">
        <f t="shared" si="109"/>
        <v>0</v>
      </c>
      <c r="O332">
        <f>IF(J332&lt;=0,0,MIN(MAX(0,J332-N332),SUMIFS('Loan Prepayment'!$B$12:$B$16,'Loan Prepayment'!$A$12:$A$16,I332)+0))</f>
        <v>0</v>
      </c>
      <c r="P332">
        <f t="shared" si="110"/>
        <v>0</v>
      </c>
      <c r="Q332">
        <v>331</v>
      </c>
      <c r="R332">
        <f t="shared" si="123"/>
        <v>0</v>
      </c>
      <c r="S332" s="78">
        <f>'Loan Prepayment'!$B$6</f>
        <v>8.5</v>
      </c>
      <c r="T332">
        <f>IF(R332&lt;=0,0,MIN(IF(AND('Loan Prepayment'!$E$15="Reduce EMI",W331&gt;0),-PMT(S332/1200,MAX(1,'Loan Prepayment'!$B$7*12-Q332+1),R332),T331),R332+U332))</f>
        <v>0</v>
      </c>
      <c r="U332">
        <f t="shared" si="111"/>
        <v>0</v>
      </c>
      <c r="V332">
        <f t="shared" si="112"/>
        <v>0</v>
      </c>
      <c r="W332">
        <f>IF(R332&lt;=0,0,MIN(MAX(0,R332-V332),0+IF(AND(Q332&gt;='Loan Prepayment'!$B$9,Q332&lt;='Loan Prepayment'!$E$16),'Loan Prepayment'!$B$8,0)))</f>
        <v>0</v>
      </c>
      <c r="X332">
        <f t="shared" si="113"/>
        <v>0</v>
      </c>
      <c r="Y332">
        <v>331</v>
      </c>
      <c r="Z332">
        <f t="shared" si="124"/>
        <v>0</v>
      </c>
      <c r="AA332">
        <f>IF(Y332&gt;='Loan Prepayment'!$E$11,'Loan Prepayment'!$E$12,'Loan Prepayment'!$B$6)</f>
        <v>7.5</v>
      </c>
      <c r="AB332">
        <f>IF(Z332&lt;=0,0,MIN(IF(Y332='Loan Prepayment'!$E$11,IF('Loan Prepayment'!$E$13="Keep tenure, recalculate EMI",-PMT(AA332/1200,MAX(1,'Loan Prepayment'!$B$7*12-Y332+1),Z332),AB331),AB331),Z332+AC332))</f>
        <v>0</v>
      </c>
      <c r="AC332">
        <f t="shared" si="114"/>
        <v>0</v>
      </c>
      <c r="AD332">
        <f t="shared" si="115"/>
        <v>0</v>
      </c>
      <c r="AE332">
        <f t="shared" si="116"/>
        <v>0</v>
      </c>
      <c r="AF332">
        <f t="shared" si="117"/>
        <v>0</v>
      </c>
      <c r="AG332">
        <v>331</v>
      </c>
      <c r="AH332">
        <f t="shared" si="125"/>
        <v>0</v>
      </c>
      <c r="AI332">
        <f>IF(AG332&gt;='Loan Prepayment'!$E$11,'Loan Prepayment'!$E$12,'Loan Prepayment'!$B$6)</f>
        <v>7.5</v>
      </c>
      <c r="AJ332">
        <f>IF(AH332&lt;=0,0,MIN(IF(AG332='Loan Prepayment'!$E$11,IF('Loan Prepayment'!$E$13="Keep tenure, recalculate EMI",-PMT(AI332/1200,MAX(1,'Loan Prepayment'!$B$7*12-AG332+1),AH332),AJ331),IF(AND('Loan Prepayment'!$E$15="Reduce EMI",AM331&gt;0),-PMT(AI332/1200,MAX(1,'Loan Prepayment'!$B$7*12-AG332+1),AH332),AJ331)),AH332+AK332))</f>
        <v>0</v>
      </c>
      <c r="AK332">
        <f t="shared" si="118"/>
        <v>0</v>
      </c>
      <c r="AL332">
        <f t="shared" si="119"/>
        <v>0</v>
      </c>
      <c r="AM332">
        <f>IF(AH332&lt;=0,0,MIN(MAX(0,AH332-AL332),SUMIFS('Loan Prepayment'!$B$12:$B$16,'Loan Prepayment'!$A$12:$A$16,AG332)+IF(AND(AG332&gt;='Loan Prepayment'!$B$9,AG332&lt;='Loan Prepayment'!$E$16),'Loan Prepayment'!$B$8,0)))</f>
        <v>0</v>
      </c>
      <c r="AN332">
        <f t="shared" si="120"/>
        <v>0</v>
      </c>
    </row>
    <row r="333" spans="1:40" x14ac:dyDescent="0.35">
      <c r="A333">
        <v>332</v>
      </c>
      <c r="B333">
        <f t="shared" si="121"/>
        <v>0</v>
      </c>
      <c r="C333" s="78">
        <f>'Loan Prepayment'!$B$6</f>
        <v>8.5</v>
      </c>
      <c r="D333">
        <f>IF(B333&lt;=0,0,MIN(-PMT('Loan Prepayment'!$B$6/1200,'Loan Prepayment'!$B$7*12,'Loan Prepayment'!$B$5),B333+E333))</f>
        <v>0</v>
      </c>
      <c r="E333">
        <f t="shared" si="105"/>
        <v>0</v>
      </c>
      <c r="F333">
        <f t="shared" si="106"/>
        <v>0</v>
      </c>
      <c r="G333">
        <v>0</v>
      </c>
      <c r="H333">
        <f t="shared" si="107"/>
        <v>0</v>
      </c>
      <c r="I333">
        <v>332</v>
      </c>
      <c r="J333">
        <f t="shared" si="122"/>
        <v>0</v>
      </c>
      <c r="K333" s="78">
        <f>'Loan Prepayment'!$B$6</f>
        <v>8.5</v>
      </c>
      <c r="L333">
        <f>IF(J333&lt;=0,0,MIN(IF(AND('Loan Prepayment'!$E$15="Reduce EMI",O332&gt;0),-PMT(K333/1200,MAX(1,'Loan Prepayment'!$B$7*12-I333+1),J333),L332),J333+M333))</f>
        <v>0</v>
      </c>
      <c r="M333">
        <f t="shared" si="108"/>
        <v>0</v>
      </c>
      <c r="N333">
        <f t="shared" si="109"/>
        <v>0</v>
      </c>
      <c r="O333">
        <f>IF(J333&lt;=0,0,MIN(MAX(0,J333-N333),SUMIFS('Loan Prepayment'!$B$12:$B$16,'Loan Prepayment'!$A$12:$A$16,I333)+0))</f>
        <v>0</v>
      </c>
      <c r="P333">
        <f t="shared" si="110"/>
        <v>0</v>
      </c>
      <c r="Q333">
        <v>332</v>
      </c>
      <c r="R333">
        <f t="shared" si="123"/>
        <v>0</v>
      </c>
      <c r="S333" s="78">
        <f>'Loan Prepayment'!$B$6</f>
        <v>8.5</v>
      </c>
      <c r="T333">
        <f>IF(R333&lt;=0,0,MIN(IF(AND('Loan Prepayment'!$E$15="Reduce EMI",W332&gt;0),-PMT(S333/1200,MAX(1,'Loan Prepayment'!$B$7*12-Q333+1),R333),T332),R333+U333))</f>
        <v>0</v>
      </c>
      <c r="U333">
        <f t="shared" si="111"/>
        <v>0</v>
      </c>
      <c r="V333">
        <f t="shared" si="112"/>
        <v>0</v>
      </c>
      <c r="W333">
        <f>IF(R333&lt;=0,0,MIN(MAX(0,R333-V333),0+IF(AND(Q333&gt;='Loan Prepayment'!$B$9,Q333&lt;='Loan Prepayment'!$E$16),'Loan Prepayment'!$B$8,0)))</f>
        <v>0</v>
      </c>
      <c r="X333">
        <f t="shared" si="113"/>
        <v>0</v>
      </c>
      <c r="Y333">
        <v>332</v>
      </c>
      <c r="Z333">
        <f t="shared" si="124"/>
        <v>0</v>
      </c>
      <c r="AA333">
        <f>IF(Y333&gt;='Loan Prepayment'!$E$11,'Loan Prepayment'!$E$12,'Loan Prepayment'!$B$6)</f>
        <v>7.5</v>
      </c>
      <c r="AB333">
        <f>IF(Z333&lt;=0,0,MIN(IF(Y333='Loan Prepayment'!$E$11,IF('Loan Prepayment'!$E$13="Keep tenure, recalculate EMI",-PMT(AA333/1200,MAX(1,'Loan Prepayment'!$B$7*12-Y333+1),Z333),AB332),AB332),Z333+AC333))</f>
        <v>0</v>
      </c>
      <c r="AC333">
        <f t="shared" si="114"/>
        <v>0</v>
      </c>
      <c r="AD333">
        <f t="shared" si="115"/>
        <v>0</v>
      </c>
      <c r="AE333">
        <f t="shared" si="116"/>
        <v>0</v>
      </c>
      <c r="AF333">
        <f t="shared" si="117"/>
        <v>0</v>
      </c>
      <c r="AG333">
        <v>332</v>
      </c>
      <c r="AH333">
        <f t="shared" si="125"/>
        <v>0</v>
      </c>
      <c r="AI333">
        <f>IF(AG333&gt;='Loan Prepayment'!$E$11,'Loan Prepayment'!$E$12,'Loan Prepayment'!$B$6)</f>
        <v>7.5</v>
      </c>
      <c r="AJ333">
        <f>IF(AH333&lt;=0,0,MIN(IF(AG333='Loan Prepayment'!$E$11,IF('Loan Prepayment'!$E$13="Keep tenure, recalculate EMI",-PMT(AI333/1200,MAX(1,'Loan Prepayment'!$B$7*12-AG333+1),AH333),AJ332),IF(AND('Loan Prepayment'!$E$15="Reduce EMI",AM332&gt;0),-PMT(AI333/1200,MAX(1,'Loan Prepayment'!$B$7*12-AG333+1),AH333),AJ332)),AH333+AK333))</f>
        <v>0</v>
      </c>
      <c r="AK333">
        <f t="shared" si="118"/>
        <v>0</v>
      </c>
      <c r="AL333">
        <f t="shared" si="119"/>
        <v>0</v>
      </c>
      <c r="AM333">
        <f>IF(AH333&lt;=0,0,MIN(MAX(0,AH333-AL333),SUMIFS('Loan Prepayment'!$B$12:$B$16,'Loan Prepayment'!$A$12:$A$16,AG333)+IF(AND(AG333&gt;='Loan Prepayment'!$B$9,AG333&lt;='Loan Prepayment'!$E$16),'Loan Prepayment'!$B$8,0)))</f>
        <v>0</v>
      </c>
      <c r="AN333">
        <f t="shared" si="120"/>
        <v>0</v>
      </c>
    </row>
    <row r="334" spans="1:40" x14ac:dyDescent="0.35">
      <c r="A334">
        <v>333</v>
      </c>
      <c r="B334">
        <f t="shared" si="121"/>
        <v>0</v>
      </c>
      <c r="C334" s="78">
        <f>'Loan Prepayment'!$B$6</f>
        <v>8.5</v>
      </c>
      <c r="D334">
        <f>IF(B334&lt;=0,0,MIN(-PMT('Loan Prepayment'!$B$6/1200,'Loan Prepayment'!$B$7*12,'Loan Prepayment'!$B$5),B334+E334))</f>
        <v>0</v>
      </c>
      <c r="E334">
        <f t="shared" si="105"/>
        <v>0</v>
      </c>
      <c r="F334">
        <f t="shared" si="106"/>
        <v>0</v>
      </c>
      <c r="G334">
        <v>0</v>
      </c>
      <c r="H334">
        <f t="shared" si="107"/>
        <v>0</v>
      </c>
      <c r="I334">
        <v>333</v>
      </c>
      <c r="J334">
        <f t="shared" si="122"/>
        <v>0</v>
      </c>
      <c r="K334" s="78">
        <f>'Loan Prepayment'!$B$6</f>
        <v>8.5</v>
      </c>
      <c r="L334">
        <f>IF(J334&lt;=0,0,MIN(IF(AND('Loan Prepayment'!$E$15="Reduce EMI",O333&gt;0),-PMT(K334/1200,MAX(1,'Loan Prepayment'!$B$7*12-I334+1),J334),L333),J334+M334))</f>
        <v>0</v>
      </c>
      <c r="M334">
        <f t="shared" si="108"/>
        <v>0</v>
      </c>
      <c r="N334">
        <f t="shared" si="109"/>
        <v>0</v>
      </c>
      <c r="O334">
        <f>IF(J334&lt;=0,0,MIN(MAX(0,J334-N334),SUMIFS('Loan Prepayment'!$B$12:$B$16,'Loan Prepayment'!$A$12:$A$16,I334)+0))</f>
        <v>0</v>
      </c>
      <c r="P334">
        <f t="shared" si="110"/>
        <v>0</v>
      </c>
      <c r="Q334">
        <v>333</v>
      </c>
      <c r="R334">
        <f t="shared" si="123"/>
        <v>0</v>
      </c>
      <c r="S334" s="78">
        <f>'Loan Prepayment'!$B$6</f>
        <v>8.5</v>
      </c>
      <c r="T334">
        <f>IF(R334&lt;=0,0,MIN(IF(AND('Loan Prepayment'!$E$15="Reduce EMI",W333&gt;0),-PMT(S334/1200,MAX(1,'Loan Prepayment'!$B$7*12-Q334+1),R334),T333),R334+U334))</f>
        <v>0</v>
      </c>
      <c r="U334">
        <f t="shared" si="111"/>
        <v>0</v>
      </c>
      <c r="V334">
        <f t="shared" si="112"/>
        <v>0</v>
      </c>
      <c r="W334">
        <f>IF(R334&lt;=0,0,MIN(MAX(0,R334-V334),0+IF(AND(Q334&gt;='Loan Prepayment'!$B$9,Q334&lt;='Loan Prepayment'!$E$16),'Loan Prepayment'!$B$8,0)))</f>
        <v>0</v>
      </c>
      <c r="X334">
        <f t="shared" si="113"/>
        <v>0</v>
      </c>
      <c r="Y334">
        <v>333</v>
      </c>
      <c r="Z334">
        <f t="shared" si="124"/>
        <v>0</v>
      </c>
      <c r="AA334">
        <f>IF(Y334&gt;='Loan Prepayment'!$E$11,'Loan Prepayment'!$E$12,'Loan Prepayment'!$B$6)</f>
        <v>7.5</v>
      </c>
      <c r="AB334">
        <f>IF(Z334&lt;=0,0,MIN(IF(Y334='Loan Prepayment'!$E$11,IF('Loan Prepayment'!$E$13="Keep tenure, recalculate EMI",-PMT(AA334/1200,MAX(1,'Loan Prepayment'!$B$7*12-Y334+1),Z334),AB333),AB333),Z334+AC334))</f>
        <v>0</v>
      </c>
      <c r="AC334">
        <f t="shared" si="114"/>
        <v>0</v>
      </c>
      <c r="AD334">
        <f t="shared" si="115"/>
        <v>0</v>
      </c>
      <c r="AE334">
        <f t="shared" si="116"/>
        <v>0</v>
      </c>
      <c r="AF334">
        <f t="shared" si="117"/>
        <v>0</v>
      </c>
      <c r="AG334">
        <v>333</v>
      </c>
      <c r="AH334">
        <f t="shared" si="125"/>
        <v>0</v>
      </c>
      <c r="AI334">
        <f>IF(AG334&gt;='Loan Prepayment'!$E$11,'Loan Prepayment'!$E$12,'Loan Prepayment'!$B$6)</f>
        <v>7.5</v>
      </c>
      <c r="AJ334">
        <f>IF(AH334&lt;=0,0,MIN(IF(AG334='Loan Prepayment'!$E$11,IF('Loan Prepayment'!$E$13="Keep tenure, recalculate EMI",-PMT(AI334/1200,MAX(1,'Loan Prepayment'!$B$7*12-AG334+1),AH334),AJ333),IF(AND('Loan Prepayment'!$E$15="Reduce EMI",AM333&gt;0),-PMT(AI334/1200,MAX(1,'Loan Prepayment'!$B$7*12-AG334+1),AH334),AJ333)),AH334+AK334))</f>
        <v>0</v>
      </c>
      <c r="AK334">
        <f t="shared" si="118"/>
        <v>0</v>
      </c>
      <c r="AL334">
        <f t="shared" si="119"/>
        <v>0</v>
      </c>
      <c r="AM334">
        <f>IF(AH334&lt;=0,0,MIN(MAX(0,AH334-AL334),SUMIFS('Loan Prepayment'!$B$12:$B$16,'Loan Prepayment'!$A$12:$A$16,AG334)+IF(AND(AG334&gt;='Loan Prepayment'!$B$9,AG334&lt;='Loan Prepayment'!$E$16),'Loan Prepayment'!$B$8,0)))</f>
        <v>0</v>
      </c>
      <c r="AN334">
        <f t="shared" si="120"/>
        <v>0</v>
      </c>
    </row>
    <row r="335" spans="1:40" x14ac:dyDescent="0.35">
      <c r="A335">
        <v>334</v>
      </c>
      <c r="B335">
        <f t="shared" si="121"/>
        <v>0</v>
      </c>
      <c r="C335" s="78">
        <f>'Loan Prepayment'!$B$6</f>
        <v>8.5</v>
      </c>
      <c r="D335">
        <f>IF(B335&lt;=0,0,MIN(-PMT('Loan Prepayment'!$B$6/1200,'Loan Prepayment'!$B$7*12,'Loan Prepayment'!$B$5),B335+E335))</f>
        <v>0</v>
      </c>
      <c r="E335">
        <f t="shared" si="105"/>
        <v>0</v>
      </c>
      <c r="F335">
        <f t="shared" si="106"/>
        <v>0</v>
      </c>
      <c r="G335">
        <v>0</v>
      </c>
      <c r="H335">
        <f t="shared" si="107"/>
        <v>0</v>
      </c>
      <c r="I335">
        <v>334</v>
      </c>
      <c r="J335">
        <f t="shared" si="122"/>
        <v>0</v>
      </c>
      <c r="K335" s="78">
        <f>'Loan Prepayment'!$B$6</f>
        <v>8.5</v>
      </c>
      <c r="L335">
        <f>IF(J335&lt;=0,0,MIN(IF(AND('Loan Prepayment'!$E$15="Reduce EMI",O334&gt;0),-PMT(K335/1200,MAX(1,'Loan Prepayment'!$B$7*12-I335+1),J335),L334),J335+M335))</f>
        <v>0</v>
      </c>
      <c r="M335">
        <f t="shared" si="108"/>
        <v>0</v>
      </c>
      <c r="N335">
        <f t="shared" si="109"/>
        <v>0</v>
      </c>
      <c r="O335">
        <f>IF(J335&lt;=0,0,MIN(MAX(0,J335-N335),SUMIFS('Loan Prepayment'!$B$12:$B$16,'Loan Prepayment'!$A$12:$A$16,I335)+0))</f>
        <v>0</v>
      </c>
      <c r="P335">
        <f t="shared" si="110"/>
        <v>0</v>
      </c>
      <c r="Q335">
        <v>334</v>
      </c>
      <c r="R335">
        <f t="shared" si="123"/>
        <v>0</v>
      </c>
      <c r="S335" s="78">
        <f>'Loan Prepayment'!$B$6</f>
        <v>8.5</v>
      </c>
      <c r="T335">
        <f>IF(R335&lt;=0,0,MIN(IF(AND('Loan Prepayment'!$E$15="Reduce EMI",W334&gt;0),-PMT(S335/1200,MAX(1,'Loan Prepayment'!$B$7*12-Q335+1),R335),T334),R335+U335))</f>
        <v>0</v>
      </c>
      <c r="U335">
        <f t="shared" si="111"/>
        <v>0</v>
      </c>
      <c r="V335">
        <f t="shared" si="112"/>
        <v>0</v>
      </c>
      <c r="W335">
        <f>IF(R335&lt;=0,0,MIN(MAX(0,R335-V335),0+IF(AND(Q335&gt;='Loan Prepayment'!$B$9,Q335&lt;='Loan Prepayment'!$E$16),'Loan Prepayment'!$B$8,0)))</f>
        <v>0</v>
      </c>
      <c r="X335">
        <f t="shared" si="113"/>
        <v>0</v>
      </c>
      <c r="Y335">
        <v>334</v>
      </c>
      <c r="Z335">
        <f t="shared" si="124"/>
        <v>0</v>
      </c>
      <c r="AA335">
        <f>IF(Y335&gt;='Loan Prepayment'!$E$11,'Loan Prepayment'!$E$12,'Loan Prepayment'!$B$6)</f>
        <v>7.5</v>
      </c>
      <c r="AB335">
        <f>IF(Z335&lt;=0,0,MIN(IF(Y335='Loan Prepayment'!$E$11,IF('Loan Prepayment'!$E$13="Keep tenure, recalculate EMI",-PMT(AA335/1200,MAX(1,'Loan Prepayment'!$B$7*12-Y335+1),Z335),AB334),AB334),Z335+AC335))</f>
        <v>0</v>
      </c>
      <c r="AC335">
        <f t="shared" si="114"/>
        <v>0</v>
      </c>
      <c r="AD335">
        <f t="shared" si="115"/>
        <v>0</v>
      </c>
      <c r="AE335">
        <f t="shared" si="116"/>
        <v>0</v>
      </c>
      <c r="AF335">
        <f t="shared" si="117"/>
        <v>0</v>
      </c>
      <c r="AG335">
        <v>334</v>
      </c>
      <c r="AH335">
        <f t="shared" si="125"/>
        <v>0</v>
      </c>
      <c r="AI335">
        <f>IF(AG335&gt;='Loan Prepayment'!$E$11,'Loan Prepayment'!$E$12,'Loan Prepayment'!$B$6)</f>
        <v>7.5</v>
      </c>
      <c r="AJ335">
        <f>IF(AH335&lt;=0,0,MIN(IF(AG335='Loan Prepayment'!$E$11,IF('Loan Prepayment'!$E$13="Keep tenure, recalculate EMI",-PMT(AI335/1200,MAX(1,'Loan Prepayment'!$B$7*12-AG335+1),AH335),AJ334),IF(AND('Loan Prepayment'!$E$15="Reduce EMI",AM334&gt;0),-PMT(AI335/1200,MAX(1,'Loan Prepayment'!$B$7*12-AG335+1),AH335),AJ334)),AH335+AK335))</f>
        <v>0</v>
      </c>
      <c r="AK335">
        <f t="shared" si="118"/>
        <v>0</v>
      </c>
      <c r="AL335">
        <f t="shared" si="119"/>
        <v>0</v>
      </c>
      <c r="AM335">
        <f>IF(AH335&lt;=0,0,MIN(MAX(0,AH335-AL335),SUMIFS('Loan Prepayment'!$B$12:$B$16,'Loan Prepayment'!$A$12:$A$16,AG335)+IF(AND(AG335&gt;='Loan Prepayment'!$B$9,AG335&lt;='Loan Prepayment'!$E$16),'Loan Prepayment'!$B$8,0)))</f>
        <v>0</v>
      </c>
      <c r="AN335">
        <f t="shared" si="120"/>
        <v>0</v>
      </c>
    </row>
    <row r="336" spans="1:40" x14ac:dyDescent="0.35">
      <c r="A336">
        <v>335</v>
      </c>
      <c r="B336">
        <f t="shared" si="121"/>
        <v>0</v>
      </c>
      <c r="C336" s="78">
        <f>'Loan Prepayment'!$B$6</f>
        <v>8.5</v>
      </c>
      <c r="D336">
        <f>IF(B336&lt;=0,0,MIN(-PMT('Loan Prepayment'!$B$6/1200,'Loan Prepayment'!$B$7*12,'Loan Prepayment'!$B$5),B336+E336))</f>
        <v>0</v>
      </c>
      <c r="E336">
        <f t="shared" si="105"/>
        <v>0</v>
      </c>
      <c r="F336">
        <f t="shared" si="106"/>
        <v>0</v>
      </c>
      <c r="G336">
        <v>0</v>
      </c>
      <c r="H336">
        <f t="shared" si="107"/>
        <v>0</v>
      </c>
      <c r="I336">
        <v>335</v>
      </c>
      <c r="J336">
        <f t="shared" si="122"/>
        <v>0</v>
      </c>
      <c r="K336" s="78">
        <f>'Loan Prepayment'!$B$6</f>
        <v>8.5</v>
      </c>
      <c r="L336">
        <f>IF(J336&lt;=0,0,MIN(IF(AND('Loan Prepayment'!$E$15="Reduce EMI",O335&gt;0),-PMT(K336/1200,MAX(1,'Loan Prepayment'!$B$7*12-I336+1),J336),L335),J336+M336))</f>
        <v>0</v>
      </c>
      <c r="M336">
        <f t="shared" si="108"/>
        <v>0</v>
      </c>
      <c r="N336">
        <f t="shared" si="109"/>
        <v>0</v>
      </c>
      <c r="O336">
        <f>IF(J336&lt;=0,0,MIN(MAX(0,J336-N336),SUMIFS('Loan Prepayment'!$B$12:$B$16,'Loan Prepayment'!$A$12:$A$16,I336)+0))</f>
        <v>0</v>
      </c>
      <c r="P336">
        <f t="shared" si="110"/>
        <v>0</v>
      </c>
      <c r="Q336">
        <v>335</v>
      </c>
      <c r="R336">
        <f t="shared" si="123"/>
        <v>0</v>
      </c>
      <c r="S336" s="78">
        <f>'Loan Prepayment'!$B$6</f>
        <v>8.5</v>
      </c>
      <c r="T336">
        <f>IF(R336&lt;=0,0,MIN(IF(AND('Loan Prepayment'!$E$15="Reduce EMI",W335&gt;0),-PMT(S336/1200,MAX(1,'Loan Prepayment'!$B$7*12-Q336+1),R336),T335),R336+U336))</f>
        <v>0</v>
      </c>
      <c r="U336">
        <f t="shared" si="111"/>
        <v>0</v>
      </c>
      <c r="V336">
        <f t="shared" si="112"/>
        <v>0</v>
      </c>
      <c r="W336">
        <f>IF(R336&lt;=0,0,MIN(MAX(0,R336-V336),0+IF(AND(Q336&gt;='Loan Prepayment'!$B$9,Q336&lt;='Loan Prepayment'!$E$16),'Loan Prepayment'!$B$8,0)))</f>
        <v>0</v>
      </c>
      <c r="X336">
        <f t="shared" si="113"/>
        <v>0</v>
      </c>
      <c r="Y336">
        <v>335</v>
      </c>
      <c r="Z336">
        <f t="shared" si="124"/>
        <v>0</v>
      </c>
      <c r="AA336">
        <f>IF(Y336&gt;='Loan Prepayment'!$E$11,'Loan Prepayment'!$E$12,'Loan Prepayment'!$B$6)</f>
        <v>7.5</v>
      </c>
      <c r="AB336">
        <f>IF(Z336&lt;=0,0,MIN(IF(Y336='Loan Prepayment'!$E$11,IF('Loan Prepayment'!$E$13="Keep tenure, recalculate EMI",-PMT(AA336/1200,MAX(1,'Loan Prepayment'!$B$7*12-Y336+1),Z336),AB335),AB335),Z336+AC336))</f>
        <v>0</v>
      </c>
      <c r="AC336">
        <f t="shared" si="114"/>
        <v>0</v>
      </c>
      <c r="AD336">
        <f t="shared" si="115"/>
        <v>0</v>
      </c>
      <c r="AE336">
        <f t="shared" si="116"/>
        <v>0</v>
      </c>
      <c r="AF336">
        <f t="shared" si="117"/>
        <v>0</v>
      </c>
      <c r="AG336">
        <v>335</v>
      </c>
      <c r="AH336">
        <f t="shared" si="125"/>
        <v>0</v>
      </c>
      <c r="AI336">
        <f>IF(AG336&gt;='Loan Prepayment'!$E$11,'Loan Prepayment'!$E$12,'Loan Prepayment'!$B$6)</f>
        <v>7.5</v>
      </c>
      <c r="AJ336">
        <f>IF(AH336&lt;=0,0,MIN(IF(AG336='Loan Prepayment'!$E$11,IF('Loan Prepayment'!$E$13="Keep tenure, recalculate EMI",-PMT(AI336/1200,MAX(1,'Loan Prepayment'!$B$7*12-AG336+1),AH336),AJ335),IF(AND('Loan Prepayment'!$E$15="Reduce EMI",AM335&gt;0),-PMT(AI336/1200,MAX(1,'Loan Prepayment'!$B$7*12-AG336+1),AH336),AJ335)),AH336+AK336))</f>
        <v>0</v>
      </c>
      <c r="AK336">
        <f t="shared" si="118"/>
        <v>0</v>
      </c>
      <c r="AL336">
        <f t="shared" si="119"/>
        <v>0</v>
      </c>
      <c r="AM336">
        <f>IF(AH336&lt;=0,0,MIN(MAX(0,AH336-AL336),SUMIFS('Loan Prepayment'!$B$12:$B$16,'Loan Prepayment'!$A$12:$A$16,AG336)+IF(AND(AG336&gt;='Loan Prepayment'!$B$9,AG336&lt;='Loan Prepayment'!$E$16),'Loan Prepayment'!$B$8,0)))</f>
        <v>0</v>
      </c>
      <c r="AN336">
        <f t="shared" si="120"/>
        <v>0</v>
      </c>
    </row>
    <row r="337" spans="1:40" x14ac:dyDescent="0.35">
      <c r="A337">
        <v>336</v>
      </c>
      <c r="B337">
        <f t="shared" si="121"/>
        <v>0</v>
      </c>
      <c r="C337" s="78">
        <f>'Loan Prepayment'!$B$6</f>
        <v>8.5</v>
      </c>
      <c r="D337">
        <f>IF(B337&lt;=0,0,MIN(-PMT('Loan Prepayment'!$B$6/1200,'Loan Prepayment'!$B$7*12,'Loan Prepayment'!$B$5),B337+E337))</f>
        <v>0</v>
      </c>
      <c r="E337">
        <f t="shared" si="105"/>
        <v>0</v>
      </c>
      <c r="F337">
        <f t="shared" si="106"/>
        <v>0</v>
      </c>
      <c r="G337">
        <v>0</v>
      </c>
      <c r="H337">
        <f t="shared" si="107"/>
        <v>0</v>
      </c>
      <c r="I337">
        <v>336</v>
      </c>
      <c r="J337">
        <f t="shared" si="122"/>
        <v>0</v>
      </c>
      <c r="K337" s="78">
        <f>'Loan Prepayment'!$B$6</f>
        <v>8.5</v>
      </c>
      <c r="L337">
        <f>IF(J337&lt;=0,0,MIN(IF(AND('Loan Prepayment'!$E$15="Reduce EMI",O336&gt;0),-PMT(K337/1200,MAX(1,'Loan Prepayment'!$B$7*12-I337+1),J337),L336),J337+M337))</f>
        <v>0</v>
      </c>
      <c r="M337">
        <f t="shared" si="108"/>
        <v>0</v>
      </c>
      <c r="N337">
        <f t="shared" si="109"/>
        <v>0</v>
      </c>
      <c r="O337">
        <f>IF(J337&lt;=0,0,MIN(MAX(0,J337-N337),SUMIFS('Loan Prepayment'!$B$12:$B$16,'Loan Prepayment'!$A$12:$A$16,I337)+0))</f>
        <v>0</v>
      </c>
      <c r="P337">
        <f t="shared" si="110"/>
        <v>0</v>
      </c>
      <c r="Q337">
        <v>336</v>
      </c>
      <c r="R337">
        <f t="shared" si="123"/>
        <v>0</v>
      </c>
      <c r="S337" s="78">
        <f>'Loan Prepayment'!$B$6</f>
        <v>8.5</v>
      </c>
      <c r="T337">
        <f>IF(R337&lt;=0,0,MIN(IF(AND('Loan Prepayment'!$E$15="Reduce EMI",W336&gt;0),-PMT(S337/1200,MAX(1,'Loan Prepayment'!$B$7*12-Q337+1),R337),T336),R337+U337))</f>
        <v>0</v>
      </c>
      <c r="U337">
        <f t="shared" si="111"/>
        <v>0</v>
      </c>
      <c r="V337">
        <f t="shared" si="112"/>
        <v>0</v>
      </c>
      <c r="W337">
        <f>IF(R337&lt;=0,0,MIN(MAX(0,R337-V337),0+IF(AND(Q337&gt;='Loan Prepayment'!$B$9,Q337&lt;='Loan Prepayment'!$E$16),'Loan Prepayment'!$B$8,0)))</f>
        <v>0</v>
      </c>
      <c r="X337">
        <f t="shared" si="113"/>
        <v>0</v>
      </c>
      <c r="Y337">
        <v>336</v>
      </c>
      <c r="Z337">
        <f t="shared" si="124"/>
        <v>0</v>
      </c>
      <c r="AA337">
        <f>IF(Y337&gt;='Loan Prepayment'!$E$11,'Loan Prepayment'!$E$12,'Loan Prepayment'!$B$6)</f>
        <v>7.5</v>
      </c>
      <c r="AB337">
        <f>IF(Z337&lt;=0,0,MIN(IF(Y337='Loan Prepayment'!$E$11,IF('Loan Prepayment'!$E$13="Keep tenure, recalculate EMI",-PMT(AA337/1200,MAX(1,'Loan Prepayment'!$B$7*12-Y337+1),Z337),AB336),AB336),Z337+AC337))</f>
        <v>0</v>
      </c>
      <c r="AC337">
        <f t="shared" si="114"/>
        <v>0</v>
      </c>
      <c r="AD337">
        <f t="shared" si="115"/>
        <v>0</v>
      </c>
      <c r="AE337">
        <f t="shared" si="116"/>
        <v>0</v>
      </c>
      <c r="AF337">
        <f t="shared" si="117"/>
        <v>0</v>
      </c>
      <c r="AG337">
        <v>336</v>
      </c>
      <c r="AH337">
        <f t="shared" si="125"/>
        <v>0</v>
      </c>
      <c r="AI337">
        <f>IF(AG337&gt;='Loan Prepayment'!$E$11,'Loan Prepayment'!$E$12,'Loan Prepayment'!$B$6)</f>
        <v>7.5</v>
      </c>
      <c r="AJ337">
        <f>IF(AH337&lt;=0,0,MIN(IF(AG337='Loan Prepayment'!$E$11,IF('Loan Prepayment'!$E$13="Keep tenure, recalculate EMI",-PMT(AI337/1200,MAX(1,'Loan Prepayment'!$B$7*12-AG337+1),AH337),AJ336),IF(AND('Loan Prepayment'!$E$15="Reduce EMI",AM336&gt;0),-PMT(AI337/1200,MAX(1,'Loan Prepayment'!$B$7*12-AG337+1),AH337),AJ336)),AH337+AK337))</f>
        <v>0</v>
      </c>
      <c r="AK337">
        <f t="shared" si="118"/>
        <v>0</v>
      </c>
      <c r="AL337">
        <f t="shared" si="119"/>
        <v>0</v>
      </c>
      <c r="AM337">
        <f>IF(AH337&lt;=0,0,MIN(MAX(0,AH337-AL337),SUMIFS('Loan Prepayment'!$B$12:$B$16,'Loan Prepayment'!$A$12:$A$16,AG337)+IF(AND(AG337&gt;='Loan Prepayment'!$B$9,AG337&lt;='Loan Prepayment'!$E$16),'Loan Prepayment'!$B$8,0)))</f>
        <v>0</v>
      </c>
      <c r="AN337">
        <f t="shared" si="120"/>
        <v>0</v>
      </c>
    </row>
    <row r="338" spans="1:40" x14ac:dyDescent="0.35">
      <c r="A338">
        <v>337</v>
      </c>
      <c r="B338">
        <f t="shared" si="121"/>
        <v>0</v>
      </c>
      <c r="C338" s="78">
        <f>'Loan Prepayment'!$B$6</f>
        <v>8.5</v>
      </c>
      <c r="D338">
        <f>IF(B338&lt;=0,0,MIN(-PMT('Loan Prepayment'!$B$6/1200,'Loan Prepayment'!$B$7*12,'Loan Prepayment'!$B$5),B338+E338))</f>
        <v>0</v>
      </c>
      <c r="E338">
        <f t="shared" si="105"/>
        <v>0</v>
      </c>
      <c r="F338">
        <f t="shared" si="106"/>
        <v>0</v>
      </c>
      <c r="G338">
        <v>0</v>
      </c>
      <c r="H338">
        <f t="shared" si="107"/>
        <v>0</v>
      </c>
      <c r="I338">
        <v>337</v>
      </c>
      <c r="J338">
        <f t="shared" si="122"/>
        <v>0</v>
      </c>
      <c r="K338" s="78">
        <f>'Loan Prepayment'!$B$6</f>
        <v>8.5</v>
      </c>
      <c r="L338">
        <f>IF(J338&lt;=0,0,MIN(IF(AND('Loan Prepayment'!$E$15="Reduce EMI",O337&gt;0),-PMT(K338/1200,MAX(1,'Loan Prepayment'!$B$7*12-I338+1),J338),L337),J338+M338))</f>
        <v>0</v>
      </c>
      <c r="M338">
        <f t="shared" si="108"/>
        <v>0</v>
      </c>
      <c r="N338">
        <f t="shared" si="109"/>
        <v>0</v>
      </c>
      <c r="O338">
        <f>IF(J338&lt;=0,0,MIN(MAX(0,J338-N338),SUMIFS('Loan Prepayment'!$B$12:$B$16,'Loan Prepayment'!$A$12:$A$16,I338)+0))</f>
        <v>0</v>
      </c>
      <c r="P338">
        <f t="shared" si="110"/>
        <v>0</v>
      </c>
      <c r="Q338">
        <v>337</v>
      </c>
      <c r="R338">
        <f t="shared" si="123"/>
        <v>0</v>
      </c>
      <c r="S338" s="78">
        <f>'Loan Prepayment'!$B$6</f>
        <v>8.5</v>
      </c>
      <c r="T338">
        <f>IF(R338&lt;=0,0,MIN(IF(AND('Loan Prepayment'!$E$15="Reduce EMI",W337&gt;0),-PMT(S338/1200,MAX(1,'Loan Prepayment'!$B$7*12-Q338+1),R338),T337),R338+U338))</f>
        <v>0</v>
      </c>
      <c r="U338">
        <f t="shared" si="111"/>
        <v>0</v>
      </c>
      <c r="V338">
        <f t="shared" si="112"/>
        <v>0</v>
      </c>
      <c r="W338">
        <f>IF(R338&lt;=0,0,MIN(MAX(0,R338-V338),0+IF(AND(Q338&gt;='Loan Prepayment'!$B$9,Q338&lt;='Loan Prepayment'!$E$16),'Loan Prepayment'!$B$8,0)))</f>
        <v>0</v>
      </c>
      <c r="X338">
        <f t="shared" si="113"/>
        <v>0</v>
      </c>
      <c r="Y338">
        <v>337</v>
      </c>
      <c r="Z338">
        <f t="shared" si="124"/>
        <v>0</v>
      </c>
      <c r="AA338">
        <f>IF(Y338&gt;='Loan Prepayment'!$E$11,'Loan Prepayment'!$E$12,'Loan Prepayment'!$B$6)</f>
        <v>7.5</v>
      </c>
      <c r="AB338">
        <f>IF(Z338&lt;=0,0,MIN(IF(Y338='Loan Prepayment'!$E$11,IF('Loan Prepayment'!$E$13="Keep tenure, recalculate EMI",-PMT(AA338/1200,MAX(1,'Loan Prepayment'!$B$7*12-Y338+1),Z338),AB337),AB337),Z338+AC338))</f>
        <v>0</v>
      </c>
      <c r="AC338">
        <f t="shared" si="114"/>
        <v>0</v>
      </c>
      <c r="AD338">
        <f t="shared" si="115"/>
        <v>0</v>
      </c>
      <c r="AE338">
        <f t="shared" si="116"/>
        <v>0</v>
      </c>
      <c r="AF338">
        <f t="shared" si="117"/>
        <v>0</v>
      </c>
      <c r="AG338">
        <v>337</v>
      </c>
      <c r="AH338">
        <f t="shared" si="125"/>
        <v>0</v>
      </c>
      <c r="AI338">
        <f>IF(AG338&gt;='Loan Prepayment'!$E$11,'Loan Prepayment'!$E$12,'Loan Prepayment'!$B$6)</f>
        <v>7.5</v>
      </c>
      <c r="AJ338">
        <f>IF(AH338&lt;=0,0,MIN(IF(AG338='Loan Prepayment'!$E$11,IF('Loan Prepayment'!$E$13="Keep tenure, recalculate EMI",-PMT(AI338/1200,MAX(1,'Loan Prepayment'!$B$7*12-AG338+1),AH338),AJ337),IF(AND('Loan Prepayment'!$E$15="Reduce EMI",AM337&gt;0),-PMT(AI338/1200,MAX(1,'Loan Prepayment'!$B$7*12-AG338+1),AH338),AJ337)),AH338+AK338))</f>
        <v>0</v>
      </c>
      <c r="AK338">
        <f t="shared" si="118"/>
        <v>0</v>
      </c>
      <c r="AL338">
        <f t="shared" si="119"/>
        <v>0</v>
      </c>
      <c r="AM338">
        <f>IF(AH338&lt;=0,0,MIN(MAX(0,AH338-AL338),SUMIFS('Loan Prepayment'!$B$12:$B$16,'Loan Prepayment'!$A$12:$A$16,AG338)+IF(AND(AG338&gt;='Loan Prepayment'!$B$9,AG338&lt;='Loan Prepayment'!$E$16),'Loan Prepayment'!$B$8,0)))</f>
        <v>0</v>
      </c>
      <c r="AN338">
        <f t="shared" si="120"/>
        <v>0</v>
      </c>
    </row>
    <row r="339" spans="1:40" x14ac:dyDescent="0.35">
      <c r="A339">
        <v>338</v>
      </c>
      <c r="B339">
        <f t="shared" si="121"/>
        <v>0</v>
      </c>
      <c r="C339" s="78">
        <f>'Loan Prepayment'!$B$6</f>
        <v>8.5</v>
      </c>
      <c r="D339">
        <f>IF(B339&lt;=0,0,MIN(-PMT('Loan Prepayment'!$B$6/1200,'Loan Prepayment'!$B$7*12,'Loan Prepayment'!$B$5),B339+E339))</f>
        <v>0</v>
      </c>
      <c r="E339">
        <f t="shared" si="105"/>
        <v>0</v>
      </c>
      <c r="F339">
        <f t="shared" si="106"/>
        <v>0</v>
      </c>
      <c r="G339">
        <v>0</v>
      </c>
      <c r="H339">
        <f t="shared" si="107"/>
        <v>0</v>
      </c>
      <c r="I339">
        <v>338</v>
      </c>
      <c r="J339">
        <f t="shared" si="122"/>
        <v>0</v>
      </c>
      <c r="K339" s="78">
        <f>'Loan Prepayment'!$B$6</f>
        <v>8.5</v>
      </c>
      <c r="L339">
        <f>IF(J339&lt;=0,0,MIN(IF(AND('Loan Prepayment'!$E$15="Reduce EMI",O338&gt;0),-PMT(K339/1200,MAX(1,'Loan Prepayment'!$B$7*12-I339+1),J339),L338),J339+M339))</f>
        <v>0</v>
      </c>
      <c r="M339">
        <f t="shared" si="108"/>
        <v>0</v>
      </c>
      <c r="N339">
        <f t="shared" si="109"/>
        <v>0</v>
      </c>
      <c r="O339">
        <f>IF(J339&lt;=0,0,MIN(MAX(0,J339-N339),SUMIFS('Loan Prepayment'!$B$12:$B$16,'Loan Prepayment'!$A$12:$A$16,I339)+0))</f>
        <v>0</v>
      </c>
      <c r="P339">
        <f t="shared" si="110"/>
        <v>0</v>
      </c>
      <c r="Q339">
        <v>338</v>
      </c>
      <c r="R339">
        <f t="shared" si="123"/>
        <v>0</v>
      </c>
      <c r="S339" s="78">
        <f>'Loan Prepayment'!$B$6</f>
        <v>8.5</v>
      </c>
      <c r="T339">
        <f>IF(R339&lt;=0,0,MIN(IF(AND('Loan Prepayment'!$E$15="Reduce EMI",W338&gt;0),-PMT(S339/1200,MAX(1,'Loan Prepayment'!$B$7*12-Q339+1),R339),T338),R339+U339))</f>
        <v>0</v>
      </c>
      <c r="U339">
        <f t="shared" si="111"/>
        <v>0</v>
      </c>
      <c r="V339">
        <f t="shared" si="112"/>
        <v>0</v>
      </c>
      <c r="W339">
        <f>IF(R339&lt;=0,0,MIN(MAX(0,R339-V339),0+IF(AND(Q339&gt;='Loan Prepayment'!$B$9,Q339&lt;='Loan Prepayment'!$E$16),'Loan Prepayment'!$B$8,0)))</f>
        <v>0</v>
      </c>
      <c r="X339">
        <f t="shared" si="113"/>
        <v>0</v>
      </c>
      <c r="Y339">
        <v>338</v>
      </c>
      <c r="Z339">
        <f t="shared" si="124"/>
        <v>0</v>
      </c>
      <c r="AA339">
        <f>IF(Y339&gt;='Loan Prepayment'!$E$11,'Loan Prepayment'!$E$12,'Loan Prepayment'!$B$6)</f>
        <v>7.5</v>
      </c>
      <c r="AB339">
        <f>IF(Z339&lt;=0,0,MIN(IF(Y339='Loan Prepayment'!$E$11,IF('Loan Prepayment'!$E$13="Keep tenure, recalculate EMI",-PMT(AA339/1200,MAX(1,'Loan Prepayment'!$B$7*12-Y339+1),Z339),AB338),AB338),Z339+AC339))</f>
        <v>0</v>
      </c>
      <c r="AC339">
        <f t="shared" si="114"/>
        <v>0</v>
      </c>
      <c r="AD339">
        <f t="shared" si="115"/>
        <v>0</v>
      </c>
      <c r="AE339">
        <f t="shared" si="116"/>
        <v>0</v>
      </c>
      <c r="AF339">
        <f t="shared" si="117"/>
        <v>0</v>
      </c>
      <c r="AG339">
        <v>338</v>
      </c>
      <c r="AH339">
        <f t="shared" si="125"/>
        <v>0</v>
      </c>
      <c r="AI339">
        <f>IF(AG339&gt;='Loan Prepayment'!$E$11,'Loan Prepayment'!$E$12,'Loan Prepayment'!$B$6)</f>
        <v>7.5</v>
      </c>
      <c r="AJ339">
        <f>IF(AH339&lt;=0,0,MIN(IF(AG339='Loan Prepayment'!$E$11,IF('Loan Prepayment'!$E$13="Keep tenure, recalculate EMI",-PMT(AI339/1200,MAX(1,'Loan Prepayment'!$B$7*12-AG339+1),AH339),AJ338),IF(AND('Loan Prepayment'!$E$15="Reduce EMI",AM338&gt;0),-PMT(AI339/1200,MAX(1,'Loan Prepayment'!$B$7*12-AG339+1),AH339),AJ338)),AH339+AK339))</f>
        <v>0</v>
      </c>
      <c r="AK339">
        <f t="shared" si="118"/>
        <v>0</v>
      </c>
      <c r="AL339">
        <f t="shared" si="119"/>
        <v>0</v>
      </c>
      <c r="AM339">
        <f>IF(AH339&lt;=0,0,MIN(MAX(0,AH339-AL339),SUMIFS('Loan Prepayment'!$B$12:$B$16,'Loan Prepayment'!$A$12:$A$16,AG339)+IF(AND(AG339&gt;='Loan Prepayment'!$B$9,AG339&lt;='Loan Prepayment'!$E$16),'Loan Prepayment'!$B$8,0)))</f>
        <v>0</v>
      </c>
      <c r="AN339">
        <f t="shared" si="120"/>
        <v>0</v>
      </c>
    </row>
    <row r="340" spans="1:40" x14ac:dyDescent="0.35">
      <c r="A340">
        <v>339</v>
      </c>
      <c r="B340">
        <f t="shared" si="121"/>
        <v>0</v>
      </c>
      <c r="C340" s="78">
        <f>'Loan Prepayment'!$B$6</f>
        <v>8.5</v>
      </c>
      <c r="D340">
        <f>IF(B340&lt;=0,0,MIN(-PMT('Loan Prepayment'!$B$6/1200,'Loan Prepayment'!$B$7*12,'Loan Prepayment'!$B$5),B340+E340))</f>
        <v>0</v>
      </c>
      <c r="E340">
        <f t="shared" si="105"/>
        <v>0</v>
      </c>
      <c r="F340">
        <f t="shared" si="106"/>
        <v>0</v>
      </c>
      <c r="G340">
        <v>0</v>
      </c>
      <c r="H340">
        <f t="shared" si="107"/>
        <v>0</v>
      </c>
      <c r="I340">
        <v>339</v>
      </c>
      <c r="J340">
        <f t="shared" si="122"/>
        <v>0</v>
      </c>
      <c r="K340" s="78">
        <f>'Loan Prepayment'!$B$6</f>
        <v>8.5</v>
      </c>
      <c r="L340">
        <f>IF(J340&lt;=0,0,MIN(IF(AND('Loan Prepayment'!$E$15="Reduce EMI",O339&gt;0),-PMT(K340/1200,MAX(1,'Loan Prepayment'!$B$7*12-I340+1),J340),L339),J340+M340))</f>
        <v>0</v>
      </c>
      <c r="M340">
        <f t="shared" si="108"/>
        <v>0</v>
      </c>
      <c r="N340">
        <f t="shared" si="109"/>
        <v>0</v>
      </c>
      <c r="O340">
        <f>IF(J340&lt;=0,0,MIN(MAX(0,J340-N340),SUMIFS('Loan Prepayment'!$B$12:$B$16,'Loan Prepayment'!$A$12:$A$16,I340)+0))</f>
        <v>0</v>
      </c>
      <c r="P340">
        <f t="shared" si="110"/>
        <v>0</v>
      </c>
      <c r="Q340">
        <v>339</v>
      </c>
      <c r="R340">
        <f t="shared" si="123"/>
        <v>0</v>
      </c>
      <c r="S340" s="78">
        <f>'Loan Prepayment'!$B$6</f>
        <v>8.5</v>
      </c>
      <c r="T340">
        <f>IF(R340&lt;=0,0,MIN(IF(AND('Loan Prepayment'!$E$15="Reduce EMI",W339&gt;0),-PMT(S340/1200,MAX(1,'Loan Prepayment'!$B$7*12-Q340+1),R340),T339),R340+U340))</f>
        <v>0</v>
      </c>
      <c r="U340">
        <f t="shared" si="111"/>
        <v>0</v>
      </c>
      <c r="V340">
        <f t="shared" si="112"/>
        <v>0</v>
      </c>
      <c r="W340">
        <f>IF(R340&lt;=0,0,MIN(MAX(0,R340-V340),0+IF(AND(Q340&gt;='Loan Prepayment'!$B$9,Q340&lt;='Loan Prepayment'!$E$16),'Loan Prepayment'!$B$8,0)))</f>
        <v>0</v>
      </c>
      <c r="X340">
        <f t="shared" si="113"/>
        <v>0</v>
      </c>
      <c r="Y340">
        <v>339</v>
      </c>
      <c r="Z340">
        <f t="shared" si="124"/>
        <v>0</v>
      </c>
      <c r="AA340">
        <f>IF(Y340&gt;='Loan Prepayment'!$E$11,'Loan Prepayment'!$E$12,'Loan Prepayment'!$B$6)</f>
        <v>7.5</v>
      </c>
      <c r="AB340">
        <f>IF(Z340&lt;=0,0,MIN(IF(Y340='Loan Prepayment'!$E$11,IF('Loan Prepayment'!$E$13="Keep tenure, recalculate EMI",-PMT(AA340/1200,MAX(1,'Loan Prepayment'!$B$7*12-Y340+1),Z340),AB339),AB339),Z340+AC340))</f>
        <v>0</v>
      </c>
      <c r="AC340">
        <f t="shared" si="114"/>
        <v>0</v>
      </c>
      <c r="AD340">
        <f t="shared" si="115"/>
        <v>0</v>
      </c>
      <c r="AE340">
        <f t="shared" si="116"/>
        <v>0</v>
      </c>
      <c r="AF340">
        <f t="shared" si="117"/>
        <v>0</v>
      </c>
      <c r="AG340">
        <v>339</v>
      </c>
      <c r="AH340">
        <f t="shared" si="125"/>
        <v>0</v>
      </c>
      <c r="AI340">
        <f>IF(AG340&gt;='Loan Prepayment'!$E$11,'Loan Prepayment'!$E$12,'Loan Prepayment'!$B$6)</f>
        <v>7.5</v>
      </c>
      <c r="AJ340">
        <f>IF(AH340&lt;=0,0,MIN(IF(AG340='Loan Prepayment'!$E$11,IF('Loan Prepayment'!$E$13="Keep tenure, recalculate EMI",-PMT(AI340/1200,MAX(1,'Loan Prepayment'!$B$7*12-AG340+1),AH340),AJ339),IF(AND('Loan Prepayment'!$E$15="Reduce EMI",AM339&gt;0),-PMT(AI340/1200,MAX(1,'Loan Prepayment'!$B$7*12-AG340+1),AH340),AJ339)),AH340+AK340))</f>
        <v>0</v>
      </c>
      <c r="AK340">
        <f t="shared" si="118"/>
        <v>0</v>
      </c>
      <c r="AL340">
        <f t="shared" si="119"/>
        <v>0</v>
      </c>
      <c r="AM340">
        <f>IF(AH340&lt;=0,0,MIN(MAX(0,AH340-AL340),SUMIFS('Loan Prepayment'!$B$12:$B$16,'Loan Prepayment'!$A$12:$A$16,AG340)+IF(AND(AG340&gt;='Loan Prepayment'!$B$9,AG340&lt;='Loan Prepayment'!$E$16),'Loan Prepayment'!$B$8,0)))</f>
        <v>0</v>
      </c>
      <c r="AN340">
        <f t="shared" si="120"/>
        <v>0</v>
      </c>
    </row>
    <row r="341" spans="1:40" x14ac:dyDescent="0.35">
      <c r="A341">
        <v>340</v>
      </c>
      <c r="B341">
        <f t="shared" si="121"/>
        <v>0</v>
      </c>
      <c r="C341" s="78">
        <f>'Loan Prepayment'!$B$6</f>
        <v>8.5</v>
      </c>
      <c r="D341">
        <f>IF(B341&lt;=0,0,MIN(-PMT('Loan Prepayment'!$B$6/1200,'Loan Prepayment'!$B$7*12,'Loan Prepayment'!$B$5),B341+E341))</f>
        <v>0</v>
      </c>
      <c r="E341">
        <f t="shared" si="105"/>
        <v>0</v>
      </c>
      <c r="F341">
        <f t="shared" si="106"/>
        <v>0</v>
      </c>
      <c r="G341">
        <v>0</v>
      </c>
      <c r="H341">
        <f t="shared" si="107"/>
        <v>0</v>
      </c>
      <c r="I341">
        <v>340</v>
      </c>
      <c r="J341">
        <f t="shared" si="122"/>
        <v>0</v>
      </c>
      <c r="K341" s="78">
        <f>'Loan Prepayment'!$B$6</f>
        <v>8.5</v>
      </c>
      <c r="L341">
        <f>IF(J341&lt;=0,0,MIN(IF(AND('Loan Prepayment'!$E$15="Reduce EMI",O340&gt;0),-PMT(K341/1200,MAX(1,'Loan Prepayment'!$B$7*12-I341+1),J341),L340),J341+M341))</f>
        <v>0</v>
      </c>
      <c r="M341">
        <f t="shared" si="108"/>
        <v>0</v>
      </c>
      <c r="N341">
        <f t="shared" si="109"/>
        <v>0</v>
      </c>
      <c r="O341">
        <f>IF(J341&lt;=0,0,MIN(MAX(0,J341-N341),SUMIFS('Loan Prepayment'!$B$12:$B$16,'Loan Prepayment'!$A$12:$A$16,I341)+0))</f>
        <v>0</v>
      </c>
      <c r="P341">
        <f t="shared" si="110"/>
        <v>0</v>
      </c>
      <c r="Q341">
        <v>340</v>
      </c>
      <c r="R341">
        <f t="shared" si="123"/>
        <v>0</v>
      </c>
      <c r="S341" s="78">
        <f>'Loan Prepayment'!$B$6</f>
        <v>8.5</v>
      </c>
      <c r="T341">
        <f>IF(R341&lt;=0,0,MIN(IF(AND('Loan Prepayment'!$E$15="Reduce EMI",W340&gt;0),-PMT(S341/1200,MAX(1,'Loan Prepayment'!$B$7*12-Q341+1),R341),T340),R341+U341))</f>
        <v>0</v>
      </c>
      <c r="U341">
        <f t="shared" si="111"/>
        <v>0</v>
      </c>
      <c r="V341">
        <f t="shared" si="112"/>
        <v>0</v>
      </c>
      <c r="W341">
        <f>IF(R341&lt;=0,0,MIN(MAX(0,R341-V341),0+IF(AND(Q341&gt;='Loan Prepayment'!$B$9,Q341&lt;='Loan Prepayment'!$E$16),'Loan Prepayment'!$B$8,0)))</f>
        <v>0</v>
      </c>
      <c r="X341">
        <f t="shared" si="113"/>
        <v>0</v>
      </c>
      <c r="Y341">
        <v>340</v>
      </c>
      <c r="Z341">
        <f t="shared" si="124"/>
        <v>0</v>
      </c>
      <c r="AA341">
        <f>IF(Y341&gt;='Loan Prepayment'!$E$11,'Loan Prepayment'!$E$12,'Loan Prepayment'!$B$6)</f>
        <v>7.5</v>
      </c>
      <c r="AB341">
        <f>IF(Z341&lt;=0,0,MIN(IF(Y341='Loan Prepayment'!$E$11,IF('Loan Prepayment'!$E$13="Keep tenure, recalculate EMI",-PMT(AA341/1200,MAX(1,'Loan Prepayment'!$B$7*12-Y341+1),Z341),AB340),AB340),Z341+AC341))</f>
        <v>0</v>
      </c>
      <c r="AC341">
        <f t="shared" si="114"/>
        <v>0</v>
      </c>
      <c r="AD341">
        <f t="shared" si="115"/>
        <v>0</v>
      </c>
      <c r="AE341">
        <f t="shared" si="116"/>
        <v>0</v>
      </c>
      <c r="AF341">
        <f t="shared" si="117"/>
        <v>0</v>
      </c>
      <c r="AG341">
        <v>340</v>
      </c>
      <c r="AH341">
        <f t="shared" si="125"/>
        <v>0</v>
      </c>
      <c r="AI341">
        <f>IF(AG341&gt;='Loan Prepayment'!$E$11,'Loan Prepayment'!$E$12,'Loan Prepayment'!$B$6)</f>
        <v>7.5</v>
      </c>
      <c r="AJ341">
        <f>IF(AH341&lt;=0,0,MIN(IF(AG341='Loan Prepayment'!$E$11,IF('Loan Prepayment'!$E$13="Keep tenure, recalculate EMI",-PMT(AI341/1200,MAX(1,'Loan Prepayment'!$B$7*12-AG341+1),AH341),AJ340),IF(AND('Loan Prepayment'!$E$15="Reduce EMI",AM340&gt;0),-PMT(AI341/1200,MAX(1,'Loan Prepayment'!$B$7*12-AG341+1),AH341),AJ340)),AH341+AK341))</f>
        <v>0</v>
      </c>
      <c r="AK341">
        <f t="shared" si="118"/>
        <v>0</v>
      </c>
      <c r="AL341">
        <f t="shared" si="119"/>
        <v>0</v>
      </c>
      <c r="AM341">
        <f>IF(AH341&lt;=0,0,MIN(MAX(0,AH341-AL341),SUMIFS('Loan Prepayment'!$B$12:$B$16,'Loan Prepayment'!$A$12:$A$16,AG341)+IF(AND(AG341&gt;='Loan Prepayment'!$B$9,AG341&lt;='Loan Prepayment'!$E$16),'Loan Prepayment'!$B$8,0)))</f>
        <v>0</v>
      </c>
      <c r="AN341">
        <f t="shared" si="120"/>
        <v>0</v>
      </c>
    </row>
    <row r="342" spans="1:40" x14ac:dyDescent="0.35">
      <c r="A342">
        <v>341</v>
      </c>
      <c r="B342">
        <f t="shared" si="121"/>
        <v>0</v>
      </c>
      <c r="C342" s="78">
        <f>'Loan Prepayment'!$B$6</f>
        <v>8.5</v>
      </c>
      <c r="D342">
        <f>IF(B342&lt;=0,0,MIN(-PMT('Loan Prepayment'!$B$6/1200,'Loan Prepayment'!$B$7*12,'Loan Prepayment'!$B$5),B342+E342))</f>
        <v>0</v>
      </c>
      <c r="E342">
        <f t="shared" si="105"/>
        <v>0</v>
      </c>
      <c r="F342">
        <f t="shared" si="106"/>
        <v>0</v>
      </c>
      <c r="G342">
        <v>0</v>
      </c>
      <c r="H342">
        <f t="shared" si="107"/>
        <v>0</v>
      </c>
      <c r="I342">
        <v>341</v>
      </c>
      <c r="J342">
        <f t="shared" si="122"/>
        <v>0</v>
      </c>
      <c r="K342" s="78">
        <f>'Loan Prepayment'!$B$6</f>
        <v>8.5</v>
      </c>
      <c r="L342">
        <f>IF(J342&lt;=0,0,MIN(IF(AND('Loan Prepayment'!$E$15="Reduce EMI",O341&gt;0),-PMT(K342/1200,MAX(1,'Loan Prepayment'!$B$7*12-I342+1),J342),L341),J342+M342))</f>
        <v>0</v>
      </c>
      <c r="M342">
        <f t="shared" si="108"/>
        <v>0</v>
      </c>
      <c r="N342">
        <f t="shared" si="109"/>
        <v>0</v>
      </c>
      <c r="O342">
        <f>IF(J342&lt;=0,0,MIN(MAX(0,J342-N342),SUMIFS('Loan Prepayment'!$B$12:$B$16,'Loan Prepayment'!$A$12:$A$16,I342)+0))</f>
        <v>0</v>
      </c>
      <c r="P342">
        <f t="shared" si="110"/>
        <v>0</v>
      </c>
      <c r="Q342">
        <v>341</v>
      </c>
      <c r="R342">
        <f t="shared" si="123"/>
        <v>0</v>
      </c>
      <c r="S342" s="78">
        <f>'Loan Prepayment'!$B$6</f>
        <v>8.5</v>
      </c>
      <c r="T342">
        <f>IF(R342&lt;=0,0,MIN(IF(AND('Loan Prepayment'!$E$15="Reduce EMI",W341&gt;0),-PMT(S342/1200,MAX(1,'Loan Prepayment'!$B$7*12-Q342+1),R342),T341),R342+U342))</f>
        <v>0</v>
      </c>
      <c r="U342">
        <f t="shared" si="111"/>
        <v>0</v>
      </c>
      <c r="V342">
        <f t="shared" si="112"/>
        <v>0</v>
      </c>
      <c r="W342">
        <f>IF(R342&lt;=0,0,MIN(MAX(0,R342-V342),0+IF(AND(Q342&gt;='Loan Prepayment'!$B$9,Q342&lt;='Loan Prepayment'!$E$16),'Loan Prepayment'!$B$8,0)))</f>
        <v>0</v>
      </c>
      <c r="X342">
        <f t="shared" si="113"/>
        <v>0</v>
      </c>
      <c r="Y342">
        <v>341</v>
      </c>
      <c r="Z342">
        <f t="shared" si="124"/>
        <v>0</v>
      </c>
      <c r="AA342">
        <f>IF(Y342&gt;='Loan Prepayment'!$E$11,'Loan Prepayment'!$E$12,'Loan Prepayment'!$B$6)</f>
        <v>7.5</v>
      </c>
      <c r="AB342">
        <f>IF(Z342&lt;=0,0,MIN(IF(Y342='Loan Prepayment'!$E$11,IF('Loan Prepayment'!$E$13="Keep tenure, recalculate EMI",-PMT(AA342/1200,MAX(1,'Loan Prepayment'!$B$7*12-Y342+1),Z342),AB341),AB341),Z342+AC342))</f>
        <v>0</v>
      </c>
      <c r="AC342">
        <f t="shared" si="114"/>
        <v>0</v>
      </c>
      <c r="AD342">
        <f t="shared" si="115"/>
        <v>0</v>
      </c>
      <c r="AE342">
        <f t="shared" si="116"/>
        <v>0</v>
      </c>
      <c r="AF342">
        <f t="shared" si="117"/>
        <v>0</v>
      </c>
      <c r="AG342">
        <v>341</v>
      </c>
      <c r="AH342">
        <f t="shared" si="125"/>
        <v>0</v>
      </c>
      <c r="AI342">
        <f>IF(AG342&gt;='Loan Prepayment'!$E$11,'Loan Prepayment'!$E$12,'Loan Prepayment'!$B$6)</f>
        <v>7.5</v>
      </c>
      <c r="AJ342">
        <f>IF(AH342&lt;=0,0,MIN(IF(AG342='Loan Prepayment'!$E$11,IF('Loan Prepayment'!$E$13="Keep tenure, recalculate EMI",-PMT(AI342/1200,MAX(1,'Loan Prepayment'!$B$7*12-AG342+1),AH342),AJ341),IF(AND('Loan Prepayment'!$E$15="Reduce EMI",AM341&gt;0),-PMT(AI342/1200,MAX(1,'Loan Prepayment'!$B$7*12-AG342+1),AH342),AJ341)),AH342+AK342))</f>
        <v>0</v>
      </c>
      <c r="AK342">
        <f t="shared" si="118"/>
        <v>0</v>
      </c>
      <c r="AL342">
        <f t="shared" si="119"/>
        <v>0</v>
      </c>
      <c r="AM342">
        <f>IF(AH342&lt;=0,0,MIN(MAX(0,AH342-AL342),SUMIFS('Loan Prepayment'!$B$12:$B$16,'Loan Prepayment'!$A$12:$A$16,AG342)+IF(AND(AG342&gt;='Loan Prepayment'!$B$9,AG342&lt;='Loan Prepayment'!$E$16),'Loan Prepayment'!$B$8,0)))</f>
        <v>0</v>
      </c>
      <c r="AN342">
        <f t="shared" si="120"/>
        <v>0</v>
      </c>
    </row>
    <row r="343" spans="1:40" x14ac:dyDescent="0.35">
      <c r="A343">
        <v>342</v>
      </c>
      <c r="B343">
        <f t="shared" si="121"/>
        <v>0</v>
      </c>
      <c r="C343" s="78">
        <f>'Loan Prepayment'!$B$6</f>
        <v>8.5</v>
      </c>
      <c r="D343">
        <f>IF(B343&lt;=0,0,MIN(-PMT('Loan Prepayment'!$B$6/1200,'Loan Prepayment'!$B$7*12,'Loan Prepayment'!$B$5),B343+E343))</f>
        <v>0</v>
      </c>
      <c r="E343">
        <f t="shared" si="105"/>
        <v>0</v>
      </c>
      <c r="F343">
        <f t="shared" si="106"/>
        <v>0</v>
      </c>
      <c r="G343">
        <v>0</v>
      </c>
      <c r="H343">
        <f t="shared" si="107"/>
        <v>0</v>
      </c>
      <c r="I343">
        <v>342</v>
      </c>
      <c r="J343">
        <f t="shared" si="122"/>
        <v>0</v>
      </c>
      <c r="K343" s="78">
        <f>'Loan Prepayment'!$B$6</f>
        <v>8.5</v>
      </c>
      <c r="L343">
        <f>IF(J343&lt;=0,0,MIN(IF(AND('Loan Prepayment'!$E$15="Reduce EMI",O342&gt;0),-PMT(K343/1200,MAX(1,'Loan Prepayment'!$B$7*12-I343+1),J343),L342),J343+M343))</f>
        <v>0</v>
      </c>
      <c r="M343">
        <f t="shared" si="108"/>
        <v>0</v>
      </c>
      <c r="N343">
        <f t="shared" si="109"/>
        <v>0</v>
      </c>
      <c r="O343">
        <f>IF(J343&lt;=0,0,MIN(MAX(0,J343-N343),SUMIFS('Loan Prepayment'!$B$12:$B$16,'Loan Prepayment'!$A$12:$A$16,I343)+0))</f>
        <v>0</v>
      </c>
      <c r="P343">
        <f t="shared" si="110"/>
        <v>0</v>
      </c>
      <c r="Q343">
        <v>342</v>
      </c>
      <c r="R343">
        <f t="shared" si="123"/>
        <v>0</v>
      </c>
      <c r="S343" s="78">
        <f>'Loan Prepayment'!$B$6</f>
        <v>8.5</v>
      </c>
      <c r="T343">
        <f>IF(R343&lt;=0,0,MIN(IF(AND('Loan Prepayment'!$E$15="Reduce EMI",W342&gt;0),-PMT(S343/1200,MAX(1,'Loan Prepayment'!$B$7*12-Q343+1),R343),T342),R343+U343))</f>
        <v>0</v>
      </c>
      <c r="U343">
        <f t="shared" si="111"/>
        <v>0</v>
      </c>
      <c r="V343">
        <f t="shared" si="112"/>
        <v>0</v>
      </c>
      <c r="W343">
        <f>IF(R343&lt;=0,0,MIN(MAX(0,R343-V343),0+IF(AND(Q343&gt;='Loan Prepayment'!$B$9,Q343&lt;='Loan Prepayment'!$E$16),'Loan Prepayment'!$B$8,0)))</f>
        <v>0</v>
      </c>
      <c r="X343">
        <f t="shared" si="113"/>
        <v>0</v>
      </c>
      <c r="Y343">
        <v>342</v>
      </c>
      <c r="Z343">
        <f t="shared" si="124"/>
        <v>0</v>
      </c>
      <c r="AA343">
        <f>IF(Y343&gt;='Loan Prepayment'!$E$11,'Loan Prepayment'!$E$12,'Loan Prepayment'!$B$6)</f>
        <v>7.5</v>
      </c>
      <c r="AB343">
        <f>IF(Z343&lt;=0,0,MIN(IF(Y343='Loan Prepayment'!$E$11,IF('Loan Prepayment'!$E$13="Keep tenure, recalculate EMI",-PMT(AA343/1200,MAX(1,'Loan Prepayment'!$B$7*12-Y343+1),Z343),AB342),AB342),Z343+AC343))</f>
        <v>0</v>
      </c>
      <c r="AC343">
        <f t="shared" si="114"/>
        <v>0</v>
      </c>
      <c r="AD343">
        <f t="shared" si="115"/>
        <v>0</v>
      </c>
      <c r="AE343">
        <f t="shared" si="116"/>
        <v>0</v>
      </c>
      <c r="AF343">
        <f t="shared" si="117"/>
        <v>0</v>
      </c>
      <c r="AG343">
        <v>342</v>
      </c>
      <c r="AH343">
        <f t="shared" si="125"/>
        <v>0</v>
      </c>
      <c r="AI343">
        <f>IF(AG343&gt;='Loan Prepayment'!$E$11,'Loan Prepayment'!$E$12,'Loan Prepayment'!$B$6)</f>
        <v>7.5</v>
      </c>
      <c r="AJ343">
        <f>IF(AH343&lt;=0,0,MIN(IF(AG343='Loan Prepayment'!$E$11,IF('Loan Prepayment'!$E$13="Keep tenure, recalculate EMI",-PMT(AI343/1200,MAX(1,'Loan Prepayment'!$B$7*12-AG343+1),AH343),AJ342),IF(AND('Loan Prepayment'!$E$15="Reduce EMI",AM342&gt;0),-PMT(AI343/1200,MAX(1,'Loan Prepayment'!$B$7*12-AG343+1),AH343),AJ342)),AH343+AK343))</f>
        <v>0</v>
      </c>
      <c r="AK343">
        <f t="shared" si="118"/>
        <v>0</v>
      </c>
      <c r="AL343">
        <f t="shared" si="119"/>
        <v>0</v>
      </c>
      <c r="AM343">
        <f>IF(AH343&lt;=0,0,MIN(MAX(0,AH343-AL343),SUMIFS('Loan Prepayment'!$B$12:$B$16,'Loan Prepayment'!$A$12:$A$16,AG343)+IF(AND(AG343&gt;='Loan Prepayment'!$B$9,AG343&lt;='Loan Prepayment'!$E$16),'Loan Prepayment'!$B$8,0)))</f>
        <v>0</v>
      </c>
      <c r="AN343">
        <f t="shared" si="120"/>
        <v>0</v>
      </c>
    </row>
    <row r="344" spans="1:40" x14ac:dyDescent="0.35">
      <c r="A344">
        <v>343</v>
      </c>
      <c r="B344">
        <f t="shared" si="121"/>
        <v>0</v>
      </c>
      <c r="C344" s="78">
        <f>'Loan Prepayment'!$B$6</f>
        <v>8.5</v>
      </c>
      <c r="D344">
        <f>IF(B344&lt;=0,0,MIN(-PMT('Loan Prepayment'!$B$6/1200,'Loan Prepayment'!$B$7*12,'Loan Prepayment'!$B$5),B344+E344))</f>
        <v>0</v>
      </c>
      <c r="E344">
        <f t="shared" si="105"/>
        <v>0</v>
      </c>
      <c r="F344">
        <f t="shared" si="106"/>
        <v>0</v>
      </c>
      <c r="G344">
        <v>0</v>
      </c>
      <c r="H344">
        <f t="shared" si="107"/>
        <v>0</v>
      </c>
      <c r="I344">
        <v>343</v>
      </c>
      <c r="J344">
        <f t="shared" si="122"/>
        <v>0</v>
      </c>
      <c r="K344" s="78">
        <f>'Loan Prepayment'!$B$6</f>
        <v>8.5</v>
      </c>
      <c r="L344">
        <f>IF(J344&lt;=0,0,MIN(IF(AND('Loan Prepayment'!$E$15="Reduce EMI",O343&gt;0),-PMT(K344/1200,MAX(1,'Loan Prepayment'!$B$7*12-I344+1),J344),L343),J344+M344))</f>
        <v>0</v>
      </c>
      <c r="M344">
        <f t="shared" si="108"/>
        <v>0</v>
      </c>
      <c r="N344">
        <f t="shared" si="109"/>
        <v>0</v>
      </c>
      <c r="O344">
        <f>IF(J344&lt;=0,0,MIN(MAX(0,J344-N344),SUMIFS('Loan Prepayment'!$B$12:$B$16,'Loan Prepayment'!$A$12:$A$16,I344)+0))</f>
        <v>0</v>
      </c>
      <c r="P344">
        <f t="shared" si="110"/>
        <v>0</v>
      </c>
      <c r="Q344">
        <v>343</v>
      </c>
      <c r="R344">
        <f t="shared" si="123"/>
        <v>0</v>
      </c>
      <c r="S344" s="78">
        <f>'Loan Prepayment'!$B$6</f>
        <v>8.5</v>
      </c>
      <c r="T344">
        <f>IF(R344&lt;=0,0,MIN(IF(AND('Loan Prepayment'!$E$15="Reduce EMI",W343&gt;0),-PMT(S344/1200,MAX(1,'Loan Prepayment'!$B$7*12-Q344+1),R344),T343),R344+U344))</f>
        <v>0</v>
      </c>
      <c r="U344">
        <f t="shared" si="111"/>
        <v>0</v>
      </c>
      <c r="V344">
        <f t="shared" si="112"/>
        <v>0</v>
      </c>
      <c r="W344">
        <f>IF(R344&lt;=0,0,MIN(MAX(0,R344-V344),0+IF(AND(Q344&gt;='Loan Prepayment'!$B$9,Q344&lt;='Loan Prepayment'!$E$16),'Loan Prepayment'!$B$8,0)))</f>
        <v>0</v>
      </c>
      <c r="X344">
        <f t="shared" si="113"/>
        <v>0</v>
      </c>
      <c r="Y344">
        <v>343</v>
      </c>
      <c r="Z344">
        <f t="shared" si="124"/>
        <v>0</v>
      </c>
      <c r="AA344">
        <f>IF(Y344&gt;='Loan Prepayment'!$E$11,'Loan Prepayment'!$E$12,'Loan Prepayment'!$B$6)</f>
        <v>7.5</v>
      </c>
      <c r="AB344">
        <f>IF(Z344&lt;=0,0,MIN(IF(Y344='Loan Prepayment'!$E$11,IF('Loan Prepayment'!$E$13="Keep tenure, recalculate EMI",-PMT(AA344/1200,MAX(1,'Loan Prepayment'!$B$7*12-Y344+1),Z344),AB343),AB343),Z344+AC344))</f>
        <v>0</v>
      </c>
      <c r="AC344">
        <f t="shared" si="114"/>
        <v>0</v>
      </c>
      <c r="AD344">
        <f t="shared" si="115"/>
        <v>0</v>
      </c>
      <c r="AE344">
        <f t="shared" si="116"/>
        <v>0</v>
      </c>
      <c r="AF344">
        <f t="shared" si="117"/>
        <v>0</v>
      </c>
      <c r="AG344">
        <v>343</v>
      </c>
      <c r="AH344">
        <f t="shared" si="125"/>
        <v>0</v>
      </c>
      <c r="AI344">
        <f>IF(AG344&gt;='Loan Prepayment'!$E$11,'Loan Prepayment'!$E$12,'Loan Prepayment'!$B$6)</f>
        <v>7.5</v>
      </c>
      <c r="AJ344">
        <f>IF(AH344&lt;=0,0,MIN(IF(AG344='Loan Prepayment'!$E$11,IF('Loan Prepayment'!$E$13="Keep tenure, recalculate EMI",-PMT(AI344/1200,MAX(1,'Loan Prepayment'!$B$7*12-AG344+1),AH344),AJ343),IF(AND('Loan Prepayment'!$E$15="Reduce EMI",AM343&gt;0),-PMT(AI344/1200,MAX(1,'Loan Prepayment'!$B$7*12-AG344+1),AH344),AJ343)),AH344+AK344))</f>
        <v>0</v>
      </c>
      <c r="AK344">
        <f t="shared" si="118"/>
        <v>0</v>
      </c>
      <c r="AL344">
        <f t="shared" si="119"/>
        <v>0</v>
      </c>
      <c r="AM344">
        <f>IF(AH344&lt;=0,0,MIN(MAX(0,AH344-AL344),SUMIFS('Loan Prepayment'!$B$12:$B$16,'Loan Prepayment'!$A$12:$A$16,AG344)+IF(AND(AG344&gt;='Loan Prepayment'!$B$9,AG344&lt;='Loan Prepayment'!$E$16),'Loan Prepayment'!$B$8,0)))</f>
        <v>0</v>
      </c>
      <c r="AN344">
        <f t="shared" si="120"/>
        <v>0</v>
      </c>
    </row>
    <row r="345" spans="1:40" x14ac:dyDescent="0.35">
      <c r="A345">
        <v>344</v>
      </c>
      <c r="B345">
        <f t="shared" si="121"/>
        <v>0</v>
      </c>
      <c r="C345" s="78">
        <f>'Loan Prepayment'!$B$6</f>
        <v>8.5</v>
      </c>
      <c r="D345">
        <f>IF(B345&lt;=0,0,MIN(-PMT('Loan Prepayment'!$B$6/1200,'Loan Prepayment'!$B$7*12,'Loan Prepayment'!$B$5),B345+E345))</f>
        <v>0</v>
      </c>
      <c r="E345">
        <f t="shared" si="105"/>
        <v>0</v>
      </c>
      <c r="F345">
        <f t="shared" si="106"/>
        <v>0</v>
      </c>
      <c r="G345">
        <v>0</v>
      </c>
      <c r="H345">
        <f t="shared" si="107"/>
        <v>0</v>
      </c>
      <c r="I345">
        <v>344</v>
      </c>
      <c r="J345">
        <f t="shared" si="122"/>
        <v>0</v>
      </c>
      <c r="K345" s="78">
        <f>'Loan Prepayment'!$B$6</f>
        <v>8.5</v>
      </c>
      <c r="L345">
        <f>IF(J345&lt;=0,0,MIN(IF(AND('Loan Prepayment'!$E$15="Reduce EMI",O344&gt;0),-PMT(K345/1200,MAX(1,'Loan Prepayment'!$B$7*12-I345+1),J345),L344),J345+M345))</f>
        <v>0</v>
      </c>
      <c r="M345">
        <f t="shared" si="108"/>
        <v>0</v>
      </c>
      <c r="N345">
        <f t="shared" si="109"/>
        <v>0</v>
      </c>
      <c r="O345">
        <f>IF(J345&lt;=0,0,MIN(MAX(0,J345-N345),SUMIFS('Loan Prepayment'!$B$12:$B$16,'Loan Prepayment'!$A$12:$A$16,I345)+0))</f>
        <v>0</v>
      </c>
      <c r="P345">
        <f t="shared" si="110"/>
        <v>0</v>
      </c>
      <c r="Q345">
        <v>344</v>
      </c>
      <c r="R345">
        <f t="shared" si="123"/>
        <v>0</v>
      </c>
      <c r="S345" s="78">
        <f>'Loan Prepayment'!$B$6</f>
        <v>8.5</v>
      </c>
      <c r="T345">
        <f>IF(R345&lt;=0,0,MIN(IF(AND('Loan Prepayment'!$E$15="Reduce EMI",W344&gt;0),-PMT(S345/1200,MAX(1,'Loan Prepayment'!$B$7*12-Q345+1),R345),T344),R345+U345))</f>
        <v>0</v>
      </c>
      <c r="U345">
        <f t="shared" si="111"/>
        <v>0</v>
      </c>
      <c r="V345">
        <f t="shared" si="112"/>
        <v>0</v>
      </c>
      <c r="W345">
        <f>IF(R345&lt;=0,0,MIN(MAX(0,R345-V345),0+IF(AND(Q345&gt;='Loan Prepayment'!$B$9,Q345&lt;='Loan Prepayment'!$E$16),'Loan Prepayment'!$B$8,0)))</f>
        <v>0</v>
      </c>
      <c r="X345">
        <f t="shared" si="113"/>
        <v>0</v>
      </c>
      <c r="Y345">
        <v>344</v>
      </c>
      <c r="Z345">
        <f t="shared" si="124"/>
        <v>0</v>
      </c>
      <c r="AA345">
        <f>IF(Y345&gt;='Loan Prepayment'!$E$11,'Loan Prepayment'!$E$12,'Loan Prepayment'!$B$6)</f>
        <v>7.5</v>
      </c>
      <c r="AB345">
        <f>IF(Z345&lt;=0,0,MIN(IF(Y345='Loan Prepayment'!$E$11,IF('Loan Prepayment'!$E$13="Keep tenure, recalculate EMI",-PMT(AA345/1200,MAX(1,'Loan Prepayment'!$B$7*12-Y345+1),Z345),AB344),AB344),Z345+AC345))</f>
        <v>0</v>
      </c>
      <c r="AC345">
        <f t="shared" si="114"/>
        <v>0</v>
      </c>
      <c r="AD345">
        <f t="shared" si="115"/>
        <v>0</v>
      </c>
      <c r="AE345">
        <f t="shared" si="116"/>
        <v>0</v>
      </c>
      <c r="AF345">
        <f t="shared" si="117"/>
        <v>0</v>
      </c>
      <c r="AG345">
        <v>344</v>
      </c>
      <c r="AH345">
        <f t="shared" si="125"/>
        <v>0</v>
      </c>
      <c r="AI345">
        <f>IF(AG345&gt;='Loan Prepayment'!$E$11,'Loan Prepayment'!$E$12,'Loan Prepayment'!$B$6)</f>
        <v>7.5</v>
      </c>
      <c r="AJ345">
        <f>IF(AH345&lt;=0,0,MIN(IF(AG345='Loan Prepayment'!$E$11,IF('Loan Prepayment'!$E$13="Keep tenure, recalculate EMI",-PMT(AI345/1200,MAX(1,'Loan Prepayment'!$B$7*12-AG345+1),AH345),AJ344),IF(AND('Loan Prepayment'!$E$15="Reduce EMI",AM344&gt;0),-PMT(AI345/1200,MAX(1,'Loan Prepayment'!$B$7*12-AG345+1),AH345),AJ344)),AH345+AK345))</f>
        <v>0</v>
      </c>
      <c r="AK345">
        <f t="shared" si="118"/>
        <v>0</v>
      </c>
      <c r="AL345">
        <f t="shared" si="119"/>
        <v>0</v>
      </c>
      <c r="AM345">
        <f>IF(AH345&lt;=0,0,MIN(MAX(0,AH345-AL345),SUMIFS('Loan Prepayment'!$B$12:$B$16,'Loan Prepayment'!$A$12:$A$16,AG345)+IF(AND(AG345&gt;='Loan Prepayment'!$B$9,AG345&lt;='Loan Prepayment'!$E$16),'Loan Prepayment'!$B$8,0)))</f>
        <v>0</v>
      </c>
      <c r="AN345">
        <f t="shared" si="120"/>
        <v>0</v>
      </c>
    </row>
    <row r="346" spans="1:40" x14ac:dyDescent="0.35">
      <c r="A346">
        <v>345</v>
      </c>
      <c r="B346">
        <f t="shared" si="121"/>
        <v>0</v>
      </c>
      <c r="C346" s="78">
        <f>'Loan Prepayment'!$B$6</f>
        <v>8.5</v>
      </c>
      <c r="D346">
        <f>IF(B346&lt;=0,0,MIN(-PMT('Loan Prepayment'!$B$6/1200,'Loan Prepayment'!$B$7*12,'Loan Prepayment'!$B$5),B346+E346))</f>
        <v>0</v>
      </c>
      <c r="E346">
        <f t="shared" si="105"/>
        <v>0</v>
      </c>
      <c r="F346">
        <f t="shared" si="106"/>
        <v>0</v>
      </c>
      <c r="G346">
        <v>0</v>
      </c>
      <c r="H346">
        <f t="shared" si="107"/>
        <v>0</v>
      </c>
      <c r="I346">
        <v>345</v>
      </c>
      <c r="J346">
        <f t="shared" si="122"/>
        <v>0</v>
      </c>
      <c r="K346" s="78">
        <f>'Loan Prepayment'!$B$6</f>
        <v>8.5</v>
      </c>
      <c r="L346">
        <f>IF(J346&lt;=0,0,MIN(IF(AND('Loan Prepayment'!$E$15="Reduce EMI",O345&gt;0),-PMT(K346/1200,MAX(1,'Loan Prepayment'!$B$7*12-I346+1),J346),L345),J346+M346))</f>
        <v>0</v>
      </c>
      <c r="M346">
        <f t="shared" si="108"/>
        <v>0</v>
      </c>
      <c r="N346">
        <f t="shared" si="109"/>
        <v>0</v>
      </c>
      <c r="O346">
        <f>IF(J346&lt;=0,0,MIN(MAX(0,J346-N346),SUMIFS('Loan Prepayment'!$B$12:$B$16,'Loan Prepayment'!$A$12:$A$16,I346)+0))</f>
        <v>0</v>
      </c>
      <c r="P346">
        <f t="shared" si="110"/>
        <v>0</v>
      </c>
      <c r="Q346">
        <v>345</v>
      </c>
      <c r="R346">
        <f t="shared" si="123"/>
        <v>0</v>
      </c>
      <c r="S346" s="78">
        <f>'Loan Prepayment'!$B$6</f>
        <v>8.5</v>
      </c>
      <c r="T346">
        <f>IF(R346&lt;=0,0,MIN(IF(AND('Loan Prepayment'!$E$15="Reduce EMI",W345&gt;0),-PMT(S346/1200,MAX(1,'Loan Prepayment'!$B$7*12-Q346+1),R346),T345),R346+U346))</f>
        <v>0</v>
      </c>
      <c r="U346">
        <f t="shared" si="111"/>
        <v>0</v>
      </c>
      <c r="V346">
        <f t="shared" si="112"/>
        <v>0</v>
      </c>
      <c r="W346">
        <f>IF(R346&lt;=0,0,MIN(MAX(0,R346-V346),0+IF(AND(Q346&gt;='Loan Prepayment'!$B$9,Q346&lt;='Loan Prepayment'!$E$16),'Loan Prepayment'!$B$8,0)))</f>
        <v>0</v>
      </c>
      <c r="X346">
        <f t="shared" si="113"/>
        <v>0</v>
      </c>
      <c r="Y346">
        <v>345</v>
      </c>
      <c r="Z346">
        <f t="shared" si="124"/>
        <v>0</v>
      </c>
      <c r="AA346">
        <f>IF(Y346&gt;='Loan Prepayment'!$E$11,'Loan Prepayment'!$E$12,'Loan Prepayment'!$B$6)</f>
        <v>7.5</v>
      </c>
      <c r="AB346">
        <f>IF(Z346&lt;=0,0,MIN(IF(Y346='Loan Prepayment'!$E$11,IF('Loan Prepayment'!$E$13="Keep tenure, recalculate EMI",-PMT(AA346/1200,MAX(1,'Loan Prepayment'!$B$7*12-Y346+1),Z346),AB345),AB345),Z346+AC346))</f>
        <v>0</v>
      </c>
      <c r="AC346">
        <f t="shared" si="114"/>
        <v>0</v>
      </c>
      <c r="AD346">
        <f t="shared" si="115"/>
        <v>0</v>
      </c>
      <c r="AE346">
        <f t="shared" si="116"/>
        <v>0</v>
      </c>
      <c r="AF346">
        <f t="shared" si="117"/>
        <v>0</v>
      </c>
      <c r="AG346">
        <v>345</v>
      </c>
      <c r="AH346">
        <f t="shared" si="125"/>
        <v>0</v>
      </c>
      <c r="AI346">
        <f>IF(AG346&gt;='Loan Prepayment'!$E$11,'Loan Prepayment'!$E$12,'Loan Prepayment'!$B$6)</f>
        <v>7.5</v>
      </c>
      <c r="AJ346">
        <f>IF(AH346&lt;=0,0,MIN(IF(AG346='Loan Prepayment'!$E$11,IF('Loan Prepayment'!$E$13="Keep tenure, recalculate EMI",-PMT(AI346/1200,MAX(1,'Loan Prepayment'!$B$7*12-AG346+1),AH346),AJ345),IF(AND('Loan Prepayment'!$E$15="Reduce EMI",AM345&gt;0),-PMT(AI346/1200,MAX(1,'Loan Prepayment'!$B$7*12-AG346+1),AH346),AJ345)),AH346+AK346))</f>
        <v>0</v>
      </c>
      <c r="AK346">
        <f t="shared" si="118"/>
        <v>0</v>
      </c>
      <c r="AL346">
        <f t="shared" si="119"/>
        <v>0</v>
      </c>
      <c r="AM346">
        <f>IF(AH346&lt;=0,0,MIN(MAX(0,AH346-AL346),SUMIFS('Loan Prepayment'!$B$12:$B$16,'Loan Prepayment'!$A$12:$A$16,AG346)+IF(AND(AG346&gt;='Loan Prepayment'!$B$9,AG346&lt;='Loan Prepayment'!$E$16),'Loan Prepayment'!$B$8,0)))</f>
        <v>0</v>
      </c>
      <c r="AN346">
        <f t="shared" si="120"/>
        <v>0</v>
      </c>
    </row>
    <row r="347" spans="1:40" x14ac:dyDescent="0.35">
      <c r="A347">
        <v>346</v>
      </c>
      <c r="B347">
        <f t="shared" si="121"/>
        <v>0</v>
      </c>
      <c r="C347" s="78">
        <f>'Loan Prepayment'!$B$6</f>
        <v>8.5</v>
      </c>
      <c r="D347">
        <f>IF(B347&lt;=0,0,MIN(-PMT('Loan Prepayment'!$B$6/1200,'Loan Prepayment'!$B$7*12,'Loan Prepayment'!$B$5),B347+E347))</f>
        <v>0</v>
      </c>
      <c r="E347">
        <f t="shared" si="105"/>
        <v>0</v>
      </c>
      <c r="F347">
        <f t="shared" si="106"/>
        <v>0</v>
      </c>
      <c r="G347">
        <v>0</v>
      </c>
      <c r="H347">
        <f t="shared" si="107"/>
        <v>0</v>
      </c>
      <c r="I347">
        <v>346</v>
      </c>
      <c r="J347">
        <f t="shared" si="122"/>
        <v>0</v>
      </c>
      <c r="K347" s="78">
        <f>'Loan Prepayment'!$B$6</f>
        <v>8.5</v>
      </c>
      <c r="L347">
        <f>IF(J347&lt;=0,0,MIN(IF(AND('Loan Prepayment'!$E$15="Reduce EMI",O346&gt;0),-PMT(K347/1200,MAX(1,'Loan Prepayment'!$B$7*12-I347+1),J347),L346),J347+M347))</f>
        <v>0</v>
      </c>
      <c r="M347">
        <f t="shared" si="108"/>
        <v>0</v>
      </c>
      <c r="N347">
        <f t="shared" si="109"/>
        <v>0</v>
      </c>
      <c r="O347">
        <f>IF(J347&lt;=0,0,MIN(MAX(0,J347-N347),SUMIFS('Loan Prepayment'!$B$12:$B$16,'Loan Prepayment'!$A$12:$A$16,I347)+0))</f>
        <v>0</v>
      </c>
      <c r="P347">
        <f t="shared" si="110"/>
        <v>0</v>
      </c>
      <c r="Q347">
        <v>346</v>
      </c>
      <c r="R347">
        <f t="shared" si="123"/>
        <v>0</v>
      </c>
      <c r="S347" s="78">
        <f>'Loan Prepayment'!$B$6</f>
        <v>8.5</v>
      </c>
      <c r="T347">
        <f>IF(R347&lt;=0,0,MIN(IF(AND('Loan Prepayment'!$E$15="Reduce EMI",W346&gt;0),-PMT(S347/1200,MAX(1,'Loan Prepayment'!$B$7*12-Q347+1),R347),T346),R347+U347))</f>
        <v>0</v>
      </c>
      <c r="U347">
        <f t="shared" si="111"/>
        <v>0</v>
      </c>
      <c r="V347">
        <f t="shared" si="112"/>
        <v>0</v>
      </c>
      <c r="W347">
        <f>IF(R347&lt;=0,0,MIN(MAX(0,R347-V347),0+IF(AND(Q347&gt;='Loan Prepayment'!$B$9,Q347&lt;='Loan Prepayment'!$E$16),'Loan Prepayment'!$B$8,0)))</f>
        <v>0</v>
      </c>
      <c r="X347">
        <f t="shared" si="113"/>
        <v>0</v>
      </c>
      <c r="Y347">
        <v>346</v>
      </c>
      <c r="Z347">
        <f t="shared" si="124"/>
        <v>0</v>
      </c>
      <c r="AA347">
        <f>IF(Y347&gt;='Loan Prepayment'!$E$11,'Loan Prepayment'!$E$12,'Loan Prepayment'!$B$6)</f>
        <v>7.5</v>
      </c>
      <c r="AB347">
        <f>IF(Z347&lt;=0,0,MIN(IF(Y347='Loan Prepayment'!$E$11,IF('Loan Prepayment'!$E$13="Keep tenure, recalculate EMI",-PMT(AA347/1200,MAX(1,'Loan Prepayment'!$B$7*12-Y347+1),Z347),AB346),AB346),Z347+AC347))</f>
        <v>0</v>
      </c>
      <c r="AC347">
        <f t="shared" si="114"/>
        <v>0</v>
      </c>
      <c r="AD347">
        <f t="shared" si="115"/>
        <v>0</v>
      </c>
      <c r="AE347">
        <f t="shared" si="116"/>
        <v>0</v>
      </c>
      <c r="AF347">
        <f t="shared" si="117"/>
        <v>0</v>
      </c>
      <c r="AG347">
        <v>346</v>
      </c>
      <c r="AH347">
        <f t="shared" si="125"/>
        <v>0</v>
      </c>
      <c r="AI347">
        <f>IF(AG347&gt;='Loan Prepayment'!$E$11,'Loan Prepayment'!$E$12,'Loan Prepayment'!$B$6)</f>
        <v>7.5</v>
      </c>
      <c r="AJ347">
        <f>IF(AH347&lt;=0,0,MIN(IF(AG347='Loan Prepayment'!$E$11,IF('Loan Prepayment'!$E$13="Keep tenure, recalculate EMI",-PMT(AI347/1200,MAX(1,'Loan Prepayment'!$B$7*12-AG347+1),AH347),AJ346),IF(AND('Loan Prepayment'!$E$15="Reduce EMI",AM346&gt;0),-PMT(AI347/1200,MAX(1,'Loan Prepayment'!$B$7*12-AG347+1),AH347),AJ346)),AH347+AK347))</f>
        <v>0</v>
      </c>
      <c r="AK347">
        <f t="shared" si="118"/>
        <v>0</v>
      </c>
      <c r="AL347">
        <f t="shared" si="119"/>
        <v>0</v>
      </c>
      <c r="AM347">
        <f>IF(AH347&lt;=0,0,MIN(MAX(0,AH347-AL347),SUMIFS('Loan Prepayment'!$B$12:$B$16,'Loan Prepayment'!$A$12:$A$16,AG347)+IF(AND(AG347&gt;='Loan Prepayment'!$B$9,AG347&lt;='Loan Prepayment'!$E$16),'Loan Prepayment'!$B$8,0)))</f>
        <v>0</v>
      </c>
      <c r="AN347">
        <f t="shared" si="120"/>
        <v>0</v>
      </c>
    </row>
    <row r="348" spans="1:40" x14ac:dyDescent="0.35">
      <c r="A348">
        <v>347</v>
      </c>
      <c r="B348">
        <f t="shared" si="121"/>
        <v>0</v>
      </c>
      <c r="C348" s="78">
        <f>'Loan Prepayment'!$B$6</f>
        <v>8.5</v>
      </c>
      <c r="D348">
        <f>IF(B348&lt;=0,0,MIN(-PMT('Loan Prepayment'!$B$6/1200,'Loan Prepayment'!$B$7*12,'Loan Prepayment'!$B$5),B348+E348))</f>
        <v>0</v>
      </c>
      <c r="E348">
        <f t="shared" si="105"/>
        <v>0</v>
      </c>
      <c r="F348">
        <f t="shared" si="106"/>
        <v>0</v>
      </c>
      <c r="G348">
        <v>0</v>
      </c>
      <c r="H348">
        <f t="shared" si="107"/>
        <v>0</v>
      </c>
      <c r="I348">
        <v>347</v>
      </c>
      <c r="J348">
        <f t="shared" si="122"/>
        <v>0</v>
      </c>
      <c r="K348" s="78">
        <f>'Loan Prepayment'!$B$6</f>
        <v>8.5</v>
      </c>
      <c r="L348">
        <f>IF(J348&lt;=0,0,MIN(IF(AND('Loan Prepayment'!$E$15="Reduce EMI",O347&gt;0),-PMT(K348/1200,MAX(1,'Loan Prepayment'!$B$7*12-I348+1),J348),L347),J348+M348))</f>
        <v>0</v>
      </c>
      <c r="M348">
        <f t="shared" si="108"/>
        <v>0</v>
      </c>
      <c r="N348">
        <f t="shared" si="109"/>
        <v>0</v>
      </c>
      <c r="O348">
        <f>IF(J348&lt;=0,0,MIN(MAX(0,J348-N348),SUMIFS('Loan Prepayment'!$B$12:$B$16,'Loan Prepayment'!$A$12:$A$16,I348)+0))</f>
        <v>0</v>
      </c>
      <c r="P348">
        <f t="shared" si="110"/>
        <v>0</v>
      </c>
      <c r="Q348">
        <v>347</v>
      </c>
      <c r="R348">
        <f t="shared" si="123"/>
        <v>0</v>
      </c>
      <c r="S348" s="78">
        <f>'Loan Prepayment'!$B$6</f>
        <v>8.5</v>
      </c>
      <c r="T348">
        <f>IF(R348&lt;=0,0,MIN(IF(AND('Loan Prepayment'!$E$15="Reduce EMI",W347&gt;0),-PMT(S348/1200,MAX(1,'Loan Prepayment'!$B$7*12-Q348+1),R348),T347),R348+U348))</f>
        <v>0</v>
      </c>
      <c r="U348">
        <f t="shared" si="111"/>
        <v>0</v>
      </c>
      <c r="V348">
        <f t="shared" si="112"/>
        <v>0</v>
      </c>
      <c r="W348">
        <f>IF(R348&lt;=0,0,MIN(MAX(0,R348-V348),0+IF(AND(Q348&gt;='Loan Prepayment'!$B$9,Q348&lt;='Loan Prepayment'!$E$16),'Loan Prepayment'!$B$8,0)))</f>
        <v>0</v>
      </c>
      <c r="X348">
        <f t="shared" si="113"/>
        <v>0</v>
      </c>
      <c r="Y348">
        <v>347</v>
      </c>
      <c r="Z348">
        <f t="shared" si="124"/>
        <v>0</v>
      </c>
      <c r="AA348">
        <f>IF(Y348&gt;='Loan Prepayment'!$E$11,'Loan Prepayment'!$E$12,'Loan Prepayment'!$B$6)</f>
        <v>7.5</v>
      </c>
      <c r="AB348">
        <f>IF(Z348&lt;=0,0,MIN(IF(Y348='Loan Prepayment'!$E$11,IF('Loan Prepayment'!$E$13="Keep tenure, recalculate EMI",-PMT(AA348/1200,MAX(1,'Loan Prepayment'!$B$7*12-Y348+1),Z348),AB347),AB347),Z348+AC348))</f>
        <v>0</v>
      </c>
      <c r="AC348">
        <f t="shared" si="114"/>
        <v>0</v>
      </c>
      <c r="AD348">
        <f t="shared" si="115"/>
        <v>0</v>
      </c>
      <c r="AE348">
        <f t="shared" si="116"/>
        <v>0</v>
      </c>
      <c r="AF348">
        <f t="shared" si="117"/>
        <v>0</v>
      </c>
      <c r="AG348">
        <v>347</v>
      </c>
      <c r="AH348">
        <f t="shared" si="125"/>
        <v>0</v>
      </c>
      <c r="AI348">
        <f>IF(AG348&gt;='Loan Prepayment'!$E$11,'Loan Prepayment'!$E$12,'Loan Prepayment'!$B$6)</f>
        <v>7.5</v>
      </c>
      <c r="AJ348">
        <f>IF(AH348&lt;=0,0,MIN(IF(AG348='Loan Prepayment'!$E$11,IF('Loan Prepayment'!$E$13="Keep tenure, recalculate EMI",-PMT(AI348/1200,MAX(1,'Loan Prepayment'!$B$7*12-AG348+1),AH348),AJ347),IF(AND('Loan Prepayment'!$E$15="Reduce EMI",AM347&gt;0),-PMT(AI348/1200,MAX(1,'Loan Prepayment'!$B$7*12-AG348+1),AH348),AJ347)),AH348+AK348))</f>
        <v>0</v>
      </c>
      <c r="AK348">
        <f t="shared" si="118"/>
        <v>0</v>
      </c>
      <c r="AL348">
        <f t="shared" si="119"/>
        <v>0</v>
      </c>
      <c r="AM348">
        <f>IF(AH348&lt;=0,0,MIN(MAX(0,AH348-AL348),SUMIFS('Loan Prepayment'!$B$12:$B$16,'Loan Prepayment'!$A$12:$A$16,AG348)+IF(AND(AG348&gt;='Loan Prepayment'!$B$9,AG348&lt;='Loan Prepayment'!$E$16),'Loan Prepayment'!$B$8,0)))</f>
        <v>0</v>
      </c>
      <c r="AN348">
        <f t="shared" si="120"/>
        <v>0</v>
      </c>
    </row>
    <row r="349" spans="1:40" x14ac:dyDescent="0.35">
      <c r="A349">
        <v>348</v>
      </c>
      <c r="B349">
        <f t="shared" si="121"/>
        <v>0</v>
      </c>
      <c r="C349" s="78">
        <f>'Loan Prepayment'!$B$6</f>
        <v>8.5</v>
      </c>
      <c r="D349">
        <f>IF(B349&lt;=0,0,MIN(-PMT('Loan Prepayment'!$B$6/1200,'Loan Prepayment'!$B$7*12,'Loan Prepayment'!$B$5),B349+E349))</f>
        <v>0</v>
      </c>
      <c r="E349">
        <f t="shared" si="105"/>
        <v>0</v>
      </c>
      <c r="F349">
        <f t="shared" si="106"/>
        <v>0</v>
      </c>
      <c r="G349">
        <v>0</v>
      </c>
      <c r="H349">
        <f t="shared" si="107"/>
        <v>0</v>
      </c>
      <c r="I349">
        <v>348</v>
      </c>
      <c r="J349">
        <f t="shared" si="122"/>
        <v>0</v>
      </c>
      <c r="K349" s="78">
        <f>'Loan Prepayment'!$B$6</f>
        <v>8.5</v>
      </c>
      <c r="L349">
        <f>IF(J349&lt;=0,0,MIN(IF(AND('Loan Prepayment'!$E$15="Reduce EMI",O348&gt;0),-PMT(K349/1200,MAX(1,'Loan Prepayment'!$B$7*12-I349+1),J349),L348),J349+M349))</f>
        <v>0</v>
      </c>
      <c r="M349">
        <f t="shared" si="108"/>
        <v>0</v>
      </c>
      <c r="N349">
        <f t="shared" si="109"/>
        <v>0</v>
      </c>
      <c r="O349">
        <f>IF(J349&lt;=0,0,MIN(MAX(0,J349-N349),SUMIFS('Loan Prepayment'!$B$12:$B$16,'Loan Prepayment'!$A$12:$A$16,I349)+0))</f>
        <v>0</v>
      </c>
      <c r="P349">
        <f t="shared" si="110"/>
        <v>0</v>
      </c>
      <c r="Q349">
        <v>348</v>
      </c>
      <c r="R349">
        <f t="shared" si="123"/>
        <v>0</v>
      </c>
      <c r="S349" s="78">
        <f>'Loan Prepayment'!$B$6</f>
        <v>8.5</v>
      </c>
      <c r="T349">
        <f>IF(R349&lt;=0,0,MIN(IF(AND('Loan Prepayment'!$E$15="Reduce EMI",W348&gt;0),-PMT(S349/1200,MAX(1,'Loan Prepayment'!$B$7*12-Q349+1),R349),T348),R349+U349))</f>
        <v>0</v>
      </c>
      <c r="U349">
        <f t="shared" si="111"/>
        <v>0</v>
      </c>
      <c r="V349">
        <f t="shared" si="112"/>
        <v>0</v>
      </c>
      <c r="W349">
        <f>IF(R349&lt;=0,0,MIN(MAX(0,R349-V349),0+IF(AND(Q349&gt;='Loan Prepayment'!$B$9,Q349&lt;='Loan Prepayment'!$E$16),'Loan Prepayment'!$B$8,0)))</f>
        <v>0</v>
      </c>
      <c r="X349">
        <f t="shared" si="113"/>
        <v>0</v>
      </c>
      <c r="Y349">
        <v>348</v>
      </c>
      <c r="Z349">
        <f t="shared" si="124"/>
        <v>0</v>
      </c>
      <c r="AA349">
        <f>IF(Y349&gt;='Loan Prepayment'!$E$11,'Loan Prepayment'!$E$12,'Loan Prepayment'!$B$6)</f>
        <v>7.5</v>
      </c>
      <c r="AB349">
        <f>IF(Z349&lt;=0,0,MIN(IF(Y349='Loan Prepayment'!$E$11,IF('Loan Prepayment'!$E$13="Keep tenure, recalculate EMI",-PMT(AA349/1200,MAX(1,'Loan Prepayment'!$B$7*12-Y349+1),Z349),AB348),AB348),Z349+AC349))</f>
        <v>0</v>
      </c>
      <c r="AC349">
        <f t="shared" si="114"/>
        <v>0</v>
      </c>
      <c r="AD349">
        <f t="shared" si="115"/>
        <v>0</v>
      </c>
      <c r="AE349">
        <f t="shared" si="116"/>
        <v>0</v>
      </c>
      <c r="AF349">
        <f t="shared" si="117"/>
        <v>0</v>
      </c>
      <c r="AG349">
        <v>348</v>
      </c>
      <c r="AH349">
        <f t="shared" si="125"/>
        <v>0</v>
      </c>
      <c r="AI349">
        <f>IF(AG349&gt;='Loan Prepayment'!$E$11,'Loan Prepayment'!$E$12,'Loan Prepayment'!$B$6)</f>
        <v>7.5</v>
      </c>
      <c r="AJ349">
        <f>IF(AH349&lt;=0,0,MIN(IF(AG349='Loan Prepayment'!$E$11,IF('Loan Prepayment'!$E$13="Keep tenure, recalculate EMI",-PMT(AI349/1200,MAX(1,'Loan Prepayment'!$B$7*12-AG349+1),AH349),AJ348),IF(AND('Loan Prepayment'!$E$15="Reduce EMI",AM348&gt;0),-PMT(AI349/1200,MAX(1,'Loan Prepayment'!$B$7*12-AG349+1),AH349),AJ348)),AH349+AK349))</f>
        <v>0</v>
      </c>
      <c r="AK349">
        <f t="shared" si="118"/>
        <v>0</v>
      </c>
      <c r="AL349">
        <f t="shared" si="119"/>
        <v>0</v>
      </c>
      <c r="AM349">
        <f>IF(AH349&lt;=0,0,MIN(MAX(0,AH349-AL349),SUMIFS('Loan Prepayment'!$B$12:$B$16,'Loan Prepayment'!$A$12:$A$16,AG349)+IF(AND(AG349&gt;='Loan Prepayment'!$B$9,AG349&lt;='Loan Prepayment'!$E$16),'Loan Prepayment'!$B$8,0)))</f>
        <v>0</v>
      </c>
      <c r="AN349">
        <f t="shared" si="120"/>
        <v>0</v>
      </c>
    </row>
    <row r="350" spans="1:40" x14ac:dyDescent="0.35">
      <c r="A350">
        <v>349</v>
      </c>
      <c r="B350">
        <f t="shared" si="121"/>
        <v>0</v>
      </c>
      <c r="C350" s="78">
        <f>'Loan Prepayment'!$B$6</f>
        <v>8.5</v>
      </c>
      <c r="D350">
        <f>IF(B350&lt;=0,0,MIN(-PMT('Loan Prepayment'!$B$6/1200,'Loan Prepayment'!$B$7*12,'Loan Prepayment'!$B$5),B350+E350))</f>
        <v>0</v>
      </c>
      <c r="E350">
        <f t="shared" si="105"/>
        <v>0</v>
      </c>
      <c r="F350">
        <f t="shared" si="106"/>
        <v>0</v>
      </c>
      <c r="G350">
        <v>0</v>
      </c>
      <c r="H350">
        <f t="shared" si="107"/>
        <v>0</v>
      </c>
      <c r="I350">
        <v>349</v>
      </c>
      <c r="J350">
        <f t="shared" si="122"/>
        <v>0</v>
      </c>
      <c r="K350" s="78">
        <f>'Loan Prepayment'!$B$6</f>
        <v>8.5</v>
      </c>
      <c r="L350">
        <f>IF(J350&lt;=0,0,MIN(IF(AND('Loan Prepayment'!$E$15="Reduce EMI",O349&gt;0),-PMT(K350/1200,MAX(1,'Loan Prepayment'!$B$7*12-I350+1),J350),L349),J350+M350))</f>
        <v>0</v>
      </c>
      <c r="M350">
        <f t="shared" si="108"/>
        <v>0</v>
      </c>
      <c r="N350">
        <f t="shared" si="109"/>
        <v>0</v>
      </c>
      <c r="O350">
        <f>IF(J350&lt;=0,0,MIN(MAX(0,J350-N350),SUMIFS('Loan Prepayment'!$B$12:$B$16,'Loan Prepayment'!$A$12:$A$16,I350)+0))</f>
        <v>0</v>
      </c>
      <c r="P350">
        <f t="shared" si="110"/>
        <v>0</v>
      </c>
      <c r="Q350">
        <v>349</v>
      </c>
      <c r="R350">
        <f t="shared" si="123"/>
        <v>0</v>
      </c>
      <c r="S350" s="78">
        <f>'Loan Prepayment'!$B$6</f>
        <v>8.5</v>
      </c>
      <c r="T350">
        <f>IF(R350&lt;=0,0,MIN(IF(AND('Loan Prepayment'!$E$15="Reduce EMI",W349&gt;0),-PMT(S350/1200,MAX(1,'Loan Prepayment'!$B$7*12-Q350+1),R350),T349),R350+U350))</f>
        <v>0</v>
      </c>
      <c r="U350">
        <f t="shared" si="111"/>
        <v>0</v>
      </c>
      <c r="V350">
        <f t="shared" si="112"/>
        <v>0</v>
      </c>
      <c r="W350">
        <f>IF(R350&lt;=0,0,MIN(MAX(0,R350-V350),0+IF(AND(Q350&gt;='Loan Prepayment'!$B$9,Q350&lt;='Loan Prepayment'!$E$16),'Loan Prepayment'!$B$8,0)))</f>
        <v>0</v>
      </c>
      <c r="X350">
        <f t="shared" si="113"/>
        <v>0</v>
      </c>
      <c r="Y350">
        <v>349</v>
      </c>
      <c r="Z350">
        <f t="shared" si="124"/>
        <v>0</v>
      </c>
      <c r="AA350">
        <f>IF(Y350&gt;='Loan Prepayment'!$E$11,'Loan Prepayment'!$E$12,'Loan Prepayment'!$B$6)</f>
        <v>7.5</v>
      </c>
      <c r="AB350">
        <f>IF(Z350&lt;=0,0,MIN(IF(Y350='Loan Prepayment'!$E$11,IF('Loan Prepayment'!$E$13="Keep tenure, recalculate EMI",-PMT(AA350/1200,MAX(1,'Loan Prepayment'!$B$7*12-Y350+1),Z350),AB349),AB349),Z350+AC350))</f>
        <v>0</v>
      </c>
      <c r="AC350">
        <f t="shared" si="114"/>
        <v>0</v>
      </c>
      <c r="AD350">
        <f t="shared" si="115"/>
        <v>0</v>
      </c>
      <c r="AE350">
        <f t="shared" si="116"/>
        <v>0</v>
      </c>
      <c r="AF350">
        <f t="shared" si="117"/>
        <v>0</v>
      </c>
      <c r="AG350">
        <v>349</v>
      </c>
      <c r="AH350">
        <f t="shared" si="125"/>
        <v>0</v>
      </c>
      <c r="AI350">
        <f>IF(AG350&gt;='Loan Prepayment'!$E$11,'Loan Prepayment'!$E$12,'Loan Prepayment'!$B$6)</f>
        <v>7.5</v>
      </c>
      <c r="AJ350">
        <f>IF(AH350&lt;=0,0,MIN(IF(AG350='Loan Prepayment'!$E$11,IF('Loan Prepayment'!$E$13="Keep tenure, recalculate EMI",-PMT(AI350/1200,MAX(1,'Loan Prepayment'!$B$7*12-AG350+1),AH350),AJ349),IF(AND('Loan Prepayment'!$E$15="Reduce EMI",AM349&gt;0),-PMT(AI350/1200,MAX(1,'Loan Prepayment'!$B$7*12-AG350+1),AH350),AJ349)),AH350+AK350))</f>
        <v>0</v>
      </c>
      <c r="AK350">
        <f t="shared" si="118"/>
        <v>0</v>
      </c>
      <c r="AL350">
        <f t="shared" si="119"/>
        <v>0</v>
      </c>
      <c r="AM350">
        <f>IF(AH350&lt;=0,0,MIN(MAX(0,AH350-AL350),SUMIFS('Loan Prepayment'!$B$12:$B$16,'Loan Prepayment'!$A$12:$A$16,AG350)+IF(AND(AG350&gt;='Loan Prepayment'!$B$9,AG350&lt;='Loan Prepayment'!$E$16),'Loan Prepayment'!$B$8,0)))</f>
        <v>0</v>
      </c>
      <c r="AN350">
        <f t="shared" si="120"/>
        <v>0</v>
      </c>
    </row>
    <row r="351" spans="1:40" x14ac:dyDescent="0.35">
      <c r="A351">
        <v>350</v>
      </c>
      <c r="B351">
        <f t="shared" si="121"/>
        <v>0</v>
      </c>
      <c r="C351" s="78">
        <f>'Loan Prepayment'!$B$6</f>
        <v>8.5</v>
      </c>
      <c r="D351">
        <f>IF(B351&lt;=0,0,MIN(-PMT('Loan Prepayment'!$B$6/1200,'Loan Prepayment'!$B$7*12,'Loan Prepayment'!$B$5),B351+E351))</f>
        <v>0</v>
      </c>
      <c r="E351">
        <f t="shared" si="105"/>
        <v>0</v>
      </c>
      <c r="F351">
        <f t="shared" si="106"/>
        <v>0</v>
      </c>
      <c r="G351">
        <v>0</v>
      </c>
      <c r="H351">
        <f t="shared" si="107"/>
        <v>0</v>
      </c>
      <c r="I351">
        <v>350</v>
      </c>
      <c r="J351">
        <f t="shared" si="122"/>
        <v>0</v>
      </c>
      <c r="K351" s="78">
        <f>'Loan Prepayment'!$B$6</f>
        <v>8.5</v>
      </c>
      <c r="L351">
        <f>IF(J351&lt;=0,0,MIN(IF(AND('Loan Prepayment'!$E$15="Reduce EMI",O350&gt;0),-PMT(K351/1200,MAX(1,'Loan Prepayment'!$B$7*12-I351+1),J351),L350),J351+M351))</f>
        <v>0</v>
      </c>
      <c r="M351">
        <f t="shared" si="108"/>
        <v>0</v>
      </c>
      <c r="N351">
        <f t="shared" si="109"/>
        <v>0</v>
      </c>
      <c r="O351">
        <f>IF(J351&lt;=0,0,MIN(MAX(0,J351-N351),SUMIFS('Loan Prepayment'!$B$12:$B$16,'Loan Prepayment'!$A$12:$A$16,I351)+0))</f>
        <v>0</v>
      </c>
      <c r="P351">
        <f t="shared" si="110"/>
        <v>0</v>
      </c>
      <c r="Q351">
        <v>350</v>
      </c>
      <c r="R351">
        <f t="shared" si="123"/>
        <v>0</v>
      </c>
      <c r="S351" s="78">
        <f>'Loan Prepayment'!$B$6</f>
        <v>8.5</v>
      </c>
      <c r="T351">
        <f>IF(R351&lt;=0,0,MIN(IF(AND('Loan Prepayment'!$E$15="Reduce EMI",W350&gt;0),-PMT(S351/1200,MAX(1,'Loan Prepayment'!$B$7*12-Q351+1),R351),T350),R351+U351))</f>
        <v>0</v>
      </c>
      <c r="U351">
        <f t="shared" si="111"/>
        <v>0</v>
      </c>
      <c r="V351">
        <f t="shared" si="112"/>
        <v>0</v>
      </c>
      <c r="W351">
        <f>IF(R351&lt;=0,0,MIN(MAX(0,R351-V351),0+IF(AND(Q351&gt;='Loan Prepayment'!$B$9,Q351&lt;='Loan Prepayment'!$E$16),'Loan Prepayment'!$B$8,0)))</f>
        <v>0</v>
      </c>
      <c r="X351">
        <f t="shared" si="113"/>
        <v>0</v>
      </c>
      <c r="Y351">
        <v>350</v>
      </c>
      <c r="Z351">
        <f t="shared" si="124"/>
        <v>0</v>
      </c>
      <c r="AA351">
        <f>IF(Y351&gt;='Loan Prepayment'!$E$11,'Loan Prepayment'!$E$12,'Loan Prepayment'!$B$6)</f>
        <v>7.5</v>
      </c>
      <c r="AB351">
        <f>IF(Z351&lt;=0,0,MIN(IF(Y351='Loan Prepayment'!$E$11,IF('Loan Prepayment'!$E$13="Keep tenure, recalculate EMI",-PMT(AA351/1200,MAX(1,'Loan Prepayment'!$B$7*12-Y351+1),Z351),AB350),AB350),Z351+AC351))</f>
        <v>0</v>
      </c>
      <c r="AC351">
        <f t="shared" si="114"/>
        <v>0</v>
      </c>
      <c r="AD351">
        <f t="shared" si="115"/>
        <v>0</v>
      </c>
      <c r="AE351">
        <f t="shared" si="116"/>
        <v>0</v>
      </c>
      <c r="AF351">
        <f t="shared" si="117"/>
        <v>0</v>
      </c>
      <c r="AG351">
        <v>350</v>
      </c>
      <c r="AH351">
        <f t="shared" si="125"/>
        <v>0</v>
      </c>
      <c r="AI351">
        <f>IF(AG351&gt;='Loan Prepayment'!$E$11,'Loan Prepayment'!$E$12,'Loan Prepayment'!$B$6)</f>
        <v>7.5</v>
      </c>
      <c r="AJ351">
        <f>IF(AH351&lt;=0,0,MIN(IF(AG351='Loan Prepayment'!$E$11,IF('Loan Prepayment'!$E$13="Keep tenure, recalculate EMI",-PMT(AI351/1200,MAX(1,'Loan Prepayment'!$B$7*12-AG351+1),AH351),AJ350),IF(AND('Loan Prepayment'!$E$15="Reduce EMI",AM350&gt;0),-PMT(AI351/1200,MAX(1,'Loan Prepayment'!$B$7*12-AG351+1),AH351),AJ350)),AH351+AK351))</f>
        <v>0</v>
      </c>
      <c r="AK351">
        <f t="shared" si="118"/>
        <v>0</v>
      </c>
      <c r="AL351">
        <f t="shared" si="119"/>
        <v>0</v>
      </c>
      <c r="AM351">
        <f>IF(AH351&lt;=0,0,MIN(MAX(0,AH351-AL351),SUMIFS('Loan Prepayment'!$B$12:$B$16,'Loan Prepayment'!$A$12:$A$16,AG351)+IF(AND(AG351&gt;='Loan Prepayment'!$B$9,AG351&lt;='Loan Prepayment'!$E$16),'Loan Prepayment'!$B$8,0)))</f>
        <v>0</v>
      </c>
      <c r="AN351">
        <f t="shared" si="120"/>
        <v>0</v>
      </c>
    </row>
    <row r="352" spans="1:40" x14ac:dyDescent="0.35">
      <c r="A352">
        <v>351</v>
      </c>
      <c r="B352">
        <f t="shared" si="121"/>
        <v>0</v>
      </c>
      <c r="C352" s="78">
        <f>'Loan Prepayment'!$B$6</f>
        <v>8.5</v>
      </c>
      <c r="D352">
        <f>IF(B352&lt;=0,0,MIN(-PMT('Loan Prepayment'!$B$6/1200,'Loan Prepayment'!$B$7*12,'Loan Prepayment'!$B$5),B352+E352))</f>
        <v>0</v>
      </c>
      <c r="E352">
        <f t="shared" si="105"/>
        <v>0</v>
      </c>
      <c r="F352">
        <f t="shared" si="106"/>
        <v>0</v>
      </c>
      <c r="G352">
        <v>0</v>
      </c>
      <c r="H352">
        <f t="shared" si="107"/>
        <v>0</v>
      </c>
      <c r="I352">
        <v>351</v>
      </c>
      <c r="J352">
        <f t="shared" si="122"/>
        <v>0</v>
      </c>
      <c r="K352" s="78">
        <f>'Loan Prepayment'!$B$6</f>
        <v>8.5</v>
      </c>
      <c r="L352">
        <f>IF(J352&lt;=0,0,MIN(IF(AND('Loan Prepayment'!$E$15="Reduce EMI",O351&gt;0),-PMT(K352/1200,MAX(1,'Loan Prepayment'!$B$7*12-I352+1),J352),L351),J352+M352))</f>
        <v>0</v>
      </c>
      <c r="M352">
        <f t="shared" si="108"/>
        <v>0</v>
      </c>
      <c r="N352">
        <f t="shared" si="109"/>
        <v>0</v>
      </c>
      <c r="O352">
        <f>IF(J352&lt;=0,0,MIN(MAX(0,J352-N352),SUMIFS('Loan Prepayment'!$B$12:$B$16,'Loan Prepayment'!$A$12:$A$16,I352)+0))</f>
        <v>0</v>
      </c>
      <c r="P352">
        <f t="shared" si="110"/>
        <v>0</v>
      </c>
      <c r="Q352">
        <v>351</v>
      </c>
      <c r="R352">
        <f t="shared" si="123"/>
        <v>0</v>
      </c>
      <c r="S352" s="78">
        <f>'Loan Prepayment'!$B$6</f>
        <v>8.5</v>
      </c>
      <c r="T352">
        <f>IF(R352&lt;=0,0,MIN(IF(AND('Loan Prepayment'!$E$15="Reduce EMI",W351&gt;0),-PMT(S352/1200,MAX(1,'Loan Prepayment'!$B$7*12-Q352+1),R352),T351),R352+U352))</f>
        <v>0</v>
      </c>
      <c r="U352">
        <f t="shared" si="111"/>
        <v>0</v>
      </c>
      <c r="V352">
        <f t="shared" si="112"/>
        <v>0</v>
      </c>
      <c r="W352">
        <f>IF(R352&lt;=0,0,MIN(MAX(0,R352-V352),0+IF(AND(Q352&gt;='Loan Prepayment'!$B$9,Q352&lt;='Loan Prepayment'!$E$16),'Loan Prepayment'!$B$8,0)))</f>
        <v>0</v>
      </c>
      <c r="X352">
        <f t="shared" si="113"/>
        <v>0</v>
      </c>
      <c r="Y352">
        <v>351</v>
      </c>
      <c r="Z352">
        <f t="shared" si="124"/>
        <v>0</v>
      </c>
      <c r="AA352">
        <f>IF(Y352&gt;='Loan Prepayment'!$E$11,'Loan Prepayment'!$E$12,'Loan Prepayment'!$B$6)</f>
        <v>7.5</v>
      </c>
      <c r="AB352">
        <f>IF(Z352&lt;=0,0,MIN(IF(Y352='Loan Prepayment'!$E$11,IF('Loan Prepayment'!$E$13="Keep tenure, recalculate EMI",-PMT(AA352/1200,MAX(1,'Loan Prepayment'!$B$7*12-Y352+1),Z352),AB351),AB351),Z352+AC352))</f>
        <v>0</v>
      </c>
      <c r="AC352">
        <f t="shared" si="114"/>
        <v>0</v>
      </c>
      <c r="AD352">
        <f t="shared" si="115"/>
        <v>0</v>
      </c>
      <c r="AE352">
        <f t="shared" si="116"/>
        <v>0</v>
      </c>
      <c r="AF352">
        <f t="shared" si="117"/>
        <v>0</v>
      </c>
      <c r="AG352">
        <v>351</v>
      </c>
      <c r="AH352">
        <f t="shared" si="125"/>
        <v>0</v>
      </c>
      <c r="AI352">
        <f>IF(AG352&gt;='Loan Prepayment'!$E$11,'Loan Prepayment'!$E$12,'Loan Prepayment'!$B$6)</f>
        <v>7.5</v>
      </c>
      <c r="AJ352">
        <f>IF(AH352&lt;=0,0,MIN(IF(AG352='Loan Prepayment'!$E$11,IF('Loan Prepayment'!$E$13="Keep tenure, recalculate EMI",-PMT(AI352/1200,MAX(1,'Loan Prepayment'!$B$7*12-AG352+1),AH352),AJ351),IF(AND('Loan Prepayment'!$E$15="Reduce EMI",AM351&gt;0),-PMT(AI352/1200,MAX(1,'Loan Prepayment'!$B$7*12-AG352+1),AH352),AJ351)),AH352+AK352))</f>
        <v>0</v>
      </c>
      <c r="AK352">
        <f t="shared" si="118"/>
        <v>0</v>
      </c>
      <c r="AL352">
        <f t="shared" si="119"/>
        <v>0</v>
      </c>
      <c r="AM352">
        <f>IF(AH352&lt;=0,0,MIN(MAX(0,AH352-AL352),SUMIFS('Loan Prepayment'!$B$12:$B$16,'Loan Prepayment'!$A$12:$A$16,AG352)+IF(AND(AG352&gt;='Loan Prepayment'!$B$9,AG352&lt;='Loan Prepayment'!$E$16),'Loan Prepayment'!$B$8,0)))</f>
        <v>0</v>
      </c>
      <c r="AN352">
        <f t="shared" si="120"/>
        <v>0</v>
      </c>
    </row>
    <row r="353" spans="1:40" x14ac:dyDescent="0.35">
      <c r="A353">
        <v>352</v>
      </c>
      <c r="B353">
        <f t="shared" si="121"/>
        <v>0</v>
      </c>
      <c r="C353" s="78">
        <f>'Loan Prepayment'!$B$6</f>
        <v>8.5</v>
      </c>
      <c r="D353">
        <f>IF(B353&lt;=0,0,MIN(-PMT('Loan Prepayment'!$B$6/1200,'Loan Prepayment'!$B$7*12,'Loan Prepayment'!$B$5),B353+E353))</f>
        <v>0</v>
      </c>
      <c r="E353">
        <f t="shared" si="105"/>
        <v>0</v>
      </c>
      <c r="F353">
        <f t="shared" si="106"/>
        <v>0</v>
      </c>
      <c r="G353">
        <v>0</v>
      </c>
      <c r="H353">
        <f t="shared" si="107"/>
        <v>0</v>
      </c>
      <c r="I353">
        <v>352</v>
      </c>
      <c r="J353">
        <f t="shared" si="122"/>
        <v>0</v>
      </c>
      <c r="K353" s="78">
        <f>'Loan Prepayment'!$B$6</f>
        <v>8.5</v>
      </c>
      <c r="L353">
        <f>IF(J353&lt;=0,0,MIN(IF(AND('Loan Prepayment'!$E$15="Reduce EMI",O352&gt;0),-PMT(K353/1200,MAX(1,'Loan Prepayment'!$B$7*12-I353+1),J353),L352),J353+M353))</f>
        <v>0</v>
      </c>
      <c r="M353">
        <f t="shared" si="108"/>
        <v>0</v>
      </c>
      <c r="N353">
        <f t="shared" si="109"/>
        <v>0</v>
      </c>
      <c r="O353">
        <f>IF(J353&lt;=0,0,MIN(MAX(0,J353-N353),SUMIFS('Loan Prepayment'!$B$12:$B$16,'Loan Prepayment'!$A$12:$A$16,I353)+0))</f>
        <v>0</v>
      </c>
      <c r="P353">
        <f t="shared" si="110"/>
        <v>0</v>
      </c>
      <c r="Q353">
        <v>352</v>
      </c>
      <c r="R353">
        <f t="shared" si="123"/>
        <v>0</v>
      </c>
      <c r="S353" s="78">
        <f>'Loan Prepayment'!$B$6</f>
        <v>8.5</v>
      </c>
      <c r="T353">
        <f>IF(R353&lt;=0,0,MIN(IF(AND('Loan Prepayment'!$E$15="Reduce EMI",W352&gt;0),-PMT(S353/1200,MAX(1,'Loan Prepayment'!$B$7*12-Q353+1),R353),T352),R353+U353))</f>
        <v>0</v>
      </c>
      <c r="U353">
        <f t="shared" si="111"/>
        <v>0</v>
      </c>
      <c r="V353">
        <f t="shared" si="112"/>
        <v>0</v>
      </c>
      <c r="W353">
        <f>IF(R353&lt;=0,0,MIN(MAX(0,R353-V353),0+IF(AND(Q353&gt;='Loan Prepayment'!$B$9,Q353&lt;='Loan Prepayment'!$E$16),'Loan Prepayment'!$B$8,0)))</f>
        <v>0</v>
      </c>
      <c r="X353">
        <f t="shared" si="113"/>
        <v>0</v>
      </c>
      <c r="Y353">
        <v>352</v>
      </c>
      <c r="Z353">
        <f t="shared" si="124"/>
        <v>0</v>
      </c>
      <c r="AA353">
        <f>IF(Y353&gt;='Loan Prepayment'!$E$11,'Loan Prepayment'!$E$12,'Loan Prepayment'!$B$6)</f>
        <v>7.5</v>
      </c>
      <c r="AB353">
        <f>IF(Z353&lt;=0,0,MIN(IF(Y353='Loan Prepayment'!$E$11,IF('Loan Prepayment'!$E$13="Keep tenure, recalculate EMI",-PMT(AA353/1200,MAX(1,'Loan Prepayment'!$B$7*12-Y353+1),Z353),AB352),AB352),Z353+AC353))</f>
        <v>0</v>
      </c>
      <c r="AC353">
        <f t="shared" si="114"/>
        <v>0</v>
      </c>
      <c r="AD353">
        <f t="shared" si="115"/>
        <v>0</v>
      </c>
      <c r="AE353">
        <f t="shared" si="116"/>
        <v>0</v>
      </c>
      <c r="AF353">
        <f t="shared" si="117"/>
        <v>0</v>
      </c>
      <c r="AG353">
        <v>352</v>
      </c>
      <c r="AH353">
        <f t="shared" si="125"/>
        <v>0</v>
      </c>
      <c r="AI353">
        <f>IF(AG353&gt;='Loan Prepayment'!$E$11,'Loan Prepayment'!$E$12,'Loan Prepayment'!$B$6)</f>
        <v>7.5</v>
      </c>
      <c r="AJ353">
        <f>IF(AH353&lt;=0,0,MIN(IF(AG353='Loan Prepayment'!$E$11,IF('Loan Prepayment'!$E$13="Keep tenure, recalculate EMI",-PMT(AI353/1200,MAX(1,'Loan Prepayment'!$B$7*12-AG353+1),AH353),AJ352),IF(AND('Loan Prepayment'!$E$15="Reduce EMI",AM352&gt;0),-PMT(AI353/1200,MAX(1,'Loan Prepayment'!$B$7*12-AG353+1),AH353),AJ352)),AH353+AK353))</f>
        <v>0</v>
      </c>
      <c r="AK353">
        <f t="shared" si="118"/>
        <v>0</v>
      </c>
      <c r="AL353">
        <f t="shared" si="119"/>
        <v>0</v>
      </c>
      <c r="AM353">
        <f>IF(AH353&lt;=0,0,MIN(MAX(0,AH353-AL353),SUMIFS('Loan Prepayment'!$B$12:$B$16,'Loan Prepayment'!$A$12:$A$16,AG353)+IF(AND(AG353&gt;='Loan Prepayment'!$B$9,AG353&lt;='Loan Prepayment'!$E$16),'Loan Prepayment'!$B$8,0)))</f>
        <v>0</v>
      </c>
      <c r="AN353">
        <f t="shared" si="120"/>
        <v>0</v>
      </c>
    </row>
    <row r="354" spans="1:40" x14ac:dyDescent="0.35">
      <c r="A354">
        <v>353</v>
      </c>
      <c r="B354">
        <f t="shared" si="121"/>
        <v>0</v>
      </c>
      <c r="C354" s="78">
        <f>'Loan Prepayment'!$B$6</f>
        <v>8.5</v>
      </c>
      <c r="D354">
        <f>IF(B354&lt;=0,0,MIN(-PMT('Loan Prepayment'!$B$6/1200,'Loan Prepayment'!$B$7*12,'Loan Prepayment'!$B$5),B354+E354))</f>
        <v>0</v>
      </c>
      <c r="E354">
        <f t="shared" si="105"/>
        <v>0</v>
      </c>
      <c r="F354">
        <f t="shared" si="106"/>
        <v>0</v>
      </c>
      <c r="G354">
        <v>0</v>
      </c>
      <c r="H354">
        <f t="shared" si="107"/>
        <v>0</v>
      </c>
      <c r="I354">
        <v>353</v>
      </c>
      <c r="J354">
        <f t="shared" si="122"/>
        <v>0</v>
      </c>
      <c r="K354" s="78">
        <f>'Loan Prepayment'!$B$6</f>
        <v>8.5</v>
      </c>
      <c r="L354">
        <f>IF(J354&lt;=0,0,MIN(IF(AND('Loan Prepayment'!$E$15="Reduce EMI",O353&gt;0),-PMT(K354/1200,MAX(1,'Loan Prepayment'!$B$7*12-I354+1),J354),L353),J354+M354))</f>
        <v>0</v>
      </c>
      <c r="M354">
        <f t="shared" si="108"/>
        <v>0</v>
      </c>
      <c r="N354">
        <f t="shared" si="109"/>
        <v>0</v>
      </c>
      <c r="O354">
        <f>IF(J354&lt;=0,0,MIN(MAX(0,J354-N354),SUMIFS('Loan Prepayment'!$B$12:$B$16,'Loan Prepayment'!$A$12:$A$16,I354)+0))</f>
        <v>0</v>
      </c>
      <c r="P354">
        <f t="shared" si="110"/>
        <v>0</v>
      </c>
      <c r="Q354">
        <v>353</v>
      </c>
      <c r="R354">
        <f t="shared" si="123"/>
        <v>0</v>
      </c>
      <c r="S354" s="78">
        <f>'Loan Prepayment'!$B$6</f>
        <v>8.5</v>
      </c>
      <c r="T354">
        <f>IF(R354&lt;=0,0,MIN(IF(AND('Loan Prepayment'!$E$15="Reduce EMI",W353&gt;0),-PMT(S354/1200,MAX(1,'Loan Prepayment'!$B$7*12-Q354+1),R354),T353),R354+U354))</f>
        <v>0</v>
      </c>
      <c r="U354">
        <f t="shared" si="111"/>
        <v>0</v>
      </c>
      <c r="V354">
        <f t="shared" si="112"/>
        <v>0</v>
      </c>
      <c r="W354">
        <f>IF(R354&lt;=0,0,MIN(MAX(0,R354-V354),0+IF(AND(Q354&gt;='Loan Prepayment'!$B$9,Q354&lt;='Loan Prepayment'!$E$16),'Loan Prepayment'!$B$8,0)))</f>
        <v>0</v>
      </c>
      <c r="X354">
        <f t="shared" si="113"/>
        <v>0</v>
      </c>
      <c r="Y354">
        <v>353</v>
      </c>
      <c r="Z354">
        <f t="shared" si="124"/>
        <v>0</v>
      </c>
      <c r="AA354">
        <f>IF(Y354&gt;='Loan Prepayment'!$E$11,'Loan Prepayment'!$E$12,'Loan Prepayment'!$B$6)</f>
        <v>7.5</v>
      </c>
      <c r="AB354">
        <f>IF(Z354&lt;=0,0,MIN(IF(Y354='Loan Prepayment'!$E$11,IF('Loan Prepayment'!$E$13="Keep tenure, recalculate EMI",-PMT(AA354/1200,MAX(1,'Loan Prepayment'!$B$7*12-Y354+1),Z354),AB353),AB353),Z354+AC354))</f>
        <v>0</v>
      </c>
      <c r="AC354">
        <f t="shared" si="114"/>
        <v>0</v>
      </c>
      <c r="AD354">
        <f t="shared" si="115"/>
        <v>0</v>
      </c>
      <c r="AE354">
        <f t="shared" si="116"/>
        <v>0</v>
      </c>
      <c r="AF354">
        <f t="shared" si="117"/>
        <v>0</v>
      </c>
      <c r="AG354">
        <v>353</v>
      </c>
      <c r="AH354">
        <f t="shared" si="125"/>
        <v>0</v>
      </c>
      <c r="AI354">
        <f>IF(AG354&gt;='Loan Prepayment'!$E$11,'Loan Prepayment'!$E$12,'Loan Prepayment'!$B$6)</f>
        <v>7.5</v>
      </c>
      <c r="AJ354">
        <f>IF(AH354&lt;=0,0,MIN(IF(AG354='Loan Prepayment'!$E$11,IF('Loan Prepayment'!$E$13="Keep tenure, recalculate EMI",-PMT(AI354/1200,MAX(1,'Loan Prepayment'!$B$7*12-AG354+1),AH354),AJ353),IF(AND('Loan Prepayment'!$E$15="Reduce EMI",AM353&gt;0),-PMT(AI354/1200,MAX(1,'Loan Prepayment'!$B$7*12-AG354+1),AH354),AJ353)),AH354+AK354))</f>
        <v>0</v>
      </c>
      <c r="AK354">
        <f t="shared" si="118"/>
        <v>0</v>
      </c>
      <c r="AL354">
        <f t="shared" si="119"/>
        <v>0</v>
      </c>
      <c r="AM354">
        <f>IF(AH354&lt;=0,0,MIN(MAX(0,AH354-AL354),SUMIFS('Loan Prepayment'!$B$12:$B$16,'Loan Prepayment'!$A$12:$A$16,AG354)+IF(AND(AG354&gt;='Loan Prepayment'!$B$9,AG354&lt;='Loan Prepayment'!$E$16),'Loan Prepayment'!$B$8,0)))</f>
        <v>0</v>
      </c>
      <c r="AN354">
        <f t="shared" si="120"/>
        <v>0</v>
      </c>
    </row>
    <row r="355" spans="1:40" x14ac:dyDescent="0.35">
      <c r="A355">
        <v>354</v>
      </c>
      <c r="B355">
        <f t="shared" si="121"/>
        <v>0</v>
      </c>
      <c r="C355" s="78">
        <f>'Loan Prepayment'!$B$6</f>
        <v>8.5</v>
      </c>
      <c r="D355">
        <f>IF(B355&lt;=0,0,MIN(-PMT('Loan Prepayment'!$B$6/1200,'Loan Prepayment'!$B$7*12,'Loan Prepayment'!$B$5),B355+E355))</f>
        <v>0</v>
      </c>
      <c r="E355">
        <f t="shared" si="105"/>
        <v>0</v>
      </c>
      <c r="F355">
        <f t="shared" si="106"/>
        <v>0</v>
      </c>
      <c r="G355">
        <v>0</v>
      </c>
      <c r="H355">
        <f t="shared" si="107"/>
        <v>0</v>
      </c>
      <c r="I355">
        <v>354</v>
      </c>
      <c r="J355">
        <f t="shared" si="122"/>
        <v>0</v>
      </c>
      <c r="K355" s="78">
        <f>'Loan Prepayment'!$B$6</f>
        <v>8.5</v>
      </c>
      <c r="L355">
        <f>IF(J355&lt;=0,0,MIN(IF(AND('Loan Prepayment'!$E$15="Reduce EMI",O354&gt;0),-PMT(K355/1200,MAX(1,'Loan Prepayment'!$B$7*12-I355+1),J355),L354),J355+M355))</f>
        <v>0</v>
      </c>
      <c r="M355">
        <f t="shared" si="108"/>
        <v>0</v>
      </c>
      <c r="N355">
        <f t="shared" si="109"/>
        <v>0</v>
      </c>
      <c r="O355">
        <f>IF(J355&lt;=0,0,MIN(MAX(0,J355-N355),SUMIFS('Loan Prepayment'!$B$12:$B$16,'Loan Prepayment'!$A$12:$A$16,I355)+0))</f>
        <v>0</v>
      </c>
      <c r="P355">
        <f t="shared" si="110"/>
        <v>0</v>
      </c>
      <c r="Q355">
        <v>354</v>
      </c>
      <c r="R355">
        <f t="shared" si="123"/>
        <v>0</v>
      </c>
      <c r="S355" s="78">
        <f>'Loan Prepayment'!$B$6</f>
        <v>8.5</v>
      </c>
      <c r="T355">
        <f>IF(R355&lt;=0,0,MIN(IF(AND('Loan Prepayment'!$E$15="Reduce EMI",W354&gt;0),-PMT(S355/1200,MAX(1,'Loan Prepayment'!$B$7*12-Q355+1),R355),T354),R355+U355))</f>
        <v>0</v>
      </c>
      <c r="U355">
        <f t="shared" si="111"/>
        <v>0</v>
      </c>
      <c r="V355">
        <f t="shared" si="112"/>
        <v>0</v>
      </c>
      <c r="W355">
        <f>IF(R355&lt;=0,0,MIN(MAX(0,R355-V355),0+IF(AND(Q355&gt;='Loan Prepayment'!$B$9,Q355&lt;='Loan Prepayment'!$E$16),'Loan Prepayment'!$B$8,0)))</f>
        <v>0</v>
      </c>
      <c r="X355">
        <f t="shared" si="113"/>
        <v>0</v>
      </c>
      <c r="Y355">
        <v>354</v>
      </c>
      <c r="Z355">
        <f t="shared" si="124"/>
        <v>0</v>
      </c>
      <c r="AA355">
        <f>IF(Y355&gt;='Loan Prepayment'!$E$11,'Loan Prepayment'!$E$12,'Loan Prepayment'!$B$6)</f>
        <v>7.5</v>
      </c>
      <c r="AB355">
        <f>IF(Z355&lt;=0,0,MIN(IF(Y355='Loan Prepayment'!$E$11,IF('Loan Prepayment'!$E$13="Keep tenure, recalculate EMI",-PMT(AA355/1200,MAX(1,'Loan Prepayment'!$B$7*12-Y355+1),Z355),AB354),AB354),Z355+AC355))</f>
        <v>0</v>
      </c>
      <c r="AC355">
        <f t="shared" si="114"/>
        <v>0</v>
      </c>
      <c r="AD355">
        <f t="shared" si="115"/>
        <v>0</v>
      </c>
      <c r="AE355">
        <f t="shared" si="116"/>
        <v>0</v>
      </c>
      <c r="AF355">
        <f t="shared" si="117"/>
        <v>0</v>
      </c>
      <c r="AG355">
        <v>354</v>
      </c>
      <c r="AH355">
        <f t="shared" si="125"/>
        <v>0</v>
      </c>
      <c r="AI355">
        <f>IF(AG355&gt;='Loan Prepayment'!$E$11,'Loan Prepayment'!$E$12,'Loan Prepayment'!$B$6)</f>
        <v>7.5</v>
      </c>
      <c r="AJ355">
        <f>IF(AH355&lt;=0,0,MIN(IF(AG355='Loan Prepayment'!$E$11,IF('Loan Prepayment'!$E$13="Keep tenure, recalculate EMI",-PMT(AI355/1200,MAX(1,'Loan Prepayment'!$B$7*12-AG355+1),AH355),AJ354),IF(AND('Loan Prepayment'!$E$15="Reduce EMI",AM354&gt;0),-PMT(AI355/1200,MAX(1,'Loan Prepayment'!$B$7*12-AG355+1),AH355),AJ354)),AH355+AK355))</f>
        <v>0</v>
      </c>
      <c r="AK355">
        <f t="shared" si="118"/>
        <v>0</v>
      </c>
      <c r="AL355">
        <f t="shared" si="119"/>
        <v>0</v>
      </c>
      <c r="AM355">
        <f>IF(AH355&lt;=0,0,MIN(MAX(0,AH355-AL355),SUMIFS('Loan Prepayment'!$B$12:$B$16,'Loan Prepayment'!$A$12:$A$16,AG355)+IF(AND(AG355&gt;='Loan Prepayment'!$B$9,AG355&lt;='Loan Prepayment'!$E$16),'Loan Prepayment'!$B$8,0)))</f>
        <v>0</v>
      </c>
      <c r="AN355">
        <f t="shared" si="120"/>
        <v>0</v>
      </c>
    </row>
    <row r="356" spans="1:40" x14ac:dyDescent="0.35">
      <c r="A356">
        <v>355</v>
      </c>
      <c r="B356">
        <f t="shared" si="121"/>
        <v>0</v>
      </c>
      <c r="C356" s="78">
        <f>'Loan Prepayment'!$B$6</f>
        <v>8.5</v>
      </c>
      <c r="D356">
        <f>IF(B356&lt;=0,0,MIN(-PMT('Loan Prepayment'!$B$6/1200,'Loan Prepayment'!$B$7*12,'Loan Prepayment'!$B$5),B356+E356))</f>
        <v>0</v>
      </c>
      <c r="E356">
        <f t="shared" si="105"/>
        <v>0</v>
      </c>
      <c r="F356">
        <f t="shared" si="106"/>
        <v>0</v>
      </c>
      <c r="G356">
        <v>0</v>
      </c>
      <c r="H356">
        <f t="shared" si="107"/>
        <v>0</v>
      </c>
      <c r="I356">
        <v>355</v>
      </c>
      <c r="J356">
        <f t="shared" si="122"/>
        <v>0</v>
      </c>
      <c r="K356" s="78">
        <f>'Loan Prepayment'!$B$6</f>
        <v>8.5</v>
      </c>
      <c r="L356">
        <f>IF(J356&lt;=0,0,MIN(IF(AND('Loan Prepayment'!$E$15="Reduce EMI",O355&gt;0),-PMT(K356/1200,MAX(1,'Loan Prepayment'!$B$7*12-I356+1),J356),L355),J356+M356))</f>
        <v>0</v>
      </c>
      <c r="M356">
        <f t="shared" si="108"/>
        <v>0</v>
      </c>
      <c r="N356">
        <f t="shared" si="109"/>
        <v>0</v>
      </c>
      <c r="O356">
        <f>IF(J356&lt;=0,0,MIN(MAX(0,J356-N356),SUMIFS('Loan Prepayment'!$B$12:$B$16,'Loan Prepayment'!$A$12:$A$16,I356)+0))</f>
        <v>0</v>
      </c>
      <c r="P356">
        <f t="shared" si="110"/>
        <v>0</v>
      </c>
      <c r="Q356">
        <v>355</v>
      </c>
      <c r="R356">
        <f t="shared" si="123"/>
        <v>0</v>
      </c>
      <c r="S356" s="78">
        <f>'Loan Prepayment'!$B$6</f>
        <v>8.5</v>
      </c>
      <c r="T356">
        <f>IF(R356&lt;=0,0,MIN(IF(AND('Loan Prepayment'!$E$15="Reduce EMI",W355&gt;0),-PMT(S356/1200,MAX(1,'Loan Prepayment'!$B$7*12-Q356+1),R356),T355),R356+U356))</f>
        <v>0</v>
      </c>
      <c r="U356">
        <f t="shared" si="111"/>
        <v>0</v>
      </c>
      <c r="V356">
        <f t="shared" si="112"/>
        <v>0</v>
      </c>
      <c r="W356">
        <f>IF(R356&lt;=0,0,MIN(MAX(0,R356-V356),0+IF(AND(Q356&gt;='Loan Prepayment'!$B$9,Q356&lt;='Loan Prepayment'!$E$16),'Loan Prepayment'!$B$8,0)))</f>
        <v>0</v>
      </c>
      <c r="X356">
        <f t="shared" si="113"/>
        <v>0</v>
      </c>
      <c r="Y356">
        <v>355</v>
      </c>
      <c r="Z356">
        <f t="shared" si="124"/>
        <v>0</v>
      </c>
      <c r="AA356">
        <f>IF(Y356&gt;='Loan Prepayment'!$E$11,'Loan Prepayment'!$E$12,'Loan Prepayment'!$B$6)</f>
        <v>7.5</v>
      </c>
      <c r="AB356">
        <f>IF(Z356&lt;=0,0,MIN(IF(Y356='Loan Prepayment'!$E$11,IF('Loan Prepayment'!$E$13="Keep tenure, recalculate EMI",-PMT(AA356/1200,MAX(1,'Loan Prepayment'!$B$7*12-Y356+1),Z356),AB355),AB355),Z356+AC356))</f>
        <v>0</v>
      </c>
      <c r="AC356">
        <f t="shared" si="114"/>
        <v>0</v>
      </c>
      <c r="AD356">
        <f t="shared" si="115"/>
        <v>0</v>
      </c>
      <c r="AE356">
        <f t="shared" si="116"/>
        <v>0</v>
      </c>
      <c r="AF356">
        <f t="shared" si="117"/>
        <v>0</v>
      </c>
      <c r="AG356">
        <v>355</v>
      </c>
      <c r="AH356">
        <f t="shared" si="125"/>
        <v>0</v>
      </c>
      <c r="AI356">
        <f>IF(AG356&gt;='Loan Prepayment'!$E$11,'Loan Prepayment'!$E$12,'Loan Prepayment'!$B$6)</f>
        <v>7.5</v>
      </c>
      <c r="AJ356">
        <f>IF(AH356&lt;=0,0,MIN(IF(AG356='Loan Prepayment'!$E$11,IF('Loan Prepayment'!$E$13="Keep tenure, recalculate EMI",-PMT(AI356/1200,MAX(1,'Loan Prepayment'!$B$7*12-AG356+1),AH356),AJ355),IF(AND('Loan Prepayment'!$E$15="Reduce EMI",AM355&gt;0),-PMT(AI356/1200,MAX(1,'Loan Prepayment'!$B$7*12-AG356+1),AH356),AJ355)),AH356+AK356))</f>
        <v>0</v>
      </c>
      <c r="AK356">
        <f t="shared" si="118"/>
        <v>0</v>
      </c>
      <c r="AL356">
        <f t="shared" si="119"/>
        <v>0</v>
      </c>
      <c r="AM356">
        <f>IF(AH356&lt;=0,0,MIN(MAX(0,AH356-AL356),SUMIFS('Loan Prepayment'!$B$12:$B$16,'Loan Prepayment'!$A$12:$A$16,AG356)+IF(AND(AG356&gt;='Loan Prepayment'!$B$9,AG356&lt;='Loan Prepayment'!$E$16),'Loan Prepayment'!$B$8,0)))</f>
        <v>0</v>
      </c>
      <c r="AN356">
        <f t="shared" si="120"/>
        <v>0</v>
      </c>
    </row>
    <row r="357" spans="1:40" x14ac:dyDescent="0.35">
      <c r="A357">
        <v>356</v>
      </c>
      <c r="B357">
        <f t="shared" si="121"/>
        <v>0</v>
      </c>
      <c r="C357" s="78">
        <f>'Loan Prepayment'!$B$6</f>
        <v>8.5</v>
      </c>
      <c r="D357">
        <f>IF(B357&lt;=0,0,MIN(-PMT('Loan Prepayment'!$B$6/1200,'Loan Prepayment'!$B$7*12,'Loan Prepayment'!$B$5),B357+E357))</f>
        <v>0</v>
      </c>
      <c r="E357">
        <f t="shared" si="105"/>
        <v>0</v>
      </c>
      <c r="F357">
        <f t="shared" si="106"/>
        <v>0</v>
      </c>
      <c r="G357">
        <v>0</v>
      </c>
      <c r="H357">
        <f t="shared" si="107"/>
        <v>0</v>
      </c>
      <c r="I357">
        <v>356</v>
      </c>
      <c r="J357">
        <f t="shared" si="122"/>
        <v>0</v>
      </c>
      <c r="K357" s="78">
        <f>'Loan Prepayment'!$B$6</f>
        <v>8.5</v>
      </c>
      <c r="L357">
        <f>IF(J357&lt;=0,0,MIN(IF(AND('Loan Prepayment'!$E$15="Reduce EMI",O356&gt;0),-PMT(K357/1200,MAX(1,'Loan Prepayment'!$B$7*12-I357+1),J357),L356),J357+M357))</f>
        <v>0</v>
      </c>
      <c r="M357">
        <f t="shared" si="108"/>
        <v>0</v>
      </c>
      <c r="N357">
        <f t="shared" si="109"/>
        <v>0</v>
      </c>
      <c r="O357">
        <f>IF(J357&lt;=0,0,MIN(MAX(0,J357-N357),SUMIFS('Loan Prepayment'!$B$12:$B$16,'Loan Prepayment'!$A$12:$A$16,I357)+0))</f>
        <v>0</v>
      </c>
      <c r="P357">
        <f t="shared" si="110"/>
        <v>0</v>
      </c>
      <c r="Q357">
        <v>356</v>
      </c>
      <c r="R357">
        <f t="shared" si="123"/>
        <v>0</v>
      </c>
      <c r="S357" s="78">
        <f>'Loan Prepayment'!$B$6</f>
        <v>8.5</v>
      </c>
      <c r="T357">
        <f>IF(R357&lt;=0,0,MIN(IF(AND('Loan Prepayment'!$E$15="Reduce EMI",W356&gt;0),-PMT(S357/1200,MAX(1,'Loan Prepayment'!$B$7*12-Q357+1),R357),T356),R357+U357))</f>
        <v>0</v>
      </c>
      <c r="U357">
        <f t="shared" si="111"/>
        <v>0</v>
      </c>
      <c r="V357">
        <f t="shared" si="112"/>
        <v>0</v>
      </c>
      <c r="W357">
        <f>IF(R357&lt;=0,0,MIN(MAX(0,R357-V357),0+IF(AND(Q357&gt;='Loan Prepayment'!$B$9,Q357&lt;='Loan Prepayment'!$E$16),'Loan Prepayment'!$B$8,0)))</f>
        <v>0</v>
      </c>
      <c r="X357">
        <f t="shared" si="113"/>
        <v>0</v>
      </c>
      <c r="Y357">
        <v>356</v>
      </c>
      <c r="Z357">
        <f t="shared" si="124"/>
        <v>0</v>
      </c>
      <c r="AA357">
        <f>IF(Y357&gt;='Loan Prepayment'!$E$11,'Loan Prepayment'!$E$12,'Loan Prepayment'!$B$6)</f>
        <v>7.5</v>
      </c>
      <c r="AB357">
        <f>IF(Z357&lt;=0,0,MIN(IF(Y357='Loan Prepayment'!$E$11,IF('Loan Prepayment'!$E$13="Keep tenure, recalculate EMI",-PMT(AA357/1200,MAX(1,'Loan Prepayment'!$B$7*12-Y357+1),Z357),AB356),AB356),Z357+AC357))</f>
        <v>0</v>
      </c>
      <c r="AC357">
        <f t="shared" si="114"/>
        <v>0</v>
      </c>
      <c r="AD357">
        <f t="shared" si="115"/>
        <v>0</v>
      </c>
      <c r="AE357">
        <f t="shared" si="116"/>
        <v>0</v>
      </c>
      <c r="AF357">
        <f t="shared" si="117"/>
        <v>0</v>
      </c>
      <c r="AG357">
        <v>356</v>
      </c>
      <c r="AH357">
        <f t="shared" si="125"/>
        <v>0</v>
      </c>
      <c r="AI357">
        <f>IF(AG357&gt;='Loan Prepayment'!$E$11,'Loan Prepayment'!$E$12,'Loan Prepayment'!$B$6)</f>
        <v>7.5</v>
      </c>
      <c r="AJ357">
        <f>IF(AH357&lt;=0,0,MIN(IF(AG357='Loan Prepayment'!$E$11,IF('Loan Prepayment'!$E$13="Keep tenure, recalculate EMI",-PMT(AI357/1200,MAX(1,'Loan Prepayment'!$B$7*12-AG357+1),AH357),AJ356),IF(AND('Loan Prepayment'!$E$15="Reduce EMI",AM356&gt;0),-PMT(AI357/1200,MAX(1,'Loan Prepayment'!$B$7*12-AG357+1),AH357),AJ356)),AH357+AK357))</f>
        <v>0</v>
      </c>
      <c r="AK357">
        <f t="shared" si="118"/>
        <v>0</v>
      </c>
      <c r="AL357">
        <f t="shared" si="119"/>
        <v>0</v>
      </c>
      <c r="AM357">
        <f>IF(AH357&lt;=0,0,MIN(MAX(0,AH357-AL357),SUMIFS('Loan Prepayment'!$B$12:$B$16,'Loan Prepayment'!$A$12:$A$16,AG357)+IF(AND(AG357&gt;='Loan Prepayment'!$B$9,AG357&lt;='Loan Prepayment'!$E$16),'Loan Prepayment'!$B$8,0)))</f>
        <v>0</v>
      </c>
      <c r="AN357">
        <f t="shared" si="120"/>
        <v>0</v>
      </c>
    </row>
    <row r="358" spans="1:40" x14ac:dyDescent="0.35">
      <c r="A358">
        <v>357</v>
      </c>
      <c r="B358">
        <f t="shared" si="121"/>
        <v>0</v>
      </c>
      <c r="C358" s="78">
        <f>'Loan Prepayment'!$B$6</f>
        <v>8.5</v>
      </c>
      <c r="D358">
        <f>IF(B358&lt;=0,0,MIN(-PMT('Loan Prepayment'!$B$6/1200,'Loan Prepayment'!$B$7*12,'Loan Prepayment'!$B$5),B358+E358))</f>
        <v>0</v>
      </c>
      <c r="E358">
        <f t="shared" si="105"/>
        <v>0</v>
      </c>
      <c r="F358">
        <f t="shared" si="106"/>
        <v>0</v>
      </c>
      <c r="G358">
        <v>0</v>
      </c>
      <c r="H358">
        <f t="shared" si="107"/>
        <v>0</v>
      </c>
      <c r="I358">
        <v>357</v>
      </c>
      <c r="J358">
        <f t="shared" si="122"/>
        <v>0</v>
      </c>
      <c r="K358" s="78">
        <f>'Loan Prepayment'!$B$6</f>
        <v>8.5</v>
      </c>
      <c r="L358">
        <f>IF(J358&lt;=0,0,MIN(IF(AND('Loan Prepayment'!$E$15="Reduce EMI",O357&gt;0),-PMT(K358/1200,MAX(1,'Loan Prepayment'!$B$7*12-I358+1),J358),L357),J358+M358))</f>
        <v>0</v>
      </c>
      <c r="M358">
        <f t="shared" si="108"/>
        <v>0</v>
      </c>
      <c r="N358">
        <f t="shared" si="109"/>
        <v>0</v>
      </c>
      <c r="O358">
        <f>IF(J358&lt;=0,0,MIN(MAX(0,J358-N358),SUMIFS('Loan Prepayment'!$B$12:$B$16,'Loan Prepayment'!$A$12:$A$16,I358)+0))</f>
        <v>0</v>
      </c>
      <c r="P358">
        <f t="shared" si="110"/>
        <v>0</v>
      </c>
      <c r="Q358">
        <v>357</v>
      </c>
      <c r="R358">
        <f t="shared" si="123"/>
        <v>0</v>
      </c>
      <c r="S358" s="78">
        <f>'Loan Prepayment'!$B$6</f>
        <v>8.5</v>
      </c>
      <c r="T358">
        <f>IF(R358&lt;=0,0,MIN(IF(AND('Loan Prepayment'!$E$15="Reduce EMI",W357&gt;0),-PMT(S358/1200,MAX(1,'Loan Prepayment'!$B$7*12-Q358+1),R358),T357),R358+U358))</f>
        <v>0</v>
      </c>
      <c r="U358">
        <f t="shared" si="111"/>
        <v>0</v>
      </c>
      <c r="V358">
        <f t="shared" si="112"/>
        <v>0</v>
      </c>
      <c r="W358">
        <f>IF(R358&lt;=0,0,MIN(MAX(0,R358-V358),0+IF(AND(Q358&gt;='Loan Prepayment'!$B$9,Q358&lt;='Loan Prepayment'!$E$16),'Loan Prepayment'!$B$8,0)))</f>
        <v>0</v>
      </c>
      <c r="X358">
        <f t="shared" si="113"/>
        <v>0</v>
      </c>
      <c r="Y358">
        <v>357</v>
      </c>
      <c r="Z358">
        <f t="shared" si="124"/>
        <v>0</v>
      </c>
      <c r="AA358">
        <f>IF(Y358&gt;='Loan Prepayment'!$E$11,'Loan Prepayment'!$E$12,'Loan Prepayment'!$B$6)</f>
        <v>7.5</v>
      </c>
      <c r="AB358">
        <f>IF(Z358&lt;=0,0,MIN(IF(Y358='Loan Prepayment'!$E$11,IF('Loan Prepayment'!$E$13="Keep tenure, recalculate EMI",-PMT(AA358/1200,MAX(1,'Loan Prepayment'!$B$7*12-Y358+1),Z358),AB357),AB357),Z358+AC358))</f>
        <v>0</v>
      </c>
      <c r="AC358">
        <f t="shared" si="114"/>
        <v>0</v>
      </c>
      <c r="AD358">
        <f t="shared" si="115"/>
        <v>0</v>
      </c>
      <c r="AE358">
        <f t="shared" si="116"/>
        <v>0</v>
      </c>
      <c r="AF358">
        <f t="shared" si="117"/>
        <v>0</v>
      </c>
      <c r="AG358">
        <v>357</v>
      </c>
      <c r="AH358">
        <f t="shared" si="125"/>
        <v>0</v>
      </c>
      <c r="AI358">
        <f>IF(AG358&gt;='Loan Prepayment'!$E$11,'Loan Prepayment'!$E$12,'Loan Prepayment'!$B$6)</f>
        <v>7.5</v>
      </c>
      <c r="AJ358">
        <f>IF(AH358&lt;=0,0,MIN(IF(AG358='Loan Prepayment'!$E$11,IF('Loan Prepayment'!$E$13="Keep tenure, recalculate EMI",-PMT(AI358/1200,MAX(1,'Loan Prepayment'!$B$7*12-AG358+1),AH358),AJ357),IF(AND('Loan Prepayment'!$E$15="Reduce EMI",AM357&gt;0),-PMT(AI358/1200,MAX(1,'Loan Prepayment'!$B$7*12-AG358+1),AH358),AJ357)),AH358+AK358))</f>
        <v>0</v>
      </c>
      <c r="AK358">
        <f t="shared" si="118"/>
        <v>0</v>
      </c>
      <c r="AL358">
        <f t="shared" si="119"/>
        <v>0</v>
      </c>
      <c r="AM358">
        <f>IF(AH358&lt;=0,0,MIN(MAX(0,AH358-AL358),SUMIFS('Loan Prepayment'!$B$12:$B$16,'Loan Prepayment'!$A$12:$A$16,AG358)+IF(AND(AG358&gt;='Loan Prepayment'!$B$9,AG358&lt;='Loan Prepayment'!$E$16),'Loan Prepayment'!$B$8,0)))</f>
        <v>0</v>
      </c>
      <c r="AN358">
        <f t="shared" si="120"/>
        <v>0</v>
      </c>
    </row>
    <row r="359" spans="1:40" x14ac:dyDescent="0.35">
      <c r="A359">
        <v>358</v>
      </c>
      <c r="B359">
        <f t="shared" si="121"/>
        <v>0</v>
      </c>
      <c r="C359" s="78">
        <f>'Loan Prepayment'!$B$6</f>
        <v>8.5</v>
      </c>
      <c r="D359">
        <f>IF(B359&lt;=0,0,MIN(-PMT('Loan Prepayment'!$B$6/1200,'Loan Prepayment'!$B$7*12,'Loan Prepayment'!$B$5),B359+E359))</f>
        <v>0</v>
      </c>
      <c r="E359">
        <f t="shared" si="105"/>
        <v>0</v>
      </c>
      <c r="F359">
        <f t="shared" si="106"/>
        <v>0</v>
      </c>
      <c r="G359">
        <v>0</v>
      </c>
      <c r="H359">
        <f t="shared" si="107"/>
        <v>0</v>
      </c>
      <c r="I359">
        <v>358</v>
      </c>
      <c r="J359">
        <f t="shared" si="122"/>
        <v>0</v>
      </c>
      <c r="K359" s="78">
        <f>'Loan Prepayment'!$B$6</f>
        <v>8.5</v>
      </c>
      <c r="L359">
        <f>IF(J359&lt;=0,0,MIN(IF(AND('Loan Prepayment'!$E$15="Reduce EMI",O358&gt;0),-PMT(K359/1200,MAX(1,'Loan Prepayment'!$B$7*12-I359+1),J359),L358),J359+M359))</f>
        <v>0</v>
      </c>
      <c r="M359">
        <f t="shared" si="108"/>
        <v>0</v>
      </c>
      <c r="N359">
        <f t="shared" si="109"/>
        <v>0</v>
      </c>
      <c r="O359">
        <f>IF(J359&lt;=0,0,MIN(MAX(0,J359-N359),SUMIFS('Loan Prepayment'!$B$12:$B$16,'Loan Prepayment'!$A$12:$A$16,I359)+0))</f>
        <v>0</v>
      </c>
      <c r="P359">
        <f t="shared" si="110"/>
        <v>0</v>
      </c>
      <c r="Q359">
        <v>358</v>
      </c>
      <c r="R359">
        <f t="shared" si="123"/>
        <v>0</v>
      </c>
      <c r="S359" s="78">
        <f>'Loan Prepayment'!$B$6</f>
        <v>8.5</v>
      </c>
      <c r="T359">
        <f>IF(R359&lt;=0,0,MIN(IF(AND('Loan Prepayment'!$E$15="Reduce EMI",W358&gt;0),-PMT(S359/1200,MAX(1,'Loan Prepayment'!$B$7*12-Q359+1),R359),T358),R359+U359))</f>
        <v>0</v>
      </c>
      <c r="U359">
        <f t="shared" si="111"/>
        <v>0</v>
      </c>
      <c r="V359">
        <f t="shared" si="112"/>
        <v>0</v>
      </c>
      <c r="W359">
        <f>IF(R359&lt;=0,0,MIN(MAX(0,R359-V359),0+IF(AND(Q359&gt;='Loan Prepayment'!$B$9,Q359&lt;='Loan Prepayment'!$E$16),'Loan Prepayment'!$B$8,0)))</f>
        <v>0</v>
      </c>
      <c r="X359">
        <f t="shared" si="113"/>
        <v>0</v>
      </c>
      <c r="Y359">
        <v>358</v>
      </c>
      <c r="Z359">
        <f t="shared" si="124"/>
        <v>0</v>
      </c>
      <c r="AA359">
        <f>IF(Y359&gt;='Loan Prepayment'!$E$11,'Loan Prepayment'!$E$12,'Loan Prepayment'!$B$6)</f>
        <v>7.5</v>
      </c>
      <c r="AB359">
        <f>IF(Z359&lt;=0,0,MIN(IF(Y359='Loan Prepayment'!$E$11,IF('Loan Prepayment'!$E$13="Keep tenure, recalculate EMI",-PMT(AA359/1200,MAX(1,'Loan Prepayment'!$B$7*12-Y359+1),Z359),AB358),AB358),Z359+AC359))</f>
        <v>0</v>
      </c>
      <c r="AC359">
        <f t="shared" si="114"/>
        <v>0</v>
      </c>
      <c r="AD359">
        <f t="shared" si="115"/>
        <v>0</v>
      </c>
      <c r="AE359">
        <f t="shared" si="116"/>
        <v>0</v>
      </c>
      <c r="AF359">
        <f t="shared" si="117"/>
        <v>0</v>
      </c>
      <c r="AG359">
        <v>358</v>
      </c>
      <c r="AH359">
        <f t="shared" si="125"/>
        <v>0</v>
      </c>
      <c r="AI359">
        <f>IF(AG359&gt;='Loan Prepayment'!$E$11,'Loan Prepayment'!$E$12,'Loan Prepayment'!$B$6)</f>
        <v>7.5</v>
      </c>
      <c r="AJ359">
        <f>IF(AH359&lt;=0,0,MIN(IF(AG359='Loan Prepayment'!$E$11,IF('Loan Prepayment'!$E$13="Keep tenure, recalculate EMI",-PMT(AI359/1200,MAX(1,'Loan Prepayment'!$B$7*12-AG359+1),AH359),AJ358),IF(AND('Loan Prepayment'!$E$15="Reduce EMI",AM358&gt;0),-PMT(AI359/1200,MAX(1,'Loan Prepayment'!$B$7*12-AG359+1),AH359),AJ358)),AH359+AK359))</f>
        <v>0</v>
      </c>
      <c r="AK359">
        <f t="shared" si="118"/>
        <v>0</v>
      </c>
      <c r="AL359">
        <f t="shared" si="119"/>
        <v>0</v>
      </c>
      <c r="AM359">
        <f>IF(AH359&lt;=0,0,MIN(MAX(0,AH359-AL359),SUMIFS('Loan Prepayment'!$B$12:$B$16,'Loan Prepayment'!$A$12:$A$16,AG359)+IF(AND(AG359&gt;='Loan Prepayment'!$B$9,AG359&lt;='Loan Prepayment'!$E$16),'Loan Prepayment'!$B$8,0)))</f>
        <v>0</v>
      </c>
      <c r="AN359">
        <f t="shared" si="120"/>
        <v>0</v>
      </c>
    </row>
    <row r="360" spans="1:40" x14ac:dyDescent="0.35">
      <c r="A360">
        <v>359</v>
      </c>
      <c r="B360">
        <f t="shared" si="121"/>
        <v>0</v>
      </c>
      <c r="C360" s="78">
        <f>'Loan Prepayment'!$B$6</f>
        <v>8.5</v>
      </c>
      <c r="D360">
        <f>IF(B360&lt;=0,0,MIN(-PMT('Loan Prepayment'!$B$6/1200,'Loan Prepayment'!$B$7*12,'Loan Prepayment'!$B$5),B360+E360))</f>
        <v>0</v>
      </c>
      <c r="E360">
        <f t="shared" si="105"/>
        <v>0</v>
      </c>
      <c r="F360">
        <f t="shared" si="106"/>
        <v>0</v>
      </c>
      <c r="G360">
        <v>0</v>
      </c>
      <c r="H360">
        <f t="shared" si="107"/>
        <v>0</v>
      </c>
      <c r="I360">
        <v>359</v>
      </c>
      <c r="J360">
        <f t="shared" si="122"/>
        <v>0</v>
      </c>
      <c r="K360" s="78">
        <f>'Loan Prepayment'!$B$6</f>
        <v>8.5</v>
      </c>
      <c r="L360">
        <f>IF(J360&lt;=0,0,MIN(IF(AND('Loan Prepayment'!$E$15="Reduce EMI",O359&gt;0),-PMT(K360/1200,MAX(1,'Loan Prepayment'!$B$7*12-I360+1),J360),L359),J360+M360))</f>
        <v>0</v>
      </c>
      <c r="M360">
        <f t="shared" si="108"/>
        <v>0</v>
      </c>
      <c r="N360">
        <f t="shared" si="109"/>
        <v>0</v>
      </c>
      <c r="O360">
        <f>IF(J360&lt;=0,0,MIN(MAX(0,J360-N360),SUMIFS('Loan Prepayment'!$B$12:$B$16,'Loan Prepayment'!$A$12:$A$16,I360)+0))</f>
        <v>0</v>
      </c>
      <c r="P360">
        <f t="shared" si="110"/>
        <v>0</v>
      </c>
      <c r="Q360">
        <v>359</v>
      </c>
      <c r="R360">
        <f t="shared" si="123"/>
        <v>0</v>
      </c>
      <c r="S360" s="78">
        <f>'Loan Prepayment'!$B$6</f>
        <v>8.5</v>
      </c>
      <c r="T360">
        <f>IF(R360&lt;=0,0,MIN(IF(AND('Loan Prepayment'!$E$15="Reduce EMI",W359&gt;0),-PMT(S360/1200,MAX(1,'Loan Prepayment'!$B$7*12-Q360+1),R360),T359),R360+U360))</f>
        <v>0</v>
      </c>
      <c r="U360">
        <f t="shared" si="111"/>
        <v>0</v>
      </c>
      <c r="V360">
        <f t="shared" si="112"/>
        <v>0</v>
      </c>
      <c r="W360">
        <f>IF(R360&lt;=0,0,MIN(MAX(0,R360-V360),0+IF(AND(Q360&gt;='Loan Prepayment'!$B$9,Q360&lt;='Loan Prepayment'!$E$16),'Loan Prepayment'!$B$8,0)))</f>
        <v>0</v>
      </c>
      <c r="X360">
        <f t="shared" si="113"/>
        <v>0</v>
      </c>
      <c r="Y360">
        <v>359</v>
      </c>
      <c r="Z360">
        <f t="shared" si="124"/>
        <v>0</v>
      </c>
      <c r="AA360">
        <f>IF(Y360&gt;='Loan Prepayment'!$E$11,'Loan Prepayment'!$E$12,'Loan Prepayment'!$B$6)</f>
        <v>7.5</v>
      </c>
      <c r="AB360">
        <f>IF(Z360&lt;=0,0,MIN(IF(Y360='Loan Prepayment'!$E$11,IF('Loan Prepayment'!$E$13="Keep tenure, recalculate EMI",-PMT(AA360/1200,MAX(1,'Loan Prepayment'!$B$7*12-Y360+1),Z360),AB359),AB359),Z360+AC360))</f>
        <v>0</v>
      </c>
      <c r="AC360">
        <f t="shared" si="114"/>
        <v>0</v>
      </c>
      <c r="AD360">
        <f t="shared" si="115"/>
        <v>0</v>
      </c>
      <c r="AE360">
        <f t="shared" si="116"/>
        <v>0</v>
      </c>
      <c r="AF360">
        <f t="shared" si="117"/>
        <v>0</v>
      </c>
      <c r="AG360">
        <v>359</v>
      </c>
      <c r="AH360">
        <f t="shared" si="125"/>
        <v>0</v>
      </c>
      <c r="AI360">
        <f>IF(AG360&gt;='Loan Prepayment'!$E$11,'Loan Prepayment'!$E$12,'Loan Prepayment'!$B$6)</f>
        <v>7.5</v>
      </c>
      <c r="AJ360">
        <f>IF(AH360&lt;=0,0,MIN(IF(AG360='Loan Prepayment'!$E$11,IF('Loan Prepayment'!$E$13="Keep tenure, recalculate EMI",-PMT(AI360/1200,MAX(1,'Loan Prepayment'!$B$7*12-AG360+1),AH360),AJ359),IF(AND('Loan Prepayment'!$E$15="Reduce EMI",AM359&gt;0),-PMT(AI360/1200,MAX(1,'Loan Prepayment'!$B$7*12-AG360+1),AH360),AJ359)),AH360+AK360))</f>
        <v>0</v>
      </c>
      <c r="AK360">
        <f t="shared" si="118"/>
        <v>0</v>
      </c>
      <c r="AL360">
        <f t="shared" si="119"/>
        <v>0</v>
      </c>
      <c r="AM360">
        <f>IF(AH360&lt;=0,0,MIN(MAX(0,AH360-AL360),SUMIFS('Loan Prepayment'!$B$12:$B$16,'Loan Prepayment'!$A$12:$A$16,AG360)+IF(AND(AG360&gt;='Loan Prepayment'!$B$9,AG360&lt;='Loan Prepayment'!$E$16),'Loan Prepayment'!$B$8,0)))</f>
        <v>0</v>
      </c>
      <c r="AN360">
        <f t="shared" si="120"/>
        <v>0</v>
      </c>
    </row>
    <row r="361" spans="1:40" x14ac:dyDescent="0.35">
      <c r="A361">
        <v>360</v>
      </c>
      <c r="B361">
        <f t="shared" si="121"/>
        <v>0</v>
      </c>
      <c r="C361" s="78">
        <f>'Loan Prepayment'!$B$6</f>
        <v>8.5</v>
      </c>
      <c r="D361">
        <f>IF(B361&lt;=0,0,MIN(-PMT('Loan Prepayment'!$B$6/1200,'Loan Prepayment'!$B$7*12,'Loan Prepayment'!$B$5),B361+E361))</f>
        <v>0</v>
      </c>
      <c r="E361">
        <f t="shared" si="105"/>
        <v>0</v>
      </c>
      <c r="F361">
        <f t="shared" si="106"/>
        <v>0</v>
      </c>
      <c r="G361">
        <v>0</v>
      </c>
      <c r="H361">
        <f t="shared" si="107"/>
        <v>0</v>
      </c>
      <c r="I361">
        <v>360</v>
      </c>
      <c r="J361">
        <f t="shared" si="122"/>
        <v>0</v>
      </c>
      <c r="K361" s="78">
        <f>'Loan Prepayment'!$B$6</f>
        <v>8.5</v>
      </c>
      <c r="L361">
        <f>IF(J361&lt;=0,0,MIN(IF(AND('Loan Prepayment'!$E$15="Reduce EMI",O360&gt;0),-PMT(K361/1200,MAX(1,'Loan Prepayment'!$B$7*12-I361+1),J361),L360),J361+M361))</f>
        <v>0</v>
      </c>
      <c r="M361">
        <f t="shared" si="108"/>
        <v>0</v>
      </c>
      <c r="N361">
        <f t="shared" si="109"/>
        <v>0</v>
      </c>
      <c r="O361">
        <f>IF(J361&lt;=0,0,MIN(MAX(0,J361-N361),SUMIFS('Loan Prepayment'!$B$12:$B$16,'Loan Prepayment'!$A$12:$A$16,I361)+0))</f>
        <v>0</v>
      </c>
      <c r="P361">
        <f t="shared" si="110"/>
        <v>0</v>
      </c>
      <c r="Q361">
        <v>360</v>
      </c>
      <c r="R361">
        <f t="shared" si="123"/>
        <v>0</v>
      </c>
      <c r="S361" s="78">
        <f>'Loan Prepayment'!$B$6</f>
        <v>8.5</v>
      </c>
      <c r="T361">
        <f>IF(R361&lt;=0,0,MIN(IF(AND('Loan Prepayment'!$E$15="Reduce EMI",W360&gt;0),-PMT(S361/1200,MAX(1,'Loan Prepayment'!$B$7*12-Q361+1),R361),T360),R361+U361))</f>
        <v>0</v>
      </c>
      <c r="U361">
        <f t="shared" si="111"/>
        <v>0</v>
      </c>
      <c r="V361">
        <f t="shared" si="112"/>
        <v>0</v>
      </c>
      <c r="W361">
        <f>IF(R361&lt;=0,0,MIN(MAX(0,R361-V361),0+IF(AND(Q361&gt;='Loan Prepayment'!$B$9,Q361&lt;='Loan Prepayment'!$E$16),'Loan Prepayment'!$B$8,0)))</f>
        <v>0</v>
      </c>
      <c r="X361">
        <f t="shared" si="113"/>
        <v>0</v>
      </c>
      <c r="Y361">
        <v>360</v>
      </c>
      <c r="Z361">
        <f t="shared" si="124"/>
        <v>0</v>
      </c>
      <c r="AA361">
        <f>IF(Y361&gt;='Loan Prepayment'!$E$11,'Loan Prepayment'!$E$12,'Loan Prepayment'!$B$6)</f>
        <v>7.5</v>
      </c>
      <c r="AB361">
        <f>IF(Z361&lt;=0,0,MIN(IF(Y361='Loan Prepayment'!$E$11,IF('Loan Prepayment'!$E$13="Keep tenure, recalculate EMI",-PMT(AA361/1200,MAX(1,'Loan Prepayment'!$B$7*12-Y361+1),Z361),AB360),AB360),Z361+AC361))</f>
        <v>0</v>
      </c>
      <c r="AC361">
        <f t="shared" si="114"/>
        <v>0</v>
      </c>
      <c r="AD361">
        <f t="shared" si="115"/>
        <v>0</v>
      </c>
      <c r="AE361">
        <f t="shared" si="116"/>
        <v>0</v>
      </c>
      <c r="AF361">
        <f t="shared" si="117"/>
        <v>0</v>
      </c>
      <c r="AG361">
        <v>360</v>
      </c>
      <c r="AH361">
        <f t="shared" si="125"/>
        <v>0</v>
      </c>
      <c r="AI361">
        <f>IF(AG361&gt;='Loan Prepayment'!$E$11,'Loan Prepayment'!$E$12,'Loan Prepayment'!$B$6)</f>
        <v>7.5</v>
      </c>
      <c r="AJ361">
        <f>IF(AH361&lt;=0,0,MIN(IF(AG361='Loan Prepayment'!$E$11,IF('Loan Prepayment'!$E$13="Keep tenure, recalculate EMI",-PMT(AI361/1200,MAX(1,'Loan Prepayment'!$B$7*12-AG361+1),AH361),AJ360),IF(AND('Loan Prepayment'!$E$15="Reduce EMI",AM360&gt;0),-PMT(AI361/1200,MAX(1,'Loan Prepayment'!$B$7*12-AG361+1),AH361),AJ360)),AH361+AK361))</f>
        <v>0</v>
      </c>
      <c r="AK361">
        <f t="shared" si="118"/>
        <v>0</v>
      </c>
      <c r="AL361">
        <f t="shared" si="119"/>
        <v>0</v>
      </c>
      <c r="AM361">
        <f>IF(AH361&lt;=0,0,MIN(MAX(0,AH361-AL361),SUMIFS('Loan Prepayment'!$B$12:$B$16,'Loan Prepayment'!$A$12:$A$16,AG361)+IF(AND(AG361&gt;='Loan Prepayment'!$B$9,AG361&lt;='Loan Prepayment'!$E$16),'Loan Prepayment'!$B$8,0)))</f>
        <v>0</v>
      </c>
      <c r="AN361">
        <f t="shared" si="120"/>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62754-C105-4623-A70C-203BE47175A5}">
  <dimension ref="A1:I110"/>
  <sheetViews>
    <sheetView topLeftCell="A11" workbookViewId="0">
      <selection activeCell="C20" sqref="C20"/>
    </sheetView>
  </sheetViews>
  <sheetFormatPr defaultRowHeight="14.5" x14ac:dyDescent="0.35"/>
  <cols>
    <col min="1" max="1" width="10.54296875" customWidth="1"/>
    <col min="2" max="3" width="16.7265625" customWidth="1"/>
    <col min="4" max="6" width="17.453125" customWidth="1"/>
    <col min="7" max="7" width="16" customWidth="1"/>
    <col min="8" max="8" width="18.1796875" customWidth="1"/>
    <col min="9" max="9" width="19.6328125" customWidth="1"/>
  </cols>
  <sheetData>
    <row r="1" spans="1:9" ht="30" customHeight="1" x14ac:dyDescent="0.35">
      <c r="A1" s="141" t="s">
        <v>89</v>
      </c>
      <c r="B1" s="141"/>
      <c r="C1" s="141"/>
      <c r="D1" s="141"/>
      <c r="E1" s="141"/>
      <c r="F1" s="141"/>
      <c r="G1" s="141"/>
      <c r="H1" s="141"/>
      <c r="I1" s="141"/>
    </row>
    <row r="2" spans="1:9" ht="24" customHeight="1" x14ac:dyDescent="0.35">
      <c r="A2" s="142" t="s">
        <v>90</v>
      </c>
      <c r="B2" s="142"/>
      <c r="C2" s="142"/>
      <c r="D2" s="142"/>
      <c r="E2" s="142"/>
      <c r="F2" s="142"/>
      <c r="G2" s="142"/>
      <c r="H2" s="142"/>
      <c r="I2" s="142"/>
    </row>
    <row r="4" spans="1:9" x14ac:dyDescent="0.35">
      <c r="A4" s="143" t="s">
        <v>91</v>
      </c>
      <c r="B4" s="143"/>
      <c r="D4" s="143" t="s">
        <v>92</v>
      </c>
      <c r="E4" s="143"/>
      <c r="F4" s="143"/>
    </row>
    <row r="5" spans="1:9" x14ac:dyDescent="0.35">
      <c r="A5" s="25" t="s">
        <v>88</v>
      </c>
      <c r="B5" s="26">
        <v>0</v>
      </c>
      <c r="D5" s="29" t="s">
        <v>19</v>
      </c>
      <c r="E5" s="30">
        <f>$B$5+$B$6*$B$8*12</f>
        <v>4800000</v>
      </c>
    </row>
    <row r="6" spans="1:9" x14ac:dyDescent="0.35">
      <c r="A6" s="25" t="s">
        <v>86</v>
      </c>
      <c r="B6" s="26">
        <v>20000</v>
      </c>
      <c r="D6" s="29" t="s">
        <v>95</v>
      </c>
      <c r="E6" s="30">
        <f>$B$5*(1+$B$7/1200)^($B$8*12)+FV($B$7/1200,$B$8*12,-$B$6,0,0)</f>
        <v>19785107.30774726</v>
      </c>
    </row>
    <row r="7" spans="1:9" x14ac:dyDescent="0.35">
      <c r="A7" s="25" t="s">
        <v>87</v>
      </c>
      <c r="B7" s="27">
        <v>12</v>
      </c>
      <c r="D7" s="29" t="s">
        <v>22</v>
      </c>
      <c r="E7" s="30">
        <f>E6-E5</f>
        <v>14985107.30774726</v>
      </c>
    </row>
    <row r="8" spans="1:9" x14ac:dyDescent="0.35">
      <c r="A8" s="25" t="s">
        <v>3</v>
      </c>
      <c r="B8" s="28">
        <v>20</v>
      </c>
      <c r="D8" s="29" t="s">
        <v>96</v>
      </c>
      <c r="E8" s="30">
        <f>MAX(0,E7-$B$11)*$B$10/100</f>
        <v>1857513.4134684075</v>
      </c>
    </row>
    <row r="9" spans="1:9" x14ac:dyDescent="0.35">
      <c r="A9" s="25" t="s">
        <v>6</v>
      </c>
      <c r="B9" s="27">
        <v>6</v>
      </c>
      <c r="D9" s="29" t="s">
        <v>97</v>
      </c>
      <c r="E9" s="30">
        <f>E6-E8</f>
        <v>17927593.894278854</v>
      </c>
    </row>
    <row r="10" spans="1:9" x14ac:dyDescent="0.35">
      <c r="A10" s="25" t="s">
        <v>93</v>
      </c>
      <c r="B10" s="27">
        <v>12.5</v>
      </c>
      <c r="D10" s="29" t="s">
        <v>98</v>
      </c>
      <c r="E10" s="30">
        <f>E9/(1+$B$9/100)^$B$8</f>
        <v>5589908.5179302497</v>
      </c>
    </row>
    <row r="11" spans="1:9" x14ac:dyDescent="0.35">
      <c r="A11" s="25" t="s">
        <v>94</v>
      </c>
      <c r="B11" s="26">
        <v>125000</v>
      </c>
      <c r="D11" s="29" t="s">
        <v>99</v>
      </c>
      <c r="E11" s="30">
        <f>E10-E5</f>
        <v>789908.51793024968</v>
      </c>
    </row>
    <row r="13" spans="1:9" ht="42" customHeight="1" x14ac:dyDescent="0.35">
      <c r="A13" s="144" t="s">
        <v>100</v>
      </c>
      <c r="B13" s="144"/>
      <c r="C13" s="144"/>
      <c r="D13" s="144"/>
      <c r="E13" s="144"/>
      <c r="F13" s="144"/>
      <c r="G13" s="144"/>
      <c r="H13" s="144"/>
      <c r="I13" s="144"/>
    </row>
    <row r="15" spans="1:9" x14ac:dyDescent="0.35">
      <c r="A15" s="143" t="s">
        <v>101</v>
      </c>
      <c r="B15" s="143"/>
      <c r="C15" s="143"/>
      <c r="D15" s="143"/>
      <c r="E15" s="143"/>
      <c r="F15" s="143"/>
      <c r="G15" s="143"/>
      <c r="H15" s="143"/>
      <c r="I15" s="143"/>
    </row>
    <row r="16" spans="1:9" ht="32" customHeight="1" x14ac:dyDescent="0.35">
      <c r="A16" s="31" t="s">
        <v>80</v>
      </c>
      <c r="B16" s="31" t="s">
        <v>102</v>
      </c>
      <c r="C16" s="31" t="s">
        <v>103</v>
      </c>
      <c r="D16" s="31" t="s">
        <v>104</v>
      </c>
      <c r="E16" s="31" t="s">
        <v>105</v>
      </c>
      <c r="F16" s="31" t="s">
        <v>106</v>
      </c>
      <c r="G16" s="31" t="s">
        <v>96</v>
      </c>
      <c r="H16" s="31" t="s">
        <v>107</v>
      </c>
      <c r="I16" s="31" t="s">
        <v>108</v>
      </c>
    </row>
    <row r="17" spans="1:9" x14ac:dyDescent="0.35">
      <c r="A17" s="34">
        <f>1</f>
        <v>1</v>
      </c>
      <c r="B17" s="35">
        <f>$B$5</f>
        <v>0</v>
      </c>
      <c r="C17" s="35">
        <f>$B$6*12</f>
        <v>240000</v>
      </c>
      <c r="D17" s="35">
        <f>$B$5+C17</f>
        <v>240000</v>
      </c>
      <c r="E17" s="35">
        <f>$B$5*(1+$B$7/1200)^12+FV($B$7/1200,12,-$B$6,0,0)</f>
        <v>253650.06026393952</v>
      </c>
      <c r="F17" s="35">
        <f>E17-D17</f>
        <v>13650.060263939522</v>
      </c>
      <c r="G17" s="35">
        <f>MAX(0,F17-$B$11)*$B$10/100</f>
        <v>0</v>
      </c>
      <c r="H17" s="35">
        <f>E17-G17</f>
        <v>253650.06026393952</v>
      </c>
      <c r="I17" s="35">
        <f>H17/(1+$B$9/100)^A17</f>
        <v>239292.5096829618</v>
      </c>
    </row>
    <row r="18" spans="1:9" x14ac:dyDescent="0.35">
      <c r="A18" s="32">
        <f>A17+1</f>
        <v>2</v>
      </c>
      <c r="B18" s="33">
        <f>E17</f>
        <v>253650.06026393952</v>
      </c>
      <c r="C18" s="33">
        <f>$B$6*12</f>
        <v>240000</v>
      </c>
      <c r="D18" s="33">
        <f>D17+C18</f>
        <v>480000</v>
      </c>
      <c r="E18" s="33">
        <f>E17*(1+$B$7/1200)^12+FV($B$7/1200,12,-$B$6,0,0)</f>
        <v>539469.29706382914</v>
      </c>
      <c r="F18" s="33">
        <f>E18-D18</f>
        <v>59469.297063829144</v>
      </c>
      <c r="G18" s="33">
        <f>MAX(0,F18-$B$11)*$B$10/100</f>
        <v>0</v>
      </c>
      <c r="H18" s="33">
        <f>E18-G18</f>
        <v>539469.29706382914</v>
      </c>
      <c r="I18" s="33">
        <f>H18/(1+$B$9/100)^A18</f>
        <v>480125.75388379232</v>
      </c>
    </row>
    <row r="19" spans="1:9" x14ac:dyDescent="0.35">
      <c r="A19" s="34">
        <f t="shared" ref="A19:A36" si="0">A18+1</f>
        <v>3</v>
      </c>
      <c r="B19" s="35">
        <f t="shared" ref="B19:B36" si="1">E18</f>
        <v>539469.29706382914</v>
      </c>
      <c r="C19" s="35">
        <f t="shared" ref="C19:C36" si="2">$B$6*12</f>
        <v>240000</v>
      </c>
      <c r="D19" s="35">
        <f t="shared" ref="D19:D36" si="3">D18+C19</f>
        <v>720000</v>
      </c>
      <c r="E19" s="35">
        <f t="shared" ref="E19:E36" si="4">E18*(1+$B$7/1200)^12+FV($B$7/1200,12,-$B$6,0,0)</f>
        <v>861537.56718316139</v>
      </c>
      <c r="F19" s="35">
        <f t="shared" ref="F19:F36" si="5">E19-D19</f>
        <v>141537.56718316139</v>
      </c>
      <c r="G19" s="35">
        <f t="shared" ref="G19:G36" si="6">MAX(0,F19-$B$11)*$B$10/100</f>
        <v>2067.1958978951734</v>
      </c>
      <c r="H19" s="35">
        <f t="shared" ref="H19:H36" si="7">E19-G19</f>
        <v>859470.37128526624</v>
      </c>
      <c r="I19" s="35">
        <f t="shared" ref="I19:I36" si="8">H19/(1+$B$9/100)^A19</f>
        <v>721627.89692604134</v>
      </c>
    </row>
    <row r="20" spans="1:9" x14ac:dyDescent="0.35">
      <c r="A20" s="32">
        <f t="shared" si="0"/>
        <v>4</v>
      </c>
      <c r="B20" s="33">
        <f t="shared" si="1"/>
        <v>861537.56718316139</v>
      </c>
      <c r="C20" s="33">
        <f t="shared" si="2"/>
        <v>240000</v>
      </c>
      <c r="D20" s="33">
        <f t="shared" si="3"/>
        <v>960000</v>
      </c>
      <c r="E20" s="33">
        <f t="shared" si="4"/>
        <v>1224452.1553649292</v>
      </c>
      <c r="F20" s="33">
        <f t="shared" si="5"/>
        <v>264452.15536492923</v>
      </c>
      <c r="G20" s="33">
        <f t="shared" si="6"/>
        <v>17431.519420616154</v>
      </c>
      <c r="H20" s="33">
        <f t="shared" si="7"/>
        <v>1207020.6359443131</v>
      </c>
      <c r="I20" s="33">
        <f t="shared" si="8"/>
        <v>956073.397129016</v>
      </c>
    </row>
    <row r="21" spans="1:9" x14ac:dyDescent="0.35">
      <c r="A21" s="34">
        <f t="shared" si="0"/>
        <v>5</v>
      </c>
      <c r="B21" s="35">
        <f t="shared" si="1"/>
        <v>1224452.1553649292</v>
      </c>
      <c r="C21" s="35">
        <f t="shared" si="2"/>
        <v>240000</v>
      </c>
      <c r="D21" s="35">
        <f t="shared" si="3"/>
        <v>1200000</v>
      </c>
      <c r="E21" s="35">
        <f t="shared" si="4"/>
        <v>1633393.3971281811</v>
      </c>
      <c r="F21" s="35">
        <f t="shared" si="5"/>
        <v>433393.39712818107</v>
      </c>
      <c r="G21" s="35">
        <f t="shared" si="6"/>
        <v>38549.174641022633</v>
      </c>
      <c r="H21" s="35">
        <f t="shared" si="7"/>
        <v>1594844.2224871584</v>
      </c>
      <c r="I21" s="35">
        <f t="shared" si="8"/>
        <v>1191760.379701741</v>
      </c>
    </row>
    <row r="22" spans="1:9" x14ac:dyDescent="0.35">
      <c r="A22" s="32">
        <f t="shared" si="0"/>
        <v>6</v>
      </c>
      <c r="B22" s="33">
        <f t="shared" si="1"/>
        <v>1633393.3971281811</v>
      </c>
      <c r="C22" s="33">
        <f t="shared" si="2"/>
        <v>240000</v>
      </c>
      <c r="D22" s="33">
        <f t="shared" si="3"/>
        <v>1440000</v>
      </c>
      <c r="E22" s="33">
        <f t="shared" si="4"/>
        <v>2094198.6242002626</v>
      </c>
      <c r="F22" s="33">
        <f t="shared" si="5"/>
        <v>654198.62420026259</v>
      </c>
      <c r="G22" s="33">
        <f t="shared" si="6"/>
        <v>66149.828025032824</v>
      </c>
      <c r="H22" s="33">
        <f t="shared" si="7"/>
        <v>2028048.7961752298</v>
      </c>
      <c r="I22" s="33">
        <f t="shared" si="8"/>
        <v>1429694.375389725</v>
      </c>
    </row>
    <row r="23" spans="1:9" x14ac:dyDescent="0.35">
      <c r="A23" s="34">
        <f t="shared" si="0"/>
        <v>7</v>
      </c>
      <c r="B23" s="35">
        <f t="shared" si="1"/>
        <v>2094198.6242002626</v>
      </c>
      <c r="C23" s="35">
        <f t="shared" si="2"/>
        <v>240000</v>
      </c>
      <c r="D23" s="35">
        <f t="shared" si="3"/>
        <v>1680000</v>
      </c>
      <c r="E23" s="35">
        <f t="shared" si="4"/>
        <v>2613445.4880807302</v>
      </c>
      <c r="F23" s="35">
        <f t="shared" si="5"/>
        <v>933445.4880807302</v>
      </c>
      <c r="G23" s="35">
        <f t="shared" si="6"/>
        <v>101055.68601009127</v>
      </c>
      <c r="H23" s="35">
        <f t="shared" si="7"/>
        <v>2512389.8020706391</v>
      </c>
      <c r="I23" s="35">
        <f t="shared" si="8"/>
        <v>1670882.7100592915</v>
      </c>
    </row>
    <row r="24" spans="1:9" x14ac:dyDescent="0.35">
      <c r="A24" s="32">
        <f t="shared" si="0"/>
        <v>8</v>
      </c>
      <c r="B24" s="33">
        <f t="shared" si="1"/>
        <v>2613445.4880807302</v>
      </c>
      <c r="C24" s="33">
        <f t="shared" si="2"/>
        <v>240000</v>
      </c>
      <c r="D24" s="33">
        <f t="shared" si="3"/>
        <v>1920000</v>
      </c>
      <c r="E24" s="33">
        <f t="shared" si="4"/>
        <v>3198545.851118769</v>
      </c>
      <c r="F24" s="33">
        <f t="shared" si="5"/>
        <v>1278545.851118769</v>
      </c>
      <c r="G24" s="33">
        <f t="shared" si="6"/>
        <v>144193.23138984613</v>
      </c>
      <c r="H24" s="33">
        <f t="shared" si="7"/>
        <v>3054352.6197289228</v>
      </c>
      <c r="I24" s="33">
        <f t="shared" si="8"/>
        <v>1916338.6200582436</v>
      </c>
    </row>
    <row r="25" spans="1:9" x14ac:dyDescent="0.35">
      <c r="A25" s="34">
        <f t="shared" si="0"/>
        <v>9</v>
      </c>
      <c r="B25" s="35">
        <f t="shared" si="1"/>
        <v>3198545.851118769</v>
      </c>
      <c r="C25" s="35">
        <f t="shared" si="2"/>
        <v>240000</v>
      </c>
      <c r="D25" s="35">
        <f t="shared" si="3"/>
        <v>2160000</v>
      </c>
      <c r="E25" s="35">
        <f t="shared" si="4"/>
        <v>3857851.5853293333</v>
      </c>
      <c r="F25" s="35">
        <f t="shared" si="5"/>
        <v>1697851.5853293333</v>
      </c>
      <c r="G25" s="35">
        <f t="shared" si="6"/>
        <v>196606.44816616667</v>
      </c>
      <c r="H25" s="35">
        <f t="shared" si="7"/>
        <v>3661245.1371631669</v>
      </c>
      <c r="I25" s="35">
        <f t="shared" si="8"/>
        <v>2167085.3712936542</v>
      </c>
    </row>
    <row r="26" spans="1:9" x14ac:dyDescent="0.35">
      <c r="A26" s="32">
        <f t="shared" si="0"/>
        <v>10</v>
      </c>
      <c r="B26" s="33">
        <f t="shared" si="1"/>
        <v>3857851.5853293333</v>
      </c>
      <c r="C26" s="33">
        <f t="shared" si="2"/>
        <v>240000</v>
      </c>
      <c r="D26" s="33">
        <f t="shared" si="3"/>
        <v>2400000</v>
      </c>
      <c r="E26" s="33">
        <f t="shared" si="4"/>
        <v>4600773.7891473323</v>
      </c>
      <c r="F26" s="33">
        <f t="shared" si="5"/>
        <v>2200773.7891473323</v>
      </c>
      <c r="G26" s="33">
        <f t="shared" si="6"/>
        <v>259471.72364341654</v>
      </c>
      <c r="H26" s="33">
        <f t="shared" si="7"/>
        <v>4341302.0655039158</v>
      </c>
      <c r="I26" s="33">
        <f t="shared" si="8"/>
        <v>2424160.3983881995</v>
      </c>
    </row>
    <row r="27" spans="1:9" x14ac:dyDescent="0.35">
      <c r="A27" s="34">
        <f t="shared" si="0"/>
        <v>11</v>
      </c>
      <c r="B27" s="35">
        <f t="shared" si="1"/>
        <v>4600773.7891473323</v>
      </c>
      <c r="C27" s="35">
        <f t="shared" si="2"/>
        <v>240000</v>
      </c>
      <c r="D27" s="35">
        <f t="shared" si="3"/>
        <v>2640000</v>
      </c>
      <c r="E27" s="35">
        <f t="shared" si="4"/>
        <v>5437917.123850259</v>
      </c>
      <c r="F27" s="35">
        <f t="shared" si="5"/>
        <v>2797917.123850259</v>
      </c>
      <c r="G27" s="35">
        <f t="shared" si="6"/>
        <v>334114.64048128237</v>
      </c>
      <c r="H27" s="35">
        <f t="shared" si="7"/>
        <v>5103802.483368977</v>
      </c>
      <c r="I27" s="35">
        <f t="shared" si="8"/>
        <v>2688619.4803015511</v>
      </c>
    </row>
    <row r="28" spans="1:9" x14ac:dyDescent="0.35">
      <c r="A28" s="32">
        <f t="shared" si="0"/>
        <v>12</v>
      </c>
      <c r="B28" s="33">
        <f t="shared" si="1"/>
        <v>5437917.123850259</v>
      </c>
      <c r="C28" s="33">
        <f t="shared" si="2"/>
        <v>240000</v>
      </c>
      <c r="D28" s="33">
        <f t="shared" si="3"/>
        <v>2880000</v>
      </c>
      <c r="E28" s="33">
        <f t="shared" si="4"/>
        <v>6381231.187201662</v>
      </c>
      <c r="F28" s="33">
        <f t="shared" si="5"/>
        <v>3501231.187201662</v>
      </c>
      <c r="G28" s="33">
        <f t="shared" si="6"/>
        <v>422028.89840020775</v>
      </c>
      <c r="H28" s="33">
        <f t="shared" si="7"/>
        <v>5959202.288801454</v>
      </c>
      <c r="I28" s="33">
        <f t="shared" si="8"/>
        <v>2961540.9688922632</v>
      </c>
    </row>
    <row r="29" spans="1:9" x14ac:dyDescent="0.35">
      <c r="A29" s="34">
        <f t="shared" si="0"/>
        <v>13</v>
      </c>
      <c r="B29" s="35">
        <f t="shared" si="1"/>
        <v>6381231.187201662</v>
      </c>
      <c r="C29" s="35">
        <f t="shared" si="2"/>
        <v>240000</v>
      </c>
      <c r="D29" s="35">
        <f t="shared" si="3"/>
        <v>3120000</v>
      </c>
      <c r="E29" s="35">
        <f t="shared" si="4"/>
        <v>7444181.0850615175</v>
      </c>
      <c r="F29" s="35">
        <f t="shared" si="5"/>
        <v>4324181.0850615175</v>
      </c>
      <c r="G29" s="35">
        <f t="shared" si="6"/>
        <v>524897.63563268969</v>
      </c>
      <c r="H29" s="35">
        <f t="shared" si="7"/>
        <v>6919283.4494288275</v>
      </c>
      <c r="I29" s="35">
        <f t="shared" si="8"/>
        <v>3244030.0870486009</v>
      </c>
    </row>
    <row r="30" spans="1:9" x14ac:dyDescent="0.35">
      <c r="A30" s="32">
        <f t="shared" si="0"/>
        <v>14</v>
      </c>
      <c r="B30" s="33">
        <f t="shared" si="1"/>
        <v>7444181.0850615175</v>
      </c>
      <c r="C30" s="33">
        <f t="shared" si="2"/>
        <v>240000</v>
      </c>
      <c r="D30" s="33">
        <f t="shared" si="3"/>
        <v>3360000</v>
      </c>
      <c r="E30" s="33">
        <f t="shared" si="4"/>
        <v>8641939.6357462239</v>
      </c>
      <c r="F30" s="33">
        <f t="shared" si="5"/>
        <v>5281939.6357462239</v>
      </c>
      <c r="G30" s="33">
        <f t="shared" si="6"/>
        <v>644617.45446827798</v>
      </c>
      <c r="H30" s="33">
        <f t="shared" si="7"/>
        <v>7997322.1812779456</v>
      </c>
      <c r="I30" s="33">
        <f t="shared" si="8"/>
        <v>3537223.3132341844</v>
      </c>
    </row>
    <row r="31" spans="1:9" x14ac:dyDescent="0.35">
      <c r="A31" s="34">
        <f t="shared" si="0"/>
        <v>15</v>
      </c>
      <c r="B31" s="35">
        <f t="shared" si="1"/>
        <v>8641939.6357462239</v>
      </c>
      <c r="C31" s="35">
        <f t="shared" si="2"/>
        <v>240000</v>
      </c>
      <c r="D31" s="35">
        <f t="shared" si="3"/>
        <v>3600000</v>
      </c>
      <c r="E31" s="35">
        <f t="shared" si="4"/>
        <v>9991603.9507123418</v>
      </c>
      <c r="F31" s="35">
        <f t="shared" si="5"/>
        <v>6391603.9507123418</v>
      </c>
      <c r="G31" s="35">
        <f t="shared" si="6"/>
        <v>783325.49383904273</v>
      </c>
      <c r="H31" s="35">
        <f t="shared" si="7"/>
        <v>9208278.4568732996</v>
      </c>
      <c r="I31" s="35">
        <f t="shared" si="8"/>
        <v>3842292.869577005</v>
      </c>
    </row>
    <row r="32" spans="1:9" x14ac:dyDescent="0.35">
      <c r="A32" s="32">
        <f t="shared" si="0"/>
        <v>16</v>
      </c>
      <c r="B32" s="33">
        <f t="shared" si="1"/>
        <v>9991603.9507123418</v>
      </c>
      <c r="C32" s="33">
        <f t="shared" si="2"/>
        <v>240000</v>
      </c>
      <c r="D32" s="33">
        <f t="shared" si="3"/>
        <v>3840000</v>
      </c>
      <c r="E32" s="33">
        <f t="shared" si="4"/>
        <v>11512439.483092083</v>
      </c>
      <c r="F32" s="33">
        <f t="shared" si="5"/>
        <v>7672439.4830920827</v>
      </c>
      <c r="G32" s="33">
        <f t="shared" si="6"/>
        <v>943429.93538651033</v>
      </c>
      <c r="H32" s="33">
        <f t="shared" si="7"/>
        <v>10569009.547705572</v>
      </c>
      <c r="I32" s="33">
        <f t="shared" si="8"/>
        <v>4160451.3309791251</v>
      </c>
    </row>
    <row r="33" spans="1:9" x14ac:dyDescent="0.35">
      <c r="A33" s="34">
        <f t="shared" si="0"/>
        <v>17</v>
      </c>
      <c r="B33" s="35">
        <f t="shared" si="1"/>
        <v>11512439.483092083</v>
      </c>
      <c r="C33" s="35">
        <f t="shared" si="2"/>
        <v>240000</v>
      </c>
      <c r="D33" s="35">
        <f t="shared" si="3"/>
        <v>4080000</v>
      </c>
      <c r="E33" s="35">
        <f t="shared" si="4"/>
        <v>13226155.027691653</v>
      </c>
      <c r="F33" s="35">
        <f t="shared" si="5"/>
        <v>9146155.027691653</v>
      </c>
      <c r="G33" s="35">
        <f t="shared" si="6"/>
        <v>1127644.3784614566</v>
      </c>
      <c r="H33" s="35">
        <f t="shared" si="7"/>
        <v>12098510.649230197</v>
      </c>
      <c r="I33" s="35">
        <f t="shared" si="8"/>
        <v>4492956.3731404599</v>
      </c>
    </row>
    <row r="34" spans="1:9" x14ac:dyDescent="0.35">
      <c r="A34" s="32">
        <f t="shared" si="0"/>
        <v>18</v>
      </c>
      <c r="B34" s="33">
        <f t="shared" si="1"/>
        <v>13226155.027691653</v>
      </c>
      <c r="C34" s="33">
        <f t="shared" si="2"/>
        <v>240000</v>
      </c>
      <c r="D34" s="33">
        <f t="shared" si="3"/>
        <v>4320000</v>
      </c>
      <c r="E34" s="33">
        <f t="shared" si="4"/>
        <v>15157212.597872689</v>
      </c>
      <c r="F34" s="33">
        <f t="shared" si="5"/>
        <v>10837212.597872689</v>
      </c>
      <c r="G34" s="33">
        <f t="shared" si="6"/>
        <v>1339026.5747340862</v>
      </c>
      <c r="H34" s="33">
        <f t="shared" si="7"/>
        <v>13818186.023138603</v>
      </c>
      <c r="I34" s="33">
        <f t="shared" si="8"/>
        <v>4841115.6778749609</v>
      </c>
    </row>
    <row r="35" spans="1:9" x14ac:dyDescent="0.35">
      <c r="A35" s="34">
        <f t="shared" si="0"/>
        <v>19</v>
      </c>
      <c r="B35" s="35">
        <f t="shared" si="1"/>
        <v>15157212.597872689</v>
      </c>
      <c r="C35" s="35">
        <f t="shared" si="2"/>
        <v>240000</v>
      </c>
      <c r="D35" s="35">
        <f t="shared" si="3"/>
        <v>4560000</v>
      </c>
      <c r="E35" s="35">
        <f t="shared" si="4"/>
        <v>17333176.602578506</v>
      </c>
      <c r="F35" s="35">
        <f t="shared" si="5"/>
        <v>12773176.602578506</v>
      </c>
      <c r="G35" s="35">
        <f t="shared" si="6"/>
        <v>1581022.0753223132</v>
      </c>
      <c r="H35" s="35">
        <f t="shared" si="7"/>
        <v>15752154.527256193</v>
      </c>
      <c r="I35" s="35">
        <f t="shared" si="8"/>
        <v>5206292.014652824</v>
      </c>
    </row>
    <row r="36" spans="1:9" x14ac:dyDescent="0.35">
      <c r="A36" s="32">
        <f t="shared" si="0"/>
        <v>20</v>
      </c>
      <c r="B36" s="33">
        <f t="shared" si="1"/>
        <v>17333176.602578506</v>
      </c>
      <c r="C36" s="33">
        <f t="shared" si="2"/>
        <v>240000</v>
      </c>
      <c r="D36" s="33">
        <f t="shared" si="3"/>
        <v>4800000</v>
      </c>
      <c r="E36" s="33">
        <f t="shared" si="4"/>
        <v>19785107.307747219</v>
      </c>
      <c r="F36" s="33">
        <f t="shared" si="5"/>
        <v>14985107.307747219</v>
      </c>
      <c r="G36" s="33">
        <f t="shared" si="6"/>
        <v>1857513.4134684023</v>
      </c>
      <c r="H36" s="33">
        <f t="shared" si="7"/>
        <v>17927593.894278817</v>
      </c>
      <c r="I36" s="33">
        <f t="shared" si="8"/>
        <v>5589908.5179302385</v>
      </c>
    </row>
    <row r="38" spans="1:9" ht="22" customHeight="1" x14ac:dyDescent="0.35">
      <c r="A38" s="143" t="s">
        <v>109</v>
      </c>
      <c r="B38" s="143"/>
      <c r="C38" s="143"/>
      <c r="D38" s="143"/>
      <c r="E38" s="143"/>
      <c r="F38" s="143"/>
      <c r="G38" s="143"/>
      <c r="H38" s="143"/>
      <c r="I38" s="143"/>
    </row>
    <row r="39" spans="1:9" ht="30" customHeight="1" x14ac:dyDescent="0.35">
      <c r="A39" s="145" t="str">
        <f>"1. Over "&amp;TEXT($B$8,"0")&amp;" years, total contributions are ₹"&amp;TEXT($E$5,"##,##,##0")&amp;" and the projected nominal portfolio is ₹"&amp;TEXT($E$6,"##,##,##0")&amp;"."</f>
        <v>1. Over 20 years, total contributions are ₹48,00,000 and the projected nominal portfolio is ₹1,97,85,107.</v>
      </c>
      <c r="B39" s="146"/>
      <c r="C39" s="146"/>
      <c r="D39" s="146"/>
      <c r="E39" s="146"/>
      <c r="F39" s="146"/>
      <c r="G39" s="146"/>
      <c r="H39" s="146"/>
      <c r="I39" s="147"/>
    </row>
    <row r="40" spans="1:9" ht="30" customHeight="1" x14ac:dyDescent="0.35">
      <c r="A40" s="145" t="str">
        <f>"2. The projected nominal gain is ₹"&amp;TEXT($E$7,"##,##,##0")&amp;"; estimated tax on a full final redemption is ₹"&amp;TEXT($E$8,"##,##,##0")&amp;", leaving ₹"&amp;TEXT($E$9,"##,##,##0")&amp;" nominally."</f>
        <v>2. The projected nominal gain is ₹1,49,85,107; estimated tax on a full final redemption is ₹18,57,513, leaving ₹1,79,27,594 nominally.</v>
      </c>
      <c r="B40" s="146"/>
      <c r="C40" s="146"/>
      <c r="D40" s="146"/>
      <c r="E40" s="146"/>
      <c r="F40" s="146"/>
      <c r="G40" s="146"/>
      <c r="H40" s="146"/>
      <c r="I40" s="147"/>
    </row>
    <row r="41" spans="1:9" ht="30" customHeight="1" x14ac:dyDescent="0.35">
      <c r="A41" s="145" t="str">
        <f>"3. After adjusting the post-tax corpus for "&amp;TEXT($B$9/100,"0.0%")&amp;" annual inflation, its value in today’s rupees is ₹"&amp;TEXT($E$10,"##,##,##0")&amp;"."</f>
        <v>3. After adjusting the post-tax corpus for 6.0% annual inflation, its value in today’s rupees is ₹55,89,909.</v>
      </c>
      <c r="B41" s="146"/>
      <c r="C41" s="146"/>
      <c r="D41" s="146"/>
      <c r="E41" s="146"/>
      <c r="F41" s="146"/>
      <c r="G41" s="146"/>
      <c r="H41" s="146"/>
      <c r="I41" s="147"/>
    </row>
    <row r="42" spans="1:9" ht="30" customHeight="1" x14ac:dyDescent="0.35">
      <c r="A42" s="145" t="str">
        <f>"4. Compared with nominal contributions of ₹"&amp;TEXT($E$5,"##,##,##0")&amp;", the simplified real surplus is ₹"&amp;TEXT($E$11,"##,##,##0")&amp;"; this is not an inflation-adjusted return on each individual cash flow."</f>
        <v>4. Compared with nominal contributions of ₹48,00,000, the simplified real surplus is ₹7,89,909; this is not an inflation-adjusted return on each individual cash flow.</v>
      </c>
      <c r="B42" s="146"/>
      <c r="C42" s="146"/>
      <c r="D42" s="146"/>
      <c r="E42" s="146"/>
      <c r="F42" s="146"/>
      <c r="G42" s="146"/>
      <c r="H42" s="146"/>
      <c r="I42" s="147"/>
    </row>
    <row r="44" spans="1:9" ht="22" customHeight="1" x14ac:dyDescent="0.35">
      <c r="A44" s="143" t="s">
        <v>110</v>
      </c>
      <c r="B44" s="143"/>
      <c r="C44" s="143"/>
      <c r="D44" s="143"/>
      <c r="E44" s="143"/>
      <c r="F44" s="143"/>
      <c r="G44" s="143"/>
      <c r="H44" s="143"/>
      <c r="I44" s="143"/>
    </row>
    <row r="45" spans="1:9" ht="24" customHeight="1" x14ac:dyDescent="0.35">
      <c r="A45" s="148" t="s">
        <v>111</v>
      </c>
      <c r="B45" s="148"/>
      <c r="C45" s="148" t="s">
        <v>112</v>
      </c>
      <c r="D45" s="148"/>
      <c r="E45" s="148"/>
      <c r="F45" s="148"/>
      <c r="G45" s="148" t="s">
        <v>113</v>
      </c>
      <c r="H45" s="148"/>
      <c r="I45" s="148"/>
    </row>
    <row r="46" spans="1:9" ht="34" customHeight="1" x14ac:dyDescent="0.35">
      <c r="A46" s="149" t="s">
        <v>88</v>
      </c>
      <c r="B46" s="149"/>
      <c r="C46" s="150" t="s">
        <v>114</v>
      </c>
      <c r="D46" s="150"/>
      <c r="E46" s="150"/>
      <c r="F46" s="150"/>
      <c r="G46" s="151">
        <f t="shared" ref="G46:G52" si="9">B5</f>
        <v>0</v>
      </c>
      <c r="H46" s="152"/>
      <c r="I46" s="152"/>
    </row>
    <row r="47" spans="1:9" ht="34" customHeight="1" x14ac:dyDescent="0.35">
      <c r="A47" s="149" t="s">
        <v>115</v>
      </c>
      <c r="B47" s="149"/>
      <c r="C47" s="150" t="s">
        <v>116</v>
      </c>
      <c r="D47" s="150"/>
      <c r="E47" s="150"/>
      <c r="F47" s="150"/>
      <c r="G47" s="151">
        <f t="shared" si="9"/>
        <v>20000</v>
      </c>
      <c r="H47" s="152"/>
      <c r="I47" s="152"/>
    </row>
    <row r="48" spans="1:9" ht="34" customHeight="1" x14ac:dyDescent="0.35">
      <c r="A48" s="149" t="s">
        <v>117</v>
      </c>
      <c r="B48" s="149"/>
      <c r="C48" s="150" t="s">
        <v>118</v>
      </c>
      <c r="D48" s="150"/>
      <c r="E48" s="150"/>
      <c r="F48" s="150"/>
      <c r="G48" s="153">
        <f t="shared" si="9"/>
        <v>12</v>
      </c>
      <c r="H48" s="152"/>
      <c r="I48" s="152"/>
    </row>
    <row r="49" spans="1:9" ht="34" customHeight="1" x14ac:dyDescent="0.35">
      <c r="A49" s="149" t="s">
        <v>119</v>
      </c>
      <c r="B49" s="149"/>
      <c r="C49" s="150" t="s">
        <v>120</v>
      </c>
      <c r="D49" s="150"/>
      <c r="E49" s="150"/>
      <c r="F49" s="150"/>
      <c r="G49" s="154">
        <f t="shared" si="9"/>
        <v>20</v>
      </c>
      <c r="H49" s="152"/>
      <c r="I49" s="152"/>
    </row>
    <row r="50" spans="1:9" ht="34" customHeight="1" x14ac:dyDescent="0.35">
      <c r="A50" s="149" t="s">
        <v>121</v>
      </c>
      <c r="B50" s="149"/>
      <c r="C50" s="150" t="s">
        <v>122</v>
      </c>
      <c r="D50" s="150"/>
      <c r="E50" s="150"/>
      <c r="F50" s="150"/>
      <c r="G50" s="153">
        <f t="shared" si="9"/>
        <v>6</v>
      </c>
      <c r="H50" s="152"/>
      <c r="I50" s="152"/>
    </row>
    <row r="51" spans="1:9" ht="34" customHeight="1" x14ac:dyDescent="0.35">
      <c r="A51" s="149" t="s">
        <v>123</v>
      </c>
      <c r="B51" s="149"/>
      <c r="C51" s="150" t="s">
        <v>124</v>
      </c>
      <c r="D51" s="150"/>
      <c r="E51" s="150"/>
      <c r="F51" s="150"/>
      <c r="G51" s="153">
        <f t="shared" si="9"/>
        <v>12.5</v>
      </c>
      <c r="H51" s="152"/>
      <c r="I51" s="152"/>
    </row>
    <row r="52" spans="1:9" ht="34" customHeight="1" x14ac:dyDescent="0.35">
      <c r="A52" s="149" t="s">
        <v>125</v>
      </c>
      <c r="B52" s="149"/>
      <c r="C52" s="150" t="s">
        <v>126</v>
      </c>
      <c r="D52" s="150"/>
      <c r="E52" s="150"/>
      <c r="F52" s="150"/>
      <c r="G52" s="151">
        <f t="shared" si="9"/>
        <v>125000</v>
      </c>
      <c r="H52" s="152"/>
      <c r="I52" s="152"/>
    </row>
    <row r="54" spans="1:9" ht="22" customHeight="1" x14ac:dyDescent="0.35">
      <c r="A54" s="143" t="s">
        <v>127</v>
      </c>
      <c r="B54" s="143"/>
      <c r="C54" s="143"/>
      <c r="D54" s="143"/>
      <c r="E54" s="143"/>
      <c r="F54" s="143"/>
      <c r="G54" s="143"/>
      <c r="H54" s="143"/>
      <c r="I54" s="143"/>
    </row>
    <row r="55" spans="1:9" ht="24" customHeight="1" x14ac:dyDescent="0.35">
      <c r="A55" s="148" t="s">
        <v>128</v>
      </c>
      <c r="B55" s="148"/>
      <c r="C55" s="148"/>
      <c r="D55" s="148" t="s">
        <v>129</v>
      </c>
      <c r="E55" s="148"/>
      <c r="F55" s="148"/>
      <c r="G55" s="148"/>
      <c r="H55" s="148"/>
      <c r="I55" s="148"/>
    </row>
    <row r="56" spans="1:9" ht="34" customHeight="1" x14ac:dyDescent="0.35">
      <c r="A56" s="149" t="s">
        <v>130</v>
      </c>
      <c r="B56" s="149"/>
      <c r="C56" s="149"/>
      <c r="D56" s="150" t="s">
        <v>131</v>
      </c>
      <c r="E56" s="150"/>
      <c r="F56" s="150"/>
      <c r="G56" s="150"/>
      <c r="H56" s="150"/>
      <c r="I56" s="150"/>
    </row>
    <row r="57" spans="1:9" ht="34" customHeight="1" x14ac:dyDescent="0.35">
      <c r="A57" s="149" t="s">
        <v>132</v>
      </c>
      <c r="B57" s="149"/>
      <c r="C57" s="149"/>
      <c r="D57" s="150" t="s">
        <v>133</v>
      </c>
      <c r="E57" s="150"/>
      <c r="F57" s="150"/>
      <c r="G57" s="150"/>
      <c r="H57" s="150"/>
      <c r="I57" s="150"/>
    </row>
    <row r="58" spans="1:9" ht="34" customHeight="1" x14ac:dyDescent="0.35">
      <c r="A58" s="149" t="s">
        <v>134</v>
      </c>
      <c r="B58" s="149"/>
      <c r="C58" s="149"/>
      <c r="D58" s="150" t="s">
        <v>135</v>
      </c>
      <c r="E58" s="150"/>
      <c r="F58" s="150"/>
      <c r="G58" s="150"/>
      <c r="H58" s="150"/>
      <c r="I58" s="150"/>
    </row>
    <row r="59" spans="1:9" ht="34" customHeight="1" x14ac:dyDescent="0.35">
      <c r="A59" s="149" t="s">
        <v>136</v>
      </c>
      <c r="B59" s="149"/>
      <c r="C59" s="149"/>
      <c r="D59" s="150" t="s">
        <v>137</v>
      </c>
      <c r="E59" s="150"/>
      <c r="F59" s="150"/>
      <c r="G59" s="150"/>
      <c r="H59" s="150"/>
      <c r="I59" s="150"/>
    </row>
    <row r="60" spans="1:9" ht="34" customHeight="1" x14ac:dyDescent="0.35">
      <c r="A60" s="149" t="s">
        <v>138</v>
      </c>
      <c r="B60" s="149"/>
      <c r="C60" s="149"/>
      <c r="D60" s="150" t="s">
        <v>139</v>
      </c>
      <c r="E60" s="150"/>
      <c r="F60" s="150"/>
      <c r="G60" s="150"/>
      <c r="H60" s="150"/>
      <c r="I60" s="150"/>
    </row>
    <row r="61" spans="1:9" ht="34" customHeight="1" x14ac:dyDescent="0.35">
      <c r="A61" s="149" t="s">
        <v>140</v>
      </c>
      <c r="B61" s="149"/>
      <c r="C61" s="149"/>
      <c r="D61" s="150" t="s">
        <v>141</v>
      </c>
      <c r="E61" s="150"/>
      <c r="F61" s="150"/>
      <c r="G61" s="150"/>
      <c r="H61" s="150"/>
      <c r="I61" s="150"/>
    </row>
    <row r="62" spans="1:9" ht="34" customHeight="1" x14ac:dyDescent="0.35">
      <c r="A62" s="149" t="s">
        <v>142</v>
      </c>
      <c r="B62" s="149"/>
      <c r="C62" s="149"/>
      <c r="D62" s="150" t="s">
        <v>143</v>
      </c>
      <c r="E62" s="150"/>
      <c r="F62" s="150"/>
      <c r="G62" s="150"/>
      <c r="H62" s="150"/>
      <c r="I62" s="150"/>
    </row>
    <row r="64" spans="1:9" ht="22" customHeight="1" x14ac:dyDescent="0.35">
      <c r="A64" s="143" t="s">
        <v>144</v>
      </c>
      <c r="B64" s="143"/>
      <c r="C64" s="143"/>
      <c r="D64" s="143"/>
      <c r="E64" s="143"/>
      <c r="F64" s="143"/>
      <c r="G64" s="143"/>
      <c r="H64" s="143"/>
      <c r="I64" s="143"/>
    </row>
    <row r="65" spans="1:9" ht="34" customHeight="1" x14ac:dyDescent="0.35">
      <c r="A65" s="155" t="s">
        <v>145</v>
      </c>
      <c r="B65" s="156"/>
      <c r="C65" s="156"/>
      <c r="D65" s="156"/>
      <c r="E65" s="156"/>
      <c r="F65" s="156"/>
      <c r="G65" s="156"/>
      <c r="H65" s="156"/>
      <c r="I65" s="157"/>
    </row>
    <row r="66" spans="1:9" ht="34" customHeight="1" x14ac:dyDescent="0.35">
      <c r="A66" s="155" t="s">
        <v>146</v>
      </c>
      <c r="B66" s="156"/>
      <c r="C66" s="156"/>
      <c r="D66" s="156"/>
      <c r="E66" s="156"/>
      <c r="F66" s="156"/>
      <c r="G66" s="156"/>
      <c r="H66" s="156"/>
      <c r="I66" s="157"/>
    </row>
    <row r="67" spans="1:9" ht="34" customHeight="1" x14ac:dyDescent="0.35">
      <c r="A67" s="155" t="s">
        <v>147</v>
      </c>
      <c r="B67" s="156"/>
      <c r="C67" s="156"/>
      <c r="D67" s="156"/>
      <c r="E67" s="156"/>
      <c r="F67" s="156"/>
      <c r="G67" s="156"/>
      <c r="H67" s="156"/>
      <c r="I67" s="157"/>
    </row>
    <row r="68" spans="1:9" ht="34" customHeight="1" x14ac:dyDescent="0.35">
      <c r="A68" s="155" t="s">
        <v>148</v>
      </c>
      <c r="B68" s="156"/>
      <c r="C68" s="156"/>
      <c r="D68" s="156"/>
      <c r="E68" s="156"/>
      <c r="F68" s="156"/>
      <c r="G68" s="156"/>
      <c r="H68" s="156"/>
      <c r="I68" s="157"/>
    </row>
    <row r="69" spans="1:9" ht="34" customHeight="1" x14ac:dyDescent="0.35">
      <c r="A69" s="155" t="s">
        <v>149</v>
      </c>
      <c r="B69" s="156"/>
      <c r="C69" s="156"/>
      <c r="D69" s="156"/>
      <c r="E69" s="156"/>
      <c r="F69" s="156"/>
      <c r="G69" s="156"/>
      <c r="H69" s="156"/>
      <c r="I69" s="157"/>
    </row>
    <row r="70" spans="1:9" ht="34" customHeight="1" x14ac:dyDescent="0.35">
      <c r="A70" s="155" t="s">
        <v>150</v>
      </c>
      <c r="B70" s="156"/>
      <c r="C70" s="156"/>
      <c r="D70" s="156"/>
      <c r="E70" s="156"/>
      <c r="F70" s="156"/>
      <c r="G70" s="156"/>
      <c r="H70" s="156"/>
      <c r="I70" s="157"/>
    </row>
    <row r="72" spans="1:9" ht="30" customHeight="1" x14ac:dyDescent="0.55000000000000004">
      <c r="A72" s="158" t="s">
        <v>221</v>
      </c>
      <c r="B72" s="158"/>
      <c r="C72" s="158"/>
      <c r="D72" s="158"/>
      <c r="E72" s="158"/>
      <c r="F72" s="158"/>
      <c r="G72" s="158"/>
      <c r="H72" s="158"/>
      <c r="I72" s="158"/>
    </row>
    <row r="73" spans="1:9" ht="24" customHeight="1" x14ac:dyDescent="0.35">
      <c r="A73" s="159" t="s">
        <v>222</v>
      </c>
      <c r="B73" s="159"/>
      <c r="C73" s="159"/>
      <c r="D73" s="159"/>
      <c r="E73" s="159"/>
      <c r="F73" s="159"/>
      <c r="G73" s="159"/>
      <c r="H73" s="159"/>
      <c r="I73" s="159"/>
    </row>
    <row r="75" spans="1:9" ht="22" customHeight="1" x14ac:dyDescent="0.35">
      <c r="A75" s="160" t="s">
        <v>223</v>
      </c>
      <c r="B75" s="160"/>
      <c r="C75" s="160"/>
      <c r="D75" s="160"/>
      <c r="E75" s="160"/>
      <c r="F75" s="160"/>
      <c r="G75" s="160"/>
      <c r="H75" s="160"/>
      <c r="I75" s="160"/>
    </row>
    <row r="76" spans="1:9" ht="38" customHeight="1" x14ac:dyDescent="0.35">
      <c r="A76" s="161" t="s">
        <v>224</v>
      </c>
      <c r="B76" s="146"/>
      <c r="C76" s="146"/>
      <c r="D76" s="146"/>
      <c r="E76" s="146"/>
      <c r="F76" s="146"/>
      <c r="G76" s="146"/>
      <c r="H76" s="146"/>
      <c r="I76" s="162"/>
    </row>
    <row r="77" spans="1:9" ht="38" customHeight="1" x14ac:dyDescent="0.35">
      <c r="A77" s="161" t="s">
        <v>225</v>
      </c>
      <c r="B77" s="146"/>
      <c r="C77" s="146"/>
      <c r="D77" s="146"/>
      <c r="E77" s="146"/>
      <c r="F77" s="146"/>
      <c r="G77" s="146"/>
      <c r="H77" s="146"/>
      <c r="I77" s="162"/>
    </row>
    <row r="78" spans="1:9" ht="38" customHeight="1" x14ac:dyDescent="0.35">
      <c r="A78" s="161" t="s">
        <v>226</v>
      </c>
      <c r="B78" s="146"/>
      <c r="C78" s="146"/>
      <c r="D78" s="146"/>
      <c r="E78" s="146"/>
      <c r="F78" s="146"/>
      <c r="G78" s="146"/>
      <c r="H78" s="146"/>
      <c r="I78" s="162"/>
    </row>
    <row r="80" spans="1:9" ht="22" customHeight="1" x14ac:dyDescent="0.35">
      <c r="A80" s="160" t="s">
        <v>227</v>
      </c>
      <c r="B80" s="160"/>
      <c r="C80" s="160"/>
      <c r="D80" s="160"/>
      <c r="E80" s="160"/>
      <c r="F80" s="160"/>
      <c r="G80" s="160"/>
      <c r="H80" s="160"/>
      <c r="I80" s="160"/>
    </row>
    <row r="81" spans="1:9" x14ac:dyDescent="0.35">
      <c r="A81" s="148" t="s">
        <v>228</v>
      </c>
      <c r="B81" s="148"/>
      <c r="C81" s="148"/>
      <c r="D81" s="148" t="s">
        <v>229</v>
      </c>
      <c r="E81" s="148"/>
      <c r="F81" s="148"/>
      <c r="G81" s="148"/>
      <c r="H81" s="148"/>
      <c r="I81" s="148"/>
    </row>
    <row r="82" spans="1:9" ht="32" customHeight="1" x14ac:dyDescent="0.35">
      <c r="A82" s="163" t="s">
        <v>230</v>
      </c>
      <c r="B82" s="163"/>
      <c r="C82" s="163"/>
      <c r="D82" s="164" t="s">
        <v>231</v>
      </c>
      <c r="E82" s="164"/>
      <c r="F82" s="164"/>
      <c r="G82" s="164"/>
      <c r="H82" s="164"/>
      <c r="I82" s="164"/>
    </row>
    <row r="83" spans="1:9" ht="32" customHeight="1" x14ac:dyDescent="0.35">
      <c r="A83" s="163" t="s">
        <v>232</v>
      </c>
      <c r="B83" s="163"/>
      <c r="C83" s="163"/>
      <c r="D83" s="164" t="s">
        <v>233</v>
      </c>
      <c r="E83" s="164"/>
      <c r="F83" s="164"/>
      <c r="G83" s="164"/>
      <c r="H83" s="164"/>
      <c r="I83" s="164"/>
    </row>
    <row r="84" spans="1:9" ht="32" customHeight="1" x14ac:dyDescent="0.35">
      <c r="A84" s="163" t="s">
        <v>234</v>
      </c>
      <c r="B84" s="163"/>
      <c r="C84" s="163"/>
      <c r="D84" s="164" t="s">
        <v>235</v>
      </c>
      <c r="E84" s="164"/>
      <c r="F84" s="164"/>
      <c r="G84" s="164"/>
      <c r="H84" s="164"/>
      <c r="I84" s="164"/>
    </row>
    <row r="85" spans="1:9" ht="32" customHeight="1" x14ac:dyDescent="0.35">
      <c r="A85" s="163" t="s">
        <v>236</v>
      </c>
      <c r="B85" s="163"/>
      <c r="C85" s="163"/>
      <c r="D85" s="164" t="s">
        <v>237</v>
      </c>
      <c r="E85" s="164"/>
      <c r="F85" s="164"/>
      <c r="G85" s="164"/>
      <c r="H85" s="164"/>
      <c r="I85" s="164"/>
    </row>
    <row r="86" spans="1:9" ht="32" customHeight="1" x14ac:dyDescent="0.35">
      <c r="A86" s="163" t="s">
        <v>238</v>
      </c>
      <c r="B86" s="163"/>
      <c r="C86" s="163"/>
      <c r="D86" s="164" t="s">
        <v>239</v>
      </c>
      <c r="E86" s="164"/>
      <c r="F86" s="164"/>
      <c r="G86" s="164"/>
      <c r="H86" s="164"/>
      <c r="I86" s="164"/>
    </row>
    <row r="88" spans="1:9" ht="22" customHeight="1" x14ac:dyDescent="0.35">
      <c r="A88" s="143" t="s">
        <v>240</v>
      </c>
      <c r="B88" s="143"/>
      <c r="C88" s="143"/>
      <c r="D88" s="143"/>
      <c r="E88" s="143"/>
      <c r="F88" s="143"/>
      <c r="G88" s="143"/>
      <c r="H88" s="143"/>
      <c r="I88" s="143"/>
    </row>
    <row r="89" spans="1:9" ht="34" customHeight="1" x14ac:dyDescent="0.35">
      <c r="A89" s="161" t="s">
        <v>241</v>
      </c>
      <c r="B89" s="146"/>
      <c r="C89" s="146"/>
      <c r="D89" s="146"/>
      <c r="E89" s="146"/>
      <c r="F89" s="146"/>
      <c r="G89" s="146"/>
      <c r="H89" s="146"/>
      <c r="I89" s="162"/>
    </row>
    <row r="90" spans="1:9" ht="34" customHeight="1" x14ac:dyDescent="0.35">
      <c r="A90" s="165" t="str">
        <f>"Using this sheet: ₹"&amp;TEXT($E$9,"##,##,##0")&amp;" of post-tax nominal wealth after "&amp;TEXT($B$8,"0")&amp;" years becomes ₹"&amp;TEXT($E$10,"##,##,##0")&amp;" in today’s rupees when inflation is "&amp;TEXT($B$9/100,"0.0%")&amp;" per year."</f>
        <v>Using this sheet: ₹1,79,27,594 of post-tax nominal wealth after 20 years becomes ₹55,89,909 in today’s rupees when inflation is 6.0% per year.</v>
      </c>
      <c r="B90" s="166"/>
      <c r="C90" s="166"/>
      <c r="D90" s="166"/>
      <c r="E90" s="166"/>
      <c r="F90" s="166"/>
      <c r="G90" s="166"/>
      <c r="H90" s="166"/>
      <c r="I90" s="167"/>
    </row>
    <row r="91" spans="1:9" ht="34" customHeight="1" x14ac:dyDescent="0.35">
      <c r="A91" s="165" t="str">
        <f>"In other words, the nominal account balance is about "&amp;TEXT($E$9/$E$10,"0.00")&amp;" times the real value because prices are assumed to rise throughout the period."</f>
        <v>In other words, the nominal account balance is about 3.21 times the real value because prices are assumed to rise throughout the period.</v>
      </c>
      <c r="B91" s="166"/>
      <c r="C91" s="166"/>
      <c r="D91" s="166"/>
      <c r="E91" s="166"/>
      <c r="F91" s="166"/>
      <c r="G91" s="166"/>
      <c r="H91" s="166"/>
      <c r="I91" s="167"/>
    </row>
    <row r="93" spans="1:9" ht="22" customHeight="1" x14ac:dyDescent="0.35">
      <c r="A93" s="143" t="s">
        <v>242</v>
      </c>
      <c r="B93" s="143"/>
      <c r="C93" s="143"/>
      <c r="D93" s="143"/>
      <c r="E93" s="143"/>
      <c r="F93" s="143"/>
      <c r="G93" s="143"/>
      <c r="H93" s="143"/>
      <c r="I93" s="143"/>
    </row>
    <row r="94" spans="1:9" ht="34" customHeight="1" x14ac:dyDescent="0.35">
      <c r="A94" s="161" t="s">
        <v>243</v>
      </c>
      <c r="B94" s="146"/>
      <c r="C94" s="146"/>
      <c r="D94" s="146"/>
      <c r="E94" s="146"/>
      <c r="F94" s="146"/>
      <c r="G94" s="146"/>
      <c r="H94" s="146"/>
      <c r="I94" s="162"/>
    </row>
    <row r="95" spans="1:9" ht="34" customHeight="1" x14ac:dyDescent="0.35">
      <c r="A95" s="165" t="str">
        <f>"The exact real return for the current assumptions is "&amp;TEXT((1+$B$7/100)/(1+$B$9/100)-1,"0.00%")&amp;", calculated as (1 + nominal return) ÷ (1 + inflation) − 1."</f>
        <v>The exact real return for the current assumptions is 5.66%, calculated as (1 + nominal return) ÷ (1 + inflation) − 1.</v>
      </c>
      <c r="B95" s="166"/>
      <c r="C95" s="166"/>
      <c r="D95" s="166"/>
      <c r="E95" s="166"/>
      <c r="F95" s="166"/>
      <c r="G95" s="166"/>
      <c r="H95" s="166"/>
      <c r="I95" s="167"/>
    </row>
    <row r="96" spans="1:9" ht="34" customHeight="1" x14ac:dyDescent="0.35">
      <c r="A96" s="161" t="s">
        <v>244</v>
      </c>
      <c r="B96" s="146"/>
      <c r="C96" s="146"/>
      <c r="D96" s="146"/>
      <c r="E96" s="146"/>
      <c r="F96" s="146"/>
      <c r="G96" s="146"/>
      <c r="H96" s="146"/>
      <c r="I96" s="162"/>
    </row>
    <row r="98" spans="1:9" ht="22" customHeight="1" x14ac:dyDescent="0.35">
      <c r="A98" s="143" t="s">
        <v>245</v>
      </c>
      <c r="B98" s="143"/>
      <c r="C98" s="143"/>
      <c r="D98" s="143"/>
      <c r="E98" s="143"/>
      <c r="F98" s="143"/>
      <c r="G98" s="143"/>
      <c r="H98" s="143"/>
      <c r="I98" s="143"/>
    </row>
    <row r="99" spans="1:9" ht="30" customHeight="1" x14ac:dyDescent="0.35">
      <c r="A99" s="161" t="s">
        <v>246</v>
      </c>
      <c r="B99" s="146"/>
      <c r="C99" s="146"/>
      <c r="D99" s="146"/>
      <c r="E99" s="146"/>
      <c r="F99" s="146"/>
      <c r="G99" s="146"/>
      <c r="H99" s="146"/>
      <c r="I99" s="162"/>
    </row>
    <row r="100" spans="1:9" ht="30" customHeight="1" x14ac:dyDescent="0.35">
      <c r="A100" s="161" t="s">
        <v>247</v>
      </c>
      <c r="B100" s="146"/>
      <c r="C100" s="146"/>
      <c r="D100" s="146"/>
      <c r="E100" s="146"/>
      <c r="F100" s="146"/>
      <c r="G100" s="146"/>
      <c r="H100" s="146"/>
      <c r="I100" s="162"/>
    </row>
    <row r="101" spans="1:9" ht="30" customHeight="1" x14ac:dyDescent="0.35">
      <c r="A101" s="161" t="s">
        <v>248</v>
      </c>
      <c r="B101" s="146"/>
      <c r="C101" s="146"/>
      <c r="D101" s="146"/>
      <c r="E101" s="146"/>
      <c r="F101" s="146"/>
      <c r="G101" s="146"/>
      <c r="H101" s="146"/>
      <c r="I101" s="162"/>
    </row>
    <row r="102" spans="1:9" ht="30" customHeight="1" x14ac:dyDescent="0.35">
      <c r="A102" s="161" t="s">
        <v>249</v>
      </c>
      <c r="B102" s="146"/>
      <c r="C102" s="146"/>
      <c r="D102" s="146"/>
      <c r="E102" s="146"/>
      <c r="F102" s="146"/>
      <c r="G102" s="146"/>
      <c r="H102" s="146"/>
      <c r="I102" s="162"/>
    </row>
    <row r="103" spans="1:9" ht="30" customHeight="1" x14ac:dyDescent="0.35">
      <c r="A103" s="161" t="s">
        <v>250</v>
      </c>
      <c r="B103" s="146"/>
      <c r="C103" s="146"/>
      <c r="D103" s="146"/>
      <c r="E103" s="146"/>
      <c r="F103" s="146"/>
      <c r="G103" s="146"/>
      <c r="H103" s="146"/>
      <c r="I103" s="162"/>
    </row>
    <row r="105" spans="1:9" ht="22" customHeight="1" x14ac:dyDescent="0.35">
      <c r="A105" s="143" t="s">
        <v>251</v>
      </c>
      <c r="B105" s="143"/>
      <c r="C105" s="143"/>
      <c r="D105" s="143"/>
      <c r="E105" s="143"/>
      <c r="F105" s="143"/>
      <c r="G105" s="143"/>
      <c r="H105" s="143"/>
      <c r="I105" s="143"/>
    </row>
    <row r="106" spans="1:9" ht="42" customHeight="1" x14ac:dyDescent="0.35">
      <c r="A106" s="161" t="s">
        <v>252</v>
      </c>
      <c r="B106" s="146"/>
      <c r="C106" s="146"/>
      <c r="D106" s="146"/>
      <c r="E106" s="146"/>
      <c r="F106" s="146"/>
      <c r="G106" s="146"/>
      <c r="H106" s="146"/>
      <c r="I106" s="162"/>
    </row>
    <row r="108" spans="1:9" ht="22" customHeight="1" x14ac:dyDescent="0.35">
      <c r="A108" s="143" t="s">
        <v>253</v>
      </c>
      <c r="B108" s="143"/>
      <c r="C108" s="143"/>
      <c r="D108" s="143"/>
      <c r="E108" s="143"/>
      <c r="F108" s="143"/>
      <c r="G108" s="143"/>
      <c r="H108" s="143"/>
      <c r="I108" s="143"/>
    </row>
    <row r="109" spans="1:9" ht="38" customHeight="1" x14ac:dyDescent="0.35">
      <c r="A109" s="161" t="s">
        <v>254</v>
      </c>
      <c r="B109" s="146"/>
      <c r="C109" s="146"/>
      <c r="D109" s="146"/>
      <c r="E109" s="146"/>
      <c r="F109" s="146"/>
      <c r="G109" s="146"/>
      <c r="H109" s="146"/>
      <c r="I109" s="162"/>
    </row>
    <row r="110" spans="1:9" ht="38" customHeight="1" x14ac:dyDescent="0.35">
      <c r="A110" s="168" t="s">
        <v>255</v>
      </c>
      <c r="B110" s="169"/>
      <c r="C110" s="169"/>
      <c r="D110" s="169"/>
      <c r="E110" s="169"/>
      <c r="F110" s="169"/>
      <c r="G110" s="169"/>
      <c r="H110" s="169"/>
      <c r="I110" s="170"/>
    </row>
  </sheetData>
  <mergeCells count="98">
    <mergeCell ref="A110:I110"/>
    <mergeCell ref="A103:I103"/>
    <mergeCell ref="A105:I105"/>
    <mergeCell ref="A106:I106"/>
    <mergeCell ref="A108:I108"/>
    <mergeCell ref="A109:I109"/>
    <mergeCell ref="A98:I98"/>
    <mergeCell ref="A99:I99"/>
    <mergeCell ref="A100:I100"/>
    <mergeCell ref="A101:I101"/>
    <mergeCell ref="A102:I102"/>
    <mergeCell ref="A91:I91"/>
    <mergeCell ref="A93:I93"/>
    <mergeCell ref="A94:I94"/>
    <mergeCell ref="A95:I95"/>
    <mergeCell ref="A96:I96"/>
    <mergeCell ref="A86:C86"/>
    <mergeCell ref="D86:I86"/>
    <mergeCell ref="A88:I88"/>
    <mergeCell ref="A89:I89"/>
    <mergeCell ref="A90:I90"/>
    <mergeCell ref="A83:C83"/>
    <mergeCell ref="D83:I83"/>
    <mergeCell ref="A84:C84"/>
    <mergeCell ref="D84:I84"/>
    <mergeCell ref="A85:C85"/>
    <mergeCell ref="D85:I85"/>
    <mergeCell ref="A80:I80"/>
    <mergeCell ref="A81:C81"/>
    <mergeCell ref="D81:I81"/>
    <mergeCell ref="A82:C82"/>
    <mergeCell ref="D82:I82"/>
    <mergeCell ref="A73:I73"/>
    <mergeCell ref="A75:I75"/>
    <mergeCell ref="A76:I76"/>
    <mergeCell ref="A77:I77"/>
    <mergeCell ref="A78:I78"/>
    <mergeCell ref="A67:I67"/>
    <mergeCell ref="A68:I68"/>
    <mergeCell ref="A69:I69"/>
    <mergeCell ref="A70:I70"/>
    <mergeCell ref="A72:I72"/>
    <mergeCell ref="A62:C62"/>
    <mergeCell ref="D62:I62"/>
    <mergeCell ref="A64:I64"/>
    <mergeCell ref="A65:I65"/>
    <mergeCell ref="A66:I66"/>
    <mergeCell ref="A59:C59"/>
    <mergeCell ref="D59:I59"/>
    <mergeCell ref="A60:C60"/>
    <mergeCell ref="D60:I60"/>
    <mergeCell ref="A61:C61"/>
    <mergeCell ref="D61:I61"/>
    <mergeCell ref="A56:C56"/>
    <mergeCell ref="D56:I56"/>
    <mergeCell ref="A57:C57"/>
    <mergeCell ref="D57:I57"/>
    <mergeCell ref="A58:C58"/>
    <mergeCell ref="D58:I58"/>
    <mergeCell ref="A52:B52"/>
    <mergeCell ref="C52:F52"/>
    <mergeCell ref="G52:I52"/>
    <mergeCell ref="A54:I54"/>
    <mergeCell ref="A55:C55"/>
    <mergeCell ref="D55:I55"/>
    <mergeCell ref="A50:B50"/>
    <mergeCell ref="C50:F50"/>
    <mergeCell ref="G50:I50"/>
    <mergeCell ref="A51:B51"/>
    <mergeCell ref="C51:F51"/>
    <mergeCell ref="G51:I51"/>
    <mergeCell ref="A48:B48"/>
    <mergeCell ref="C48:F48"/>
    <mergeCell ref="G48:I48"/>
    <mergeCell ref="A49:B49"/>
    <mergeCell ref="C49:F49"/>
    <mergeCell ref="G49:I49"/>
    <mergeCell ref="A46:B46"/>
    <mergeCell ref="C46:F46"/>
    <mergeCell ref="G46:I46"/>
    <mergeCell ref="A47:B47"/>
    <mergeCell ref="C47:F47"/>
    <mergeCell ref="G47:I47"/>
    <mergeCell ref="A42:I42"/>
    <mergeCell ref="A44:I44"/>
    <mergeCell ref="A45:B45"/>
    <mergeCell ref="C45:F45"/>
    <mergeCell ref="G45:I45"/>
    <mergeCell ref="A15:I15"/>
    <mergeCell ref="A38:I38"/>
    <mergeCell ref="A39:I39"/>
    <mergeCell ref="A40:I40"/>
    <mergeCell ref="A41:I41"/>
    <mergeCell ref="A1:I1"/>
    <mergeCell ref="A2:I2"/>
    <mergeCell ref="A4:B4"/>
    <mergeCell ref="D4:F4"/>
    <mergeCell ref="A13:I13"/>
  </mergeCells>
  <conditionalFormatting sqref="G17:G36">
    <cfRule type="colorScale" priority="1">
      <colorScale>
        <cfvo type="min"/>
        <cfvo type="percentile" val="50"/>
        <cfvo type="max"/>
        <color rgb="FFFFFFFF"/>
        <color rgb="FFFFF2CC"/>
        <color rgb="FFF4CCCC"/>
      </colorScale>
    </cfRule>
  </conditionalFormatting>
  <conditionalFormatting sqref="I17:I36">
    <cfRule type="dataBar" priority="2">
      <dataBar>
        <cfvo type="min"/>
        <cfvo type="max"/>
        <color rgb="FF638EC6"/>
      </dataBar>
      <extLst>
        <ext xmlns:x14="http://schemas.microsoft.com/office/spreadsheetml/2009/9/main" uri="{B025F937-C7B1-47D3-B67F-A62EFF666E3E}">
          <x14:id>{E5BF5A44-CD86-43CA-B634-FABA401057D5}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5BF5A44-CD86-43CA-B634-FABA401057D5}">
            <x14:dataBar minLength="0" maxLength="100" negativeBarColorSameAsPositive="1" axisPosition="none">
              <x14:cfvo type="min"/>
              <x14:cfvo type="max"/>
            </x14:dataBar>
          </x14:cfRule>
          <xm:sqref>I17:I36</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90948-9BD4-42B3-95A1-C36943AC3EF8}">
  <dimension ref="A1:L47"/>
  <sheetViews>
    <sheetView zoomScale="55" zoomScaleNormal="55" workbookViewId="0">
      <pane ySplit="17" topLeftCell="A18" activePane="bottomLeft" state="frozen"/>
      <selection pane="bottomLeft" activeCell="G13" sqref="G13"/>
    </sheetView>
  </sheetViews>
  <sheetFormatPr defaultRowHeight="14.5" x14ac:dyDescent="0.35"/>
  <cols>
    <col min="1" max="1" width="34.54296875" customWidth="1"/>
    <col min="2" max="2" width="22.7265625" customWidth="1"/>
    <col min="3" max="3" width="18.1796875" customWidth="1"/>
    <col min="4" max="4" width="34.54296875" customWidth="1"/>
    <col min="5" max="5" width="20.90625" customWidth="1"/>
    <col min="6" max="9" width="22.7265625" customWidth="1"/>
    <col min="10" max="10" width="14.54296875" customWidth="1"/>
    <col min="11" max="12" width="23.6328125" customWidth="1"/>
  </cols>
  <sheetData>
    <row r="1" spans="1:12" ht="32" customHeight="1" x14ac:dyDescent="0.35">
      <c r="A1" s="194" t="s">
        <v>399</v>
      </c>
      <c r="B1" s="194"/>
      <c r="C1" s="194"/>
      <c r="D1" s="194"/>
      <c r="E1" s="194"/>
      <c r="F1" s="194"/>
      <c r="G1" s="194"/>
      <c r="H1" s="194"/>
      <c r="I1" s="194"/>
      <c r="J1" s="194"/>
      <c r="K1" s="194"/>
      <c r="L1" s="194"/>
    </row>
    <row r="2" spans="1:12" ht="28" customHeight="1" x14ac:dyDescent="0.35">
      <c r="A2" s="193" t="s">
        <v>400</v>
      </c>
      <c r="B2" s="193"/>
      <c r="C2" s="193"/>
      <c r="D2" s="193"/>
      <c r="E2" s="193"/>
      <c r="F2" s="193"/>
      <c r="G2" s="193"/>
      <c r="H2" s="193"/>
      <c r="I2" s="193"/>
      <c r="J2" s="193"/>
      <c r="K2" s="193"/>
      <c r="L2" s="193"/>
    </row>
    <row r="3" spans="1:12" ht="19" customHeight="1" x14ac:dyDescent="0.35">
      <c r="A3" s="81"/>
      <c r="B3" s="81"/>
      <c r="C3" s="81"/>
      <c r="D3" s="81"/>
      <c r="E3" s="81"/>
      <c r="F3" s="81"/>
      <c r="G3" s="81"/>
      <c r="H3" s="81"/>
      <c r="I3" s="81"/>
      <c r="J3" s="81"/>
      <c r="K3" s="81"/>
      <c r="L3" s="81"/>
    </row>
    <row r="4" spans="1:12" ht="23" customHeight="1" x14ac:dyDescent="0.35">
      <c r="A4" s="187" t="s">
        <v>401</v>
      </c>
      <c r="B4" s="187"/>
      <c r="C4" s="81"/>
      <c r="D4" s="187" t="s">
        <v>402</v>
      </c>
      <c r="E4" s="187"/>
      <c r="F4" s="187"/>
      <c r="G4" s="81"/>
      <c r="H4" s="187" t="s">
        <v>189</v>
      </c>
      <c r="I4" s="187"/>
      <c r="J4" s="187"/>
      <c r="K4" s="187"/>
      <c r="L4" s="187"/>
    </row>
    <row r="5" spans="1:12" ht="35" customHeight="1" x14ac:dyDescent="0.35">
      <c r="A5" s="90" t="s">
        <v>403</v>
      </c>
      <c r="B5" s="87" t="s">
        <v>298</v>
      </c>
      <c r="C5" s="81"/>
      <c r="D5" s="123" t="s">
        <v>411</v>
      </c>
      <c r="E5" s="102">
        <f>$B$6*(1+$B$8/100)^$B$7</f>
        <v>32071354.722128481</v>
      </c>
      <c r="F5" s="81"/>
      <c r="G5" s="81"/>
      <c r="H5" s="189" t="s">
        <v>420</v>
      </c>
      <c r="I5" s="189"/>
      <c r="J5" s="189"/>
      <c r="K5" s="189"/>
      <c r="L5" s="189"/>
    </row>
    <row r="6" spans="1:12" ht="35" customHeight="1" x14ac:dyDescent="0.35">
      <c r="A6" s="90" t="s">
        <v>404</v>
      </c>
      <c r="B6" s="91">
        <v>10000000</v>
      </c>
      <c r="C6" s="81"/>
      <c r="D6" s="123" t="s">
        <v>412</v>
      </c>
      <c r="E6" s="102">
        <f>$B$9*(1+$B$10/1200)^($B$7*12)</f>
        <v>0</v>
      </c>
      <c r="F6" s="81"/>
      <c r="G6" s="81"/>
      <c r="H6" s="189" t="s">
        <v>421</v>
      </c>
      <c r="I6" s="189"/>
      <c r="J6" s="189"/>
      <c r="K6" s="189"/>
      <c r="L6" s="189"/>
    </row>
    <row r="7" spans="1:12" ht="35" customHeight="1" x14ac:dyDescent="0.35">
      <c r="A7" s="90" t="s">
        <v>405</v>
      </c>
      <c r="B7" s="85">
        <v>20</v>
      </c>
      <c r="C7" s="81"/>
      <c r="D7" s="123" t="s">
        <v>413</v>
      </c>
      <c r="E7" s="124" cm="1">
        <f t="array" ref="E7">_xlfn.LET(_xlpm.n,$B$7,_xlpm.r,$B$10/1200,_xlpm.s,$B$11/100,_xlpm.t,$B$12/100,_xlpm.ex,$B$13,_xlpm.g,$E$5,_xlpm.c,$E$6,_xlpm.p,$B$9,_xlpm.k,SUMPRODUCT((1+_xlpm.s)^_xlfn.SEQUENCE(_xlpm.n,1,0,1)*(((1+_xlpm.r)^12-1)/_xlpm.r)*(1+_xlpm.r)^(12*(_xlpm.n-_xlfn.SEQUENCE(_xlpm.n)))),_xlpm.l,12*SUM((1+_xlpm.s)^_xlfn.SEQUENCE(_xlpm.n,1,0,1)),_xlpm.x0,MAX(0,(_xlpm.g-_xlpm.c)/_xlpm.k),_xlpm.gain0,_xlpm.c+_xlpm.k*_xlpm.x0-_xlpm.p-_xlpm.l*_xlpm.x0,IF(_xlpm.gain0&lt;=_xlpm.ex,_xlpm.x0,MAX(0,(_xlpm.g-_xlpm.c+_xlpm.t*(_xlpm.c-_xlpm.p-_xlpm.ex))/(_xlpm.k-_xlpm.t*(_xlpm.k-_xlpm.l)))))</f>
        <v>17720.678956634547</v>
      </c>
      <c r="F7" s="81"/>
      <c r="G7" s="81"/>
      <c r="H7" s="189" t="s">
        <v>422</v>
      </c>
      <c r="I7" s="189"/>
      <c r="J7" s="189"/>
      <c r="K7" s="189"/>
      <c r="L7" s="189"/>
    </row>
    <row r="8" spans="1:12" ht="35" customHeight="1" x14ac:dyDescent="0.35">
      <c r="A8" s="90" t="s">
        <v>193</v>
      </c>
      <c r="B8" s="86">
        <v>6</v>
      </c>
      <c r="C8" s="81"/>
      <c r="D8" s="123" t="s">
        <v>414</v>
      </c>
      <c r="E8" s="102">
        <f>$E$7*12</f>
        <v>212648.14747961456</v>
      </c>
      <c r="F8" s="81"/>
      <c r="G8" s="81"/>
      <c r="H8" s="189" t="s">
        <v>423</v>
      </c>
      <c r="I8" s="189"/>
      <c r="J8" s="189"/>
      <c r="K8" s="189"/>
      <c r="L8" s="189"/>
    </row>
    <row r="9" spans="1:12" ht="35" customHeight="1" x14ac:dyDescent="0.35">
      <c r="A9" s="90" t="s">
        <v>406</v>
      </c>
      <c r="B9" s="91">
        <v>0</v>
      </c>
      <c r="C9" s="81"/>
      <c r="D9" s="123" t="s">
        <v>415</v>
      </c>
      <c r="E9" s="102">
        <f>$E$7*(1+$B$11/100)^($B$7-1)</f>
        <v>108378.06071161301</v>
      </c>
      <c r="F9" s="81"/>
      <c r="G9" s="81"/>
      <c r="H9" s="189" t="s">
        <v>424</v>
      </c>
      <c r="I9" s="189"/>
      <c r="J9" s="189"/>
      <c r="K9" s="189"/>
      <c r="L9" s="189"/>
    </row>
    <row r="10" spans="1:12" ht="35" customHeight="1" x14ac:dyDescent="0.35">
      <c r="A10" s="90" t="s">
        <v>407</v>
      </c>
      <c r="B10" s="86">
        <v>12</v>
      </c>
      <c r="C10" s="81"/>
      <c r="D10" s="123" t="s">
        <v>416</v>
      </c>
      <c r="E10" s="102" cm="1">
        <f t="array" ref="E10">$B$9+12*$E$7*SUM((1+$B$11/100)^_xlfn.SEQUENCE($B$7,1,0,1))</f>
        <v>12179422.539136764</v>
      </c>
      <c r="F10" s="81"/>
      <c r="G10" s="81"/>
      <c r="H10" s="189" t="s">
        <v>425</v>
      </c>
      <c r="I10" s="189"/>
      <c r="J10" s="189"/>
      <c r="K10" s="189"/>
      <c r="L10" s="189"/>
    </row>
    <row r="11" spans="1:12" ht="19" customHeight="1" x14ac:dyDescent="0.35">
      <c r="A11" s="90" t="s">
        <v>408</v>
      </c>
      <c r="B11" s="86">
        <v>10</v>
      </c>
      <c r="C11" s="81"/>
      <c r="D11" s="123" t="s">
        <v>417</v>
      </c>
      <c r="E11" s="102" cm="1">
        <f t="array" ref="E11">INDEX($F$18:$F$47,$B$7)</f>
        <v>34895202.176841542</v>
      </c>
      <c r="F11" s="81"/>
      <c r="G11" s="81"/>
      <c r="H11" s="81"/>
      <c r="I11" s="81"/>
      <c r="J11" s="81"/>
      <c r="K11" s="81"/>
      <c r="L11" s="81"/>
    </row>
    <row r="12" spans="1:12" ht="19" customHeight="1" x14ac:dyDescent="0.35">
      <c r="A12" s="90" t="s">
        <v>93</v>
      </c>
      <c r="B12" s="86">
        <v>12.5</v>
      </c>
      <c r="C12" s="81"/>
      <c r="D12" s="123" t="s">
        <v>96</v>
      </c>
      <c r="E12" s="102">
        <f>MAX(0,($E$11-$E$10-$B$13)*$B$12/100)</f>
        <v>2823847.4547130973</v>
      </c>
      <c r="F12" s="81"/>
      <c r="G12" s="81"/>
      <c r="H12" s="81"/>
      <c r="I12" s="81"/>
      <c r="J12" s="81"/>
      <c r="K12" s="81"/>
      <c r="L12" s="81"/>
    </row>
    <row r="13" spans="1:12" ht="19" customHeight="1" x14ac:dyDescent="0.35">
      <c r="A13" s="90" t="s">
        <v>94</v>
      </c>
      <c r="B13" s="91">
        <v>125000</v>
      </c>
      <c r="C13" s="81"/>
      <c r="D13" s="123" t="s">
        <v>418</v>
      </c>
      <c r="E13" s="102">
        <f>$E$11-$E$12</f>
        <v>32071354.722128443</v>
      </c>
      <c r="F13" s="81"/>
      <c r="G13" s="81"/>
      <c r="H13" s="81"/>
      <c r="I13" s="81"/>
      <c r="J13" s="81"/>
      <c r="K13" s="81"/>
      <c r="L13" s="81"/>
    </row>
    <row r="14" spans="1:12" ht="19" customHeight="1" x14ac:dyDescent="0.35">
      <c r="A14" s="90" t="s">
        <v>409</v>
      </c>
      <c r="B14" s="87" t="s">
        <v>410</v>
      </c>
      <c r="C14" s="81"/>
      <c r="D14" s="123" t="s">
        <v>419</v>
      </c>
      <c r="E14" s="105">
        <f>IF(ABS($E$13-$E$5)&lt;1,0,$E$13-$E$5)</f>
        <v>0</v>
      </c>
      <c r="F14" s="81"/>
      <c r="G14" s="81"/>
      <c r="H14" s="81"/>
      <c r="I14" s="81"/>
      <c r="J14" s="81"/>
      <c r="K14" s="81"/>
      <c r="L14" s="81"/>
    </row>
    <row r="15" spans="1:12" ht="19" customHeight="1" x14ac:dyDescent="0.35">
      <c r="A15" s="81"/>
      <c r="B15" s="81"/>
      <c r="C15" s="81"/>
      <c r="D15" s="81"/>
      <c r="E15" s="81"/>
      <c r="F15" s="81"/>
      <c r="G15" s="81"/>
      <c r="H15" s="81"/>
      <c r="I15" s="81"/>
      <c r="J15" s="81"/>
      <c r="K15" s="81"/>
      <c r="L15" s="81"/>
    </row>
    <row r="16" spans="1:12" ht="23" customHeight="1" x14ac:dyDescent="0.35">
      <c r="A16" s="187" t="s">
        <v>426</v>
      </c>
      <c r="B16" s="187"/>
      <c r="C16" s="187"/>
      <c r="D16" s="187"/>
      <c r="E16" s="187"/>
      <c r="F16" s="187"/>
      <c r="G16" s="187"/>
      <c r="H16" s="187"/>
      <c r="I16" s="187"/>
      <c r="J16" s="187"/>
      <c r="K16" s="82"/>
      <c r="L16" s="82"/>
    </row>
    <row r="17" spans="1:12" ht="34" customHeight="1" x14ac:dyDescent="0.35">
      <c r="A17" s="95" t="s">
        <v>80</v>
      </c>
      <c r="B17" s="95" t="s">
        <v>427</v>
      </c>
      <c r="C17" s="95" t="s">
        <v>18</v>
      </c>
      <c r="D17" s="95" t="s">
        <v>428</v>
      </c>
      <c r="E17" s="95" t="s">
        <v>429</v>
      </c>
      <c r="F17" s="95" t="s">
        <v>430</v>
      </c>
      <c r="G17" s="95" t="s">
        <v>431</v>
      </c>
      <c r="H17" s="95" t="s">
        <v>218</v>
      </c>
      <c r="I17" s="95" t="s">
        <v>432</v>
      </c>
      <c r="J17" s="95" t="s">
        <v>433</v>
      </c>
      <c r="K17" s="95" t="s">
        <v>411</v>
      </c>
      <c r="L17" s="95" t="s">
        <v>434</v>
      </c>
    </row>
    <row r="18" spans="1:12" ht="19" customHeight="1" x14ac:dyDescent="0.35">
      <c r="A18" s="125">
        <v>1</v>
      </c>
      <c r="B18" s="128">
        <f>IF(A18&lt;=$B$7,$B$9,"")</f>
        <v>0</v>
      </c>
      <c r="C18" s="128">
        <f>IF(A18&lt;=$B$7,$E$7*(1+$B$11/100)^(A18-1),"")</f>
        <v>17720.678956634547</v>
      </c>
      <c r="D18" s="128">
        <f>IF(A18&lt;=$B$7,C18*12,"")</f>
        <v>212648.14747961456</v>
      </c>
      <c r="E18" s="128">
        <f>IF(A18&lt;=$B$7,F18-B18-D18,"")</f>
        <v>12094.41678379933</v>
      </c>
      <c r="F18" s="128">
        <f>IF(A18&lt;=$B$7,B18*(1+$B$10/1200)^12+C18*(((1+$B$10/1200)^12-1)/($B$10/1200)),"")</f>
        <v>224742.56426341389</v>
      </c>
      <c r="G18" s="128">
        <f>IF(A18&lt;=$B$7,$B$9+SUM($D$18:D18),"")</f>
        <v>212648.14747961456</v>
      </c>
      <c r="H18" s="128">
        <f>IF(A18&lt;=$B$7,MAX(0,(F18-G18-$B$13)*$B$12/100),"")</f>
        <v>0</v>
      </c>
      <c r="I18" s="128">
        <f>IF(A18&lt;=$B$7,F18-H18,"")</f>
        <v>224742.56426341389</v>
      </c>
      <c r="J18" s="131">
        <f>IF(A18&lt;=$B$7,I18/($B$6*(1+$B$8/100)^A18),"")</f>
        <v>2.120212870409565E-2</v>
      </c>
      <c r="K18" s="128">
        <f>IF(A18&lt;=$B$7,$B$6*(1+$B$8/100)^A18,"")</f>
        <v>10600000</v>
      </c>
      <c r="L18" s="128">
        <f>IF(A18&lt;=$B$7,IF(ABS(I18-K18)&lt;1,0,I18-K18),"")</f>
        <v>-10375257.435736585</v>
      </c>
    </row>
    <row r="19" spans="1:12" ht="19" customHeight="1" x14ac:dyDescent="0.35">
      <c r="A19" s="126">
        <f>A18+1</f>
        <v>2</v>
      </c>
      <c r="B19" s="129">
        <f>IF(A19&lt;=$B$7,F18,"")</f>
        <v>224742.56426341389</v>
      </c>
      <c r="C19" s="129">
        <f t="shared" ref="C19:C47" si="0">IF(A19&lt;=$B$7,$E$7*(1+$B$11/100)^(A19-1),"")</f>
        <v>19492.746852298002</v>
      </c>
      <c r="D19" s="129">
        <f t="shared" ref="D19:D47" si="1">IF(A19&lt;=$B$7,C19*12,"")</f>
        <v>233912.962227576</v>
      </c>
      <c r="E19" s="129">
        <f t="shared" ref="E19:E47" si="2">IF(A19&lt;=$B$7,F19-B19-D19,"")</f>
        <v>41806.840946822893</v>
      </c>
      <c r="F19" s="129">
        <f t="shared" ref="F19:F47" si="3">IF(A19&lt;=$B$7,B19*(1+$B$10/1200)^12+C19*(((1+$B$10/1200)^12-1)/($B$10/1200)),"")</f>
        <v>500462.36743781279</v>
      </c>
      <c r="G19" s="129">
        <f>IF(A19&lt;=$B$7,$B$9+SUM($D$18:D19),"")</f>
        <v>446561.10970719054</v>
      </c>
      <c r="H19" s="129">
        <f t="shared" ref="H19:H47" si="4">IF(A19&lt;=$B$7,MAX(0,(F19-G19-$B$13)*$B$12/100),"")</f>
        <v>0</v>
      </c>
      <c r="I19" s="129">
        <f t="shared" ref="I19:I47" si="5">IF(A19&lt;=$B$7,F19-H19,"")</f>
        <v>500462.36743781279</v>
      </c>
      <c r="J19" s="132">
        <f t="shared" ref="J19:J47" si="6">IF(A19&lt;=$B$7,I19/($B$6*(1+$B$8/100)^A19),"")</f>
        <v>4.454097253807518E-2</v>
      </c>
      <c r="K19" s="129">
        <f t="shared" ref="K19:K47" si="7">IF(A19&lt;=$B$7,$B$6*(1+$B$8/100)^A19,"")</f>
        <v>11236000.000000002</v>
      </c>
      <c r="L19" s="129">
        <f t="shared" ref="L19:L47" si="8">IF(A19&lt;=$B$7,IF(ABS(I19-K19)&lt;1,0,I19-K19),"")</f>
        <v>-10735537.632562188</v>
      </c>
    </row>
    <row r="20" spans="1:12" ht="19" customHeight="1" x14ac:dyDescent="0.35">
      <c r="A20" s="126">
        <f t="shared" ref="A20:A47" si="9">A19+1</f>
        <v>3</v>
      </c>
      <c r="B20" s="129">
        <f t="shared" ref="B20:B47" si="10">IF(A20&lt;=$B$7,F19,"")</f>
        <v>500462.36743781279</v>
      </c>
      <c r="C20" s="129">
        <f t="shared" si="0"/>
        <v>21442.021537527806</v>
      </c>
      <c r="D20" s="129">
        <f t="shared" si="1"/>
        <v>257304.25845033367</v>
      </c>
      <c r="E20" s="129">
        <f t="shared" si="2"/>
        <v>78105.399138614768</v>
      </c>
      <c r="F20" s="129">
        <f t="shared" si="3"/>
        <v>835872.02502676123</v>
      </c>
      <c r="G20" s="129">
        <f>IF(A20&lt;=$B$7,$B$9+SUM($D$18:D20),"")</f>
        <v>703865.36815752415</v>
      </c>
      <c r="H20" s="129">
        <f t="shared" si="4"/>
        <v>875.83210865463479</v>
      </c>
      <c r="I20" s="129">
        <f t="shared" si="5"/>
        <v>834996.19291810656</v>
      </c>
      <c r="J20" s="132">
        <f t="shared" si="6"/>
        <v>7.0107890483260202E-2</v>
      </c>
      <c r="K20" s="129">
        <f t="shared" si="7"/>
        <v>11910160.000000004</v>
      </c>
      <c r="L20" s="129">
        <f t="shared" si="8"/>
        <v>-11075163.807081897</v>
      </c>
    </row>
    <row r="21" spans="1:12" ht="19" customHeight="1" x14ac:dyDescent="0.35">
      <c r="A21" s="126">
        <f t="shared" si="9"/>
        <v>4</v>
      </c>
      <c r="B21" s="129">
        <f t="shared" si="10"/>
        <v>835872.02502676123</v>
      </c>
      <c r="C21" s="129">
        <f t="shared" si="0"/>
        <v>23586.223691280589</v>
      </c>
      <c r="D21" s="129">
        <f t="shared" si="1"/>
        <v>283034.6842953671</v>
      </c>
      <c r="E21" s="129">
        <f t="shared" si="2"/>
        <v>122107.16349972656</v>
      </c>
      <c r="F21" s="129">
        <f t="shared" si="3"/>
        <v>1241013.8728218549</v>
      </c>
      <c r="G21" s="129">
        <f>IF(A21&lt;=$B$7,$B$9+SUM($D$18:D21),"")</f>
        <v>986900.05245289125</v>
      </c>
      <c r="H21" s="129">
        <f t="shared" si="4"/>
        <v>16139.227546120455</v>
      </c>
      <c r="I21" s="129">
        <f t="shared" si="5"/>
        <v>1224874.6452757344</v>
      </c>
      <c r="J21" s="132">
        <f t="shared" si="6"/>
        <v>9.7021544478382724E-2</v>
      </c>
      <c r="K21" s="129">
        <f t="shared" si="7"/>
        <v>12624769.600000003</v>
      </c>
      <c r="L21" s="129">
        <f t="shared" si="8"/>
        <v>-11399894.954724269</v>
      </c>
    </row>
    <row r="22" spans="1:12" ht="19" customHeight="1" x14ac:dyDescent="0.35">
      <c r="A22" s="126">
        <f t="shared" si="9"/>
        <v>5</v>
      </c>
      <c r="B22" s="129">
        <f t="shared" si="10"/>
        <v>1241013.8728218549</v>
      </c>
      <c r="C22" s="129">
        <f t="shared" si="0"/>
        <v>25944.846060408647</v>
      </c>
      <c r="D22" s="129">
        <f t="shared" si="1"/>
        <v>311338.15272490378</v>
      </c>
      <c r="E22" s="129">
        <f t="shared" si="2"/>
        <v>175099.0574279849</v>
      </c>
      <c r="F22" s="129">
        <f t="shared" si="3"/>
        <v>1727451.0829747436</v>
      </c>
      <c r="G22" s="129">
        <f>IF(A22&lt;=$B$7,$B$9+SUM($D$18:D22),"")</f>
        <v>1298238.2051777951</v>
      </c>
      <c r="H22" s="129">
        <f t="shared" si="4"/>
        <v>38026.609724618553</v>
      </c>
      <c r="I22" s="129">
        <f t="shared" si="5"/>
        <v>1689424.4732501251</v>
      </c>
      <c r="J22" s="132">
        <f t="shared" si="6"/>
        <v>0.12624362450760893</v>
      </c>
      <c r="K22" s="129">
        <f t="shared" si="7"/>
        <v>13382255.776000004</v>
      </c>
      <c r="L22" s="129">
        <f t="shared" si="8"/>
        <v>-11692831.30274988</v>
      </c>
    </row>
    <row r="23" spans="1:12" ht="19" customHeight="1" x14ac:dyDescent="0.35">
      <c r="A23" s="126">
        <f t="shared" si="9"/>
        <v>6</v>
      </c>
      <c r="B23" s="129">
        <f t="shared" si="10"/>
        <v>1727451.0829747436</v>
      </c>
      <c r="C23" s="129">
        <f t="shared" si="0"/>
        <v>28539.330666449514</v>
      </c>
      <c r="D23" s="129">
        <f t="shared" si="1"/>
        <v>342471.96799739415</v>
      </c>
      <c r="E23" s="129">
        <f t="shared" si="2"/>
        <v>238562.21482425265</v>
      </c>
      <c r="F23" s="129">
        <f t="shared" si="3"/>
        <v>2308485.2657963904</v>
      </c>
      <c r="G23" s="129">
        <f>IF(A23&lt;=$B$7,$B$9+SUM($D$18:D23),"")</f>
        <v>1640710.1731751892</v>
      </c>
      <c r="H23" s="129">
        <f t="shared" si="4"/>
        <v>67846.886577650148</v>
      </c>
      <c r="I23" s="129">
        <f t="shared" si="5"/>
        <v>2240638.3792187404</v>
      </c>
      <c r="J23" s="132">
        <f t="shared" si="6"/>
        <v>0.15795616427439235</v>
      </c>
      <c r="K23" s="129">
        <f t="shared" si="7"/>
        <v>14185191.122560006</v>
      </c>
      <c r="L23" s="129">
        <f t="shared" si="8"/>
        <v>-11944552.743341265</v>
      </c>
    </row>
    <row r="24" spans="1:12" ht="19" customHeight="1" x14ac:dyDescent="0.35">
      <c r="A24" s="126">
        <f t="shared" si="9"/>
        <v>7</v>
      </c>
      <c r="B24" s="129">
        <f t="shared" si="10"/>
        <v>2308485.2657963904</v>
      </c>
      <c r="C24" s="129">
        <f t="shared" si="0"/>
        <v>31393.263733094471</v>
      </c>
      <c r="D24" s="129">
        <f t="shared" si="1"/>
        <v>376719.16479713365</v>
      </c>
      <c r="E24" s="129">
        <f t="shared" si="2"/>
        <v>314199.71048575977</v>
      </c>
      <c r="F24" s="129">
        <f t="shared" si="3"/>
        <v>2999404.1410792838</v>
      </c>
      <c r="G24" s="129">
        <f>IF(A24&lt;=$B$7,$B$9+SUM($D$18:D24),"")</f>
        <v>2017429.3379723229</v>
      </c>
      <c r="H24" s="129">
        <f t="shared" si="4"/>
        <v>107121.85038837011</v>
      </c>
      <c r="I24" s="129">
        <f t="shared" si="5"/>
        <v>2892282.2906909138</v>
      </c>
      <c r="J24" s="132">
        <f t="shared" si="6"/>
        <v>0.19235329120278974</v>
      </c>
      <c r="K24" s="129">
        <f t="shared" si="7"/>
        <v>15036302.589913609</v>
      </c>
      <c r="L24" s="129">
        <f t="shared" si="8"/>
        <v>-12144020.299222695</v>
      </c>
    </row>
    <row r="25" spans="1:12" ht="19" customHeight="1" x14ac:dyDescent="0.35">
      <c r="A25" s="126">
        <f t="shared" si="9"/>
        <v>8</v>
      </c>
      <c r="B25" s="129">
        <f t="shared" si="10"/>
        <v>2999404.1410792838</v>
      </c>
      <c r="C25" s="129">
        <f t="shared" si="0"/>
        <v>34532.590106403921</v>
      </c>
      <c r="D25" s="129">
        <f t="shared" si="1"/>
        <v>414391.08127684705</v>
      </c>
      <c r="E25" s="129">
        <f t="shared" si="2"/>
        <v>403968.11737145158</v>
      </c>
      <c r="F25" s="129">
        <f t="shared" si="3"/>
        <v>3817763.3397275824</v>
      </c>
      <c r="G25" s="129">
        <f>IF(A25&lt;=$B$7,$B$9+SUM($D$18:D25),"")</f>
        <v>2431820.41924917</v>
      </c>
      <c r="H25" s="129">
        <f t="shared" si="4"/>
        <v>157617.86505980155</v>
      </c>
      <c r="I25" s="129">
        <f t="shared" si="5"/>
        <v>3660145.474667781</v>
      </c>
      <c r="J25" s="132">
        <f t="shared" si="6"/>
        <v>0.22964205517173678</v>
      </c>
      <c r="K25" s="129">
        <f t="shared" si="7"/>
        <v>15938480.745308423</v>
      </c>
      <c r="L25" s="129">
        <f t="shared" si="8"/>
        <v>-12278335.270640641</v>
      </c>
    </row>
    <row r="26" spans="1:12" ht="19" customHeight="1" x14ac:dyDescent="0.35">
      <c r="A26" s="126">
        <f t="shared" si="9"/>
        <v>9</v>
      </c>
      <c r="B26" s="129">
        <f t="shared" si="10"/>
        <v>3817763.3397275824</v>
      </c>
      <c r="C26" s="129">
        <f t="shared" si="0"/>
        <v>37985.849117044309</v>
      </c>
      <c r="D26" s="129">
        <f t="shared" si="1"/>
        <v>455830.18940453173</v>
      </c>
      <c r="E26" s="129">
        <f t="shared" si="2"/>
        <v>510113.40707890841</v>
      </c>
      <c r="F26" s="129">
        <f t="shared" si="3"/>
        <v>4783706.9362110225</v>
      </c>
      <c r="G26" s="129">
        <f>IF(A26&lt;=$B$7,$B$9+SUM($D$18:D26),"")</f>
        <v>2887650.6086537018</v>
      </c>
      <c r="H26" s="129">
        <f t="shared" si="4"/>
        <v>221382.04094466509</v>
      </c>
      <c r="I26" s="129">
        <f t="shared" si="5"/>
        <v>4562324.8952663578</v>
      </c>
      <c r="J26" s="132">
        <f t="shared" si="6"/>
        <v>0.27004330956329392</v>
      </c>
      <c r="K26" s="129">
        <f t="shared" si="7"/>
        <v>16894789.59002693</v>
      </c>
      <c r="L26" s="129">
        <f t="shared" si="8"/>
        <v>-12332464.694760572</v>
      </c>
    </row>
    <row r="27" spans="1:12" ht="19" customHeight="1" x14ac:dyDescent="0.35">
      <c r="A27" s="126">
        <f t="shared" si="9"/>
        <v>10</v>
      </c>
      <c r="B27" s="129">
        <f t="shared" si="10"/>
        <v>4783706.9362110225</v>
      </c>
      <c r="C27" s="129">
        <f t="shared" si="0"/>
        <v>41784.434028748743</v>
      </c>
      <c r="D27" s="129">
        <f t="shared" si="1"/>
        <v>501413.20834498492</v>
      </c>
      <c r="E27" s="129">
        <f t="shared" si="2"/>
        <v>635211.77845682751</v>
      </c>
      <c r="F27" s="129">
        <f t="shared" si="3"/>
        <v>5920331.923012835</v>
      </c>
      <c r="G27" s="129">
        <f>IF(A27&lt;=$B$7,$B$9+SUM($D$18:D27),"")</f>
        <v>3389063.8169986866</v>
      </c>
      <c r="H27" s="129">
        <f t="shared" si="4"/>
        <v>300783.51325176854</v>
      </c>
      <c r="I27" s="129">
        <f t="shared" si="5"/>
        <v>5619548.4097610665</v>
      </c>
      <c r="J27" s="132">
        <f t="shared" si="6"/>
        <v>0.3137926480632236</v>
      </c>
      <c r="K27" s="129">
        <f t="shared" si="7"/>
        <v>17908476.965428546</v>
      </c>
      <c r="L27" s="129">
        <f t="shared" si="8"/>
        <v>-12288928.555667479</v>
      </c>
    </row>
    <row r="28" spans="1:12" ht="19" customHeight="1" x14ac:dyDescent="0.35">
      <c r="A28" s="126">
        <f t="shared" si="9"/>
        <v>11</v>
      </c>
      <c r="B28" s="129">
        <f t="shared" si="10"/>
        <v>5920331.923012835</v>
      </c>
      <c r="C28" s="129">
        <f t="shared" si="0"/>
        <v>45962.877431623623</v>
      </c>
      <c r="D28" s="129">
        <f t="shared" si="1"/>
        <v>551554.52917948342</v>
      </c>
      <c r="E28" s="129">
        <f t="shared" si="2"/>
        <v>782216.07686965191</v>
      </c>
      <c r="F28" s="129">
        <f t="shared" si="3"/>
        <v>7254102.5290619703</v>
      </c>
      <c r="G28" s="129">
        <f>IF(A28&lt;=$B$7,$B$9+SUM($D$18:D28),"")</f>
        <v>3940618.3461781703</v>
      </c>
      <c r="H28" s="129">
        <f t="shared" si="4"/>
        <v>398560.52286047506</v>
      </c>
      <c r="I28" s="129">
        <f t="shared" si="5"/>
        <v>6855542.0062014954</v>
      </c>
      <c r="J28" s="132">
        <f t="shared" si="6"/>
        <v>0.36114140086651919</v>
      </c>
      <c r="K28" s="129">
        <f t="shared" si="7"/>
        <v>18982985.583354261</v>
      </c>
      <c r="L28" s="129">
        <f t="shared" si="8"/>
        <v>-12127443.577152766</v>
      </c>
    </row>
    <row r="29" spans="1:12" ht="19" customHeight="1" x14ac:dyDescent="0.35">
      <c r="A29" s="126">
        <f t="shared" si="9"/>
        <v>12</v>
      </c>
      <c r="B29" s="129">
        <f t="shared" si="10"/>
        <v>7254102.5290619703</v>
      </c>
      <c r="C29" s="129">
        <f t="shared" si="0"/>
        <v>50559.165174785994</v>
      </c>
      <c r="D29" s="129">
        <f t="shared" si="1"/>
        <v>606709.9820974319</v>
      </c>
      <c r="E29" s="129">
        <f t="shared" si="2"/>
        <v>954508.55440519669</v>
      </c>
      <c r="F29" s="129">
        <f t="shared" si="3"/>
        <v>8815321.0655645989</v>
      </c>
      <c r="G29" s="129">
        <f>IF(A29&lt;=$B$7,$B$9+SUM($D$18:D29),"")</f>
        <v>4547328.3282756023</v>
      </c>
      <c r="H29" s="129">
        <f t="shared" si="4"/>
        <v>517874.09216112457</v>
      </c>
      <c r="I29" s="129">
        <f t="shared" si="5"/>
        <v>8297446.9734034743</v>
      </c>
      <c r="J29" s="132">
        <f t="shared" si="6"/>
        <v>0.41235769416862339</v>
      </c>
      <c r="K29" s="129">
        <f t="shared" si="7"/>
        <v>20121964.718355518</v>
      </c>
      <c r="L29" s="129">
        <f t="shared" si="8"/>
        <v>-11824517.744952044</v>
      </c>
    </row>
    <row r="30" spans="1:12" ht="19" customHeight="1" x14ac:dyDescent="0.35">
      <c r="A30" s="126">
        <f t="shared" si="9"/>
        <v>13</v>
      </c>
      <c r="B30" s="129">
        <f t="shared" si="10"/>
        <v>8815321.0655645989</v>
      </c>
      <c r="C30" s="129">
        <f t="shared" si="0"/>
        <v>55615.08169226459</v>
      </c>
      <c r="D30" s="129">
        <f t="shared" si="1"/>
        <v>667380.98030717508</v>
      </c>
      <c r="E30" s="129">
        <f t="shared" si="2"/>
        <v>1155960.8205973839</v>
      </c>
      <c r="F30" s="129">
        <f t="shared" si="3"/>
        <v>10638662.866469158</v>
      </c>
      <c r="G30" s="129">
        <f>IF(A30&lt;=$B$7,$B$9+SUM($D$18:D30),"")</f>
        <v>5214709.3085827772</v>
      </c>
      <c r="H30" s="129">
        <f t="shared" si="4"/>
        <v>662369.19473579759</v>
      </c>
      <c r="I30" s="129">
        <f t="shared" si="5"/>
        <v>9976293.6717333607</v>
      </c>
      <c r="J30" s="132">
        <f t="shared" si="6"/>
        <v>0.46772757706590429</v>
      </c>
      <c r="K30" s="129">
        <f t="shared" si="7"/>
        <v>21329282.601456851</v>
      </c>
      <c r="L30" s="129">
        <f t="shared" si="8"/>
        <v>-11352988.92972349</v>
      </c>
    </row>
    <row r="31" spans="1:12" ht="19" customHeight="1" x14ac:dyDescent="0.35">
      <c r="A31" s="126">
        <f t="shared" si="9"/>
        <v>14</v>
      </c>
      <c r="B31" s="129">
        <f t="shared" si="10"/>
        <v>10638662.866469158</v>
      </c>
      <c r="C31" s="129">
        <f t="shared" si="0"/>
        <v>61176.589861491055</v>
      </c>
      <c r="D31" s="129">
        <f t="shared" si="1"/>
        <v>734119.07833789266</v>
      </c>
      <c r="E31" s="129">
        <f t="shared" si="2"/>
        <v>1391001.9455214015</v>
      </c>
      <c r="F31" s="129">
        <f t="shared" si="3"/>
        <v>12763783.890328452</v>
      </c>
      <c r="G31" s="129">
        <f>IF(A31&lt;=$B$7,$B$9+SUM($D$18:D31),"")</f>
        <v>5948828.38692067</v>
      </c>
      <c r="H31" s="129">
        <f t="shared" si="4"/>
        <v>836244.43792597274</v>
      </c>
      <c r="I31" s="129">
        <f t="shared" si="5"/>
        <v>11927539.45240248</v>
      </c>
      <c r="J31" s="132">
        <f t="shared" si="6"/>
        <v>0.52755622024742121</v>
      </c>
      <c r="K31" s="129">
        <f t="shared" si="7"/>
        <v>22609039.557544261</v>
      </c>
      <c r="L31" s="129">
        <f t="shared" si="8"/>
        <v>-10681500.105141781</v>
      </c>
    </row>
    <row r="32" spans="1:12" ht="19" customHeight="1" x14ac:dyDescent="0.35">
      <c r="A32" s="126">
        <f t="shared" si="9"/>
        <v>15</v>
      </c>
      <c r="B32" s="129">
        <f t="shared" si="10"/>
        <v>12763783.890328452</v>
      </c>
      <c r="C32" s="129">
        <f t="shared" si="0"/>
        <v>67294.248847640163</v>
      </c>
      <c r="D32" s="129">
        <f t="shared" si="1"/>
        <v>807530.9861716819</v>
      </c>
      <c r="E32" s="129">
        <f t="shared" si="2"/>
        <v>1664695.8040981977</v>
      </c>
      <c r="F32" s="129">
        <f t="shared" si="3"/>
        <v>15236010.680598332</v>
      </c>
      <c r="G32" s="129">
        <f>IF(A32&lt;=$B$7,$B$9+SUM($D$18:D32),"")</f>
        <v>6756359.3730923515</v>
      </c>
      <c r="H32" s="129">
        <f t="shared" si="4"/>
        <v>1044331.4134382474</v>
      </c>
      <c r="I32" s="129">
        <f t="shared" si="5"/>
        <v>14191679.267160084</v>
      </c>
      <c r="J32" s="132">
        <f t="shared" si="6"/>
        <v>0.59216919113508615</v>
      </c>
      <c r="K32" s="129">
        <f t="shared" si="7"/>
        <v>23965581.930996925</v>
      </c>
      <c r="L32" s="129">
        <f t="shared" si="8"/>
        <v>-9773902.6638368405</v>
      </c>
    </row>
    <row r="33" spans="1:12" ht="19" customHeight="1" x14ac:dyDescent="0.35">
      <c r="A33" s="126">
        <f t="shared" si="9"/>
        <v>16</v>
      </c>
      <c r="B33" s="129">
        <f t="shared" si="10"/>
        <v>15236010.680598332</v>
      </c>
      <c r="C33" s="129">
        <f t="shared" si="0"/>
        <v>74023.67373240419</v>
      </c>
      <c r="D33" s="129">
        <f t="shared" si="1"/>
        <v>888284.08478885028</v>
      </c>
      <c r="E33" s="129">
        <f t="shared" si="2"/>
        <v>1982828.8940281712</v>
      </c>
      <c r="F33" s="129">
        <f t="shared" si="3"/>
        <v>18107123.659415353</v>
      </c>
      <c r="G33" s="129">
        <f>IF(A33&lt;=$B$7,$B$9+SUM($D$18:D33),"")</f>
        <v>7644643.457881202</v>
      </c>
      <c r="H33" s="129">
        <f t="shared" si="4"/>
        <v>1292185.025191769</v>
      </c>
      <c r="I33" s="129">
        <f t="shared" si="5"/>
        <v>16814938.634223584</v>
      </c>
      <c r="J33" s="132">
        <f t="shared" si="6"/>
        <v>0.66191381042204622</v>
      </c>
      <c r="K33" s="129">
        <f t="shared" si="7"/>
        <v>25403516.846856732</v>
      </c>
      <c r="L33" s="129">
        <f t="shared" si="8"/>
        <v>-8588578.2126331478</v>
      </c>
    </row>
    <row r="34" spans="1:12" ht="19" customHeight="1" x14ac:dyDescent="0.35">
      <c r="A34" s="126">
        <f t="shared" si="9"/>
        <v>17</v>
      </c>
      <c r="B34" s="129">
        <f t="shared" si="10"/>
        <v>18107123.659415353</v>
      </c>
      <c r="C34" s="129">
        <f t="shared" si="0"/>
        <v>81426.041105644603</v>
      </c>
      <c r="D34" s="129">
        <f t="shared" si="1"/>
        <v>977112.49326773523</v>
      </c>
      <c r="E34" s="129">
        <f t="shared" si="2"/>
        <v>2352010.0221159551</v>
      </c>
      <c r="F34" s="129">
        <f t="shared" si="3"/>
        <v>21436246.174799044</v>
      </c>
      <c r="G34" s="129">
        <f>IF(A34&lt;=$B$7,$B$9+SUM($D$18:D34),"")</f>
        <v>8621755.9511489365</v>
      </c>
      <c r="H34" s="129">
        <f t="shared" si="4"/>
        <v>1586186.2779562634</v>
      </c>
      <c r="I34" s="129">
        <f t="shared" si="5"/>
        <v>19850059.896842781</v>
      </c>
      <c r="J34" s="132">
        <f t="shared" si="6"/>
        <v>0.73716059527057842</v>
      </c>
      <c r="K34" s="129">
        <f t="shared" si="7"/>
        <v>26927727.857668139</v>
      </c>
      <c r="L34" s="129">
        <f t="shared" si="8"/>
        <v>-7077667.9608253576</v>
      </c>
    </row>
    <row r="35" spans="1:12" ht="19" customHeight="1" x14ac:dyDescent="0.35">
      <c r="A35" s="126">
        <f t="shared" si="9"/>
        <v>18</v>
      </c>
      <c r="B35" s="129">
        <f t="shared" si="10"/>
        <v>21436246.174799044</v>
      </c>
      <c r="C35" s="129">
        <f t="shared" si="0"/>
        <v>89568.645216209072</v>
      </c>
      <c r="D35" s="129">
        <f t="shared" si="1"/>
        <v>1074823.7425945089</v>
      </c>
      <c r="E35" s="129">
        <f t="shared" si="2"/>
        <v>2779783.4372832417</v>
      </c>
      <c r="F35" s="129">
        <f t="shared" si="3"/>
        <v>25290853.354676794</v>
      </c>
      <c r="G35" s="129">
        <f>IF(A35&lt;=$B$7,$B$9+SUM($D$18:D35),"")</f>
        <v>9696579.693743445</v>
      </c>
      <c r="H35" s="129">
        <f t="shared" si="4"/>
        <v>1933659.2076166687</v>
      </c>
      <c r="I35" s="129">
        <f t="shared" si="5"/>
        <v>23357194.147060126</v>
      </c>
      <c r="J35" s="132">
        <f t="shared" si="6"/>
        <v>0.81830479476219065</v>
      </c>
      <c r="K35" s="129">
        <f t="shared" si="7"/>
        <v>28543391.529128227</v>
      </c>
      <c r="L35" s="129">
        <f t="shared" si="8"/>
        <v>-5186197.3820681013</v>
      </c>
    </row>
    <row r="36" spans="1:12" ht="19" customHeight="1" x14ac:dyDescent="0.35">
      <c r="A36" s="126">
        <f t="shared" si="9"/>
        <v>19</v>
      </c>
      <c r="B36" s="129">
        <f t="shared" si="10"/>
        <v>25290853.354676794</v>
      </c>
      <c r="C36" s="129">
        <f t="shared" si="0"/>
        <v>98525.509737829983</v>
      </c>
      <c r="D36" s="129">
        <f t="shared" si="1"/>
        <v>1182306.1168539599</v>
      </c>
      <c r="E36" s="129">
        <f t="shared" si="2"/>
        <v>3274757.1960429512</v>
      </c>
      <c r="F36" s="129">
        <f t="shared" si="3"/>
        <v>29747916.667573705</v>
      </c>
      <c r="G36" s="129">
        <f>IF(A36&lt;=$B$7,$B$9+SUM($D$18:D36),"")</f>
        <v>10878885.810597405</v>
      </c>
      <c r="H36" s="129">
        <f t="shared" si="4"/>
        <v>2343003.8571220376</v>
      </c>
      <c r="I36" s="129">
        <f t="shared" si="5"/>
        <v>27404912.810451668</v>
      </c>
      <c r="J36" s="132">
        <f t="shared" si="6"/>
        <v>0.90576802354518238</v>
      </c>
      <c r="K36" s="129">
        <f t="shared" si="7"/>
        <v>30255995.020875927</v>
      </c>
      <c r="L36" s="129">
        <f t="shared" si="8"/>
        <v>-2851082.2104242593</v>
      </c>
    </row>
    <row r="37" spans="1:12" ht="19" customHeight="1" x14ac:dyDescent="0.35">
      <c r="A37" s="126">
        <f t="shared" si="9"/>
        <v>20</v>
      </c>
      <c r="B37" s="129">
        <f t="shared" si="10"/>
        <v>29747916.667573705</v>
      </c>
      <c r="C37" s="129">
        <f t="shared" si="0"/>
        <v>108378.06071161301</v>
      </c>
      <c r="D37" s="129">
        <f t="shared" si="1"/>
        <v>1300536.728539356</v>
      </c>
      <c r="E37" s="129">
        <f t="shared" si="2"/>
        <v>3846748.7807284808</v>
      </c>
      <c r="F37" s="129">
        <f t="shared" si="3"/>
        <v>34895202.176841542</v>
      </c>
      <c r="G37" s="129">
        <f>IF(A37&lt;=$B$7,$B$9+SUM($D$18:D37),"")</f>
        <v>12179422.53913676</v>
      </c>
      <c r="H37" s="129">
        <f t="shared" si="4"/>
        <v>2823847.4547130978</v>
      </c>
      <c r="I37" s="129">
        <f t="shared" si="5"/>
        <v>32071354.722128443</v>
      </c>
      <c r="J37" s="132">
        <f t="shared" si="6"/>
        <v>0.99999999999999889</v>
      </c>
      <c r="K37" s="129">
        <f t="shared" si="7"/>
        <v>32071354.722128481</v>
      </c>
      <c r="L37" s="129">
        <f t="shared" si="8"/>
        <v>0</v>
      </c>
    </row>
    <row r="38" spans="1:12" ht="19" customHeight="1" x14ac:dyDescent="0.35">
      <c r="A38" s="126">
        <f t="shared" si="9"/>
        <v>21</v>
      </c>
      <c r="B38" s="129" t="str">
        <f t="shared" si="10"/>
        <v/>
      </c>
      <c r="C38" s="129" t="str">
        <f t="shared" si="0"/>
        <v/>
      </c>
      <c r="D38" s="129" t="str">
        <f t="shared" si="1"/>
        <v/>
      </c>
      <c r="E38" s="129" t="str">
        <f t="shared" si="2"/>
        <v/>
      </c>
      <c r="F38" s="129" t="str">
        <f t="shared" si="3"/>
        <v/>
      </c>
      <c r="G38" s="129" t="str">
        <f>IF(A38&lt;=$B$7,$B$9+SUM($D$18:D38),"")</f>
        <v/>
      </c>
      <c r="H38" s="129" t="str">
        <f t="shared" si="4"/>
        <v/>
      </c>
      <c r="I38" s="129" t="str">
        <f t="shared" si="5"/>
        <v/>
      </c>
      <c r="J38" s="132" t="str">
        <f t="shared" si="6"/>
        <v/>
      </c>
      <c r="K38" s="129" t="str">
        <f t="shared" si="7"/>
        <v/>
      </c>
      <c r="L38" s="129" t="str">
        <f t="shared" si="8"/>
        <v/>
      </c>
    </row>
    <row r="39" spans="1:12" ht="19" customHeight="1" x14ac:dyDescent="0.35">
      <c r="A39" s="126">
        <f t="shared" si="9"/>
        <v>22</v>
      </c>
      <c r="B39" s="129" t="str">
        <f t="shared" si="10"/>
        <v/>
      </c>
      <c r="C39" s="129" t="str">
        <f t="shared" si="0"/>
        <v/>
      </c>
      <c r="D39" s="129" t="str">
        <f t="shared" si="1"/>
        <v/>
      </c>
      <c r="E39" s="129" t="str">
        <f t="shared" si="2"/>
        <v/>
      </c>
      <c r="F39" s="129" t="str">
        <f t="shared" si="3"/>
        <v/>
      </c>
      <c r="G39" s="129" t="str">
        <f>IF(A39&lt;=$B$7,$B$9+SUM($D$18:D39),"")</f>
        <v/>
      </c>
      <c r="H39" s="129" t="str">
        <f t="shared" si="4"/>
        <v/>
      </c>
      <c r="I39" s="129" t="str">
        <f t="shared" si="5"/>
        <v/>
      </c>
      <c r="J39" s="132" t="str">
        <f t="shared" si="6"/>
        <v/>
      </c>
      <c r="K39" s="129" t="str">
        <f t="shared" si="7"/>
        <v/>
      </c>
      <c r="L39" s="129" t="str">
        <f t="shared" si="8"/>
        <v/>
      </c>
    </row>
    <row r="40" spans="1:12" ht="19" customHeight="1" x14ac:dyDescent="0.35">
      <c r="A40" s="126">
        <f t="shared" si="9"/>
        <v>23</v>
      </c>
      <c r="B40" s="129" t="str">
        <f t="shared" si="10"/>
        <v/>
      </c>
      <c r="C40" s="129" t="str">
        <f t="shared" si="0"/>
        <v/>
      </c>
      <c r="D40" s="129" t="str">
        <f t="shared" si="1"/>
        <v/>
      </c>
      <c r="E40" s="129" t="str">
        <f t="shared" si="2"/>
        <v/>
      </c>
      <c r="F40" s="129" t="str">
        <f t="shared" si="3"/>
        <v/>
      </c>
      <c r="G40" s="129" t="str">
        <f>IF(A40&lt;=$B$7,$B$9+SUM($D$18:D40),"")</f>
        <v/>
      </c>
      <c r="H40" s="129" t="str">
        <f t="shared" si="4"/>
        <v/>
      </c>
      <c r="I40" s="129" t="str">
        <f t="shared" si="5"/>
        <v/>
      </c>
      <c r="J40" s="132" t="str">
        <f t="shared" si="6"/>
        <v/>
      </c>
      <c r="K40" s="129" t="str">
        <f t="shared" si="7"/>
        <v/>
      </c>
      <c r="L40" s="129" t="str">
        <f t="shared" si="8"/>
        <v/>
      </c>
    </row>
    <row r="41" spans="1:12" ht="19" customHeight="1" x14ac:dyDescent="0.35">
      <c r="A41" s="126">
        <f t="shared" si="9"/>
        <v>24</v>
      </c>
      <c r="B41" s="129" t="str">
        <f t="shared" si="10"/>
        <v/>
      </c>
      <c r="C41" s="129" t="str">
        <f t="shared" si="0"/>
        <v/>
      </c>
      <c r="D41" s="129" t="str">
        <f t="shared" si="1"/>
        <v/>
      </c>
      <c r="E41" s="129" t="str">
        <f t="shared" si="2"/>
        <v/>
      </c>
      <c r="F41" s="129" t="str">
        <f t="shared" si="3"/>
        <v/>
      </c>
      <c r="G41" s="129" t="str">
        <f>IF(A41&lt;=$B$7,$B$9+SUM($D$18:D41),"")</f>
        <v/>
      </c>
      <c r="H41" s="129" t="str">
        <f t="shared" si="4"/>
        <v/>
      </c>
      <c r="I41" s="129" t="str">
        <f t="shared" si="5"/>
        <v/>
      </c>
      <c r="J41" s="132" t="str">
        <f t="shared" si="6"/>
        <v/>
      </c>
      <c r="K41" s="129" t="str">
        <f t="shared" si="7"/>
        <v/>
      </c>
      <c r="L41" s="129" t="str">
        <f t="shared" si="8"/>
        <v/>
      </c>
    </row>
    <row r="42" spans="1:12" ht="19" customHeight="1" x14ac:dyDescent="0.35">
      <c r="A42" s="126">
        <f t="shared" si="9"/>
        <v>25</v>
      </c>
      <c r="B42" s="129" t="str">
        <f t="shared" si="10"/>
        <v/>
      </c>
      <c r="C42" s="129" t="str">
        <f t="shared" si="0"/>
        <v/>
      </c>
      <c r="D42" s="129" t="str">
        <f t="shared" si="1"/>
        <v/>
      </c>
      <c r="E42" s="129" t="str">
        <f t="shared" si="2"/>
        <v/>
      </c>
      <c r="F42" s="129" t="str">
        <f t="shared" si="3"/>
        <v/>
      </c>
      <c r="G42" s="129" t="str">
        <f>IF(A42&lt;=$B$7,$B$9+SUM($D$18:D42),"")</f>
        <v/>
      </c>
      <c r="H42" s="129" t="str">
        <f t="shared" si="4"/>
        <v/>
      </c>
      <c r="I42" s="129" t="str">
        <f t="shared" si="5"/>
        <v/>
      </c>
      <c r="J42" s="132" t="str">
        <f t="shared" si="6"/>
        <v/>
      </c>
      <c r="K42" s="129" t="str">
        <f t="shared" si="7"/>
        <v/>
      </c>
      <c r="L42" s="129" t="str">
        <f t="shared" si="8"/>
        <v/>
      </c>
    </row>
    <row r="43" spans="1:12" ht="19" customHeight="1" x14ac:dyDescent="0.35">
      <c r="A43" s="126">
        <f t="shared" si="9"/>
        <v>26</v>
      </c>
      <c r="B43" s="129" t="str">
        <f t="shared" si="10"/>
        <v/>
      </c>
      <c r="C43" s="129" t="str">
        <f t="shared" si="0"/>
        <v/>
      </c>
      <c r="D43" s="129" t="str">
        <f t="shared" si="1"/>
        <v/>
      </c>
      <c r="E43" s="129" t="str">
        <f t="shared" si="2"/>
        <v/>
      </c>
      <c r="F43" s="129" t="str">
        <f t="shared" si="3"/>
        <v/>
      </c>
      <c r="G43" s="129" t="str">
        <f>IF(A43&lt;=$B$7,$B$9+SUM($D$18:D43),"")</f>
        <v/>
      </c>
      <c r="H43" s="129" t="str">
        <f t="shared" si="4"/>
        <v/>
      </c>
      <c r="I43" s="129" t="str">
        <f t="shared" si="5"/>
        <v/>
      </c>
      <c r="J43" s="132" t="str">
        <f t="shared" si="6"/>
        <v/>
      </c>
      <c r="K43" s="129" t="str">
        <f t="shared" si="7"/>
        <v/>
      </c>
      <c r="L43" s="129" t="str">
        <f t="shared" si="8"/>
        <v/>
      </c>
    </row>
    <row r="44" spans="1:12" ht="19" customHeight="1" x14ac:dyDescent="0.35">
      <c r="A44" s="126">
        <f t="shared" si="9"/>
        <v>27</v>
      </c>
      <c r="B44" s="129" t="str">
        <f t="shared" si="10"/>
        <v/>
      </c>
      <c r="C44" s="129" t="str">
        <f t="shared" si="0"/>
        <v/>
      </c>
      <c r="D44" s="129" t="str">
        <f t="shared" si="1"/>
        <v/>
      </c>
      <c r="E44" s="129" t="str">
        <f t="shared" si="2"/>
        <v/>
      </c>
      <c r="F44" s="129" t="str">
        <f t="shared" si="3"/>
        <v/>
      </c>
      <c r="G44" s="129" t="str">
        <f>IF(A44&lt;=$B$7,$B$9+SUM($D$18:D44),"")</f>
        <v/>
      </c>
      <c r="H44" s="129" t="str">
        <f t="shared" si="4"/>
        <v/>
      </c>
      <c r="I44" s="129" t="str">
        <f t="shared" si="5"/>
        <v/>
      </c>
      <c r="J44" s="132" t="str">
        <f t="shared" si="6"/>
        <v/>
      </c>
      <c r="K44" s="129" t="str">
        <f t="shared" si="7"/>
        <v/>
      </c>
      <c r="L44" s="129" t="str">
        <f t="shared" si="8"/>
        <v/>
      </c>
    </row>
    <row r="45" spans="1:12" ht="19" customHeight="1" x14ac:dyDescent="0.35">
      <c r="A45" s="126">
        <f t="shared" si="9"/>
        <v>28</v>
      </c>
      <c r="B45" s="129" t="str">
        <f t="shared" si="10"/>
        <v/>
      </c>
      <c r="C45" s="129" t="str">
        <f t="shared" si="0"/>
        <v/>
      </c>
      <c r="D45" s="129" t="str">
        <f t="shared" si="1"/>
        <v/>
      </c>
      <c r="E45" s="129" t="str">
        <f t="shared" si="2"/>
        <v/>
      </c>
      <c r="F45" s="129" t="str">
        <f t="shared" si="3"/>
        <v/>
      </c>
      <c r="G45" s="129" t="str">
        <f>IF(A45&lt;=$B$7,$B$9+SUM($D$18:D45),"")</f>
        <v/>
      </c>
      <c r="H45" s="129" t="str">
        <f t="shared" si="4"/>
        <v/>
      </c>
      <c r="I45" s="129" t="str">
        <f t="shared" si="5"/>
        <v/>
      </c>
      <c r="J45" s="132" t="str">
        <f t="shared" si="6"/>
        <v/>
      </c>
      <c r="K45" s="129" t="str">
        <f t="shared" si="7"/>
        <v/>
      </c>
      <c r="L45" s="129" t="str">
        <f t="shared" si="8"/>
        <v/>
      </c>
    </row>
    <row r="46" spans="1:12" ht="19" customHeight="1" x14ac:dyDescent="0.35">
      <c r="A46" s="126">
        <f t="shared" si="9"/>
        <v>29</v>
      </c>
      <c r="B46" s="129" t="str">
        <f t="shared" si="10"/>
        <v/>
      </c>
      <c r="C46" s="129" t="str">
        <f t="shared" si="0"/>
        <v/>
      </c>
      <c r="D46" s="129" t="str">
        <f t="shared" si="1"/>
        <v/>
      </c>
      <c r="E46" s="129" t="str">
        <f t="shared" si="2"/>
        <v/>
      </c>
      <c r="F46" s="129" t="str">
        <f t="shared" si="3"/>
        <v/>
      </c>
      <c r="G46" s="129" t="str">
        <f>IF(A46&lt;=$B$7,$B$9+SUM($D$18:D46),"")</f>
        <v/>
      </c>
      <c r="H46" s="129" t="str">
        <f t="shared" si="4"/>
        <v/>
      </c>
      <c r="I46" s="129" t="str">
        <f t="shared" si="5"/>
        <v/>
      </c>
      <c r="J46" s="132" t="str">
        <f t="shared" si="6"/>
        <v/>
      </c>
      <c r="K46" s="129" t="str">
        <f t="shared" si="7"/>
        <v/>
      </c>
      <c r="L46" s="129" t="str">
        <f t="shared" si="8"/>
        <v/>
      </c>
    </row>
    <row r="47" spans="1:12" ht="19" customHeight="1" x14ac:dyDescent="0.35">
      <c r="A47" s="127">
        <f t="shared" si="9"/>
        <v>30</v>
      </c>
      <c r="B47" s="130" t="str">
        <f t="shared" si="10"/>
        <v/>
      </c>
      <c r="C47" s="130" t="str">
        <f t="shared" si="0"/>
        <v/>
      </c>
      <c r="D47" s="130" t="str">
        <f t="shared" si="1"/>
        <v/>
      </c>
      <c r="E47" s="130" t="str">
        <f t="shared" si="2"/>
        <v/>
      </c>
      <c r="F47" s="130" t="str">
        <f t="shared" si="3"/>
        <v/>
      </c>
      <c r="G47" s="130" t="str">
        <f>IF(A47&lt;=$B$7,$B$9+SUM($D$18:D47),"")</f>
        <v/>
      </c>
      <c r="H47" s="130" t="str">
        <f t="shared" si="4"/>
        <v/>
      </c>
      <c r="I47" s="130" t="str">
        <f t="shared" si="5"/>
        <v/>
      </c>
      <c r="J47" s="133" t="str">
        <f t="shared" si="6"/>
        <v/>
      </c>
      <c r="K47" s="130" t="str">
        <f t="shared" si="7"/>
        <v/>
      </c>
      <c r="L47" s="130" t="str">
        <f t="shared" si="8"/>
        <v/>
      </c>
    </row>
  </sheetData>
  <mergeCells count="12">
    <mergeCell ref="A16:J16"/>
    <mergeCell ref="A1:L1"/>
    <mergeCell ref="A2:L2"/>
    <mergeCell ref="A4:B4"/>
    <mergeCell ref="D4:F4"/>
    <mergeCell ref="H4:L4"/>
    <mergeCell ref="H5:L5"/>
    <mergeCell ref="H6:L6"/>
    <mergeCell ref="H7:L7"/>
    <mergeCell ref="H8:L8"/>
    <mergeCell ref="H9:L9"/>
    <mergeCell ref="H10:L10"/>
  </mergeCells>
  <conditionalFormatting sqref="J18:J47">
    <cfRule type="dataBar" priority="1">
      <dataBar>
        <cfvo type="min"/>
        <cfvo type="max"/>
        <color rgb="FF638EC6"/>
      </dataBar>
      <extLst>
        <ext xmlns:x14="http://schemas.microsoft.com/office/spreadsheetml/2009/9/main" uri="{B025F937-C7B1-47D3-B67F-A62EFF666E3E}">
          <x14:id>{EBC7FA93-FB93-401C-9F55-FEC5AEC66898}</x14:id>
        </ext>
      </extLst>
    </cfRule>
  </conditionalFormatting>
  <conditionalFormatting sqref="L18:L47">
    <cfRule type="expression" dxfId="1" priority="2">
      <formula>L18&gt;=0</formula>
    </cfRule>
    <cfRule type="expression" dxfId="0" priority="3">
      <formula>L18&lt;0</formula>
    </cfRule>
  </conditionalFormatting>
  <dataValidations count="5">
    <dataValidation type="list" allowBlank="1" showInputMessage="1" showErrorMessage="1" sqref="B5" xr:uid="{23A3C0DB-4877-4CE1-93AF-008D72E33A7B}">
      <formula1>"Retirement,Child Education,Home Purchase,Wedding,Other"</formula1>
    </dataValidation>
    <dataValidation type="list" allowBlank="1" showInputMessage="1" showErrorMessage="1" sqref="B14" xr:uid="{9307C893-FC6F-493B-84F4-562FB11B2EB6}">
      <formula1>"Month-end"</formula1>
    </dataValidation>
    <dataValidation type="decimal" operator="greaterThanOrEqual" allowBlank="1" showInputMessage="1" showErrorMessage="1" sqref="B6 B9 B13" xr:uid="{3A836692-07F2-4836-9FEC-8987145C8F15}">
      <formula1>0</formula1>
    </dataValidation>
    <dataValidation type="whole" allowBlank="1" showInputMessage="1" showErrorMessage="1" sqref="B7" xr:uid="{00619EC8-F55B-45C2-96E6-149834BE4495}">
      <formula1>1</formula1>
      <formula2>30</formula2>
    </dataValidation>
    <dataValidation type="decimal" allowBlank="1" showInputMessage="1" showErrorMessage="1" sqref="B8 B10 B11 B12" xr:uid="{8DAE274D-F358-40F8-B613-5AE1950A0D58}">
      <formula1>0</formula1>
      <formula2>50</formula2>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EBC7FA93-FB93-401C-9F55-FEC5AEC66898}">
            <x14:dataBar minLength="0" maxLength="100" negativeBarColorSameAsPositive="1" axisPosition="none">
              <x14:cfvo type="min"/>
              <x14:cfvo type="max"/>
            </x14:dataBar>
          </x14:cfRule>
          <xm:sqref>J18:J47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0E506-D6AD-49AF-B730-368C722BE7EB}">
  <dimension ref="A1:L62"/>
  <sheetViews>
    <sheetView workbookViewId="0">
      <selection activeCell="F13" sqref="F13"/>
    </sheetView>
  </sheetViews>
  <sheetFormatPr defaultRowHeight="14.5" x14ac:dyDescent="0.35"/>
  <cols>
    <col min="1" max="1" width="30" customWidth="1"/>
    <col min="2" max="2" width="19.08984375" customWidth="1"/>
    <col min="3" max="3" width="20.36328125" customWidth="1"/>
    <col min="4" max="10" width="21.453125" customWidth="1"/>
    <col min="11" max="12" width="20.36328125" customWidth="1"/>
  </cols>
  <sheetData>
    <row r="1" spans="1:12" ht="30" customHeight="1" x14ac:dyDescent="0.55000000000000004">
      <c r="A1" s="197" t="s">
        <v>312</v>
      </c>
      <c r="B1" s="197"/>
      <c r="C1" s="197"/>
      <c r="D1" s="197"/>
      <c r="E1" s="197"/>
      <c r="F1" s="197"/>
      <c r="G1" s="197"/>
      <c r="H1" s="197"/>
      <c r="I1" s="197"/>
      <c r="J1" s="197"/>
      <c r="K1" s="197"/>
      <c r="L1" s="197"/>
    </row>
    <row r="2" spans="1:12" ht="28" customHeight="1" x14ac:dyDescent="0.35">
      <c r="A2" s="198" t="s">
        <v>313</v>
      </c>
      <c r="B2" s="198"/>
      <c r="C2" s="198"/>
      <c r="D2" s="198"/>
      <c r="E2" s="198"/>
      <c r="F2" s="198"/>
      <c r="G2" s="198"/>
      <c r="H2" s="198"/>
      <c r="I2" s="198"/>
      <c r="J2" s="198"/>
      <c r="K2" s="198"/>
      <c r="L2" s="198"/>
    </row>
    <row r="3" spans="1:12" ht="20" customHeight="1" x14ac:dyDescent="0.35">
      <c r="A3" s="61"/>
      <c r="B3" s="61"/>
      <c r="C3" s="61"/>
      <c r="D3" s="61"/>
      <c r="E3" s="61"/>
      <c r="F3" s="61"/>
      <c r="G3" s="61"/>
      <c r="H3" s="61"/>
      <c r="I3" s="61"/>
      <c r="J3" s="61"/>
      <c r="K3" s="61"/>
      <c r="L3" s="61"/>
    </row>
    <row r="4" spans="1:12" ht="22" customHeight="1" x14ac:dyDescent="0.35">
      <c r="A4" s="196" t="s">
        <v>187</v>
      </c>
      <c r="B4" s="196"/>
      <c r="C4" s="61"/>
      <c r="D4" s="196" t="s">
        <v>319</v>
      </c>
      <c r="E4" s="196"/>
      <c r="F4" s="196"/>
      <c r="G4" s="61"/>
      <c r="H4" s="196" t="s">
        <v>189</v>
      </c>
      <c r="I4" s="196"/>
      <c r="J4" s="196"/>
      <c r="K4" s="196"/>
      <c r="L4" s="196"/>
    </row>
    <row r="5" spans="1:12" ht="30" customHeight="1" x14ac:dyDescent="0.35">
      <c r="A5" s="63" t="s">
        <v>314</v>
      </c>
      <c r="B5" s="65">
        <v>0</v>
      </c>
      <c r="C5" s="61"/>
      <c r="D5" s="62" t="s">
        <v>320</v>
      </c>
      <c r="E5" s="77">
        <f>B7-B8</f>
        <v>11.5</v>
      </c>
      <c r="F5" s="61"/>
      <c r="G5" s="61"/>
      <c r="H5" s="199" t="str">
        <f>"1. At year "&amp;TEXT($B$10,"0")&amp;", the higher expense ratio reduces pre-tax wealth by "&amp;TEXT($E$10,"₹#,##0")&amp;"."</f>
        <v>1. At year 20, the higher expense ratio reduces pre-tax wealth by ₹22,91,924.</v>
      </c>
      <c r="I5" s="199"/>
      <c r="J5" s="199"/>
      <c r="K5" s="199"/>
      <c r="L5" s="199"/>
    </row>
    <row r="6" spans="1:12" ht="30" customHeight="1" x14ac:dyDescent="0.35">
      <c r="A6" s="63" t="s">
        <v>86</v>
      </c>
      <c r="B6" s="65">
        <v>20000</v>
      </c>
      <c r="C6" s="61"/>
      <c r="D6" s="62" t="s">
        <v>321</v>
      </c>
      <c r="E6" s="77">
        <f>B7-B9</f>
        <v>10.5</v>
      </c>
      <c r="F6" s="61"/>
      <c r="G6" s="61"/>
      <c r="H6" s="199" t="str">
        <f>"2. In today’s rupees after simplified tax, the wealth gap is "&amp;TEXT($E$13,"₹#,##0")&amp;"."</f>
        <v>2. In today’s rupees after simplified tax, the wealth gap is ₹6,25,304.</v>
      </c>
      <c r="I6" s="199"/>
      <c r="J6" s="199"/>
      <c r="K6" s="199"/>
      <c r="L6" s="199"/>
    </row>
    <row r="7" spans="1:12" ht="30" customHeight="1" x14ac:dyDescent="0.35">
      <c r="A7" s="63" t="s">
        <v>315</v>
      </c>
      <c r="B7" s="66">
        <v>12</v>
      </c>
      <c r="C7" s="61"/>
      <c r="D7" s="62" t="s">
        <v>19</v>
      </c>
      <c r="E7" s="68">
        <f>B5+B6*12*B10</f>
        <v>4800000</v>
      </c>
      <c r="F7" s="61"/>
      <c r="G7" s="61"/>
      <c r="H7" s="199" t="str">
        <f>"3. The annual TER difference is "&amp;TEXT($B$9-$B$8,"0.00")&amp;" percentage points; the cost accelerates as the portfolio grows."</f>
        <v>3. The annual TER difference is 1.00 percentage points; the cost accelerates as the portfolio grows.</v>
      </c>
      <c r="I7" s="199"/>
      <c r="J7" s="199"/>
      <c r="K7" s="199"/>
      <c r="L7" s="199"/>
    </row>
    <row r="8" spans="1:12" ht="30" customHeight="1" x14ac:dyDescent="0.35">
      <c r="A8" s="63" t="s">
        <v>316</v>
      </c>
      <c r="B8" s="66">
        <v>0.5</v>
      </c>
      <c r="C8" s="61"/>
      <c r="D8" s="62" t="s">
        <v>322</v>
      </c>
      <c r="E8" s="68" cm="1">
        <f t="array" ref="E8">INDEX(C27:C56,B10)</f>
        <v>18502021.194827691</v>
      </c>
      <c r="F8" s="61"/>
      <c r="G8" s="61"/>
      <c r="H8" s="199" t="s">
        <v>328</v>
      </c>
      <c r="I8" s="199"/>
      <c r="J8" s="199"/>
      <c r="K8" s="199"/>
      <c r="L8" s="199"/>
    </row>
    <row r="9" spans="1:12" ht="30" customHeight="1" x14ac:dyDescent="0.35">
      <c r="A9" s="63" t="s">
        <v>317</v>
      </c>
      <c r="B9" s="66">
        <v>1.5</v>
      </c>
      <c r="C9" s="61"/>
      <c r="D9" s="62" t="s">
        <v>323</v>
      </c>
      <c r="E9" s="68" cm="1">
        <f t="array" ref="E9">INDEX(G27:G56,B10)</f>
        <v>16210097.521766502</v>
      </c>
      <c r="F9" s="61"/>
      <c r="G9" s="61"/>
      <c r="H9" s="199" t="s">
        <v>329</v>
      </c>
      <c r="I9" s="199"/>
      <c r="J9" s="199"/>
      <c r="K9" s="199"/>
      <c r="L9" s="199"/>
    </row>
    <row r="10" spans="1:12" ht="30" customHeight="1" x14ac:dyDescent="0.35">
      <c r="A10" s="63" t="s">
        <v>318</v>
      </c>
      <c r="B10" s="67">
        <v>20</v>
      </c>
      <c r="C10" s="61"/>
      <c r="D10" s="62" t="s">
        <v>324</v>
      </c>
      <c r="E10" s="68">
        <f>E8-E9</f>
        <v>2291923.6730611883</v>
      </c>
      <c r="F10" s="61"/>
      <c r="G10" s="61"/>
      <c r="H10" s="199" t="s">
        <v>330</v>
      </c>
      <c r="I10" s="199"/>
      <c r="J10" s="199"/>
      <c r="K10" s="199"/>
      <c r="L10" s="199"/>
    </row>
    <row r="11" spans="1:12" ht="20" customHeight="1" x14ac:dyDescent="0.35">
      <c r="A11" s="63" t="s">
        <v>193</v>
      </c>
      <c r="B11" s="66">
        <v>6</v>
      </c>
      <c r="C11" s="61"/>
      <c r="D11" s="62" t="s">
        <v>325</v>
      </c>
      <c r="E11" s="68" cm="1">
        <f t="array" ref="E11">INDEX(F27:F56,B10)</f>
        <v>5239845.2422963129</v>
      </c>
      <c r="F11" s="61"/>
      <c r="G11" s="61"/>
      <c r="H11" s="61"/>
      <c r="I11" s="61"/>
      <c r="J11" s="61"/>
      <c r="K11" s="61"/>
      <c r="L11" s="61"/>
    </row>
    <row r="12" spans="1:12" ht="20" customHeight="1" x14ac:dyDescent="0.35">
      <c r="A12" s="63" t="s">
        <v>93</v>
      </c>
      <c r="B12" s="66">
        <v>12.5</v>
      </c>
      <c r="C12" s="61"/>
      <c r="D12" s="62" t="s">
        <v>326</v>
      </c>
      <c r="E12" s="68" cm="1">
        <f t="array" ref="E12">INDEX(J27:J56,B10)</f>
        <v>4614541.6867390424</v>
      </c>
      <c r="F12" s="61"/>
      <c r="G12" s="61"/>
      <c r="H12" s="61"/>
      <c r="I12" s="61"/>
      <c r="J12" s="61"/>
      <c r="K12" s="61"/>
      <c r="L12" s="61"/>
    </row>
    <row r="13" spans="1:12" ht="20" customHeight="1" x14ac:dyDescent="0.35">
      <c r="A13" s="63" t="s">
        <v>94</v>
      </c>
      <c r="B13" s="65">
        <v>125000</v>
      </c>
      <c r="C13" s="61"/>
      <c r="D13" s="62" t="s">
        <v>327</v>
      </c>
      <c r="E13" s="68">
        <f>E11-E12</f>
        <v>625303.55555727053</v>
      </c>
      <c r="F13" s="61"/>
      <c r="G13" s="61"/>
      <c r="H13" s="61"/>
      <c r="I13" s="61"/>
      <c r="J13" s="61"/>
      <c r="K13" s="61"/>
      <c r="L13" s="61"/>
    </row>
    <row r="14" spans="1:12" ht="20" customHeight="1" x14ac:dyDescent="0.35">
      <c r="A14" s="64"/>
      <c r="B14" s="61"/>
      <c r="C14" s="61"/>
      <c r="D14" s="61"/>
      <c r="E14" s="61"/>
      <c r="F14" s="61"/>
      <c r="G14" s="61"/>
      <c r="H14" s="61"/>
      <c r="I14" s="61"/>
      <c r="J14" s="61"/>
      <c r="K14" s="61"/>
      <c r="L14" s="61"/>
    </row>
    <row r="15" spans="1:12" ht="20" customHeight="1" x14ac:dyDescent="0.35">
      <c r="A15" s="64"/>
      <c r="B15" s="61"/>
      <c r="C15" s="61"/>
      <c r="D15" s="61"/>
      <c r="E15" s="61"/>
      <c r="F15" s="61"/>
      <c r="G15" s="61"/>
      <c r="H15" s="61"/>
      <c r="I15" s="61"/>
      <c r="J15" s="61"/>
      <c r="K15" s="61"/>
      <c r="L15" s="61"/>
    </row>
    <row r="16" spans="1:12" ht="22" customHeight="1" x14ac:dyDescent="0.35">
      <c r="A16" s="195" t="s">
        <v>331</v>
      </c>
      <c r="B16" s="196"/>
      <c r="C16" s="196"/>
      <c r="D16" s="196"/>
      <c r="E16" s="196"/>
      <c r="F16" s="196"/>
      <c r="G16" s="196"/>
      <c r="H16" s="196"/>
      <c r="I16" s="61"/>
      <c r="J16" s="61"/>
      <c r="K16" s="61"/>
      <c r="L16" s="61"/>
    </row>
    <row r="17" spans="1:12" ht="34" customHeight="1" x14ac:dyDescent="0.35">
      <c r="A17" s="73" t="s">
        <v>80</v>
      </c>
      <c r="B17" s="69" t="s">
        <v>104</v>
      </c>
      <c r="C17" s="69" t="s">
        <v>322</v>
      </c>
      <c r="D17" s="69" t="s">
        <v>323</v>
      </c>
      <c r="E17" s="69" t="s">
        <v>332</v>
      </c>
      <c r="F17" s="69" t="s">
        <v>333</v>
      </c>
      <c r="G17" s="69" t="s">
        <v>334</v>
      </c>
      <c r="H17" s="69" t="s">
        <v>335</v>
      </c>
      <c r="I17" s="70"/>
      <c r="J17" s="70"/>
      <c r="K17" s="70"/>
      <c r="L17" s="70"/>
    </row>
    <row r="18" spans="1:12" ht="20" customHeight="1" x14ac:dyDescent="0.35">
      <c r="A18" s="74">
        <v>5</v>
      </c>
      <c r="B18" s="71" cm="1">
        <f t="array" ref="B18">INDEX($B$27:$B$56,$A18)</f>
        <v>1200000</v>
      </c>
      <c r="C18" s="71" cm="1">
        <f t="array" ref="C18">INDEX($C$27:$C$56,$A18)</f>
        <v>1611697.8264042505</v>
      </c>
      <c r="D18" s="71" cm="1">
        <f t="array" ref="D18">INDEX($G$27:$G$56,$A18)</f>
        <v>1569378.2442259365</v>
      </c>
      <c r="E18" s="71">
        <f t="shared" ref="E18:E23" si="0">C18-D18</f>
        <v>42319.582178313984</v>
      </c>
      <c r="F18" s="71" cm="1">
        <f t="array" ref="F18">INDEX($F$27:$F$56,$A18)</f>
        <v>1177574.7112305968</v>
      </c>
      <c r="G18" s="71" cm="1">
        <f t="array" ref="G18">INDEX($J$27:$J$56,$A18)</f>
        <v>1149904.0142824526</v>
      </c>
      <c r="H18" s="71">
        <f t="shared" ref="H18:H23" si="1">F18-G18</f>
        <v>27670.696948144119</v>
      </c>
      <c r="I18" s="70"/>
      <c r="J18" s="70"/>
      <c r="K18" s="70"/>
      <c r="L18" s="70"/>
    </row>
    <row r="19" spans="1:12" ht="20" customHeight="1" x14ac:dyDescent="0.35">
      <c r="A19" s="74">
        <v>10</v>
      </c>
      <c r="B19" s="71" cm="1">
        <f t="array" ref="B19">INDEX($B$27:$B$56,$A19)</f>
        <v>2400000</v>
      </c>
      <c r="C19" s="71" cm="1">
        <f t="array" ref="C19">INDEX($C$27:$C$56,$A19)</f>
        <v>4468064.5553841731</v>
      </c>
      <c r="D19" s="71" cm="1">
        <f t="array" ref="D19">INDEX($G$27:$G$56,$A19)</f>
        <v>4216296.2705861107</v>
      </c>
      <c r="E19" s="71">
        <f t="shared" si="0"/>
        <v>251768.28479806241</v>
      </c>
      <c r="F19" s="71" cm="1">
        <f t="array" ref="F19">INDEX($F$27:$F$56,$A19)</f>
        <v>2359319.2732791635</v>
      </c>
      <c r="G19" s="71" cm="1">
        <f t="array" ref="G19">INDEX($J$27:$J$56,$A19)</f>
        <v>2236306.439958062</v>
      </c>
      <c r="H19" s="71">
        <f t="shared" si="1"/>
        <v>123012.8333211015</v>
      </c>
      <c r="I19" s="70"/>
      <c r="J19" s="70"/>
      <c r="K19" s="70"/>
      <c r="L19" s="70"/>
    </row>
    <row r="20" spans="1:12" ht="20" customHeight="1" x14ac:dyDescent="0.35">
      <c r="A20" s="74">
        <v>15</v>
      </c>
      <c r="B20" s="71" cm="1">
        <f t="array" ref="B20">INDEX($B$27:$B$56,$A20)</f>
        <v>3600000</v>
      </c>
      <c r="C20" s="71" cm="1">
        <f t="array" ref="C20">INDEX($C$27:$C$56,$A20)</f>
        <v>9530322.9742753096</v>
      </c>
      <c r="D20" s="71" cm="1">
        <f t="array" ref="D20">INDEX($G$27:$G$56,$A20)</f>
        <v>8680596.1065546498</v>
      </c>
      <c r="E20" s="71">
        <f t="shared" si="0"/>
        <v>849726.86772065982</v>
      </c>
      <c r="F20" s="71" cm="1">
        <f t="array" ref="F20">INDEX($F$27:$F$56,$A20)</f>
        <v>3673875.9892590009</v>
      </c>
      <c r="G20" s="71" cm="1">
        <f t="array" ref="G20">INDEX($J$27:$J$56,$A20)</f>
        <v>3363634.8228244293</v>
      </c>
      <c r="H20" s="71">
        <f t="shared" si="1"/>
        <v>310241.16643457161</v>
      </c>
      <c r="I20" s="70"/>
      <c r="J20" s="70"/>
      <c r="K20" s="70"/>
      <c r="L20" s="70"/>
    </row>
    <row r="21" spans="1:12" ht="20" customHeight="1" x14ac:dyDescent="0.35">
      <c r="A21" s="74">
        <v>20</v>
      </c>
      <c r="B21" s="71" cm="1">
        <f t="array" ref="B21">INDEX($B$27:$B$56,$A21)</f>
        <v>4800000</v>
      </c>
      <c r="C21" s="71" cm="1">
        <f t="array" ref="C21">INDEX($C$27:$C$56,$A21)</f>
        <v>18502021.194827691</v>
      </c>
      <c r="D21" s="71" cm="1">
        <f t="array" ref="D21">INDEX($G$27:$G$56,$A21)</f>
        <v>16210097.521766502</v>
      </c>
      <c r="E21" s="71">
        <f t="shared" si="0"/>
        <v>2291923.6730611883</v>
      </c>
      <c r="F21" s="71" cm="1">
        <f t="array" ref="F21">INDEX($F$27:$F$56,$A21)</f>
        <v>5239845.2422963129</v>
      </c>
      <c r="G21" s="71" cm="1">
        <f t="array" ref="G21">INDEX($J$27:$J$56,$A21)</f>
        <v>4614541.6867390424</v>
      </c>
      <c r="H21" s="71">
        <f t="shared" si="1"/>
        <v>625303.55555727053</v>
      </c>
      <c r="I21" s="70"/>
      <c r="J21" s="70"/>
      <c r="K21" s="70"/>
      <c r="L21" s="70"/>
    </row>
    <row r="22" spans="1:12" ht="20" customHeight="1" x14ac:dyDescent="0.35">
      <c r="A22" s="74">
        <v>25</v>
      </c>
      <c r="B22" s="71" cm="1">
        <f t="array" ref="B22">INDEX($B$27:$B$56,$A22)</f>
        <v>6000000</v>
      </c>
      <c r="C22" s="71" cm="1">
        <f t="array" ref="C22">INDEX($C$27:$C$56,$A22)</f>
        <v>34402309.623464249</v>
      </c>
      <c r="D22" s="71" cm="1">
        <f t="array" ref="D22">INDEX($G$27:$G$56,$A22)</f>
        <v>28909377.060497928</v>
      </c>
      <c r="E22" s="71">
        <f t="shared" si="0"/>
        <v>5492932.5629663207</v>
      </c>
      <c r="F22" s="71" cm="1">
        <f t="array" ref="F22">INDEX($F$27:$F$56,$A22)</f>
        <v>7192119.2263629232</v>
      </c>
      <c r="G22" s="71" cm="1">
        <f t="array" ref="G22">INDEX($J$27:$J$56,$A22)</f>
        <v>6072254.1823191941</v>
      </c>
      <c r="H22" s="71">
        <f t="shared" si="1"/>
        <v>1119865.0440437291</v>
      </c>
      <c r="I22" s="70"/>
      <c r="J22" s="70"/>
      <c r="K22" s="70"/>
      <c r="L22" s="70"/>
    </row>
    <row r="23" spans="1:12" ht="20" customHeight="1" x14ac:dyDescent="0.35">
      <c r="A23" s="75">
        <v>30</v>
      </c>
      <c r="B23" s="72" cm="1">
        <f t="array" ref="B23">INDEX($B$27:$B$56,$A23)</f>
        <v>7200000</v>
      </c>
      <c r="C23" s="72" cm="1">
        <f t="array" ref="C23">INDEX($C$27:$C$56,$A23)</f>
        <v>62581943.612342209</v>
      </c>
      <c r="D23" s="72" cm="1">
        <f t="array" ref="D23">INDEX($G$27:$G$56,$A23)</f>
        <v>50328019.797854416</v>
      </c>
      <c r="E23" s="72">
        <f t="shared" si="0"/>
        <v>12253923.814487793</v>
      </c>
      <c r="F23" s="72" cm="1">
        <f t="array" ref="F23">INDEX($F$27:$F$56,$A23)</f>
        <v>9693551.1842285283</v>
      </c>
      <c r="G23" s="72" cm="1">
        <f t="array" ref="G23">INDEX($J$27:$J$56,$A23)</f>
        <v>7826710.4396577971</v>
      </c>
      <c r="H23" s="72">
        <f t="shared" si="1"/>
        <v>1866840.7445707312</v>
      </c>
      <c r="I23" s="70"/>
      <c r="J23" s="70"/>
      <c r="K23" s="70"/>
      <c r="L23" s="70"/>
    </row>
    <row r="24" spans="1:12" ht="20" customHeight="1" x14ac:dyDescent="0.35">
      <c r="A24" s="76"/>
      <c r="B24" s="70"/>
      <c r="C24" s="70"/>
      <c r="D24" s="70"/>
      <c r="E24" s="70"/>
      <c r="F24" s="70"/>
      <c r="G24" s="70"/>
      <c r="H24" s="70"/>
      <c r="I24" s="70"/>
      <c r="J24" s="70"/>
      <c r="K24" s="70"/>
      <c r="L24" s="70"/>
    </row>
    <row r="25" spans="1:12" ht="22" customHeight="1" x14ac:dyDescent="0.35">
      <c r="A25" s="200" t="s">
        <v>336</v>
      </c>
      <c r="B25" s="201"/>
      <c r="C25" s="201"/>
      <c r="D25" s="201"/>
      <c r="E25" s="201"/>
      <c r="F25" s="201"/>
      <c r="G25" s="201"/>
      <c r="H25" s="201"/>
      <c r="I25" s="201"/>
      <c r="J25" s="201"/>
      <c r="K25" s="201"/>
      <c r="L25" s="201"/>
    </row>
    <row r="26" spans="1:12" ht="42" customHeight="1" x14ac:dyDescent="0.35">
      <c r="A26" s="73" t="s">
        <v>80</v>
      </c>
      <c r="B26" s="69" t="s">
        <v>104</v>
      </c>
      <c r="C26" s="69" t="s">
        <v>322</v>
      </c>
      <c r="D26" s="69" t="s">
        <v>337</v>
      </c>
      <c r="E26" s="69" t="s">
        <v>338</v>
      </c>
      <c r="F26" s="69" t="s">
        <v>333</v>
      </c>
      <c r="G26" s="69" t="s">
        <v>323</v>
      </c>
      <c r="H26" s="69" t="s">
        <v>339</v>
      </c>
      <c r="I26" s="69" t="s">
        <v>340</v>
      </c>
      <c r="J26" s="69" t="s">
        <v>334</v>
      </c>
      <c r="K26" s="69" t="s">
        <v>332</v>
      </c>
      <c r="L26" s="69" t="s">
        <v>335</v>
      </c>
    </row>
    <row r="27" spans="1:12" ht="20" customHeight="1" x14ac:dyDescent="0.35">
      <c r="A27" s="74">
        <f>ROW()-26</f>
        <v>1</v>
      </c>
      <c r="B27" s="71">
        <f>$B$5+$B$6*12*A27</f>
        <v>240000</v>
      </c>
      <c r="C27" s="71">
        <f>$B$5*(1+($B$7-$B$8)/1200)^(12*A27)+FV(($B$7-$B$8)/1200,12*A27,-$B$6,0,0)</f>
        <v>253062.94567933845</v>
      </c>
      <c r="D27" s="71">
        <f>MAX(0,C27-B27-$B$13)*$B$12/100</f>
        <v>0</v>
      </c>
      <c r="E27" s="71">
        <f>C27-D27</f>
        <v>253062.94567933845</v>
      </c>
      <c r="F27" s="71">
        <f>E27/(1+$B$11/100)^A27</f>
        <v>238738.62799937587</v>
      </c>
      <c r="G27" s="71">
        <f>$B$5*(1+($B$7-$B$9)/1200)^(12*A27)+FV(($B$7-$B$9)/1200,12*A27,-$B$6,0,0)</f>
        <v>251893.60103274029</v>
      </c>
      <c r="H27" s="71">
        <f>MAX(0,G27-B27-$B$13)*$B$12/100</f>
        <v>0</v>
      </c>
      <c r="I27" s="71">
        <f>G27-H27</f>
        <v>251893.60103274029</v>
      </c>
      <c r="J27" s="71">
        <f>I27/(1+$B$11/100)^A27</f>
        <v>237635.47267239648</v>
      </c>
      <c r="K27" s="71">
        <f>C27-G27</f>
        <v>1169.3446465981542</v>
      </c>
      <c r="L27" s="71">
        <f>F27-J27</f>
        <v>1103.1553269793803</v>
      </c>
    </row>
    <row r="28" spans="1:12" ht="20" customHeight="1" x14ac:dyDescent="0.35">
      <c r="A28" s="74">
        <f t="shared" ref="A28:A56" si="2">ROW()-26</f>
        <v>2</v>
      </c>
      <c r="B28" s="71">
        <f t="shared" ref="B28:B56" si="3">$B$5+$B$6*12*A28</f>
        <v>480000</v>
      </c>
      <c r="C28" s="71">
        <f t="shared" ref="C28:C56" si="4">$B$5*(1+($B$7-$B$8)/1200)^(12*A28)+FV(($B$7-$B$8)/1200,12*A28,-$B$6,0,0)</f>
        <v>536812.1341283808</v>
      </c>
      <c r="D28" s="71">
        <f t="shared" ref="D28:D56" si="5">MAX(0,C28-B28-$B$13)*$B$12/100</f>
        <v>0</v>
      </c>
      <c r="E28" s="71">
        <f t="shared" ref="E28:E56" si="6">C28-D28</f>
        <v>536812.1341283808</v>
      </c>
      <c r="F28" s="71">
        <f t="shared" ref="F28:F56" si="7">E28/(1+$B$11/100)^A28</f>
        <v>477760.88833070552</v>
      </c>
      <c r="G28" s="71">
        <f t="shared" ref="G28:G56" si="8">$B$5*(1+($B$7-$B$9)/1200)^(12*A28)+FV(($B$7-$B$9)/1200,12*A28,-$B$6,0,0)</f>
        <v>531546.74604602391</v>
      </c>
      <c r="H28" s="71">
        <f t="shared" ref="H28:H56" si="9">MAX(0,G28-B28-$B$13)*$B$12/100</f>
        <v>0</v>
      </c>
      <c r="I28" s="71">
        <f t="shared" ref="I28:I56" si="10">G28-H28</f>
        <v>531546.74604602391</v>
      </c>
      <c r="J28" s="71">
        <f t="shared" ref="J28:J56" si="11">I28/(1+$B$11/100)^A28</f>
        <v>473074.71168211446</v>
      </c>
      <c r="K28" s="71">
        <f t="shared" ref="K28:K56" si="12">C28-G28</f>
        <v>5265.3880823568907</v>
      </c>
      <c r="L28" s="71">
        <f t="shared" ref="L28:L56" si="13">F28-J28</f>
        <v>4686.176648591063</v>
      </c>
    </row>
    <row r="29" spans="1:12" ht="20" customHeight="1" x14ac:dyDescent="0.35">
      <c r="A29" s="74">
        <f t="shared" si="2"/>
        <v>3</v>
      </c>
      <c r="B29" s="71">
        <f t="shared" si="3"/>
        <v>720000</v>
      </c>
      <c r="C29" s="71">
        <f t="shared" si="4"/>
        <v>854968.55852846173</v>
      </c>
      <c r="D29" s="71">
        <f t="shared" si="5"/>
        <v>1246.0698160577158</v>
      </c>
      <c r="E29" s="71">
        <f t="shared" si="6"/>
        <v>853722.48871240404</v>
      </c>
      <c r="F29" s="71">
        <f t="shared" si="7"/>
        <v>716801.86388126086</v>
      </c>
      <c r="G29" s="71">
        <f t="shared" si="8"/>
        <v>842018.63256947603</v>
      </c>
      <c r="H29" s="71">
        <f t="shared" si="9"/>
        <v>0</v>
      </c>
      <c r="I29" s="71">
        <f t="shared" si="10"/>
        <v>842018.63256947603</v>
      </c>
      <c r="J29" s="71">
        <f t="shared" si="11"/>
        <v>706975.08057782252</v>
      </c>
      <c r="K29" s="71">
        <f t="shared" si="12"/>
        <v>12949.925958985696</v>
      </c>
      <c r="L29" s="71">
        <f t="shared" si="13"/>
        <v>9826.7833034383366</v>
      </c>
    </row>
    <row r="30" spans="1:12" ht="20" customHeight="1" x14ac:dyDescent="0.35">
      <c r="A30" s="74">
        <f t="shared" si="2"/>
        <v>4</v>
      </c>
      <c r="B30" s="71">
        <f t="shared" si="3"/>
        <v>960000</v>
      </c>
      <c r="C30" s="71">
        <f t="shared" si="4"/>
        <v>1211704.4171940896</v>
      </c>
      <c r="D30" s="71">
        <f t="shared" si="5"/>
        <v>15838.052149261204</v>
      </c>
      <c r="E30" s="71">
        <f t="shared" si="6"/>
        <v>1195866.3650448285</v>
      </c>
      <c r="F30" s="71">
        <f t="shared" si="7"/>
        <v>947238.16983149399</v>
      </c>
      <c r="G30" s="71">
        <f t="shared" si="8"/>
        <v>1186705.592256099</v>
      </c>
      <c r="H30" s="71">
        <f t="shared" si="9"/>
        <v>12713.199032012373</v>
      </c>
      <c r="I30" s="71">
        <f t="shared" si="10"/>
        <v>1173992.3932240866</v>
      </c>
      <c r="J30" s="71">
        <f t="shared" si="11"/>
        <v>929911.93536243727</v>
      </c>
      <c r="K30" s="71">
        <f t="shared" si="12"/>
        <v>24998.824937990634</v>
      </c>
      <c r="L30" s="71">
        <f t="shared" si="13"/>
        <v>17326.234469056712</v>
      </c>
    </row>
    <row r="31" spans="1:12" ht="20" customHeight="1" x14ac:dyDescent="0.35">
      <c r="A31" s="74">
        <f t="shared" si="2"/>
        <v>5</v>
      </c>
      <c r="B31" s="71">
        <f t="shared" si="3"/>
        <v>1200000</v>
      </c>
      <c r="C31" s="71">
        <f t="shared" si="4"/>
        <v>1611697.8264042505</v>
      </c>
      <c r="D31" s="71">
        <f t="shared" si="5"/>
        <v>35837.228300531307</v>
      </c>
      <c r="E31" s="71">
        <f t="shared" si="6"/>
        <v>1575860.5981037191</v>
      </c>
      <c r="F31" s="71">
        <f t="shared" si="7"/>
        <v>1177574.7112305968</v>
      </c>
      <c r="G31" s="71">
        <f t="shared" si="8"/>
        <v>1569378.2442259365</v>
      </c>
      <c r="H31" s="71">
        <f t="shared" si="9"/>
        <v>30547.280528242056</v>
      </c>
      <c r="I31" s="71">
        <f t="shared" si="10"/>
        <v>1538830.9636976945</v>
      </c>
      <c r="J31" s="71">
        <f t="shared" si="11"/>
        <v>1149904.0142824526</v>
      </c>
      <c r="K31" s="71">
        <f t="shared" si="12"/>
        <v>42319.582178313984</v>
      </c>
      <c r="L31" s="71">
        <f t="shared" si="13"/>
        <v>27670.696948144119</v>
      </c>
    </row>
    <row r="32" spans="1:12" ht="20" customHeight="1" x14ac:dyDescent="0.35">
      <c r="A32" s="74">
        <f t="shared" si="2"/>
        <v>6</v>
      </c>
      <c r="B32" s="71">
        <f t="shared" si="3"/>
        <v>1440000</v>
      </c>
      <c r="C32" s="71">
        <f t="shared" si="4"/>
        <v>2060194.1676748698</v>
      </c>
      <c r="D32" s="71">
        <f t="shared" si="5"/>
        <v>61899.270959358721</v>
      </c>
      <c r="E32" s="71">
        <f t="shared" si="6"/>
        <v>1998294.8967155111</v>
      </c>
      <c r="F32" s="71">
        <f t="shared" si="7"/>
        <v>1408719.0503464139</v>
      </c>
      <c r="G32" s="71">
        <f t="shared" si="8"/>
        <v>1994222.7428364009</v>
      </c>
      <c r="H32" s="71">
        <f t="shared" si="9"/>
        <v>53652.842854550108</v>
      </c>
      <c r="I32" s="71">
        <f t="shared" si="10"/>
        <v>1940569.8999818508</v>
      </c>
      <c r="J32" s="71">
        <f t="shared" si="11"/>
        <v>1368025.2054521739</v>
      </c>
      <c r="K32" s="71">
        <f t="shared" si="12"/>
        <v>65971.424838468898</v>
      </c>
      <c r="L32" s="71">
        <f t="shared" si="13"/>
        <v>40693.844894239912</v>
      </c>
    </row>
    <row r="33" spans="1:12" ht="20" customHeight="1" x14ac:dyDescent="0.35">
      <c r="A33" s="74">
        <f t="shared" si="2"/>
        <v>7</v>
      </c>
      <c r="B33" s="71">
        <f t="shared" si="3"/>
        <v>1680000</v>
      </c>
      <c r="C33" s="71">
        <f t="shared" si="4"/>
        <v>2563074.8739603227</v>
      </c>
      <c r="D33" s="71">
        <f t="shared" si="5"/>
        <v>94759.359245040338</v>
      </c>
      <c r="E33" s="71">
        <f t="shared" si="6"/>
        <v>2468315.5147152822</v>
      </c>
      <c r="F33" s="71">
        <f t="shared" si="7"/>
        <v>1641570.7917257764</v>
      </c>
      <c r="G33" s="71">
        <f t="shared" si="8"/>
        <v>2465886.5710992133</v>
      </c>
      <c r="H33" s="71">
        <f t="shared" si="9"/>
        <v>82610.821387401666</v>
      </c>
      <c r="I33" s="71">
        <f t="shared" si="10"/>
        <v>2383275.7497118115</v>
      </c>
      <c r="J33" s="71">
        <f t="shared" si="11"/>
        <v>1585014.4910694463</v>
      </c>
      <c r="K33" s="71">
        <f t="shared" si="12"/>
        <v>97188.302861109376</v>
      </c>
      <c r="L33" s="71">
        <f t="shared" si="13"/>
        <v>56556.300656330073</v>
      </c>
    </row>
    <row r="34" spans="1:12" ht="20" customHeight="1" x14ac:dyDescent="0.35">
      <c r="A34" s="74">
        <f t="shared" si="2"/>
        <v>8</v>
      </c>
      <c r="B34" s="71">
        <f t="shared" si="3"/>
        <v>1920000</v>
      </c>
      <c r="C34" s="71">
        <f t="shared" si="4"/>
        <v>3126934.5568235219</v>
      </c>
      <c r="D34" s="71">
        <f t="shared" si="5"/>
        <v>135241.81960294023</v>
      </c>
      <c r="E34" s="71">
        <f t="shared" si="6"/>
        <v>2991692.7372205816</v>
      </c>
      <c r="F34" s="71">
        <f t="shared" si="7"/>
        <v>1877025.034585685</v>
      </c>
      <c r="G34" s="71">
        <f t="shared" si="8"/>
        <v>2989529.3806899036</v>
      </c>
      <c r="H34" s="71">
        <f t="shared" si="9"/>
        <v>118066.17258623795</v>
      </c>
      <c r="I34" s="71">
        <f t="shared" si="10"/>
        <v>2871463.2081036656</v>
      </c>
      <c r="J34" s="71">
        <f t="shared" si="11"/>
        <v>1801591.5406171295</v>
      </c>
      <c r="K34" s="71">
        <f t="shared" si="12"/>
        <v>137405.17613361822</v>
      </c>
      <c r="L34" s="71">
        <f t="shared" si="13"/>
        <v>75433.493968555471</v>
      </c>
    </row>
    <row r="35" spans="1:12" ht="20" customHeight="1" x14ac:dyDescent="0.35">
      <c r="A35" s="74">
        <f t="shared" si="2"/>
        <v>9</v>
      </c>
      <c r="B35" s="71">
        <f t="shared" si="3"/>
        <v>2160000</v>
      </c>
      <c r="C35" s="71">
        <f t="shared" si="4"/>
        <v>3759167.4859948256</v>
      </c>
      <c r="D35" s="71">
        <f t="shared" si="5"/>
        <v>184270.9357493532</v>
      </c>
      <c r="E35" s="71">
        <f t="shared" si="6"/>
        <v>3574896.5502454722</v>
      </c>
      <c r="F35" s="71">
        <f t="shared" si="7"/>
        <v>2115975.7753690816</v>
      </c>
      <c r="G35" s="71">
        <f t="shared" si="8"/>
        <v>3570879.4347017757</v>
      </c>
      <c r="H35" s="71">
        <f t="shared" si="9"/>
        <v>160734.92933772196</v>
      </c>
      <c r="I35" s="71">
        <f t="shared" si="10"/>
        <v>3410144.5053640539</v>
      </c>
      <c r="J35" s="71">
        <f t="shared" si="11"/>
        <v>2018459.2931403406</v>
      </c>
      <c r="K35" s="71">
        <f t="shared" si="12"/>
        <v>188288.05129304994</v>
      </c>
      <c r="L35" s="71">
        <f t="shared" si="13"/>
        <v>97516.48222874105</v>
      </c>
    </row>
    <row r="36" spans="1:12" ht="20" customHeight="1" x14ac:dyDescent="0.35">
      <c r="A36" s="74">
        <f t="shared" si="2"/>
        <v>10</v>
      </c>
      <c r="B36" s="71">
        <f t="shared" si="3"/>
        <v>2400000</v>
      </c>
      <c r="C36" s="71">
        <f t="shared" si="4"/>
        <v>4468064.5553841731</v>
      </c>
      <c r="D36" s="71">
        <f t="shared" si="5"/>
        <v>242883.06942302163</v>
      </c>
      <c r="E36" s="71">
        <f t="shared" si="6"/>
        <v>4225181.4859611513</v>
      </c>
      <c r="F36" s="71">
        <f t="shared" si="7"/>
        <v>2359319.2732791635</v>
      </c>
      <c r="G36" s="71">
        <f t="shared" si="8"/>
        <v>4216296.2705861107</v>
      </c>
      <c r="H36" s="71">
        <f t="shared" si="9"/>
        <v>211412.03382326383</v>
      </c>
      <c r="I36" s="71">
        <f t="shared" si="10"/>
        <v>4004884.2367628468</v>
      </c>
      <c r="J36" s="71">
        <f t="shared" si="11"/>
        <v>2236306.439958062</v>
      </c>
      <c r="K36" s="71">
        <f t="shared" si="12"/>
        <v>251768.28479806241</v>
      </c>
      <c r="L36" s="71">
        <f t="shared" si="13"/>
        <v>123012.8333211015</v>
      </c>
    </row>
    <row r="37" spans="1:12" ht="20" customHeight="1" x14ac:dyDescent="0.35">
      <c r="A37" s="74">
        <f t="shared" si="2"/>
        <v>11</v>
      </c>
      <c r="B37" s="71">
        <f t="shared" si="3"/>
        <v>2640000</v>
      </c>
      <c r="C37" s="71">
        <f t="shared" si="4"/>
        <v>5262922.0071266824</v>
      </c>
      <c r="D37" s="71">
        <f t="shared" si="5"/>
        <v>312240.2508908353</v>
      </c>
      <c r="E37" s="71">
        <f t="shared" si="6"/>
        <v>4950681.7562358472</v>
      </c>
      <c r="F37" s="71">
        <f t="shared" si="7"/>
        <v>2607957.3913689242</v>
      </c>
      <c r="G37" s="71">
        <f t="shared" si="8"/>
        <v>4932840.2687645992</v>
      </c>
      <c r="H37" s="71">
        <f t="shared" si="9"/>
        <v>270980.0335955749</v>
      </c>
      <c r="I37" s="71">
        <f t="shared" si="10"/>
        <v>4661860.2351690242</v>
      </c>
      <c r="J37" s="71">
        <f t="shared" si="11"/>
        <v>2455809.8170062886</v>
      </c>
      <c r="K37" s="71">
        <f t="shared" si="12"/>
        <v>330081.73836208321</v>
      </c>
      <c r="L37" s="71">
        <f t="shared" si="13"/>
        <v>152147.57436263561</v>
      </c>
    </row>
    <row r="38" spans="1:12" ht="20" customHeight="1" x14ac:dyDescent="0.35">
      <c r="A38" s="74">
        <f t="shared" si="2"/>
        <v>12</v>
      </c>
      <c r="B38" s="71">
        <f t="shared" si="3"/>
        <v>2880000</v>
      </c>
      <c r="C38" s="71">
        <f t="shared" si="4"/>
        <v>6154163.3394329837</v>
      </c>
      <c r="D38" s="71">
        <f t="shared" si="5"/>
        <v>393645.4174291229</v>
      </c>
      <c r="E38" s="71">
        <f t="shared" si="6"/>
        <v>5760517.9220038606</v>
      </c>
      <c r="F38" s="71">
        <f t="shared" si="7"/>
        <v>2862800.9255721639</v>
      </c>
      <c r="G38" s="71">
        <f t="shared" si="8"/>
        <v>5728349.8879428999</v>
      </c>
      <c r="H38" s="71">
        <f t="shared" si="9"/>
        <v>340418.73599286249</v>
      </c>
      <c r="I38" s="71">
        <f t="shared" si="10"/>
        <v>5387931.1519500371</v>
      </c>
      <c r="J38" s="71">
        <f t="shared" si="11"/>
        <v>2677636.7155813053</v>
      </c>
      <c r="K38" s="71">
        <f t="shared" si="12"/>
        <v>425813.45149008371</v>
      </c>
      <c r="L38" s="71">
        <f t="shared" si="13"/>
        <v>185164.20999085857</v>
      </c>
    </row>
    <row r="39" spans="1:12" ht="20" customHeight="1" x14ac:dyDescent="0.35">
      <c r="A39" s="74">
        <f t="shared" si="2"/>
        <v>13</v>
      </c>
      <c r="B39" s="71">
        <f t="shared" si="3"/>
        <v>3120000</v>
      </c>
      <c r="C39" s="71">
        <f t="shared" si="4"/>
        <v>7153475.996903576</v>
      </c>
      <c r="D39" s="71">
        <f t="shared" si="5"/>
        <v>488559.49961294694</v>
      </c>
      <c r="E39" s="71">
        <f t="shared" si="6"/>
        <v>6664916.497290629</v>
      </c>
      <c r="F39" s="71">
        <f t="shared" si="7"/>
        <v>3124772.9339173348</v>
      </c>
      <c r="G39" s="71">
        <f t="shared" si="8"/>
        <v>6611527.4120222675</v>
      </c>
      <c r="H39" s="71">
        <f t="shared" si="9"/>
        <v>420815.92650278343</v>
      </c>
      <c r="I39" s="71">
        <f t="shared" si="10"/>
        <v>6190711.4855194837</v>
      </c>
      <c r="J39" s="71">
        <f t="shared" si="11"/>
        <v>2902447.11985608</v>
      </c>
      <c r="K39" s="71">
        <f t="shared" si="12"/>
        <v>541948.58488130849</v>
      </c>
      <c r="L39" s="71">
        <f t="shared" si="13"/>
        <v>222325.81406125473</v>
      </c>
    </row>
    <row r="40" spans="1:12" ht="20" customHeight="1" x14ac:dyDescent="0.35">
      <c r="A40" s="74">
        <f t="shared" si="2"/>
        <v>14</v>
      </c>
      <c r="B40" s="71">
        <f t="shared" si="3"/>
        <v>3360000</v>
      </c>
      <c r="C40" s="71">
        <f t="shared" si="4"/>
        <v>8273964.6358188698</v>
      </c>
      <c r="D40" s="71">
        <f t="shared" si="5"/>
        <v>598620.57947735873</v>
      </c>
      <c r="E40" s="71">
        <f t="shared" si="6"/>
        <v>7675344.0563415112</v>
      </c>
      <c r="F40" s="71">
        <f t="shared" si="7"/>
        <v>3394812.0780656408</v>
      </c>
      <c r="G40" s="71">
        <f t="shared" si="8"/>
        <v>7592034.1466166805</v>
      </c>
      <c r="H40" s="71">
        <f t="shared" si="9"/>
        <v>513379.26832708507</v>
      </c>
      <c r="I40" s="71">
        <f t="shared" si="10"/>
        <v>7078654.8782895952</v>
      </c>
      <c r="J40" s="71">
        <f t="shared" si="11"/>
        <v>3130895.8791783643</v>
      </c>
      <c r="K40" s="71">
        <f t="shared" si="12"/>
        <v>681930.48920218926</v>
      </c>
      <c r="L40" s="71">
        <f t="shared" si="13"/>
        <v>263916.19888727646</v>
      </c>
    </row>
    <row r="41" spans="1:12" ht="20" customHeight="1" x14ac:dyDescent="0.35">
      <c r="A41" s="74">
        <f t="shared" si="2"/>
        <v>15</v>
      </c>
      <c r="B41" s="71">
        <f t="shared" si="3"/>
        <v>3600000</v>
      </c>
      <c r="C41" s="71">
        <f t="shared" si="4"/>
        <v>9530322.9742753096</v>
      </c>
      <c r="D41" s="71">
        <f t="shared" si="5"/>
        <v>725665.3717844137</v>
      </c>
      <c r="E41" s="71">
        <f t="shared" si="6"/>
        <v>8804657.6024908964</v>
      </c>
      <c r="F41" s="71">
        <f t="shared" si="7"/>
        <v>3673875.9892590009</v>
      </c>
      <c r="G41" s="71">
        <f t="shared" si="8"/>
        <v>8680596.1065546498</v>
      </c>
      <c r="H41" s="71">
        <f t="shared" si="9"/>
        <v>619449.51331933122</v>
      </c>
      <c r="I41" s="71">
        <f t="shared" si="10"/>
        <v>8061146.5932353185</v>
      </c>
      <c r="J41" s="71">
        <f t="shared" si="11"/>
        <v>3363634.8228244293</v>
      </c>
      <c r="K41" s="71">
        <f t="shared" si="12"/>
        <v>849726.86772065982</v>
      </c>
      <c r="L41" s="71">
        <f t="shared" si="13"/>
        <v>310241.16643457161</v>
      </c>
    </row>
    <row r="42" spans="1:12" ht="20" customHeight="1" x14ac:dyDescent="0.35">
      <c r="A42" s="74">
        <f t="shared" si="2"/>
        <v>16</v>
      </c>
      <c r="B42" s="71">
        <f t="shared" si="3"/>
        <v>3840000</v>
      </c>
      <c r="C42" s="71">
        <f t="shared" si="4"/>
        <v>10939026.480753576</v>
      </c>
      <c r="D42" s="71">
        <f t="shared" si="5"/>
        <v>871753.31009419705</v>
      </c>
      <c r="E42" s="71">
        <f t="shared" si="6"/>
        <v>10067273.17065938</v>
      </c>
      <c r="F42" s="71">
        <f t="shared" si="7"/>
        <v>3962944.6707513803</v>
      </c>
      <c r="G42" s="71">
        <f t="shared" si="8"/>
        <v>9889121.3505083788</v>
      </c>
      <c r="H42" s="71">
        <f t="shared" si="9"/>
        <v>740515.16881354735</v>
      </c>
      <c r="I42" s="71">
        <f t="shared" si="10"/>
        <v>9148606.1816948317</v>
      </c>
      <c r="J42" s="71">
        <f t="shared" si="11"/>
        <v>3601314.8245758819</v>
      </c>
      <c r="K42" s="71">
        <f t="shared" si="12"/>
        <v>1049905.1302451976</v>
      </c>
      <c r="L42" s="71">
        <f t="shared" si="13"/>
        <v>361629.84617549833</v>
      </c>
    </row>
    <row r="43" spans="1:12" ht="20" customHeight="1" x14ac:dyDescent="0.35">
      <c r="A43" s="74">
        <f t="shared" si="2"/>
        <v>17</v>
      </c>
      <c r="B43" s="71">
        <f t="shared" si="3"/>
        <v>4080000</v>
      </c>
      <c r="C43" s="71">
        <f t="shared" si="4"/>
        <v>12518548.427973064</v>
      </c>
      <c r="D43" s="71">
        <f t="shared" si="5"/>
        <v>1039193.5534966331</v>
      </c>
      <c r="E43" s="71">
        <f t="shared" si="6"/>
        <v>11479354.874476431</v>
      </c>
      <c r="F43" s="71">
        <f t="shared" si="7"/>
        <v>4263023.9488280788</v>
      </c>
      <c r="G43" s="71">
        <f t="shared" si="8"/>
        <v>11230830.246303942</v>
      </c>
      <c r="H43" s="71">
        <f t="shared" si="9"/>
        <v>878228.78078799276</v>
      </c>
      <c r="I43" s="71">
        <f t="shared" si="10"/>
        <v>10352601.465515949</v>
      </c>
      <c r="J43" s="71">
        <f t="shared" si="11"/>
        <v>3844587.8242073311</v>
      </c>
      <c r="K43" s="71">
        <f t="shared" si="12"/>
        <v>1287718.1816691216</v>
      </c>
      <c r="L43" s="71">
        <f t="shared" si="13"/>
        <v>418436.12462074775</v>
      </c>
    </row>
    <row r="44" spans="1:12" ht="20" customHeight="1" x14ac:dyDescent="0.35">
      <c r="A44" s="74">
        <f t="shared" si="2"/>
        <v>18</v>
      </c>
      <c r="B44" s="71">
        <f t="shared" si="3"/>
        <v>4320000</v>
      </c>
      <c r="C44" s="71">
        <f t="shared" si="4"/>
        <v>14289602.145291636</v>
      </c>
      <c r="D44" s="71">
        <f t="shared" si="5"/>
        <v>1230575.2681614545</v>
      </c>
      <c r="E44" s="71">
        <f t="shared" si="6"/>
        <v>13059026.877130181</v>
      </c>
      <c r="F44" s="71">
        <f t="shared" si="7"/>
        <v>4575148.9845919618</v>
      </c>
      <c r="G44" s="71">
        <f t="shared" si="8"/>
        <v>12720400.091918087</v>
      </c>
      <c r="H44" s="71">
        <f t="shared" si="9"/>
        <v>1034425.0114897608</v>
      </c>
      <c r="I44" s="71">
        <f t="shared" si="10"/>
        <v>11685975.080428327</v>
      </c>
      <c r="J44" s="71">
        <f t="shared" si="11"/>
        <v>4094108.8127186685</v>
      </c>
      <c r="K44" s="71">
        <f t="shared" si="12"/>
        <v>1569202.0533735491</v>
      </c>
      <c r="L44" s="71">
        <f t="shared" si="13"/>
        <v>481040.17187329335</v>
      </c>
    </row>
    <row r="45" spans="1:12" ht="20" customHeight="1" x14ac:dyDescent="0.35">
      <c r="A45" s="74">
        <f t="shared" si="2"/>
        <v>19</v>
      </c>
      <c r="B45" s="71">
        <f t="shared" si="3"/>
        <v>4560000</v>
      </c>
      <c r="C45" s="71">
        <f t="shared" si="4"/>
        <v>16275412.646468597</v>
      </c>
      <c r="D45" s="71">
        <f t="shared" si="5"/>
        <v>1448801.5808085746</v>
      </c>
      <c r="E45" s="71">
        <f t="shared" si="6"/>
        <v>14826611.065660022</v>
      </c>
      <c r="F45" s="71">
        <f t="shared" si="7"/>
        <v>4900387.8588127773</v>
      </c>
      <c r="G45" s="71">
        <f t="shared" si="8"/>
        <v>14374125.674207902</v>
      </c>
      <c r="H45" s="71">
        <f t="shared" si="9"/>
        <v>1211140.7092759877</v>
      </c>
      <c r="I45" s="71">
        <f t="shared" si="10"/>
        <v>13162984.964931915</v>
      </c>
      <c r="J45" s="71">
        <f t="shared" si="11"/>
        <v>4350537.7879160028</v>
      </c>
      <c r="K45" s="71">
        <f t="shared" si="12"/>
        <v>1901286.972260695</v>
      </c>
      <c r="L45" s="71">
        <f t="shared" si="13"/>
        <v>549850.07089677453</v>
      </c>
    </row>
    <row r="46" spans="1:12" ht="20" customHeight="1" x14ac:dyDescent="0.35">
      <c r="A46" s="74">
        <f t="shared" si="2"/>
        <v>20</v>
      </c>
      <c r="B46" s="71">
        <f t="shared" si="3"/>
        <v>4800000</v>
      </c>
      <c r="C46" s="71">
        <f t="shared" si="4"/>
        <v>18502021.194827691</v>
      </c>
      <c r="D46" s="71">
        <f t="shared" si="5"/>
        <v>1697127.6493534613</v>
      </c>
      <c r="E46" s="71">
        <f t="shared" si="6"/>
        <v>16804893.545474231</v>
      </c>
      <c r="F46" s="71">
        <f t="shared" si="7"/>
        <v>5239845.2422963129</v>
      </c>
      <c r="G46" s="71">
        <f t="shared" si="8"/>
        <v>16210097.521766502</v>
      </c>
      <c r="H46" s="71">
        <f t="shared" si="9"/>
        <v>1410637.1902208128</v>
      </c>
      <c r="I46" s="71">
        <f t="shared" si="10"/>
        <v>14799460.33154569</v>
      </c>
      <c r="J46" s="71">
        <f t="shared" si="11"/>
        <v>4614541.6867390424</v>
      </c>
      <c r="K46" s="71">
        <f t="shared" si="12"/>
        <v>2291923.6730611883</v>
      </c>
      <c r="L46" s="71">
        <f t="shared" si="13"/>
        <v>625303.55555727053</v>
      </c>
    </row>
    <row r="47" spans="1:12" ht="20" customHeight="1" x14ac:dyDescent="0.35">
      <c r="A47" s="74">
        <f t="shared" si="2"/>
        <v>21</v>
      </c>
      <c r="B47" s="71">
        <f t="shared" si="3"/>
        <v>5040000</v>
      </c>
      <c r="C47" s="71">
        <f t="shared" si="4"/>
        <v>20998626.799787175</v>
      </c>
      <c r="D47" s="71">
        <f t="shared" si="5"/>
        <v>1979203.3499733969</v>
      </c>
      <c r="E47" s="71">
        <f t="shared" si="6"/>
        <v>19019423.449813779</v>
      </c>
      <c r="F47" s="71">
        <f t="shared" si="7"/>
        <v>5594666.1644339347</v>
      </c>
      <c r="G47" s="71">
        <f t="shared" si="8"/>
        <v>18248399.80185847</v>
      </c>
      <c r="H47" s="71">
        <f t="shared" si="9"/>
        <v>1635424.9752323087</v>
      </c>
      <c r="I47" s="71">
        <f t="shared" si="10"/>
        <v>16612974.826626161</v>
      </c>
      <c r="J47" s="71">
        <f t="shared" si="11"/>
        <v>4886796.3005486438</v>
      </c>
      <c r="K47" s="71">
        <f t="shared" si="12"/>
        <v>2750226.9979287051</v>
      </c>
      <c r="L47" s="71">
        <f t="shared" si="13"/>
        <v>707869.86388529092</v>
      </c>
    </row>
    <row r="48" spans="1:12" ht="20" customHeight="1" x14ac:dyDescent="0.35">
      <c r="A48" s="74">
        <f t="shared" si="2"/>
        <v>22</v>
      </c>
      <c r="B48" s="71">
        <f t="shared" si="3"/>
        <v>5280000</v>
      </c>
      <c r="C48" s="71">
        <f t="shared" si="4"/>
        <v>23797969.123029657</v>
      </c>
      <c r="D48" s="71">
        <f t="shared" si="5"/>
        <v>2299121.1403787071</v>
      </c>
      <c r="E48" s="71">
        <f t="shared" si="6"/>
        <v>21498847.982650951</v>
      </c>
      <c r="F48" s="71">
        <f t="shared" si="7"/>
        <v>5966039.8928407989</v>
      </c>
      <c r="G48" s="71">
        <f t="shared" si="8"/>
        <v>20511330.026280392</v>
      </c>
      <c r="H48" s="71">
        <f t="shared" si="9"/>
        <v>1888291.253285049</v>
      </c>
      <c r="I48" s="71">
        <f t="shared" si="10"/>
        <v>18623038.772995342</v>
      </c>
      <c r="J48" s="71">
        <f t="shared" si="11"/>
        <v>5167988.1794257471</v>
      </c>
      <c r="K48" s="71">
        <f t="shared" si="12"/>
        <v>3286639.0967492647</v>
      </c>
      <c r="L48" s="71">
        <f t="shared" si="13"/>
        <v>798051.71341505181</v>
      </c>
    </row>
    <row r="49" spans="1:12" ht="20" customHeight="1" x14ac:dyDescent="0.35">
      <c r="A49" s="74">
        <f t="shared" si="2"/>
        <v>23</v>
      </c>
      <c r="B49" s="71">
        <f t="shared" si="3"/>
        <v>5520000</v>
      </c>
      <c r="C49" s="71">
        <f t="shared" si="4"/>
        <v>26936757.815616824</v>
      </c>
      <c r="D49" s="71">
        <f t="shared" si="5"/>
        <v>2661469.726952103</v>
      </c>
      <c r="E49" s="71">
        <f t="shared" si="6"/>
        <v>24275288.088664722</v>
      </c>
      <c r="F49" s="71">
        <f t="shared" si="7"/>
        <v>6355203.9372830549</v>
      </c>
      <c r="G49" s="71">
        <f t="shared" si="8"/>
        <v>23023642.969565339</v>
      </c>
      <c r="H49" s="71">
        <f t="shared" si="9"/>
        <v>2172330.3711956674</v>
      </c>
      <c r="I49" s="71">
        <f t="shared" si="10"/>
        <v>20851312.598369673</v>
      </c>
      <c r="J49" s="71">
        <f t="shared" si="11"/>
        <v>5458816.5313908644</v>
      </c>
      <c r="K49" s="71">
        <f t="shared" si="12"/>
        <v>3913114.8460514843</v>
      </c>
      <c r="L49" s="71">
        <f t="shared" si="13"/>
        <v>896387.40589219052</v>
      </c>
    </row>
    <row r="50" spans="1:12" ht="20" customHeight="1" x14ac:dyDescent="0.35">
      <c r="A50" s="74">
        <f t="shared" si="2"/>
        <v>24</v>
      </c>
      <c r="B50" s="71">
        <f t="shared" si="3"/>
        <v>5760000</v>
      </c>
      <c r="C50" s="71">
        <f t="shared" si="4"/>
        <v>30456153.916234326</v>
      </c>
      <c r="D50" s="71">
        <f t="shared" si="5"/>
        <v>3071394.2395292907</v>
      </c>
      <c r="E50" s="71">
        <f t="shared" si="6"/>
        <v>27384759.676705036</v>
      </c>
      <c r="F50" s="71">
        <f t="shared" si="7"/>
        <v>6763448.1914316006</v>
      </c>
      <c r="G50" s="71">
        <f t="shared" si="8"/>
        <v>25812821.467815056</v>
      </c>
      <c r="H50" s="71">
        <f t="shared" si="9"/>
        <v>2490977.6834768821</v>
      </c>
      <c r="I50" s="71">
        <f t="shared" si="10"/>
        <v>23321843.784338176</v>
      </c>
      <c r="J50" s="71">
        <f t="shared" si="11"/>
        <v>5759995.1223311713</v>
      </c>
      <c r="K50" s="71">
        <f t="shared" si="12"/>
        <v>4643332.4484192692</v>
      </c>
      <c r="L50" s="71">
        <f t="shared" si="13"/>
        <v>1003453.0691004293</v>
      </c>
    </row>
    <row r="51" spans="1:12" ht="20" customHeight="1" x14ac:dyDescent="0.35">
      <c r="A51" s="74">
        <f t="shared" si="2"/>
        <v>25</v>
      </c>
      <c r="B51" s="71">
        <f t="shared" si="3"/>
        <v>6000000</v>
      </c>
      <c r="C51" s="71">
        <f t="shared" si="4"/>
        <v>34402309.623464249</v>
      </c>
      <c r="D51" s="71">
        <f t="shared" si="5"/>
        <v>3534663.7029330311</v>
      </c>
      <c r="E51" s="71">
        <f t="shared" si="6"/>
        <v>30867645.920531217</v>
      </c>
      <c r="F51" s="71">
        <f t="shared" si="7"/>
        <v>7192119.2263629232</v>
      </c>
      <c r="G51" s="71">
        <f t="shared" si="8"/>
        <v>28909377.060497928</v>
      </c>
      <c r="H51" s="71">
        <f t="shared" si="9"/>
        <v>2848047.1325622411</v>
      </c>
      <c r="I51" s="71">
        <f t="shared" si="10"/>
        <v>26061329.927935686</v>
      </c>
      <c r="J51" s="71">
        <f t="shared" si="11"/>
        <v>6072254.1823191941</v>
      </c>
      <c r="K51" s="71">
        <f t="shared" si="12"/>
        <v>5492932.5629663207</v>
      </c>
      <c r="L51" s="71">
        <f t="shared" si="13"/>
        <v>1119865.0440437291</v>
      </c>
    </row>
    <row r="52" spans="1:12" ht="20" customHeight="1" x14ac:dyDescent="0.35">
      <c r="A52" s="74">
        <f t="shared" si="2"/>
        <v>26</v>
      </c>
      <c r="B52" s="71">
        <f t="shared" si="3"/>
        <v>6240000</v>
      </c>
      <c r="C52" s="71">
        <f t="shared" si="4"/>
        <v>38826973.520480886</v>
      </c>
      <c r="D52" s="71">
        <f t="shared" si="5"/>
        <v>4057746.6900601108</v>
      </c>
      <c r="E52" s="71">
        <f t="shared" si="6"/>
        <v>34769226.830420777</v>
      </c>
      <c r="F52" s="71">
        <f t="shared" si="7"/>
        <v>7642624.7501578601</v>
      </c>
      <c r="G52" s="71">
        <f t="shared" si="8"/>
        <v>32347183.764010347</v>
      </c>
      <c r="H52" s="71">
        <f t="shared" si="9"/>
        <v>3247772.9705012934</v>
      </c>
      <c r="I52" s="71">
        <f t="shared" si="10"/>
        <v>29099410.793509055</v>
      </c>
      <c r="J52" s="71">
        <f t="shared" si="11"/>
        <v>6396342.3239225261</v>
      </c>
      <c r="K52" s="71">
        <f t="shared" si="12"/>
        <v>6479789.7564705387</v>
      </c>
      <c r="L52" s="71">
        <f t="shared" si="13"/>
        <v>1246282.426235334</v>
      </c>
    </row>
    <row r="53" spans="1:12" ht="20" customHeight="1" x14ac:dyDescent="0.35">
      <c r="A53" s="74">
        <f t="shared" si="2"/>
        <v>27</v>
      </c>
      <c r="B53" s="71">
        <f t="shared" si="3"/>
        <v>6480000</v>
      </c>
      <c r="C53" s="71">
        <f t="shared" si="4"/>
        <v>43788169.188886292</v>
      </c>
      <c r="D53" s="71">
        <f t="shared" si="5"/>
        <v>4647896.1486107865</v>
      </c>
      <c r="E53" s="71">
        <f t="shared" si="6"/>
        <v>39140273.040275507</v>
      </c>
      <c r="F53" s="71">
        <f t="shared" si="7"/>
        <v>8116438.2484271303</v>
      </c>
      <c r="G53" s="71">
        <f t="shared" si="8"/>
        <v>36163848.628236249</v>
      </c>
      <c r="H53" s="71">
        <f t="shared" si="9"/>
        <v>3694856.0785295311</v>
      </c>
      <c r="I53" s="71">
        <f t="shared" si="10"/>
        <v>32468992.54970672</v>
      </c>
      <c r="J53" s="71">
        <f t="shared" si="11"/>
        <v>6733028.4780374169</v>
      </c>
      <c r="K53" s="71">
        <f t="shared" si="12"/>
        <v>7624320.5606500432</v>
      </c>
      <c r="L53" s="71">
        <f t="shared" si="13"/>
        <v>1383409.7703897133</v>
      </c>
    </row>
    <row r="54" spans="1:12" ht="20" customHeight="1" x14ac:dyDescent="0.35">
      <c r="A54" s="74">
        <f t="shared" si="2"/>
        <v>28</v>
      </c>
      <c r="B54" s="71">
        <f t="shared" si="3"/>
        <v>6720000</v>
      </c>
      <c r="C54" s="71">
        <f t="shared" si="4"/>
        <v>49350956.110803775</v>
      </c>
      <c r="D54" s="71">
        <f t="shared" si="5"/>
        <v>5313244.5138504719</v>
      </c>
      <c r="E54" s="71">
        <f t="shared" si="6"/>
        <v>44037711.596953303</v>
      </c>
      <c r="F54" s="71">
        <f t="shared" si="7"/>
        <v>8615103.8211204745</v>
      </c>
      <c r="G54" s="71">
        <f t="shared" si="8"/>
        <v>40401123.129718088</v>
      </c>
      <c r="H54" s="71">
        <f t="shared" si="9"/>
        <v>4194515.391214761</v>
      </c>
      <c r="I54" s="71">
        <f t="shared" si="10"/>
        <v>36206607.738503329</v>
      </c>
      <c r="J54" s="71">
        <f t="shared" si="11"/>
        <v>7083103.8527299464</v>
      </c>
      <c r="K54" s="71">
        <f t="shared" si="12"/>
        <v>8949832.9810856879</v>
      </c>
      <c r="L54" s="71">
        <f t="shared" si="13"/>
        <v>1531999.9683905281</v>
      </c>
    </row>
    <row r="55" spans="1:12" ht="20" customHeight="1" x14ac:dyDescent="0.35">
      <c r="A55" s="74">
        <f t="shared" si="2"/>
        <v>29</v>
      </c>
      <c r="B55" s="71">
        <f t="shared" si="3"/>
        <v>6960000</v>
      </c>
      <c r="C55" s="71">
        <f t="shared" si="4"/>
        <v>55588282.837447904</v>
      </c>
      <c r="D55" s="71">
        <f t="shared" si="5"/>
        <v>6062910.354680988</v>
      </c>
      <c r="E55" s="71">
        <f t="shared" si="6"/>
        <v>49525372.482766919</v>
      </c>
      <c r="F55" s="71">
        <f t="shared" si="7"/>
        <v>9140241.2315548211</v>
      </c>
      <c r="G55" s="71">
        <f t="shared" si="8"/>
        <v>45105359.901774749</v>
      </c>
      <c r="H55" s="71">
        <f t="shared" si="9"/>
        <v>4752544.9877218436</v>
      </c>
      <c r="I55" s="71">
        <f t="shared" si="10"/>
        <v>40352814.914052904</v>
      </c>
      <c r="J55" s="71">
        <f t="shared" si="11"/>
        <v>7447383.9205362471</v>
      </c>
      <c r="K55" s="71">
        <f t="shared" si="12"/>
        <v>10482922.935673155</v>
      </c>
      <c r="L55" s="71">
        <f t="shared" si="13"/>
        <v>1692857.3110185741</v>
      </c>
    </row>
    <row r="56" spans="1:12" ht="20" customHeight="1" x14ac:dyDescent="0.35">
      <c r="A56" s="74">
        <f t="shared" si="2"/>
        <v>30</v>
      </c>
      <c r="B56" s="71">
        <f t="shared" si="3"/>
        <v>7200000</v>
      </c>
      <c r="C56" s="71">
        <f t="shared" si="4"/>
        <v>62581943.612342209</v>
      </c>
      <c r="D56" s="71">
        <f t="shared" si="5"/>
        <v>6907117.9515427761</v>
      </c>
      <c r="E56" s="71">
        <f t="shared" si="6"/>
        <v>55674825.660799429</v>
      </c>
      <c r="F56" s="71">
        <f t="shared" si="7"/>
        <v>9693551.1842285283</v>
      </c>
      <c r="G56" s="71">
        <f t="shared" si="8"/>
        <v>50328019.797854416</v>
      </c>
      <c r="H56" s="71">
        <f t="shared" si="9"/>
        <v>5375377.474731802</v>
      </c>
      <c r="I56" s="71">
        <f t="shared" si="10"/>
        <v>44952642.323122613</v>
      </c>
      <c r="J56" s="71">
        <f t="shared" si="11"/>
        <v>7826710.4396577971</v>
      </c>
      <c r="K56" s="71">
        <f t="shared" si="12"/>
        <v>12253923.814487793</v>
      </c>
      <c r="L56" s="71">
        <f t="shared" si="13"/>
        <v>1866840.7445707312</v>
      </c>
    </row>
    <row r="57" spans="1:12" ht="20" customHeight="1" x14ac:dyDescent="0.35">
      <c r="A57" s="64"/>
      <c r="B57" s="61"/>
      <c r="C57" s="61"/>
      <c r="D57" s="61"/>
      <c r="E57" s="61"/>
      <c r="F57" s="61"/>
      <c r="G57" s="61"/>
      <c r="H57" s="61"/>
      <c r="I57" s="61"/>
      <c r="J57" s="61"/>
      <c r="K57" s="61"/>
      <c r="L57" s="61"/>
    </row>
    <row r="58" spans="1:12" ht="20" customHeight="1" x14ac:dyDescent="0.35">
      <c r="A58" s="64"/>
      <c r="B58" s="61"/>
      <c r="C58" s="61"/>
      <c r="D58" s="61"/>
      <c r="E58" s="61"/>
      <c r="F58" s="61"/>
      <c r="G58" s="61"/>
      <c r="H58" s="61"/>
      <c r="I58" s="61"/>
      <c r="J58" s="61"/>
      <c r="K58" s="61"/>
      <c r="L58" s="61"/>
    </row>
    <row r="59" spans="1:12" ht="22" customHeight="1" x14ac:dyDescent="0.35">
      <c r="A59" s="195" t="s">
        <v>144</v>
      </c>
      <c r="B59" s="196"/>
      <c r="C59" s="196"/>
      <c r="D59" s="196"/>
      <c r="E59" s="196"/>
      <c r="F59" s="196"/>
      <c r="G59" s="196"/>
      <c r="H59" s="196"/>
      <c r="I59" s="196"/>
      <c r="J59" s="196"/>
      <c r="K59" s="196"/>
      <c r="L59" s="196"/>
    </row>
    <row r="60" spans="1:12" ht="30" customHeight="1" x14ac:dyDescent="0.35">
      <c r="A60" s="202" t="s">
        <v>341</v>
      </c>
      <c r="B60" s="203"/>
      <c r="C60" s="203"/>
      <c r="D60" s="203"/>
      <c r="E60" s="203"/>
      <c r="F60" s="203"/>
      <c r="G60" s="203"/>
      <c r="H60" s="203"/>
      <c r="I60" s="203"/>
      <c r="J60" s="203"/>
      <c r="K60" s="203"/>
      <c r="L60" s="203"/>
    </row>
    <row r="61" spans="1:12" ht="30" customHeight="1" x14ac:dyDescent="0.35">
      <c r="A61" s="202" t="s">
        <v>342</v>
      </c>
      <c r="B61" s="203"/>
      <c r="C61" s="203"/>
      <c r="D61" s="203"/>
      <c r="E61" s="203"/>
      <c r="F61" s="203"/>
      <c r="G61" s="203"/>
      <c r="H61" s="203"/>
      <c r="I61" s="203"/>
      <c r="J61" s="203"/>
      <c r="K61" s="203"/>
      <c r="L61" s="203"/>
    </row>
    <row r="62" spans="1:12" ht="30" customHeight="1" x14ac:dyDescent="0.35">
      <c r="A62" s="202" t="s">
        <v>343</v>
      </c>
      <c r="B62" s="203"/>
      <c r="C62" s="203"/>
      <c r="D62" s="203"/>
      <c r="E62" s="203"/>
      <c r="F62" s="203"/>
      <c r="G62" s="203"/>
      <c r="H62" s="203"/>
      <c r="I62" s="203"/>
      <c r="J62" s="203"/>
      <c r="K62" s="203"/>
      <c r="L62" s="203"/>
    </row>
  </sheetData>
  <mergeCells count="17">
    <mergeCell ref="A25:L25"/>
    <mergeCell ref="A59:L59"/>
    <mergeCell ref="A60:L60"/>
    <mergeCell ref="A61:L61"/>
    <mergeCell ref="A62:L62"/>
    <mergeCell ref="A16:H16"/>
    <mergeCell ref="A1:L1"/>
    <mergeCell ref="A2:L2"/>
    <mergeCell ref="A4:B4"/>
    <mergeCell ref="D4:F4"/>
    <mergeCell ref="H4:L4"/>
    <mergeCell ref="H5:L5"/>
    <mergeCell ref="H6:L6"/>
    <mergeCell ref="H7:L7"/>
    <mergeCell ref="H8:L8"/>
    <mergeCell ref="H9:L9"/>
    <mergeCell ref="H10:L10"/>
  </mergeCells>
  <dataValidations count="1">
    <dataValidation type="whole" allowBlank="1" showInputMessage="1" showErrorMessage="1" errorTitle="Enter 5 to 30 years" error="The selected horizon must be a whole number from 5 to 30." promptTitle="Selected horizon" prompt="Choose a whole number from 5 to 30 years." sqref="B10" xr:uid="{84FCEF3E-BBA9-4797-812C-D2C3827345C3}">
      <formula1>5</formula1>
      <formula2>30</formula2>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Cover</vt:lpstr>
      <vt:lpstr>Rent vs Buy</vt:lpstr>
      <vt:lpstr>Home Loan Analysis</vt:lpstr>
      <vt:lpstr>EMI Calculator</vt:lpstr>
      <vt:lpstr>Loan Prepayment</vt:lpstr>
      <vt:lpstr>Prepayment Engine</vt:lpstr>
      <vt:lpstr>SIP Growth</vt:lpstr>
      <vt:lpstr>Step-Up SIP Goal</vt:lpstr>
      <vt:lpstr>Expense Ratio Impact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Ashwani Jindal</dc:creator>
  <cp:lastModifiedBy>Ashwani Jindal</cp:lastModifiedBy>
  <dcterms:created xsi:type="dcterms:W3CDTF">2026-09-03T03:09:22Z</dcterms:created>
  <dcterms:modified xsi:type="dcterms:W3CDTF">2026-09-27T09:07:31Z</dcterms:modified>
</cp:coreProperties>
</file>